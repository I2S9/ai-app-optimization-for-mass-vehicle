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4.xml" ContentType="application/vnd.openxmlformats-officedocument.drawing+xml"/>
  <Override PartName="/xl/charts/chart19.xml" ContentType="application/vnd.openxmlformats-officedocument.drawingml.chart+xml"/>
  <Override PartName="/xl/drawings/drawing5.xml" ContentType="application/vnd.openxmlformats-officedocument.drawingml.chartshapes+xml"/>
  <Override PartName="/xl/charts/chart20.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omments3.xml" ContentType="application/vnd.openxmlformats-officedocument.spreadsheetml.comments+xml"/>
  <Override PartName="/xl/charts/chart21.xml" ContentType="application/vnd.openxmlformats-officedocument.drawingml.chart+xml"/>
  <Override PartName="/xl/charts/style1.xml" ContentType="application/vnd.ms-office.chartstyle+xml"/>
  <Override PartName="/xl/charts/colors1.xml" ContentType="application/vnd.ms-office.chartcolorstyle+xml"/>
  <Override PartName="/xl/charts/chart22.xml" ContentType="application/vnd.openxmlformats-officedocument.drawingml.chart+xml"/>
  <Override PartName="/xl/charts/style2.xml" ContentType="application/vnd.ms-office.chartstyle+xml"/>
  <Override PartName="/xl/charts/colors2.xml" ContentType="application/vnd.ms-office.chartcolorstyle+xml"/>
  <Override PartName="/xl/charts/chart23.xml" ContentType="application/vnd.openxmlformats-officedocument.drawingml.chart+xml"/>
  <Override PartName="/xl/charts/style3.xml" ContentType="application/vnd.ms-office.chartstyle+xml"/>
  <Override PartName="/xl/charts/colors3.xml" ContentType="application/vnd.ms-office.chartcolorstyle+xml"/>
  <Override PartName="/xl/charts/chart24.xml" ContentType="application/vnd.openxmlformats-officedocument.drawingml.chart+xml"/>
  <Override PartName="/xl/charts/style4.xml" ContentType="application/vnd.ms-office.chartstyle+xml"/>
  <Override PartName="/xl/charts/colors4.xml" ContentType="application/vnd.ms-office.chartcolorstyle+xml"/>
  <Override PartName="/xl/charts/chart25.xml" ContentType="application/vnd.openxmlformats-officedocument.drawingml.chart+xml"/>
  <Override PartName="/xl/charts/style5.xml" ContentType="application/vnd.ms-office.chartstyle+xml"/>
  <Override PartName="/xl/charts/colors5.xml" ContentType="application/vnd.ms-office.chartcolorstyle+xml"/>
  <Override PartName="/xl/charts/chart26.xml" ContentType="application/vnd.openxmlformats-officedocument.drawingml.chart+xml"/>
  <Override PartName="/xl/charts/style6.xml" ContentType="application/vnd.ms-office.chartstyle+xml"/>
  <Override PartName="/xl/charts/colors6.xml" ContentType="application/vnd.ms-office.chartcolorstyle+xml"/>
  <Override PartName="/xl/charts/chart2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hidePivotFieldList="1"/>
  <mc:AlternateContent xmlns:mc="http://schemas.openxmlformats.org/markup-compatibility/2006">
    <mc:Choice Requires="x15">
      <x15ac:absPath xmlns:x15ac="http://schemas.microsoft.com/office/spreadsheetml/2010/11/ac" url="https://shiftup.sharepoint.com/sites/WEIGHTforProjects/Shared Documents/Stella S/SP2_portefeuille/"/>
    </mc:Choice>
  </mc:AlternateContent>
  <xr:revisionPtr revIDLastSave="0" documentId="8_{DC88AE2A-03B6-469F-BD09-A32DFFDF3B24}" xr6:coauthVersionLast="47" xr6:coauthVersionMax="47" xr10:uidLastSave="{00000000-0000-0000-0000-000000000000}"/>
  <bookViews>
    <workbookView xWindow="-108" yWindow="-108" windowWidth="23256" windowHeight="12456" tabRatio="666" firstSheet="1" activeTab="1" xr2:uid="{00000000-000D-0000-FFFF-FFFF00000000}"/>
  </bookViews>
  <sheets>
    <sheet name="Lien " sheetId="73" r:id="rId1"/>
    <sheet name="Portefeuille SP2" sheetId="1" r:id="rId2"/>
    <sheet name="Feuil1" sheetId="79" r:id="rId3"/>
    <sheet name="TcD SPC" sheetId="81" r:id="rId4"/>
    <sheet name="export SP1 S26" sheetId="75" r:id="rId5"/>
    <sheet name="GLOBAL PORTFOLIO" sheetId="76" r:id="rId6"/>
    <sheet name="casc P64 EP6 BASE+SIL" sheetId="18" state="hidden" r:id="rId7"/>
    <sheet name="casc P64 EP6 SIL" sheetId="17" state="hidden" r:id="rId8"/>
    <sheet name="casc P64 EP6 BASE" sheetId="16" state="hidden" r:id="rId9"/>
    <sheet name="Evol P64 EP6LDT ATN8" sheetId="13" state="hidden" r:id="rId10"/>
    <sheet name="Compil P64" sheetId="49" state="hidden" r:id="rId11"/>
    <sheet name="graph pour chantier masse" sheetId="19" state="hidden" r:id="rId12"/>
    <sheet name="tri eco" sheetId="8" state="hidden" r:id="rId13"/>
  </sheets>
  <externalReferences>
    <externalReference r:id="rId14"/>
    <externalReference r:id="rId15"/>
    <externalReference r:id="rId16"/>
    <externalReference r:id="rId17"/>
    <externalReference r:id="rId18"/>
    <externalReference r:id="rId19"/>
    <externalReference r:id="rId20"/>
  </externalReferences>
  <definedNames>
    <definedName name="__123Graph_LBL_A" localSheetId="8" hidden="1">#REF!</definedName>
    <definedName name="__123Graph_LBL_A" localSheetId="6" hidden="1">#REF!</definedName>
    <definedName name="__123Graph_LBL_A" localSheetId="7" hidden="1">#REF!</definedName>
    <definedName name="__123Graph_LBL_A" hidden="1">#REF!</definedName>
    <definedName name="_CP071997" localSheetId="8" hidden="1">#REF!</definedName>
    <definedName name="_CP071997" localSheetId="6" hidden="1">#REF!</definedName>
    <definedName name="_CP071997" localSheetId="7" hidden="1">#REF!</definedName>
    <definedName name="_CP071997" localSheetId="9" hidden="1">#REF!</definedName>
    <definedName name="_CP071997" hidden="1">#REF!</definedName>
    <definedName name="_Fill" localSheetId="8" hidden="1">'[1]PERIMETRE A76'!#REF!</definedName>
    <definedName name="_Fill" localSheetId="6" hidden="1">'[1]PERIMETRE A76'!#REF!</definedName>
    <definedName name="_Fill" localSheetId="7" hidden="1">'[1]PERIMETRE A76'!#REF!</definedName>
    <definedName name="_Fill" localSheetId="9" hidden="1">'[1]PERIMETRE A76'!#REF!</definedName>
    <definedName name="_Fill" hidden="1">'[1]PERIMETRE A76'!#REF!</definedName>
    <definedName name="_xlnm._FilterDatabase" localSheetId="5" hidden="1">'GLOBAL PORTFOLIO'!$A$4:$BM$801</definedName>
    <definedName name="_xlnm._FilterDatabase" localSheetId="11" hidden="1">'graph pour chantier masse'!$A$76:$F$131</definedName>
    <definedName name="_xlnm._FilterDatabase" localSheetId="1" hidden="1">'Portefeuille SP2'!$A$14:$BA$308</definedName>
    <definedName name="_Key1" localSheetId="8" hidden="1">#REF!</definedName>
    <definedName name="_Key1" localSheetId="6" hidden="1">#REF!</definedName>
    <definedName name="_Key1" localSheetId="7" hidden="1">#REF!</definedName>
    <definedName name="_Key1" localSheetId="9" hidden="1">#REF!</definedName>
    <definedName name="_Key1" hidden="1">#REF!</definedName>
    <definedName name="_no2" hidden="1">255</definedName>
    <definedName name="_Order1" hidden="1">0</definedName>
    <definedName name="_Order2" hidden="1">0</definedName>
    <definedName name="_Sort" localSheetId="8" hidden="1">#REF!</definedName>
    <definedName name="_Sort" localSheetId="6" hidden="1">#REF!</definedName>
    <definedName name="_Sort" localSheetId="7" hidden="1">#REF!</definedName>
    <definedName name="_Sort" localSheetId="9" hidden="1">#REF!</definedName>
    <definedName name="_Sort" hidden="1">#REF!</definedName>
    <definedName name="a" hidden="1">255</definedName>
    <definedName name="a.MARQUE" localSheetId="8" hidden="1">#REF!</definedName>
    <definedName name="a.MARQUE" localSheetId="6" hidden="1">#REF!</definedName>
    <definedName name="a.MARQUE" localSheetId="7" hidden="1">#REF!</definedName>
    <definedName name="a.MARQUE" localSheetId="9" hidden="1">#REF!</definedName>
    <definedName name="a.MARQUE" hidden="1">#REF!</definedName>
    <definedName name="aa" localSheetId="8" hidden="1">{"'ID(2)'!$E$1:$N$4"}</definedName>
    <definedName name="aa" localSheetId="6" hidden="1">{"'ID(2)'!$E$1:$N$4"}</definedName>
    <definedName name="aa" localSheetId="7" hidden="1">{"'ID(2)'!$E$1:$N$4"}</definedName>
    <definedName name="aa" localSheetId="9" hidden="1">{"'ID(2)'!$E$1:$N$4"}</definedName>
    <definedName name="aa" hidden="1">{"'ID(2)'!$E$1:$N$4"}</definedName>
    <definedName name="aa_bis" localSheetId="8" hidden="1">{"'ID(2)'!$E$1:$N$4"}</definedName>
    <definedName name="aa_bis" localSheetId="6" hidden="1">{"'ID(2)'!$E$1:$N$4"}</definedName>
    <definedName name="aa_bis" localSheetId="7" hidden="1">{"'ID(2)'!$E$1:$N$4"}</definedName>
    <definedName name="aa_bis" localSheetId="9" hidden="1">{"'ID(2)'!$E$1:$N$4"}</definedName>
    <definedName name="aa_bis" hidden="1">{"'ID(2)'!$E$1:$N$4"}</definedName>
    <definedName name="ae" localSheetId="8" hidden="1">{"'ID(2)'!$E$1:$N$4"}</definedName>
    <definedName name="ae" localSheetId="6" hidden="1">{"'ID(2)'!$E$1:$N$4"}</definedName>
    <definedName name="ae" localSheetId="7" hidden="1">{"'ID(2)'!$E$1:$N$4"}</definedName>
    <definedName name="ae" localSheetId="9" hidden="1">{"'ID(2)'!$E$1:$N$4"}</definedName>
    <definedName name="ae" hidden="1">{"'ID(2)'!$E$1:$N$4"}</definedName>
    <definedName name="af" localSheetId="8" hidden="1">{"'ID(2)'!$E$1:$N$4"}</definedName>
    <definedName name="af" localSheetId="6" hidden="1">{"'ID(2)'!$E$1:$N$4"}</definedName>
    <definedName name="af" localSheetId="7" hidden="1">{"'ID(2)'!$E$1:$N$4"}</definedName>
    <definedName name="af" localSheetId="9" hidden="1">{"'ID(2)'!$E$1:$N$4"}</definedName>
    <definedName name="af" hidden="1">{"'ID(2)'!$E$1:$N$4"}</definedName>
    <definedName name="azerty" localSheetId="8" hidden="1">#REF!</definedName>
    <definedName name="azerty" localSheetId="6" hidden="1">#REF!</definedName>
    <definedName name="azerty" localSheetId="7" hidden="1">#REF!</definedName>
    <definedName name="azerty" hidden="1">#REF!</definedName>
    <definedName name="b" localSheetId="8" hidden="1">#REF!</definedName>
    <definedName name="b" localSheetId="6" hidden="1">#REF!</definedName>
    <definedName name="b" localSheetId="7" hidden="1">#REF!</definedName>
    <definedName name="b" localSheetId="9" hidden="1">#REF!</definedName>
    <definedName name="b" hidden="1">#REF!</definedName>
    <definedName name="Cal" localSheetId="8" hidden="1">#REF!</definedName>
    <definedName name="Cal" localSheetId="6" hidden="1">#REF!</definedName>
    <definedName name="Cal" localSheetId="7" hidden="1">#REF!</definedName>
    <definedName name="Cal" hidden="1">#REF!</definedName>
    <definedName name="cc" localSheetId="8" hidden="1">#REF!</definedName>
    <definedName name="cc" localSheetId="6" hidden="1">#REF!</definedName>
    <definedName name="cc" localSheetId="7" hidden="1">#REF!</definedName>
    <definedName name="cc" hidden="1">#REF!</definedName>
    <definedName name="cd" localSheetId="8" hidden="1">#REF!</definedName>
    <definedName name="cd" localSheetId="6" hidden="1">#REF!</definedName>
    <definedName name="cd" localSheetId="7" hidden="1">#REF!</definedName>
    <definedName name="cd" hidden="1">#REF!</definedName>
    <definedName name="dd" localSheetId="8" hidden="1">{"'ID(2)'!$E$1:$N$4"}</definedName>
    <definedName name="dd" localSheetId="6" hidden="1">{"'ID(2)'!$E$1:$N$4"}</definedName>
    <definedName name="dd" localSheetId="7" hidden="1">{"'ID(2)'!$E$1:$N$4"}</definedName>
    <definedName name="dd" localSheetId="9" hidden="1">{"'ID(2)'!$E$1:$N$4"}</definedName>
    <definedName name="dd" hidden="1">{"'ID(2)'!$E$1:$N$4"}</definedName>
    <definedName name="dg" localSheetId="8" hidden="1">#REF!</definedName>
    <definedName name="dg" localSheetId="6" hidden="1">#REF!</definedName>
    <definedName name="dg" localSheetId="7" hidden="1">#REF!</definedName>
    <definedName name="dg" hidden="1">#REF!</definedName>
    <definedName name="effacer" localSheetId="8" hidden="1">'[1]PERIMETRE A76'!#REF!</definedName>
    <definedName name="effacer" localSheetId="6" hidden="1">'[1]PERIMETRE A76'!#REF!</definedName>
    <definedName name="effacer" localSheetId="7" hidden="1">'[1]PERIMETRE A76'!#REF!</definedName>
    <definedName name="effacer" hidden="1">'[1]PERIMETRE A76'!#REF!</definedName>
    <definedName name="effacer14" localSheetId="8" hidden="1">{"'ID(2)'!$E$1:$N$4"}</definedName>
    <definedName name="effacer14" localSheetId="6" hidden="1">{"'ID(2)'!$E$1:$N$4"}</definedName>
    <definedName name="effacer14" localSheetId="7" hidden="1">{"'ID(2)'!$E$1:$N$4"}</definedName>
    <definedName name="effacer14" localSheetId="9" hidden="1">{"'ID(2)'!$E$1:$N$4"}</definedName>
    <definedName name="effacer14" hidden="1">{"'ID(2)'!$E$1:$N$4"}</definedName>
    <definedName name="effacer15" localSheetId="8" hidden="1">{"'ID(2)'!$E$1:$N$4"}</definedName>
    <definedName name="effacer15" localSheetId="6" hidden="1">{"'ID(2)'!$E$1:$N$4"}</definedName>
    <definedName name="effacer15" localSheetId="7" hidden="1">{"'ID(2)'!$E$1:$N$4"}</definedName>
    <definedName name="effacer15" localSheetId="9" hidden="1">{"'ID(2)'!$E$1:$N$4"}</definedName>
    <definedName name="effacer15" hidden="1">{"'ID(2)'!$E$1:$N$4"}</definedName>
    <definedName name="effacer16" localSheetId="8" hidden="1">#REF!</definedName>
    <definedName name="effacer16" localSheetId="6" hidden="1">#REF!</definedName>
    <definedName name="effacer16" localSheetId="7" hidden="1">#REF!</definedName>
    <definedName name="effacer16" localSheetId="9" hidden="1">#REF!</definedName>
    <definedName name="effacer16" hidden="1">#REF!</definedName>
    <definedName name="effacer2" localSheetId="8" hidden="1">#REF!</definedName>
    <definedName name="effacer2" localSheetId="6" hidden="1">#REF!</definedName>
    <definedName name="effacer2" localSheetId="7" hidden="1">#REF!</definedName>
    <definedName name="effacer2" localSheetId="9" hidden="1">#REF!</definedName>
    <definedName name="effacer2" hidden="1">#REF!</definedName>
    <definedName name="effacer20" localSheetId="8" hidden="1">#REF!</definedName>
    <definedName name="effacer20" localSheetId="6" hidden="1">#REF!</definedName>
    <definedName name="effacer20" localSheetId="7" hidden="1">#REF!</definedName>
    <definedName name="effacer20" localSheetId="9" hidden="1">#REF!</definedName>
    <definedName name="effacer20" hidden="1">#REF!</definedName>
    <definedName name="effacer21" localSheetId="8" hidden="1">#REF!</definedName>
    <definedName name="effacer21" localSheetId="6" hidden="1">#REF!</definedName>
    <definedName name="effacer21" localSheetId="7" hidden="1">#REF!</definedName>
    <definedName name="effacer21" localSheetId="9" hidden="1">#REF!</definedName>
    <definedName name="effacer21" hidden="1">#REF!</definedName>
    <definedName name="effacer22" localSheetId="8" hidden="1">#REF!</definedName>
    <definedName name="effacer22" localSheetId="6" hidden="1">#REF!</definedName>
    <definedName name="effacer22" localSheetId="7" hidden="1">#REF!</definedName>
    <definedName name="effacer22" localSheetId="9" hidden="1">#REF!</definedName>
    <definedName name="effacer22" hidden="1">#REF!</definedName>
    <definedName name="effacer3" localSheetId="8" hidden="1">#REF!</definedName>
    <definedName name="effacer3" localSheetId="6" hidden="1">#REF!</definedName>
    <definedName name="effacer3" localSheetId="7" hidden="1">#REF!</definedName>
    <definedName name="effacer3" localSheetId="9" hidden="1">#REF!</definedName>
    <definedName name="effacer3" hidden="1">#REF!</definedName>
    <definedName name="effacer4" localSheetId="8" hidden="1">{"'ID(2)'!$E$1:$N$4"}</definedName>
    <definedName name="effacer4" localSheetId="6" hidden="1">{"'ID(2)'!$E$1:$N$4"}</definedName>
    <definedName name="effacer4" localSheetId="7" hidden="1">{"'ID(2)'!$E$1:$N$4"}</definedName>
    <definedName name="effacer4" localSheetId="9" hidden="1">{"'ID(2)'!$E$1:$N$4"}</definedName>
    <definedName name="effacer4" hidden="1">{"'ID(2)'!$E$1:$N$4"}</definedName>
    <definedName name="effacer8" localSheetId="8" hidden="1">{"'ID(2)'!$E$1:$N$4"}</definedName>
    <definedName name="effacer8" localSheetId="6" hidden="1">{"'ID(2)'!$E$1:$N$4"}</definedName>
    <definedName name="effacer8" localSheetId="7" hidden="1">{"'ID(2)'!$E$1:$N$4"}</definedName>
    <definedName name="effacer8" localSheetId="9" hidden="1">{"'ID(2)'!$E$1:$N$4"}</definedName>
    <definedName name="effacer8" hidden="1">{"'ID(2)'!$E$1:$N$4"}</definedName>
    <definedName name="effacer9" localSheetId="8" hidden="1">{"'ID(2)'!$E$1:$N$4"}</definedName>
    <definedName name="effacer9" localSheetId="6" hidden="1">{"'ID(2)'!$E$1:$N$4"}</definedName>
    <definedName name="effacer9" localSheetId="7" hidden="1">{"'ID(2)'!$E$1:$N$4"}</definedName>
    <definedName name="effacer9" localSheetId="9" hidden="1">{"'ID(2)'!$E$1:$N$4"}</definedName>
    <definedName name="effacer9" hidden="1">{"'ID(2)'!$E$1:$N$4"}</definedName>
    <definedName name="ert" localSheetId="8" hidden="1">#REF!</definedName>
    <definedName name="ert" localSheetId="6" hidden="1">#REF!</definedName>
    <definedName name="ert" localSheetId="7" hidden="1">#REF!</definedName>
    <definedName name="ert" hidden="1">#REF!</definedName>
    <definedName name="et" localSheetId="8" hidden="1">#REF!</definedName>
    <definedName name="et" localSheetId="6" hidden="1">#REF!</definedName>
    <definedName name="et" localSheetId="7" hidden="1">#REF!</definedName>
    <definedName name="et" hidden="1">#REF!</definedName>
    <definedName name="fdgdg" localSheetId="8" hidden="1">#REF!</definedName>
    <definedName name="fdgdg" localSheetId="6" hidden="1">#REF!</definedName>
    <definedName name="fdgdg" localSheetId="7" hidden="1">#REF!</definedName>
    <definedName name="fdgdg" hidden="1">#REF!</definedName>
    <definedName name="fevrier1999" localSheetId="8" hidden="1">#REF!</definedName>
    <definedName name="fevrier1999" localSheetId="6" hidden="1">#REF!</definedName>
    <definedName name="fevrier1999" localSheetId="7" hidden="1">#REF!</definedName>
    <definedName name="fevrier1999" localSheetId="9" hidden="1">#REF!</definedName>
    <definedName name="fevrier1999" hidden="1">#REF!</definedName>
    <definedName name="fgdfgdf" localSheetId="8" hidden="1">#REF!</definedName>
    <definedName name="fgdfgdf" localSheetId="6" hidden="1">#REF!</definedName>
    <definedName name="fgdfgdf" localSheetId="7" hidden="1">#REF!</definedName>
    <definedName name="fgdfgdf" hidden="1">#REF!</definedName>
    <definedName name="fgdgdf1" localSheetId="8" hidden="1">#REF!</definedName>
    <definedName name="fgdgdf1" localSheetId="6" hidden="1">#REF!</definedName>
    <definedName name="fgdgdf1" localSheetId="7" hidden="1">#REF!</definedName>
    <definedName name="fgdgdf1" hidden="1">#REF!</definedName>
    <definedName name="gdfgdfgd" localSheetId="8" hidden="1">#REF!</definedName>
    <definedName name="gdfgdfgd" localSheetId="6" hidden="1">#REF!</definedName>
    <definedName name="gdfgdfgd" localSheetId="7" hidden="1">#REF!</definedName>
    <definedName name="gdfgdfgd" hidden="1">#REF!</definedName>
    <definedName name="GHVN" localSheetId="8" hidden="1">[2]CP121999!#REF!</definedName>
    <definedName name="GHVN" localSheetId="6" hidden="1">[2]CP121999!#REF!</definedName>
    <definedName name="GHVN" localSheetId="7" hidden="1">[2]CP121999!#REF!</definedName>
    <definedName name="GHVN" localSheetId="9" hidden="1">[2]CP121999!#REF!</definedName>
    <definedName name="GHVN" hidden="1">[2]CP121999!#REF!</definedName>
    <definedName name="HTML_CodePage" hidden="1">1252</definedName>
    <definedName name="HTML_Control" localSheetId="8" hidden="1">{"'ID(2)'!$E$1:$N$4"}</definedName>
    <definedName name="HTML_Control" localSheetId="6" hidden="1">{"'ID(2)'!$E$1:$N$4"}</definedName>
    <definedName name="HTML_Control" localSheetId="7" hidden="1">{"'ID(2)'!$E$1:$N$4"}</definedName>
    <definedName name="HTML_Control" localSheetId="9" hidden="1">{"'ID(2)'!$E$1:$N$4"}</definedName>
    <definedName name="HTML_Control" hidden="1">{"'ID(2)'!$E$1:$N$4"}</definedName>
    <definedName name="HTML_Description" hidden="1">""</definedName>
    <definedName name="HTML_Email" hidden="1">""</definedName>
    <definedName name="HTML_Header" hidden="1">"ID(2)"</definedName>
    <definedName name="HTML_LastUpdate" hidden="1">"26/11/1999"</definedName>
    <definedName name="HTML_LineAfter" hidden="1">FALSE</definedName>
    <definedName name="HTML_LineBefore" hidden="1">FALSE</definedName>
    <definedName name="HTML_Name" hidden="1">"PSA"</definedName>
    <definedName name="HTML_OBDlg2" hidden="1">TRUE</definedName>
    <definedName name="HTML_OBDlg4" hidden="1">TRUE</definedName>
    <definedName name="HTML_OS" hidden="1">0</definedName>
    <definedName name="HTML_PathFile" hidden="1">"C:\USER\Europstat\essai\MonHTML.htm"</definedName>
    <definedName name="HTML_Title" hidden="1">"Tdb_V2"</definedName>
    <definedName name="Maintenanc" localSheetId="8" hidden="1">{"'ID(2)'!$E$1:$N$4"}</definedName>
    <definedName name="Maintenanc" localSheetId="6" hidden="1">{"'ID(2)'!$E$1:$N$4"}</definedName>
    <definedName name="Maintenanc" localSheetId="7" hidden="1">{"'ID(2)'!$E$1:$N$4"}</definedName>
    <definedName name="Maintenanc" localSheetId="9" hidden="1">{"'ID(2)'!$E$1:$N$4"}</definedName>
    <definedName name="Maintenanc" hidden="1">{"'ID(2)'!$E$1:$N$4"}</definedName>
    <definedName name="MAR" localSheetId="8" hidden="1">#REF!</definedName>
    <definedName name="MAR" localSheetId="6" hidden="1">#REF!</definedName>
    <definedName name="MAR" localSheetId="7" hidden="1">#REF!</definedName>
    <definedName name="MAR" localSheetId="9" hidden="1">#REF!</definedName>
    <definedName name="MAR" hidden="1">#REF!</definedName>
    <definedName name="nb" localSheetId="8" hidden="1">{"'ID(2)'!$E$1:$N$4"}</definedName>
    <definedName name="nb" localSheetId="6" hidden="1">{"'ID(2)'!$E$1:$N$4"}</definedName>
    <definedName name="nb" localSheetId="7" hidden="1">{"'ID(2)'!$E$1:$N$4"}</definedName>
    <definedName name="nb" localSheetId="9" hidden="1">{"'ID(2)'!$E$1:$N$4"}</definedName>
    <definedName name="nb" hidden="1">{"'ID(2)'!$E$1:$N$4"}</definedName>
    <definedName name="no" localSheetId="8" hidden="1">#REF!</definedName>
    <definedName name="no" localSheetId="6" hidden="1">#REF!</definedName>
    <definedName name="no" localSheetId="7" hidden="1">#REF!</definedName>
    <definedName name="no" localSheetId="9" hidden="1">#REF!</definedName>
    <definedName name="no" hidden="1">#REF!</definedName>
    <definedName name="p" hidden="1">0</definedName>
    <definedName name="PopCache_EGO_BULKLOAD_INTF_C_INTF_ATTR13" hidden="1">[3]PopCache!$A$1:$A$7</definedName>
    <definedName name="PopCache_EGO_BULKLOAD_INTF_C_INTF_ATTR18" hidden="1">[3]PopCache!$B$1:$B$2</definedName>
    <definedName name="prebudget" localSheetId="8" hidden="1">#REF!</definedName>
    <definedName name="prebudget" localSheetId="6" hidden="1">#REF!</definedName>
    <definedName name="prebudget" localSheetId="7" hidden="1">#REF!</definedName>
    <definedName name="prebudget" localSheetId="9" hidden="1">#REF!</definedName>
    <definedName name="prebudget" hidden="1">#REF!</definedName>
    <definedName name="prebudget1" localSheetId="8" hidden="1">#REF!</definedName>
    <definedName name="prebudget1" localSheetId="6" hidden="1">#REF!</definedName>
    <definedName name="prebudget1" localSheetId="7" hidden="1">#REF!</definedName>
    <definedName name="prebudget1" localSheetId="9" hidden="1">#REF!</definedName>
    <definedName name="prebudget1" hidden="1">#REF!</definedName>
    <definedName name="prebuget" localSheetId="8" hidden="1">#REF!</definedName>
    <definedName name="prebuget" localSheetId="6" hidden="1">#REF!</definedName>
    <definedName name="prebuget" localSheetId="7" hidden="1">#REF!</definedName>
    <definedName name="prebuget" localSheetId="9" hidden="1">#REF!</definedName>
    <definedName name="prebuget" hidden="1">#REF!</definedName>
    <definedName name="PROBABILITE" localSheetId="8">'[4]tri eco'!$M$2:$M$8</definedName>
    <definedName name="PROBABILITE" localSheetId="6">'[4]tri eco'!$M$2:$M$8</definedName>
    <definedName name="PROBABILITE" localSheetId="7">'[4]tri eco'!$M$2:$M$8</definedName>
    <definedName name="PROBABILITE" localSheetId="9">'[4]tri eco'!$M$2:$M$8</definedName>
    <definedName name="PROBABILITE">'tri eco'!$M$2:$M$8</definedName>
    <definedName name="PROJETS" hidden="1">'[5]Listes modules'!$A$94:$A$103</definedName>
    <definedName name="qqq" localSheetId="8" hidden="1">#REF!</definedName>
    <definedName name="qqq" localSheetId="6" hidden="1">#REF!</definedName>
    <definedName name="qqq" localSheetId="7" hidden="1">#REF!</definedName>
    <definedName name="qqq" localSheetId="9" hidden="1">#REF!</definedName>
    <definedName name="qqq" hidden="1">#REF!</definedName>
    <definedName name="qsdf" hidden="1">#N/A</definedName>
    <definedName name="rili" localSheetId="8" hidden="1">#REF!</definedName>
    <definedName name="rili" localSheetId="6" hidden="1">#REF!</definedName>
    <definedName name="rili" localSheetId="7" hidden="1">#REF!</definedName>
    <definedName name="rili" hidden="1">#REF!</definedName>
    <definedName name="SAPBEXrevision" hidden="1">3</definedName>
    <definedName name="SAPBEXsysID" hidden="1">"PVN"</definedName>
    <definedName name="SAPBEXwbID" hidden="1">"48IGJVK7IHSEW0FQ5RACN1NOR"</definedName>
    <definedName name="solver_lin" hidden="1">0</definedName>
    <definedName name="solver_num" hidden="1">0</definedName>
    <definedName name="solver_typ" hidden="1">3</definedName>
    <definedName name="solver_val" hidden="1">0.02</definedName>
    <definedName name="stock2" localSheetId="8" hidden="1">#REF!</definedName>
    <definedName name="stock2" localSheetId="6" hidden="1">#REF!</definedName>
    <definedName name="stock2" localSheetId="7" hidden="1">#REF!</definedName>
    <definedName name="stock2" localSheetId="9" hidden="1">#REF!</definedName>
    <definedName name="stock2" hidden="1">#REF!</definedName>
    <definedName name="www" localSheetId="8" hidden="1">#REF!</definedName>
    <definedName name="www" localSheetId="6" hidden="1">#REF!</definedName>
    <definedName name="www" localSheetId="7" hidden="1">#REF!</definedName>
    <definedName name="www" localSheetId="9" hidden="1">#REF!</definedName>
    <definedName name="www" hidden="1">#REF!</definedName>
    <definedName name="xxs" localSheetId="8" hidden="1">#REF!</definedName>
    <definedName name="xxs" localSheetId="6" hidden="1">#REF!</definedName>
    <definedName name="xxs" localSheetId="7" hidden="1">#REF!</definedName>
    <definedName name="xxs" localSheetId="9" hidden="1">#REF!</definedName>
    <definedName name="xxs" hidden="1">#REF!</definedName>
    <definedName name="xxx" localSheetId="8" hidden="1">#REF!</definedName>
    <definedName name="xxx" localSheetId="6" hidden="1">#REF!</definedName>
    <definedName name="xxx" localSheetId="7" hidden="1">#REF!</definedName>
    <definedName name="xxx" localSheetId="9" hidden="1">#REF!</definedName>
    <definedName name="xxx" hidden="1">#REF!</definedName>
    <definedName name="y" hidden="1">255</definedName>
    <definedName name="Z_4A92CE63_6599_443B_960D_5B91D3A4B48D_.wvu.FilterData" localSheetId="8" hidden="1">#REF!</definedName>
    <definedName name="Z_4A92CE63_6599_443B_960D_5B91D3A4B48D_.wvu.FilterData" localSheetId="6" hidden="1">#REF!</definedName>
    <definedName name="Z_4A92CE63_6599_443B_960D_5B91D3A4B48D_.wvu.FilterData" localSheetId="7" hidden="1">#REF!</definedName>
    <definedName name="Z_4A92CE63_6599_443B_960D_5B91D3A4B48D_.wvu.FilterData" localSheetId="9" hidden="1">#REF!</definedName>
    <definedName name="Z_4A92CE63_6599_443B_960D_5B91D3A4B48D_.wvu.FilterData" hidden="1">#REF!</definedName>
    <definedName name="Z_4A92CE63_6599_443B_960D_5B91D3A4B48D_.wvu.PrintArea" localSheetId="8" hidden="1">#REF!</definedName>
    <definedName name="Z_4A92CE63_6599_443B_960D_5B91D3A4B48D_.wvu.PrintArea" localSheetId="6" hidden="1">#REF!</definedName>
    <definedName name="Z_4A92CE63_6599_443B_960D_5B91D3A4B48D_.wvu.PrintArea" localSheetId="7" hidden="1">#REF!</definedName>
    <definedName name="Z_4A92CE63_6599_443B_960D_5B91D3A4B48D_.wvu.PrintArea" localSheetId="9" hidden="1">#REF!</definedName>
    <definedName name="Z_4A92CE63_6599_443B_960D_5B91D3A4B48D_.wvu.PrintArea" hidden="1">#REF!</definedName>
  </definedNames>
  <calcPr calcId="191028" calcMode="manual" calcCompleted="0"/>
  <pivotCaches>
    <pivotCache cacheId="143"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08" i="1" l="1"/>
  <c r="U307" i="1"/>
  <c r="U306" i="1"/>
  <c r="U305" i="1"/>
  <c r="U304" i="1"/>
  <c r="U303" i="1"/>
  <c r="U302" i="1"/>
  <c r="U301" i="1"/>
  <c r="U300" i="1"/>
  <c r="U270" i="1"/>
  <c r="U268" i="1"/>
  <c r="U299" i="1" l="1"/>
  <c r="U298" i="1" l="1"/>
  <c r="U198" i="1"/>
  <c r="U297" i="1"/>
  <c r="U271" i="1"/>
  <c r="U296" i="1" l="1"/>
  <c r="U295" i="1"/>
  <c r="U294" i="1"/>
  <c r="U293" i="1"/>
  <c r="U292" i="1"/>
  <c r="U291" i="1"/>
  <c r="U290" i="1"/>
  <c r="U289" i="1"/>
  <c r="U288" i="1"/>
  <c r="U287" i="1"/>
  <c r="U286" i="1"/>
  <c r="U285" i="1"/>
  <c r="U284" i="1"/>
  <c r="U283" i="1"/>
  <c r="U282" i="1"/>
  <c r="U280" i="1"/>
  <c r="U278" i="1"/>
  <c r="U277" i="1"/>
  <c r="U276" i="1"/>
  <c r="U275" i="1"/>
  <c r="U274" i="1"/>
  <c r="U273" i="1"/>
  <c r="U272" i="1"/>
  <c r="U269" i="1"/>
  <c r="U267" i="1"/>
  <c r="U254" i="1"/>
  <c r="U250" i="1"/>
  <c r="U249" i="1"/>
  <c r="U246" i="1"/>
  <c r="U245" i="1"/>
  <c r="U241" i="1"/>
  <c r="U236" i="1"/>
  <c r="U194" i="1"/>
  <c r="U191" i="1"/>
  <c r="U190" i="1"/>
  <c r="U165" i="1"/>
  <c r="U164" i="1"/>
  <c r="U161" i="1"/>
  <c r="U158" i="1"/>
  <c r="U157" i="1"/>
  <c r="U147" i="1"/>
  <c r="U137" i="1"/>
  <c r="U132" i="1"/>
  <c r="U131" i="1"/>
  <c r="U125" i="1"/>
  <c r="U123" i="1"/>
  <c r="U121" i="1"/>
  <c r="U115" i="1"/>
  <c r="U74" i="1"/>
  <c r="U70" i="1"/>
  <c r="U69" i="1"/>
  <c r="U67" i="1"/>
  <c r="U64" i="1"/>
  <c r="U62" i="1"/>
  <c r="U60" i="1"/>
  <c r="U59" i="1"/>
  <c r="U58" i="1"/>
  <c r="U54" i="1"/>
  <c r="U52" i="1"/>
  <c r="U45" i="1"/>
  <c r="U37" i="1"/>
  <c r="U36" i="1"/>
  <c r="U32" i="1"/>
  <c r="U31" i="1"/>
  <c r="U26" i="1"/>
  <c r="U23" i="1"/>
  <c r="U113" i="1"/>
  <c r="K231" i="76"/>
  <c r="U281" i="1" l="1"/>
  <c r="U279" i="1"/>
  <c r="U248" i="1" l="1"/>
  <c r="U247" i="1"/>
  <c r="U19" i="1"/>
  <c r="U257" i="1" l="1"/>
  <c r="L236" i="76" s="1"/>
  <c r="U266" i="1"/>
  <c r="U264" i="1"/>
  <c r="U262" i="1"/>
  <c r="U258" i="1"/>
  <c r="U265" i="1"/>
  <c r="L241" i="76" s="1"/>
  <c r="U259" i="1"/>
  <c r="L237" i="76" s="1"/>
  <c r="U263" i="1"/>
  <c r="L240" i="76" s="1"/>
  <c r="U261" i="1"/>
  <c r="L239" i="76" s="1"/>
  <c r="U260" i="1"/>
  <c r="L238" i="76" s="1"/>
  <c r="U76" i="1"/>
  <c r="U75" i="1"/>
  <c r="U181" i="1"/>
  <c r="U252" i="1"/>
  <c r="L232" i="76" s="1"/>
  <c r="U65" i="1"/>
  <c r="U66" i="1"/>
  <c r="U71" i="1"/>
  <c r="U251" i="1"/>
  <c r="U227" i="1"/>
  <c r="U232" i="1"/>
  <c r="L215" i="76" s="1"/>
  <c r="U231" i="1"/>
  <c r="U230" i="1"/>
  <c r="T9" i="76"/>
  <c r="T10" i="76"/>
  <c r="T11" i="76"/>
  <c r="T12" i="76"/>
  <c r="T13" i="76"/>
  <c r="T14" i="76"/>
  <c r="T15" i="76"/>
  <c r="T16" i="76"/>
  <c r="T17" i="76"/>
  <c r="T18" i="76"/>
  <c r="T19" i="76"/>
  <c r="T20" i="76"/>
  <c r="T21" i="76"/>
  <c r="T22" i="76"/>
  <c r="T23" i="76"/>
  <c r="T24" i="76"/>
  <c r="T25" i="76"/>
  <c r="T26" i="76"/>
  <c r="T27" i="76"/>
  <c r="T28" i="76"/>
  <c r="T29" i="76"/>
  <c r="T30" i="76"/>
  <c r="T31" i="76"/>
  <c r="T32" i="76"/>
  <c r="T33" i="76"/>
  <c r="T34" i="76"/>
  <c r="T35" i="76"/>
  <c r="T36" i="76"/>
  <c r="T37" i="76"/>
  <c r="T38" i="76"/>
  <c r="T39" i="76"/>
  <c r="T40" i="76"/>
  <c r="T41" i="76"/>
  <c r="T42" i="76"/>
  <c r="T43" i="76"/>
  <c r="T44" i="76"/>
  <c r="T45" i="76"/>
  <c r="T46" i="76"/>
  <c r="T47" i="76"/>
  <c r="T48" i="76"/>
  <c r="T49" i="76"/>
  <c r="T50" i="76"/>
  <c r="T51" i="76"/>
  <c r="T52" i="76"/>
  <c r="T53" i="76"/>
  <c r="T54" i="76"/>
  <c r="T55" i="76"/>
  <c r="T56" i="76"/>
  <c r="T57" i="76"/>
  <c r="T58" i="76"/>
  <c r="T59" i="76"/>
  <c r="T60" i="76"/>
  <c r="T61" i="76"/>
  <c r="T62" i="76"/>
  <c r="T63" i="76"/>
  <c r="T64" i="76"/>
  <c r="T65" i="76"/>
  <c r="T66" i="76"/>
  <c r="T67" i="76"/>
  <c r="T68" i="76"/>
  <c r="T69" i="76"/>
  <c r="T70" i="76"/>
  <c r="T71" i="76"/>
  <c r="T72" i="76"/>
  <c r="T73" i="76"/>
  <c r="T74" i="76"/>
  <c r="T75" i="76"/>
  <c r="T76" i="76"/>
  <c r="T77" i="76"/>
  <c r="T78" i="76"/>
  <c r="T79" i="76"/>
  <c r="T80" i="76"/>
  <c r="T81" i="76"/>
  <c r="T82" i="76"/>
  <c r="T83" i="76"/>
  <c r="T84" i="76"/>
  <c r="T85" i="76"/>
  <c r="T86" i="76"/>
  <c r="T87" i="76"/>
  <c r="T88" i="76"/>
  <c r="T89" i="76"/>
  <c r="T90" i="76"/>
  <c r="T91" i="76"/>
  <c r="T92" i="76"/>
  <c r="T93" i="76"/>
  <c r="T94" i="76"/>
  <c r="T95" i="76"/>
  <c r="T96" i="76"/>
  <c r="T97" i="76"/>
  <c r="T98" i="76"/>
  <c r="T99" i="76"/>
  <c r="T100" i="76"/>
  <c r="T101" i="76"/>
  <c r="T102" i="76"/>
  <c r="T103" i="76"/>
  <c r="T104" i="76"/>
  <c r="T105" i="76"/>
  <c r="T106" i="76"/>
  <c r="T107" i="76"/>
  <c r="T108" i="76"/>
  <c r="T109" i="76"/>
  <c r="T110" i="76"/>
  <c r="T111" i="76"/>
  <c r="T112" i="76"/>
  <c r="T113" i="76"/>
  <c r="T114" i="76"/>
  <c r="T115" i="76"/>
  <c r="T116" i="76"/>
  <c r="T117" i="76"/>
  <c r="T118" i="76"/>
  <c r="T119" i="76"/>
  <c r="T120" i="76"/>
  <c r="T121" i="76"/>
  <c r="T122" i="76"/>
  <c r="T123" i="76"/>
  <c r="T124" i="76"/>
  <c r="T125" i="76"/>
  <c r="T126" i="76"/>
  <c r="T127" i="76"/>
  <c r="T128" i="76"/>
  <c r="T129" i="76"/>
  <c r="T130" i="76"/>
  <c r="T131" i="76"/>
  <c r="T132" i="76"/>
  <c r="T133" i="76"/>
  <c r="T134" i="76"/>
  <c r="T135" i="76"/>
  <c r="T136" i="76"/>
  <c r="T137" i="76"/>
  <c r="T138" i="76"/>
  <c r="T139" i="76"/>
  <c r="T140" i="76"/>
  <c r="T141" i="76"/>
  <c r="T142" i="76"/>
  <c r="T143" i="76"/>
  <c r="T144" i="76"/>
  <c r="T145" i="76"/>
  <c r="T146" i="76"/>
  <c r="T147" i="76"/>
  <c r="T148" i="76"/>
  <c r="T149" i="76"/>
  <c r="T150" i="76"/>
  <c r="T151" i="76"/>
  <c r="T152" i="76"/>
  <c r="T153" i="76"/>
  <c r="T154" i="76"/>
  <c r="T155" i="76"/>
  <c r="T156" i="76"/>
  <c r="T157" i="76"/>
  <c r="T158" i="76"/>
  <c r="T159" i="76"/>
  <c r="T160" i="76"/>
  <c r="T161" i="76"/>
  <c r="T162" i="76"/>
  <c r="T163" i="76"/>
  <c r="T164" i="76"/>
  <c r="T165" i="76"/>
  <c r="T166" i="76"/>
  <c r="T167" i="76"/>
  <c r="T168" i="76"/>
  <c r="T169" i="76"/>
  <c r="T170" i="76"/>
  <c r="T171" i="76"/>
  <c r="T172" i="76"/>
  <c r="T173" i="76"/>
  <c r="T174" i="76"/>
  <c r="T175" i="76"/>
  <c r="T176" i="76"/>
  <c r="T177" i="76"/>
  <c r="T178" i="76"/>
  <c r="T179" i="76"/>
  <c r="T180" i="76"/>
  <c r="T181" i="76"/>
  <c r="T182" i="76"/>
  <c r="T183" i="76"/>
  <c r="T184" i="76"/>
  <c r="T185" i="76"/>
  <c r="T186" i="76"/>
  <c r="T187" i="76"/>
  <c r="T188" i="76"/>
  <c r="T189" i="76"/>
  <c r="T190" i="76"/>
  <c r="T191" i="76"/>
  <c r="T192" i="76"/>
  <c r="T193" i="76"/>
  <c r="T194" i="76"/>
  <c r="T195" i="76"/>
  <c r="T196" i="76"/>
  <c r="T197" i="76"/>
  <c r="T198" i="76"/>
  <c r="T199" i="76"/>
  <c r="T200" i="76"/>
  <c r="T201" i="76"/>
  <c r="T202" i="76"/>
  <c r="T203" i="76"/>
  <c r="T204" i="76"/>
  <c r="T205" i="76"/>
  <c r="T206" i="76"/>
  <c r="T207" i="76"/>
  <c r="T208" i="76"/>
  <c r="T209" i="76"/>
  <c r="T210" i="76"/>
  <c r="T211" i="76"/>
  <c r="T212" i="76"/>
  <c r="T213" i="76"/>
  <c r="T214" i="76"/>
  <c r="T215" i="76"/>
  <c r="T216" i="76"/>
  <c r="T217" i="76"/>
  <c r="T218" i="76"/>
  <c r="T219" i="76"/>
  <c r="T220" i="76"/>
  <c r="T221" i="76"/>
  <c r="T222" i="76"/>
  <c r="T223" i="76"/>
  <c r="T224" i="76"/>
  <c r="T225" i="76"/>
  <c r="T226" i="76"/>
  <c r="T227" i="76"/>
  <c r="T228" i="76"/>
  <c r="T229" i="76"/>
  <c r="T230" i="76"/>
  <c r="T231" i="76"/>
  <c r="T232" i="76"/>
  <c r="T233" i="76"/>
  <c r="T234" i="76"/>
  <c r="T235" i="76"/>
  <c r="T236" i="76"/>
  <c r="T237" i="76"/>
  <c r="T238" i="76"/>
  <c r="T239" i="76"/>
  <c r="T240" i="76"/>
  <c r="T241" i="76"/>
  <c r="T242" i="76"/>
  <c r="T243" i="76"/>
  <c r="T244" i="76"/>
  <c r="T245" i="76"/>
  <c r="T246" i="76"/>
  <c r="T247" i="76"/>
  <c r="T248" i="76"/>
  <c r="T249" i="76"/>
  <c r="T250" i="76"/>
  <c r="T251" i="76"/>
  <c r="T252" i="76"/>
  <c r="T253" i="76"/>
  <c r="T254" i="76"/>
  <c r="T255" i="76"/>
  <c r="T256" i="76"/>
  <c r="T257" i="76"/>
  <c r="T258" i="76"/>
  <c r="T259" i="76"/>
  <c r="T260" i="76"/>
  <c r="T261" i="76"/>
  <c r="T262" i="76"/>
  <c r="T263" i="76"/>
  <c r="T264" i="76"/>
  <c r="T265" i="76"/>
  <c r="T266" i="76"/>
  <c r="T267" i="76"/>
  <c r="T268" i="76"/>
  <c r="T269" i="76"/>
  <c r="T270" i="76"/>
  <c r="T271" i="76"/>
  <c r="T272" i="76"/>
  <c r="T273" i="76"/>
  <c r="T274" i="76"/>
  <c r="T275" i="76"/>
  <c r="T276" i="76"/>
  <c r="T277" i="76"/>
  <c r="T278" i="76"/>
  <c r="T279" i="76"/>
  <c r="T280" i="76"/>
  <c r="T281" i="76"/>
  <c r="T282" i="76"/>
  <c r="T283" i="76"/>
  <c r="T284" i="76"/>
  <c r="T285" i="76"/>
  <c r="T286" i="76"/>
  <c r="T287" i="76"/>
  <c r="T288" i="76"/>
  <c r="T289" i="76"/>
  <c r="T290" i="76"/>
  <c r="T291" i="76"/>
  <c r="T292" i="76"/>
  <c r="T293" i="76"/>
  <c r="T294" i="76"/>
  <c r="T295" i="76"/>
  <c r="T296" i="76"/>
  <c r="T297" i="76"/>
  <c r="T298" i="76"/>
  <c r="T299" i="76"/>
  <c r="T300" i="76"/>
  <c r="T301" i="76"/>
  <c r="T302" i="76"/>
  <c r="T303" i="76"/>
  <c r="T304" i="76"/>
  <c r="T305" i="76"/>
  <c r="T306" i="76"/>
  <c r="T307" i="76"/>
  <c r="T308" i="76"/>
  <c r="T309" i="76"/>
  <c r="T310" i="76"/>
  <c r="T311" i="76"/>
  <c r="T312" i="76"/>
  <c r="T313" i="76"/>
  <c r="T314" i="76"/>
  <c r="T315" i="76"/>
  <c r="T316" i="76"/>
  <c r="T317" i="76"/>
  <c r="T318" i="76"/>
  <c r="T319" i="76"/>
  <c r="T320" i="76"/>
  <c r="T321" i="76"/>
  <c r="T322" i="76"/>
  <c r="T323" i="76"/>
  <c r="T324" i="76"/>
  <c r="T325" i="76"/>
  <c r="T326" i="76"/>
  <c r="T327" i="76"/>
  <c r="T328" i="76"/>
  <c r="T329" i="76"/>
  <c r="T330" i="76"/>
  <c r="T331" i="76"/>
  <c r="T332" i="76"/>
  <c r="T333" i="76"/>
  <c r="T334" i="76"/>
  <c r="T335" i="76"/>
  <c r="T336" i="76"/>
  <c r="T337" i="76"/>
  <c r="T338" i="76"/>
  <c r="T339" i="76"/>
  <c r="T340" i="76"/>
  <c r="T341" i="76"/>
  <c r="T342" i="76"/>
  <c r="T343" i="76"/>
  <c r="T344" i="76"/>
  <c r="T345" i="76"/>
  <c r="T346" i="76"/>
  <c r="T347" i="76"/>
  <c r="T348" i="76"/>
  <c r="T349" i="76"/>
  <c r="T350" i="76"/>
  <c r="T351" i="76"/>
  <c r="T352" i="76"/>
  <c r="T353" i="76"/>
  <c r="T354" i="76"/>
  <c r="T355" i="76"/>
  <c r="T356" i="76"/>
  <c r="T357" i="76"/>
  <c r="T358" i="76"/>
  <c r="T359" i="76"/>
  <c r="T360" i="76"/>
  <c r="T361" i="76"/>
  <c r="T362" i="76"/>
  <c r="T363" i="76"/>
  <c r="T364" i="76"/>
  <c r="T365" i="76"/>
  <c r="T366" i="76"/>
  <c r="T367" i="76"/>
  <c r="T368" i="76"/>
  <c r="T369" i="76"/>
  <c r="T370" i="76"/>
  <c r="T371" i="76"/>
  <c r="T372" i="76"/>
  <c r="T373" i="76"/>
  <c r="T374" i="76"/>
  <c r="T375" i="76"/>
  <c r="T376" i="76"/>
  <c r="T377" i="76"/>
  <c r="T378" i="76"/>
  <c r="T379" i="76"/>
  <c r="T380" i="76"/>
  <c r="T381" i="76"/>
  <c r="T382" i="76"/>
  <c r="T383" i="76"/>
  <c r="T384" i="76"/>
  <c r="T385" i="76"/>
  <c r="T386" i="76"/>
  <c r="T387" i="76"/>
  <c r="T388" i="76"/>
  <c r="T389" i="76"/>
  <c r="T390" i="76"/>
  <c r="T391" i="76"/>
  <c r="T392" i="76"/>
  <c r="T393" i="76"/>
  <c r="T394" i="76"/>
  <c r="T395" i="76"/>
  <c r="T396" i="76"/>
  <c r="T397" i="76"/>
  <c r="T398" i="76"/>
  <c r="T399" i="76"/>
  <c r="T400" i="76"/>
  <c r="T401" i="76"/>
  <c r="T402" i="76"/>
  <c r="T403" i="76"/>
  <c r="T404" i="76"/>
  <c r="T405" i="76"/>
  <c r="T406" i="76"/>
  <c r="T407" i="76"/>
  <c r="T408" i="76"/>
  <c r="T409" i="76"/>
  <c r="T410" i="76"/>
  <c r="T411" i="76"/>
  <c r="T412" i="76"/>
  <c r="T413" i="76"/>
  <c r="T414" i="76"/>
  <c r="T415" i="76"/>
  <c r="T416" i="76"/>
  <c r="T417" i="76"/>
  <c r="T418" i="76"/>
  <c r="T419" i="76"/>
  <c r="T420" i="76"/>
  <c r="T421" i="76"/>
  <c r="T422" i="76"/>
  <c r="T423" i="76"/>
  <c r="T424" i="76"/>
  <c r="T425" i="76"/>
  <c r="T426" i="76"/>
  <c r="T427" i="76"/>
  <c r="T428" i="76"/>
  <c r="T429" i="76"/>
  <c r="T430" i="76"/>
  <c r="T431" i="76"/>
  <c r="T432" i="76"/>
  <c r="T433" i="76"/>
  <c r="T434" i="76"/>
  <c r="T435" i="76"/>
  <c r="T436" i="76"/>
  <c r="T437" i="76"/>
  <c r="T438" i="76"/>
  <c r="T439" i="76"/>
  <c r="T440" i="76"/>
  <c r="T441" i="76"/>
  <c r="T442" i="76"/>
  <c r="T443" i="76"/>
  <c r="T444" i="76"/>
  <c r="T445" i="76"/>
  <c r="T446" i="76"/>
  <c r="T447" i="76"/>
  <c r="T448" i="76"/>
  <c r="T449" i="76"/>
  <c r="T450" i="76"/>
  <c r="T451" i="76"/>
  <c r="T452" i="76"/>
  <c r="T453" i="76"/>
  <c r="T454" i="76"/>
  <c r="T455" i="76"/>
  <c r="T456" i="76"/>
  <c r="T457" i="76"/>
  <c r="T458" i="76"/>
  <c r="T459" i="76"/>
  <c r="T460" i="76"/>
  <c r="T461" i="76"/>
  <c r="T462" i="76"/>
  <c r="T463" i="76"/>
  <c r="T464" i="76"/>
  <c r="T465" i="76"/>
  <c r="T466" i="76"/>
  <c r="T467" i="76"/>
  <c r="T468" i="76"/>
  <c r="T469" i="76"/>
  <c r="T470" i="76"/>
  <c r="T471" i="76"/>
  <c r="T472" i="76"/>
  <c r="T473" i="76"/>
  <c r="T474" i="76"/>
  <c r="T475" i="76"/>
  <c r="T476" i="76"/>
  <c r="T477" i="76"/>
  <c r="T478" i="76"/>
  <c r="T479" i="76"/>
  <c r="T480" i="76"/>
  <c r="T481" i="76"/>
  <c r="T482" i="76"/>
  <c r="T483" i="76"/>
  <c r="T484" i="76"/>
  <c r="T485" i="76"/>
  <c r="T486" i="76"/>
  <c r="T487" i="76"/>
  <c r="T488" i="76"/>
  <c r="T489" i="76"/>
  <c r="T490" i="76"/>
  <c r="T491" i="76"/>
  <c r="T492" i="76"/>
  <c r="T493" i="76"/>
  <c r="T494" i="76"/>
  <c r="T495" i="76"/>
  <c r="T496" i="76"/>
  <c r="T497" i="76"/>
  <c r="T498" i="76"/>
  <c r="T499" i="76"/>
  <c r="T500" i="76"/>
  <c r="T501" i="76"/>
  <c r="T502" i="76"/>
  <c r="T503" i="76"/>
  <c r="T504" i="76"/>
  <c r="T505" i="76"/>
  <c r="T506" i="76"/>
  <c r="T507" i="76"/>
  <c r="T508" i="76"/>
  <c r="T509" i="76"/>
  <c r="T510" i="76"/>
  <c r="T511" i="76"/>
  <c r="T512" i="76"/>
  <c r="T513" i="76"/>
  <c r="T514" i="76"/>
  <c r="T515" i="76"/>
  <c r="T516" i="76"/>
  <c r="T517" i="76"/>
  <c r="T518" i="76"/>
  <c r="T519" i="76"/>
  <c r="T520" i="76"/>
  <c r="T521" i="76"/>
  <c r="T522" i="76"/>
  <c r="T523" i="76"/>
  <c r="T524" i="76"/>
  <c r="T525" i="76"/>
  <c r="T526" i="76"/>
  <c r="T527" i="76"/>
  <c r="T528" i="76"/>
  <c r="T529" i="76"/>
  <c r="T530" i="76"/>
  <c r="T531" i="76"/>
  <c r="T532" i="76"/>
  <c r="T533" i="76"/>
  <c r="T534" i="76"/>
  <c r="T535" i="76"/>
  <c r="T536" i="76"/>
  <c r="T537" i="76"/>
  <c r="T538" i="76"/>
  <c r="T539" i="76"/>
  <c r="T540" i="76"/>
  <c r="T541" i="76"/>
  <c r="T542" i="76"/>
  <c r="T543" i="76"/>
  <c r="T544" i="76"/>
  <c r="T545" i="76"/>
  <c r="T546" i="76"/>
  <c r="T547" i="76"/>
  <c r="T548" i="76"/>
  <c r="T549" i="76"/>
  <c r="T550" i="76"/>
  <c r="T551" i="76"/>
  <c r="T552" i="76"/>
  <c r="T553" i="76"/>
  <c r="T554" i="76"/>
  <c r="T555" i="76"/>
  <c r="T556" i="76"/>
  <c r="T557" i="76"/>
  <c r="T558" i="76"/>
  <c r="T559" i="76"/>
  <c r="T560" i="76"/>
  <c r="T561" i="76"/>
  <c r="T562" i="76"/>
  <c r="T563" i="76"/>
  <c r="T564" i="76"/>
  <c r="T565" i="76"/>
  <c r="T566" i="76"/>
  <c r="T567" i="76"/>
  <c r="T568" i="76"/>
  <c r="T569" i="76"/>
  <c r="T570" i="76"/>
  <c r="T571" i="76"/>
  <c r="T572" i="76"/>
  <c r="T573" i="76"/>
  <c r="T574" i="76"/>
  <c r="T575" i="76"/>
  <c r="T576" i="76"/>
  <c r="T577" i="76"/>
  <c r="T578" i="76"/>
  <c r="T579" i="76"/>
  <c r="T580" i="76"/>
  <c r="T581" i="76"/>
  <c r="T582" i="76"/>
  <c r="T583" i="76"/>
  <c r="T584" i="76"/>
  <c r="T585" i="76"/>
  <c r="T586" i="76"/>
  <c r="T587" i="76"/>
  <c r="T588" i="76"/>
  <c r="T589" i="76"/>
  <c r="T590" i="76"/>
  <c r="T591" i="76"/>
  <c r="T592" i="76"/>
  <c r="T593" i="76"/>
  <c r="T594" i="76"/>
  <c r="T595" i="76"/>
  <c r="T596" i="76"/>
  <c r="T597" i="76"/>
  <c r="T598" i="76"/>
  <c r="T599" i="76"/>
  <c r="T600" i="76"/>
  <c r="T601" i="76"/>
  <c r="T602" i="76"/>
  <c r="T603" i="76"/>
  <c r="T604" i="76"/>
  <c r="T605" i="76"/>
  <c r="T606" i="76"/>
  <c r="T607" i="76"/>
  <c r="T608" i="76"/>
  <c r="T609" i="76"/>
  <c r="T610" i="76"/>
  <c r="T611" i="76"/>
  <c r="T612" i="76"/>
  <c r="T613" i="76"/>
  <c r="T614" i="76"/>
  <c r="T615" i="76"/>
  <c r="T616" i="76"/>
  <c r="T617" i="76"/>
  <c r="T618" i="76"/>
  <c r="T619" i="76"/>
  <c r="T620" i="76"/>
  <c r="T621" i="76"/>
  <c r="T622" i="76"/>
  <c r="T623" i="76"/>
  <c r="T624" i="76"/>
  <c r="T625" i="76"/>
  <c r="T626" i="76"/>
  <c r="T627" i="76"/>
  <c r="T628" i="76"/>
  <c r="T629" i="76"/>
  <c r="T630" i="76"/>
  <c r="T631" i="76"/>
  <c r="T632" i="76"/>
  <c r="T633" i="76"/>
  <c r="T634" i="76"/>
  <c r="T635" i="76"/>
  <c r="T636" i="76"/>
  <c r="T637" i="76"/>
  <c r="T638" i="76"/>
  <c r="T639" i="76"/>
  <c r="T640" i="76"/>
  <c r="T641" i="76"/>
  <c r="T642" i="76"/>
  <c r="T643" i="76"/>
  <c r="T644" i="76"/>
  <c r="T645" i="76"/>
  <c r="T646" i="76"/>
  <c r="T647" i="76"/>
  <c r="T648" i="76"/>
  <c r="T649" i="76"/>
  <c r="T650" i="76"/>
  <c r="T651" i="76"/>
  <c r="T652" i="76"/>
  <c r="T653" i="76"/>
  <c r="T654" i="76"/>
  <c r="T655" i="76"/>
  <c r="T656" i="76"/>
  <c r="T657" i="76"/>
  <c r="T658" i="76"/>
  <c r="T659" i="76"/>
  <c r="T660" i="76"/>
  <c r="T661" i="76"/>
  <c r="T662" i="76"/>
  <c r="T663" i="76"/>
  <c r="T664" i="76"/>
  <c r="T665" i="76"/>
  <c r="T666" i="76"/>
  <c r="T667" i="76"/>
  <c r="T668" i="76"/>
  <c r="T669" i="76"/>
  <c r="T670" i="76"/>
  <c r="T671" i="76"/>
  <c r="T672" i="76"/>
  <c r="T673" i="76"/>
  <c r="T674" i="76"/>
  <c r="T675" i="76"/>
  <c r="T676" i="76"/>
  <c r="T677" i="76"/>
  <c r="T678" i="76"/>
  <c r="T679" i="76"/>
  <c r="T680" i="76"/>
  <c r="T681" i="76"/>
  <c r="T682" i="76"/>
  <c r="T683" i="76"/>
  <c r="T684" i="76"/>
  <c r="T685" i="76"/>
  <c r="T686" i="76"/>
  <c r="T687" i="76"/>
  <c r="T688" i="76"/>
  <c r="T689" i="76"/>
  <c r="T690" i="76"/>
  <c r="T691" i="76"/>
  <c r="T692" i="76"/>
  <c r="T693" i="76"/>
  <c r="T694" i="76"/>
  <c r="T695" i="76"/>
  <c r="T696" i="76"/>
  <c r="T697" i="76"/>
  <c r="T698" i="76"/>
  <c r="T699" i="76"/>
  <c r="T700" i="76"/>
  <c r="T701" i="76"/>
  <c r="T702" i="76"/>
  <c r="T703" i="76"/>
  <c r="T704" i="76"/>
  <c r="T705" i="76"/>
  <c r="T706" i="76"/>
  <c r="T707" i="76"/>
  <c r="T708" i="76"/>
  <c r="T709" i="76"/>
  <c r="T710" i="76"/>
  <c r="T711" i="76"/>
  <c r="T712" i="76"/>
  <c r="T713" i="76"/>
  <c r="T714" i="76"/>
  <c r="T715" i="76"/>
  <c r="T716" i="76"/>
  <c r="T717" i="76"/>
  <c r="T718" i="76"/>
  <c r="T719" i="76"/>
  <c r="T720" i="76"/>
  <c r="T721" i="76"/>
  <c r="T722" i="76"/>
  <c r="T723" i="76"/>
  <c r="T724" i="76"/>
  <c r="T725" i="76"/>
  <c r="T726" i="76"/>
  <c r="T727" i="76"/>
  <c r="T728" i="76"/>
  <c r="T729" i="76"/>
  <c r="T730" i="76"/>
  <c r="T731" i="76"/>
  <c r="T732" i="76"/>
  <c r="T733" i="76"/>
  <c r="T734" i="76"/>
  <c r="T735" i="76"/>
  <c r="T736" i="76"/>
  <c r="T737" i="76"/>
  <c r="T738" i="76"/>
  <c r="T739" i="76"/>
  <c r="T740" i="76"/>
  <c r="T741" i="76"/>
  <c r="T742" i="76"/>
  <c r="T743" i="76"/>
  <c r="T744" i="76"/>
  <c r="T745" i="76"/>
  <c r="T746" i="76"/>
  <c r="T747" i="76"/>
  <c r="T748" i="76"/>
  <c r="T749" i="76"/>
  <c r="T750" i="76"/>
  <c r="T751" i="76"/>
  <c r="T752" i="76"/>
  <c r="T753" i="76"/>
  <c r="T754" i="76"/>
  <c r="T755" i="76"/>
  <c r="T756" i="76"/>
  <c r="T757" i="76"/>
  <c r="T758" i="76"/>
  <c r="T759" i="76"/>
  <c r="T760" i="76"/>
  <c r="T761" i="76"/>
  <c r="T762" i="76"/>
  <c r="T763" i="76"/>
  <c r="T764" i="76"/>
  <c r="T765" i="76"/>
  <c r="T766" i="76"/>
  <c r="T767" i="76"/>
  <c r="T768" i="76"/>
  <c r="T769" i="76"/>
  <c r="T770" i="76"/>
  <c r="T771" i="76"/>
  <c r="T772" i="76"/>
  <c r="T773" i="76"/>
  <c r="T774" i="76"/>
  <c r="T775" i="76"/>
  <c r="T776" i="76"/>
  <c r="T777" i="76"/>
  <c r="T778" i="76"/>
  <c r="T779" i="76"/>
  <c r="T780" i="76"/>
  <c r="T781" i="76"/>
  <c r="T782" i="76"/>
  <c r="T783" i="76"/>
  <c r="T784" i="76"/>
  <c r="T785" i="76"/>
  <c r="T786" i="76"/>
  <c r="T787" i="76"/>
  <c r="T788" i="76"/>
  <c r="T789" i="76"/>
  <c r="T790" i="76"/>
  <c r="T791" i="76"/>
  <c r="T792" i="76"/>
  <c r="T793" i="76"/>
  <c r="T794" i="76"/>
  <c r="T795" i="76"/>
  <c r="T796" i="76"/>
  <c r="T797" i="76"/>
  <c r="T798" i="76"/>
  <c r="T799" i="76"/>
  <c r="T800" i="76"/>
  <c r="T801" i="76"/>
  <c r="T8" i="76"/>
  <c r="A9" i="76"/>
  <c r="B9" i="76"/>
  <c r="D9" i="76"/>
  <c r="G9" i="76"/>
  <c r="H9" i="76"/>
  <c r="J9" i="76"/>
  <c r="E9" i="76" s="1"/>
  <c r="K9" i="76"/>
  <c r="P9" i="76"/>
  <c r="R9" i="76"/>
  <c r="U9" i="76"/>
  <c r="V9" i="76"/>
  <c r="AE9" i="76"/>
  <c r="AJ9" i="76"/>
  <c r="AK9" i="76"/>
  <c r="AL9" i="76"/>
  <c r="AM9" i="76"/>
  <c r="AN9" i="76"/>
  <c r="AO9" i="76"/>
  <c r="AP9" i="76"/>
  <c r="AQ9" i="76"/>
  <c r="AR9" i="76"/>
  <c r="AS9" i="76"/>
  <c r="AT9" i="76"/>
  <c r="AU9" i="76"/>
  <c r="AV9" i="76"/>
  <c r="AW9" i="76"/>
  <c r="AX9" i="76"/>
  <c r="AY9" i="76"/>
  <c r="AZ9" i="76"/>
  <c r="BA9" i="76"/>
  <c r="BB9" i="76"/>
  <c r="BC9" i="76"/>
  <c r="BD9" i="76"/>
  <c r="BE9" i="76"/>
  <c r="BF9" i="76"/>
  <c r="BG9" i="76"/>
  <c r="BH9" i="76"/>
  <c r="BI9" i="76"/>
  <c r="BJ9" i="76"/>
  <c r="BK9" i="76"/>
  <c r="BM9" i="76"/>
  <c r="A10" i="76"/>
  <c r="B10" i="76"/>
  <c r="D10" i="76"/>
  <c r="G10" i="76"/>
  <c r="H10" i="76"/>
  <c r="J10" i="76"/>
  <c r="E10" i="76" s="1"/>
  <c r="K10" i="76"/>
  <c r="P10" i="76"/>
  <c r="R10" i="76"/>
  <c r="U10" i="76"/>
  <c r="V10" i="76"/>
  <c r="AE10" i="76"/>
  <c r="AJ10" i="76"/>
  <c r="AK10" i="76"/>
  <c r="AL10" i="76"/>
  <c r="AM10" i="76"/>
  <c r="AN10" i="76"/>
  <c r="AO10" i="76"/>
  <c r="AP10" i="76"/>
  <c r="AQ10" i="76"/>
  <c r="AR10" i="76"/>
  <c r="AS10" i="76"/>
  <c r="AT10" i="76"/>
  <c r="AU10" i="76"/>
  <c r="AV10" i="76"/>
  <c r="AW10" i="76"/>
  <c r="AX10" i="76"/>
  <c r="AY10" i="76"/>
  <c r="AZ10" i="76"/>
  <c r="BA10" i="76"/>
  <c r="BB10" i="76"/>
  <c r="BC10" i="76"/>
  <c r="BD10" i="76"/>
  <c r="BE10" i="76"/>
  <c r="BF10" i="76"/>
  <c r="BG10" i="76"/>
  <c r="BH10" i="76"/>
  <c r="BI10" i="76"/>
  <c r="BJ10" i="76"/>
  <c r="BK10" i="76"/>
  <c r="BM10" i="76"/>
  <c r="A11" i="76"/>
  <c r="B11" i="76"/>
  <c r="D11" i="76"/>
  <c r="G11" i="76"/>
  <c r="H11" i="76"/>
  <c r="J11" i="76"/>
  <c r="E11" i="76" s="1"/>
  <c r="K11" i="76"/>
  <c r="R11" i="76"/>
  <c r="U11" i="76"/>
  <c r="V11" i="76"/>
  <c r="AE11" i="76"/>
  <c r="AJ11" i="76"/>
  <c r="AK11" i="76"/>
  <c r="AL11" i="76"/>
  <c r="AM11" i="76"/>
  <c r="AN11" i="76"/>
  <c r="AO11" i="76"/>
  <c r="AP11" i="76"/>
  <c r="AQ11" i="76"/>
  <c r="AR11" i="76"/>
  <c r="AS11" i="76"/>
  <c r="AT11" i="76"/>
  <c r="AU11" i="76"/>
  <c r="AV11" i="76"/>
  <c r="AW11" i="76"/>
  <c r="AX11" i="76"/>
  <c r="AY11" i="76"/>
  <c r="AZ11" i="76"/>
  <c r="BA11" i="76"/>
  <c r="BB11" i="76"/>
  <c r="BC11" i="76"/>
  <c r="BD11" i="76"/>
  <c r="BE11" i="76"/>
  <c r="BF11" i="76"/>
  <c r="BG11" i="76"/>
  <c r="BH11" i="76"/>
  <c r="BI11" i="76"/>
  <c r="BJ11" i="76"/>
  <c r="BK11" i="76"/>
  <c r="BM11" i="76"/>
  <c r="A12" i="76"/>
  <c r="B12" i="76"/>
  <c r="D12" i="76"/>
  <c r="G12" i="76"/>
  <c r="H12" i="76"/>
  <c r="J12" i="76"/>
  <c r="F12" i="76" s="1"/>
  <c r="K12" i="76"/>
  <c r="P12" i="76"/>
  <c r="R12" i="76"/>
  <c r="U12" i="76"/>
  <c r="V12" i="76"/>
  <c r="AE12" i="76"/>
  <c r="AJ12" i="76"/>
  <c r="AK12" i="76"/>
  <c r="AL12" i="76"/>
  <c r="AM12" i="76"/>
  <c r="AN12" i="76"/>
  <c r="AO12" i="76"/>
  <c r="AP12" i="76"/>
  <c r="AQ12" i="76"/>
  <c r="AR12" i="76"/>
  <c r="AS12" i="76"/>
  <c r="AT12" i="76"/>
  <c r="AU12" i="76"/>
  <c r="AV12" i="76"/>
  <c r="AW12" i="76"/>
  <c r="AX12" i="76"/>
  <c r="AY12" i="76"/>
  <c r="AZ12" i="76"/>
  <c r="BA12" i="76"/>
  <c r="BB12" i="76"/>
  <c r="BC12" i="76"/>
  <c r="BD12" i="76"/>
  <c r="BE12" i="76"/>
  <c r="BF12" i="76"/>
  <c r="BG12" i="76"/>
  <c r="BH12" i="76"/>
  <c r="BI12" i="76"/>
  <c r="BJ12" i="76"/>
  <c r="BK12" i="76"/>
  <c r="BM12" i="76"/>
  <c r="A13" i="76"/>
  <c r="B13" i="76"/>
  <c r="D13" i="76"/>
  <c r="G13" i="76"/>
  <c r="H13" i="76"/>
  <c r="J13" i="76"/>
  <c r="E13" i="76" s="1"/>
  <c r="K13" i="76"/>
  <c r="P13" i="76"/>
  <c r="R13" i="76"/>
  <c r="U13" i="76"/>
  <c r="V13" i="76"/>
  <c r="AE13" i="76"/>
  <c r="AJ13" i="76"/>
  <c r="AK13" i="76"/>
  <c r="AL13" i="76"/>
  <c r="AM13" i="76"/>
  <c r="AN13" i="76"/>
  <c r="AO13" i="76"/>
  <c r="AP13" i="76"/>
  <c r="AQ13" i="76"/>
  <c r="AR13" i="76"/>
  <c r="AS13" i="76"/>
  <c r="AT13" i="76"/>
  <c r="AU13" i="76"/>
  <c r="AV13" i="76"/>
  <c r="AW13" i="76"/>
  <c r="AX13" i="76"/>
  <c r="AY13" i="76"/>
  <c r="AZ13" i="76"/>
  <c r="BA13" i="76"/>
  <c r="BB13" i="76"/>
  <c r="BC13" i="76"/>
  <c r="BD13" i="76"/>
  <c r="BE13" i="76"/>
  <c r="BF13" i="76"/>
  <c r="BG13" i="76"/>
  <c r="BH13" i="76"/>
  <c r="BI13" i="76"/>
  <c r="BJ13" i="76"/>
  <c r="BK13" i="76"/>
  <c r="BM13" i="76"/>
  <c r="A14" i="76"/>
  <c r="B14" i="76"/>
  <c r="D14" i="76"/>
  <c r="G14" i="76"/>
  <c r="H14" i="76"/>
  <c r="J14" i="76"/>
  <c r="E14" i="76" s="1"/>
  <c r="K14" i="76"/>
  <c r="P14" i="76"/>
  <c r="R14" i="76"/>
  <c r="U14" i="76"/>
  <c r="V14" i="76"/>
  <c r="AE14" i="76"/>
  <c r="AJ14" i="76"/>
  <c r="AK14" i="76"/>
  <c r="AL14" i="76"/>
  <c r="AM14" i="76"/>
  <c r="AN14" i="76"/>
  <c r="AO14" i="76"/>
  <c r="AP14" i="76"/>
  <c r="AQ14" i="76"/>
  <c r="AR14" i="76"/>
  <c r="AS14" i="76"/>
  <c r="AT14" i="76"/>
  <c r="AU14" i="76"/>
  <c r="AV14" i="76"/>
  <c r="AW14" i="76"/>
  <c r="AX14" i="76"/>
  <c r="AY14" i="76"/>
  <c r="AZ14" i="76"/>
  <c r="BA14" i="76"/>
  <c r="BB14" i="76"/>
  <c r="BC14" i="76"/>
  <c r="BD14" i="76"/>
  <c r="BE14" i="76"/>
  <c r="BF14" i="76"/>
  <c r="BG14" i="76"/>
  <c r="BH14" i="76"/>
  <c r="BI14" i="76"/>
  <c r="BJ14" i="76"/>
  <c r="BK14" i="76"/>
  <c r="BM14" i="76"/>
  <c r="A15" i="76"/>
  <c r="B15" i="76"/>
  <c r="D15" i="76"/>
  <c r="G15" i="76"/>
  <c r="H15" i="76"/>
  <c r="J15" i="76"/>
  <c r="F15" i="76" s="1"/>
  <c r="K15" i="76"/>
  <c r="P15" i="76"/>
  <c r="R15" i="76"/>
  <c r="U15" i="76"/>
  <c r="V15" i="76"/>
  <c r="AE15" i="76"/>
  <c r="AJ15" i="76"/>
  <c r="AK15" i="76"/>
  <c r="AL15" i="76"/>
  <c r="AM15" i="76"/>
  <c r="AN15" i="76"/>
  <c r="AO15" i="76"/>
  <c r="AP15" i="76"/>
  <c r="AQ15" i="76"/>
  <c r="AR15" i="76"/>
  <c r="AS15" i="76"/>
  <c r="AT15" i="76"/>
  <c r="AU15" i="76"/>
  <c r="AV15" i="76"/>
  <c r="AW15" i="76"/>
  <c r="AX15" i="76"/>
  <c r="AY15" i="76"/>
  <c r="AZ15" i="76"/>
  <c r="BA15" i="76"/>
  <c r="BB15" i="76"/>
  <c r="BC15" i="76"/>
  <c r="BD15" i="76"/>
  <c r="BE15" i="76"/>
  <c r="BF15" i="76"/>
  <c r="BG15" i="76"/>
  <c r="BH15" i="76"/>
  <c r="BI15" i="76"/>
  <c r="BJ15" i="76"/>
  <c r="BK15" i="76"/>
  <c r="BM15" i="76"/>
  <c r="A16" i="76"/>
  <c r="B16" i="76"/>
  <c r="D16" i="76"/>
  <c r="G16" i="76"/>
  <c r="H16" i="76"/>
  <c r="J16" i="76"/>
  <c r="F16" i="76" s="1"/>
  <c r="K16" i="76"/>
  <c r="P16" i="76"/>
  <c r="R16" i="76"/>
  <c r="U16" i="76"/>
  <c r="V16" i="76"/>
  <c r="AE16" i="76"/>
  <c r="AJ16" i="76"/>
  <c r="AK16" i="76"/>
  <c r="AL16" i="76"/>
  <c r="AM16" i="76"/>
  <c r="AN16" i="76"/>
  <c r="AO16" i="76"/>
  <c r="AP16" i="76"/>
  <c r="AQ16" i="76"/>
  <c r="AR16" i="76"/>
  <c r="AS16" i="76"/>
  <c r="AT16" i="76"/>
  <c r="AU16" i="76"/>
  <c r="AV16" i="76"/>
  <c r="AW16" i="76"/>
  <c r="AX16" i="76"/>
  <c r="AY16" i="76"/>
  <c r="AZ16" i="76"/>
  <c r="BA16" i="76"/>
  <c r="BB16" i="76"/>
  <c r="BC16" i="76"/>
  <c r="BD16" i="76"/>
  <c r="BE16" i="76"/>
  <c r="BF16" i="76"/>
  <c r="BG16" i="76"/>
  <c r="BH16" i="76"/>
  <c r="BI16" i="76"/>
  <c r="BJ16" i="76"/>
  <c r="BK16" i="76"/>
  <c r="BM16" i="76"/>
  <c r="A17" i="76"/>
  <c r="B17" i="76"/>
  <c r="D17" i="76"/>
  <c r="G17" i="76"/>
  <c r="H17" i="76"/>
  <c r="J17" i="76"/>
  <c r="F17" i="76" s="1"/>
  <c r="K17" i="76"/>
  <c r="P17" i="76"/>
  <c r="R17" i="76"/>
  <c r="U17" i="76"/>
  <c r="V17" i="76"/>
  <c r="AE17" i="76"/>
  <c r="AJ17" i="76"/>
  <c r="AK17" i="76"/>
  <c r="AL17" i="76"/>
  <c r="AM17" i="76"/>
  <c r="AN17" i="76"/>
  <c r="AO17" i="76"/>
  <c r="AP17" i="76"/>
  <c r="AQ17" i="76"/>
  <c r="AR17" i="76"/>
  <c r="AS17" i="76"/>
  <c r="AT17" i="76"/>
  <c r="AU17" i="76"/>
  <c r="AV17" i="76"/>
  <c r="AW17" i="76"/>
  <c r="AX17" i="76"/>
  <c r="AY17" i="76"/>
  <c r="AZ17" i="76"/>
  <c r="BA17" i="76"/>
  <c r="BB17" i="76"/>
  <c r="BC17" i="76"/>
  <c r="BD17" i="76"/>
  <c r="BE17" i="76"/>
  <c r="BF17" i="76"/>
  <c r="BG17" i="76"/>
  <c r="BH17" i="76"/>
  <c r="BI17" i="76"/>
  <c r="BJ17" i="76"/>
  <c r="BK17" i="76"/>
  <c r="BM17" i="76"/>
  <c r="A18" i="76"/>
  <c r="B18" i="76"/>
  <c r="D18" i="76"/>
  <c r="G18" i="76"/>
  <c r="H18" i="76"/>
  <c r="J18" i="76"/>
  <c r="F18" i="76" s="1"/>
  <c r="K18" i="76"/>
  <c r="P18" i="76"/>
  <c r="R18" i="76"/>
  <c r="U18" i="76"/>
  <c r="V18" i="76"/>
  <c r="AE18" i="76"/>
  <c r="AJ18" i="76"/>
  <c r="AK18" i="76"/>
  <c r="AL18" i="76"/>
  <c r="AM18" i="76"/>
  <c r="AN18" i="76"/>
  <c r="AO18" i="76"/>
  <c r="AP18" i="76"/>
  <c r="AQ18" i="76"/>
  <c r="AR18" i="76"/>
  <c r="AS18" i="76"/>
  <c r="AT18" i="76"/>
  <c r="AU18" i="76"/>
  <c r="AV18" i="76"/>
  <c r="AW18" i="76"/>
  <c r="AX18" i="76"/>
  <c r="AY18" i="76"/>
  <c r="AZ18" i="76"/>
  <c r="BA18" i="76"/>
  <c r="BB18" i="76"/>
  <c r="BC18" i="76"/>
  <c r="BD18" i="76"/>
  <c r="BE18" i="76"/>
  <c r="BF18" i="76"/>
  <c r="BG18" i="76"/>
  <c r="BH18" i="76"/>
  <c r="BI18" i="76"/>
  <c r="BJ18" i="76"/>
  <c r="BK18" i="76"/>
  <c r="BM18" i="76"/>
  <c r="A19" i="76"/>
  <c r="B19" i="76"/>
  <c r="D19" i="76"/>
  <c r="G19" i="76"/>
  <c r="H19" i="76"/>
  <c r="J19" i="76"/>
  <c r="E19" i="76" s="1"/>
  <c r="K19" i="76"/>
  <c r="P19" i="76"/>
  <c r="R19" i="76"/>
  <c r="U19" i="76"/>
  <c r="V19" i="76"/>
  <c r="AE19" i="76"/>
  <c r="AJ19" i="76"/>
  <c r="AK19" i="76"/>
  <c r="AL19" i="76"/>
  <c r="AM19" i="76"/>
  <c r="AN19" i="76"/>
  <c r="AO19" i="76"/>
  <c r="AP19" i="76"/>
  <c r="AQ19" i="76"/>
  <c r="AR19" i="76"/>
  <c r="AS19" i="76"/>
  <c r="AT19" i="76"/>
  <c r="AU19" i="76"/>
  <c r="AV19" i="76"/>
  <c r="AW19" i="76"/>
  <c r="AX19" i="76"/>
  <c r="AY19" i="76"/>
  <c r="AZ19" i="76"/>
  <c r="BA19" i="76"/>
  <c r="BB19" i="76"/>
  <c r="BC19" i="76"/>
  <c r="BD19" i="76"/>
  <c r="BE19" i="76"/>
  <c r="BF19" i="76"/>
  <c r="BG19" i="76"/>
  <c r="BH19" i="76"/>
  <c r="BI19" i="76"/>
  <c r="BJ19" i="76"/>
  <c r="BK19" i="76"/>
  <c r="BM19" i="76"/>
  <c r="A20" i="76"/>
  <c r="B20" i="76"/>
  <c r="D20" i="76"/>
  <c r="G20" i="76"/>
  <c r="H20" i="76"/>
  <c r="J20" i="76"/>
  <c r="E20" i="76" s="1"/>
  <c r="K20" i="76"/>
  <c r="P20" i="76"/>
  <c r="R20" i="76"/>
  <c r="U20" i="76"/>
  <c r="V20" i="76"/>
  <c r="AE20" i="76"/>
  <c r="AJ20" i="76"/>
  <c r="AK20" i="76"/>
  <c r="AL20" i="76"/>
  <c r="AM20" i="76"/>
  <c r="AN20" i="76"/>
  <c r="AO20" i="76"/>
  <c r="AP20" i="76"/>
  <c r="AQ20" i="76"/>
  <c r="AR20" i="76"/>
  <c r="AS20" i="76"/>
  <c r="AT20" i="76"/>
  <c r="AU20" i="76"/>
  <c r="AV20" i="76"/>
  <c r="AW20" i="76"/>
  <c r="AX20" i="76"/>
  <c r="AY20" i="76"/>
  <c r="AZ20" i="76"/>
  <c r="BA20" i="76"/>
  <c r="BB20" i="76"/>
  <c r="BC20" i="76"/>
  <c r="BD20" i="76"/>
  <c r="BE20" i="76"/>
  <c r="BF20" i="76"/>
  <c r="BG20" i="76"/>
  <c r="BH20" i="76"/>
  <c r="BI20" i="76"/>
  <c r="BJ20" i="76"/>
  <c r="BK20" i="76"/>
  <c r="BM20" i="76"/>
  <c r="A21" i="76"/>
  <c r="B21" i="76"/>
  <c r="D21" i="76"/>
  <c r="G21" i="76"/>
  <c r="H21" i="76"/>
  <c r="J21" i="76"/>
  <c r="K21" i="76"/>
  <c r="P21" i="76"/>
  <c r="R21" i="76"/>
  <c r="U21" i="76"/>
  <c r="V21" i="76"/>
  <c r="AE21" i="76"/>
  <c r="AJ21" i="76"/>
  <c r="AK21" i="76"/>
  <c r="AL21" i="76"/>
  <c r="AM21" i="76"/>
  <c r="AN21" i="76"/>
  <c r="AO21" i="76"/>
  <c r="AP21" i="76"/>
  <c r="AQ21" i="76"/>
  <c r="AR21" i="76"/>
  <c r="AS21" i="76"/>
  <c r="AT21" i="76"/>
  <c r="AU21" i="76"/>
  <c r="AV21" i="76"/>
  <c r="AW21" i="76"/>
  <c r="AX21" i="76"/>
  <c r="AY21" i="76"/>
  <c r="AZ21" i="76"/>
  <c r="BA21" i="76"/>
  <c r="BB21" i="76"/>
  <c r="BC21" i="76"/>
  <c r="BD21" i="76"/>
  <c r="BE21" i="76"/>
  <c r="BF21" i="76"/>
  <c r="BG21" i="76"/>
  <c r="BH21" i="76"/>
  <c r="BI21" i="76"/>
  <c r="BJ21" i="76"/>
  <c r="BK21" i="76"/>
  <c r="BM21" i="76"/>
  <c r="A22" i="76"/>
  <c r="B22" i="76"/>
  <c r="D22" i="76"/>
  <c r="G22" i="76"/>
  <c r="H22" i="76"/>
  <c r="J22" i="76"/>
  <c r="F22" i="76" s="1"/>
  <c r="K22" i="76"/>
  <c r="P22" i="76"/>
  <c r="R22" i="76"/>
  <c r="U22" i="76"/>
  <c r="V22" i="76"/>
  <c r="AE22" i="76"/>
  <c r="AJ22" i="76"/>
  <c r="AK22" i="76"/>
  <c r="AL22" i="76"/>
  <c r="AM22" i="76"/>
  <c r="AN22" i="76"/>
  <c r="AO22" i="76"/>
  <c r="AP22" i="76"/>
  <c r="AQ22" i="76"/>
  <c r="AR22" i="76"/>
  <c r="AS22" i="76"/>
  <c r="AT22" i="76"/>
  <c r="AU22" i="76"/>
  <c r="AV22" i="76"/>
  <c r="AW22" i="76"/>
  <c r="AX22" i="76"/>
  <c r="AY22" i="76"/>
  <c r="AZ22" i="76"/>
  <c r="BA22" i="76"/>
  <c r="BB22" i="76"/>
  <c r="BC22" i="76"/>
  <c r="BD22" i="76"/>
  <c r="BE22" i="76"/>
  <c r="BF22" i="76"/>
  <c r="BG22" i="76"/>
  <c r="BH22" i="76"/>
  <c r="BI22" i="76"/>
  <c r="BJ22" i="76"/>
  <c r="BK22" i="76"/>
  <c r="BM22" i="76"/>
  <c r="A23" i="76"/>
  <c r="B23" i="76"/>
  <c r="D23" i="76"/>
  <c r="G23" i="76"/>
  <c r="H23" i="76"/>
  <c r="J23" i="76"/>
  <c r="E23" i="76" s="1"/>
  <c r="K23" i="76"/>
  <c r="P23" i="76"/>
  <c r="R23" i="76"/>
  <c r="U23" i="76"/>
  <c r="V23" i="76"/>
  <c r="AE23" i="76"/>
  <c r="AJ23" i="76"/>
  <c r="AK23" i="76"/>
  <c r="AL23" i="76"/>
  <c r="AM23" i="76"/>
  <c r="AN23" i="76"/>
  <c r="AO23" i="76"/>
  <c r="AP23" i="76"/>
  <c r="AQ23" i="76"/>
  <c r="AR23" i="76"/>
  <c r="AS23" i="76"/>
  <c r="AT23" i="76"/>
  <c r="AU23" i="76"/>
  <c r="AV23" i="76"/>
  <c r="AW23" i="76"/>
  <c r="AX23" i="76"/>
  <c r="AY23" i="76"/>
  <c r="AZ23" i="76"/>
  <c r="BA23" i="76"/>
  <c r="BB23" i="76"/>
  <c r="BC23" i="76"/>
  <c r="BD23" i="76"/>
  <c r="BE23" i="76"/>
  <c r="BF23" i="76"/>
  <c r="BG23" i="76"/>
  <c r="BH23" i="76"/>
  <c r="BI23" i="76"/>
  <c r="BJ23" i="76"/>
  <c r="BK23" i="76"/>
  <c r="BM23" i="76"/>
  <c r="A24" i="76"/>
  <c r="B24" i="76"/>
  <c r="D24" i="76"/>
  <c r="G24" i="76"/>
  <c r="H24" i="76"/>
  <c r="J24" i="76"/>
  <c r="F24" i="76" s="1"/>
  <c r="K24" i="76"/>
  <c r="P24" i="76"/>
  <c r="R24" i="76"/>
  <c r="U24" i="76"/>
  <c r="V24" i="76"/>
  <c r="AE24" i="76"/>
  <c r="AJ24" i="76"/>
  <c r="AK24" i="76"/>
  <c r="AL24" i="76"/>
  <c r="AM24" i="76"/>
  <c r="AN24" i="76"/>
  <c r="AO24" i="76"/>
  <c r="AP24" i="76"/>
  <c r="AQ24" i="76"/>
  <c r="AR24" i="76"/>
  <c r="AS24" i="76"/>
  <c r="AT24" i="76"/>
  <c r="AU24" i="76"/>
  <c r="AV24" i="76"/>
  <c r="AW24" i="76"/>
  <c r="AX24" i="76"/>
  <c r="AY24" i="76"/>
  <c r="AZ24" i="76"/>
  <c r="BA24" i="76"/>
  <c r="BB24" i="76"/>
  <c r="BC24" i="76"/>
  <c r="BD24" i="76"/>
  <c r="BE24" i="76"/>
  <c r="BF24" i="76"/>
  <c r="BG24" i="76"/>
  <c r="BH24" i="76"/>
  <c r="BI24" i="76"/>
  <c r="BJ24" i="76"/>
  <c r="BK24" i="76"/>
  <c r="BM24" i="76"/>
  <c r="A25" i="76"/>
  <c r="B25" i="76"/>
  <c r="D25" i="76"/>
  <c r="G25" i="76"/>
  <c r="H25" i="76"/>
  <c r="J25" i="76"/>
  <c r="F25" i="76" s="1"/>
  <c r="K25" i="76"/>
  <c r="P25" i="76"/>
  <c r="R25" i="76"/>
  <c r="U25" i="76"/>
  <c r="V25" i="76"/>
  <c r="AE25" i="76"/>
  <c r="AJ25" i="76"/>
  <c r="AK25" i="76"/>
  <c r="AL25" i="76"/>
  <c r="AM25" i="76"/>
  <c r="AN25" i="76"/>
  <c r="AO25" i="76"/>
  <c r="AP25" i="76"/>
  <c r="AQ25" i="76"/>
  <c r="AR25" i="76"/>
  <c r="AS25" i="76"/>
  <c r="AT25" i="76"/>
  <c r="AU25" i="76"/>
  <c r="AV25" i="76"/>
  <c r="AW25" i="76"/>
  <c r="AX25" i="76"/>
  <c r="AY25" i="76"/>
  <c r="AZ25" i="76"/>
  <c r="BA25" i="76"/>
  <c r="BB25" i="76"/>
  <c r="BC25" i="76"/>
  <c r="BD25" i="76"/>
  <c r="BE25" i="76"/>
  <c r="BF25" i="76"/>
  <c r="BG25" i="76"/>
  <c r="BH25" i="76"/>
  <c r="BI25" i="76"/>
  <c r="BJ25" i="76"/>
  <c r="BK25" i="76"/>
  <c r="BM25" i="76"/>
  <c r="A26" i="76"/>
  <c r="B26" i="76"/>
  <c r="D26" i="76"/>
  <c r="G26" i="76"/>
  <c r="H26" i="76"/>
  <c r="J26" i="76"/>
  <c r="E26" i="76" s="1"/>
  <c r="K26" i="76"/>
  <c r="P26" i="76"/>
  <c r="R26" i="76"/>
  <c r="U26" i="76"/>
  <c r="V26" i="76"/>
  <c r="AE26" i="76"/>
  <c r="AJ26" i="76"/>
  <c r="AK26" i="76"/>
  <c r="AL26" i="76"/>
  <c r="AM26" i="76"/>
  <c r="AN26" i="76"/>
  <c r="AO26" i="76"/>
  <c r="AP26" i="76"/>
  <c r="AQ26" i="76"/>
  <c r="AR26" i="76"/>
  <c r="AS26" i="76"/>
  <c r="AT26" i="76"/>
  <c r="AU26" i="76"/>
  <c r="AV26" i="76"/>
  <c r="AW26" i="76"/>
  <c r="AX26" i="76"/>
  <c r="AY26" i="76"/>
  <c r="AZ26" i="76"/>
  <c r="BA26" i="76"/>
  <c r="BB26" i="76"/>
  <c r="BC26" i="76"/>
  <c r="BD26" i="76"/>
  <c r="BE26" i="76"/>
  <c r="BF26" i="76"/>
  <c r="BG26" i="76"/>
  <c r="BH26" i="76"/>
  <c r="BI26" i="76"/>
  <c r="BJ26" i="76"/>
  <c r="BK26" i="76"/>
  <c r="BM26" i="76"/>
  <c r="A27" i="76"/>
  <c r="B27" i="76"/>
  <c r="D27" i="76"/>
  <c r="G27" i="76"/>
  <c r="H27" i="76"/>
  <c r="J27" i="76"/>
  <c r="F27" i="76" s="1"/>
  <c r="K27" i="76"/>
  <c r="P27" i="76"/>
  <c r="R27" i="76"/>
  <c r="U27" i="76"/>
  <c r="V27" i="76"/>
  <c r="AE27" i="76"/>
  <c r="AJ27" i="76"/>
  <c r="AK27" i="76"/>
  <c r="AL27" i="76"/>
  <c r="AM27" i="76"/>
  <c r="AN27" i="76"/>
  <c r="AO27" i="76"/>
  <c r="AP27" i="76"/>
  <c r="AQ27" i="76"/>
  <c r="AR27" i="76"/>
  <c r="AS27" i="76"/>
  <c r="AT27" i="76"/>
  <c r="AU27" i="76"/>
  <c r="AV27" i="76"/>
  <c r="AW27" i="76"/>
  <c r="AX27" i="76"/>
  <c r="AY27" i="76"/>
  <c r="AZ27" i="76"/>
  <c r="BA27" i="76"/>
  <c r="BB27" i="76"/>
  <c r="BC27" i="76"/>
  <c r="BD27" i="76"/>
  <c r="BE27" i="76"/>
  <c r="BF27" i="76"/>
  <c r="BG27" i="76"/>
  <c r="BH27" i="76"/>
  <c r="BI27" i="76"/>
  <c r="BJ27" i="76"/>
  <c r="BK27" i="76"/>
  <c r="BM27" i="76"/>
  <c r="A28" i="76"/>
  <c r="B28" i="76"/>
  <c r="D28" i="76"/>
  <c r="G28" i="76"/>
  <c r="H28" i="76"/>
  <c r="J28" i="76"/>
  <c r="E28" i="76" s="1"/>
  <c r="K28" i="76"/>
  <c r="P28" i="76"/>
  <c r="R28" i="76"/>
  <c r="U28" i="76"/>
  <c r="V28" i="76"/>
  <c r="AE28" i="76"/>
  <c r="AJ28" i="76"/>
  <c r="AK28" i="76"/>
  <c r="AL28" i="76"/>
  <c r="AM28" i="76"/>
  <c r="AN28" i="76"/>
  <c r="AO28" i="76"/>
  <c r="AP28" i="76"/>
  <c r="AQ28" i="76"/>
  <c r="AR28" i="76"/>
  <c r="AS28" i="76"/>
  <c r="AT28" i="76"/>
  <c r="AU28" i="76"/>
  <c r="AV28" i="76"/>
  <c r="AW28" i="76"/>
  <c r="AX28" i="76"/>
  <c r="AY28" i="76"/>
  <c r="AZ28" i="76"/>
  <c r="BA28" i="76"/>
  <c r="BB28" i="76"/>
  <c r="BC28" i="76"/>
  <c r="BD28" i="76"/>
  <c r="BE28" i="76"/>
  <c r="BF28" i="76"/>
  <c r="BG28" i="76"/>
  <c r="BH28" i="76"/>
  <c r="BI28" i="76"/>
  <c r="BJ28" i="76"/>
  <c r="BK28" i="76"/>
  <c r="BM28" i="76"/>
  <c r="A29" i="76"/>
  <c r="B29" i="76"/>
  <c r="D29" i="76"/>
  <c r="G29" i="76"/>
  <c r="H29" i="76"/>
  <c r="J29" i="76"/>
  <c r="E29" i="76" s="1"/>
  <c r="K29" i="76"/>
  <c r="P29" i="76"/>
  <c r="R29" i="76"/>
  <c r="U29" i="76"/>
  <c r="V29" i="76"/>
  <c r="AE29" i="76"/>
  <c r="AJ29" i="76"/>
  <c r="AK29" i="76"/>
  <c r="AL29" i="76"/>
  <c r="AM29" i="76"/>
  <c r="AN29" i="76"/>
  <c r="AO29" i="76"/>
  <c r="AP29" i="76"/>
  <c r="AQ29" i="76"/>
  <c r="AR29" i="76"/>
  <c r="AS29" i="76"/>
  <c r="AT29" i="76"/>
  <c r="AU29" i="76"/>
  <c r="AV29" i="76"/>
  <c r="AW29" i="76"/>
  <c r="AX29" i="76"/>
  <c r="AY29" i="76"/>
  <c r="AZ29" i="76"/>
  <c r="BA29" i="76"/>
  <c r="BB29" i="76"/>
  <c r="BC29" i="76"/>
  <c r="BD29" i="76"/>
  <c r="BE29" i="76"/>
  <c r="BF29" i="76"/>
  <c r="BG29" i="76"/>
  <c r="BH29" i="76"/>
  <c r="BI29" i="76"/>
  <c r="BJ29" i="76"/>
  <c r="BK29" i="76"/>
  <c r="BM29" i="76"/>
  <c r="A30" i="76"/>
  <c r="B30" i="76"/>
  <c r="D30" i="76"/>
  <c r="G30" i="76"/>
  <c r="H30" i="76"/>
  <c r="J30" i="76"/>
  <c r="F30" i="76" s="1"/>
  <c r="K30" i="76"/>
  <c r="P30" i="76"/>
  <c r="R30" i="76"/>
  <c r="U30" i="76"/>
  <c r="V30" i="76"/>
  <c r="AE30" i="76"/>
  <c r="AJ30" i="76"/>
  <c r="AK30" i="76"/>
  <c r="AL30" i="76"/>
  <c r="AM30" i="76"/>
  <c r="AN30" i="76"/>
  <c r="AO30" i="76"/>
  <c r="AP30" i="76"/>
  <c r="AQ30" i="76"/>
  <c r="AR30" i="76"/>
  <c r="AS30" i="76"/>
  <c r="AT30" i="76"/>
  <c r="AU30" i="76"/>
  <c r="AV30" i="76"/>
  <c r="AW30" i="76"/>
  <c r="AX30" i="76"/>
  <c r="AY30" i="76"/>
  <c r="AZ30" i="76"/>
  <c r="BA30" i="76"/>
  <c r="BB30" i="76"/>
  <c r="BC30" i="76"/>
  <c r="BD30" i="76"/>
  <c r="BE30" i="76"/>
  <c r="BF30" i="76"/>
  <c r="BG30" i="76"/>
  <c r="BH30" i="76"/>
  <c r="BI30" i="76"/>
  <c r="BJ30" i="76"/>
  <c r="BK30" i="76"/>
  <c r="BM30" i="76"/>
  <c r="A31" i="76"/>
  <c r="B31" i="76"/>
  <c r="D31" i="76"/>
  <c r="G31" i="76"/>
  <c r="H31" i="76"/>
  <c r="J31" i="76"/>
  <c r="E31" i="76" s="1"/>
  <c r="K31" i="76"/>
  <c r="P31" i="76"/>
  <c r="R31" i="76"/>
  <c r="U31" i="76"/>
  <c r="V31" i="76"/>
  <c r="AE31" i="76"/>
  <c r="AJ31" i="76"/>
  <c r="AK31" i="76"/>
  <c r="AL31" i="76"/>
  <c r="AM31" i="76"/>
  <c r="AN31" i="76"/>
  <c r="AO31" i="76"/>
  <c r="AP31" i="76"/>
  <c r="AQ31" i="76"/>
  <c r="AR31" i="76"/>
  <c r="AS31" i="76"/>
  <c r="AT31" i="76"/>
  <c r="AU31" i="76"/>
  <c r="AV31" i="76"/>
  <c r="AW31" i="76"/>
  <c r="AX31" i="76"/>
  <c r="AY31" i="76"/>
  <c r="AZ31" i="76"/>
  <c r="BA31" i="76"/>
  <c r="BB31" i="76"/>
  <c r="BC31" i="76"/>
  <c r="BD31" i="76"/>
  <c r="BE31" i="76"/>
  <c r="BF31" i="76"/>
  <c r="BG31" i="76"/>
  <c r="BH31" i="76"/>
  <c r="BI31" i="76"/>
  <c r="BJ31" i="76"/>
  <c r="BK31" i="76"/>
  <c r="BM31" i="76"/>
  <c r="A32" i="76"/>
  <c r="B32" i="76"/>
  <c r="D32" i="76"/>
  <c r="G32" i="76"/>
  <c r="H32" i="76"/>
  <c r="J32" i="76"/>
  <c r="E32" i="76" s="1"/>
  <c r="K32" i="76"/>
  <c r="P32" i="76"/>
  <c r="R32" i="76"/>
  <c r="U32" i="76"/>
  <c r="V32" i="76"/>
  <c r="AE32" i="76"/>
  <c r="AJ32" i="76"/>
  <c r="AK32" i="76"/>
  <c r="AL32" i="76"/>
  <c r="AM32" i="76"/>
  <c r="AN32" i="76"/>
  <c r="AO32" i="76"/>
  <c r="AP32" i="76"/>
  <c r="AQ32" i="76"/>
  <c r="AR32" i="76"/>
  <c r="AS32" i="76"/>
  <c r="AT32" i="76"/>
  <c r="AU32" i="76"/>
  <c r="AV32" i="76"/>
  <c r="AW32" i="76"/>
  <c r="AX32" i="76"/>
  <c r="AY32" i="76"/>
  <c r="AZ32" i="76"/>
  <c r="BA32" i="76"/>
  <c r="BB32" i="76"/>
  <c r="BC32" i="76"/>
  <c r="BD32" i="76"/>
  <c r="BE32" i="76"/>
  <c r="BF32" i="76"/>
  <c r="BG32" i="76"/>
  <c r="BH32" i="76"/>
  <c r="BI32" i="76"/>
  <c r="BJ32" i="76"/>
  <c r="BK32" i="76"/>
  <c r="BM32" i="76"/>
  <c r="A33" i="76"/>
  <c r="B33" i="76"/>
  <c r="D33" i="76"/>
  <c r="G33" i="76"/>
  <c r="H33" i="76"/>
  <c r="J33" i="76"/>
  <c r="F33" i="76" s="1"/>
  <c r="K33" i="76"/>
  <c r="P33" i="76"/>
  <c r="R33" i="76"/>
  <c r="U33" i="76"/>
  <c r="V33" i="76"/>
  <c r="AE33" i="76"/>
  <c r="AJ33" i="76"/>
  <c r="AK33" i="76"/>
  <c r="AL33" i="76"/>
  <c r="AM33" i="76"/>
  <c r="AN33" i="76"/>
  <c r="AO33" i="76"/>
  <c r="AP33" i="76"/>
  <c r="AQ33" i="76"/>
  <c r="AR33" i="76"/>
  <c r="AS33" i="76"/>
  <c r="AT33" i="76"/>
  <c r="AU33" i="76"/>
  <c r="AV33" i="76"/>
  <c r="AW33" i="76"/>
  <c r="AX33" i="76"/>
  <c r="AY33" i="76"/>
  <c r="AZ33" i="76"/>
  <c r="BA33" i="76"/>
  <c r="BB33" i="76"/>
  <c r="BC33" i="76"/>
  <c r="BD33" i="76"/>
  <c r="BE33" i="76"/>
  <c r="BF33" i="76"/>
  <c r="BG33" i="76"/>
  <c r="BH33" i="76"/>
  <c r="BI33" i="76"/>
  <c r="BJ33" i="76"/>
  <c r="BK33" i="76"/>
  <c r="BM33" i="76"/>
  <c r="A34" i="76"/>
  <c r="B34" i="76"/>
  <c r="D34" i="76"/>
  <c r="G34" i="76"/>
  <c r="H34" i="76"/>
  <c r="J34" i="76"/>
  <c r="F34" i="76" s="1"/>
  <c r="K34" i="76"/>
  <c r="P34" i="76"/>
  <c r="R34" i="76"/>
  <c r="U34" i="76"/>
  <c r="V34" i="76"/>
  <c r="AE34" i="76"/>
  <c r="AJ34" i="76"/>
  <c r="AK34" i="76"/>
  <c r="AL34" i="76"/>
  <c r="AM34" i="76"/>
  <c r="AN34" i="76"/>
  <c r="AO34" i="76"/>
  <c r="AP34" i="76"/>
  <c r="AQ34" i="76"/>
  <c r="AR34" i="76"/>
  <c r="AS34" i="76"/>
  <c r="AT34" i="76"/>
  <c r="AU34" i="76"/>
  <c r="AV34" i="76"/>
  <c r="AW34" i="76"/>
  <c r="AX34" i="76"/>
  <c r="AY34" i="76"/>
  <c r="AZ34" i="76"/>
  <c r="BA34" i="76"/>
  <c r="BB34" i="76"/>
  <c r="BC34" i="76"/>
  <c r="BD34" i="76"/>
  <c r="BE34" i="76"/>
  <c r="BF34" i="76"/>
  <c r="BG34" i="76"/>
  <c r="BH34" i="76"/>
  <c r="BI34" i="76"/>
  <c r="BJ34" i="76"/>
  <c r="BK34" i="76"/>
  <c r="BM34" i="76"/>
  <c r="A35" i="76"/>
  <c r="B35" i="76"/>
  <c r="D35" i="76"/>
  <c r="G35" i="76"/>
  <c r="H35" i="76"/>
  <c r="J35" i="76"/>
  <c r="F35" i="76" s="1"/>
  <c r="K35" i="76"/>
  <c r="P35" i="76"/>
  <c r="R35" i="76"/>
  <c r="U35" i="76"/>
  <c r="V35" i="76"/>
  <c r="AE35" i="76"/>
  <c r="AJ35" i="76"/>
  <c r="AK35" i="76"/>
  <c r="AL35" i="76"/>
  <c r="AM35" i="76"/>
  <c r="AN35" i="76"/>
  <c r="AO35" i="76"/>
  <c r="AP35" i="76"/>
  <c r="AQ35" i="76"/>
  <c r="AR35" i="76"/>
  <c r="AS35" i="76"/>
  <c r="AT35" i="76"/>
  <c r="AU35" i="76"/>
  <c r="AV35" i="76"/>
  <c r="AW35" i="76"/>
  <c r="AX35" i="76"/>
  <c r="AY35" i="76"/>
  <c r="AZ35" i="76"/>
  <c r="BA35" i="76"/>
  <c r="BB35" i="76"/>
  <c r="BC35" i="76"/>
  <c r="BD35" i="76"/>
  <c r="BE35" i="76"/>
  <c r="BF35" i="76"/>
  <c r="BG35" i="76"/>
  <c r="BH35" i="76"/>
  <c r="BI35" i="76"/>
  <c r="BJ35" i="76"/>
  <c r="BK35" i="76"/>
  <c r="BM35" i="76"/>
  <c r="A36" i="76"/>
  <c r="B36" i="76"/>
  <c r="D36" i="76"/>
  <c r="G36" i="76"/>
  <c r="H36" i="76"/>
  <c r="J36" i="76"/>
  <c r="F36" i="76" s="1"/>
  <c r="K36" i="76"/>
  <c r="P36" i="76"/>
  <c r="R36" i="76"/>
  <c r="U36" i="76"/>
  <c r="V36" i="76"/>
  <c r="AE36" i="76"/>
  <c r="AJ36" i="76"/>
  <c r="AK36" i="76"/>
  <c r="AL36" i="76"/>
  <c r="AM36" i="76"/>
  <c r="AN36" i="76"/>
  <c r="AO36" i="76"/>
  <c r="AP36" i="76"/>
  <c r="AQ36" i="76"/>
  <c r="AR36" i="76"/>
  <c r="AS36" i="76"/>
  <c r="AT36" i="76"/>
  <c r="AU36" i="76"/>
  <c r="AV36" i="76"/>
  <c r="AW36" i="76"/>
  <c r="AX36" i="76"/>
  <c r="AY36" i="76"/>
  <c r="AZ36" i="76"/>
  <c r="BA36" i="76"/>
  <c r="BB36" i="76"/>
  <c r="BC36" i="76"/>
  <c r="BD36" i="76"/>
  <c r="BE36" i="76"/>
  <c r="BF36" i="76"/>
  <c r="BG36" i="76"/>
  <c r="BH36" i="76"/>
  <c r="BI36" i="76"/>
  <c r="BJ36" i="76"/>
  <c r="BK36" i="76"/>
  <c r="BM36" i="76"/>
  <c r="A37" i="76"/>
  <c r="B37" i="76"/>
  <c r="D37" i="76"/>
  <c r="G37" i="76"/>
  <c r="H37" i="76"/>
  <c r="J37" i="76"/>
  <c r="E37" i="76" s="1"/>
  <c r="K37" i="76"/>
  <c r="P37" i="76"/>
  <c r="R37" i="76"/>
  <c r="U37" i="76"/>
  <c r="V37" i="76"/>
  <c r="AE37" i="76"/>
  <c r="AJ37" i="76"/>
  <c r="AK37" i="76"/>
  <c r="AL37" i="76"/>
  <c r="AM37" i="76"/>
  <c r="AN37" i="76"/>
  <c r="AO37" i="76"/>
  <c r="AP37" i="76"/>
  <c r="AQ37" i="76"/>
  <c r="AR37" i="76"/>
  <c r="AS37" i="76"/>
  <c r="AT37" i="76"/>
  <c r="AU37" i="76"/>
  <c r="AV37" i="76"/>
  <c r="AW37" i="76"/>
  <c r="AX37" i="76"/>
  <c r="AY37" i="76"/>
  <c r="AZ37" i="76"/>
  <c r="BA37" i="76"/>
  <c r="BB37" i="76"/>
  <c r="BC37" i="76"/>
  <c r="BD37" i="76"/>
  <c r="BE37" i="76"/>
  <c r="BF37" i="76"/>
  <c r="BG37" i="76"/>
  <c r="BH37" i="76"/>
  <c r="BI37" i="76"/>
  <c r="BJ37" i="76"/>
  <c r="BK37" i="76"/>
  <c r="BM37" i="76"/>
  <c r="A38" i="76"/>
  <c r="B38" i="76"/>
  <c r="D38" i="76"/>
  <c r="G38" i="76"/>
  <c r="H38" i="76"/>
  <c r="J38" i="76"/>
  <c r="E38" i="76" s="1"/>
  <c r="K38" i="76"/>
  <c r="P38" i="76"/>
  <c r="R38" i="76"/>
  <c r="U38" i="76"/>
  <c r="V38" i="76"/>
  <c r="AE38" i="76"/>
  <c r="AJ38" i="76"/>
  <c r="AK38" i="76"/>
  <c r="AL38" i="76"/>
  <c r="AM38" i="76"/>
  <c r="AN38" i="76"/>
  <c r="AO38" i="76"/>
  <c r="AP38" i="76"/>
  <c r="AQ38" i="76"/>
  <c r="AR38" i="76"/>
  <c r="AS38" i="76"/>
  <c r="AT38" i="76"/>
  <c r="AU38" i="76"/>
  <c r="AV38" i="76"/>
  <c r="AW38" i="76"/>
  <c r="AX38" i="76"/>
  <c r="AY38" i="76"/>
  <c r="AZ38" i="76"/>
  <c r="BA38" i="76"/>
  <c r="BB38" i="76"/>
  <c r="BC38" i="76"/>
  <c r="BD38" i="76"/>
  <c r="BE38" i="76"/>
  <c r="BF38" i="76"/>
  <c r="BG38" i="76"/>
  <c r="BH38" i="76"/>
  <c r="BI38" i="76"/>
  <c r="BJ38" i="76"/>
  <c r="BK38" i="76"/>
  <c r="BM38" i="76"/>
  <c r="A39" i="76"/>
  <c r="B39" i="76"/>
  <c r="D39" i="76"/>
  <c r="G39" i="76"/>
  <c r="H39" i="76"/>
  <c r="J39" i="76"/>
  <c r="F39" i="76" s="1"/>
  <c r="K39" i="76"/>
  <c r="P39" i="76"/>
  <c r="R39" i="76"/>
  <c r="U39" i="76"/>
  <c r="V39" i="76"/>
  <c r="AE39" i="76"/>
  <c r="AJ39" i="76"/>
  <c r="AK39" i="76"/>
  <c r="AL39" i="76"/>
  <c r="AM39" i="76"/>
  <c r="AN39" i="76"/>
  <c r="AO39" i="76"/>
  <c r="AP39" i="76"/>
  <c r="AQ39" i="76"/>
  <c r="AR39" i="76"/>
  <c r="AS39" i="76"/>
  <c r="AT39" i="76"/>
  <c r="AU39" i="76"/>
  <c r="AV39" i="76"/>
  <c r="AW39" i="76"/>
  <c r="AX39" i="76"/>
  <c r="AY39" i="76"/>
  <c r="AZ39" i="76"/>
  <c r="BA39" i="76"/>
  <c r="BB39" i="76"/>
  <c r="BC39" i="76"/>
  <c r="BD39" i="76"/>
  <c r="BE39" i="76"/>
  <c r="BF39" i="76"/>
  <c r="BG39" i="76"/>
  <c r="BH39" i="76"/>
  <c r="BI39" i="76"/>
  <c r="BJ39" i="76"/>
  <c r="BK39" i="76"/>
  <c r="BM39" i="76"/>
  <c r="A40" i="76"/>
  <c r="B40" i="76"/>
  <c r="D40" i="76"/>
  <c r="G40" i="76"/>
  <c r="H40" i="76"/>
  <c r="J40" i="76"/>
  <c r="F40" i="76" s="1"/>
  <c r="K40" i="76"/>
  <c r="P40" i="76"/>
  <c r="R40" i="76"/>
  <c r="U40" i="76"/>
  <c r="V40" i="76"/>
  <c r="AE40" i="76"/>
  <c r="AJ40" i="76"/>
  <c r="AK40" i="76"/>
  <c r="AL40" i="76"/>
  <c r="AM40" i="76"/>
  <c r="AN40" i="76"/>
  <c r="AO40" i="76"/>
  <c r="AP40" i="76"/>
  <c r="AQ40" i="76"/>
  <c r="AR40" i="76"/>
  <c r="AS40" i="76"/>
  <c r="AT40" i="76"/>
  <c r="AU40" i="76"/>
  <c r="AV40" i="76"/>
  <c r="AW40" i="76"/>
  <c r="AX40" i="76"/>
  <c r="AY40" i="76"/>
  <c r="AZ40" i="76"/>
  <c r="BA40" i="76"/>
  <c r="BB40" i="76"/>
  <c r="BC40" i="76"/>
  <c r="BD40" i="76"/>
  <c r="BE40" i="76"/>
  <c r="BF40" i="76"/>
  <c r="BG40" i="76"/>
  <c r="BH40" i="76"/>
  <c r="BI40" i="76"/>
  <c r="BJ40" i="76"/>
  <c r="BK40" i="76"/>
  <c r="BM40" i="76"/>
  <c r="A41" i="76"/>
  <c r="B41" i="76"/>
  <c r="D41" i="76"/>
  <c r="G41" i="76"/>
  <c r="H41" i="76"/>
  <c r="J41" i="76"/>
  <c r="E41" i="76" s="1"/>
  <c r="K41" i="76"/>
  <c r="P41" i="76"/>
  <c r="R41" i="76"/>
  <c r="U41" i="76"/>
  <c r="V41" i="76"/>
  <c r="AE41" i="76"/>
  <c r="AJ41" i="76"/>
  <c r="AK41" i="76"/>
  <c r="AL41" i="76"/>
  <c r="AM41" i="76"/>
  <c r="AN41" i="76"/>
  <c r="AO41" i="76"/>
  <c r="AP41" i="76"/>
  <c r="AQ41" i="76"/>
  <c r="AR41" i="76"/>
  <c r="AS41" i="76"/>
  <c r="AT41" i="76"/>
  <c r="AU41" i="76"/>
  <c r="AV41" i="76"/>
  <c r="AW41" i="76"/>
  <c r="AX41" i="76"/>
  <c r="AY41" i="76"/>
  <c r="AZ41" i="76"/>
  <c r="BA41" i="76"/>
  <c r="BB41" i="76"/>
  <c r="BC41" i="76"/>
  <c r="BD41" i="76"/>
  <c r="BE41" i="76"/>
  <c r="BF41" i="76"/>
  <c r="BG41" i="76"/>
  <c r="BH41" i="76"/>
  <c r="BI41" i="76"/>
  <c r="BJ41" i="76"/>
  <c r="BK41" i="76"/>
  <c r="BM41" i="76"/>
  <c r="A42" i="76"/>
  <c r="B42" i="76"/>
  <c r="D42" i="76"/>
  <c r="G42" i="76"/>
  <c r="H42" i="76"/>
  <c r="J42" i="76"/>
  <c r="F42" i="76" s="1"/>
  <c r="K42" i="76"/>
  <c r="P42" i="76"/>
  <c r="R42" i="76"/>
  <c r="U42" i="76"/>
  <c r="V42" i="76"/>
  <c r="AE42" i="76"/>
  <c r="AJ42" i="76"/>
  <c r="AK42" i="76"/>
  <c r="AL42" i="76"/>
  <c r="AM42" i="76"/>
  <c r="AN42" i="76"/>
  <c r="AO42" i="76"/>
  <c r="AP42" i="76"/>
  <c r="AQ42" i="76"/>
  <c r="AR42" i="76"/>
  <c r="AS42" i="76"/>
  <c r="AT42" i="76"/>
  <c r="AU42" i="76"/>
  <c r="AV42" i="76"/>
  <c r="AW42" i="76"/>
  <c r="AX42" i="76"/>
  <c r="AY42" i="76"/>
  <c r="AZ42" i="76"/>
  <c r="BA42" i="76"/>
  <c r="BB42" i="76"/>
  <c r="BC42" i="76"/>
  <c r="BD42" i="76"/>
  <c r="BE42" i="76"/>
  <c r="BF42" i="76"/>
  <c r="BG42" i="76"/>
  <c r="BH42" i="76"/>
  <c r="BI42" i="76"/>
  <c r="BJ42" i="76"/>
  <c r="BK42" i="76"/>
  <c r="BM42" i="76"/>
  <c r="A43" i="76"/>
  <c r="B43" i="76"/>
  <c r="D43" i="76"/>
  <c r="G43" i="76"/>
  <c r="H43" i="76"/>
  <c r="J43" i="76"/>
  <c r="F43" i="76" s="1"/>
  <c r="K43" i="76"/>
  <c r="P43" i="76"/>
  <c r="R43" i="76"/>
  <c r="U43" i="76"/>
  <c r="V43" i="76"/>
  <c r="AE43" i="76"/>
  <c r="AJ43" i="76"/>
  <c r="AK43" i="76"/>
  <c r="AL43" i="76"/>
  <c r="AM43" i="76"/>
  <c r="AN43" i="76"/>
  <c r="AO43" i="76"/>
  <c r="AP43" i="76"/>
  <c r="AQ43" i="76"/>
  <c r="AR43" i="76"/>
  <c r="AS43" i="76"/>
  <c r="AT43" i="76"/>
  <c r="AU43" i="76"/>
  <c r="AV43" i="76"/>
  <c r="AW43" i="76"/>
  <c r="AX43" i="76"/>
  <c r="AY43" i="76"/>
  <c r="AZ43" i="76"/>
  <c r="BA43" i="76"/>
  <c r="BB43" i="76"/>
  <c r="BC43" i="76"/>
  <c r="BD43" i="76"/>
  <c r="BE43" i="76"/>
  <c r="BF43" i="76"/>
  <c r="BG43" i="76"/>
  <c r="BH43" i="76"/>
  <c r="BI43" i="76"/>
  <c r="BJ43" i="76"/>
  <c r="BK43" i="76"/>
  <c r="BM43" i="76"/>
  <c r="A44" i="76"/>
  <c r="B44" i="76"/>
  <c r="D44" i="76"/>
  <c r="G44" i="76"/>
  <c r="H44" i="76"/>
  <c r="J44" i="76"/>
  <c r="F44" i="76" s="1"/>
  <c r="K44" i="76"/>
  <c r="P44" i="76"/>
  <c r="R44" i="76"/>
  <c r="U44" i="76"/>
  <c r="V44" i="76"/>
  <c r="AE44" i="76"/>
  <c r="AJ44" i="76"/>
  <c r="AK44" i="76"/>
  <c r="AL44" i="76"/>
  <c r="AM44" i="76"/>
  <c r="AN44" i="76"/>
  <c r="AO44" i="76"/>
  <c r="AP44" i="76"/>
  <c r="AQ44" i="76"/>
  <c r="AR44" i="76"/>
  <c r="AS44" i="76"/>
  <c r="AT44" i="76"/>
  <c r="AU44" i="76"/>
  <c r="AV44" i="76"/>
  <c r="AW44" i="76"/>
  <c r="AX44" i="76"/>
  <c r="AY44" i="76"/>
  <c r="AZ44" i="76"/>
  <c r="BA44" i="76"/>
  <c r="BB44" i="76"/>
  <c r="BC44" i="76"/>
  <c r="BD44" i="76"/>
  <c r="BE44" i="76"/>
  <c r="BF44" i="76"/>
  <c r="BG44" i="76"/>
  <c r="BH44" i="76"/>
  <c r="BI44" i="76"/>
  <c r="BJ44" i="76"/>
  <c r="BK44" i="76"/>
  <c r="BM44" i="76"/>
  <c r="A45" i="76"/>
  <c r="B45" i="76"/>
  <c r="D45" i="76"/>
  <c r="G45" i="76"/>
  <c r="H45" i="76"/>
  <c r="J45" i="76"/>
  <c r="F45" i="76" s="1"/>
  <c r="K45" i="76"/>
  <c r="P45" i="76"/>
  <c r="R45" i="76"/>
  <c r="U45" i="76"/>
  <c r="V45" i="76"/>
  <c r="AE45" i="76"/>
  <c r="AJ45" i="76"/>
  <c r="AK45" i="76"/>
  <c r="AL45" i="76"/>
  <c r="AM45" i="76"/>
  <c r="AN45" i="76"/>
  <c r="AO45" i="76"/>
  <c r="AP45" i="76"/>
  <c r="AQ45" i="76"/>
  <c r="AR45" i="76"/>
  <c r="AS45" i="76"/>
  <c r="AT45" i="76"/>
  <c r="AU45" i="76"/>
  <c r="AV45" i="76"/>
  <c r="AW45" i="76"/>
  <c r="AX45" i="76"/>
  <c r="AY45" i="76"/>
  <c r="AZ45" i="76"/>
  <c r="BA45" i="76"/>
  <c r="BB45" i="76"/>
  <c r="BC45" i="76"/>
  <c r="BD45" i="76"/>
  <c r="BE45" i="76"/>
  <c r="BF45" i="76"/>
  <c r="BG45" i="76"/>
  <c r="BH45" i="76"/>
  <c r="BI45" i="76"/>
  <c r="BJ45" i="76"/>
  <c r="BK45" i="76"/>
  <c r="BM45" i="76"/>
  <c r="A46" i="76"/>
  <c r="B46" i="76"/>
  <c r="D46" i="76"/>
  <c r="G46" i="76"/>
  <c r="H46" i="76"/>
  <c r="J46" i="76"/>
  <c r="E46" i="76" s="1"/>
  <c r="K46" i="76"/>
  <c r="P46" i="76"/>
  <c r="R46" i="76"/>
  <c r="U46" i="76"/>
  <c r="V46" i="76"/>
  <c r="AE46" i="76"/>
  <c r="AJ46" i="76"/>
  <c r="AK46" i="76"/>
  <c r="AL46" i="76"/>
  <c r="AM46" i="76"/>
  <c r="AN46" i="76"/>
  <c r="AO46" i="76"/>
  <c r="AP46" i="76"/>
  <c r="AQ46" i="76"/>
  <c r="AR46" i="76"/>
  <c r="AS46" i="76"/>
  <c r="AT46" i="76"/>
  <c r="AU46" i="76"/>
  <c r="AV46" i="76"/>
  <c r="AW46" i="76"/>
  <c r="AX46" i="76"/>
  <c r="AY46" i="76"/>
  <c r="AZ46" i="76"/>
  <c r="BA46" i="76"/>
  <c r="BB46" i="76"/>
  <c r="BC46" i="76"/>
  <c r="BD46" i="76"/>
  <c r="BE46" i="76"/>
  <c r="BF46" i="76"/>
  <c r="BG46" i="76"/>
  <c r="BH46" i="76"/>
  <c r="BI46" i="76"/>
  <c r="BJ46" i="76"/>
  <c r="BK46" i="76"/>
  <c r="BM46" i="76"/>
  <c r="A47" i="76"/>
  <c r="B47" i="76"/>
  <c r="D47" i="76"/>
  <c r="G47" i="76"/>
  <c r="H47" i="76"/>
  <c r="J47" i="76"/>
  <c r="E47" i="76" s="1"/>
  <c r="K47" i="76"/>
  <c r="P47" i="76"/>
  <c r="R47" i="76"/>
  <c r="U47" i="76"/>
  <c r="V47" i="76"/>
  <c r="AE47" i="76"/>
  <c r="AJ47" i="76"/>
  <c r="AK47" i="76"/>
  <c r="AL47" i="76"/>
  <c r="AM47" i="76"/>
  <c r="AN47" i="76"/>
  <c r="AO47" i="76"/>
  <c r="AP47" i="76"/>
  <c r="AQ47" i="76"/>
  <c r="AR47" i="76"/>
  <c r="AS47" i="76"/>
  <c r="AT47" i="76"/>
  <c r="AU47" i="76"/>
  <c r="AV47" i="76"/>
  <c r="AW47" i="76"/>
  <c r="AX47" i="76"/>
  <c r="AY47" i="76"/>
  <c r="AZ47" i="76"/>
  <c r="BA47" i="76"/>
  <c r="BB47" i="76"/>
  <c r="BC47" i="76"/>
  <c r="BD47" i="76"/>
  <c r="BE47" i="76"/>
  <c r="BF47" i="76"/>
  <c r="BG47" i="76"/>
  <c r="BH47" i="76"/>
  <c r="BI47" i="76"/>
  <c r="BJ47" i="76"/>
  <c r="BK47" i="76"/>
  <c r="BM47" i="76"/>
  <c r="A48" i="76"/>
  <c r="B48" i="76"/>
  <c r="D48" i="76"/>
  <c r="G48" i="76"/>
  <c r="H48" i="76"/>
  <c r="J48" i="76"/>
  <c r="F48" i="76" s="1"/>
  <c r="K48" i="76"/>
  <c r="P48" i="76"/>
  <c r="R48" i="76"/>
  <c r="U48" i="76"/>
  <c r="V48" i="76"/>
  <c r="AE48" i="76"/>
  <c r="AJ48" i="76"/>
  <c r="AK48" i="76"/>
  <c r="AL48" i="76"/>
  <c r="AM48" i="76"/>
  <c r="AN48" i="76"/>
  <c r="AO48" i="76"/>
  <c r="AP48" i="76"/>
  <c r="AQ48" i="76"/>
  <c r="AR48" i="76"/>
  <c r="AS48" i="76"/>
  <c r="AT48" i="76"/>
  <c r="AU48" i="76"/>
  <c r="AV48" i="76"/>
  <c r="AW48" i="76"/>
  <c r="AX48" i="76"/>
  <c r="AY48" i="76"/>
  <c r="AZ48" i="76"/>
  <c r="BA48" i="76"/>
  <c r="BB48" i="76"/>
  <c r="BC48" i="76"/>
  <c r="BD48" i="76"/>
  <c r="BE48" i="76"/>
  <c r="BF48" i="76"/>
  <c r="BG48" i="76"/>
  <c r="BH48" i="76"/>
  <c r="BI48" i="76"/>
  <c r="BJ48" i="76"/>
  <c r="BK48" i="76"/>
  <c r="BM48" i="76"/>
  <c r="A49" i="76"/>
  <c r="B49" i="76"/>
  <c r="D49" i="76"/>
  <c r="G49" i="76"/>
  <c r="H49" i="76"/>
  <c r="J49" i="76"/>
  <c r="E49" i="76" s="1"/>
  <c r="K49" i="76"/>
  <c r="P49" i="76"/>
  <c r="R49" i="76"/>
  <c r="U49" i="76"/>
  <c r="V49" i="76"/>
  <c r="AE49" i="76"/>
  <c r="AJ49" i="76"/>
  <c r="AK49" i="76"/>
  <c r="AL49" i="76"/>
  <c r="AM49" i="76"/>
  <c r="AN49" i="76"/>
  <c r="AO49" i="76"/>
  <c r="AP49" i="76"/>
  <c r="AQ49" i="76"/>
  <c r="AR49" i="76"/>
  <c r="AS49" i="76"/>
  <c r="AT49" i="76"/>
  <c r="AU49" i="76"/>
  <c r="AV49" i="76"/>
  <c r="AW49" i="76"/>
  <c r="AX49" i="76"/>
  <c r="AY49" i="76"/>
  <c r="AZ49" i="76"/>
  <c r="BA49" i="76"/>
  <c r="BB49" i="76"/>
  <c r="BC49" i="76"/>
  <c r="BD49" i="76"/>
  <c r="BE49" i="76"/>
  <c r="BF49" i="76"/>
  <c r="BG49" i="76"/>
  <c r="BH49" i="76"/>
  <c r="BI49" i="76"/>
  <c r="BJ49" i="76"/>
  <c r="BK49" i="76"/>
  <c r="BM49" i="76"/>
  <c r="A50" i="76"/>
  <c r="B50" i="76"/>
  <c r="D50" i="76"/>
  <c r="G50" i="76"/>
  <c r="H50" i="76"/>
  <c r="J50" i="76"/>
  <c r="E50" i="76" s="1"/>
  <c r="K50" i="76"/>
  <c r="P50" i="76"/>
  <c r="R50" i="76"/>
  <c r="U50" i="76"/>
  <c r="V50" i="76"/>
  <c r="AE50" i="76"/>
  <c r="AJ50" i="76"/>
  <c r="AK50" i="76"/>
  <c r="AL50" i="76"/>
  <c r="AM50" i="76"/>
  <c r="AN50" i="76"/>
  <c r="AO50" i="76"/>
  <c r="AP50" i="76"/>
  <c r="AQ50" i="76"/>
  <c r="AR50" i="76"/>
  <c r="AS50" i="76"/>
  <c r="AT50" i="76"/>
  <c r="AU50" i="76"/>
  <c r="AV50" i="76"/>
  <c r="AW50" i="76"/>
  <c r="AX50" i="76"/>
  <c r="AY50" i="76"/>
  <c r="AZ50" i="76"/>
  <c r="BA50" i="76"/>
  <c r="BB50" i="76"/>
  <c r="BC50" i="76"/>
  <c r="BD50" i="76"/>
  <c r="BE50" i="76"/>
  <c r="BF50" i="76"/>
  <c r="BG50" i="76"/>
  <c r="BH50" i="76"/>
  <c r="BI50" i="76"/>
  <c r="BJ50" i="76"/>
  <c r="BK50" i="76"/>
  <c r="BM50" i="76"/>
  <c r="A51" i="76"/>
  <c r="B51" i="76"/>
  <c r="D51" i="76"/>
  <c r="G51" i="76"/>
  <c r="H51" i="76"/>
  <c r="J51" i="76"/>
  <c r="F51" i="76" s="1"/>
  <c r="K51" i="76"/>
  <c r="P51" i="76"/>
  <c r="R51" i="76"/>
  <c r="U51" i="76"/>
  <c r="V51" i="76"/>
  <c r="AE51" i="76"/>
  <c r="AJ51" i="76"/>
  <c r="AK51" i="76"/>
  <c r="AL51" i="76"/>
  <c r="AM51" i="76"/>
  <c r="AN51" i="76"/>
  <c r="AO51" i="76"/>
  <c r="AP51" i="76"/>
  <c r="AQ51" i="76"/>
  <c r="AR51" i="76"/>
  <c r="AS51" i="76"/>
  <c r="AT51" i="76"/>
  <c r="AU51" i="76"/>
  <c r="AV51" i="76"/>
  <c r="AW51" i="76"/>
  <c r="AX51" i="76"/>
  <c r="AY51" i="76"/>
  <c r="AZ51" i="76"/>
  <c r="BA51" i="76"/>
  <c r="BB51" i="76"/>
  <c r="BC51" i="76"/>
  <c r="BD51" i="76"/>
  <c r="BE51" i="76"/>
  <c r="BF51" i="76"/>
  <c r="BG51" i="76"/>
  <c r="BH51" i="76"/>
  <c r="BI51" i="76"/>
  <c r="BJ51" i="76"/>
  <c r="BK51" i="76"/>
  <c r="BM51" i="76"/>
  <c r="A52" i="76"/>
  <c r="B52" i="76"/>
  <c r="D52" i="76"/>
  <c r="G52" i="76"/>
  <c r="H52" i="76"/>
  <c r="J52" i="76"/>
  <c r="E52" i="76" s="1"/>
  <c r="K52" i="76"/>
  <c r="P52" i="76"/>
  <c r="R52" i="76"/>
  <c r="U52" i="76"/>
  <c r="V52" i="76"/>
  <c r="AE52" i="76"/>
  <c r="AJ52" i="76"/>
  <c r="AK52" i="76"/>
  <c r="AL52" i="76"/>
  <c r="AM52" i="76"/>
  <c r="AN52" i="76"/>
  <c r="AO52" i="76"/>
  <c r="AP52" i="76"/>
  <c r="AQ52" i="76"/>
  <c r="AR52" i="76"/>
  <c r="AS52" i="76"/>
  <c r="AT52" i="76"/>
  <c r="AU52" i="76"/>
  <c r="AV52" i="76"/>
  <c r="AW52" i="76"/>
  <c r="AX52" i="76"/>
  <c r="AY52" i="76"/>
  <c r="AZ52" i="76"/>
  <c r="BA52" i="76"/>
  <c r="BB52" i="76"/>
  <c r="BC52" i="76"/>
  <c r="BD52" i="76"/>
  <c r="BE52" i="76"/>
  <c r="BF52" i="76"/>
  <c r="BG52" i="76"/>
  <c r="BH52" i="76"/>
  <c r="BI52" i="76"/>
  <c r="BJ52" i="76"/>
  <c r="BK52" i="76"/>
  <c r="BM52" i="76"/>
  <c r="A53" i="76"/>
  <c r="B53" i="76"/>
  <c r="D53" i="76"/>
  <c r="G53" i="76"/>
  <c r="H53" i="76"/>
  <c r="J53" i="76"/>
  <c r="F53" i="76" s="1"/>
  <c r="K53" i="76"/>
  <c r="P53" i="76"/>
  <c r="R53" i="76"/>
  <c r="U53" i="76"/>
  <c r="V53" i="76"/>
  <c r="AE53" i="76"/>
  <c r="AJ53" i="76"/>
  <c r="AK53" i="76"/>
  <c r="AL53" i="76"/>
  <c r="AM53" i="76"/>
  <c r="AN53" i="76"/>
  <c r="AO53" i="76"/>
  <c r="AP53" i="76"/>
  <c r="AQ53" i="76"/>
  <c r="AR53" i="76"/>
  <c r="AS53" i="76"/>
  <c r="AT53" i="76"/>
  <c r="AU53" i="76"/>
  <c r="AV53" i="76"/>
  <c r="AW53" i="76"/>
  <c r="AX53" i="76"/>
  <c r="AY53" i="76"/>
  <c r="AZ53" i="76"/>
  <c r="BA53" i="76"/>
  <c r="BB53" i="76"/>
  <c r="BC53" i="76"/>
  <c r="BD53" i="76"/>
  <c r="BE53" i="76"/>
  <c r="BF53" i="76"/>
  <c r="BG53" i="76"/>
  <c r="BH53" i="76"/>
  <c r="BI53" i="76"/>
  <c r="BJ53" i="76"/>
  <c r="BK53" i="76"/>
  <c r="BM53" i="76"/>
  <c r="A54" i="76"/>
  <c r="B54" i="76"/>
  <c r="D54" i="76"/>
  <c r="G54" i="76"/>
  <c r="H54" i="76"/>
  <c r="J54" i="76"/>
  <c r="F54" i="76" s="1"/>
  <c r="K54" i="76"/>
  <c r="P54" i="76"/>
  <c r="R54" i="76"/>
  <c r="U54" i="76"/>
  <c r="V54" i="76"/>
  <c r="AE54" i="76"/>
  <c r="AJ54" i="76"/>
  <c r="AK54" i="76"/>
  <c r="AL54" i="76"/>
  <c r="AM54" i="76"/>
  <c r="AN54" i="76"/>
  <c r="AO54" i="76"/>
  <c r="AP54" i="76"/>
  <c r="AQ54" i="76"/>
  <c r="AR54" i="76"/>
  <c r="AS54" i="76"/>
  <c r="AT54" i="76"/>
  <c r="AU54" i="76"/>
  <c r="AV54" i="76"/>
  <c r="AW54" i="76"/>
  <c r="AX54" i="76"/>
  <c r="AY54" i="76"/>
  <c r="AZ54" i="76"/>
  <c r="BA54" i="76"/>
  <c r="BB54" i="76"/>
  <c r="BC54" i="76"/>
  <c r="BD54" i="76"/>
  <c r="BE54" i="76"/>
  <c r="BF54" i="76"/>
  <c r="BG54" i="76"/>
  <c r="BH54" i="76"/>
  <c r="BI54" i="76"/>
  <c r="BJ54" i="76"/>
  <c r="BK54" i="76"/>
  <c r="BM54" i="76"/>
  <c r="A55" i="76"/>
  <c r="B55" i="76"/>
  <c r="D55" i="76"/>
  <c r="G55" i="76"/>
  <c r="H55" i="76"/>
  <c r="J55" i="76"/>
  <c r="E55" i="76" s="1"/>
  <c r="K55" i="76"/>
  <c r="P55" i="76"/>
  <c r="R55" i="76"/>
  <c r="U55" i="76"/>
  <c r="V55" i="76"/>
  <c r="AE55" i="76"/>
  <c r="AJ55" i="76"/>
  <c r="AK55" i="76"/>
  <c r="AL55" i="76"/>
  <c r="AM55" i="76"/>
  <c r="AN55" i="76"/>
  <c r="AO55" i="76"/>
  <c r="AP55" i="76"/>
  <c r="AQ55" i="76"/>
  <c r="AR55" i="76"/>
  <c r="AS55" i="76"/>
  <c r="AT55" i="76"/>
  <c r="AU55" i="76"/>
  <c r="AV55" i="76"/>
  <c r="AW55" i="76"/>
  <c r="AX55" i="76"/>
  <c r="AY55" i="76"/>
  <c r="AZ55" i="76"/>
  <c r="BA55" i="76"/>
  <c r="BB55" i="76"/>
  <c r="BC55" i="76"/>
  <c r="BD55" i="76"/>
  <c r="BE55" i="76"/>
  <c r="BF55" i="76"/>
  <c r="BG55" i="76"/>
  <c r="BH55" i="76"/>
  <c r="BI55" i="76"/>
  <c r="BJ55" i="76"/>
  <c r="BK55" i="76"/>
  <c r="BM55" i="76"/>
  <c r="A56" i="76"/>
  <c r="B56" i="76"/>
  <c r="D56" i="76"/>
  <c r="G56" i="76"/>
  <c r="H56" i="76"/>
  <c r="J56" i="76"/>
  <c r="E56" i="76" s="1"/>
  <c r="K56" i="76"/>
  <c r="P56" i="76"/>
  <c r="R56" i="76"/>
  <c r="U56" i="76"/>
  <c r="V56" i="76"/>
  <c r="AE56" i="76"/>
  <c r="AJ56" i="76"/>
  <c r="AK56" i="76"/>
  <c r="AL56" i="76"/>
  <c r="AM56" i="76"/>
  <c r="AN56" i="76"/>
  <c r="AO56" i="76"/>
  <c r="AP56" i="76"/>
  <c r="AQ56" i="76"/>
  <c r="AR56" i="76"/>
  <c r="AS56" i="76"/>
  <c r="AT56" i="76"/>
  <c r="AU56" i="76"/>
  <c r="AV56" i="76"/>
  <c r="AW56" i="76"/>
  <c r="AX56" i="76"/>
  <c r="AY56" i="76"/>
  <c r="AZ56" i="76"/>
  <c r="BA56" i="76"/>
  <c r="BB56" i="76"/>
  <c r="BC56" i="76"/>
  <c r="BD56" i="76"/>
  <c r="BE56" i="76"/>
  <c r="BF56" i="76"/>
  <c r="BG56" i="76"/>
  <c r="BH56" i="76"/>
  <c r="BI56" i="76"/>
  <c r="BJ56" i="76"/>
  <c r="BK56" i="76"/>
  <c r="BM56" i="76"/>
  <c r="A57" i="76"/>
  <c r="B57" i="76"/>
  <c r="D57" i="76"/>
  <c r="G57" i="76"/>
  <c r="H57" i="76"/>
  <c r="J57" i="76"/>
  <c r="F57" i="76" s="1"/>
  <c r="K57" i="76"/>
  <c r="P57" i="76"/>
  <c r="R57" i="76"/>
  <c r="U57" i="76"/>
  <c r="V57" i="76"/>
  <c r="AE57" i="76"/>
  <c r="AJ57" i="76"/>
  <c r="AK57" i="76"/>
  <c r="AL57" i="76"/>
  <c r="AM57" i="76"/>
  <c r="AN57" i="76"/>
  <c r="AO57" i="76"/>
  <c r="AP57" i="76"/>
  <c r="AQ57" i="76"/>
  <c r="AR57" i="76"/>
  <c r="AS57" i="76"/>
  <c r="AT57" i="76"/>
  <c r="AU57" i="76"/>
  <c r="AV57" i="76"/>
  <c r="AW57" i="76"/>
  <c r="AX57" i="76"/>
  <c r="AY57" i="76"/>
  <c r="AZ57" i="76"/>
  <c r="BA57" i="76"/>
  <c r="BB57" i="76"/>
  <c r="BC57" i="76"/>
  <c r="BD57" i="76"/>
  <c r="BE57" i="76"/>
  <c r="BF57" i="76"/>
  <c r="BG57" i="76"/>
  <c r="BH57" i="76"/>
  <c r="BI57" i="76"/>
  <c r="BJ57" i="76"/>
  <c r="BK57" i="76"/>
  <c r="BM57" i="76"/>
  <c r="A58" i="76"/>
  <c r="B58" i="76"/>
  <c r="D58" i="76"/>
  <c r="G58" i="76"/>
  <c r="H58" i="76"/>
  <c r="J58" i="76"/>
  <c r="F58" i="76" s="1"/>
  <c r="K58" i="76"/>
  <c r="P58" i="76"/>
  <c r="R58" i="76"/>
  <c r="U58" i="76"/>
  <c r="V58" i="76"/>
  <c r="AE58" i="76"/>
  <c r="AJ58" i="76"/>
  <c r="AK58" i="76"/>
  <c r="AL58" i="76"/>
  <c r="AM58" i="76"/>
  <c r="AN58" i="76"/>
  <c r="AO58" i="76"/>
  <c r="AP58" i="76"/>
  <c r="AQ58" i="76"/>
  <c r="AR58" i="76"/>
  <c r="AS58" i="76"/>
  <c r="AT58" i="76"/>
  <c r="AU58" i="76"/>
  <c r="AV58" i="76"/>
  <c r="AW58" i="76"/>
  <c r="AX58" i="76"/>
  <c r="AY58" i="76"/>
  <c r="AZ58" i="76"/>
  <c r="BA58" i="76"/>
  <c r="BB58" i="76"/>
  <c r="BC58" i="76"/>
  <c r="BD58" i="76"/>
  <c r="BE58" i="76"/>
  <c r="BF58" i="76"/>
  <c r="BG58" i="76"/>
  <c r="BH58" i="76"/>
  <c r="BI58" i="76"/>
  <c r="BJ58" i="76"/>
  <c r="BK58" i="76"/>
  <c r="BM58" i="76"/>
  <c r="A59" i="76"/>
  <c r="B59" i="76"/>
  <c r="D59" i="76"/>
  <c r="G59" i="76"/>
  <c r="H59" i="76"/>
  <c r="J59" i="76"/>
  <c r="E59" i="76" s="1"/>
  <c r="K59" i="76"/>
  <c r="P59" i="76"/>
  <c r="R59" i="76"/>
  <c r="U59" i="76"/>
  <c r="V59" i="76"/>
  <c r="AE59" i="76"/>
  <c r="AJ59" i="76"/>
  <c r="AK59" i="76"/>
  <c r="AL59" i="76"/>
  <c r="AM59" i="76"/>
  <c r="AN59" i="76"/>
  <c r="AO59" i="76"/>
  <c r="AP59" i="76"/>
  <c r="AQ59" i="76"/>
  <c r="AR59" i="76"/>
  <c r="AS59" i="76"/>
  <c r="AT59" i="76"/>
  <c r="AU59" i="76"/>
  <c r="AV59" i="76"/>
  <c r="AW59" i="76"/>
  <c r="AX59" i="76"/>
  <c r="AY59" i="76"/>
  <c r="AZ59" i="76"/>
  <c r="BA59" i="76"/>
  <c r="BB59" i="76"/>
  <c r="BC59" i="76"/>
  <c r="BD59" i="76"/>
  <c r="BE59" i="76"/>
  <c r="BF59" i="76"/>
  <c r="BG59" i="76"/>
  <c r="BH59" i="76"/>
  <c r="BI59" i="76"/>
  <c r="BJ59" i="76"/>
  <c r="BK59" i="76"/>
  <c r="BM59" i="76"/>
  <c r="A60" i="76"/>
  <c r="B60" i="76"/>
  <c r="D60" i="76"/>
  <c r="G60" i="76"/>
  <c r="H60" i="76"/>
  <c r="J60" i="76"/>
  <c r="F60" i="76" s="1"/>
  <c r="K60" i="76"/>
  <c r="P60" i="76"/>
  <c r="R60" i="76"/>
  <c r="U60" i="76"/>
  <c r="V60" i="76"/>
  <c r="AE60" i="76"/>
  <c r="AJ60" i="76"/>
  <c r="AK60" i="76"/>
  <c r="AL60" i="76"/>
  <c r="AM60" i="76"/>
  <c r="AN60" i="76"/>
  <c r="AO60" i="76"/>
  <c r="AP60" i="76"/>
  <c r="AQ60" i="76"/>
  <c r="AR60" i="76"/>
  <c r="AS60" i="76"/>
  <c r="AT60" i="76"/>
  <c r="AU60" i="76"/>
  <c r="AV60" i="76"/>
  <c r="AW60" i="76"/>
  <c r="AX60" i="76"/>
  <c r="AY60" i="76"/>
  <c r="AZ60" i="76"/>
  <c r="BA60" i="76"/>
  <c r="BB60" i="76"/>
  <c r="BC60" i="76"/>
  <c r="BD60" i="76"/>
  <c r="BE60" i="76"/>
  <c r="BF60" i="76"/>
  <c r="BG60" i="76"/>
  <c r="BH60" i="76"/>
  <c r="BI60" i="76"/>
  <c r="BJ60" i="76"/>
  <c r="BK60" i="76"/>
  <c r="BM60" i="76"/>
  <c r="A61" i="76"/>
  <c r="B61" i="76"/>
  <c r="D61" i="76"/>
  <c r="G61" i="76"/>
  <c r="H61" i="76"/>
  <c r="J61" i="76"/>
  <c r="F61" i="76" s="1"/>
  <c r="K61" i="76"/>
  <c r="P61" i="76"/>
  <c r="R61" i="76"/>
  <c r="U61" i="76"/>
  <c r="V61" i="76"/>
  <c r="AE61" i="76"/>
  <c r="AJ61" i="76"/>
  <c r="AK61" i="76"/>
  <c r="AL61" i="76"/>
  <c r="AM61" i="76"/>
  <c r="AN61" i="76"/>
  <c r="AO61" i="76"/>
  <c r="AP61" i="76"/>
  <c r="AQ61" i="76"/>
  <c r="AR61" i="76"/>
  <c r="AS61" i="76"/>
  <c r="AT61" i="76"/>
  <c r="AU61" i="76"/>
  <c r="AV61" i="76"/>
  <c r="AW61" i="76"/>
  <c r="AX61" i="76"/>
  <c r="AY61" i="76"/>
  <c r="AZ61" i="76"/>
  <c r="BA61" i="76"/>
  <c r="BB61" i="76"/>
  <c r="BC61" i="76"/>
  <c r="BD61" i="76"/>
  <c r="BE61" i="76"/>
  <c r="BF61" i="76"/>
  <c r="BG61" i="76"/>
  <c r="BH61" i="76"/>
  <c r="BI61" i="76"/>
  <c r="BJ61" i="76"/>
  <c r="BK61" i="76"/>
  <c r="BM61" i="76"/>
  <c r="A62" i="76"/>
  <c r="B62" i="76"/>
  <c r="D62" i="76"/>
  <c r="G62" i="76"/>
  <c r="H62" i="76"/>
  <c r="J62" i="76"/>
  <c r="E62" i="76" s="1"/>
  <c r="K62" i="76"/>
  <c r="P62" i="76"/>
  <c r="R62" i="76"/>
  <c r="U62" i="76"/>
  <c r="V62" i="76"/>
  <c r="AE62" i="76"/>
  <c r="AJ62" i="76"/>
  <c r="AK62" i="76"/>
  <c r="AL62" i="76"/>
  <c r="AM62" i="76"/>
  <c r="AN62" i="76"/>
  <c r="AO62" i="76"/>
  <c r="AP62" i="76"/>
  <c r="AQ62" i="76"/>
  <c r="AR62" i="76"/>
  <c r="AS62" i="76"/>
  <c r="AT62" i="76"/>
  <c r="AU62" i="76"/>
  <c r="AV62" i="76"/>
  <c r="AW62" i="76"/>
  <c r="AX62" i="76"/>
  <c r="AY62" i="76"/>
  <c r="AZ62" i="76"/>
  <c r="BA62" i="76"/>
  <c r="BB62" i="76"/>
  <c r="BC62" i="76"/>
  <c r="BD62" i="76"/>
  <c r="BE62" i="76"/>
  <c r="BF62" i="76"/>
  <c r="BG62" i="76"/>
  <c r="BH62" i="76"/>
  <c r="BI62" i="76"/>
  <c r="BJ62" i="76"/>
  <c r="BK62" i="76"/>
  <c r="BM62" i="76"/>
  <c r="A63" i="76"/>
  <c r="B63" i="76"/>
  <c r="D63" i="76"/>
  <c r="G63" i="76"/>
  <c r="H63" i="76"/>
  <c r="J63" i="76"/>
  <c r="F63" i="76" s="1"/>
  <c r="K63" i="76"/>
  <c r="P63" i="76"/>
  <c r="R63" i="76"/>
  <c r="U63" i="76"/>
  <c r="V63" i="76"/>
  <c r="AE63" i="76"/>
  <c r="AJ63" i="76"/>
  <c r="AK63" i="76"/>
  <c r="AL63" i="76"/>
  <c r="AM63" i="76"/>
  <c r="AN63" i="76"/>
  <c r="AO63" i="76"/>
  <c r="AP63" i="76"/>
  <c r="AQ63" i="76"/>
  <c r="AR63" i="76"/>
  <c r="AS63" i="76"/>
  <c r="AT63" i="76"/>
  <c r="AU63" i="76"/>
  <c r="AV63" i="76"/>
  <c r="AW63" i="76"/>
  <c r="AX63" i="76"/>
  <c r="AY63" i="76"/>
  <c r="AZ63" i="76"/>
  <c r="BA63" i="76"/>
  <c r="BB63" i="76"/>
  <c r="BC63" i="76"/>
  <c r="BD63" i="76"/>
  <c r="BE63" i="76"/>
  <c r="BF63" i="76"/>
  <c r="BG63" i="76"/>
  <c r="BH63" i="76"/>
  <c r="BI63" i="76"/>
  <c r="BJ63" i="76"/>
  <c r="BK63" i="76"/>
  <c r="BM63" i="76"/>
  <c r="A64" i="76"/>
  <c r="B64" i="76"/>
  <c r="D64" i="76"/>
  <c r="G64" i="76"/>
  <c r="H64" i="76"/>
  <c r="J64" i="76"/>
  <c r="F64" i="76" s="1"/>
  <c r="K64" i="76"/>
  <c r="P64" i="76"/>
  <c r="R64" i="76"/>
  <c r="U64" i="76"/>
  <c r="V64" i="76"/>
  <c r="AE64" i="76"/>
  <c r="AJ64" i="76"/>
  <c r="AK64" i="76"/>
  <c r="AL64" i="76"/>
  <c r="AM64" i="76"/>
  <c r="AN64" i="76"/>
  <c r="AO64" i="76"/>
  <c r="AP64" i="76"/>
  <c r="AQ64" i="76"/>
  <c r="AR64" i="76"/>
  <c r="AS64" i="76"/>
  <c r="AT64" i="76"/>
  <c r="AU64" i="76"/>
  <c r="AV64" i="76"/>
  <c r="AW64" i="76"/>
  <c r="AX64" i="76"/>
  <c r="AY64" i="76"/>
  <c r="AZ64" i="76"/>
  <c r="BA64" i="76"/>
  <c r="BB64" i="76"/>
  <c r="BC64" i="76"/>
  <c r="BD64" i="76"/>
  <c r="BE64" i="76"/>
  <c r="BF64" i="76"/>
  <c r="BG64" i="76"/>
  <c r="BH64" i="76"/>
  <c r="BI64" i="76"/>
  <c r="BJ64" i="76"/>
  <c r="BK64" i="76"/>
  <c r="BM64" i="76"/>
  <c r="A65" i="76"/>
  <c r="B65" i="76"/>
  <c r="D65" i="76"/>
  <c r="G65" i="76"/>
  <c r="H65" i="76"/>
  <c r="J65" i="76"/>
  <c r="E65" i="76" s="1"/>
  <c r="K65" i="76"/>
  <c r="P65" i="76"/>
  <c r="R65" i="76"/>
  <c r="U65" i="76"/>
  <c r="V65" i="76"/>
  <c r="AE65" i="76"/>
  <c r="AJ65" i="76"/>
  <c r="AK65" i="76"/>
  <c r="AL65" i="76"/>
  <c r="AM65" i="76"/>
  <c r="AN65" i="76"/>
  <c r="AO65" i="76"/>
  <c r="AP65" i="76"/>
  <c r="AQ65" i="76"/>
  <c r="AR65" i="76"/>
  <c r="AS65" i="76"/>
  <c r="AT65" i="76"/>
  <c r="AU65" i="76"/>
  <c r="AV65" i="76"/>
  <c r="AW65" i="76"/>
  <c r="AX65" i="76"/>
  <c r="AY65" i="76"/>
  <c r="AZ65" i="76"/>
  <c r="BA65" i="76"/>
  <c r="BB65" i="76"/>
  <c r="BC65" i="76"/>
  <c r="BD65" i="76"/>
  <c r="BE65" i="76"/>
  <c r="BF65" i="76"/>
  <c r="BG65" i="76"/>
  <c r="BH65" i="76"/>
  <c r="BI65" i="76"/>
  <c r="BJ65" i="76"/>
  <c r="BK65" i="76"/>
  <c r="BM65" i="76"/>
  <c r="A66" i="76"/>
  <c r="B66" i="76"/>
  <c r="D66" i="76"/>
  <c r="G66" i="76"/>
  <c r="H66" i="76"/>
  <c r="J66" i="76"/>
  <c r="K66" i="76"/>
  <c r="P66" i="76"/>
  <c r="R66" i="76"/>
  <c r="U66" i="76"/>
  <c r="V66" i="76"/>
  <c r="AE66" i="76"/>
  <c r="AJ66" i="76"/>
  <c r="AK66" i="76"/>
  <c r="AL66" i="76"/>
  <c r="AM66" i="76"/>
  <c r="AN66" i="76"/>
  <c r="AO66" i="76"/>
  <c r="AP66" i="76"/>
  <c r="AQ66" i="76"/>
  <c r="AR66" i="76"/>
  <c r="AS66" i="76"/>
  <c r="AT66" i="76"/>
  <c r="AU66" i="76"/>
  <c r="AV66" i="76"/>
  <c r="AW66" i="76"/>
  <c r="AX66" i="76"/>
  <c r="AY66" i="76"/>
  <c r="AZ66" i="76"/>
  <c r="BA66" i="76"/>
  <c r="BB66" i="76"/>
  <c r="BC66" i="76"/>
  <c r="BD66" i="76"/>
  <c r="BE66" i="76"/>
  <c r="BF66" i="76"/>
  <c r="BG66" i="76"/>
  <c r="BH66" i="76"/>
  <c r="BI66" i="76"/>
  <c r="BJ66" i="76"/>
  <c r="BK66" i="76"/>
  <c r="BM66" i="76"/>
  <c r="A67" i="76"/>
  <c r="B67" i="76"/>
  <c r="D67" i="76"/>
  <c r="G67" i="76"/>
  <c r="H67" i="76"/>
  <c r="J67" i="76"/>
  <c r="E67" i="76" s="1"/>
  <c r="K67" i="76"/>
  <c r="P67" i="76"/>
  <c r="R67" i="76"/>
  <c r="U67" i="76"/>
  <c r="V67" i="76"/>
  <c r="AE67" i="76"/>
  <c r="AJ67" i="76"/>
  <c r="AK67" i="76"/>
  <c r="AL67" i="76"/>
  <c r="AM67" i="76"/>
  <c r="AN67" i="76"/>
  <c r="AO67" i="76"/>
  <c r="AP67" i="76"/>
  <c r="AQ67" i="76"/>
  <c r="AR67" i="76"/>
  <c r="AS67" i="76"/>
  <c r="AT67" i="76"/>
  <c r="AU67" i="76"/>
  <c r="AV67" i="76"/>
  <c r="AW67" i="76"/>
  <c r="AX67" i="76"/>
  <c r="AY67" i="76"/>
  <c r="AZ67" i="76"/>
  <c r="BA67" i="76"/>
  <c r="BB67" i="76"/>
  <c r="BC67" i="76"/>
  <c r="BD67" i="76"/>
  <c r="BE67" i="76"/>
  <c r="BF67" i="76"/>
  <c r="BG67" i="76"/>
  <c r="BH67" i="76"/>
  <c r="BI67" i="76"/>
  <c r="BJ67" i="76"/>
  <c r="BK67" i="76"/>
  <c r="BM67" i="76"/>
  <c r="A68" i="76"/>
  <c r="B68" i="76"/>
  <c r="D68" i="76"/>
  <c r="G68" i="76"/>
  <c r="H68" i="76"/>
  <c r="J68" i="76"/>
  <c r="E68" i="76" s="1"/>
  <c r="K68" i="76"/>
  <c r="P68" i="76"/>
  <c r="R68" i="76"/>
  <c r="U68" i="76"/>
  <c r="V68" i="76"/>
  <c r="AE68" i="76"/>
  <c r="AJ68" i="76"/>
  <c r="AK68" i="76"/>
  <c r="AL68" i="76"/>
  <c r="AM68" i="76"/>
  <c r="AN68" i="76"/>
  <c r="AO68" i="76"/>
  <c r="AP68" i="76"/>
  <c r="AQ68" i="76"/>
  <c r="AR68" i="76"/>
  <c r="AS68" i="76"/>
  <c r="AT68" i="76"/>
  <c r="AU68" i="76"/>
  <c r="AV68" i="76"/>
  <c r="AW68" i="76"/>
  <c r="AX68" i="76"/>
  <c r="AY68" i="76"/>
  <c r="AZ68" i="76"/>
  <c r="BA68" i="76"/>
  <c r="BB68" i="76"/>
  <c r="BC68" i="76"/>
  <c r="BD68" i="76"/>
  <c r="BE68" i="76"/>
  <c r="BF68" i="76"/>
  <c r="BG68" i="76"/>
  <c r="BH68" i="76"/>
  <c r="BI68" i="76"/>
  <c r="BJ68" i="76"/>
  <c r="BK68" i="76"/>
  <c r="BM68" i="76"/>
  <c r="A69" i="76"/>
  <c r="B69" i="76"/>
  <c r="D69" i="76"/>
  <c r="G69" i="76"/>
  <c r="H69" i="76"/>
  <c r="J69" i="76"/>
  <c r="F69" i="76" s="1"/>
  <c r="K69" i="76"/>
  <c r="P69" i="76"/>
  <c r="R69" i="76"/>
  <c r="U69" i="76"/>
  <c r="V69" i="76"/>
  <c r="AE69" i="76"/>
  <c r="AJ69" i="76"/>
  <c r="AK69" i="76"/>
  <c r="AL69" i="76"/>
  <c r="AM69" i="76"/>
  <c r="AN69" i="76"/>
  <c r="AO69" i="76"/>
  <c r="AP69" i="76"/>
  <c r="AQ69" i="76"/>
  <c r="AR69" i="76"/>
  <c r="AS69" i="76"/>
  <c r="AT69" i="76"/>
  <c r="AU69" i="76"/>
  <c r="AV69" i="76"/>
  <c r="AW69" i="76"/>
  <c r="AX69" i="76"/>
  <c r="AY69" i="76"/>
  <c r="AZ69" i="76"/>
  <c r="BA69" i="76"/>
  <c r="BB69" i="76"/>
  <c r="BC69" i="76"/>
  <c r="BD69" i="76"/>
  <c r="BE69" i="76"/>
  <c r="BF69" i="76"/>
  <c r="BG69" i="76"/>
  <c r="BH69" i="76"/>
  <c r="BI69" i="76"/>
  <c r="BJ69" i="76"/>
  <c r="BK69" i="76"/>
  <c r="BM69" i="76"/>
  <c r="A70" i="76"/>
  <c r="B70" i="76"/>
  <c r="D70" i="76"/>
  <c r="G70" i="76"/>
  <c r="H70" i="76"/>
  <c r="J70" i="76"/>
  <c r="F70" i="76" s="1"/>
  <c r="K70" i="76"/>
  <c r="P70" i="76"/>
  <c r="R70" i="76"/>
  <c r="U70" i="76"/>
  <c r="V70" i="76"/>
  <c r="AE70" i="76"/>
  <c r="AJ70" i="76"/>
  <c r="AK70" i="76"/>
  <c r="AL70" i="76"/>
  <c r="AM70" i="76"/>
  <c r="AN70" i="76"/>
  <c r="AO70" i="76"/>
  <c r="AP70" i="76"/>
  <c r="AQ70" i="76"/>
  <c r="AR70" i="76"/>
  <c r="AS70" i="76"/>
  <c r="AT70" i="76"/>
  <c r="AU70" i="76"/>
  <c r="AV70" i="76"/>
  <c r="AW70" i="76"/>
  <c r="AX70" i="76"/>
  <c r="AY70" i="76"/>
  <c r="AZ70" i="76"/>
  <c r="BA70" i="76"/>
  <c r="BB70" i="76"/>
  <c r="BC70" i="76"/>
  <c r="BD70" i="76"/>
  <c r="BE70" i="76"/>
  <c r="BF70" i="76"/>
  <c r="BG70" i="76"/>
  <c r="BH70" i="76"/>
  <c r="BI70" i="76"/>
  <c r="BJ70" i="76"/>
  <c r="BK70" i="76"/>
  <c r="BM70" i="76"/>
  <c r="A71" i="76"/>
  <c r="B71" i="76"/>
  <c r="D71" i="76"/>
  <c r="G71" i="76"/>
  <c r="H71" i="76"/>
  <c r="J71" i="76"/>
  <c r="K71" i="76"/>
  <c r="P71" i="76"/>
  <c r="R71" i="76"/>
  <c r="U71" i="76"/>
  <c r="V71" i="76"/>
  <c r="AE71" i="76"/>
  <c r="AJ71" i="76"/>
  <c r="AK71" i="76"/>
  <c r="AL71" i="76"/>
  <c r="AM71" i="76"/>
  <c r="AN71" i="76"/>
  <c r="AO71" i="76"/>
  <c r="AP71" i="76"/>
  <c r="AQ71" i="76"/>
  <c r="AR71" i="76"/>
  <c r="AS71" i="76"/>
  <c r="AT71" i="76"/>
  <c r="AU71" i="76"/>
  <c r="AV71" i="76"/>
  <c r="AW71" i="76"/>
  <c r="AX71" i="76"/>
  <c r="AY71" i="76"/>
  <c r="AZ71" i="76"/>
  <c r="BA71" i="76"/>
  <c r="BB71" i="76"/>
  <c r="BC71" i="76"/>
  <c r="BD71" i="76"/>
  <c r="BE71" i="76"/>
  <c r="BF71" i="76"/>
  <c r="BG71" i="76"/>
  <c r="BH71" i="76"/>
  <c r="BI71" i="76"/>
  <c r="BJ71" i="76"/>
  <c r="BK71" i="76"/>
  <c r="BM71" i="76"/>
  <c r="A72" i="76"/>
  <c r="B72" i="76"/>
  <c r="D72" i="76"/>
  <c r="G72" i="76"/>
  <c r="H72" i="76"/>
  <c r="J72" i="76"/>
  <c r="F72" i="76" s="1"/>
  <c r="K72" i="76"/>
  <c r="P72" i="76"/>
  <c r="R72" i="76"/>
  <c r="U72" i="76"/>
  <c r="V72" i="76"/>
  <c r="AE72" i="76"/>
  <c r="AJ72" i="76"/>
  <c r="AK72" i="76"/>
  <c r="AL72" i="76"/>
  <c r="AM72" i="76"/>
  <c r="AN72" i="76"/>
  <c r="AO72" i="76"/>
  <c r="AP72" i="76"/>
  <c r="AQ72" i="76"/>
  <c r="AR72" i="76"/>
  <c r="AS72" i="76"/>
  <c r="AT72" i="76"/>
  <c r="AU72" i="76"/>
  <c r="AV72" i="76"/>
  <c r="AW72" i="76"/>
  <c r="AX72" i="76"/>
  <c r="AY72" i="76"/>
  <c r="AZ72" i="76"/>
  <c r="BA72" i="76"/>
  <c r="BB72" i="76"/>
  <c r="BC72" i="76"/>
  <c r="BD72" i="76"/>
  <c r="BE72" i="76"/>
  <c r="BF72" i="76"/>
  <c r="BG72" i="76"/>
  <c r="BH72" i="76"/>
  <c r="BI72" i="76"/>
  <c r="BJ72" i="76"/>
  <c r="BK72" i="76"/>
  <c r="BM72" i="76"/>
  <c r="A73" i="76"/>
  <c r="B73" i="76"/>
  <c r="D73" i="76"/>
  <c r="G73" i="76"/>
  <c r="H73" i="76"/>
  <c r="J73" i="76"/>
  <c r="E73" i="76" s="1"/>
  <c r="K73" i="76"/>
  <c r="P73" i="76"/>
  <c r="R73" i="76"/>
  <c r="U73" i="76"/>
  <c r="V73" i="76"/>
  <c r="AE73" i="76"/>
  <c r="AJ73" i="76"/>
  <c r="AK73" i="76"/>
  <c r="AL73" i="76"/>
  <c r="AM73" i="76"/>
  <c r="AN73" i="76"/>
  <c r="AO73" i="76"/>
  <c r="AP73" i="76"/>
  <c r="AQ73" i="76"/>
  <c r="AR73" i="76"/>
  <c r="AS73" i="76"/>
  <c r="AT73" i="76"/>
  <c r="AU73" i="76"/>
  <c r="AV73" i="76"/>
  <c r="AW73" i="76"/>
  <c r="AX73" i="76"/>
  <c r="AY73" i="76"/>
  <c r="AZ73" i="76"/>
  <c r="BA73" i="76"/>
  <c r="BB73" i="76"/>
  <c r="BC73" i="76"/>
  <c r="BD73" i="76"/>
  <c r="BE73" i="76"/>
  <c r="BF73" i="76"/>
  <c r="BG73" i="76"/>
  <c r="BH73" i="76"/>
  <c r="BI73" i="76"/>
  <c r="BJ73" i="76"/>
  <c r="BK73" i="76"/>
  <c r="BM73" i="76"/>
  <c r="A74" i="76"/>
  <c r="B74" i="76"/>
  <c r="D74" i="76"/>
  <c r="G74" i="76"/>
  <c r="H74" i="76"/>
  <c r="J74" i="76"/>
  <c r="E74" i="76" s="1"/>
  <c r="K74" i="76"/>
  <c r="P74" i="76"/>
  <c r="R74" i="76"/>
  <c r="U74" i="76"/>
  <c r="V74" i="76"/>
  <c r="AE74" i="76"/>
  <c r="AJ74" i="76"/>
  <c r="AK74" i="76"/>
  <c r="AL74" i="76"/>
  <c r="AM74" i="76"/>
  <c r="AN74" i="76"/>
  <c r="AO74" i="76"/>
  <c r="AP74" i="76"/>
  <c r="AQ74" i="76"/>
  <c r="AR74" i="76"/>
  <c r="AS74" i="76"/>
  <c r="AT74" i="76"/>
  <c r="AU74" i="76"/>
  <c r="AV74" i="76"/>
  <c r="AW74" i="76"/>
  <c r="AX74" i="76"/>
  <c r="AY74" i="76"/>
  <c r="AZ74" i="76"/>
  <c r="BA74" i="76"/>
  <c r="BB74" i="76"/>
  <c r="BC74" i="76"/>
  <c r="BD74" i="76"/>
  <c r="BE74" i="76"/>
  <c r="BF74" i="76"/>
  <c r="BG74" i="76"/>
  <c r="BH74" i="76"/>
  <c r="BI74" i="76"/>
  <c r="BJ74" i="76"/>
  <c r="BK74" i="76"/>
  <c r="BM74" i="76"/>
  <c r="A75" i="76"/>
  <c r="B75" i="76"/>
  <c r="D75" i="76"/>
  <c r="G75" i="76"/>
  <c r="H75" i="76"/>
  <c r="J75" i="76"/>
  <c r="K75" i="76"/>
  <c r="P75" i="76"/>
  <c r="R75" i="76"/>
  <c r="U75" i="76"/>
  <c r="V75" i="76"/>
  <c r="AE75" i="76"/>
  <c r="AJ75" i="76"/>
  <c r="AK75" i="76"/>
  <c r="AL75" i="76"/>
  <c r="AM75" i="76"/>
  <c r="AN75" i="76"/>
  <c r="AO75" i="76"/>
  <c r="AP75" i="76"/>
  <c r="AQ75" i="76"/>
  <c r="AR75" i="76"/>
  <c r="AS75" i="76"/>
  <c r="AT75" i="76"/>
  <c r="AU75" i="76"/>
  <c r="AV75" i="76"/>
  <c r="AW75" i="76"/>
  <c r="AX75" i="76"/>
  <c r="AY75" i="76"/>
  <c r="AZ75" i="76"/>
  <c r="BA75" i="76"/>
  <c r="BB75" i="76"/>
  <c r="BC75" i="76"/>
  <c r="BD75" i="76"/>
  <c r="BE75" i="76"/>
  <c r="BF75" i="76"/>
  <c r="BG75" i="76"/>
  <c r="BH75" i="76"/>
  <c r="BI75" i="76"/>
  <c r="BJ75" i="76"/>
  <c r="BK75" i="76"/>
  <c r="BM75" i="76"/>
  <c r="A76" i="76"/>
  <c r="B76" i="76"/>
  <c r="D76" i="76"/>
  <c r="G76" i="76"/>
  <c r="H76" i="76"/>
  <c r="J76" i="76"/>
  <c r="F76" i="76" s="1"/>
  <c r="K76" i="76"/>
  <c r="P76" i="76"/>
  <c r="R76" i="76"/>
  <c r="U76" i="76"/>
  <c r="V76" i="76"/>
  <c r="AE76" i="76"/>
  <c r="AJ76" i="76"/>
  <c r="AK76" i="76"/>
  <c r="AL76" i="76"/>
  <c r="AM76" i="76"/>
  <c r="AN76" i="76"/>
  <c r="AO76" i="76"/>
  <c r="AP76" i="76"/>
  <c r="AQ76" i="76"/>
  <c r="AR76" i="76"/>
  <c r="AS76" i="76"/>
  <c r="AT76" i="76"/>
  <c r="AU76" i="76"/>
  <c r="AV76" i="76"/>
  <c r="AW76" i="76"/>
  <c r="AX76" i="76"/>
  <c r="AY76" i="76"/>
  <c r="AZ76" i="76"/>
  <c r="BA76" i="76"/>
  <c r="BB76" i="76"/>
  <c r="BC76" i="76"/>
  <c r="BD76" i="76"/>
  <c r="BE76" i="76"/>
  <c r="BF76" i="76"/>
  <c r="BG76" i="76"/>
  <c r="BH76" i="76"/>
  <c r="BI76" i="76"/>
  <c r="BJ76" i="76"/>
  <c r="BK76" i="76"/>
  <c r="BM76" i="76"/>
  <c r="A77" i="76"/>
  <c r="B77" i="76"/>
  <c r="D77" i="76"/>
  <c r="G77" i="76"/>
  <c r="H77" i="76"/>
  <c r="J77" i="76"/>
  <c r="F77" i="76" s="1"/>
  <c r="K77" i="76"/>
  <c r="P77" i="76"/>
  <c r="R77" i="76"/>
  <c r="U77" i="76"/>
  <c r="V77" i="76"/>
  <c r="AE77" i="76"/>
  <c r="AJ77" i="76"/>
  <c r="AK77" i="76"/>
  <c r="AL77" i="76"/>
  <c r="AM77" i="76"/>
  <c r="AN77" i="76"/>
  <c r="AO77" i="76"/>
  <c r="AP77" i="76"/>
  <c r="AQ77" i="76"/>
  <c r="AR77" i="76"/>
  <c r="AS77" i="76"/>
  <c r="AT77" i="76"/>
  <c r="AU77" i="76"/>
  <c r="AV77" i="76"/>
  <c r="AW77" i="76"/>
  <c r="AX77" i="76"/>
  <c r="AY77" i="76"/>
  <c r="AZ77" i="76"/>
  <c r="BA77" i="76"/>
  <c r="BB77" i="76"/>
  <c r="BC77" i="76"/>
  <c r="BD77" i="76"/>
  <c r="BE77" i="76"/>
  <c r="BF77" i="76"/>
  <c r="BG77" i="76"/>
  <c r="BH77" i="76"/>
  <c r="BI77" i="76"/>
  <c r="BJ77" i="76"/>
  <c r="BK77" i="76"/>
  <c r="BM77" i="76"/>
  <c r="A78" i="76"/>
  <c r="B78" i="76"/>
  <c r="D78" i="76"/>
  <c r="G78" i="76"/>
  <c r="H78" i="76"/>
  <c r="J78" i="76"/>
  <c r="K78" i="76"/>
  <c r="P78" i="76"/>
  <c r="R78" i="76"/>
  <c r="U78" i="76"/>
  <c r="V78" i="76"/>
  <c r="AE78" i="76"/>
  <c r="AJ78" i="76"/>
  <c r="AK78" i="76"/>
  <c r="AL78" i="76"/>
  <c r="AM78" i="76"/>
  <c r="AN78" i="76"/>
  <c r="AO78" i="76"/>
  <c r="AP78" i="76"/>
  <c r="AQ78" i="76"/>
  <c r="AR78" i="76"/>
  <c r="AS78" i="76"/>
  <c r="AT78" i="76"/>
  <c r="AU78" i="76"/>
  <c r="AV78" i="76"/>
  <c r="AW78" i="76"/>
  <c r="AX78" i="76"/>
  <c r="AY78" i="76"/>
  <c r="AZ78" i="76"/>
  <c r="BA78" i="76"/>
  <c r="BB78" i="76"/>
  <c r="BC78" i="76"/>
  <c r="BD78" i="76"/>
  <c r="BE78" i="76"/>
  <c r="BF78" i="76"/>
  <c r="BG78" i="76"/>
  <c r="BH78" i="76"/>
  <c r="BI78" i="76"/>
  <c r="BJ78" i="76"/>
  <c r="BK78" i="76"/>
  <c r="BM78" i="76"/>
  <c r="A79" i="76"/>
  <c r="B79" i="76"/>
  <c r="D79" i="76"/>
  <c r="G79" i="76"/>
  <c r="H79" i="76"/>
  <c r="J79" i="76"/>
  <c r="F79" i="76" s="1"/>
  <c r="K79" i="76"/>
  <c r="P79" i="76"/>
  <c r="R79" i="76"/>
  <c r="U79" i="76"/>
  <c r="V79" i="76"/>
  <c r="AE79" i="76"/>
  <c r="AJ79" i="76"/>
  <c r="AK79" i="76"/>
  <c r="AL79" i="76"/>
  <c r="AM79" i="76"/>
  <c r="AN79" i="76"/>
  <c r="AO79" i="76"/>
  <c r="AP79" i="76"/>
  <c r="AQ79" i="76"/>
  <c r="AR79" i="76"/>
  <c r="AS79" i="76"/>
  <c r="AT79" i="76"/>
  <c r="AU79" i="76"/>
  <c r="AV79" i="76"/>
  <c r="AW79" i="76"/>
  <c r="AX79" i="76"/>
  <c r="AY79" i="76"/>
  <c r="AZ79" i="76"/>
  <c r="BA79" i="76"/>
  <c r="BB79" i="76"/>
  <c r="BC79" i="76"/>
  <c r="BD79" i="76"/>
  <c r="BE79" i="76"/>
  <c r="BF79" i="76"/>
  <c r="BG79" i="76"/>
  <c r="BH79" i="76"/>
  <c r="BI79" i="76"/>
  <c r="BJ79" i="76"/>
  <c r="BK79" i="76"/>
  <c r="BM79" i="76"/>
  <c r="A80" i="76"/>
  <c r="B80" i="76"/>
  <c r="D80" i="76"/>
  <c r="G80" i="76"/>
  <c r="H80" i="76"/>
  <c r="J80" i="76"/>
  <c r="K80" i="76"/>
  <c r="P80" i="76"/>
  <c r="R80" i="76"/>
  <c r="U80" i="76"/>
  <c r="V80" i="76"/>
  <c r="AE80" i="76"/>
  <c r="AJ80" i="76"/>
  <c r="AK80" i="76"/>
  <c r="AL80" i="76"/>
  <c r="AM80" i="76"/>
  <c r="AN80" i="76"/>
  <c r="AO80" i="76"/>
  <c r="AP80" i="76"/>
  <c r="AQ80" i="76"/>
  <c r="AR80" i="76"/>
  <c r="AS80" i="76"/>
  <c r="AT80" i="76"/>
  <c r="AU80" i="76"/>
  <c r="AV80" i="76"/>
  <c r="AW80" i="76"/>
  <c r="AX80" i="76"/>
  <c r="AY80" i="76"/>
  <c r="AZ80" i="76"/>
  <c r="BA80" i="76"/>
  <c r="BB80" i="76"/>
  <c r="BC80" i="76"/>
  <c r="BD80" i="76"/>
  <c r="BE80" i="76"/>
  <c r="BF80" i="76"/>
  <c r="BG80" i="76"/>
  <c r="BH80" i="76"/>
  <c r="BI80" i="76"/>
  <c r="BJ80" i="76"/>
  <c r="BK80" i="76"/>
  <c r="BM80" i="76"/>
  <c r="A81" i="76"/>
  <c r="B81" i="76"/>
  <c r="D81" i="76"/>
  <c r="G81" i="76"/>
  <c r="H81" i="76"/>
  <c r="J81" i="76"/>
  <c r="K81" i="76"/>
  <c r="P81" i="76"/>
  <c r="R81" i="76"/>
  <c r="U81" i="76"/>
  <c r="V81" i="76"/>
  <c r="AE81" i="76"/>
  <c r="AJ81" i="76"/>
  <c r="AK81" i="76"/>
  <c r="AL81" i="76"/>
  <c r="AM81" i="76"/>
  <c r="AN81" i="76"/>
  <c r="AO81" i="76"/>
  <c r="AP81" i="76"/>
  <c r="AQ81" i="76"/>
  <c r="AR81" i="76"/>
  <c r="AS81" i="76"/>
  <c r="AT81" i="76"/>
  <c r="AU81" i="76"/>
  <c r="AV81" i="76"/>
  <c r="AW81" i="76"/>
  <c r="AX81" i="76"/>
  <c r="AY81" i="76"/>
  <c r="AZ81" i="76"/>
  <c r="BA81" i="76"/>
  <c r="BB81" i="76"/>
  <c r="BC81" i="76"/>
  <c r="BD81" i="76"/>
  <c r="BE81" i="76"/>
  <c r="BF81" i="76"/>
  <c r="BG81" i="76"/>
  <c r="BH81" i="76"/>
  <c r="BI81" i="76"/>
  <c r="BJ81" i="76"/>
  <c r="BK81" i="76"/>
  <c r="BM81" i="76"/>
  <c r="A82" i="76"/>
  <c r="B82" i="76"/>
  <c r="D82" i="76"/>
  <c r="G82" i="76"/>
  <c r="H82" i="76"/>
  <c r="J82" i="76"/>
  <c r="E82" i="76" s="1"/>
  <c r="K82" i="76"/>
  <c r="P82" i="76"/>
  <c r="R82" i="76"/>
  <c r="U82" i="76"/>
  <c r="V82" i="76"/>
  <c r="AE82" i="76"/>
  <c r="AJ82" i="76"/>
  <c r="AK82" i="76"/>
  <c r="AL82" i="76"/>
  <c r="AM82" i="76"/>
  <c r="AN82" i="76"/>
  <c r="AO82" i="76"/>
  <c r="AP82" i="76"/>
  <c r="AQ82" i="76"/>
  <c r="AR82" i="76"/>
  <c r="AS82" i="76"/>
  <c r="AT82" i="76"/>
  <c r="AU82" i="76"/>
  <c r="AV82" i="76"/>
  <c r="AW82" i="76"/>
  <c r="AX82" i="76"/>
  <c r="AY82" i="76"/>
  <c r="AZ82" i="76"/>
  <c r="BA82" i="76"/>
  <c r="BB82" i="76"/>
  <c r="BC82" i="76"/>
  <c r="BD82" i="76"/>
  <c r="BE82" i="76"/>
  <c r="BF82" i="76"/>
  <c r="BG82" i="76"/>
  <c r="BH82" i="76"/>
  <c r="BI82" i="76"/>
  <c r="BJ82" i="76"/>
  <c r="BK82" i="76"/>
  <c r="BM82" i="76"/>
  <c r="A83" i="76"/>
  <c r="B83" i="76"/>
  <c r="D83" i="76"/>
  <c r="G83" i="76"/>
  <c r="H83" i="76"/>
  <c r="J83" i="76"/>
  <c r="F83" i="76" s="1"/>
  <c r="K83" i="76"/>
  <c r="P83" i="76"/>
  <c r="R83" i="76"/>
  <c r="U83" i="76"/>
  <c r="V83" i="76"/>
  <c r="AE83" i="76"/>
  <c r="AJ83" i="76"/>
  <c r="AK83" i="76"/>
  <c r="AL83" i="76"/>
  <c r="AM83" i="76"/>
  <c r="AN83" i="76"/>
  <c r="AO83" i="76"/>
  <c r="AP83" i="76"/>
  <c r="AQ83" i="76"/>
  <c r="AR83" i="76"/>
  <c r="AS83" i="76"/>
  <c r="AT83" i="76"/>
  <c r="AU83" i="76"/>
  <c r="AV83" i="76"/>
  <c r="AW83" i="76"/>
  <c r="AX83" i="76"/>
  <c r="AY83" i="76"/>
  <c r="AZ83" i="76"/>
  <c r="BA83" i="76"/>
  <c r="BB83" i="76"/>
  <c r="BC83" i="76"/>
  <c r="BD83" i="76"/>
  <c r="BE83" i="76"/>
  <c r="BF83" i="76"/>
  <c r="BG83" i="76"/>
  <c r="BH83" i="76"/>
  <c r="BI83" i="76"/>
  <c r="BJ83" i="76"/>
  <c r="BK83" i="76"/>
  <c r="BM83" i="76"/>
  <c r="A84" i="76"/>
  <c r="B84" i="76"/>
  <c r="D84" i="76"/>
  <c r="G84" i="76"/>
  <c r="H84" i="76"/>
  <c r="J84" i="76"/>
  <c r="K84" i="76"/>
  <c r="P84" i="76"/>
  <c r="R84" i="76"/>
  <c r="U84" i="76"/>
  <c r="V84" i="76"/>
  <c r="AE84" i="76"/>
  <c r="AJ84" i="76"/>
  <c r="AK84" i="76"/>
  <c r="AL84" i="76"/>
  <c r="AM84" i="76"/>
  <c r="AN84" i="76"/>
  <c r="AO84" i="76"/>
  <c r="AP84" i="76"/>
  <c r="AQ84" i="76"/>
  <c r="AR84" i="76"/>
  <c r="AS84" i="76"/>
  <c r="AT84" i="76"/>
  <c r="AU84" i="76"/>
  <c r="AV84" i="76"/>
  <c r="AW84" i="76"/>
  <c r="AX84" i="76"/>
  <c r="AY84" i="76"/>
  <c r="AZ84" i="76"/>
  <c r="BA84" i="76"/>
  <c r="BB84" i="76"/>
  <c r="BC84" i="76"/>
  <c r="BD84" i="76"/>
  <c r="BE84" i="76"/>
  <c r="BF84" i="76"/>
  <c r="BG84" i="76"/>
  <c r="BH84" i="76"/>
  <c r="BI84" i="76"/>
  <c r="BJ84" i="76"/>
  <c r="BK84" i="76"/>
  <c r="BM84" i="76"/>
  <c r="A85" i="76"/>
  <c r="B85" i="76"/>
  <c r="D85" i="76"/>
  <c r="G85" i="76"/>
  <c r="H85" i="76"/>
  <c r="J85" i="76"/>
  <c r="F85" i="76" s="1"/>
  <c r="K85" i="76"/>
  <c r="P85" i="76"/>
  <c r="R85" i="76"/>
  <c r="U85" i="76"/>
  <c r="V85" i="76"/>
  <c r="AE85" i="76"/>
  <c r="AJ85" i="76"/>
  <c r="AK85" i="76"/>
  <c r="AL85" i="76"/>
  <c r="AM85" i="76"/>
  <c r="AN85" i="76"/>
  <c r="AO85" i="76"/>
  <c r="AP85" i="76"/>
  <c r="AQ85" i="76"/>
  <c r="AR85" i="76"/>
  <c r="AS85" i="76"/>
  <c r="AT85" i="76"/>
  <c r="AU85" i="76"/>
  <c r="AV85" i="76"/>
  <c r="AW85" i="76"/>
  <c r="AX85" i="76"/>
  <c r="AY85" i="76"/>
  <c r="AZ85" i="76"/>
  <c r="BA85" i="76"/>
  <c r="BB85" i="76"/>
  <c r="BC85" i="76"/>
  <c r="BD85" i="76"/>
  <c r="BE85" i="76"/>
  <c r="BF85" i="76"/>
  <c r="BG85" i="76"/>
  <c r="BH85" i="76"/>
  <c r="BI85" i="76"/>
  <c r="BJ85" i="76"/>
  <c r="BK85" i="76"/>
  <c r="BM85" i="76"/>
  <c r="A86" i="76"/>
  <c r="B86" i="76"/>
  <c r="D86" i="76"/>
  <c r="G86" i="76"/>
  <c r="H86" i="76"/>
  <c r="J86" i="76"/>
  <c r="E86" i="76" s="1"/>
  <c r="K86" i="76"/>
  <c r="P86" i="76"/>
  <c r="R86" i="76"/>
  <c r="U86" i="76"/>
  <c r="V86" i="76"/>
  <c r="AE86" i="76"/>
  <c r="AJ86" i="76"/>
  <c r="AK86" i="76"/>
  <c r="AL86" i="76"/>
  <c r="AM86" i="76"/>
  <c r="AN86" i="76"/>
  <c r="AO86" i="76"/>
  <c r="AP86" i="76"/>
  <c r="AQ86" i="76"/>
  <c r="AR86" i="76"/>
  <c r="AS86" i="76"/>
  <c r="AT86" i="76"/>
  <c r="AU86" i="76"/>
  <c r="AV86" i="76"/>
  <c r="AW86" i="76"/>
  <c r="AX86" i="76"/>
  <c r="AY86" i="76"/>
  <c r="AZ86" i="76"/>
  <c r="BA86" i="76"/>
  <c r="BB86" i="76"/>
  <c r="BC86" i="76"/>
  <c r="BD86" i="76"/>
  <c r="BE86" i="76"/>
  <c r="BF86" i="76"/>
  <c r="BG86" i="76"/>
  <c r="BH86" i="76"/>
  <c r="BI86" i="76"/>
  <c r="BJ86" i="76"/>
  <c r="BK86" i="76"/>
  <c r="BM86" i="76"/>
  <c r="A87" i="76"/>
  <c r="B87" i="76"/>
  <c r="D87" i="76"/>
  <c r="G87" i="76"/>
  <c r="H87" i="76"/>
  <c r="J87" i="76"/>
  <c r="K87" i="76"/>
  <c r="P87" i="76"/>
  <c r="R87" i="76"/>
  <c r="U87" i="76"/>
  <c r="V87" i="76"/>
  <c r="AE87" i="76"/>
  <c r="AJ87" i="76"/>
  <c r="AK87" i="76"/>
  <c r="AL87" i="76"/>
  <c r="AM87" i="76"/>
  <c r="AN87" i="76"/>
  <c r="AO87" i="76"/>
  <c r="AP87" i="76"/>
  <c r="AQ87" i="76"/>
  <c r="AR87" i="76"/>
  <c r="AS87" i="76"/>
  <c r="AT87" i="76"/>
  <c r="AU87" i="76"/>
  <c r="AV87" i="76"/>
  <c r="AW87" i="76"/>
  <c r="AX87" i="76"/>
  <c r="AY87" i="76"/>
  <c r="AZ87" i="76"/>
  <c r="BA87" i="76"/>
  <c r="BB87" i="76"/>
  <c r="BC87" i="76"/>
  <c r="BD87" i="76"/>
  <c r="BE87" i="76"/>
  <c r="BF87" i="76"/>
  <c r="BG87" i="76"/>
  <c r="BH87" i="76"/>
  <c r="BI87" i="76"/>
  <c r="BJ87" i="76"/>
  <c r="BK87" i="76"/>
  <c r="BM87" i="76"/>
  <c r="A88" i="76"/>
  <c r="B88" i="76"/>
  <c r="D88" i="76"/>
  <c r="G88" i="76"/>
  <c r="H88" i="76"/>
  <c r="J88" i="76"/>
  <c r="E88" i="76" s="1"/>
  <c r="K88" i="76"/>
  <c r="P88" i="76"/>
  <c r="R88" i="76"/>
  <c r="U88" i="76"/>
  <c r="V88" i="76"/>
  <c r="AE88" i="76"/>
  <c r="AJ88" i="76"/>
  <c r="AK88" i="76"/>
  <c r="AL88" i="76"/>
  <c r="AM88" i="76"/>
  <c r="AN88" i="76"/>
  <c r="AO88" i="76"/>
  <c r="AP88" i="76"/>
  <c r="AQ88" i="76"/>
  <c r="AR88" i="76"/>
  <c r="AS88" i="76"/>
  <c r="AT88" i="76"/>
  <c r="AU88" i="76"/>
  <c r="AV88" i="76"/>
  <c r="AW88" i="76"/>
  <c r="AX88" i="76"/>
  <c r="AY88" i="76"/>
  <c r="AZ88" i="76"/>
  <c r="BA88" i="76"/>
  <c r="BB88" i="76"/>
  <c r="BC88" i="76"/>
  <c r="BD88" i="76"/>
  <c r="BE88" i="76"/>
  <c r="BF88" i="76"/>
  <c r="BG88" i="76"/>
  <c r="BH88" i="76"/>
  <c r="BI88" i="76"/>
  <c r="BJ88" i="76"/>
  <c r="BK88" i="76"/>
  <c r="BM88" i="76"/>
  <c r="A89" i="76"/>
  <c r="B89" i="76"/>
  <c r="D89" i="76"/>
  <c r="G89" i="76"/>
  <c r="H89" i="76"/>
  <c r="J89" i="76"/>
  <c r="E89" i="76" s="1"/>
  <c r="K89" i="76"/>
  <c r="P89" i="76"/>
  <c r="R89" i="76"/>
  <c r="U89" i="76"/>
  <c r="V89" i="76"/>
  <c r="AE89" i="76"/>
  <c r="AJ89" i="76"/>
  <c r="AK89" i="76"/>
  <c r="AL89" i="76"/>
  <c r="AM89" i="76"/>
  <c r="AN89" i="76"/>
  <c r="AO89" i="76"/>
  <c r="AP89" i="76"/>
  <c r="AQ89" i="76"/>
  <c r="AR89" i="76"/>
  <c r="AS89" i="76"/>
  <c r="AT89" i="76"/>
  <c r="AU89" i="76"/>
  <c r="AV89" i="76"/>
  <c r="AW89" i="76"/>
  <c r="AX89" i="76"/>
  <c r="AY89" i="76"/>
  <c r="AZ89" i="76"/>
  <c r="BA89" i="76"/>
  <c r="BB89" i="76"/>
  <c r="BC89" i="76"/>
  <c r="BD89" i="76"/>
  <c r="BE89" i="76"/>
  <c r="BF89" i="76"/>
  <c r="BG89" i="76"/>
  <c r="BH89" i="76"/>
  <c r="BI89" i="76"/>
  <c r="BJ89" i="76"/>
  <c r="BK89" i="76"/>
  <c r="BM89" i="76"/>
  <c r="A90" i="76"/>
  <c r="B90" i="76"/>
  <c r="D90" i="76"/>
  <c r="G90" i="76"/>
  <c r="H90" i="76"/>
  <c r="J90" i="76"/>
  <c r="F90" i="76" s="1"/>
  <c r="K90" i="76"/>
  <c r="P90" i="76"/>
  <c r="R90" i="76"/>
  <c r="U90" i="76"/>
  <c r="V90" i="76"/>
  <c r="AE90" i="76"/>
  <c r="AJ90" i="76"/>
  <c r="AK90" i="76"/>
  <c r="AL90" i="76"/>
  <c r="AM90" i="76"/>
  <c r="AN90" i="76"/>
  <c r="AO90" i="76"/>
  <c r="AP90" i="76"/>
  <c r="AQ90" i="76"/>
  <c r="AR90" i="76"/>
  <c r="AS90" i="76"/>
  <c r="AT90" i="76"/>
  <c r="AU90" i="76"/>
  <c r="AV90" i="76"/>
  <c r="AW90" i="76"/>
  <c r="AX90" i="76"/>
  <c r="AY90" i="76"/>
  <c r="AZ90" i="76"/>
  <c r="BA90" i="76"/>
  <c r="BB90" i="76"/>
  <c r="BC90" i="76"/>
  <c r="BD90" i="76"/>
  <c r="BE90" i="76"/>
  <c r="BF90" i="76"/>
  <c r="BG90" i="76"/>
  <c r="BH90" i="76"/>
  <c r="BI90" i="76"/>
  <c r="BJ90" i="76"/>
  <c r="BK90" i="76"/>
  <c r="BM90" i="76"/>
  <c r="A91" i="76"/>
  <c r="B91" i="76"/>
  <c r="D91" i="76"/>
  <c r="G91" i="76"/>
  <c r="H91" i="76"/>
  <c r="J91" i="76"/>
  <c r="E91" i="76" s="1"/>
  <c r="K91" i="76"/>
  <c r="P91" i="76"/>
  <c r="R91" i="76"/>
  <c r="U91" i="76"/>
  <c r="V91" i="76"/>
  <c r="AE91" i="76"/>
  <c r="AJ91" i="76"/>
  <c r="AK91" i="76"/>
  <c r="AL91" i="76"/>
  <c r="AM91" i="76"/>
  <c r="AN91" i="76"/>
  <c r="AO91" i="76"/>
  <c r="AP91" i="76"/>
  <c r="AQ91" i="76"/>
  <c r="AR91" i="76"/>
  <c r="AS91" i="76"/>
  <c r="AT91" i="76"/>
  <c r="AU91" i="76"/>
  <c r="AV91" i="76"/>
  <c r="AW91" i="76"/>
  <c r="AX91" i="76"/>
  <c r="AY91" i="76"/>
  <c r="AZ91" i="76"/>
  <c r="BA91" i="76"/>
  <c r="BB91" i="76"/>
  <c r="BC91" i="76"/>
  <c r="BD91" i="76"/>
  <c r="BE91" i="76"/>
  <c r="BF91" i="76"/>
  <c r="BG91" i="76"/>
  <c r="BH91" i="76"/>
  <c r="BI91" i="76"/>
  <c r="BJ91" i="76"/>
  <c r="BK91" i="76"/>
  <c r="BM91" i="76"/>
  <c r="A92" i="76"/>
  <c r="B92" i="76"/>
  <c r="D92" i="76"/>
  <c r="G92" i="76"/>
  <c r="H92" i="76"/>
  <c r="J92" i="76"/>
  <c r="F92" i="76" s="1"/>
  <c r="K92" i="76"/>
  <c r="P92" i="76"/>
  <c r="R92" i="76"/>
  <c r="U92" i="76"/>
  <c r="V92" i="76"/>
  <c r="AE92" i="76"/>
  <c r="AJ92" i="76"/>
  <c r="AK92" i="76"/>
  <c r="AL92" i="76"/>
  <c r="AM92" i="76"/>
  <c r="AN92" i="76"/>
  <c r="AO92" i="76"/>
  <c r="AP92" i="76"/>
  <c r="AQ92" i="76"/>
  <c r="AR92" i="76"/>
  <c r="AS92" i="76"/>
  <c r="AT92" i="76"/>
  <c r="AU92" i="76"/>
  <c r="AV92" i="76"/>
  <c r="AW92" i="76"/>
  <c r="AX92" i="76"/>
  <c r="AY92" i="76"/>
  <c r="AZ92" i="76"/>
  <c r="BA92" i="76"/>
  <c r="BB92" i="76"/>
  <c r="BC92" i="76"/>
  <c r="BD92" i="76"/>
  <c r="BE92" i="76"/>
  <c r="BF92" i="76"/>
  <c r="BG92" i="76"/>
  <c r="BH92" i="76"/>
  <c r="BI92" i="76"/>
  <c r="BJ92" i="76"/>
  <c r="BK92" i="76"/>
  <c r="BM92" i="76"/>
  <c r="A93" i="76"/>
  <c r="B93" i="76"/>
  <c r="D93" i="76"/>
  <c r="G93" i="76"/>
  <c r="H93" i="76"/>
  <c r="J93" i="76"/>
  <c r="K93" i="76"/>
  <c r="P93" i="76"/>
  <c r="R93" i="76"/>
  <c r="U93" i="76"/>
  <c r="V93" i="76"/>
  <c r="AE93" i="76"/>
  <c r="AJ93" i="76"/>
  <c r="AK93" i="76"/>
  <c r="AL93" i="76"/>
  <c r="AM93" i="76"/>
  <c r="AN93" i="76"/>
  <c r="AO93" i="76"/>
  <c r="AP93" i="76"/>
  <c r="AQ93" i="76"/>
  <c r="AR93" i="76"/>
  <c r="AS93" i="76"/>
  <c r="AT93" i="76"/>
  <c r="AU93" i="76"/>
  <c r="AV93" i="76"/>
  <c r="AW93" i="76"/>
  <c r="AX93" i="76"/>
  <c r="AY93" i="76"/>
  <c r="AZ93" i="76"/>
  <c r="BA93" i="76"/>
  <c r="BB93" i="76"/>
  <c r="BC93" i="76"/>
  <c r="BD93" i="76"/>
  <c r="BE93" i="76"/>
  <c r="BF93" i="76"/>
  <c r="BG93" i="76"/>
  <c r="BH93" i="76"/>
  <c r="BI93" i="76"/>
  <c r="BJ93" i="76"/>
  <c r="BK93" i="76"/>
  <c r="BM93" i="76"/>
  <c r="A94" i="76"/>
  <c r="B94" i="76"/>
  <c r="D94" i="76"/>
  <c r="G94" i="76"/>
  <c r="H94" i="76"/>
  <c r="J94" i="76"/>
  <c r="E94" i="76" s="1"/>
  <c r="K94" i="76"/>
  <c r="P94" i="76"/>
  <c r="U94" i="76"/>
  <c r="V94" i="76"/>
  <c r="AE94" i="76"/>
  <c r="AJ94" i="76"/>
  <c r="AK94" i="76"/>
  <c r="AL94" i="76"/>
  <c r="AM94" i="76"/>
  <c r="AN94" i="76"/>
  <c r="AO94" i="76"/>
  <c r="AP94" i="76"/>
  <c r="AQ94" i="76"/>
  <c r="AR94" i="76"/>
  <c r="AS94" i="76"/>
  <c r="AT94" i="76"/>
  <c r="AU94" i="76"/>
  <c r="AV94" i="76"/>
  <c r="AW94" i="76"/>
  <c r="AX94" i="76"/>
  <c r="AY94" i="76"/>
  <c r="AZ94" i="76"/>
  <c r="BA94" i="76"/>
  <c r="BB94" i="76"/>
  <c r="BC94" i="76"/>
  <c r="BD94" i="76"/>
  <c r="BE94" i="76"/>
  <c r="BF94" i="76"/>
  <c r="BG94" i="76"/>
  <c r="BH94" i="76"/>
  <c r="BI94" i="76"/>
  <c r="BJ94" i="76"/>
  <c r="BK94" i="76"/>
  <c r="BM94" i="76"/>
  <c r="A95" i="76"/>
  <c r="B95" i="76"/>
  <c r="D95" i="76"/>
  <c r="G95" i="76"/>
  <c r="H95" i="76"/>
  <c r="J95" i="76"/>
  <c r="E95" i="76" s="1"/>
  <c r="K95" i="76"/>
  <c r="P95" i="76"/>
  <c r="R95" i="76"/>
  <c r="U95" i="76"/>
  <c r="V95" i="76"/>
  <c r="AE95" i="76"/>
  <c r="AJ95" i="76"/>
  <c r="AK95" i="76"/>
  <c r="AL95" i="76"/>
  <c r="AM95" i="76"/>
  <c r="AN95" i="76"/>
  <c r="AO95" i="76"/>
  <c r="AP95" i="76"/>
  <c r="AQ95" i="76"/>
  <c r="AR95" i="76"/>
  <c r="AS95" i="76"/>
  <c r="AT95" i="76"/>
  <c r="AU95" i="76"/>
  <c r="AV95" i="76"/>
  <c r="AW95" i="76"/>
  <c r="AX95" i="76"/>
  <c r="AY95" i="76"/>
  <c r="AZ95" i="76"/>
  <c r="BA95" i="76"/>
  <c r="BB95" i="76"/>
  <c r="BC95" i="76"/>
  <c r="BD95" i="76"/>
  <c r="BE95" i="76"/>
  <c r="BF95" i="76"/>
  <c r="BG95" i="76"/>
  <c r="BH95" i="76"/>
  <c r="BI95" i="76"/>
  <c r="BJ95" i="76"/>
  <c r="BK95" i="76"/>
  <c r="BM95" i="76"/>
  <c r="A96" i="76"/>
  <c r="B96" i="76"/>
  <c r="D96" i="76"/>
  <c r="G96" i="76"/>
  <c r="H96" i="76"/>
  <c r="J96" i="76"/>
  <c r="K96" i="76"/>
  <c r="P96" i="76"/>
  <c r="R96" i="76"/>
  <c r="U96" i="76"/>
  <c r="V96" i="76"/>
  <c r="AE96" i="76"/>
  <c r="AJ96" i="76"/>
  <c r="AK96" i="76"/>
  <c r="AL96" i="76"/>
  <c r="AM96" i="76"/>
  <c r="AN96" i="76"/>
  <c r="AO96" i="76"/>
  <c r="AP96" i="76"/>
  <c r="AQ96" i="76"/>
  <c r="AR96" i="76"/>
  <c r="AS96" i="76"/>
  <c r="AT96" i="76"/>
  <c r="AU96" i="76"/>
  <c r="AV96" i="76"/>
  <c r="AW96" i="76"/>
  <c r="AX96" i="76"/>
  <c r="AY96" i="76"/>
  <c r="AZ96" i="76"/>
  <c r="BA96" i="76"/>
  <c r="BB96" i="76"/>
  <c r="BC96" i="76"/>
  <c r="BD96" i="76"/>
  <c r="BE96" i="76"/>
  <c r="BF96" i="76"/>
  <c r="BG96" i="76"/>
  <c r="BH96" i="76"/>
  <c r="BI96" i="76"/>
  <c r="BJ96" i="76"/>
  <c r="BK96" i="76"/>
  <c r="BM96" i="76"/>
  <c r="A97" i="76"/>
  <c r="B97" i="76"/>
  <c r="D97" i="76"/>
  <c r="G97" i="76"/>
  <c r="H97" i="76"/>
  <c r="J97" i="76"/>
  <c r="E97" i="76" s="1"/>
  <c r="K97" i="76"/>
  <c r="P97" i="76"/>
  <c r="R97" i="76"/>
  <c r="U97" i="76"/>
  <c r="V97" i="76"/>
  <c r="AE97" i="76"/>
  <c r="AJ97" i="76"/>
  <c r="AK97" i="76"/>
  <c r="AL97" i="76"/>
  <c r="AM97" i="76"/>
  <c r="AN97" i="76"/>
  <c r="AO97" i="76"/>
  <c r="AP97" i="76"/>
  <c r="AQ97" i="76"/>
  <c r="AR97" i="76"/>
  <c r="AS97" i="76"/>
  <c r="AT97" i="76"/>
  <c r="AU97" i="76"/>
  <c r="AV97" i="76"/>
  <c r="AW97" i="76"/>
  <c r="AX97" i="76"/>
  <c r="AY97" i="76"/>
  <c r="AZ97" i="76"/>
  <c r="BA97" i="76"/>
  <c r="BB97" i="76"/>
  <c r="BC97" i="76"/>
  <c r="BD97" i="76"/>
  <c r="BE97" i="76"/>
  <c r="BF97" i="76"/>
  <c r="BG97" i="76"/>
  <c r="BH97" i="76"/>
  <c r="BI97" i="76"/>
  <c r="BJ97" i="76"/>
  <c r="BK97" i="76"/>
  <c r="BM97" i="76"/>
  <c r="A98" i="76"/>
  <c r="B98" i="76"/>
  <c r="D98" i="76"/>
  <c r="G98" i="76"/>
  <c r="H98" i="76"/>
  <c r="J98" i="76"/>
  <c r="K98" i="76"/>
  <c r="P98" i="76"/>
  <c r="R98" i="76"/>
  <c r="U98" i="76"/>
  <c r="V98" i="76"/>
  <c r="AE98" i="76"/>
  <c r="AJ98" i="76"/>
  <c r="AK98" i="76"/>
  <c r="AL98" i="76"/>
  <c r="AM98" i="76"/>
  <c r="AN98" i="76"/>
  <c r="AO98" i="76"/>
  <c r="AP98" i="76"/>
  <c r="AQ98" i="76"/>
  <c r="AR98" i="76"/>
  <c r="AS98" i="76"/>
  <c r="AT98" i="76"/>
  <c r="AU98" i="76"/>
  <c r="AV98" i="76"/>
  <c r="AW98" i="76"/>
  <c r="AX98" i="76"/>
  <c r="AY98" i="76"/>
  <c r="AZ98" i="76"/>
  <c r="BA98" i="76"/>
  <c r="BB98" i="76"/>
  <c r="BC98" i="76"/>
  <c r="BD98" i="76"/>
  <c r="BE98" i="76"/>
  <c r="BF98" i="76"/>
  <c r="BG98" i="76"/>
  <c r="BH98" i="76"/>
  <c r="BI98" i="76"/>
  <c r="BJ98" i="76"/>
  <c r="BK98" i="76"/>
  <c r="BM98" i="76"/>
  <c r="A99" i="76"/>
  <c r="B99" i="76"/>
  <c r="D99" i="76"/>
  <c r="G99" i="76"/>
  <c r="H99" i="76"/>
  <c r="J99" i="76"/>
  <c r="K99" i="76"/>
  <c r="P99" i="76"/>
  <c r="R99" i="76"/>
  <c r="U99" i="76"/>
  <c r="V99" i="76"/>
  <c r="AE99" i="76"/>
  <c r="AJ99" i="76"/>
  <c r="AK99" i="76"/>
  <c r="AL99" i="76"/>
  <c r="AM99" i="76"/>
  <c r="AN99" i="76"/>
  <c r="AO99" i="76"/>
  <c r="AP99" i="76"/>
  <c r="AQ99" i="76"/>
  <c r="AR99" i="76"/>
  <c r="AS99" i="76"/>
  <c r="AT99" i="76"/>
  <c r="AU99" i="76"/>
  <c r="AV99" i="76"/>
  <c r="AW99" i="76"/>
  <c r="AX99" i="76"/>
  <c r="AY99" i="76"/>
  <c r="AZ99" i="76"/>
  <c r="BA99" i="76"/>
  <c r="BB99" i="76"/>
  <c r="BC99" i="76"/>
  <c r="BD99" i="76"/>
  <c r="BE99" i="76"/>
  <c r="BF99" i="76"/>
  <c r="BG99" i="76"/>
  <c r="BH99" i="76"/>
  <c r="BI99" i="76"/>
  <c r="BJ99" i="76"/>
  <c r="BK99" i="76"/>
  <c r="BM99" i="76"/>
  <c r="A100" i="76"/>
  <c r="B100" i="76"/>
  <c r="D100" i="76"/>
  <c r="G100" i="76"/>
  <c r="H100" i="76"/>
  <c r="J100" i="76"/>
  <c r="E100" i="76" s="1"/>
  <c r="K100" i="76"/>
  <c r="P100" i="76"/>
  <c r="R100" i="76"/>
  <c r="U100" i="76"/>
  <c r="V100" i="76"/>
  <c r="AE100" i="76"/>
  <c r="AJ100" i="76"/>
  <c r="AK100" i="76"/>
  <c r="AL100" i="76"/>
  <c r="AM100" i="76"/>
  <c r="AN100" i="76"/>
  <c r="AO100" i="76"/>
  <c r="AP100" i="76"/>
  <c r="AQ100" i="76"/>
  <c r="AR100" i="76"/>
  <c r="AS100" i="76"/>
  <c r="AT100" i="76"/>
  <c r="AU100" i="76"/>
  <c r="AV100" i="76"/>
  <c r="AW100" i="76"/>
  <c r="AX100" i="76"/>
  <c r="AY100" i="76"/>
  <c r="AZ100" i="76"/>
  <c r="BA100" i="76"/>
  <c r="BB100" i="76"/>
  <c r="BC100" i="76"/>
  <c r="BD100" i="76"/>
  <c r="BE100" i="76"/>
  <c r="BF100" i="76"/>
  <c r="BG100" i="76"/>
  <c r="BH100" i="76"/>
  <c r="BI100" i="76"/>
  <c r="BJ100" i="76"/>
  <c r="BK100" i="76"/>
  <c r="BM100" i="76"/>
  <c r="A101" i="76"/>
  <c r="B101" i="76"/>
  <c r="D101" i="76"/>
  <c r="G101" i="76"/>
  <c r="H101" i="76"/>
  <c r="J101" i="76"/>
  <c r="K101" i="76"/>
  <c r="R101" i="76"/>
  <c r="U101" i="76"/>
  <c r="V101" i="76"/>
  <c r="AE101" i="76"/>
  <c r="AJ101" i="76"/>
  <c r="AK101" i="76"/>
  <c r="AL101" i="76"/>
  <c r="AM101" i="76"/>
  <c r="AN101" i="76"/>
  <c r="AO101" i="76"/>
  <c r="AP101" i="76"/>
  <c r="AQ101" i="76"/>
  <c r="AR101" i="76"/>
  <c r="AS101" i="76"/>
  <c r="AT101" i="76"/>
  <c r="AU101" i="76"/>
  <c r="AV101" i="76"/>
  <c r="AW101" i="76"/>
  <c r="AX101" i="76"/>
  <c r="AY101" i="76"/>
  <c r="AZ101" i="76"/>
  <c r="BA101" i="76"/>
  <c r="BB101" i="76"/>
  <c r="BC101" i="76"/>
  <c r="BD101" i="76"/>
  <c r="BE101" i="76"/>
  <c r="BF101" i="76"/>
  <c r="BG101" i="76"/>
  <c r="BH101" i="76"/>
  <c r="BI101" i="76"/>
  <c r="BJ101" i="76"/>
  <c r="BK101" i="76"/>
  <c r="BM101" i="76"/>
  <c r="A102" i="76"/>
  <c r="B102" i="76"/>
  <c r="D102" i="76"/>
  <c r="G102" i="76"/>
  <c r="H102" i="76"/>
  <c r="J102" i="76"/>
  <c r="F102" i="76" s="1"/>
  <c r="K102" i="76"/>
  <c r="P102" i="76"/>
  <c r="R102" i="76"/>
  <c r="U102" i="76"/>
  <c r="V102" i="76"/>
  <c r="AE102" i="76"/>
  <c r="AJ102" i="76"/>
  <c r="AK102" i="76"/>
  <c r="AL102" i="76"/>
  <c r="AM102" i="76"/>
  <c r="AN102" i="76"/>
  <c r="AO102" i="76"/>
  <c r="AP102" i="76"/>
  <c r="AQ102" i="76"/>
  <c r="AR102" i="76"/>
  <c r="AS102" i="76"/>
  <c r="AT102" i="76"/>
  <c r="AU102" i="76"/>
  <c r="AV102" i="76"/>
  <c r="AW102" i="76"/>
  <c r="AX102" i="76"/>
  <c r="AY102" i="76"/>
  <c r="AZ102" i="76"/>
  <c r="BA102" i="76"/>
  <c r="BB102" i="76"/>
  <c r="BC102" i="76"/>
  <c r="BD102" i="76"/>
  <c r="BE102" i="76"/>
  <c r="BF102" i="76"/>
  <c r="BG102" i="76"/>
  <c r="BH102" i="76"/>
  <c r="BI102" i="76"/>
  <c r="BJ102" i="76"/>
  <c r="BK102" i="76"/>
  <c r="BM102" i="76"/>
  <c r="A103" i="76"/>
  <c r="B103" i="76"/>
  <c r="D103" i="76"/>
  <c r="G103" i="76"/>
  <c r="H103" i="76"/>
  <c r="J103" i="76"/>
  <c r="F103" i="76" s="1"/>
  <c r="K103" i="76"/>
  <c r="P103" i="76"/>
  <c r="R103" i="76"/>
  <c r="U103" i="76"/>
  <c r="V103" i="76"/>
  <c r="AE103" i="76"/>
  <c r="AJ103" i="76"/>
  <c r="AK103" i="76"/>
  <c r="AL103" i="76"/>
  <c r="AM103" i="76"/>
  <c r="AN103" i="76"/>
  <c r="AO103" i="76"/>
  <c r="AP103" i="76"/>
  <c r="AQ103" i="76"/>
  <c r="AR103" i="76"/>
  <c r="AS103" i="76"/>
  <c r="AT103" i="76"/>
  <c r="AU103" i="76"/>
  <c r="AV103" i="76"/>
  <c r="AW103" i="76"/>
  <c r="AX103" i="76"/>
  <c r="AY103" i="76"/>
  <c r="AZ103" i="76"/>
  <c r="BA103" i="76"/>
  <c r="BB103" i="76"/>
  <c r="BC103" i="76"/>
  <c r="BD103" i="76"/>
  <c r="BE103" i="76"/>
  <c r="BF103" i="76"/>
  <c r="BG103" i="76"/>
  <c r="BH103" i="76"/>
  <c r="BI103" i="76"/>
  <c r="BJ103" i="76"/>
  <c r="BK103" i="76"/>
  <c r="BM103" i="76"/>
  <c r="A104" i="76"/>
  <c r="B104" i="76"/>
  <c r="D104" i="76"/>
  <c r="G104" i="76"/>
  <c r="H104" i="76"/>
  <c r="J104" i="76"/>
  <c r="F104" i="76" s="1"/>
  <c r="K104" i="76"/>
  <c r="P104" i="76"/>
  <c r="R104" i="76"/>
  <c r="U104" i="76"/>
  <c r="V104" i="76"/>
  <c r="AE104" i="76"/>
  <c r="AJ104" i="76"/>
  <c r="AK104" i="76"/>
  <c r="AL104" i="76"/>
  <c r="AM104" i="76"/>
  <c r="AN104" i="76"/>
  <c r="AO104" i="76"/>
  <c r="AP104" i="76"/>
  <c r="AQ104" i="76"/>
  <c r="AR104" i="76"/>
  <c r="AS104" i="76"/>
  <c r="AT104" i="76"/>
  <c r="AU104" i="76"/>
  <c r="AV104" i="76"/>
  <c r="AW104" i="76"/>
  <c r="AX104" i="76"/>
  <c r="AY104" i="76"/>
  <c r="AZ104" i="76"/>
  <c r="BA104" i="76"/>
  <c r="BB104" i="76"/>
  <c r="BC104" i="76"/>
  <c r="BD104" i="76"/>
  <c r="BE104" i="76"/>
  <c r="BF104" i="76"/>
  <c r="BG104" i="76"/>
  <c r="BH104" i="76"/>
  <c r="BI104" i="76"/>
  <c r="BJ104" i="76"/>
  <c r="BK104" i="76"/>
  <c r="BM104" i="76"/>
  <c r="A105" i="76"/>
  <c r="B105" i="76"/>
  <c r="D105" i="76"/>
  <c r="G105" i="76"/>
  <c r="H105" i="76"/>
  <c r="J105" i="76"/>
  <c r="K105" i="76"/>
  <c r="P105" i="76"/>
  <c r="R105" i="76"/>
  <c r="U105" i="76"/>
  <c r="V105" i="76"/>
  <c r="AE105" i="76"/>
  <c r="AJ105" i="76"/>
  <c r="AK105" i="76"/>
  <c r="AL105" i="76"/>
  <c r="AM105" i="76"/>
  <c r="AN105" i="76"/>
  <c r="AO105" i="76"/>
  <c r="AP105" i="76"/>
  <c r="AQ105" i="76"/>
  <c r="AR105" i="76"/>
  <c r="AS105" i="76"/>
  <c r="AT105" i="76"/>
  <c r="AU105" i="76"/>
  <c r="AV105" i="76"/>
  <c r="AW105" i="76"/>
  <c r="AX105" i="76"/>
  <c r="AY105" i="76"/>
  <c r="AZ105" i="76"/>
  <c r="BA105" i="76"/>
  <c r="BB105" i="76"/>
  <c r="BC105" i="76"/>
  <c r="BD105" i="76"/>
  <c r="BE105" i="76"/>
  <c r="BF105" i="76"/>
  <c r="BG105" i="76"/>
  <c r="BH105" i="76"/>
  <c r="BI105" i="76"/>
  <c r="BJ105" i="76"/>
  <c r="BK105" i="76"/>
  <c r="BM105" i="76"/>
  <c r="A106" i="76"/>
  <c r="B106" i="76"/>
  <c r="D106" i="76"/>
  <c r="G106" i="76"/>
  <c r="H106" i="76"/>
  <c r="J106" i="76"/>
  <c r="E106" i="76" s="1"/>
  <c r="K106" i="76"/>
  <c r="P106" i="76"/>
  <c r="R106" i="76"/>
  <c r="U106" i="76"/>
  <c r="V106" i="76"/>
  <c r="AE106" i="76"/>
  <c r="AJ106" i="76"/>
  <c r="AK106" i="76"/>
  <c r="AL106" i="76"/>
  <c r="AM106" i="76"/>
  <c r="AN106" i="76"/>
  <c r="AO106" i="76"/>
  <c r="AP106" i="76"/>
  <c r="AQ106" i="76"/>
  <c r="AR106" i="76"/>
  <c r="AS106" i="76"/>
  <c r="AT106" i="76"/>
  <c r="AU106" i="76"/>
  <c r="AV106" i="76"/>
  <c r="AW106" i="76"/>
  <c r="AX106" i="76"/>
  <c r="AY106" i="76"/>
  <c r="AZ106" i="76"/>
  <c r="BA106" i="76"/>
  <c r="BB106" i="76"/>
  <c r="BC106" i="76"/>
  <c r="BD106" i="76"/>
  <c r="BE106" i="76"/>
  <c r="BF106" i="76"/>
  <c r="BG106" i="76"/>
  <c r="BH106" i="76"/>
  <c r="BI106" i="76"/>
  <c r="BJ106" i="76"/>
  <c r="BK106" i="76"/>
  <c r="BM106" i="76"/>
  <c r="A107" i="76"/>
  <c r="B107" i="76"/>
  <c r="D107" i="76"/>
  <c r="G107" i="76"/>
  <c r="H107" i="76"/>
  <c r="J107" i="76"/>
  <c r="E107" i="76" s="1"/>
  <c r="K107" i="76"/>
  <c r="P107" i="76"/>
  <c r="R107" i="76"/>
  <c r="U107" i="76"/>
  <c r="V107" i="76"/>
  <c r="AE107" i="76"/>
  <c r="AJ107" i="76"/>
  <c r="AK107" i="76"/>
  <c r="AL107" i="76"/>
  <c r="AM107" i="76"/>
  <c r="AN107" i="76"/>
  <c r="AO107" i="76"/>
  <c r="AP107" i="76"/>
  <c r="AQ107" i="76"/>
  <c r="AR107" i="76"/>
  <c r="AS107" i="76"/>
  <c r="AT107" i="76"/>
  <c r="AU107" i="76"/>
  <c r="AV107" i="76"/>
  <c r="AW107" i="76"/>
  <c r="AX107" i="76"/>
  <c r="AY107" i="76"/>
  <c r="AZ107" i="76"/>
  <c r="BA107" i="76"/>
  <c r="BB107" i="76"/>
  <c r="BC107" i="76"/>
  <c r="BD107" i="76"/>
  <c r="BE107" i="76"/>
  <c r="BF107" i="76"/>
  <c r="BG107" i="76"/>
  <c r="BH107" i="76"/>
  <c r="BI107" i="76"/>
  <c r="BJ107" i="76"/>
  <c r="BK107" i="76"/>
  <c r="BM107" i="76"/>
  <c r="A108" i="76"/>
  <c r="B108" i="76"/>
  <c r="D108" i="76"/>
  <c r="G108" i="76"/>
  <c r="H108" i="76"/>
  <c r="J108" i="76"/>
  <c r="F108" i="76" s="1"/>
  <c r="K108" i="76"/>
  <c r="P108" i="76"/>
  <c r="R108" i="76"/>
  <c r="U108" i="76"/>
  <c r="V108" i="76"/>
  <c r="AE108" i="76"/>
  <c r="AJ108" i="76"/>
  <c r="AK108" i="76"/>
  <c r="AL108" i="76"/>
  <c r="AM108" i="76"/>
  <c r="AN108" i="76"/>
  <c r="AO108" i="76"/>
  <c r="AP108" i="76"/>
  <c r="AQ108" i="76"/>
  <c r="AR108" i="76"/>
  <c r="AS108" i="76"/>
  <c r="AT108" i="76"/>
  <c r="AU108" i="76"/>
  <c r="AV108" i="76"/>
  <c r="AW108" i="76"/>
  <c r="AX108" i="76"/>
  <c r="AY108" i="76"/>
  <c r="AZ108" i="76"/>
  <c r="BA108" i="76"/>
  <c r="BB108" i="76"/>
  <c r="BC108" i="76"/>
  <c r="BD108" i="76"/>
  <c r="BE108" i="76"/>
  <c r="BF108" i="76"/>
  <c r="BG108" i="76"/>
  <c r="BH108" i="76"/>
  <c r="BI108" i="76"/>
  <c r="BJ108" i="76"/>
  <c r="BK108" i="76"/>
  <c r="BM108" i="76"/>
  <c r="A109" i="76"/>
  <c r="B109" i="76"/>
  <c r="D109" i="76"/>
  <c r="G109" i="76"/>
  <c r="H109" i="76"/>
  <c r="J109" i="76"/>
  <c r="F109" i="76" s="1"/>
  <c r="K109" i="76"/>
  <c r="P109" i="76"/>
  <c r="R109" i="76"/>
  <c r="U109" i="76"/>
  <c r="V109" i="76"/>
  <c r="AE109" i="76"/>
  <c r="AJ109" i="76"/>
  <c r="AK109" i="76"/>
  <c r="AL109" i="76"/>
  <c r="AM109" i="76"/>
  <c r="AN109" i="76"/>
  <c r="AO109" i="76"/>
  <c r="AP109" i="76"/>
  <c r="AQ109" i="76"/>
  <c r="AR109" i="76"/>
  <c r="AS109" i="76"/>
  <c r="AT109" i="76"/>
  <c r="AU109" i="76"/>
  <c r="AV109" i="76"/>
  <c r="AW109" i="76"/>
  <c r="AX109" i="76"/>
  <c r="AY109" i="76"/>
  <c r="AZ109" i="76"/>
  <c r="BA109" i="76"/>
  <c r="BB109" i="76"/>
  <c r="BC109" i="76"/>
  <c r="BD109" i="76"/>
  <c r="BE109" i="76"/>
  <c r="BF109" i="76"/>
  <c r="BG109" i="76"/>
  <c r="BH109" i="76"/>
  <c r="BI109" i="76"/>
  <c r="BJ109" i="76"/>
  <c r="BK109" i="76"/>
  <c r="BM109" i="76"/>
  <c r="A110" i="76"/>
  <c r="B110" i="76"/>
  <c r="D110" i="76"/>
  <c r="G110" i="76"/>
  <c r="H110" i="76"/>
  <c r="J110" i="76"/>
  <c r="E110" i="76" s="1"/>
  <c r="K110" i="76"/>
  <c r="P110" i="76"/>
  <c r="R110" i="76"/>
  <c r="U110" i="76"/>
  <c r="V110" i="76"/>
  <c r="AE110" i="76"/>
  <c r="AJ110" i="76"/>
  <c r="AK110" i="76"/>
  <c r="AL110" i="76"/>
  <c r="AM110" i="76"/>
  <c r="AN110" i="76"/>
  <c r="AO110" i="76"/>
  <c r="AP110" i="76"/>
  <c r="AQ110" i="76"/>
  <c r="AR110" i="76"/>
  <c r="AS110" i="76"/>
  <c r="AT110" i="76"/>
  <c r="AU110" i="76"/>
  <c r="AV110" i="76"/>
  <c r="AW110" i="76"/>
  <c r="AX110" i="76"/>
  <c r="AY110" i="76"/>
  <c r="AZ110" i="76"/>
  <c r="BA110" i="76"/>
  <c r="BB110" i="76"/>
  <c r="BC110" i="76"/>
  <c r="BD110" i="76"/>
  <c r="BE110" i="76"/>
  <c r="BF110" i="76"/>
  <c r="BG110" i="76"/>
  <c r="BH110" i="76"/>
  <c r="BI110" i="76"/>
  <c r="BJ110" i="76"/>
  <c r="BK110" i="76"/>
  <c r="BM110" i="76"/>
  <c r="A111" i="76"/>
  <c r="B111" i="76"/>
  <c r="D111" i="76"/>
  <c r="G111" i="76"/>
  <c r="H111" i="76"/>
  <c r="J111" i="76"/>
  <c r="F111" i="76" s="1"/>
  <c r="K111" i="76"/>
  <c r="P111" i="76"/>
  <c r="R111" i="76"/>
  <c r="U111" i="76"/>
  <c r="V111" i="76"/>
  <c r="AE111" i="76"/>
  <c r="AJ111" i="76"/>
  <c r="AK111" i="76"/>
  <c r="AL111" i="76"/>
  <c r="AM111" i="76"/>
  <c r="AN111" i="76"/>
  <c r="AO111" i="76"/>
  <c r="AP111" i="76"/>
  <c r="AQ111" i="76"/>
  <c r="AR111" i="76"/>
  <c r="AS111" i="76"/>
  <c r="AT111" i="76"/>
  <c r="AU111" i="76"/>
  <c r="AV111" i="76"/>
  <c r="AW111" i="76"/>
  <c r="AX111" i="76"/>
  <c r="AY111" i="76"/>
  <c r="AZ111" i="76"/>
  <c r="BA111" i="76"/>
  <c r="BB111" i="76"/>
  <c r="BC111" i="76"/>
  <c r="BD111" i="76"/>
  <c r="BE111" i="76"/>
  <c r="BF111" i="76"/>
  <c r="BG111" i="76"/>
  <c r="BH111" i="76"/>
  <c r="BI111" i="76"/>
  <c r="BJ111" i="76"/>
  <c r="BK111" i="76"/>
  <c r="BM111" i="76"/>
  <c r="A112" i="76"/>
  <c r="B112" i="76"/>
  <c r="D112" i="76"/>
  <c r="G112" i="76"/>
  <c r="H112" i="76"/>
  <c r="J112" i="76"/>
  <c r="F112" i="76" s="1"/>
  <c r="K112" i="76"/>
  <c r="P112" i="76"/>
  <c r="R112" i="76"/>
  <c r="U112" i="76"/>
  <c r="V112" i="76"/>
  <c r="AE112" i="76"/>
  <c r="AJ112" i="76"/>
  <c r="AK112" i="76"/>
  <c r="AL112" i="76"/>
  <c r="AM112" i="76"/>
  <c r="AN112" i="76"/>
  <c r="AO112" i="76"/>
  <c r="AP112" i="76"/>
  <c r="AQ112" i="76"/>
  <c r="AR112" i="76"/>
  <c r="AS112" i="76"/>
  <c r="AT112" i="76"/>
  <c r="AU112" i="76"/>
  <c r="AV112" i="76"/>
  <c r="AW112" i="76"/>
  <c r="AX112" i="76"/>
  <c r="AY112" i="76"/>
  <c r="AZ112" i="76"/>
  <c r="BA112" i="76"/>
  <c r="BB112" i="76"/>
  <c r="BC112" i="76"/>
  <c r="BD112" i="76"/>
  <c r="BE112" i="76"/>
  <c r="BF112" i="76"/>
  <c r="BG112" i="76"/>
  <c r="BH112" i="76"/>
  <c r="BI112" i="76"/>
  <c r="BJ112" i="76"/>
  <c r="BK112" i="76"/>
  <c r="BM112" i="76"/>
  <c r="A113" i="76"/>
  <c r="B113" i="76"/>
  <c r="D113" i="76"/>
  <c r="G113" i="76"/>
  <c r="H113" i="76"/>
  <c r="J113" i="76"/>
  <c r="F113" i="76" s="1"/>
  <c r="K113" i="76"/>
  <c r="P113" i="76"/>
  <c r="R113" i="76"/>
  <c r="U113" i="76"/>
  <c r="V113" i="76"/>
  <c r="AE113" i="76"/>
  <c r="AJ113" i="76"/>
  <c r="AK113" i="76"/>
  <c r="AL113" i="76"/>
  <c r="AM113" i="76"/>
  <c r="AN113" i="76"/>
  <c r="AO113" i="76"/>
  <c r="AP113" i="76"/>
  <c r="AQ113" i="76"/>
  <c r="AR113" i="76"/>
  <c r="AS113" i="76"/>
  <c r="AT113" i="76"/>
  <c r="AU113" i="76"/>
  <c r="AV113" i="76"/>
  <c r="AW113" i="76"/>
  <c r="AX113" i="76"/>
  <c r="AY113" i="76"/>
  <c r="AZ113" i="76"/>
  <c r="BA113" i="76"/>
  <c r="BB113" i="76"/>
  <c r="BC113" i="76"/>
  <c r="BD113" i="76"/>
  <c r="BE113" i="76"/>
  <c r="BF113" i="76"/>
  <c r="BG113" i="76"/>
  <c r="BH113" i="76"/>
  <c r="BI113" i="76"/>
  <c r="BJ113" i="76"/>
  <c r="BK113" i="76"/>
  <c r="BM113" i="76"/>
  <c r="A114" i="76"/>
  <c r="B114" i="76"/>
  <c r="D114" i="76"/>
  <c r="G114" i="76"/>
  <c r="H114" i="76"/>
  <c r="J114" i="76"/>
  <c r="F114" i="76" s="1"/>
  <c r="K114" i="76"/>
  <c r="P114" i="76"/>
  <c r="R114" i="76"/>
  <c r="U114" i="76"/>
  <c r="V114" i="76"/>
  <c r="AE114" i="76"/>
  <c r="AJ114" i="76"/>
  <c r="AK114" i="76"/>
  <c r="AL114" i="76"/>
  <c r="AM114" i="76"/>
  <c r="AN114" i="76"/>
  <c r="AO114" i="76"/>
  <c r="AP114" i="76"/>
  <c r="AQ114" i="76"/>
  <c r="AR114" i="76"/>
  <c r="AS114" i="76"/>
  <c r="AT114" i="76"/>
  <c r="AU114" i="76"/>
  <c r="AV114" i="76"/>
  <c r="AW114" i="76"/>
  <c r="AX114" i="76"/>
  <c r="AY114" i="76"/>
  <c r="AZ114" i="76"/>
  <c r="BA114" i="76"/>
  <c r="BB114" i="76"/>
  <c r="BC114" i="76"/>
  <c r="BD114" i="76"/>
  <c r="BE114" i="76"/>
  <c r="BF114" i="76"/>
  <c r="BG114" i="76"/>
  <c r="BH114" i="76"/>
  <c r="BI114" i="76"/>
  <c r="BJ114" i="76"/>
  <c r="BK114" i="76"/>
  <c r="BM114" i="76"/>
  <c r="A115" i="76"/>
  <c r="B115" i="76"/>
  <c r="D115" i="76"/>
  <c r="G115" i="76"/>
  <c r="H115" i="76"/>
  <c r="J115" i="76"/>
  <c r="E115" i="76" s="1"/>
  <c r="K115" i="76"/>
  <c r="P115" i="76"/>
  <c r="R115" i="76"/>
  <c r="U115" i="76"/>
  <c r="V115" i="76"/>
  <c r="AE115" i="76"/>
  <c r="AJ115" i="76"/>
  <c r="AK115" i="76"/>
  <c r="AL115" i="76"/>
  <c r="AM115" i="76"/>
  <c r="AN115" i="76"/>
  <c r="AO115" i="76"/>
  <c r="AP115" i="76"/>
  <c r="AQ115" i="76"/>
  <c r="AR115" i="76"/>
  <c r="AS115" i="76"/>
  <c r="AT115" i="76"/>
  <c r="AU115" i="76"/>
  <c r="AV115" i="76"/>
  <c r="AW115" i="76"/>
  <c r="AX115" i="76"/>
  <c r="AY115" i="76"/>
  <c r="AZ115" i="76"/>
  <c r="BA115" i="76"/>
  <c r="BB115" i="76"/>
  <c r="BC115" i="76"/>
  <c r="BD115" i="76"/>
  <c r="BE115" i="76"/>
  <c r="BF115" i="76"/>
  <c r="BG115" i="76"/>
  <c r="BH115" i="76"/>
  <c r="BI115" i="76"/>
  <c r="BJ115" i="76"/>
  <c r="BK115" i="76"/>
  <c r="BM115" i="76"/>
  <c r="A116" i="76"/>
  <c r="B116" i="76"/>
  <c r="D116" i="76"/>
  <c r="G116" i="76"/>
  <c r="H116" i="76"/>
  <c r="J116" i="76"/>
  <c r="K116" i="76"/>
  <c r="P116" i="76"/>
  <c r="R116" i="76"/>
  <c r="U116" i="76"/>
  <c r="V116" i="76"/>
  <c r="AE116" i="76"/>
  <c r="AJ116" i="76"/>
  <c r="AK116" i="76"/>
  <c r="AL116" i="76"/>
  <c r="AM116" i="76"/>
  <c r="AN116" i="76"/>
  <c r="AO116" i="76"/>
  <c r="AP116" i="76"/>
  <c r="AQ116" i="76"/>
  <c r="AR116" i="76"/>
  <c r="AS116" i="76"/>
  <c r="AT116" i="76"/>
  <c r="AU116" i="76"/>
  <c r="AV116" i="76"/>
  <c r="AW116" i="76"/>
  <c r="AX116" i="76"/>
  <c r="AY116" i="76"/>
  <c r="AZ116" i="76"/>
  <c r="BA116" i="76"/>
  <c r="BB116" i="76"/>
  <c r="BC116" i="76"/>
  <c r="BD116" i="76"/>
  <c r="BE116" i="76"/>
  <c r="BF116" i="76"/>
  <c r="BG116" i="76"/>
  <c r="BH116" i="76"/>
  <c r="BI116" i="76"/>
  <c r="BJ116" i="76"/>
  <c r="BK116" i="76"/>
  <c r="BM116" i="76"/>
  <c r="A117" i="76"/>
  <c r="B117" i="76"/>
  <c r="D117" i="76"/>
  <c r="G117" i="76"/>
  <c r="H117" i="76"/>
  <c r="J117" i="76"/>
  <c r="K117" i="76"/>
  <c r="P117" i="76"/>
  <c r="R117" i="76"/>
  <c r="U117" i="76"/>
  <c r="V117" i="76"/>
  <c r="AE117" i="76"/>
  <c r="AJ117" i="76"/>
  <c r="AK117" i="76"/>
  <c r="AL117" i="76"/>
  <c r="AM117" i="76"/>
  <c r="AN117" i="76"/>
  <c r="AO117" i="76"/>
  <c r="AP117" i="76"/>
  <c r="AQ117" i="76"/>
  <c r="AR117" i="76"/>
  <c r="AS117" i="76"/>
  <c r="AT117" i="76"/>
  <c r="AU117" i="76"/>
  <c r="AV117" i="76"/>
  <c r="AW117" i="76"/>
  <c r="AX117" i="76"/>
  <c r="AY117" i="76"/>
  <c r="AZ117" i="76"/>
  <c r="BA117" i="76"/>
  <c r="BB117" i="76"/>
  <c r="BC117" i="76"/>
  <c r="BD117" i="76"/>
  <c r="BE117" i="76"/>
  <c r="BF117" i="76"/>
  <c r="BG117" i="76"/>
  <c r="BH117" i="76"/>
  <c r="BI117" i="76"/>
  <c r="BJ117" i="76"/>
  <c r="BK117" i="76"/>
  <c r="BM117" i="76"/>
  <c r="A118" i="76"/>
  <c r="B118" i="76"/>
  <c r="D118" i="76"/>
  <c r="G118" i="76"/>
  <c r="H118" i="76"/>
  <c r="J118" i="76"/>
  <c r="F118" i="76" s="1"/>
  <c r="K118" i="76"/>
  <c r="P118" i="76"/>
  <c r="R118" i="76"/>
  <c r="U118" i="76"/>
  <c r="V118" i="76"/>
  <c r="AE118" i="76"/>
  <c r="AJ118" i="76"/>
  <c r="AK118" i="76"/>
  <c r="AL118" i="76"/>
  <c r="AM118" i="76"/>
  <c r="AN118" i="76"/>
  <c r="AO118" i="76"/>
  <c r="AP118" i="76"/>
  <c r="AQ118" i="76"/>
  <c r="AR118" i="76"/>
  <c r="AS118" i="76"/>
  <c r="AT118" i="76"/>
  <c r="AU118" i="76"/>
  <c r="AV118" i="76"/>
  <c r="AW118" i="76"/>
  <c r="AX118" i="76"/>
  <c r="AY118" i="76"/>
  <c r="AZ118" i="76"/>
  <c r="BA118" i="76"/>
  <c r="BB118" i="76"/>
  <c r="BC118" i="76"/>
  <c r="BD118" i="76"/>
  <c r="BE118" i="76"/>
  <c r="BF118" i="76"/>
  <c r="BG118" i="76"/>
  <c r="BH118" i="76"/>
  <c r="BI118" i="76"/>
  <c r="BJ118" i="76"/>
  <c r="BK118" i="76"/>
  <c r="BM118" i="76"/>
  <c r="A119" i="76"/>
  <c r="B119" i="76"/>
  <c r="D119" i="76"/>
  <c r="G119" i="76"/>
  <c r="H119" i="76"/>
  <c r="J119" i="76"/>
  <c r="K119" i="76"/>
  <c r="P119" i="76"/>
  <c r="R119" i="76"/>
  <c r="U119" i="76"/>
  <c r="V119" i="76"/>
  <c r="AE119" i="76"/>
  <c r="AJ119" i="76"/>
  <c r="AK119" i="76"/>
  <c r="AL119" i="76"/>
  <c r="AM119" i="76"/>
  <c r="AN119" i="76"/>
  <c r="AO119" i="76"/>
  <c r="AP119" i="76"/>
  <c r="AQ119" i="76"/>
  <c r="AR119" i="76"/>
  <c r="AS119" i="76"/>
  <c r="AT119" i="76"/>
  <c r="AU119" i="76"/>
  <c r="AV119" i="76"/>
  <c r="AW119" i="76"/>
  <c r="AX119" i="76"/>
  <c r="AY119" i="76"/>
  <c r="AZ119" i="76"/>
  <c r="BA119" i="76"/>
  <c r="BB119" i="76"/>
  <c r="BC119" i="76"/>
  <c r="BD119" i="76"/>
  <c r="BE119" i="76"/>
  <c r="BF119" i="76"/>
  <c r="BG119" i="76"/>
  <c r="BH119" i="76"/>
  <c r="BI119" i="76"/>
  <c r="BJ119" i="76"/>
  <c r="BK119" i="76"/>
  <c r="BM119" i="76"/>
  <c r="A120" i="76"/>
  <c r="B120" i="76"/>
  <c r="D120" i="76"/>
  <c r="G120" i="76"/>
  <c r="H120" i="76"/>
  <c r="J120" i="76"/>
  <c r="K120" i="76"/>
  <c r="P120" i="76"/>
  <c r="R120" i="76"/>
  <c r="U120" i="76"/>
  <c r="V120" i="76"/>
  <c r="AE120" i="76"/>
  <c r="AJ120" i="76"/>
  <c r="AK120" i="76"/>
  <c r="AL120" i="76"/>
  <c r="AM120" i="76"/>
  <c r="AN120" i="76"/>
  <c r="AO120" i="76"/>
  <c r="AP120" i="76"/>
  <c r="AQ120" i="76"/>
  <c r="AR120" i="76"/>
  <c r="AS120" i="76"/>
  <c r="AT120" i="76"/>
  <c r="AU120" i="76"/>
  <c r="AV120" i="76"/>
  <c r="AW120" i="76"/>
  <c r="AX120" i="76"/>
  <c r="AY120" i="76"/>
  <c r="AZ120" i="76"/>
  <c r="BA120" i="76"/>
  <c r="BB120" i="76"/>
  <c r="BC120" i="76"/>
  <c r="BD120" i="76"/>
  <c r="BE120" i="76"/>
  <c r="BF120" i="76"/>
  <c r="BG120" i="76"/>
  <c r="BH120" i="76"/>
  <c r="BI120" i="76"/>
  <c r="BJ120" i="76"/>
  <c r="BK120" i="76"/>
  <c r="BM120" i="76"/>
  <c r="A121" i="76"/>
  <c r="B121" i="76"/>
  <c r="D121" i="76"/>
  <c r="G121" i="76"/>
  <c r="H121" i="76"/>
  <c r="J121" i="76"/>
  <c r="F121" i="76" s="1"/>
  <c r="K121" i="76"/>
  <c r="P121" i="76"/>
  <c r="R121" i="76"/>
  <c r="U121" i="76"/>
  <c r="V121" i="76"/>
  <c r="AE121" i="76"/>
  <c r="AJ121" i="76"/>
  <c r="AK121" i="76"/>
  <c r="AL121" i="76"/>
  <c r="AM121" i="76"/>
  <c r="AN121" i="76"/>
  <c r="AO121" i="76"/>
  <c r="AP121" i="76"/>
  <c r="AQ121" i="76"/>
  <c r="AR121" i="76"/>
  <c r="AS121" i="76"/>
  <c r="AT121" i="76"/>
  <c r="AU121" i="76"/>
  <c r="AV121" i="76"/>
  <c r="AW121" i="76"/>
  <c r="AX121" i="76"/>
  <c r="AY121" i="76"/>
  <c r="AZ121" i="76"/>
  <c r="BA121" i="76"/>
  <c r="BB121" i="76"/>
  <c r="BC121" i="76"/>
  <c r="BD121" i="76"/>
  <c r="BE121" i="76"/>
  <c r="BF121" i="76"/>
  <c r="BG121" i="76"/>
  <c r="BH121" i="76"/>
  <c r="BI121" i="76"/>
  <c r="BJ121" i="76"/>
  <c r="BK121" i="76"/>
  <c r="BM121" i="76"/>
  <c r="A122" i="76"/>
  <c r="B122" i="76"/>
  <c r="D122" i="76"/>
  <c r="G122" i="76"/>
  <c r="H122" i="76"/>
  <c r="J122" i="76"/>
  <c r="E122" i="76" s="1"/>
  <c r="K122" i="76"/>
  <c r="P122" i="76"/>
  <c r="R122" i="76"/>
  <c r="U122" i="76"/>
  <c r="V122" i="76"/>
  <c r="AE122" i="76"/>
  <c r="AJ122" i="76"/>
  <c r="AK122" i="76"/>
  <c r="AL122" i="76"/>
  <c r="AM122" i="76"/>
  <c r="AN122" i="76"/>
  <c r="AO122" i="76"/>
  <c r="AP122" i="76"/>
  <c r="AQ122" i="76"/>
  <c r="AR122" i="76"/>
  <c r="AS122" i="76"/>
  <c r="AT122" i="76"/>
  <c r="AU122" i="76"/>
  <c r="AV122" i="76"/>
  <c r="AW122" i="76"/>
  <c r="AX122" i="76"/>
  <c r="AY122" i="76"/>
  <c r="AZ122" i="76"/>
  <c r="BA122" i="76"/>
  <c r="BB122" i="76"/>
  <c r="BC122" i="76"/>
  <c r="BD122" i="76"/>
  <c r="BE122" i="76"/>
  <c r="BF122" i="76"/>
  <c r="BG122" i="76"/>
  <c r="BH122" i="76"/>
  <c r="BI122" i="76"/>
  <c r="BJ122" i="76"/>
  <c r="BK122" i="76"/>
  <c r="BM122" i="76"/>
  <c r="A123" i="76"/>
  <c r="B123" i="76"/>
  <c r="D123" i="76"/>
  <c r="G123" i="76"/>
  <c r="H123" i="76"/>
  <c r="J123" i="76"/>
  <c r="K123" i="76"/>
  <c r="P123" i="76"/>
  <c r="R123" i="76"/>
  <c r="U123" i="76"/>
  <c r="V123" i="76"/>
  <c r="AE123" i="76"/>
  <c r="AJ123" i="76"/>
  <c r="AK123" i="76"/>
  <c r="AL123" i="76"/>
  <c r="AM123" i="76"/>
  <c r="AN123" i="76"/>
  <c r="AO123" i="76"/>
  <c r="AP123" i="76"/>
  <c r="AQ123" i="76"/>
  <c r="AR123" i="76"/>
  <c r="AS123" i="76"/>
  <c r="AT123" i="76"/>
  <c r="AU123" i="76"/>
  <c r="AV123" i="76"/>
  <c r="AW123" i="76"/>
  <c r="AX123" i="76"/>
  <c r="AY123" i="76"/>
  <c r="AZ123" i="76"/>
  <c r="BA123" i="76"/>
  <c r="BB123" i="76"/>
  <c r="BC123" i="76"/>
  <c r="BD123" i="76"/>
  <c r="BE123" i="76"/>
  <c r="BF123" i="76"/>
  <c r="BG123" i="76"/>
  <c r="BH123" i="76"/>
  <c r="BI123" i="76"/>
  <c r="BJ123" i="76"/>
  <c r="BK123" i="76"/>
  <c r="BM123" i="76"/>
  <c r="A124" i="76"/>
  <c r="B124" i="76"/>
  <c r="D124" i="76"/>
  <c r="G124" i="76"/>
  <c r="H124" i="76"/>
  <c r="J124" i="76"/>
  <c r="F124" i="76" s="1"/>
  <c r="K124" i="76"/>
  <c r="P124" i="76"/>
  <c r="R124" i="76"/>
  <c r="U124" i="76"/>
  <c r="V124" i="76"/>
  <c r="AE124" i="76"/>
  <c r="AJ124" i="76"/>
  <c r="AK124" i="76"/>
  <c r="AL124" i="76"/>
  <c r="AM124" i="76"/>
  <c r="AN124" i="76"/>
  <c r="AO124" i="76"/>
  <c r="AP124" i="76"/>
  <c r="AQ124" i="76"/>
  <c r="AR124" i="76"/>
  <c r="AS124" i="76"/>
  <c r="AT124" i="76"/>
  <c r="AU124" i="76"/>
  <c r="AV124" i="76"/>
  <c r="AW124" i="76"/>
  <c r="AX124" i="76"/>
  <c r="AY124" i="76"/>
  <c r="AZ124" i="76"/>
  <c r="BA124" i="76"/>
  <c r="BB124" i="76"/>
  <c r="BC124" i="76"/>
  <c r="BD124" i="76"/>
  <c r="BE124" i="76"/>
  <c r="BF124" i="76"/>
  <c r="BG124" i="76"/>
  <c r="BH124" i="76"/>
  <c r="BI124" i="76"/>
  <c r="BJ124" i="76"/>
  <c r="BK124" i="76"/>
  <c r="BM124" i="76"/>
  <c r="A125" i="76"/>
  <c r="B125" i="76"/>
  <c r="D125" i="76"/>
  <c r="G125" i="76"/>
  <c r="H125" i="76"/>
  <c r="J125" i="76"/>
  <c r="E125" i="76" s="1"/>
  <c r="K125" i="76"/>
  <c r="P125" i="76"/>
  <c r="R125" i="76"/>
  <c r="U125" i="76"/>
  <c r="V125" i="76"/>
  <c r="AE125" i="76"/>
  <c r="AJ125" i="76"/>
  <c r="AK125" i="76"/>
  <c r="AL125" i="76"/>
  <c r="AM125" i="76"/>
  <c r="AN125" i="76"/>
  <c r="AO125" i="76"/>
  <c r="AP125" i="76"/>
  <c r="AQ125" i="76"/>
  <c r="AR125" i="76"/>
  <c r="AS125" i="76"/>
  <c r="AT125" i="76"/>
  <c r="AU125" i="76"/>
  <c r="AV125" i="76"/>
  <c r="AW125" i="76"/>
  <c r="AX125" i="76"/>
  <c r="AY125" i="76"/>
  <c r="AZ125" i="76"/>
  <c r="BA125" i="76"/>
  <c r="BB125" i="76"/>
  <c r="BC125" i="76"/>
  <c r="BD125" i="76"/>
  <c r="BE125" i="76"/>
  <c r="BF125" i="76"/>
  <c r="BG125" i="76"/>
  <c r="BH125" i="76"/>
  <c r="BI125" i="76"/>
  <c r="BJ125" i="76"/>
  <c r="BK125" i="76"/>
  <c r="BM125" i="76"/>
  <c r="A126" i="76"/>
  <c r="B126" i="76"/>
  <c r="D126" i="76"/>
  <c r="G126" i="76"/>
  <c r="H126" i="76"/>
  <c r="J126" i="76"/>
  <c r="F126" i="76" s="1"/>
  <c r="K126" i="76"/>
  <c r="P126" i="76"/>
  <c r="R126" i="76"/>
  <c r="U126" i="76"/>
  <c r="V126" i="76"/>
  <c r="AE126" i="76"/>
  <c r="AJ126" i="76"/>
  <c r="AK126" i="76"/>
  <c r="AL126" i="76"/>
  <c r="AM126" i="76"/>
  <c r="AN126" i="76"/>
  <c r="AO126" i="76"/>
  <c r="AP126" i="76"/>
  <c r="AQ126" i="76"/>
  <c r="AR126" i="76"/>
  <c r="AS126" i="76"/>
  <c r="AT126" i="76"/>
  <c r="AU126" i="76"/>
  <c r="AV126" i="76"/>
  <c r="AW126" i="76"/>
  <c r="AX126" i="76"/>
  <c r="AY126" i="76"/>
  <c r="AZ126" i="76"/>
  <c r="BA126" i="76"/>
  <c r="BB126" i="76"/>
  <c r="BC126" i="76"/>
  <c r="BD126" i="76"/>
  <c r="BE126" i="76"/>
  <c r="BF126" i="76"/>
  <c r="BG126" i="76"/>
  <c r="BH126" i="76"/>
  <c r="BI126" i="76"/>
  <c r="BJ126" i="76"/>
  <c r="BK126" i="76"/>
  <c r="BM126" i="76"/>
  <c r="A127" i="76"/>
  <c r="B127" i="76"/>
  <c r="D127" i="76"/>
  <c r="G127" i="76"/>
  <c r="H127" i="76"/>
  <c r="J127" i="76"/>
  <c r="F127" i="76" s="1"/>
  <c r="K127" i="76"/>
  <c r="P127" i="76"/>
  <c r="R127" i="76"/>
  <c r="U127" i="76"/>
  <c r="V127" i="76"/>
  <c r="AE127" i="76"/>
  <c r="AJ127" i="76"/>
  <c r="AK127" i="76"/>
  <c r="AL127" i="76"/>
  <c r="AM127" i="76"/>
  <c r="AN127" i="76"/>
  <c r="AO127" i="76"/>
  <c r="AP127" i="76"/>
  <c r="AQ127" i="76"/>
  <c r="AR127" i="76"/>
  <c r="AS127" i="76"/>
  <c r="AT127" i="76"/>
  <c r="AU127" i="76"/>
  <c r="AV127" i="76"/>
  <c r="AW127" i="76"/>
  <c r="AX127" i="76"/>
  <c r="AY127" i="76"/>
  <c r="AZ127" i="76"/>
  <c r="BA127" i="76"/>
  <c r="BB127" i="76"/>
  <c r="BC127" i="76"/>
  <c r="BD127" i="76"/>
  <c r="BE127" i="76"/>
  <c r="BF127" i="76"/>
  <c r="BG127" i="76"/>
  <c r="BH127" i="76"/>
  <c r="BI127" i="76"/>
  <c r="BJ127" i="76"/>
  <c r="BK127" i="76"/>
  <c r="BM127" i="76"/>
  <c r="A128" i="76"/>
  <c r="B128" i="76"/>
  <c r="D128" i="76"/>
  <c r="G128" i="76"/>
  <c r="H128" i="76"/>
  <c r="J128" i="76"/>
  <c r="K128" i="76"/>
  <c r="P128" i="76"/>
  <c r="R128" i="76"/>
  <c r="U128" i="76"/>
  <c r="V128" i="76"/>
  <c r="AE128" i="76"/>
  <c r="AJ128" i="76"/>
  <c r="AK128" i="76"/>
  <c r="AL128" i="76"/>
  <c r="AM128" i="76"/>
  <c r="AN128" i="76"/>
  <c r="AO128" i="76"/>
  <c r="AP128" i="76"/>
  <c r="AQ128" i="76"/>
  <c r="AR128" i="76"/>
  <c r="AS128" i="76"/>
  <c r="AT128" i="76"/>
  <c r="AU128" i="76"/>
  <c r="AV128" i="76"/>
  <c r="AW128" i="76"/>
  <c r="AX128" i="76"/>
  <c r="AY128" i="76"/>
  <c r="AZ128" i="76"/>
  <c r="BA128" i="76"/>
  <c r="BB128" i="76"/>
  <c r="BC128" i="76"/>
  <c r="BD128" i="76"/>
  <c r="BE128" i="76"/>
  <c r="BF128" i="76"/>
  <c r="BG128" i="76"/>
  <c r="BH128" i="76"/>
  <c r="BI128" i="76"/>
  <c r="BJ128" i="76"/>
  <c r="BK128" i="76"/>
  <c r="BM128" i="76"/>
  <c r="A129" i="76"/>
  <c r="B129" i="76"/>
  <c r="D129" i="76"/>
  <c r="G129" i="76"/>
  <c r="H129" i="76"/>
  <c r="J129" i="76"/>
  <c r="K129" i="76"/>
  <c r="P129" i="76"/>
  <c r="R129" i="76"/>
  <c r="U129" i="76"/>
  <c r="V129" i="76"/>
  <c r="AE129" i="76"/>
  <c r="AJ129" i="76"/>
  <c r="AK129" i="76"/>
  <c r="AL129" i="76"/>
  <c r="AM129" i="76"/>
  <c r="AN129" i="76"/>
  <c r="AO129" i="76"/>
  <c r="AP129" i="76"/>
  <c r="AQ129" i="76"/>
  <c r="AR129" i="76"/>
  <c r="AS129" i="76"/>
  <c r="AT129" i="76"/>
  <c r="AU129" i="76"/>
  <c r="AV129" i="76"/>
  <c r="AW129" i="76"/>
  <c r="AX129" i="76"/>
  <c r="AY129" i="76"/>
  <c r="AZ129" i="76"/>
  <c r="BA129" i="76"/>
  <c r="BB129" i="76"/>
  <c r="BC129" i="76"/>
  <c r="BD129" i="76"/>
  <c r="BE129" i="76"/>
  <c r="BF129" i="76"/>
  <c r="BG129" i="76"/>
  <c r="BH129" i="76"/>
  <c r="BI129" i="76"/>
  <c r="BJ129" i="76"/>
  <c r="BK129" i="76"/>
  <c r="BM129" i="76"/>
  <c r="A130" i="76"/>
  <c r="B130" i="76"/>
  <c r="D130" i="76"/>
  <c r="G130" i="76"/>
  <c r="H130" i="76"/>
  <c r="J130" i="76"/>
  <c r="K130" i="76"/>
  <c r="P130" i="76"/>
  <c r="R130" i="76"/>
  <c r="U130" i="76"/>
  <c r="V130" i="76"/>
  <c r="AE130" i="76"/>
  <c r="AJ130" i="76"/>
  <c r="AK130" i="76"/>
  <c r="AL130" i="76"/>
  <c r="AM130" i="76"/>
  <c r="AN130" i="76"/>
  <c r="AO130" i="76"/>
  <c r="AP130" i="76"/>
  <c r="AQ130" i="76"/>
  <c r="AR130" i="76"/>
  <c r="AS130" i="76"/>
  <c r="AT130" i="76"/>
  <c r="AU130" i="76"/>
  <c r="AV130" i="76"/>
  <c r="AW130" i="76"/>
  <c r="AX130" i="76"/>
  <c r="AY130" i="76"/>
  <c r="AZ130" i="76"/>
  <c r="BA130" i="76"/>
  <c r="BB130" i="76"/>
  <c r="BC130" i="76"/>
  <c r="BD130" i="76"/>
  <c r="BE130" i="76"/>
  <c r="BF130" i="76"/>
  <c r="BG130" i="76"/>
  <c r="BH130" i="76"/>
  <c r="BI130" i="76"/>
  <c r="BJ130" i="76"/>
  <c r="BK130" i="76"/>
  <c r="BM130" i="76"/>
  <c r="A131" i="76"/>
  <c r="B131" i="76"/>
  <c r="D131" i="76"/>
  <c r="G131" i="76"/>
  <c r="H131" i="76"/>
  <c r="J131" i="76"/>
  <c r="K131" i="76"/>
  <c r="P131" i="76"/>
  <c r="R131" i="76"/>
  <c r="U131" i="76"/>
  <c r="V131" i="76"/>
  <c r="AE131" i="76"/>
  <c r="AJ131" i="76"/>
  <c r="AK131" i="76"/>
  <c r="AL131" i="76"/>
  <c r="AM131" i="76"/>
  <c r="AN131" i="76"/>
  <c r="AO131" i="76"/>
  <c r="AP131" i="76"/>
  <c r="AQ131" i="76"/>
  <c r="AR131" i="76"/>
  <c r="AS131" i="76"/>
  <c r="AT131" i="76"/>
  <c r="AU131" i="76"/>
  <c r="AV131" i="76"/>
  <c r="AW131" i="76"/>
  <c r="AX131" i="76"/>
  <c r="AY131" i="76"/>
  <c r="AZ131" i="76"/>
  <c r="BA131" i="76"/>
  <c r="BB131" i="76"/>
  <c r="BC131" i="76"/>
  <c r="BD131" i="76"/>
  <c r="BE131" i="76"/>
  <c r="BF131" i="76"/>
  <c r="BG131" i="76"/>
  <c r="BH131" i="76"/>
  <c r="BI131" i="76"/>
  <c r="BJ131" i="76"/>
  <c r="BK131" i="76"/>
  <c r="BM131" i="76"/>
  <c r="A132" i="76"/>
  <c r="B132" i="76"/>
  <c r="D132" i="76"/>
  <c r="G132" i="76"/>
  <c r="H132" i="76"/>
  <c r="J132" i="76"/>
  <c r="K132" i="76"/>
  <c r="P132" i="76"/>
  <c r="R132" i="76"/>
  <c r="U132" i="76"/>
  <c r="V132" i="76"/>
  <c r="AE132" i="76"/>
  <c r="AJ132" i="76"/>
  <c r="AK132" i="76"/>
  <c r="AL132" i="76"/>
  <c r="AM132" i="76"/>
  <c r="AN132" i="76"/>
  <c r="AO132" i="76"/>
  <c r="AP132" i="76"/>
  <c r="AQ132" i="76"/>
  <c r="AR132" i="76"/>
  <c r="AS132" i="76"/>
  <c r="AT132" i="76"/>
  <c r="AU132" i="76"/>
  <c r="AV132" i="76"/>
  <c r="AW132" i="76"/>
  <c r="AX132" i="76"/>
  <c r="AY132" i="76"/>
  <c r="AZ132" i="76"/>
  <c r="BA132" i="76"/>
  <c r="BB132" i="76"/>
  <c r="BC132" i="76"/>
  <c r="BD132" i="76"/>
  <c r="BE132" i="76"/>
  <c r="BF132" i="76"/>
  <c r="BG132" i="76"/>
  <c r="BH132" i="76"/>
  <c r="BI132" i="76"/>
  <c r="BJ132" i="76"/>
  <c r="BK132" i="76"/>
  <c r="BM132" i="76"/>
  <c r="A133" i="76"/>
  <c r="B133" i="76"/>
  <c r="D133" i="76"/>
  <c r="G133" i="76"/>
  <c r="H133" i="76"/>
  <c r="J133" i="76"/>
  <c r="F133" i="76" s="1"/>
  <c r="K133" i="76"/>
  <c r="P133" i="76"/>
  <c r="R133" i="76"/>
  <c r="U133" i="76"/>
  <c r="V133" i="76"/>
  <c r="AE133" i="76"/>
  <c r="AJ133" i="76"/>
  <c r="AK133" i="76"/>
  <c r="AL133" i="76"/>
  <c r="AM133" i="76"/>
  <c r="AN133" i="76"/>
  <c r="AO133" i="76"/>
  <c r="AP133" i="76"/>
  <c r="AQ133" i="76"/>
  <c r="AR133" i="76"/>
  <c r="AS133" i="76"/>
  <c r="AT133" i="76"/>
  <c r="AU133" i="76"/>
  <c r="AV133" i="76"/>
  <c r="AW133" i="76"/>
  <c r="AX133" i="76"/>
  <c r="AY133" i="76"/>
  <c r="AZ133" i="76"/>
  <c r="BA133" i="76"/>
  <c r="BB133" i="76"/>
  <c r="BC133" i="76"/>
  <c r="BD133" i="76"/>
  <c r="BE133" i="76"/>
  <c r="BF133" i="76"/>
  <c r="BG133" i="76"/>
  <c r="BH133" i="76"/>
  <c r="BI133" i="76"/>
  <c r="BJ133" i="76"/>
  <c r="BK133" i="76"/>
  <c r="BM133" i="76"/>
  <c r="A134" i="76"/>
  <c r="B134" i="76"/>
  <c r="D134" i="76"/>
  <c r="G134" i="76"/>
  <c r="H134" i="76"/>
  <c r="J134" i="76"/>
  <c r="E134" i="76" s="1"/>
  <c r="K134" i="76"/>
  <c r="P134" i="76"/>
  <c r="R134" i="76"/>
  <c r="U134" i="76"/>
  <c r="V134" i="76"/>
  <c r="AE134" i="76"/>
  <c r="AJ134" i="76"/>
  <c r="AK134" i="76"/>
  <c r="AL134" i="76"/>
  <c r="AM134" i="76"/>
  <c r="AN134" i="76"/>
  <c r="AO134" i="76"/>
  <c r="AP134" i="76"/>
  <c r="AQ134" i="76"/>
  <c r="AR134" i="76"/>
  <c r="AS134" i="76"/>
  <c r="AT134" i="76"/>
  <c r="AU134" i="76"/>
  <c r="AV134" i="76"/>
  <c r="AW134" i="76"/>
  <c r="AX134" i="76"/>
  <c r="AY134" i="76"/>
  <c r="AZ134" i="76"/>
  <c r="BA134" i="76"/>
  <c r="BB134" i="76"/>
  <c r="BC134" i="76"/>
  <c r="BD134" i="76"/>
  <c r="BE134" i="76"/>
  <c r="BF134" i="76"/>
  <c r="BG134" i="76"/>
  <c r="BH134" i="76"/>
  <c r="BI134" i="76"/>
  <c r="BJ134" i="76"/>
  <c r="BK134" i="76"/>
  <c r="BM134" i="76"/>
  <c r="A135" i="76"/>
  <c r="B135" i="76"/>
  <c r="D135" i="76"/>
  <c r="G135" i="76"/>
  <c r="H135" i="76"/>
  <c r="J135" i="76"/>
  <c r="F135" i="76" s="1"/>
  <c r="K135" i="76"/>
  <c r="P135" i="76"/>
  <c r="R135" i="76"/>
  <c r="U135" i="76"/>
  <c r="V135" i="76"/>
  <c r="AE135" i="76"/>
  <c r="AJ135" i="76"/>
  <c r="AK135" i="76"/>
  <c r="AL135" i="76"/>
  <c r="AM135" i="76"/>
  <c r="AN135" i="76"/>
  <c r="AO135" i="76"/>
  <c r="AP135" i="76"/>
  <c r="AQ135" i="76"/>
  <c r="AR135" i="76"/>
  <c r="AS135" i="76"/>
  <c r="AT135" i="76"/>
  <c r="AU135" i="76"/>
  <c r="AV135" i="76"/>
  <c r="AW135" i="76"/>
  <c r="AX135" i="76"/>
  <c r="AY135" i="76"/>
  <c r="AZ135" i="76"/>
  <c r="BA135" i="76"/>
  <c r="BB135" i="76"/>
  <c r="BC135" i="76"/>
  <c r="BD135" i="76"/>
  <c r="BE135" i="76"/>
  <c r="BF135" i="76"/>
  <c r="BG135" i="76"/>
  <c r="BH135" i="76"/>
  <c r="BI135" i="76"/>
  <c r="BJ135" i="76"/>
  <c r="BK135" i="76"/>
  <c r="BM135" i="76"/>
  <c r="A136" i="76"/>
  <c r="B136" i="76"/>
  <c r="D136" i="76"/>
  <c r="G136" i="76"/>
  <c r="H136" i="76"/>
  <c r="J136" i="76"/>
  <c r="F136" i="76" s="1"/>
  <c r="K136" i="76"/>
  <c r="P136" i="76"/>
  <c r="R136" i="76"/>
  <c r="U136" i="76"/>
  <c r="V136" i="76"/>
  <c r="AE136" i="76"/>
  <c r="AJ136" i="76"/>
  <c r="AK136" i="76"/>
  <c r="AL136" i="76"/>
  <c r="AM136" i="76"/>
  <c r="AN136" i="76"/>
  <c r="AO136" i="76"/>
  <c r="AP136" i="76"/>
  <c r="AQ136" i="76"/>
  <c r="AR136" i="76"/>
  <c r="AS136" i="76"/>
  <c r="AT136" i="76"/>
  <c r="AU136" i="76"/>
  <c r="AV136" i="76"/>
  <c r="AW136" i="76"/>
  <c r="AX136" i="76"/>
  <c r="AY136" i="76"/>
  <c r="AZ136" i="76"/>
  <c r="BA136" i="76"/>
  <c r="BB136" i="76"/>
  <c r="BC136" i="76"/>
  <c r="BD136" i="76"/>
  <c r="BE136" i="76"/>
  <c r="BF136" i="76"/>
  <c r="BG136" i="76"/>
  <c r="BH136" i="76"/>
  <c r="BI136" i="76"/>
  <c r="BJ136" i="76"/>
  <c r="BK136" i="76"/>
  <c r="BM136" i="76"/>
  <c r="A137" i="76"/>
  <c r="B137" i="76"/>
  <c r="D137" i="76"/>
  <c r="G137" i="76"/>
  <c r="H137" i="76"/>
  <c r="J137" i="76"/>
  <c r="E137" i="76" s="1"/>
  <c r="K137" i="76"/>
  <c r="P137" i="76"/>
  <c r="R137" i="76"/>
  <c r="U137" i="76"/>
  <c r="V137" i="76"/>
  <c r="AE137" i="76"/>
  <c r="AJ137" i="76"/>
  <c r="AK137" i="76"/>
  <c r="AL137" i="76"/>
  <c r="AM137" i="76"/>
  <c r="AN137" i="76"/>
  <c r="AO137" i="76"/>
  <c r="AP137" i="76"/>
  <c r="AQ137" i="76"/>
  <c r="AR137" i="76"/>
  <c r="AS137" i="76"/>
  <c r="AT137" i="76"/>
  <c r="AU137" i="76"/>
  <c r="AV137" i="76"/>
  <c r="AW137" i="76"/>
  <c r="AX137" i="76"/>
  <c r="AY137" i="76"/>
  <c r="AZ137" i="76"/>
  <c r="BA137" i="76"/>
  <c r="BB137" i="76"/>
  <c r="BC137" i="76"/>
  <c r="BD137" i="76"/>
  <c r="BE137" i="76"/>
  <c r="BF137" i="76"/>
  <c r="BG137" i="76"/>
  <c r="BH137" i="76"/>
  <c r="BI137" i="76"/>
  <c r="BJ137" i="76"/>
  <c r="BK137" i="76"/>
  <c r="BM137" i="76"/>
  <c r="A138" i="76"/>
  <c r="B138" i="76"/>
  <c r="D138" i="76"/>
  <c r="G138" i="76"/>
  <c r="H138" i="76"/>
  <c r="J138" i="76"/>
  <c r="K138" i="76"/>
  <c r="P138" i="76"/>
  <c r="R138" i="76"/>
  <c r="U138" i="76"/>
  <c r="V138" i="76"/>
  <c r="AE138" i="76"/>
  <c r="AJ138" i="76"/>
  <c r="AK138" i="76"/>
  <c r="AL138" i="76"/>
  <c r="AM138" i="76"/>
  <c r="AN138" i="76"/>
  <c r="AO138" i="76"/>
  <c r="AP138" i="76"/>
  <c r="AQ138" i="76"/>
  <c r="AR138" i="76"/>
  <c r="AS138" i="76"/>
  <c r="AT138" i="76"/>
  <c r="AU138" i="76"/>
  <c r="AV138" i="76"/>
  <c r="AW138" i="76"/>
  <c r="AX138" i="76"/>
  <c r="AY138" i="76"/>
  <c r="AZ138" i="76"/>
  <c r="BA138" i="76"/>
  <c r="BB138" i="76"/>
  <c r="BC138" i="76"/>
  <c r="BD138" i="76"/>
  <c r="BE138" i="76"/>
  <c r="BF138" i="76"/>
  <c r="BG138" i="76"/>
  <c r="BH138" i="76"/>
  <c r="BI138" i="76"/>
  <c r="BJ138" i="76"/>
  <c r="BK138" i="76"/>
  <c r="BM138" i="76"/>
  <c r="A139" i="76"/>
  <c r="B139" i="76"/>
  <c r="D139" i="76"/>
  <c r="G139" i="76"/>
  <c r="H139" i="76"/>
  <c r="J139" i="76"/>
  <c r="K139" i="76"/>
  <c r="P139" i="76"/>
  <c r="R139" i="76"/>
  <c r="U139" i="76"/>
  <c r="V139" i="76"/>
  <c r="AE139" i="76"/>
  <c r="AJ139" i="76"/>
  <c r="AK139" i="76"/>
  <c r="AL139" i="76"/>
  <c r="AM139" i="76"/>
  <c r="AN139" i="76"/>
  <c r="AO139" i="76"/>
  <c r="AP139" i="76"/>
  <c r="AQ139" i="76"/>
  <c r="AR139" i="76"/>
  <c r="AS139" i="76"/>
  <c r="AT139" i="76"/>
  <c r="AU139" i="76"/>
  <c r="AV139" i="76"/>
  <c r="AW139" i="76"/>
  <c r="AX139" i="76"/>
  <c r="AY139" i="76"/>
  <c r="AZ139" i="76"/>
  <c r="BA139" i="76"/>
  <c r="BB139" i="76"/>
  <c r="BC139" i="76"/>
  <c r="BD139" i="76"/>
  <c r="BE139" i="76"/>
  <c r="BF139" i="76"/>
  <c r="BG139" i="76"/>
  <c r="BH139" i="76"/>
  <c r="BI139" i="76"/>
  <c r="BJ139" i="76"/>
  <c r="BK139" i="76"/>
  <c r="BM139" i="76"/>
  <c r="A140" i="76"/>
  <c r="B140" i="76"/>
  <c r="D140" i="76"/>
  <c r="G140" i="76"/>
  <c r="H140" i="76"/>
  <c r="J140" i="76"/>
  <c r="E140" i="76" s="1"/>
  <c r="K140" i="76"/>
  <c r="P140" i="76"/>
  <c r="R140" i="76"/>
  <c r="U140" i="76"/>
  <c r="V140" i="76"/>
  <c r="AE140" i="76"/>
  <c r="AJ140" i="76"/>
  <c r="AK140" i="76"/>
  <c r="AL140" i="76"/>
  <c r="AM140" i="76"/>
  <c r="AN140" i="76"/>
  <c r="AO140" i="76"/>
  <c r="AP140" i="76"/>
  <c r="AQ140" i="76"/>
  <c r="AR140" i="76"/>
  <c r="AS140" i="76"/>
  <c r="AT140" i="76"/>
  <c r="AU140" i="76"/>
  <c r="AV140" i="76"/>
  <c r="AW140" i="76"/>
  <c r="AX140" i="76"/>
  <c r="AY140" i="76"/>
  <c r="AZ140" i="76"/>
  <c r="BA140" i="76"/>
  <c r="BB140" i="76"/>
  <c r="BC140" i="76"/>
  <c r="BD140" i="76"/>
  <c r="BE140" i="76"/>
  <c r="BF140" i="76"/>
  <c r="BG140" i="76"/>
  <c r="BH140" i="76"/>
  <c r="BI140" i="76"/>
  <c r="BJ140" i="76"/>
  <c r="BK140" i="76"/>
  <c r="BM140" i="76"/>
  <c r="A141" i="76"/>
  <c r="B141" i="76"/>
  <c r="D141" i="76"/>
  <c r="G141" i="76"/>
  <c r="H141" i="76"/>
  <c r="J141" i="76"/>
  <c r="K141" i="76"/>
  <c r="P141" i="76"/>
  <c r="R141" i="76"/>
  <c r="U141" i="76"/>
  <c r="V141" i="76"/>
  <c r="AE141" i="76"/>
  <c r="AJ141" i="76"/>
  <c r="AK141" i="76"/>
  <c r="AL141" i="76"/>
  <c r="AM141" i="76"/>
  <c r="AN141" i="76"/>
  <c r="AO141" i="76"/>
  <c r="AP141" i="76"/>
  <c r="AQ141" i="76"/>
  <c r="AR141" i="76"/>
  <c r="AS141" i="76"/>
  <c r="AT141" i="76"/>
  <c r="AU141" i="76"/>
  <c r="AV141" i="76"/>
  <c r="AW141" i="76"/>
  <c r="AX141" i="76"/>
  <c r="AY141" i="76"/>
  <c r="AZ141" i="76"/>
  <c r="BA141" i="76"/>
  <c r="BB141" i="76"/>
  <c r="BC141" i="76"/>
  <c r="BD141" i="76"/>
  <c r="BE141" i="76"/>
  <c r="BF141" i="76"/>
  <c r="BG141" i="76"/>
  <c r="BH141" i="76"/>
  <c r="BI141" i="76"/>
  <c r="BJ141" i="76"/>
  <c r="BK141" i="76"/>
  <c r="BM141" i="76"/>
  <c r="A142" i="76"/>
  <c r="B142" i="76"/>
  <c r="D142" i="76"/>
  <c r="G142" i="76"/>
  <c r="H142" i="76"/>
  <c r="J142" i="76"/>
  <c r="F142" i="76" s="1"/>
  <c r="K142" i="76"/>
  <c r="P142" i="76"/>
  <c r="R142" i="76"/>
  <c r="U142" i="76"/>
  <c r="V142" i="76"/>
  <c r="AE142" i="76"/>
  <c r="AJ142" i="76"/>
  <c r="AK142" i="76"/>
  <c r="AL142" i="76"/>
  <c r="AM142" i="76"/>
  <c r="AN142" i="76"/>
  <c r="AO142" i="76"/>
  <c r="AP142" i="76"/>
  <c r="AQ142" i="76"/>
  <c r="AR142" i="76"/>
  <c r="AS142" i="76"/>
  <c r="AT142" i="76"/>
  <c r="AU142" i="76"/>
  <c r="AV142" i="76"/>
  <c r="AW142" i="76"/>
  <c r="AX142" i="76"/>
  <c r="AY142" i="76"/>
  <c r="AZ142" i="76"/>
  <c r="BA142" i="76"/>
  <c r="BB142" i="76"/>
  <c r="BC142" i="76"/>
  <c r="BD142" i="76"/>
  <c r="BE142" i="76"/>
  <c r="BF142" i="76"/>
  <c r="BG142" i="76"/>
  <c r="BH142" i="76"/>
  <c r="BI142" i="76"/>
  <c r="BJ142" i="76"/>
  <c r="BK142" i="76"/>
  <c r="BM142" i="76"/>
  <c r="A143" i="76"/>
  <c r="B143" i="76"/>
  <c r="D143" i="76"/>
  <c r="G143" i="76"/>
  <c r="H143" i="76"/>
  <c r="J143" i="76"/>
  <c r="K143" i="76"/>
  <c r="P143" i="76"/>
  <c r="R143" i="76"/>
  <c r="U143" i="76"/>
  <c r="V143" i="76"/>
  <c r="AE143" i="76"/>
  <c r="AJ143" i="76"/>
  <c r="AK143" i="76"/>
  <c r="AL143" i="76"/>
  <c r="AM143" i="76"/>
  <c r="AN143" i="76"/>
  <c r="AO143" i="76"/>
  <c r="AP143" i="76"/>
  <c r="AQ143" i="76"/>
  <c r="AR143" i="76"/>
  <c r="AS143" i="76"/>
  <c r="AT143" i="76"/>
  <c r="AU143" i="76"/>
  <c r="AV143" i="76"/>
  <c r="AW143" i="76"/>
  <c r="AX143" i="76"/>
  <c r="AY143" i="76"/>
  <c r="AZ143" i="76"/>
  <c r="BA143" i="76"/>
  <c r="BB143" i="76"/>
  <c r="BC143" i="76"/>
  <c r="BD143" i="76"/>
  <c r="BE143" i="76"/>
  <c r="BF143" i="76"/>
  <c r="BG143" i="76"/>
  <c r="BH143" i="76"/>
  <c r="BI143" i="76"/>
  <c r="BJ143" i="76"/>
  <c r="BK143" i="76"/>
  <c r="BM143" i="76"/>
  <c r="A144" i="76"/>
  <c r="B144" i="76"/>
  <c r="D144" i="76"/>
  <c r="G144" i="76"/>
  <c r="H144" i="76"/>
  <c r="J144" i="76"/>
  <c r="K144" i="76"/>
  <c r="P144" i="76"/>
  <c r="R144" i="76"/>
  <c r="U144" i="76"/>
  <c r="V144" i="76"/>
  <c r="AE144" i="76"/>
  <c r="AJ144" i="76"/>
  <c r="AK144" i="76"/>
  <c r="AL144" i="76"/>
  <c r="AM144" i="76"/>
  <c r="AN144" i="76"/>
  <c r="AO144" i="76"/>
  <c r="AP144" i="76"/>
  <c r="AQ144" i="76"/>
  <c r="AR144" i="76"/>
  <c r="AS144" i="76"/>
  <c r="AT144" i="76"/>
  <c r="AU144" i="76"/>
  <c r="AV144" i="76"/>
  <c r="AW144" i="76"/>
  <c r="AX144" i="76"/>
  <c r="AY144" i="76"/>
  <c r="AZ144" i="76"/>
  <c r="BA144" i="76"/>
  <c r="BB144" i="76"/>
  <c r="BC144" i="76"/>
  <c r="BD144" i="76"/>
  <c r="BE144" i="76"/>
  <c r="BF144" i="76"/>
  <c r="BG144" i="76"/>
  <c r="BH144" i="76"/>
  <c r="BI144" i="76"/>
  <c r="BJ144" i="76"/>
  <c r="BK144" i="76"/>
  <c r="BM144" i="76"/>
  <c r="A145" i="76"/>
  <c r="B145" i="76"/>
  <c r="D145" i="76"/>
  <c r="G145" i="76"/>
  <c r="H145" i="76"/>
  <c r="J145" i="76"/>
  <c r="F145" i="76" s="1"/>
  <c r="K145" i="76"/>
  <c r="P145" i="76"/>
  <c r="R145" i="76"/>
  <c r="U145" i="76"/>
  <c r="V145" i="76"/>
  <c r="AE145" i="76"/>
  <c r="AJ145" i="76"/>
  <c r="AK145" i="76"/>
  <c r="AL145" i="76"/>
  <c r="AM145" i="76"/>
  <c r="AN145" i="76"/>
  <c r="AO145" i="76"/>
  <c r="AP145" i="76"/>
  <c r="AQ145" i="76"/>
  <c r="AR145" i="76"/>
  <c r="AS145" i="76"/>
  <c r="AT145" i="76"/>
  <c r="AU145" i="76"/>
  <c r="AV145" i="76"/>
  <c r="AW145" i="76"/>
  <c r="AX145" i="76"/>
  <c r="AY145" i="76"/>
  <c r="AZ145" i="76"/>
  <c r="BA145" i="76"/>
  <c r="BB145" i="76"/>
  <c r="BC145" i="76"/>
  <c r="BD145" i="76"/>
  <c r="BE145" i="76"/>
  <c r="BF145" i="76"/>
  <c r="BG145" i="76"/>
  <c r="BH145" i="76"/>
  <c r="BI145" i="76"/>
  <c r="BJ145" i="76"/>
  <c r="BK145" i="76"/>
  <c r="BM145" i="76"/>
  <c r="A146" i="76"/>
  <c r="B146" i="76"/>
  <c r="D146" i="76"/>
  <c r="G146" i="76"/>
  <c r="H146" i="76"/>
  <c r="J146" i="76"/>
  <c r="E146" i="76" s="1"/>
  <c r="K146" i="76"/>
  <c r="R146" i="76"/>
  <c r="U146" i="76"/>
  <c r="V146" i="76"/>
  <c r="AE146" i="76"/>
  <c r="AJ146" i="76"/>
  <c r="AK146" i="76"/>
  <c r="AL146" i="76"/>
  <c r="AM146" i="76"/>
  <c r="AN146" i="76"/>
  <c r="AO146" i="76"/>
  <c r="AP146" i="76"/>
  <c r="AQ146" i="76"/>
  <c r="AR146" i="76"/>
  <c r="AS146" i="76"/>
  <c r="AT146" i="76"/>
  <c r="AU146" i="76"/>
  <c r="AV146" i="76"/>
  <c r="AW146" i="76"/>
  <c r="AX146" i="76"/>
  <c r="AY146" i="76"/>
  <c r="AZ146" i="76"/>
  <c r="BA146" i="76"/>
  <c r="BB146" i="76"/>
  <c r="BC146" i="76"/>
  <c r="BD146" i="76"/>
  <c r="BE146" i="76"/>
  <c r="BF146" i="76"/>
  <c r="BG146" i="76"/>
  <c r="BH146" i="76"/>
  <c r="BI146" i="76"/>
  <c r="BJ146" i="76"/>
  <c r="BK146" i="76"/>
  <c r="BM146" i="76"/>
  <c r="A147" i="76"/>
  <c r="B147" i="76"/>
  <c r="D147" i="76"/>
  <c r="G147" i="76"/>
  <c r="H147" i="76"/>
  <c r="J147" i="76"/>
  <c r="K147" i="76"/>
  <c r="P147" i="76"/>
  <c r="R147" i="76"/>
  <c r="U147" i="76"/>
  <c r="V147" i="76"/>
  <c r="AE147" i="76"/>
  <c r="AJ147" i="76"/>
  <c r="AK147" i="76"/>
  <c r="AL147" i="76"/>
  <c r="AM147" i="76"/>
  <c r="AN147" i="76"/>
  <c r="AO147" i="76"/>
  <c r="AP147" i="76"/>
  <c r="AQ147" i="76"/>
  <c r="AR147" i="76"/>
  <c r="AS147" i="76"/>
  <c r="AT147" i="76"/>
  <c r="AU147" i="76"/>
  <c r="AV147" i="76"/>
  <c r="AW147" i="76"/>
  <c r="AX147" i="76"/>
  <c r="AY147" i="76"/>
  <c r="AZ147" i="76"/>
  <c r="BA147" i="76"/>
  <c r="BB147" i="76"/>
  <c r="BC147" i="76"/>
  <c r="BD147" i="76"/>
  <c r="BE147" i="76"/>
  <c r="BF147" i="76"/>
  <c r="BG147" i="76"/>
  <c r="BH147" i="76"/>
  <c r="BI147" i="76"/>
  <c r="BJ147" i="76"/>
  <c r="BK147" i="76"/>
  <c r="BM147" i="76"/>
  <c r="A148" i="76"/>
  <c r="B148" i="76"/>
  <c r="D148" i="76"/>
  <c r="G148" i="76"/>
  <c r="H148" i="76"/>
  <c r="J148" i="76"/>
  <c r="F148" i="76" s="1"/>
  <c r="K148" i="76"/>
  <c r="P148" i="76"/>
  <c r="R148" i="76"/>
  <c r="U148" i="76"/>
  <c r="V148" i="76"/>
  <c r="AE148" i="76"/>
  <c r="AJ148" i="76"/>
  <c r="AK148" i="76"/>
  <c r="AL148" i="76"/>
  <c r="AM148" i="76"/>
  <c r="AN148" i="76"/>
  <c r="AO148" i="76"/>
  <c r="AP148" i="76"/>
  <c r="AQ148" i="76"/>
  <c r="AR148" i="76"/>
  <c r="AS148" i="76"/>
  <c r="AT148" i="76"/>
  <c r="AU148" i="76"/>
  <c r="AV148" i="76"/>
  <c r="AW148" i="76"/>
  <c r="AX148" i="76"/>
  <c r="AY148" i="76"/>
  <c r="AZ148" i="76"/>
  <c r="BA148" i="76"/>
  <c r="BB148" i="76"/>
  <c r="BC148" i="76"/>
  <c r="BD148" i="76"/>
  <c r="BE148" i="76"/>
  <c r="BF148" i="76"/>
  <c r="BG148" i="76"/>
  <c r="BH148" i="76"/>
  <c r="BI148" i="76"/>
  <c r="BJ148" i="76"/>
  <c r="BK148" i="76"/>
  <c r="BM148" i="76"/>
  <c r="A149" i="76"/>
  <c r="B149" i="76"/>
  <c r="D149" i="76"/>
  <c r="G149" i="76"/>
  <c r="H149" i="76"/>
  <c r="J149" i="76"/>
  <c r="F149" i="76" s="1"/>
  <c r="K149" i="76"/>
  <c r="P149" i="76"/>
  <c r="R149" i="76"/>
  <c r="U149" i="76"/>
  <c r="V149" i="76"/>
  <c r="AE149" i="76"/>
  <c r="AJ149" i="76"/>
  <c r="AK149" i="76"/>
  <c r="AL149" i="76"/>
  <c r="AM149" i="76"/>
  <c r="AN149" i="76"/>
  <c r="AO149" i="76"/>
  <c r="AP149" i="76"/>
  <c r="AQ149" i="76"/>
  <c r="AR149" i="76"/>
  <c r="AS149" i="76"/>
  <c r="AT149" i="76"/>
  <c r="AU149" i="76"/>
  <c r="AV149" i="76"/>
  <c r="AW149" i="76"/>
  <c r="AX149" i="76"/>
  <c r="AY149" i="76"/>
  <c r="AZ149" i="76"/>
  <c r="BA149" i="76"/>
  <c r="BB149" i="76"/>
  <c r="BC149" i="76"/>
  <c r="BD149" i="76"/>
  <c r="BE149" i="76"/>
  <c r="BF149" i="76"/>
  <c r="BG149" i="76"/>
  <c r="BH149" i="76"/>
  <c r="BI149" i="76"/>
  <c r="BJ149" i="76"/>
  <c r="BK149" i="76"/>
  <c r="BM149" i="76"/>
  <c r="A150" i="76"/>
  <c r="B150" i="76"/>
  <c r="D150" i="76"/>
  <c r="G150" i="76"/>
  <c r="H150" i="76"/>
  <c r="J150" i="76"/>
  <c r="K150" i="76"/>
  <c r="P150" i="76"/>
  <c r="R150" i="76"/>
  <c r="U150" i="76"/>
  <c r="V150" i="76"/>
  <c r="AE150" i="76"/>
  <c r="AJ150" i="76"/>
  <c r="AK150" i="76"/>
  <c r="AL150" i="76"/>
  <c r="AM150" i="76"/>
  <c r="AN150" i="76"/>
  <c r="AO150" i="76"/>
  <c r="AP150" i="76"/>
  <c r="AQ150" i="76"/>
  <c r="AR150" i="76"/>
  <c r="AS150" i="76"/>
  <c r="AT150" i="76"/>
  <c r="AU150" i="76"/>
  <c r="AV150" i="76"/>
  <c r="AW150" i="76"/>
  <c r="AX150" i="76"/>
  <c r="AY150" i="76"/>
  <c r="AZ150" i="76"/>
  <c r="BA150" i="76"/>
  <c r="BB150" i="76"/>
  <c r="BC150" i="76"/>
  <c r="BD150" i="76"/>
  <c r="BE150" i="76"/>
  <c r="BF150" i="76"/>
  <c r="BG150" i="76"/>
  <c r="BH150" i="76"/>
  <c r="BI150" i="76"/>
  <c r="BJ150" i="76"/>
  <c r="BK150" i="76"/>
  <c r="BM150" i="76"/>
  <c r="A151" i="76"/>
  <c r="B151" i="76"/>
  <c r="D151" i="76"/>
  <c r="G151" i="76"/>
  <c r="H151" i="76"/>
  <c r="J151" i="76"/>
  <c r="F151" i="76" s="1"/>
  <c r="K151" i="76"/>
  <c r="P151" i="76"/>
  <c r="R151" i="76"/>
  <c r="U151" i="76"/>
  <c r="V151" i="76"/>
  <c r="AE151" i="76"/>
  <c r="AJ151" i="76"/>
  <c r="AK151" i="76"/>
  <c r="AL151" i="76"/>
  <c r="AM151" i="76"/>
  <c r="AN151" i="76"/>
  <c r="AO151" i="76"/>
  <c r="AP151" i="76"/>
  <c r="AQ151" i="76"/>
  <c r="AR151" i="76"/>
  <c r="AS151" i="76"/>
  <c r="AT151" i="76"/>
  <c r="AU151" i="76"/>
  <c r="AV151" i="76"/>
  <c r="AW151" i="76"/>
  <c r="AX151" i="76"/>
  <c r="AY151" i="76"/>
  <c r="AZ151" i="76"/>
  <c r="BA151" i="76"/>
  <c r="BB151" i="76"/>
  <c r="BC151" i="76"/>
  <c r="BD151" i="76"/>
  <c r="BE151" i="76"/>
  <c r="BF151" i="76"/>
  <c r="BG151" i="76"/>
  <c r="BH151" i="76"/>
  <c r="BI151" i="76"/>
  <c r="BJ151" i="76"/>
  <c r="BK151" i="76"/>
  <c r="BM151" i="76"/>
  <c r="A152" i="76"/>
  <c r="B152" i="76"/>
  <c r="D152" i="76"/>
  <c r="G152" i="76"/>
  <c r="H152" i="76"/>
  <c r="J152" i="76"/>
  <c r="F152" i="76" s="1"/>
  <c r="K152" i="76"/>
  <c r="P152" i="76"/>
  <c r="R152" i="76"/>
  <c r="U152" i="76"/>
  <c r="V152" i="76"/>
  <c r="AE152" i="76"/>
  <c r="AJ152" i="76"/>
  <c r="AK152" i="76"/>
  <c r="AL152" i="76"/>
  <c r="AM152" i="76"/>
  <c r="AN152" i="76"/>
  <c r="AO152" i="76"/>
  <c r="AP152" i="76"/>
  <c r="AQ152" i="76"/>
  <c r="AR152" i="76"/>
  <c r="AS152" i="76"/>
  <c r="AT152" i="76"/>
  <c r="AU152" i="76"/>
  <c r="AV152" i="76"/>
  <c r="AW152" i="76"/>
  <c r="AX152" i="76"/>
  <c r="AY152" i="76"/>
  <c r="AZ152" i="76"/>
  <c r="BA152" i="76"/>
  <c r="BB152" i="76"/>
  <c r="BC152" i="76"/>
  <c r="BD152" i="76"/>
  <c r="BE152" i="76"/>
  <c r="BF152" i="76"/>
  <c r="BG152" i="76"/>
  <c r="BH152" i="76"/>
  <c r="BI152" i="76"/>
  <c r="BJ152" i="76"/>
  <c r="BK152" i="76"/>
  <c r="BM152" i="76"/>
  <c r="A153" i="76"/>
  <c r="B153" i="76"/>
  <c r="D153" i="76"/>
  <c r="G153" i="76"/>
  <c r="H153" i="76"/>
  <c r="J153" i="76"/>
  <c r="K153" i="76"/>
  <c r="P153" i="76"/>
  <c r="R153" i="76"/>
  <c r="U153" i="76"/>
  <c r="V153" i="76"/>
  <c r="AE153" i="76"/>
  <c r="AJ153" i="76"/>
  <c r="AK153" i="76"/>
  <c r="AL153" i="76"/>
  <c r="AM153" i="76"/>
  <c r="AN153" i="76"/>
  <c r="AO153" i="76"/>
  <c r="AP153" i="76"/>
  <c r="AQ153" i="76"/>
  <c r="AR153" i="76"/>
  <c r="AS153" i="76"/>
  <c r="AT153" i="76"/>
  <c r="AU153" i="76"/>
  <c r="AV153" i="76"/>
  <c r="AW153" i="76"/>
  <c r="AX153" i="76"/>
  <c r="AY153" i="76"/>
  <c r="AZ153" i="76"/>
  <c r="BA153" i="76"/>
  <c r="BB153" i="76"/>
  <c r="BC153" i="76"/>
  <c r="BD153" i="76"/>
  <c r="BE153" i="76"/>
  <c r="BF153" i="76"/>
  <c r="BG153" i="76"/>
  <c r="BH153" i="76"/>
  <c r="BI153" i="76"/>
  <c r="BJ153" i="76"/>
  <c r="BK153" i="76"/>
  <c r="BM153" i="76"/>
  <c r="A154" i="76"/>
  <c r="B154" i="76"/>
  <c r="D154" i="76"/>
  <c r="G154" i="76"/>
  <c r="H154" i="76"/>
  <c r="J154" i="76"/>
  <c r="K154" i="76"/>
  <c r="P154" i="76"/>
  <c r="R154" i="76"/>
  <c r="U154" i="76"/>
  <c r="V154" i="76"/>
  <c r="AE154" i="76"/>
  <c r="AJ154" i="76"/>
  <c r="AK154" i="76"/>
  <c r="AL154" i="76"/>
  <c r="AM154" i="76"/>
  <c r="AN154" i="76"/>
  <c r="AO154" i="76"/>
  <c r="AP154" i="76"/>
  <c r="AQ154" i="76"/>
  <c r="AR154" i="76"/>
  <c r="AS154" i="76"/>
  <c r="AT154" i="76"/>
  <c r="AU154" i="76"/>
  <c r="AV154" i="76"/>
  <c r="AW154" i="76"/>
  <c r="AX154" i="76"/>
  <c r="AY154" i="76"/>
  <c r="AZ154" i="76"/>
  <c r="BA154" i="76"/>
  <c r="BB154" i="76"/>
  <c r="BC154" i="76"/>
  <c r="BD154" i="76"/>
  <c r="BE154" i="76"/>
  <c r="BF154" i="76"/>
  <c r="BG154" i="76"/>
  <c r="BH154" i="76"/>
  <c r="BI154" i="76"/>
  <c r="BJ154" i="76"/>
  <c r="BK154" i="76"/>
  <c r="BM154" i="76"/>
  <c r="A155" i="76"/>
  <c r="B155" i="76"/>
  <c r="D155" i="76"/>
  <c r="G155" i="76"/>
  <c r="H155" i="76"/>
  <c r="J155" i="76"/>
  <c r="K155" i="76"/>
  <c r="P155" i="76"/>
  <c r="R155" i="76"/>
  <c r="U155" i="76"/>
  <c r="V155" i="76"/>
  <c r="AE155" i="76"/>
  <c r="AJ155" i="76"/>
  <c r="AK155" i="76"/>
  <c r="AL155" i="76"/>
  <c r="AM155" i="76"/>
  <c r="AN155" i="76"/>
  <c r="AO155" i="76"/>
  <c r="AP155" i="76"/>
  <c r="AQ155" i="76"/>
  <c r="AR155" i="76"/>
  <c r="AS155" i="76"/>
  <c r="AT155" i="76"/>
  <c r="AU155" i="76"/>
  <c r="AV155" i="76"/>
  <c r="AW155" i="76"/>
  <c r="AX155" i="76"/>
  <c r="AY155" i="76"/>
  <c r="AZ155" i="76"/>
  <c r="BA155" i="76"/>
  <c r="BB155" i="76"/>
  <c r="BC155" i="76"/>
  <c r="BD155" i="76"/>
  <c r="BE155" i="76"/>
  <c r="BF155" i="76"/>
  <c r="BG155" i="76"/>
  <c r="BH155" i="76"/>
  <c r="BI155" i="76"/>
  <c r="BJ155" i="76"/>
  <c r="BK155" i="76"/>
  <c r="BM155" i="76"/>
  <c r="A156" i="76"/>
  <c r="B156" i="76"/>
  <c r="D156" i="76"/>
  <c r="G156" i="76"/>
  <c r="H156" i="76"/>
  <c r="J156" i="76"/>
  <c r="K156" i="76"/>
  <c r="P156" i="76"/>
  <c r="R156" i="76"/>
  <c r="U156" i="76"/>
  <c r="V156" i="76"/>
  <c r="AE156" i="76"/>
  <c r="AJ156" i="76"/>
  <c r="AK156" i="76"/>
  <c r="AL156" i="76"/>
  <c r="AM156" i="76"/>
  <c r="AN156" i="76"/>
  <c r="AO156" i="76"/>
  <c r="AP156" i="76"/>
  <c r="AQ156" i="76"/>
  <c r="AR156" i="76"/>
  <c r="AS156" i="76"/>
  <c r="AT156" i="76"/>
  <c r="AU156" i="76"/>
  <c r="AV156" i="76"/>
  <c r="AW156" i="76"/>
  <c r="AX156" i="76"/>
  <c r="AY156" i="76"/>
  <c r="AZ156" i="76"/>
  <c r="BA156" i="76"/>
  <c r="BB156" i="76"/>
  <c r="BC156" i="76"/>
  <c r="BD156" i="76"/>
  <c r="BE156" i="76"/>
  <c r="BF156" i="76"/>
  <c r="BG156" i="76"/>
  <c r="BH156" i="76"/>
  <c r="BI156" i="76"/>
  <c r="BJ156" i="76"/>
  <c r="BK156" i="76"/>
  <c r="BM156" i="76"/>
  <c r="A157" i="76"/>
  <c r="B157" i="76"/>
  <c r="D157" i="76"/>
  <c r="G157" i="76"/>
  <c r="H157" i="76"/>
  <c r="J157" i="76"/>
  <c r="F157" i="76" s="1"/>
  <c r="K157" i="76"/>
  <c r="P157" i="76"/>
  <c r="R157" i="76"/>
  <c r="U157" i="76"/>
  <c r="V157" i="76"/>
  <c r="AE157" i="76"/>
  <c r="AJ157" i="76"/>
  <c r="AK157" i="76"/>
  <c r="AL157" i="76"/>
  <c r="AM157" i="76"/>
  <c r="AN157" i="76"/>
  <c r="AO157" i="76"/>
  <c r="AP157" i="76"/>
  <c r="AQ157" i="76"/>
  <c r="AR157" i="76"/>
  <c r="AS157" i="76"/>
  <c r="AT157" i="76"/>
  <c r="AU157" i="76"/>
  <c r="AV157" i="76"/>
  <c r="AW157" i="76"/>
  <c r="AX157" i="76"/>
  <c r="AY157" i="76"/>
  <c r="AZ157" i="76"/>
  <c r="BA157" i="76"/>
  <c r="BB157" i="76"/>
  <c r="BC157" i="76"/>
  <c r="BD157" i="76"/>
  <c r="BE157" i="76"/>
  <c r="BF157" i="76"/>
  <c r="BG157" i="76"/>
  <c r="BH157" i="76"/>
  <c r="BI157" i="76"/>
  <c r="BJ157" i="76"/>
  <c r="BK157" i="76"/>
  <c r="BM157" i="76"/>
  <c r="A158" i="76"/>
  <c r="B158" i="76"/>
  <c r="D158" i="76"/>
  <c r="G158" i="76"/>
  <c r="H158" i="76"/>
  <c r="J158" i="76"/>
  <c r="E158" i="76" s="1"/>
  <c r="K158" i="76"/>
  <c r="P158" i="76"/>
  <c r="R158" i="76"/>
  <c r="U158" i="76"/>
  <c r="V158" i="76"/>
  <c r="AE158" i="76"/>
  <c r="AJ158" i="76"/>
  <c r="AK158" i="76"/>
  <c r="AL158" i="76"/>
  <c r="AM158" i="76"/>
  <c r="AN158" i="76"/>
  <c r="AO158" i="76"/>
  <c r="AP158" i="76"/>
  <c r="AQ158" i="76"/>
  <c r="AR158" i="76"/>
  <c r="AS158" i="76"/>
  <c r="AT158" i="76"/>
  <c r="AU158" i="76"/>
  <c r="AV158" i="76"/>
  <c r="AW158" i="76"/>
  <c r="AX158" i="76"/>
  <c r="AY158" i="76"/>
  <c r="AZ158" i="76"/>
  <c r="BA158" i="76"/>
  <c r="BB158" i="76"/>
  <c r="BC158" i="76"/>
  <c r="BD158" i="76"/>
  <c r="BE158" i="76"/>
  <c r="BF158" i="76"/>
  <c r="BG158" i="76"/>
  <c r="BH158" i="76"/>
  <c r="BI158" i="76"/>
  <c r="BJ158" i="76"/>
  <c r="BK158" i="76"/>
  <c r="BM158" i="76"/>
  <c r="A159" i="76"/>
  <c r="B159" i="76"/>
  <c r="D159" i="76"/>
  <c r="G159" i="76"/>
  <c r="H159" i="76"/>
  <c r="J159" i="76"/>
  <c r="K159" i="76"/>
  <c r="P159" i="76"/>
  <c r="R159" i="76"/>
  <c r="U159" i="76"/>
  <c r="V159" i="76"/>
  <c r="AE159" i="76"/>
  <c r="AJ159" i="76"/>
  <c r="AK159" i="76"/>
  <c r="AL159" i="76"/>
  <c r="AM159" i="76"/>
  <c r="AN159" i="76"/>
  <c r="AO159" i="76"/>
  <c r="AP159" i="76"/>
  <c r="AQ159" i="76"/>
  <c r="AR159" i="76"/>
  <c r="AS159" i="76"/>
  <c r="AT159" i="76"/>
  <c r="AU159" i="76"/>
  <c r="AV159" i="76"/>
  <c r="AW159" i="76"/>
  <c r="AX159" i="76"/>
  <c r="AY159" i="76"/>
  <c r="AZ159" i="76"/>
  <c r="BA159" i="76"/>
  <c r="BB159" i="76"/>
  <c r="BC159" i="76"/>
  <c r="BD159" i="76"/>
  <c r="BE159" i="76"/>
  <c r="BF159" i="76"/>
  <c r="BG159" i="76"/>
  <c r="BH159" i="76"/>
  <c r="BI159" i="76"/>
  <c r="BJ159" i="76"/>
  <c r="BK159" i="76"/>
  <c r="BM159" i="76"/>
  <c r="A160" i="76"/>
  <c r="B160" i="76"/>
  <c r="D160" i="76"/>
  <c r="G160" i="76"/>
  <c r="H160" i="76"/>
  <c r="J160" i="76"/>
  <c r="F160" i="76" s="1"/>
  <c r="K160" i="76"/>
  <c r="P160" i="76"/>
  <c r="R160" i="76"/>
  <c r="U160" i="76"/>
  <c r="V160" i="76"/>
  <c r="AE160" i="76"/>
  <c r="AJ160" i="76"/>
  <c r="AK160" i="76"/>
  <c r="AL160" i="76"/>
  <c r="AM160" i="76"/>
  <c r="AN160" i="76"/>
  <c r="AO160" i="76"/>
  <c r="AP160" i="76"/>
  <c r="AQ160" i="76"/>
  <c r="AR160" i="76"/>
  <c r="AS160" i="76"/>
  <c r="AT160" i="76"/>
  <c r="AU160" i="76"/>
  <c r="AV160" i="76"/>
  <c r="AW160" i="76"/>
  <c r="AX160" i="76"/>
  <c r="AY160" i="76"/>
  <c r="AZ160" i="76"/>
  <c r="BA160" i="76"/>
  <c r="BB160" i="76"/>
  <c r="BC160" i="76"/>
  <c r="BD160" i="76"/>
  <c r="BE160" i="76"/>
  <c r="BF160" i="76"/>
  <c r="BG160" i="76"/>
  <c r="BH160" i="76"/>
  <c r="BI160" i="76"/>
  <c r="BJ160" i="76"/>
  <c r="BK160" i="76"/>
  <c r="BM160" i="76"/>
  <c r="A161" i="76"/>
  <c r="B161" i="76"/>
  <c r="D161" i="76"/>
  <c r="G161" i="76"/>
  <c r="H161" i="76"/>
  <c r="J161" i="76"/>
  <c r="E161" i="76" s="1"/>
  <c r="K161" i="76"/>
  <c r="P161" i="76"/>
  <c r="R161" i="76"/>
  <c r="U161" i="76"/>
  <c r="V161" i="76"/>
  <c r="AE161" i="76"/>
  <c r="AJ161" i="76"/>
  <c r="AK161" i="76"/>
  <c r="AL161" i="76"/>
  <c r="AM161" i="76"/>
  <c r="AN161" i="76"/>
  <c r="AO161" i="76"/>
  <c r="AP161" i="76"/>
  <c r="AQ161" i="76"/>
  <c r="AR161" i="76"/>
  <c r="AS161" i="76"/>
  <c r="AT161" i="76"/>
  <c r="AU161" i="76"/>
  <c r="AV161" i="76"/>
  <c r="AW161" i="76"/>
  <c r="AX161" i="76"/>
  <c r="AY161" i="76"/>
  <c r="AZ161" i="76"/>
  <c r="BA161" i="76"/>
  <c r="BB161" i="76"/>
  <c r="BC161" i="76"/>
  <c r="BD161" i="76"/>
  <c r="BE161" i="76"/>
  <c r="BF161" i="76"/>
  <c r="BG161" i="76"/>
  <c r="BH161" i="76"/>
  <c r="BI161" i="76"/>
  <c r="BJ161" i="76"/>
  <c r="BK161" i="76"/>
  <c r="BM161" i="76"/>
  <c r="A162" i="76"/>
  <c r="B162" i="76"/>
  <c r="D162" i="76"/>
  <c r="G162" i="76"/>
  <c r="H162" i="76"/>
  <c r="J162" i="76"/>
  <c r="K162" i="76"/>
  <c r="P162" i="76"/>
  <c r="U162" i="76"/>
  <c r="V162" i="76"/>
  <c r="AE162" i="76"/>
  <c r="AJ162" i="76"/>
  <c r="AK162" i="76"/>
  <c r="AL162" i="76"/>
  <c r="AM162" i="76"/>
  <c r="AN162" i="76"/>
  <c r="AO162" i="76"/>
  <c r="AP162" i="76"/>
  <c r="AQ162" i="76"/>
  <c r="AR162" i="76"/>
  <c r="AS162" i="76"/>
  <c r="AT162" i="76"/>
  <c r="AU162" i="76"/>
  <c r="AV162" i="76"/>
  <c r="AW162" i="76"/>
  <c r="AX162" i="76"/>
  <c r="AY162" i="76"/>
  <c r="AZ162" i="76"/>
  <c r="BA162" i="76"/>
  <c r="BB162" i="76"/>
  <c r="BC162" i="76"/>
  <c r="BD162" i="76"/>
  <c r="BE162" i="76"/>
  <c r="BF162" i="76"/>
  <c r="BG162" i="76"/>
  <c r="BH162" i="76"/>
  <c r="BI162" i="76"/>
  <c r="BJ162" i="76"/>
  <c r="BK162" i="76"/>
  <c r="BM162" i="76"/>
  <c r="A163" i="76"/>
  <c r="B163" i="76"/>
  <c r="D163" i="76"/>
  <c r="G163" i="76"/>
  <c r="H163" i="76"/>
  <c r="J163" i="76"/>
  <c r="F163" i="76" s="1"/>
  <c r="K163" i="76"/>
  <c r="P163" i="76"/>
  <c r="R163" i="76"/>
  <c r="U163" i="76"/>
  <c r="V163" i="76"/>
  <c r="AE163" i="76"/>
  <c r="AJ163" i="76"/>
  <c r="AK163" i="76"/>
  <c r="AL163" i="76"/>
  <c r="AM163" i="76"/>
  <c r="AN163" i="76"/>
  <c r="AO163" i="76"/>
  <c r="AP163" i="76"/>
  <c r="AQ163" i="76"/>
  <c r="AR163" i="76"/>
  <c r="AS163" i="76"/>
  <c r="AT163" i="76"/>
  <c r="AU163" i="76"/>
  <c r="AV163" i="76"/>
  <c r="AW163" i="76"/>
  <c r="AX163" i="76"/>
  <c r="AY163" i="76"/>
  <c r="AZ163" i="76"/>
  <c r="BA163" i="76"/>
  <c r="BB163" i="76"/>
  <c r="BC163" i="76"/>
  <c r="BD163" i="76"/>
  <c r="BE163" i="76"/>
  <c r="BF163" i="76"/>
  <c r="BG163" i="76"/>
  <c r="BH163" i="76"/>
  <c r="BI163" i="76"/>
  <c r="BJ163" i="76"/>
  <c r="BK163" i="76"/>
  <c r="BM163" i="76"/>
  <c r="A164" i="76"/>
  <c r="B164" i="76"/>
  <c r="D164" i="76"/>
  <c r="G164" i="76"/>
  <c r="H164" i="76"/>
  <c r="J164" i="76"/>
  <c r="E164" i="76" s="1"/>
  <c r="K164" i="76"/>
  <c r="P164" i="76"/>
  <c r="R164" i="76"/>
  <c r="U164" i="76"/>
  <c r="V164" i="76"/>
  <c r="AE164" i="76"/>
  <c r="AJ164" i="76"/>
  <c r="AK164" i="76"/>
  <c r="AL164" i="76"/>
  <c r="AM164" i="76"/>
  <c r="AN164" i="76"/>
  <c r="AO164" i="76"/>
  <c r="AP164" i="76"/>
  <c r="AQ164" i="76"/>
  <c r="AR164" i="76"/>
  <c r="AS164" i="76"/>
  <c r="AT164" i="76"/>
  <c r="AU164" i="76"/>
  <c r="AV164" i="76"/>
  <c r="AW164" i="76"/>
  <c r="AX164" i="76"/>
  <c r="AY164" i="76"/>
  <c r="AZ164" i="76"/>
  <c r="BA164" i="76"/>
  <c r="BB164" i="76"/>
  <c r="BC164" i="76"/>
  <c r="BD164" i="76"/>
  <c r="BE164" i="76"/>
  <c r="BF164" i="76"/>
  <c r="BG164" i="76"/>
  <c r="BH164" i="76"/>
  <c r="BI164" i="76"/>
  <c r="BJ164" i="76"/>
  <c r="BK164" i="76"/>
  <c r="BM164" i="76"/>
  <c r="A165" i="76"/>
  <c r="B165" i="76"/>
  <c r="D165" i="76"/>
  <c r="G165" i="76"/>
  <c r="H165" i="76"/>
  <c r="J165" i="76"/>
  <c r="K165" i="76"/>
  <c r="P165" i="76"/>
  <c r="R165" i="76"/>
  <c r="U165" i="76"/>
  <c r="V165" i="76"/>
  <c r="AE165" i="76"/>
  <c r="AJ165" i="76"/>
  <c r="AK165" i="76"/>
  <c r="AL165" i="76"/>
  <c r="AM165" i="76"/>
  <c r="AN165" i="76"/>
  <c r="AO165" i="76"/>
  <c r="AP165" i="76"/>
  <c r="AQ165" i="76"/>
  <c r="AR165" i="76"/>
  <c r="AS165" i="76"/>
  <c r="AT165" i="76"/>
  <c r="AU165" i="76"/>
  <c r="AV165" i="76"/>
  <c r="AW165" i="76"/>
  <c r="AX165" i="76"/>
  <c r="AY165" i="76"/>
  <c r="AZ165" i="76"/>
  <c r="BA165" i="76"/>
  <c r="BB165" i="76"/>
  <c r="BC165" i="76"/>
  <c r="BD165" i="76"/>
  <c r="BE165" i="76"/>
  <c r="BF165" i="76"/>
  <c r="BG165" i="76"/>
  <c r="BH165" i="76"/>
  <c r="BI165" i="76"/>
  <c r="BJ165" i="76"/>
  <c r="BK165" i="76"/>
  <c r="BM165" i="76"/>
  <c r="A166" i="76"/>
  <c r="B166" i="76"/>
  <c r="D166" i="76"/>
  <c r="G166" i="76"/>
  <c r="H166" i="76"/>
  <c r="J166" i="76"/>
  <c r="F166" i="76" s="1"/>
  <c r="K166" i="76"/>
  <c r="P166" i="76"/>
  <c r="R166" i="76"/>
  <c r="U166" i="76"/>
  <c r="V166" i="76"/>
  <c r="AE166" i="76"/>
  <c r="AJ166" i="76"/>
  <c r="AK166" i="76"/>
  <c r="AL166" i="76"/>
  <c r="AM166" i="76"/>
  <c r="AN166" i="76"/>
  <c r="AO166" i="76"/>
  <c r="AP166" i="76"/>
  <c r="AQ166" i="76"/>
  <c r="AR166" i="76"/>
  <c r="AS166" i="76"/>
  <c r="AT166" i="76"/>
  <c r="AU166" i="76"/>
  <c r="AV166" i="76"/>
  <c r="AW166" i="76"/>
  <c r="AX166" i="76"/>
  <c r="AY166" i="76"/>
  <c r="AZ166" i="76"/>
  <c r="BA166" i="76"/>
  <c r="BB166" i="76"/>
  <c r="BC166" i="76"/>
  <c r="BD166" i="76"/>
  <c r="BE166" i="76"/>
  <c r="BF166" i="76"/>
  <c r="BG166" i="76"/>
  <c r="BH166" i="76"/>
  <c r="BI166" i="76"/>
  <c r="BJ166" i="76"/>
  <c r="BK166" i="76"/>
  <c r="BM166" i="76"/>
  <c r="A167" i="76"/>
  <c r="B167" i="76"/>
  <c r="D167" i="76"/>
  <c r="G167" i="76"/>
  <c r="H167" i="76"/>
  <c r="J167" i="76"/>
  <c r="F167" i="76" s="1"/>
  <c r="K167" i="76"/>
  <c r="P167" i="76"/>
  <c r="R167" i="76"/>
  <c r="U167" i="76"/>
  <c r="V167" i="76"/>
  <c r="AE167" i="76"/>
  <c r="AJ167" i="76"/>
  <c r="AK167" i="76"/>
  <c r="AL167" i="76"/>
  <c r="AM167" i="76"/>
  <c r="AN167" i="76"/>
  <c r="AO167" i="76"/>
  <c r="AP167" i="76"/>
  <c r="AQ167" i="76"/>
  <c r="AR167" i="76"/>
  <c r="AS167" i="76"/>
  <c r="AT167" i="76"/>
  <c r="AU167" i="76"/>
  <c r="AV167" i="76"/>
  <c r="AW167" i="76"/>
  <c r="AX167" i="76"/>
  <c r="AY167" i="76"/>
  <c r="AZ167" i="76"/>
  <c r="BA167" i="76"/>
  <c r="BB167" i="76"/>
  <c r="BC167" i="76"/>
  <c r="BD167" i="76"/>
  <c r="BE167" i="76"/>
  <c r="BF167" i="76"/>
  <c r="BG167" i="76"/>
  <c r="BH167" i="76"/>
  <c r="BI167" i="76"/>
  <c r="BJ167" i="76"/>
  <c r="BK167" i="76"/>
  <c r="BM167" i="76"/>
  <c r="A168" i="76"/>
  <c r="B168" i="76"/>
  <c r="D168" i="76"/>
  <c r="G168" i="76"/>
  <c r="H168" i="76"/>
  <c r="J168" i="76"/>
  <c r="K168" i="76"/>
  <c r="P168" i="76"/>
  <c r="R168" i="76"/>
  <c r="U168" i="76"/>
  <c r="V168" i="76"/>
  <c r="AE168" i="76"/>
  <c r="AJ168" i="76"/>
  <c r="AK168" i="76"/>
  <c r="AL168" i="76"/>
  <c r="AM168" i="76"/>
  <c r="AN168" i="76"/>
  <c r="AO168" i="76"/>
  <c r="AP168" i="76"/>
  <c r="AQ168" i="76"/>
  <c r="AR168" i="76"/>
  <c r="AS168" i="76"/>
  <c r="AT168" i="76"/>
  <c r="AU168" i="76"/>
  <c r="AV168" i="76"/>
  <c r="AW168" i="76"/>
  <c r="AX168" i="76"/>
  <c r="AY168" i="76"/>
  <c r="AZ168" i="76"/>
  <c r="BA168" i="76"/>
  <c r="BB168" i="76"/>
  <c r="BC168" i="76"/>
  <c r="BD168" i="76"/>
  <c r="BE168" i="76"/>
  <c r="BF168" i="76"/>
  <c r="BG168" i="76"/>
  <c r="BH168" i="76"/>
  <c r="BI168" i="76"/>
  <c r="BJ168" i="76"/>
  <c r="BK168" i="76"/>
  <c r="BM168" i="76"/>
  <c r="A169" i="76"/>
  <c r="B169" i="76"/>
  <c r="D169" i="76"/>
  <c r="G169" i="76"/>
  <c r="H169" i="76"/>
  <c r="J169" i="76"/>
  <c r="F169" i="76" s="1"/>
  <c r="K169" i="76"/>
  <c r="P169" i="76"/>
  <c r="R169" i="76"/>
  <c r="U169" i="76"/>
  <c r="V169" i="76"/>
  <c r="AE169" i="76"/>
  <c r="AJ169" i="76"/>
  <c r="AK169" i="76"/>
  <c r="AL169" i="76"/>
  <c r="AM169" i="76"/>
  <c r="AN169" i="76"/>
  <c r="AO169" i="76"/>
  <c r="AP169" i="76"/>
  <c r="AQ169" i="76"/>
  <c r="AR169" i="76"/>
  <c r="AS169" i="76"/>
  <c r="AT169" i="76"/>
  <c r="AU169" i="76"/>
  <c r="AV169" i="76"/>
  <c r="AW169" i="76"/>
  <c r="AX169" i="76"/>
  <c r="AY169" i="76"/>
  <c r="AZ169" i="76"/>
  <c r="BA169" i="76"/>
  <c r="BB169" i="76"/>
  <c r="BC169" i="76"/>
  <c r="BD169" i="76"/>
  <c r="BE169" i="76"/>
  <c r="BF169" i="76"/>
  <c r="BG169" i="76"/>
  <c r="BH169" i="76"/>
  <c r="BI169" i="76"/>
  <c r="BJ169" i="76"/>
  <c r="BK169" i="76"/>
  <c r="BM169" i="76"/>
  <c r="A170" i="76"/>
  <c r="B170" i="76"/>
  <c r="D170" i="76"/>
  <c r="G170" i="76"/>
  <c r="H170" i="76"/>
  <c r="J170" i="76"/>
  <c r="E170" i="76" s="1"/>
  <c r="K170" i="76"/>
  <c r="P170" i="76"/>
  <c r="R170" i="76"/>
  <c r="U170" i="76"/>
  <c r="V170" i="76"/>
  <c r="AE170" i="76"/>
  <c r="AJ170" i="76"/>
  <c r="AK170" i="76"/>
  <c r="AL170" i="76"/>
  <c r="AM170" i="76"/>
  <c r="AN170" i="76"/>
  <c r="AO170" i="76"/>
  <c r="AP170" i="76"/>
  <c r="AQ170" i="76"/>
  <c r="AR170" i="76"/>
  <c r="AS170" i="76"/>
  <c r="AT170" i="76"/>
  <c r="AU170" i="76"/>
  <c r="AV170" i="76"/>
  <c r="AW170" i="76"/>
  <c r="AX170" i="76"/>
  <c r="AY170" i="76"/>
  <c r="AZ170" i="76"/>
  <c r="BA170" i="76"/>
  <c r="BB170" i="76"/>
  <c r="BC170" i="76"/>
  <c r="BD170" i="76"/>
  <c r="BE170" i="76"/>
  <c r="BF170" i="76"/>
  <c r="BG170" i="76"/>
  <c r="BH170" i="76"/>
  <c r="BI170" i="76"/>
  <c r="BJ170" i="76"/>
  <c r="BK170" i="76"/>
  <c r="BM170" i="76"/>
  <c r="A171" i="76"/>
  <c r="B171" i="76"/>
  <c r="D171" i="76"/>
  <c r="G171" i="76"/>
  <c r="H171" i="76"/>
  <c r="J171" i="76"/>
  <c r="K171" i="76"/>
  <c r="P171" i="76"/>
  <c r="R171" i="76"/>
  <c r="U171" i="76"/>
  <c r="V171" i="76"/>
  <c r="AE171" i="76"/>
  <c r="AJ171" i="76"/>
  <c r="AK171" i="76"/>
  <c r="AL171" i="76"/>
  <c r="AM171" i="76"/>
  <c r="AN171" i="76"/>
  <c r="AO171" i="76"/>
  <c r="AP171" i="76"/>
  <c r="AQ171" i="76"/>
  <c r="AR171" i="76"/>
  <c r="AS171" i="76"/>
  <c r="AT171" i="76"/>
  <c r="AU171" i="76"/>
  <c r="AV171" i="76"/>
  <c r="AW171" i="76"/>
  <c r="AX171" i="76"/>
  <c r="AY171" i="76"/>
  <c r="AZ171" i="76"/>
  <c r="BA171" i="76"/>
  <c r="BB171" i="76"/>
  <c r="BC171" i="76"/>
  <c r="BD171" i="76"/>
  <c r="BE171" i="76"/>
  <c r="BF171" i="76"/>
  <c r="BG171" i="76"/>
  <c r="BH171" i="76"/>
  <c r="BI171" i="76"/>
  <c r="BJ171" i="76"/>
  <c r="BK171" i="76"/>
  <c r="BM171" i="76"/>
  <c r="A172" i="76"/>
  <c r="B172" i="76"/>
  <c r="D172" i="76"/>
  <c r="G172" i="76"/>
  <c r="H172" i="76"/>
  <c r="J172" i="76"/>
  <c r="F172" i="76" s="1"/>
  <c r="K172" i="76"/>
  <c r="P172" i="76"/>
  <c r="R172" i="76"/>
  <c r="U172" i="76"/>
  <c r="V172" i="76"/>
  <c r="AE172" i="76"/>
  <c r="AJ172" i="76"/>
  <c r="AK172" i="76"/>
  <c r="AL172" i="76"/>
  <c r="AM172" i="76"/>
  <c r="AN172" i="76"/>
  <c r="AO172" i="76"/>
  <c r="AP172" i="76"/>
  <c r="AQ172" i="76"/>
  <c r="AR172" i="76"/>
  <c r="AS172" i="76"/>
  <c r="AT172" i="76"/>
  <c r="AU172" i="76"/>
  <c r="AV172" i="76"/>
  <c r="AW172" i="76"/>
  <c r="AX172" i="76"/>
  <c r="AY172" i="76"/>
  <c r="AZ172" i="76"/>
  <c r="BA172" i="76"/>
  <c r="BB172" i="76"/>
  <c r="BC172" i="76"/>
  <c r="BD172" i="76"/>
  <c r="BE172" i="76"/>
  <c r="BF172" i="76"/>
  <c r="BG172" i="76"/>
  <c r="BH172" i="76"/>
  <c r="BI172" i="76"/>
  <c r="BJ172" i="76"/>
  <c r="BK172" i="76"/>
  <c r="BM172" i="76"/>
  <c r="A173" i="76"/>
  <c r="B173" i="76"/>
  <c r="D173" i="76"/>
  <c r="G173" i="76"/>
  <c r="H173" i="76"/>
  <c r="J173" i="76"/>
  <c r="E173" i="76" s="1"/>
  <c r="K173" i="76"/>
  <c r="P173" i="76"/>
  <c r="R173" i="76"/>
  <c r="U173" i="76"/>
  <c r="V173" i="76"/>
  <c r="AE173" i="76"/>
  <c r="AJ173" i="76"/>
  <c r="AK173" i="76"/>
  <c r="AL173" i="76"/>
  <c r="AM173" i="76"/>
  <c r="AN173" i="76"/>
  <c r="AO173" i="76"/>
  <c r="AP173" i="76"/>
  <c r="AQ173" i="76"/>
  <c r="AR173" i="76"/>
  <c r="AS173" i="76"/>
  <c r="AT173" i="76"/>
  <c r="AU173" i="76"/>
  <c r="AV173" i="76"/>
  <c r="AW173" i="76"/>
  <c r="AX173" i="76"/>
  <c r="AY173" i="76"/>
  <c r="AZ173" i="76"/>
  <c r="BA173" i="76"/>
  <c r="BB173" i="76"/>
  <c r="BC173" i="76"/>
  <c r="BD173" i="76"/>
  <c r="BE173" i="76"/>
  <c r="BF173" i="76"/>
  <c r="BG173" i="76"/>
  <c r="BH173" i="76"/>
  <c r="BI173" i="76"/>
  <c r="BJ173" i="76"/>
  <c r="BK173" i="76"/>
  <c r="BM173" i="76"/>
  <c r="A174" i="76"/>
  <c r="B174" i="76"/>
  <c r="D174" i="76"/>
  <c r="G174" i="76"/>
  <c r="H174" i="76"/>
  <c r="J174" i="76"/>
  <c r="K174" i="76"/>
  <c r="P174" i="76"/>
  <c r="R174" i="76"/>
  <c r="U174" i="76"/>
  <c r="V174" i="76"/>
  <c r="AE174" i="76"/>
  <c r="AJ174" i="76"/>
  <c r="AK174" i="76"/>
  <c r="AL174" i="76"/>
  <c r="AM174" i="76"/>
  <c r="AN174" i="76"/>
  <c r="AO174" i="76"/>
  <c r="AP174" i="76"/>
  <c r="AQ174" i="76"/>
  <c r="AR174" i="76"/>
  <c r="AS174" i="76"/>
  <c r="AT174" i="76"/>
  <c r="AU174" i="76"/>
  <c r="AV174" i="76"/>
  <c r="AW174" i="76"/>
  <c r="AX174" i="76"/>
  <c r="AY174" i="76"/>
  <c r="AZ174" i="76"/>
  <c r="BA174" i="76"/>
  <c r="BB174" i="76"/>
  <c r="BC174" i="76"/>
  <c r="BD174" i="76"/>
  <c r="BE174" i="76"/>
  <c r="BF174" i="76"/>
  <c r="BG174" i="76"/>
  <c r="BH174" i="76"/>
  <c r="BI174" i="76"/>
  <c r="BJ174" i="76"/>
  <c r="BK174" i="76"/>
  <c r="BM174" i="76"/>
  <c r="A175" i="76"/>
  <c r="B175" i="76"/>
  <c r="D175" i="76"/>
  <c r="G175" i="76"/>
  <c r="H175" i="76"/>
  <c r="J175" i="76"/>
  <c r="F175" i="76" s="1"/>
  <c r="K175" i="76"/>
  <c r="P175" i="76"/>
  <c r="R175" i="76"/>
  <c r="U175" i="76"/>
  <c r="V175" i="76"/>
  <c r="AE175" i="76"/>
  <c r="AJ175" i="76"/>
  <c r="AK175" i="76"/>
  <c r="AL175" i="76"/>
  <c r="AM175" i="76"/>
  <c r="AN175" i="76"/>
  <c r="AO175" i="76"/>
  <c r="AP175" i="76"/>
  <c r="AQ175" i="76"/>
  <c r="AR175" i="76"/>
  <c r="AS175" i="76"/>
  <c r="AT175" i="76"/>
  <c r="AU175" i="76"/>
  <c r="AV175" i="76"/>
  <c r="AW175" i="76"/>
  <c r="AX175" i="76"/>
  <c r="AY175" i="76"/>
  <c r="AZ175" i="76"/>
  <c r="BA175" i="76"/>
  <c r="BB175" i="76"/>
  <c r="BC175" i="76"/>
  <c r="BD175" i="76"/>
  <c r="BE175" i="76"/>
  <c r="BF175" i="76"/>
  <c r="BG175" i="76"/>
  <c r="BH175" i="76"/>
  <c r="BI175" i="76"/>
  <c r="BJ175" i="76"/>
  <c r="BK175" i="76"/>
  <c r="BM175" i="76"/>
  <c r="A176" i="76"/>
  <c r="B176" i="76"/>
  <c r="D176" i="76"/>
  <c r="G176" i="76"/>
  <c r="H176" i="76"/>
  <c r="J176" i="76"/>
  <c r="K176" i="76"/>
  <c r="P176" i="76"/>
  <c r="R176" i="76"/>
  <c r="U176" i="76"/>
  <c r="V176" i="76"/>
  <c r="AE176" i="76"/>
  <c r="AJ176" i="76"/>
  <c r="AK176" i="76"/>
  <c r="AL176" i="76"/>
  <c r="AM176" i="76"/>
  <c r="AN176" i="76"/>
  <c r="AO176" i="76"/>
  <c r="AP176" i="76"/>
  <c r="AQ176" i="76"/>
  <c r="AR176" i="76"/>
  <c r="AS176" i="76"/>
  <c r="AT176" i="76"/>
  <c r="AU176" i="76"/>
  <c r="AV176" i="76"/>
  <c r="AW176" i="76"/>
  <c r="AX176" i="76"/>
  <c r="AY176" i="76"/>
  <c r="AZ176" i="76"/>
  <c r="BA176" i="76"/>
  <c r="BB176" i="76"/>
  <c r="BC176" i="76"/>
  <c r="BD176" i="76"/>
  <c r="BE176" i="76"/>
  <c r="BF176" i="76"/>
  <c r="BG176" i="76"/>
  <c r="BH176" i="76"/>
  <c r="BI176" i="76"/>
  <c r="BJ176" i="76"/>
  <c r="BK176" i="76"/>
  <c r="BM176" i="76"/>
  <c r="A177" i="76"/>
  <c r="B177" i="76"/>
  <c r="D177" i="76"/>
  <c r="G177" i="76"/>
  <c r="H177" i="76"/>
  <c r="J177" i="76"/>
  <c r="F177" i="76" s="1"/>
  <c r="K177" i="76"/>
  <c r="P177" i="76"/>
  <c r="R177" i="76"/>
  <c r="U177" i="76"/>
  <c r="V177" i="76"/>
  <c r="AE177" i="76"/>
  <c r="AJ177" i="76"/>
  <c r="AK177" i="76"/>
  <c r="AL177" i="76"/>
  <c r="AM177" i="76"/>
  <c r="AN177" i="76"/>
  <c r="AO177" i="76"/>
  <c r="AP177" i="76"/>
  <c r="AQ177" i="76"/>
  <c r="AR177" i="76"/>
  <c r="AS177" i="76"/>
  <c r="AT177" i="76"/>
  <c r="AU177" i="76"/>
  <c r="AV177" i="76"/>
  <c r="AW177" i="76"/>
  <c r="AX177" i="76"/>
  <c r="AY177" i="76"/>
  <c r="AZ177" i="76"/>
  <c r="BA177" i="76"/>
  <c r="BB177" i="76"/>
  <c r="BC177" i="76"/>
  <c r="BD177" i="76"/>
  <c r="BE177" i="76"/>
  <c r="BF177" i="76"/>
  <c r="BG177" i="76"/>
  <c r="BH177" i="76"/>
  <c r="BI177" i="76"/>
  <c r="BJ177" i="76"/>
  <c r="BK177" i="76"/>
  <c r="BM177" i="76"/>
  <c r="A178" i="76"/>
  <c r="B178" i="76"/>
  <c r="D178" i="76"/>
  <c r="G178" i="76"/>
  <c r="H178" i="76"/>
  <c r="J178" i="76"/>
  <c r="F178" i="76" s="1"/>
  <c r="K178" i="76"/>
  <c r="P178" i="76"/>
  <c r="R178" i="76"/>
  <c r="U178" i="76"/>
  <c r="V178" i="76"/>
  <c r="AE178" i="76"/>
  <c r="AJ178" i="76"/>
  <c r="AK178" i="76"/>
  <c r="AL178" i="76"/>
  <c r="AM178" i="76"/>
  <c r="AN178" i="76"/>
  <c r="AO178" i="76"/>
  <c r="AP178" i="76"/>
  <c r="AQ178" i="76"/>
  <c r="AR178" i="76"/>
  <c r="AS178" i="76"/>
  <c r="AT178" i="76"/>
  <c r="AU178" i="76"/>
  <c r="AV178" i="76"/>
  <c r="AW178" i="76"/>
  <c r="AX178" i="76"/>
  <c r="AY178" i="76"/>
  <c r="AZ178" i="76"/>
  <c r="BA178" i="76"/>
  <c r="BB178" i="76"/>
  <c r="BC178" i="76"/>
  <c r="BD178" i="76"/>
  <c r="BE178" i="76"/>
  <c r="BF178" i="76"/>
  <c r="BG178" i="76"/>
  <c r="BH178" i="76"/>
  <c r="BI178" i="76"/>
  <c r="BJ178" i="76"/>
  <c r="BK178" i="76"/>
  <c r="BM178" i="76"/>
  <c r="A179" i="76"/>
  <c r="B179" i="76"/>
  <c r="D179" i="76"/>
  <c r="G179" i="76"/>
  <c r="H179" i="76"/>
  <c r="J179" i="76"/>
  <c r="K179" i="76"/>
  <c r="P179" i="76"/>
  <c r="R179" i="76"/>
  <c r="U179" i="76"/>
  <c r="V179" i="76"/>
  <c r="AE179" i="76"/>
  <c r="AJ179" i="76"/>
  <c r="AK179" i="76"/>
  <c r="AL179" i="76"/>
  <c r="AM179" i="76"/>
  <c r="AN179" i="76"/>
  <c r="AO179" i="76"/>
  <c r="AP179" i="76"/>
  <c r="AQ179" i="76"/>
  <c r="AR179" i="76"/>
  <c r="AS179" i="76"/>
  <c r="AT179" i="76"/>
  <c r="AU179" i="76"/>
  <c r="AV179" i="76"/>
  <c r="AW179" i="76"/>
  <c r="AX179" i="76"/>
  <c r="AY179" i="76"/>
  <c r="AZ179" i="76"/>
  <c r="BA179" i="76"/>
  <c r="BB179" i="76"/>
  <c r="BC179" i="76"/>
  <c r="BD179" i="76"/>
  <c r="BE179" i="76"/>
  <c r="BF179" i="76"/>
  <c r="BG179" i="76"/>
  <c r="BH179" i="76"/>
  <c r="BI179" i="76"/>
  <c r="BJ179" i="76"/>
  <c r="BK179" i="76"/>
  <c r="BM179" i="76"/>
  <c r="A180" i="76"/>
  <c r="B180" i="76"/>
  <c r="D180" i="76"/>
  <c r="G180" i="76"/>
  <c r="H180" i="76"/>
  <c r="J180" i="76"/>
  <c r="F180" i="76" s="1"/>
  <c r="K180" i="76"/>
  <c r="P180" i="76"/>
  <c r="R180" i="76"/>
  <c r="U180" i="76"/>
  <c r="V180" i="76"/>
  <c r="AE180" i="76"/>
  <c r="AJ180" i="76"/>
  <c r="AK180" i="76"/>
  <c r="AL180" i="76"/>
  <c r="AM180" i="76"/>
  <c r="AN180" i="76"/>
  <c r="AO180" i="76"/>
  <c r="AP180" i="76"/>
  <c r="AQ180" i="76"/>
  <c r="AR180" i="76"/>
  <c r="AS180" i="76"/>
  <c r="AT180" i="76"/>
  <c r="AU180" i="76"/>
  <c r="AV180" i="76"/>
  <c r="AW180" i="76"/>
  <c r="AX180" i="76"/>
  <c r="AY180" i="76"/>
  <c r="AZ180" i="76"/>
  <c r="BA180" i="76"/>
  <c r="BB180" i="76"/>
  <c r="BC180" i="76"/>
  <c r="BD180" i="76"/>
  <c r="BE180" i="76"/>
  <c r="BF180" i="76"/>
  <c r="BG180" i="76"/>
  <c r="BH180" i="76"/>
  <c r="BI180" i="76"/>
  <c r="BJ180" i="76"/>
  <c r="BK180" i="76"/>
  <c r="BM180" i="76"/>
  <c r="A181" i="76"/>
  <c r="B181" i="76"/>
  <c r="D181" i="76"/>
  <c r="G181" i="76"/>
  <c r="H181" i="76"/>
  <c r="J181" i="76"/>
  <c r="E181" i="76" s="1"/>
  <c r="K181" i="76"/>
  <c r="P181" i="76"/>
  <c r="R181" i="76"/>
  <c r="U181" i="76"/>
  <c r="V181" i="76"/>
  <c r="AE181" i="76"/>
  <c r="AJ181" i="76"/>
  <c r="AK181" i="76"/>
  <c r="AL181" i="76"/>
  <c r="AM181" i="76"/>
  <c r="AN181" i="76"/>
  <c r="AO181" i="76"/>
  <c r="AP181" i="76"/>
  <c r="AQ181" i="76"/>
  <c r="AR181" i="76"/>
  <c r="AS181" i="76"/>
  <c r="AT181" i="76"/>
  <c r="AU181" i="76"/>
  <c r="AV181" i="76"/>
  <c r="AW181" i="76"/>
  <c r="AX181" i="76"/>
  <c r="AY181" i="76"/>
  <c r="AZ181" i="76"/>
  <c r="BA181" i="76"/>
  <c r="BB181" i="76"/>
  <c r="BC181" i="76"/>
  <c r="BD181" i="76"/>
  <c r="BE181" i="76"/>
  <c r="BF181" i="76"/>
  <c r="BG181" i="76"/>
  <c r="BH181" i="76"/>
  <c r="BI181" i="76"/>
  <c r="BJ181" i="76"/>
  <c r="BK181" i="76"/>
  <c r="BM181" i="76"/>
  <c r="A182" i="76"/>
  <c r="B182" i="76"/>
  <c r="D182" i="76"/>
  <c r="G182" i="76"/>
  <c r="H182" i="76"/>
  <c r="J182" i="76"/>
  <c r="E182" i="76" s="1"/>
  <c r="K182" i="76"/>
  <c r="P182" i="76"/>
  <c r="R182" i="76"/>
  <c r="U182" i="76"/>
  <c r="V182" i="76"/>
  <c r="AE182" i="76"/>
  <c r="AJ182" i="76"/>
  <c r="AK182" i="76"/>
  <c r="AL182" i="76"/>
  <c r="AM182" i="76"/>
  <c r="AN182" i="76"/>
  <c r="AO182" i="76"/>
  <c r="AP182" i="76"/>
  <c r="AQ182" i="76"/>
  <c r="AR182" i="76"/>
  <c r="AS182" i="76"/>
  <c r="AT182" i="76"/>
  <c r="AU182" i="76"/>
  <c r="AV182" i="76"/>
  <c r="AW182" i="76"/>
  <c r="AX182" i="76"/>
  <c r="AY182" i="76"/>
  <c r="AZ182" i="76"/>
  <c r="BA182" i="76"/>
  <c r="BB182" i="76"/>
  <c r="BC182" i="76"/>
  <c r="BD182" i="76"/>
  <c r="BE182" i="76"/>
  <c r="BF182" i="76"/>
  <c r="BG182" i="76"/>
  <c r="BH182" i="76"/>
  <c r="BI182" i="76"/>
  <c r="BJ182" i="76"/>
  <c r="BK182" i="76"/>
  <c r="BM182" i="76"/>
  <c r="A183" i="76"/>
  <c r="B183" i="76"/>
  <c r="D183" i="76"/>
  <c r="G183" i="76"/>
  <c r="H183" i="76"/>
  <c r="J183" i="76"/>
  <c r="K183" i="76"/>
  <c r="P183" i="76"/>
  <c r="R183" i="76"/>
  <c r="U183" i="76"/>
  <c r="V183" i="76"/>
  <c r="AE183" i="76"/>
  <c r="AJ183" i="76"/>
  <c r="AK183" i="76"/>
  <c r="AL183" i="76"/>
  <c r="AM183" i="76"/>
  <c r="AN183" i="76"/>
  <c r="AO183" i="76"/>
  <c r="AP183" i="76"/>
  <c r="AQ183" i="76"/>
  <c r="AR183" i="76"/>
  <c r="AS183" i="76"/>
  <c r="AT183" i="76"/>
  <c r="AU183" i="76"/>
  <c r="AV183" i="76"/>
  <c r="AW183" i="76"/>
  <c r="AX183" i="76"/>
  <c r="AY183" i="76"/>
  <c r="AZ183" i="76"/>
  <c r="BA183" i="76"/>
  <c r="BB183" i="76"/>
  <c r="BC183" i="76"/>
  <c r="BD183" i="76"/>
  <c r="BE183" i="76"/>
  <c r="BF183" i="76"/>
  <c r="BG183" i="76"/>
  <c r="BH183" i="76"/>
  <c r="BI183" i="76"/>
  <c r="BJ183" i="76"/>
  <c r="BK183" i="76"/>
  <c r="BM183" i="76"/>
  <c r="A184" i="76"/>
  <c r="B184" i="76"/>
  <c r="D184" i="76"/>
  <c r="G184" i="76"/>
  <c r="H184" i="76"/>
  <c r="J184" i="76"/>
  <c r="F184" i="76" s="1"/>
  <c r="K184" i="76"/>
  <c r="P184" i="76"/>
  <c r="R184" i="76"/>
  <c r="U184" i="76"/>
  <c r="V184" i="76"/>
  <c r="AE184" i="76"/>
  <c r="AJ184" i="76"/>
  <c r="AK184" i="76"/>
  <c r="AL184" i="76"/>
  <c r="AM184" i="76"/>
  <c r="AN184" i="76"/>
  <c r="AO184" i="76"/>
  <c r="AP184" i="76"/>
  <c r="AQ184" i="76"/>
  <c r="AR184" i="76"/>
  <c r="AS184" i="76"/>
  <c r="AT184" i="76"/>
  <c r="AU184" i="76"/>
  <c r="AV184" i="76"/>
  <c r="AW184" i="76"/>
  <c r="AX184" i="76"/>
  <c r="AY184" i="76"/>
  <c r="AZ184" i="76"/>
  <c r="BA184" i="76"/>
  <c r="BB184" i="76"/>
  <c r="BC184" i="76"/>
  <c r="BD184" i="76"/>
  <c r="BE184" i="76"/>
  <c r="BF184" i="76"/>
  <c r="BG184" i="76"/>
  <c r="BH184" i="76"/>
  <c r="BI184" i="76"/>
  <c r="BJ184" i="76"/>
  <c r="BK184" i="76"/>
  <c r="BM184" i="76"/>
  <c r="A185" i="76"/>
  <c r="B185" i="76"/>
  <c r="D185" i="76"/>
  <c r="G185" i="76"/>
  <c r="H185" i="76"/>
  <c r="J185" i="76"/>
  <c r="F185" i="76" s="1"/>
  <c r="K185" i="76"/>
  <c r="P185" i="76"/>
  <c r="R185" i="76"/>
  <c r="U185" i="76"/>
  <c r="V185" i="76"/>
  <c r="AE185" i="76"/>
  <c r="AJ185" i="76"/>
  <c r="AK185" i="76"/>
  <c r="AL185" i="76"/>
  <c r="AM185" i="76"/>
  <c r="AN185" i="76"/>
  <c r="AO185" i="76"/>
  <c r="AP185" i="76"/>
  <c r="AQ185" i="76"/>
  <c r="AR185" i="76"/>
  <c r="AS185" i="76"/>
  <c r="AT185" i="76"/>
  <c r="AU185" i="76"/>
  <c r="AV185" i="76"/>
  <c r="AW185" i="76"/>
  <c r="AX185" i="76"/>
  <c r="AY185" i="76"/>
  <c r="AZ185" i="76"/>
  <c r="BA185" i="76"/>
  <c r="BB185" i="76"/>
  <c r="BC185" i="76"/>
  <c r="BD185" i="76"/>
  <c r="BE185" i="76"/>
  <c r="BF185" i="76"/>
  <c r="BG185" i="76"/>
  <c r="BH185" i="76"/>
  <c r="BI185" i="76"/>
  <c r="BJ185" i="76"/>
  <c r="BK185" i="76"/>
  <c r="BM185" i="76"/>
  <c r="A186" i="76"/>
  <c r="B186" i="76"/>
  <c r="D186" i="76"/>
  <c r="G186" i="76"/>
  <c r="H186" i="76"/>
  <c r="J186" i="76"/>
  <c r="F186" i="76" s="1"/>
  <c r="K186" i="76"/>
  <c r="P186" i="76"/>
  <c r="R186" i="76"/>
  <c r="U186" i="76"/>
  <c r="V186" i="76"/>
  <c r="AE186" i="76"/>
  <c r="AJ186" i="76"/>
  <c r="AK186" i="76"/>
  <c r="AL186" i="76"/>
  <c r="AM186" i="76"/>
  <c r="AN186" i="76"/>
  <c r="AO186" i="76"/>
  <c r="AP186" i="76"/>
  <c r="AQ186" i="76"/>
  <c r="AR186" i="76"/>
  <c r="AS186" i="76"/>
  <c r="AT186" i="76"/>
  <c r="AU186" i="76"/>
  <c r="AV186" i="76"/>
  <c r="AW186" i="76"/>
  <c r="AX186" i="76"/>
  <c r="AY186" i="76"/>
  <c r="AZ186" i="76"/>
  <c r="BA186" i="76"/>
  <c r="BB186" i="76"/>
  <c r="BC186" i="76"/>
  <c r="BD186" i="76"/>
  <c r="BE186" i="76"/>
  <c r="BF186" i="76"/>
  <c r="BG186" i="76"/>
  <c r="BH186" i="76"/>
  <c r="BI186" i="76"/>
  <c r="BJ186" i="76"/>
  <c r="BK186" i="76"/>
  <c r="BM186" i="76"/>
  <c r="A187" i="76"/>
  <c r="B187" i="76"/>
  <c r="D187" i="76"/>
  <c r="G187" i="76"/>
  <c r="H187" i="76"/>
  <c r="J187" i="76"/>
  <c r="K187" i="76"/>
  <c r="P187" i="76"/>
  <c r="R187" i="76"/>
  <c r="U187" i="76"/>
  <c r="V187" i="76"/>
  <c r="AE187" i="76"/>
  <c r="AJ187" i="76"/>
  <c r="AK187" i="76"/>
  <c r="AL187" i="76"/>
  <c r="AM187" i="76"/>
  <c r="AN187" i="76"/>
  <c r="AO187" i="76"/>
  <c r="AP187" i="76"/>
  <c r="AQ187" i="76"/>
  <c r="AR187" i="76"/>
  <c r="AS187" i="76"/>
  <c r="AT187" i="76"/>
  <c r="AU187" i="76"/>
  <c r="AV187" i="76"/>
  <c r="AW187" i="76"/>
  <c r="AX187" i="76"/>
  <c r="AY187" i="76"/>
  <c r="AZ187" i="76"/>
  <c r="BA187" i="76"/>
  <c r="BB187" i="76"/>
  <c r="BC187" i="76"/>
  <c r="BD187" i="76"/>
  <c r="BE187" i="76"/>
  <c r="BF187" i="76"/>
  <c r="BG187" i="76"/>
  <c r="BH187" i="76"/>
  <c r="BI187" i="76"/>
  <c r="BJ187" i="76"/>
  <c r="BK187" i="76"/>
  <c r="BM187" i="76"/>
  <c r="A188" i="76"/>
  <c r="B188" i="76"/>
  <c r="D188" i="76"/>
  <c r="G188" i="76"/>
  <c r="H188" i="76"/>
  <c r="J188" i="76"/>
  <c r="E188" i="76" s="1"/>
  <c r="K188" i="76"/>
  <c r="P188" i="76"/>
  <c r="R188" i="76"/>
  <c r="U188" i="76"/>
  <c r="V188" i="76"/>
  <c r="AE188" i="76"/>
  <c r="AJ188" i="76"/>
  <c r="AK188" i="76"/>
  <c r="AL188" i="76"/>
  <c r="AM188" i="76"/>
  <c r="AN188" i="76"/>
  <c r="AO188" i="76"/>
  <c r="AP188" i="76"/>
  <c r="AQ188" i="76"/>
  <c r="AR188" i="76"/>
  <c r="AS188" i="76"/>
  <c r="AT188" i="76"/>
  <c r="AU188" i="76"/>
  <c r="AV188" i="76"/>
  <c r="AW188" i="76"/>
  <c r="AX188" i="76"/>
  <c r="AY188" i="76"/>
  <c r="AZ188" i="76"/>
  <c r="BA188" i="76"/>
  <c r="BB188" i="76"/>
  <c r="BC188" i="76"/>
  <c r="BD188" i="76"/>
  <c r="BE188" i="76"/>
  <c r="BF188" i="76"/>
  <c r="BG188" i="76"/>
  <c r="BH188" i="76"/>
  <c r="BI188" i="76"/>
  <c r="BJ188" i="76"/>
  <c r="BK188" i="76"/>
  <c r="BM188" i="76"/>
  <c r="A189" i="76"/>
  <c r="B189" i="76"/>
  <c r="D189" i="76"/>
  <c r="G189" i="76"/>
  <c r="H189" i="76"/>
  <c r="J189" i="76"/>
  <c r="K189" i="76"/>
  <c r="P189" i="76"/>
  <c r="R189" i="76"/>
  <c r="U189" i="76"/>
  <c r="V189" i="76"/>
  <c r="AE189" i="76"/>
  <c r="AJ189" i="76"/>
  <c r="AK189" i="76"/>
  <c r="AL189" i="76"/>
  <c r="AM189" i="76"/>
  <c r="AN189" i="76"/>
  <c r="AO189" i="76"/>
  <c r="AP189" i="76"/>
  <c r="AQ189" i="76"/>
  <c r="AR189" i="76"/>
  <c r="AS189" i="76"/>
  <c r="AT189" i="76"/>
  <c r="AU189" i="76"/>
  <c r="AV189" i="76"/>
  <c r="AW189" i="76"/>
  <c r="AX189" i="76"/>
  <c r="AY189" i="76"/>
  <c r="AZ189" i="76"/>
  <c r="BA189" i="76"/>
  <c r="BB189" i="76"/>
  <c r="BC189" i="76"/>
  <c r="BD189" i="76"/>
  <c r="BE189" i="76"/>
  <c r="BF189" i="76"/>
  <c r="BG189" i="76"/>
  <c r="BH189" i="76"/>
  <c r="BI189" i="76"/>
  <c r="BJ189" i="76"/>
  <c r="BK189" i="76"/>
  <c r="BM189" i="76"/>
  <c r="A190" i="76"/>
  <c r="B190" i="76"/>
  <c r="D190" i="76"/>
  <c r="G190" i="76"/>
  <c r="H190" i="76"/>
  <c r="J190" i="76"/>
  <c r="F190" i="76" s="1"/>
  <c r="K190" i="76"/>
  <c r="P190" i="76"/>
  <c r="R190" i="76"/>
  <c r="U190" i="76"/>
  <c r="V190" i="76"/>
  <c r="AE190" i="76"/>
  <c r="AJ190" i="76"/>
  <c r="AK190" i="76"/>
  <c r="AL190" i="76"/>
  <c r="AM190" i="76"/>
  <c r="AN190" i="76"/>
  <c r="AO190" i="76"/>
  <c r="AP190" i="76"/>
  <c r="AQ190" i="76"/>
  <c r="AR190" i="76"/>
  <c r="AS190" i="76"/>
  <c r="AT190" i="76"/>
  <c r="AU190" i="76"/>
  <c r="AV190" i="76"/>
  <c r="AW190" i="76"/>
  <c r="AX190" i="76"/>
  <c r="AY190" i="76"/>
  <c r="AZ190" i="76"/>
  <c r="BA190" i="76"/>
  <c r="BB190" i="76"/>
  <c r="BC190" i="76"/>
  <c r="BD190" i="76"/>
  <c r="BE190" i="76"/>
  <c r="BF190" i="76"/>
  <c r="BG190" i="76"/>
  <c r="BH190" i="76"/>
  <c r="BI190" i="76"/>
  <c r="BJ190" i="76"/>
  <c r="BK190" i="76"/>
  <c r="BM190" i="76"/>
  <c r="A191" i="76"/>
  <c r="B191" i="76"/>
  <c r="D191" i="76"/>
  <c r="G191" i="76"/>
  <c r="H191" i="76"/>
  <c r="J191" i="76"/>
  <c r="F191" i="76" s="1"/>
  <c r="K191" i="76"/>
  <c r="P191" i="76"/>
  <c r="R191" i="76"/>
  <c r="U191" i="76"/>
  <c r="V191" i="76"/>
  <c r="AE191" i="76"/>
  <c r="AJ191" i="76"/>
  <c r="AK191" i="76"/>
  <c r="AL191" i="76"/>
  <c r="AM191" i="76"/>
  <c r="AN191" i="76"/>
  <c r="AO191" i="76"/>
  <c r="AP191" i="76"/>
  <c r="AQ191" i="76"/>
  <c r="AR191" i="76"/>
  <c r="AS191" i="76"/>
  <c r="AT191" i="76"/>
  <c r="AU191" i="76"/>
  <c r="AV191" i="76"/>
  <c r="AW191" i="76"/>
  <c r="AX191" i="76"/>
  <c r="AY191" i="76"/>
  <c r="AZ191" i="76"/>
  <c r="BA191" i="76"/>
  <c r="BB191" i="76"/>
  <c r="BC191" i="76"/>
  <c r="BD191" i="76"/>
  <c r="BE191" i="76"/>
  <c r="BF191" i="76"/>
  <c r="BG191" i="76"/>
  <c r="BH191" i="76"/>
  <c r="BI191" i="76"/>
  <c r="BJ191" i="76"/>
  <c r="BK191" i="76"/>
  <c r="BM191" i="76"/>
  <c r="A192" i="76"/>
  <c r="B192" i="76"/>
  <c r="D192" i="76"/>
  <c r="G192" i="76"/>
  <c r="H192" i="76"/>
  <c r="J192" i="76"/>
  <c r="K192" i="76"/>
  <c r="P192" i="76"/>
  <c r="R192" i="76"/>
  <c r="U192" i="76"/>
  <c r="V192" i="76"/>
  <c r="AE192" i="76"/>
  <c r="AJ192" i="76"/>
  <c r="AK192" i="76"/>
  <c r="AL192" i="76"/>
  <c r="AM192" i="76"/>
  <c r="AN192" i="76"/>
  <c r="AO192" i="76"/>
  <c r="AP192" i="76"/>
  <c r="AQ192" i="76"/>
  <c r="AR192" i="76"/>
  <c r="AS192" i="76"/>
  <c r="AT192" i="76"/>
  <c r="AU192" i="76"/>
  <c r="AV192" i="76"/>
  <c r="AW192" i="76"/>
  <c r="AX192" i="76"/>
  <c r="AY192" i="76"/>
  <c r="AZ192" i="76"/>
  <c r="BA192" i="76"/>
  <c r="BB192" i="76"/>
  <c r="BC192" i="76"/>
  <c r="BD192" i="76"/>
  <c r="BE192" i="76"/>
  <c r="BF192" i="76"/>
  <c r="BG192" i="76"/>
  <c r="BH192" i="76"/>
  <c r="BI192" i="76"/>
  <c r="BJ192" i="76"/>
  <c r="BK192" i="76"/>
  <c r="BM192" i="76"/>
  <c r="A193" i="76"/>
  <c r="B193" i="76"/>
  <c r="D193" i="76"/>
  <c r="G193" i="76"/>
  <c r="H193" i="76"/>
  <c r="J193" i="76"/>
  <c r="F193" i="76" s="1"/>
  <c r="K193" i="76"/>
  <c r="P193" i="76"/>
  <c r="R193" i="76"/>
  <c r="U193" i="76"/>
  <c r="V193" i="76"/>
  <c r="AE193" i="76"/>
  <c r="AJ193" i="76"/>
  <c r="AK193" i="76"/>
  <c r="AL193" i="76"/>
  <c r="AM193" i="76"/>
  <c r="AN193" i="76"/>
  <c r="AO193" i="76"/>
  <c r="AP193" i="76"/>
  <c r="AQ193" i="76"/>
  <c r="AR193" i="76"/>
  <c r="AS193" i="76"/>
  <c r="AT193" i="76"/>
  <c r="AU193" i="76"/>
  <c r="AV193" i="76"/>
  <c r="AW193" i="76"/>
  <c r="AX193" i="76"/>
  <c r="AY193" i="76"/>
  <c r="AZ193" i="76"/>
  <c r="BA193" i="76"/>
  <c r="BB193" i="76"/>
  <c r="BC193" i="76"/>
  <c r="BD193" i="76"/>
  <c r="BE193" i="76"/>
  <c r="BF193" i="76"/>
  <c r="BG193" i="76"/>
  <c r="BH193" i="76"/>
  <c r="BI193" i="76"/>
  <c r="BJ193" i="76"/>
  <c r="BK193" i="76"/>
  <c r="BM193" i="76"/>
  <c r="A194" i="76"/>
  <c r="B194" i="76"/>
  <c r="D194" i="76"/>
  <c r="G194" i="76"/>
  <c r="H194" i="76"/>
  <c r="J194" i="76"/>
  <c r="E194" i="76" s="1"/>
  <c r="K194" i="76"/>
  <c r="P194" i="76"/>
  <c r="R194" i="76"/>
  <c r="U194" i="76"/>
  <c r="V194" i="76"/>
  <c r="AE194" i="76"/>
  <c r="AJ194" i="76"/>
  <c r="AK194" i="76"/>
  <c r="AL194" i="76"/>
  <c r="AM194" i="76"/>
  <c r="AN194" i="76"/>
  <c r="AO194" i="76"/>
  <c r="AP194" i="76"/>
  <c r="AQ194" i="76"/>
  <c r="AR194" i="76"/>
  <c r="AS194" i="76"/>
  <c r="AT194" i="76"/>
  <c r="AU194" i="76"/>
  <c r="AV194" i="76"/>
  <c r="AW194" i="76"/>
  <c r="AX194" i="76"/>
  <c r="AY194" i="76"/>
  <c r="AZ194" i="76"/>
  <c r="BA194" i="76"/>
  <c r="BB194" i="76"/>
  <c r="BC194" i="76"/>
  <c r="BD194" i="76"/>
  <c r="BE194" i="76"/>
  <c r="BF194" i="76"/>
  <c r="BG194" i="76"/>
  <c r="BH194" i="76"/>
  <c r="BI194" i="76"/>
  <c r="BJ194" i="76"/>
  <c r="BK194" i="76"/>
  <c r="BM194" i="76"/>
  <c r="A195" i="76"/>
  <c r="B195" i="76"/>
  <c r="D195" i="76"/>
  <c r="G195" i="76"/>
  <c r="H195" i="76"/>
  <c r="J195" i="76"/>
  <c r="F195" i="76" s="1"/>
  <c r="K195" i="76"/>
  <c r="P195" i="76"/>
  <c r="R195" i="76"/>
  <c r="U195" i="76"/>
  <c r="V195" i="76"/>
  <c r="AE195" i="76"/>
  <c r="AJ195" i="76"/>
  <c r="AK195" i="76"/>
  <c r="AL195" i="76"/>
  <c r="AM195" i="76"/>
  <c r="AN195" i="76"/>
  <c r="AO195" i="76"/>
  <c r="AP195" i="76"/>
  <c r="AQ195" i="76"/>
  <c r="AR195" i="76"/>
  <c r="AS195" i="76"/>
  <c r="AT195" i="76"/>
  <c r="AU195" i="76"/>
  <c r="AV195" i="76"/>
  <c r="AW195" i="76"/>
  <c r="AX195" i="76"/>
  <c r="AY195" i="76"/>
  <c r="AZ195" i="76"/>
  <c r="BA195" i="76"/>
  <c r="BB195" i="76"/>
  <c r="BC195" i="76"/>
  <c r="BD195" i="76"/>
  <c r="BE195" i="76"/>
  <c r="BF195" i="76"/>
  <c r="BG195" i="76"/>
  <c r="BH195" i="76"/>
  <c r="BI195" i="76"/>
  <c r="BJ195" i="76"/>
  <c r="BK195" i="76"/>
  <c r="BM195" i="76"/>
  <c r="A196" i="76"/>
  <c r="B196" i="76"/>
  <c r="D196" i="76"/>
  <c r="G196" i="76"/>
  <c r="H196" i="76"/>
  <c r="J196" i="76"/>
  <c r="F196" i="76" s="1"/>
  <c r="K196" i="76"/>
  <c r="P196" i="76"/>
  <c r="R196" i="76"/>
  <c r="U196" i="76"/>
  <c r="V196" i="76"/>
  <c r="AE196" i="76"/>
  <c r="AJ196" i="76"/>
  <c r="AK196" i="76"/>
  <c r="AL196" i="76"/>
  <c r="AM196" i="76"/>
  <c r="AN196" i="76"/>
  <c r="AO196" i="76"/>
  <c r="AP196" i="76"/>
  <c r="AQ196" i="76"/>
  <c r="AR196" i="76"/>
  <c r="AS196" i="76"/>
  <c r="AT196" i="76"/>
  <c r="AU196" i="76"/>
  <c r="AV196" i="76"/>
  <c r="AW196" i="76"/>
  <c r="AX196" i="76"/>
  <c r="AY196" i="76"/>
  <c r="AZ196" i="76"/>
  <c r="BA196" i="76"/>
  <c r="BB196" i="76"/>
  <c r="BC196" i="76"/>
  <c r="BD196" i="76"/>
  <c r="BE196" i="76"/>
  <c r="BF196" i="76"/>
  <c r="BG196" i="76"/>
  <c r="BH196" i="76"/>
  <c r="BI196" i="76"/>
  <c r="BJ196" i="76"/>
  <c r="BK196" i="76"/>
  <c r="BM196" i="76"/>
  <c r="A197" i="76"/>
  <c r="B197" i="76"/>
  <c r="D197" i="76"/>
  <c r="G197" i="76"/>
  <c r="H197" i="76"/>
  <c r="J197" i="76"/>
  <c r="F197" i="76" s="1"/>
  <c r="K197" i="76"/>
  <c r="P197" i="76"/>
  <c r="R197" i="76"/>
  <c r="U197" i="76"/>
  <c r="V197" i="76"/>
  <c r="AE197" i="76"/>
  <c r="AJ197" i="76"/>
  <c r="AK197" i="76"/>
  <c r="AL197" i="76"/>
  <c r="AM197" i="76"/>
  <c r="AN197" i="76"/>
  <c r="AO197" i="76"/>
  <c r="AP197" i="76"/>
  <c r="AQ197" i="76"/>
  <c r="AR197" i="76"/>
  <c r="AS197" i="76"/>
  <c r="AT197" i="76"/>
  <c r="AU197" i="76"/>
  <c r="AV197" i="76"/>
  <c r="AW197" i="76"/>
  <c r="AX197" i="76"/>
  <c r="AY197" i="76"/>
  <c r="AZ197" i="76"/>
  <c r="BA197" i="76"/>
  <c r="BB197" i="76"/>
  <c r="BC197" i="76"/>
  <c r="BD197" i="76"/>
  <c r="BE197" i="76"/>
  <c r="BF197" i="76"/>
  <c r="BG197" i="76"/>
  <c r="BH197" i="76"/>
  <c r="BI197" i="76"/>
  <c r="BJ197" i="76"/>
  <c r="BK197" i="76"/>
  <c r="BM197" i="76"/>
  <c r="A198" i="76"/>
  <c r="B198" i="76"/>
  <c r="D198" i="76"/>
  <c r="G198" i="76"/>
  <c r="H198" i="76"/>
  <c r="J198" i="76"/>
  <c r="F198" i="76" s="1"/>
  <c r="K198" i="76"/>
  <c r="P198" i="76"/>
  <c r="R198" i="76"/>
  <c r="U198" i="76"/>
  <c r="V198" i="76"/>
  <c r="AE198" i="76"/>
  <c r="AJ198" i="76"/>
  <c r="AK198" i="76"/>
  <c r="AL198" i="76"/>
  <c r="AM198" i="76"/>
  <c r="AN198" i="76"/>
  <c r="AO198" i="76"/>
  <c r="AP198" i="76"/>
  <c r="AQ198" i="76"/>
  <c r="AR198" i="76"/>
  <c r="AS198" i="76"/>
  <c r="AT198" i="76"/>
  <c r="AU198" i="76"/>
  <c r="AV198" i="76"/>
  <c r="AW198" i="76"/>
  <c r="AX198" i="76"/>
  <c r="AY198" i="76"/>
  <c r="AZ198" i="76"/>
  <c r="BA198" i="76"/>
  <c r="BB198" i="76"/>
  <c r="BC198" i="76"/>
  <c r="BD198" i="76"/>
  <c r="BE198" i="76"/>
  <c r="BF198" i="76"/>
  <c r="BG198" i="76"/>
  <c r="BH198" i="76"/>
  <c r="BI198" i="76"/>
  <c r="BJ198" i="76"/>
  <c r="BK198" i="76"/>
  <c r="BM198" i="76"/>
  <c r="A199" i="76"/>
  <c r="B199" i="76"/>
  <c r="D199" i="76"/>
  <c r="G199" i="76"/>
  <c r="H199" i="76"/>
  <c r="J199" i="76"/>
  <c r="F199" i="76" s="1"/>
  <c r="K199" i="76"/>
  <c r="P199" i="76"/>
  <c r="R199" i="76"/>
  <c r="U199" i="76"/>
  <c r="V199" i="76"/>
  <c r="AE199" i="76"/>
  <c r="AJ199" i="76"/>
  <c r="AK199" i="76"/>
  <c r="AL199" i="76"/>
  <c r="AM199" i="76"/>
  <c r="AN199" i="76"/>
  <c r="AO199" i="76"/>
  <c r="AP199" i="76"/>
  <c r="AQ199" i="76"/>
  <c r="AR199" i="76"/>
  <c r="AS199" i="76"/>
  <c r="AT199" i="76"/>
  <c r="AU199" i="76"/>
  <c r="AV199" i="76"/>
  <c r="AW199" i="76"/>
  <c r="AX199" i="76"/>
  <c r="AY199" i="76"/>
  <c r="AZ199" i="76"/>
  <c r="BA199" i="76"/>
  <c r="BB199" i="76"/>
  <c r="BC199" i="76"/>
  <c r="BD199" i="76"/>
  <c r="BE199" i="76"/>
  <c r="BF199" i="76"/>
  <c r="BG199" i="76"/>
  <c r="BH199" i="76"/>
  <c r="BI199" i="76"/>
  <c r="BJ199" i="76"/>
  <c r="BK199" i="76"/>
  <c r="BM199" i="76"/>
  <c r="A200" i="76"/>
  <c r="B200" i="76"/>
  <c r="D200" i="76"/>
  <c r="G200" i="76"/>
  <c r="H200" i="76"/>
  <c r="J200" i="76"/>
  <c r="K200" i="76"/>
  <c r="P200" i="76"/>
  <c r="R200" i="76"/>
  <c r="U200" i="76"/>
  <c r="V200" i="76"/>
  <c r="AE200" i="76"/>
  <c r="AJ200" i="76"/>
  <c r="AK200" i="76"/>
  <c r="AL200" i="76"/>
  <c r="AM200" i="76"/>
  <c r="AN200" i="76"/>
  <c r="AO200" i="76"/>
  <c r="AP200" i="76"/>
  <c r="AQ200" i="76"/>
  <c r="AR200" i="76"/>
  <c r="AS200" i="76"/>
  <c r="AT200" i="76"/>
  <c r="AU200" i="76"/>
  <c r="AV200" i="76"/>
  <c r="AW200" i="76"/>
  <c r="AX200" i="76"/>
  <c r="AY200" i="76"/>
  <c r="AZ200" i="76"/>
  <c r="BA200" i="76"/>
  <c r="BB200" i="76"/>
  <c r="BC200" i="76"/>
  <c r="BD200" i="76"/>
  <c r="BE200" i="76"/>
  <c r="BF200" i="76"/>
  <c r="BG200" i="76"/>
  <c r="BH200" i="76"/>
  <c r="BI200" i="76"/>
  <c r="BJ200" i="76"/>
  <c r="BK200" i="76"/>
  <c r="BM200" i="76"/>
  <c r="A201" i="76"/>
  <c r="B201" i="76"/>
  <c r="D201" i="76"/>
  <c r="G201" i="76"/>
  <c r="H201" i="76"/>
  <c r="J201" i="76"/>
  <c r="F201" i="76" s="1"/>
  <c r="K201" i="76"/>
  <c r="P201" i="76"/>
  <c r="R201" i="76"/>
  <c r="U201" i="76"/>
  <c r="V201" i="76"/>
  <c r="AE201" i="76"/>
  <c r="AJ201" i="76"/>
  <c r="AK201" i="76"/>
  <c r="AL201" i="76"/>
  <c r="AM201" i="76"/>
  <c r="AN201" i="76"/>
  <c r="AO201" i="76"/>
  <c r="AP201" i="76"/>
  <c r="AQ201" i="76"/>
  <c r="AR201" i="76"/>
  <c r="AS201" i="76"/>
  <c r="AT201" i="76"/>
  <c r="AU201" i="76"/>
  <c r="AV201" i="76"/>
  <c r="AW201" i="76"/>
  <c r="AX201" i="76"/>
  <c r="AY201" i="76"/>
  <c r="AZ201" i="76"/>
  <c r="BA201" i="76"/>
  <c r="BB201" i="76"/>
  <c r="BC201" i="76"/>
  <c r="BD201" i="76"/>
  <c r="BE201" i="76"/>
  <c r="BF201" i="76"/>
  <c r="BG201" i="76"/>
  <c r="BH201" i="76"/>
  <c r="BI201" i="76"/>
  <c r="BJ201" i="76"/>
  <c r="BK201" i="76"/>
  <c r="BM201" i="76"/>
  <c r="A202" i="76"/>
  <c r="B202" i="76"/>
  <c r="D202" i="76"/>
  <c r="G202" i="76"/>
  <c r="H202" i="76"/>
  <c r="J202" i="76"/>
  <c r="F202" i="76" s="1"/>
  <c r="K202" i="76"/>
  <c r="P202" i="76"/>
  <c r="R202" i="76"/>
  <c r="U202" i="76"/>
  <c r="V202" i="76"/>
  <c r="AE202" i="76"/>
  <c r="AJ202" i="76"/>
  <c r="AK202" i="76"/>
  <c r="AL202" i="76"/>
  <c r="AM202" i="76"/>
  <c r="AN202" i="76"/>
  <c r="AO202" i="76"/>
  <c r="AP202" i="76"/>
  <c r="AQ202" i="76"/>
  <c r="AR202" i="76"/>
  <c r="AS202" i="76"/>
  <c r="AT202" i="76"/>
  <c r="AU202" i="76"/>
  <c r="AV202" i="76"/>
  <c r="AW202" i="76"/>
  <c r="AX202" i="76"/>
  <c r="AY202" i="76"/>
  <c r="AZ202" i="76"/>
  <c r="BA202" i="76"/>
  <c r="BB202" i="76"/>
  <c r="BC202" i="76"/>
  <c r="BD202" i="76"/>
  <c r="BE202" i="76"/>
  <c r="BF202" i="76"/>
  <c r="BG202" i="76"/>
  <c r="BH202" i="76"/>
  <c r="BI202" i="76"/>
  <c r="BJ202" i="76"/>
  <c r="BK202" i="76"/>
  <c r="BM202" i="76"/>
  <c r="A203" i="76"/>
  <c r="B203" i="76"/>
  <c r="D203" i="76"/>
  <c r="G203" i="76"/>
  <c r="H203" i="76"/>
  <c r="J203" i="76"/>
  <c r="F203" i="76" s="1"/>
  <c r="K203" i="76"/>
  <c r="P203" i="76"/>
  <c r="R203" i="76"/>
  <c r="U203" i="76"/>
  <c r="V203" i="76"/>
  <c r="AE203" i="76"/>
  <c r="AJ203" i="76"/>
  <c r="AK203" i="76"/>
  <c r="AL203" i="76"/>
  <c r="AM203" i="76"/>
  <c r="AN203" i="76"/>
  <c r="AO203" i="76"/>
  <c r="AP203" i="76"/>
  <c r="AQ203" i="76"/>
  <c r="AR203" i="76"/>
  <c r="AS203" i="76"/>
  <c r="AT203" i="76"/>
  <c r="AU203" i="76"/>
  <c r="AV203" i="76"/>
  <c r="AW203" i="76"/>
  <c r="AX203" i="76"/>
  <c r="AY203" i="76"/>
  <c r="AZ203" i="76"/>
  <c r="BA203" i="76"/>
  <c r="BB203" i="76"/>
  <c r="BC203" i="76"/>
  <c r="BD203" i="76"/>
  <c r="BE203" i="76"/>
  <c r="BF203" i="76"/>
  <c r="BG203" i="76"/>
  <c r="BH203" i="76"/>
  <c r="BI203" i="76"/>
  <c r="BJ203" i="76"/>
  <c r="BK203" i="76"/>
  <c r="BM203" i="76"/>
  <c r="A204" i="76"/>
  <c r="B204" i="76"/>
  <c r="D204" i="76"/>
  <c r="G204" i="76"/>
  <c r="H204" i="76"/>
  <c r="J204" i="76"/>
  <c r="F204" i="76" s="1"/>
  <c r="K204" i="76"/>
  <c r="P204" i="76"/>
  <c r="R204" i="76"/>
  <c r="U204" i="76"/>
  <c r="V204" i="76"/>
  <c r="AE204" i="76"/>
  <c r="AJ204" i="76"/>
  <c r="AK204" i="76"/>
  <c r="AL204" i="76"/>
  <c r="AM204" i="76"/>
  <c r="AN204" i="76"/>
  <c r="AO204" i="76"/>
  <c r="AP204" i="76"/>
  <c r="AQ204" i="76"/>
  <c r="AR204" i="76"/>
  <c r="AS204" i="76"/>
  <c r="AT204" i="76"/>
  <c r="AU204" i="76"/>
  <c r="AV204" i="76"/>
  <c r="AW204" i="76"/>
  <c r="AX204" i="76"/>
  <c r="AY204" i="76"/>
  <c r="AZ204" i="76"/>
  <c r="BA204" i="76"/>
  <c r="BB204" i="76"/>
  <c r="BC204" i="76"/>
  <c r="BD204" i="76"/>
  <c r="BE204" i="76"/>
  <c r="BF204" i="76"/>
  <c r="BG204" i="76"/>
  <c r="BH204" i="76"/>
  <c r="BI204" i="76"/>
  <c r="BJ204" i="76"/>
  <c r="BK204" i="76"/>
  <c r="BM204" i="76"/>
  <c r="A205" i="76"/>
  <c r="B205" i="76"/>
  <c r="D205" i="76"/>
  <c r="G205" i="76"/>
  <c r="H205" i="76"/>
  <c r="J205" i="76"/>
  <c r="F205" i="76" s="1"/>
  <c r="K205" i="76"/>
  <c r="P205" i="76"/>
  <c r="R205" i="76"/>
  <c r="U205" i="76"/>
  <c r="V205" i="76"/>
  <c r="AE205" i="76"/>
  <c r="AJ205" i="76"/>
  <c r="AK205" i="76"/>
  <c r="AL205" i="76"/>
  <c r="AM205" i="76"/>
  <c r="AN205" i="76"/>
  <c r="AO205" i="76"/>
  <c r="AP205" i="76"/>
  <c r="AQ205" i="76"/>
  <c r="AR205" i="76"/>
  <c r="AS205" i="76"/>
  <c r="AT205" i="76"/>
  <c r="AU205" i="76"/>
  <c r="AV205" i="76"/>
  <c r="AW205" i="76"/>
  <c r="AX205" i="76"/>
  <c r="AY205" i="76"/>
  <c r="AZ205" i="76"/>
  <c r="BA205" i="76"/>
  <c r="BB205" i="76"/>
  <c r="BC205" i="76"/>
  <c r="BD205" i="76"/>
  <c r="BE205" i="76"/>
  <c r="BF205" i="76"/>
  <c r="BG205" i="76"/>
  <c r="BH205" i="76"/>
  <c r="BI205" i="76"/>
  <c r="BJ205" i="76"/>
  <c r="BK205" i="76"/>
  <c r="BM205" i="76"/>
  <c r="A206" i="76"/>
  <c r="B206" i="76"/>
  <c r="D206" i="76"/>
  <c r="G206" i="76"/>
  <c r="H206" i="76"/>
  <c r="J206" i="76"/>
  <c r="F206" i="76" s="1"/>
  <c r="K206" i="76"/>
  <c r="P206" i="76"/>
  <c r="R206" i="76"/>
  <c r="U206" i="76"/>
  <c r="V206" i="76"/>
  <c r="AE206" i="76"/>
  <c r="AJ206" i="76"/>
  <c r="AK206" i="76"/>
  <c r="AL206" i="76"/>
  <c r="AM206" i="76"/>
  <c r="AN206" i="76"/>
  <c r="AO206" i="76"/>
  <c r="AP206" i="76"/>
  <c r="AQ206" i="76"/>
  <c r="AR206" i="76"/>
  <c r="AS206" i="76"/>
  <c r="AT206" i="76"/>
  <c r="AU206" i="76"/>
  <c r="AV206" i="76"/>
  <c r="AW206" i="76"/>
  <c r="AX206" i="76"/>
  <c r="AY206" i="76"/>
  <c r="AZ206" i="76"/>
  <c r="BA206" i="76"/>
  <c r="BB206" i="76"/>
  <c r="BC206" i="76"/>
  <c r="BD206" i="76"/>
  <c r="BE206" i="76"/>
  <c r="BF206" i="76"/>
  <c r="BG206" i="76"/>
  <c r="BH206" i="76"/>
  <c r="BI206" i="76"/>
  <c r="BJ206" i="76"/>
  <c r="BK206" i="76"/>
  <c r="BM206" i="76"/>
  <c r="A207" i="76"/>
  <c r="B207" i="76"/>
  <c r="D207" i="76"/>
  <c r="G207" i="76"/>
  <c r="H207" i="76"/>
  <c r="J207" i="76"/>
  <c r="F207" i="76" s="1"/>
  <c r="K207" i="76"/>
  <c r="P207" i="76"/>
  <c r="R207" i="76"/>
  <c r="U207" i="76"/>
  <c r="V207" i="76"/>
  <c r="AE207" i="76"/>
  <c r="AJ207" i="76"/>
  <c r="AK207" i="76"/>
  <c r="AL207" i="76"/>
  <c r="AM207" i="76"/>
  <c r="AN207" i="76"/>
  <c r="AO207" i="76"/>
  <c r="AP207" i="76"/>
  <c r="AQ207" i="76"/>
  <c r="AR207" i="76"/>
  <c r="AS207" i="76"/>
  <c r="AT207" i="76"/>
  <c r="AU207" i="76"/>
  <c r="AV207" i="76"/>
  <c r="AW207" i="76"/>
  <c r="AX207" i="76"/>
  <c r="AY207" i="76"/>
  <c r="AZ207" i="76"/>
  <c r="BA207" i="76"/>
  <c r="BB207" i="76"/>
  <c r="BC207" i="76"/>
  <c r="BD207" i="76"/>
  <c r="BE207" i="76"/>
  <c r="BF207" i="76"/>
  <c r="BG207" i="76"/>
  <c r="BH207" i="76"/>
  <c r="BI207" i="76"/>
  <c r="BJ207" i="76"/>
  <c r="BK207" i="76"/>
  <c r="BM207" i="76"/>
  <c r="A208" i="76"/>
  <c r="B208" i="76"/>
  <c r="D208" i="76"/>
  <c r="G208" i="76"/>
  <c r="H208" i="76"/>
  <c r="J208" i="76"/>
  <c r="F208" i="76" s="1"/>
  <c r="K208" i="76"/>
  <c r="P208" i="76"/>
  <c r="R208" i="76"/>
  <c r="U208" i="76"/>
  <c r="V208" i="76"/>
  <c r="AE208" i="76"/>
  <c r="AJ208" i="76"/>
  <c r="AK208" i="76"/>
  <c r="AL208" i="76"/>
  <c r="AM208" i="76"/>
  <c r="AN208" i="76"/>
  <c r="AO208" i="76"/>
  <c r="AP208" i="76"/>
  <c r="AQ208" i="76"/>
  <c r="AR208" i="76"/>
  <c r="AS208" i="76"/>
  <c r="AT208" i="76"/>
  <c r="AU208" i="76"/>
  <c r="AV208" i="76"/>
  <c r="AW208" i="76"/>
  <c r="AX208" i="76"/>
  <c r="AY208" i="76"/>
  <c r="AZ208" i="76"/>
  <c r="BA208" i="76"/>
  <c r="BB208" i="76"/>
  <c r="BC208" i="76"/>
  <c r="BD208" i="76"/>
  <c r="BE208" i="76"/>
  <c r="BF208" i="76"/>
  <c r="BG208" i="76"/>
  <c r="BH208" i="76"/>
  <c r="BI208" i="76"/>
  <c r="BJ208" i="76"/>
  <c r="BK208" i="76"/>
  <c r="BM208" i="76"/>
  <c r="A209" i="76"/>
  <c r="B209" i="76"/>
  <c r="D209" i="76"/>
  <c r="G209" i="76"/>
  <c r="H209" i="76"/>
  <c r="J209" i="76"/>
  <c r="K209" i="76"/>
  <c r="P209" i="76"/>
  <c r="R209" i="76"/>
  <c r="U209" i="76"/>
  <c r="V209" i="76"/>
  <c r="AE209" i="76"/>
  <c r="AJ209" i="76"/>
  <c r="AK209" i="76"/>
  <c r="AL209" i="76"/>
  <c r="AM209" i="76"/>
  <c r="AN209" i="76"/>
  <c r="AO209" i="76"/>
  <c r="AP209" i="76"/>
  <c r="AQ209" i="76"/>
  <c r="AR209" i="76"/>
  <c r="AS209" i="76"/>
  <c r="AT209" i="76"/>
  <c r="AU209" i="76"/>
  <c r="AV209" i="76"/>
  <c r="AW209" i="76"/>
  <c r="AX209" i="76"/>
  <c r="AY209" i="76"/>
  <c r="AZ209" i="76"/>
  <c r="BA209" i="76"/>
  <c r="BB209" i="76"/>
  <c r="BC209" i="76"/>
  <c r="BD209" i="76"/>
  <c r="BE209" i="76"/>
  <c r="BF209" i="76"/>
  <c r="BG209" i="76"/>
  <c r="BH209" i="76"/>
  <c r="BI209" i="76"/>
  <c r="BJ209" i="76"/>
  <c r="BK209" i="76"/>
  <c r="BM209" i="76"/>
  <c r="A210" i="76"/>
  <c r="B210" i="76"/>
  <c r="D210" i="76"/>
  <c r="G210" i="76"/>
  <c r="H210" i="76"/>
  <c r="J210" i="76"/>
  <c r="F210" i="76" s="1"/>
  <c r="K210" i="76"/>
  <c r="P210" i="76"/>
  <c r="R210" i="76"/>
  <c r="U210" i="76"/>
  <c r="V210" i="76"/>
  <c r="AE210" i="76"/>
  <c r="AJ210" i="76"/>
  <c r="AK210" i="76"/>
  <c r="AL210" i="76"/>
  <c r="AM210" i="76"/>
  <c r="AN210" i="76"/>
  <c r="AO210" i="76"/>
  <c r="AP210" i="76"/>
  <c r="AQ210" i="76"/>
  <c r="AR210" i="76"/>
  <c r="AS210" i="76"/>
  <c r="AT210" i="76"/>
  <c r="AU210" i="76"/>
  <c r="AV210" i="76"/>
  <c r="AW210" i="76"/>
  <c r="AX210" i="76"/>
  <c r="AY210" i="76"/>
  <c r="AZ210" i="76"/>
  <c r="BA210" i="76"/>
  <c r="BB210" i="76"/>
  <c r="BC210" i="76"/>
  <c r="BD210" i="76"/>
  <c r="BE210" i="76"/>
  <c r="BF210" i="76"/>
  <c r="BG210" i="76"/>
  <c r="BH210" i="76"/>
  <c r="BI210" i="76"/>
  <c r="BJ210" i="76"/>
  <c r="BK210" i="76"/>
  <c r="BM210" i="76"/>
  <c r="A211" i="76"/>
  <c r="B211" i="76"/>
  <c r="D211" i="76"/>
  <c r="G211" i="76"/>
  <c r="H211" i="76"/>
  <c r="J211" i="76"/>
  <c r="F211" i="76" s="1"/>
  <c r="K211" i="76"/>
  <c r="P211" i="76"/>
  <c r="R211" i="76"/>
  <c r="U211" i="76"/>
  <c r="V211" i="76"/>
  <c r="AE211" i="76"/>
  <c r="AJ211" i="76"/>
  <c r="AK211" i="76"/>
  <c r="AL211" i="76"/>
  <c r="AM211" i="76"/>
  <c r="AN211" i="76"/>
  <c r="AO211" i="76"/>
  <c r="AP211" i="76"/>
  <c r="AQ211" i="76"/>
  <c r="AR211" i="76"/>
  <c r="AS211" i="76"/>
  <c r="AT211" i="76"/>
  <c r="AU211" i="76"/>
  <c r="AV211" i="76"/>
  <c r="AW211" i="76"/>
  <c r="AX211" i="76"/>
  <c r="AY211" i="76"/>
  <c r="AZ211" i="76"/>
  <c r="BA211" i="76"/>
  <c r="BB211" i="76"/>
  <c r="BC211" i="76"/>
  <c r="BD211" i="76"/>
  <c r="BE211" i="76"/>
  <c r="BF211" i="76"/>
  <c r="BG211" i="76"/>
  <c r="BH211" i="76"/>
  <c r="BI211" i="76"/>
  <c r="BJ211" i="76"/>
  <c r="BK211" i="76"/>
  <c r="BM211" i="76"/>
  <c r="A212" i="76"/>
  <c r="B212" i="76"/>
  <c r="D212" i="76"/>
  <c r="G212" i="76"/>
  <c r="H212" i="76"/>
  <c r="J212" i="76"/>
  <c r="E212" i="76" s="1"/>
  <c r="K212" i="76"/>
  <c r="P212" i="76"/>
  <c r="R212" i="76"/>
  <c r="U212" i="76"/>
  <c r="V212" i="76"/>
  <c r="AE212" i="76"/>
  <c r="AJ212" i="76"/>
  <c r="AK212" i="76"/>
  <c r="AL212" i="76"/>
  <c r="AM212" i="76"/>
  <c r="AN212" i="76"/>
  <c r="AO212" i="76"/>
  <c r="AP212" i="76"/>
  <c r="AQ212" i="76"/>
  <c r="AR212" i="76"/>
  <c r="AS212" i="76"/>
  <c r="AT212" i="76"/>
  <c r="AU212" i="76"/>
  <c r="AV212" i="76"/>
  <c r="AW212" i="76"/>
  <c r="AX212" i="76"/>
  <c r="AY212" i="76"/>
  <c r="AZ212" i="76"/>
  <c r="BA212" i="76"/>
  <c r="BB212" i="76"/>
  <c r="BC212" i="76"/>
  <c r="BD212" i="76"/>
  <c r="BE212" i="76"/>
  <c r="BF212" i="76"/>
  <c r="BG212" i="76"/>
  <c r="BH212" i="76"/>
  <c r="BI212" i="76"/>
  <c r="BJ212" i="76"/>
  <c r="BK212" i="76"/>
  <c r="BM212" i="76"/>
  <c r="A213" i="76"/>
  <c r="B213" i="76"/>
  <c r="D213" i="76"/>
  <c r="G213" i="76"/>
  <c r="H213" i="76"/>
  <c r="J213" i="76"/>
  <c r="F213" i="76" s="1"/>
  <c r="K213" i="76"/>
  <c r="P213" i="76"/>
  <c r="R213" i="76"/>
  <c r="U213" i="76"/>
  <c r="V213" i="76"/>
  <c r="AE213" i="76"/>
  <c r="AJ213" i="76"/>
  <c r="AK213" i="76"/>
  <c r="AL213" i="76"/>
  <c r="AM213" i="76"/>
  <c r="AN213" i="76"/>
  <c r="AO213" i="76"/>
  <c r="AP213" i="76"/>
  <c r="AQ213" i="76"/>
  <c r="AR213" i="76"/>
  <c r="AS213" i="76"/>
  <c r="AT213" i="76"/>
  <c r="AU213" i="76"/>
  <c r="AV213" i="76"/>
  <c r="AW213" i="76"/>
  <c r="AX213" i="76"/>
  <c r="AY213" i="76"/>
  <c r="AZ213" i="76"/>
  <c r="BA213" i="76"/>
  <c r="BB213" i="76"/>
  <c r="BC213" i="76"/>
  <c r="BD213" i="76"/>
  <c r="BE213" i="76"/>
  <c r="BF213" i="76"/>
  <c r="BG213" i="76"/>
  <c r="BH213" i="76"/>
  <c r="BI213" i="76"/>
  <c r="BJ213" i="76"/>
  <c r="BK213" i="76"/>
  <c r="BM213" i="76"/>
  <c r="A214" i="76"/>
  <c r="B214" i="76"/>
  <c r="D214" i="76"/>
  <c r="G214" i="76"/>
  <c r="H214" i="76"/>
  <c r="J214" i="76"/>
  <c r="F214" i="76" s="1"/>
  <c r="K214" i="76"/>
  <c r="P214" i="76"/>
  <c r="R214" i="76"/>
  <c r="U214" i="76"/>
  <c r="V214" i="76"/>
  <c r="AE214" i="76"/>
  <c r="AJ214" i="76"/>
  <c r="AK214" i="76"/>
  <c r="AL214" i="76"/>
  <c r="AM214" i="76"/>
  <c r="AN214" i="76"/>
  <c r="AO214" i="76"/>
  <c r="AP214" i="76"/>
  <c r="AQ214" i="76"/>
  <c r="AR214" i="76"/>
  <c r="AS214" i="76"/>
  <c r="AT214" i="76"/>
  <c r="AU214" i="76"/>
  <c r="AV214" i="76"/>
  <c r="AW214" i="76"/>
  <c r="AX214" i="76"/>
  <c r="AY214" i="76"/>
  <c r="AZ214" i="76"/>
  <c r="BA214" i="76"/>
  <c r="BB214" i="76"/>
  <c r="BC214" i="76"/>
  <c r="BD214" i="76"/>
  <c r="BE214" i="76"/>
  <c r="BF214" i="76"/>
  <c r="BG214" i="76"/>
  <c r="BH214" i="76"/>
  <c r="BI214" i="76"/>
  <c r="BJ214" i="76"/>
  <c r="BK214" i="76"/>
  <c r="BM214" i="76"/>
  <c r="A215" i="76"/>
  <c r="B215" i="76"/>
  <c r="D215" i="76"/>
  <c r="G215" i="76"/>
  <c r="H215" i="76"/>
  <c r="J215" i="76"/>
  <c r="E215" i="76" s="1"/>
  <c r="K215" i="76"/>
  <c r="P215" i="76"/>
  <c r="R215" i="76"/>
  <c r="U215" i="76"/>
  <c r="V215" i="76"/>
  <c r="AE215" i="76"/>
  <c r="AJ215" i="76"/>
  <c r="AK215" i="76"/>
  <c r="AL215" i="76"/>
  <c r="AM215" i="76"/>
  <c r="AN215" i="76"/>
  <c r="AO215" i="76"/>
  <c r="AP215" i="76"/>
  <c r="AQ215" i="76"/>
  <c r="AR215" i="76"/>
  <c r="AS215" i="76"/>
  <c r="AT215" i="76"/>
  <c r="AU215" i="76"/>
  <c r="AV215" i="76"/>
  <c r="AW215" i="76"/>
  <c r="AX215" i="76"/>
  <c r="AY215" i="76"/>
  <c r="AZ215" i="76"/>
  <c r="BA215" i="76"/>
  <c r="BB215" i="76"/>
  <c r="BC215" i="76"/>
  <c r="BD215" i="76"/>
  <c r="BE215" i="76"/>
  <c r="BF215" i="76"/>
  <c r="BG215" i="76"/>
  <c r="BH215" i="76"/>
  <c r="BI215" i="76"/>
  <c r="BJ215" i="76"/>
  <c r="BK215" i="76"/>
  <c r="BM215" i="76"/>
  <c r="A216" i="76"/>
  <c r="B216" i="76"/>
  <c r="D216" i="76"/>
  <c r="G216" i="76"/>
  <c r="H216" i="76"/>
  <c r="J216" i="76"/>
  <c r="K216" i="76"/>
  <c r="P216" i="76"/>
  <c r="R216" i="76"/>
  <c r="U216" i="76"/>
  <c r="V216" i="76"/>
  <c r="AE216" i="76"/>
  <c r="AJ216" i="76"/>
  <c r="AK216" i="76"/>
  <c r="AL216" i="76"/>
  <c r="AM216" i="76"/>
  <c r="AN216" i="76"/>
  <c r="AO216" i="76"/>
  <c r="AP216" i="76"/>
  <c r="AQ216" i="76"/>
  <c r="AR216" i="76"/>
  <c r="AS216" i="76"/>
  <c r="AT216" i="76"/>
  <c r="AU216" i="76"/>
  <c r="AV216" i="76"/>
  <c r="AW216" i="76"/>
  <c r="AX216" i="76"/>
  <c r="AY216" i="76"/>
  <c r="AZ216" i="76"/>
  <c r="BA216" i="76"/>
  <c r="BB216" i="76"/>
  <c r="BC216" i="76"/>
  <c r="BD216" i="76"/>
  <c r="BE216" i="76"/>
  <c r="BF216" i="76"/>
  <c r="BG216" i="76"/>
  <c r="BH216" i="76"/>
  <c r="BI216" i="76"/>
  <c r="BJ216" i="76"/>
  <c r="BK216" i="76"/>
  <c r="BM216" i="76"/>
  <c r="A217" i="76"/>
  <c r="B217" i="76"/>
  <c r="D217" i="76"/>
  <c r="G217" i="76"/>
  <c r="H217" i="76"/>
  <c r="J217" i="76"/>
  <c r="F217" i="76" s="1"/>
  <c r="K217" i="76"/>
  <c r="P217" i="76"/>
  <c r="R217" i="76"/>
  <c r="U217" i="76"/>
  <c r="V217" i="76"/>
  <c r="AE217" i="76"/>
  <c r="AJ217" i="76"/>
  <c r="AK217" i="76"/>
  <c r="AL217" i="76"/>
  <c r="AM217" i="76"/>
  <c r="AN217" i="76"/>
  <c r="AO217" i="76"/>
  <c r="AP217" i="76"/>
  <c r="AQ217" i="76"/>
  <c r="AR217" i="76"/>
  <c r="AS217" i="76"/>
  <c r="AT217" i="76"/>
  <c r="AU217" i="76"/>
  <c r="AV217" i="76"/>
  <c r="AW217" i="76"/>
  <c r="AX217" i="76"/>
  <c r="AY217" i="76"/>
  <c r="AZ217" i="76"/>
  <c r="BA217" i="76"/>
  <c r="BB217" i="76"/>
  <c r="BC217" i="76"/>
  <c r="BD217" i="76"/>
  <c r="BE217" i="76"/>
  <c r="BF217" i="76"/>
  <c r="BG217" i="76"/>
  <c r="BH217" i="76"/>
  <c r="BI217" i="76"/>
  <c r="BJ217" i="76"/>
  <c r="BK217" i="76"/>
  <c r="BM217" i="76"/>
  <c r="A218" i="76"/>
  <c r="B218" i="76"/>
  <c r="D218" i="76"/>
  <c r="G218" i="76"/>
  <c r="H218" i="76"/>
  <c r="J218" i="76"/>
  <c r="E218" i="76" s="1"/>
  <c r="K218" i="76"/>
  <c r="P218" i="76"/>
  <c r="R218" i="76"/>
  <c r="U218" i="76"/>
  <c r="V218" i="76"/>
  <c r="AE218" i="76"/>
  <c r="AJ218" i="76"/>
  <c r="AK218" i="76"/>
  <c r="AL218" i="76"/>
  <c r="AM218" i="76"/>
  <c r="AN218" i="76"/>
  <c r="AO218" i="76"/>
  <c r="AP218" i="76"/>
  <c r="AQ218" i="76"/>
  <c r="AR218" i="76"/>
  <c r="AS218" i="76"/>
  <c r="AT218" i="76"/>
  <c r="AU218" i="76"/>
  <c r="AV218" i="76"/>
  <c r="AW218" i="76"/>
  <c r="AX218" i="76"/>
  <c r="AY218" i="76"/>
  <c r="AZ218" i="76"/>
  <c r="BA218" i="76"/>
  <c r="BB218" i="76"/>
  <c r="BC218" i="76"/>
  <c r="BD218" i="76"/>
  <c r="BE218" i="76"/>
  <c r="BF218" i="76"/>
  <c r="BG218" i="76"/>
  <c r="BH218" i="76"/>
  <c r="BI218" i="76"/>
  <c r="BJ218" i="76"/>
  <c r="BK218" i="76"/>
  <c r="BM218" i="76"/>
  <c r="A219" i="76"/>
  <c r="B219" i="76"/>
  <c r="D219" i="76"/>
  <c r="G219" i="76"/>
  <c r="H219" i="76"/>
  <c r="J219" i="76"/>
  <c r="K219" i="76"/>
  <c r="P219" i="76"/>
  <c r="R219" i="76"/>
  <c r="U219" i="76"/>
  <c r="V219" i="76"/>
  <c r="AE219" i="76"/>
  <c r="AJ219" i="76"/>
  <c r="AK219" i="76"/>
  <c r="AL219" i="76"/>
  <c r="AM219" i="76"/>
  <c r="AN219" i="76"/>
  <c r="AO219" i="76"/>
  <c r="AP219" i="76"/>
  <c r="AQ219" i="76"/>
  <c r="AR219" i="76"/>
  <c r="AS219" i="76"/>
  <c r="AT219" i="76"/>
  <c r="AU219" i="76"/>
  <c r="AV219" i="76"/>
  <c r="AW219" i="76"/>
  <c r="AX219" i="76"/>
  <c r="AY219" i="76"/>
  <c r="AZ219" i="76"/>
  <c r="BA219" i="76"/>
  <c r="BB219" i="76"/>
  <c r="BC219" i="76"/>
  <c r="BD219" i="76"/>
  <c r="BE219" i="76"/>
  <c r="BF219" i="76"/>
  <c r="BG219" i="76"/>
  <c r="BH219" i="76"/>
  <c r="BI219" i="76"/>
  <c r="BJ219" i="76"/>
  <c r="BK219" i="76"/>
  <c r="BM219" i="76"/>
  <c r="A220" i="76"/>
  <c r="B220" i="76"/>
  <c r="D220" i="76"/>
  <c r="G220" i="76"/>
  <c r="H220" i="76"/>
  <c r="J220" i="76"/>
  <c r="F220" i="76" s="1"/>
  <c r="K220" i="76"/>
  <c r="P220" i="76"/>
  <c r="R220" i="76"/>
  <c r="U220" i="76"/>
  <c r="V220" i="76"/>
  <c r="AE220" i="76"/>
  <c r="AJ220" i="76"/>
  <c r="AK220" i="76"/>
  <c r="AL220" i="76"/>
  <c r="AM220" i="76"/>
  <c r="AN220" i="76"/>
  <c r="AO220" i="76"/>
  <c r="AP220" i="76"/>
  <c r="AQ220" i="76"/>
  <c r="AR220" i="76"/>
  <c r="AS220" i="76"/>
  <c r="AT220" i="76"/>
  <c r="AU220" i="76"/>
  <c r="AV220" i="76"/>
  <c r="AW220" i="76"/>
  <c r="AX220" i="76"/>
  <c r="AY220" i="76"/>
  <c r="AZ220" i="76"/>
  <c r="BA220" i="76"/>
  <c r="BB220" i="76"/>
  <c r="BC220" i="76"/>
  <c r="BD220" i="76"/>
  <c r="BE220" i="76"/>
  <c r="BF220" i="76"/>
  <c r="BG220" i="76"/>
  <c r="BH220" i="76"/>
  <c r="BI220" i="76"/>
  <c r="BJ220" i="76"/>
  <c r="BK220" i="76"/>
  <c r="BM220" i="76"/>
  <c r="A221" i="76"/>
  <c r="B221" i="76"/>
  <c r="D221" i="76"/>
  <c r="G221" i="76"/>
  <c r="H221" i="76"/>
  <c r="J221" i="76"/>
  <c r="E221" i="76" s="1"/>
  <c r="K221" i="76"/>
  <c r="P221" i="76"/>
  <c r="R221" i="76"/>
  <c r="U221" i="76"/>
  <c r="V221" i="76"/>
  <c r="AE221" i="76"/>
  <c r="AJ221" i="76"/>
  <c r="AK221" i="76"/>
  <c r="AL221" i="76"/>
  <c r="AM221" i="76"/>
  <c r="AN221" i="76"/>
  <c r="AO221" i="76"/>
  <c r="AP221" i="76"/>
  <c r="AQ221" i="76"/>
  <c r="AR221" i="76"/>
  <c r="AS221" i="76"/>
  <c r="AT221" i="76"/>
  <c r="AU221" i="76"/>
  <c r="AV221" i="76"/>
  <c r="AW221" i="76"/>
  <c r="AX221" i="76"/>
  <c r="AY221" i="76"/>
  <c r="AZ221" i="76"/>
  <c r="BA221" i="76"/>
  <c r="BB221" i="76"/>
  <c r="BC221" i="76"/>
  <c r="BD221" i="76"/>
  <c r="BE221" i="76"/>
  <c r="BF221" i="76"/>
  <c r="BG221" i="76"/>
  <c r="BH221" i="76"/>
  <c r="BI221" i="76"/>
  <c r="BJ221" i="76"/>
  <c r="BK221" i="76"/>
  <c r="BM221" i="76"/>
  <c r="A222" i="76"/>
  <c r="B222" i="76"/>
  <c r="D222" i="76"/>
  <c r="G222" i="76"/>
  <c r="H222" i="76"/>
  <c r="J222" i="76"/>
  <c r="K222" i="76"/>
  <c r="P222" i="76"/>
  <c r="R222" i="76"/>
  <c r="U222" i="76"/>
  <c r="V222" i="76"/>
  <c r="AE222" i="76"/>
  <c r="AJ222" i="76"/>
  <c r="AK222" i="76"/>
  <c r="AL222" i="76"/>
  <c r="AM222" i="76"/>
  <c r="AN222" i="76"/>
  <c r="AO222" i="76"/>
  <c r="AP222" i="76"/>
  <c r="AQ222" i="76"/>
  <c r="AR222" i="76"/>
  <c r="AS222" i="76"/>
  <c r="AT222" i="76"/>
  <c r="AU222" i="76"/>
  <c r="AV222" i="76"/>
  <c r="AW222" i="76"/>
  <c r="AX222" i="76"/>
  <c r="AY222" i="76"/>
  <c r="AZ222" i="76"/>
  <c r="BA222" i="76"/>
  <c r="BB222" i="76"/>
  <c r="BC222" i="76"/>
  <c r="BD222" i="76"/>
  <c r="BE222" i="76"/>
  <c r="BF222" i="76"/>
  <c r="BG222" i="76"/>
  <c r="BH222" i="76"/>
  <c r="BI222" i="76"/>
  <c r="BJ222" i="76"/>
  <c r="BK222" i="76"/>
  <c r="BM222" i="76"/>
  <c r="A223" i="76"/>
  <c r="B223" i="76"/>
  <c r="D223" i="76"/>
  <c r="G223" i="76"/>
  <c r="H223" i="76"/>
  <c r="J223" i="76"/>
  <c r="F223" i="76" s="1"/>
  <c r="K223" i="76"/>
  <c r="P223" i="76"/>
  <c r="R223" i="76"/>
  <c r="U223" i="76"/>
  <c r="V223" i="76"/>
  <c r="AE223" i="76"/>
  <c r="AJ223" i="76"/>
  <c r="AK223" i="76"/>
  <c r="AL223" i="76"/>
  <c r="AM223" i="76"/>
  <c r="AN223" i="76"/>
  <c r="AO223" i="76"/>
  <c r="AP223" i="76"/>
  <c r="AQ223" i="76"/>
  <c r="AR223" i="76"/>
  <c r="AS223" i="76"/>
  <c r="AT223" i="76"/>
  <c r="AU223" i="76"/>
  <c r="AV223" i="76"/>
  <c r="AW223" i="76"/>
  <c r="AX223" i="76"/>
  <c r="AY223" i="76"/>
  <c r="AZ223" i="76"/>
  <c r="BA223" i="76"/>
  <c r="BB223" i="76"/>
  <c r="BC223" i="76"/>
  <c r="BD223" i="76"/>
  <c r="BE223" i="76"/>
  <c r="BF223" i="76"/>
  <c r="BG223" i="76"/>
  <c r="BH223" i="76"/>
  <c r="BI223" i="76"/>
  <c r="BJ223" i="76"/>
  <c r="BK223" i="76"/>
  <c r="BM223" i="76"/>
  <c r="A224" i="76"/>
  <c r="B224" i="76"/>
  <c r="D224" i="76"/>
  <c r="G224" i="76"/>
  <c r="H224" i="76"/>
  <c r="J224" i="76"/>
  <c r="F224" i="76" s="1"/>
  <c r="K224" i="76"/>
  <c r="P224" i="76"/>
  <c r="R224" i="76"/>
  <c r="U224" i="76"/>
  <c r="V224" i="76"/>
  <c r="AE224" i="76"/>
  <c r="AJ224" i="76"/>
  <c r="AK224" i="76"/>
  <c r="AL224" i="76"/>
  <c r="AM224" i="76"/>
  <c r="AN224" i="76"/>
  <c r="AO224" i="76"/>
  <c r="AP224" i="76"/>
  <c r="AQ224" i="76"/>
  <c r="AR224" i="76"/>
  <c r="AS224" i="76"/>
  <c r="AT224" i="76"/>
  <c r="AU224" i="76"/>
  <c r="AV224" i="76"/>
  <c r="AW224" i="76"/>
  <c r="AX224" i="76"/>
  <c r="AY224" i="76"/>
  <c r="AZ224" i="76"/>
  <c r="BA224" i="76"/>
  <c r="BB224" i="76"/>
  <c r="BC224" i="76"/>
  <c r="BD224" i="76"/>
  <c r="BE224" i="76"/>
  <c r="BF224" i="76"/>
  <c r="BG224" i="76"/>
  <c r="BH224" i="76"/>
  <c r="BI224" i="76"/>
  <c r="BJ224" i="76"/>
  <c r="BK224" i="76"/>
  <c r="BM224" i="76"/>
  <c r="A225" i="76"/>
  <c r="B225" i="76"/>
  <c r="D225" i="76"/>
  <c r="G225" i="76"/>
  <c r="H225" i="76"/>
  <c r="J225" i="76"/>
  <c r="F225" i="76" s="1"/>
  <c r="K225" i="76"/>
  <c r="P225" i="76"/>
  <c r="R225" i="76"/>
  <c r="U225" i="76"/>
  <c r="V225" i="76"/>
  <c r="AE225" i="76"/>
  <c r="AJ225" i="76"/>
  <c r="AK225" i="76"/>
  <c r="AL225" i="76"/>
  <c r="AM225" i="76"/>
  <c r="AN225" i="76"/>
  <c r="AO225" i="76"/>
  <c r="AP225" i="76"/>
  <c r="AQ225" i="76"/>
  <c r="AR225" i="76"/>
  <c r="AS225" i="76"/>
  <c r="AT225" i="76"/>
  <c r="AU225" i="76"/>
  <c r="AV225" i="76"/>
  <c r="AW225" i="76"/>
  <c r="AX225" i="76"/>
  <c r="AY225" i="76"/>
  <c r="AZ225" i="76"/>
  <c r="BA225" i="76"/>
  <c r="BB225" i="76"/>
  <c r="BC225" i="76"/>
  <c r="BD225" i="76"/>
  <c r="BE225" i="76"/>
  <c r="BF225" i="76"/>
  <c r="BG225" i="76"/>
  <c r="BH225" i="76"/>
  <c r="BI225" i="76"/>
  <c r="BJ225" i="76"/>
  <c r="BK225" i="76"/>
  <c r="BM225" i="76"/>
  <c r="A226" i="76"/>
  <c r="B226" i="76"/>
  <c r="D226" i="76"/>
  <c r="G226" i="76"/>
  <c r="H226" i="76"/>
  <c r="J226" i="76"/>
  <c r="F226" i="76" s="1"/>
  <c r="K226" i="76"/>
  <c r="P226" i="76"/>
  <c r="R226" i="76"/>
  <c r="U226" i="76"/>
  <c r="V226" i="76"/>
  <c r="AE226" i="76"/>
  <c r="AJ226" i="76"/>
  <c r="AK226" i="76"/>
  <c r="AL226" i="76"/>
  <c r="AM226" i="76"/>
  <c r="AN226" i="76"/>
  <c r="AO226" i="76"/>
  <c r="AP226" i="76"/>
  <c r="AQ226" i="76"/>
  <c r="AR226" i="76"/>
  <c r="AS226" i="76"/>
  <c r="AT226" i="76"/>
  <c r="AU226" i="76"/>
  <c r="AV226" i="76"/>
  <c r="AW226" i="76"/>
  <c r="AX226" i="76"/>
  <c r="AY226" i="76"/>
  <c r="AZ226" i="76"/>
  <c r="BA226" i="76"/>
  <c r="BB226" i="76"/>
  <c r="BC226" i="76"/>
  <c r="BD226" i="76"/>
  <c r="BE226" i="76"/>
  <c r="BF226" i="76"/>
  <c r="BG226" i="76"/>
  <c r="BH226" i="76"/>
  <c r="BI226" i="76"/>
  <c r="BJ226" i="76"/>
  <c r="BK226" i="76"/>
  <c r="BM226" i="76"/>
  <c r="A227" i="76"/>
  <c r="B227" i="76"/>
  <c r="D227" i="76"/>
  <c r="G227" i="76"/>
  <c r="H227" i="76"/>
  <c r="J227" i="76"/>
  <c r="F227" i="76" s="1"/>
  <c r="K227" i="76"/>
  <c r="P227" i="76"/>
  <c r="R227" i="76"/>
  <c r="U227" i="76"/>
  <c r="V227" i="76"/>
  <c r="AE227" i="76"/>
  <c r="AJ227" i="76"/>
  <c r="AK227" i="76"/>
  <c r="AL227" i="76"/>
  <c r="AM227" i="76"/>
  <c r="AN227" i="76"/>
  <c r="AO227" i="76"/>
  <c r="AP227" i="76"/>
  <c r="AQ227" i="76"/>
  <c r="AR227" i="76"/>
  <c r="AS227" i="76"/>
  <c r="AT227" i="76"/>
  <c r="AU227" i="76"/>
  <c r="AV227" i="76"/>
  <c r="AW227" i="76"/>
  <c r="AX227" i="76"/>
  <c r="AY227" i="76"/>
  <c r="AZ227" i="76"/>
  <c r="BA227" i="76"/>
  <c r="BB227" i="76"/>
  <c r="BC227" i="76"/>
  <c r="BD227" i="76"/>
  <c r="BE227" i="76"/>
  <c r="BF227" i="76"/>
  <c r="BG227" i="76"/>
  <c r="BH227" i="76"/>
  <c r="BI227" i="76"/>
  <c r="BJ227" i="76"/>
  <c r="BK227" i="76"/>
  <c r="BM227" i="76"/>
  <c r="A228" i="76"/>
  <c r="B228" i="76"/>
  <c r="D228" i="76"/>
  <c r="G228" i="76"/>
  <c r="H228" i="76"/>
  <c r="J228" i="76"/>
  <c r="K228" i="76"/>
  <c r="P228" i="76"/>
  <c r="R228" i="76"/>
  <c r="U228" i="76"/>
  <c r="V228" i="76"/>
  <c r="AE228" i="76"/>
  <c r="AJ228" i="76"/>
  <c r="AK228" i="76"/>
  <c r="AL228" i="76"/>
  <c r="AM228" i="76"/>
  <c r="AN228" i="76"/>
  <c r="AO228" i="76"/>
  <c r="AP228" i="76"/>
  <c r="AQ228" i="76"/>
  <c r="AR228" i="76"/>
  <c r="AS228" i="76"/>
  <c r="AT228" i="76"/>
  <c r="AU228" i="76"/>
  <c r="AV228" i="76"/>
  <c r="AW228" i="76"/>
  <c r="AX228" i="76"/>
  <c r="AY228" i="76"/>
  <c r="AZ228" i="76"/>
  <c r="BA228" i="76"/>
  <c r="BB228" i="76"/>
  <c r="BC228" i="76"/>
  <c r="BD228" i="76"/>
  <c r="BE228" i="76"/>
  <c r="BF228" i="76"/>
  <c r="BG228" i="76"/>
  <c r="BH228" i="76"/>
  <c r="BI228" i="76"/>
  <c r="BJ228" i="76"/>
  <c r="BK228" i="76"/>
  <c r="BM228" i="76"/>
  <c r="A229" i="76"/>
  <c r="B229" i="76"/>
  <c r="D229" i="76"/>
  <c r="G229" i="76"/>
  <c r="H229" i="76"/>
  <c r="J229" i="76"/>
  <c r="F229" i="76" s="1"/>
  <c r="K229" i="76"/>
  <c r="P229" i="76"/>
  <c r="R229" i="76"/>
  <c r="U229" i="76"/>
  <c r="V229" i="76"/>
  <c r="AE229" i="76"/>
  <c r="AJ229" i="76"/>
  <c r="AK229" i="76"/>
  <c r="AL229" i="76"/>
  <c r="AM229" i="76"/>
  <c r="AN229" i="76"/>
  <c r="AO229" i="76"/>
  <c r="AP229" i="76"/>
  <c r="AQ229" i="76"/>
  <c r="AR229" i="76"/>
  <c r="AS229" i="76"/>
  <c r="AT229" i="76"/>
  <c r="AU229" i="76"/>
  <c r="AV229" i="76"/>
  <c r="AW229" i="76"/>
  <c r="AX229" i="76"/>
  <c r="AY229" i="76"/>
  <c r="AZ229" i="76"/>
  <c r="BA229" i="76"/>
  <c r="BB229" i="76"/>
  <c r="BC229" i="76"/>
  <c r="BD229" i="76"/>
  <c r="BE229" i="76"/>
  <c r="BF229" i="76"/>
  <c r="BG229" i="76"/>
  <c r="BH229" i="76"/>
  <c r="BI229" i="76"/>
  <c r="BJ229" i="76"/>
  <c r="BK229" i="76"/>
  <c r="BM229" i="76"/>
  <c r="A230" i="76"/>
  <c r="B230" i="76"/>
  <c r="D230" i="76"/>
  <c r="G230" i="76"/>
  <c r="H230" i="76"/>
  <c r="J230" i="76"/>
  <c r="E230" i="76" s="1"/>
  <c r="K230" i="76"/>
  <c r="P230" i="76"/>
  <c r="R230" i="76"/>
  <c r="U230" i="76"/>
  <c r="V230" i="76"/>
  <c r="AE230" i="76"/>
  <c r="AJ230" i="76"/>
  <c r="AK230" i="76"/>
  <c r="AL230" i="76"/>
  <c r="AM230" i="76"/>
  <c r="AN230" i="76"/>
  <c r="AO230" i="76"/>
  <c r="AP230" i="76"/>
  <c r="AQ230" i="76"/>
  <c r="AR230" i="76"/>
  <c r="AS230" i="76"/>
  <c r="AT230" i="76"/>
  <c r="AU230" i="76"/>
  <c r="AV230" i="76"/>
  <c r="AW230" i="76"/>
  <c r="AX230" i="76"/>
  <c r="AY230" i="76"/>
  <c r="AZ230" i="76"/>
  <c r="BA230" i="76"/>
  <c r="BB230" i="76"/>
  <c r="BC230" i="76"/>
  <c r="BD230" i="76"/>
  <c r="BE230" i="76"/>
  <c r="BF230" i="76"/>
  <c r="BG230" i="76"/>
  <c r="BH230" i="76"/>
  <c r="BI230" i="76"/>
  <c r="BJ230" i="76"/>
  <c r="BK230" i="76"/>
  <c r="BM230" i="76"/>
  <c r="A231" i="76"/>
  <c r="B231" i="76"/>
  <c r="D231" i="76"/>
  <c r="G231" i="76"/>
  <c r="H231" i="76"/>
  <c r="J231" i="76"/>
  <c r="P231" i="76"/>
  <c r="R231" i="76"/>
  <c r="U231" i="76"/>
  <c r="V231" i="76"/>
  <c r="AE231" i="76"/>
  <c r="AJ231" i="76"/>
  <c r="AK231" i="76"/>
  <c r="AL231" i="76"/>
  <c r="AM231" i="76"/>
  <c r="AN231" i="76"/>
  <c r="AO231" i="76"/>
  <c r="AP231" i="76"/>
  <c r="AQ231" i="76"/>
  <c r="AR231" i="76"/>
  <c r="AS231" i="76"/>
  <c r="AT231" i="76"/>
  <c r="AU231" i="76"/>
  <c r="AV231" i="76"/>
  <c r="AW231" i="76"/>
  <c r="AX231" i="76"/>
  <c r="AY231" i="76"/>
  <c r="AZ231" i="76"/>
  <c r="BA231" i="76"/>
  <c r="BB231" i="76"/>
  <c r="BC231" i="76"/>
  <c r="BD231" i="76"/>
  <c r="BE231" i="76"/>
  <c r="BF231" i="76"/>
  <c r="BG231" i="76"/>
  <c r="BH231" i="76"/>
  <c r="BI231" i="76"/>
  <c r="BJ231" i="76"/>
  <c r="BK231" i="76"/>
  <c r="BM231" i="76"/>
  <c r="A232" i="76"/>
  <c r="B232" i="76"/>
  <c r="D232" i="76"/>
  <c r="G232" i="76"/>
  <c r="H232" i="76"/>
  <c r="J232" i="76"/>
  <c r="F232" i="76" s="1"/>
  <c r="K232" i="76"/>
  <c r="P232" i="76"/>
  <c r="R232" i="76"/>
  <c r="U232" i="76"/>
  <c r="V232" i="76"/>
  <c r="AE232" i="76"/>
  <c r="AJ232" i="76"/>
  <c r="AK232" i="76"/>
  <c r="AL232" i="76"/>
  <c r="AM232" i="76"/>
  <c r="AN232" i="76"/>
  <c r="AO232" i="76"/>
  <c r="AP232" i="76"/>
  <c r="AQ232" i="76"/>
  <c r="AR232" i="76"/>
  <c r="AS232" i="76"/>
  <c r="AT232" i="76"/>
  <c r="AU232" i="76"/>
  <c r="AV232" i="76"/>
  <c r="AW232" i="76"/>
  <c r="AX232" i="76"/>
  <c r="AY232" i="76"/>
  <c r="AZ232" i="76"/>
  <c r="BA232" i="76"/>
  <c r="BB232" i="76"/>
  <c r="BC232" i="76"/>
  <c r="BD232" i="76"/>
  <c r="BE232" i="76"/>
  <c r="BF232" i="76"/>
  <c r="BG232" i="76"/>
  <c r="BH232" i="76"/>
  <c r="BI232" i="76"/>
  <c r="BJ232" i="76"/>
  <c r="BK232" i="76"/>
  <c r="BM232" i="76"/>
  <c r="A233" i="76"/>
  <c r="B233" i="76"/>
  <c r="D233" i="76"/>
  <c r="G233" i="76"/>
  <c r="H233" i="76"/>
  <c r="J233" i="76"/>
  <c r="K233" i="76"/>
  <c r="P233" i="76"/>
  <c r="R233" i="76"/>
  <c r="U233" i="76"/>
  <c r="V233" i="76"/>
  <c r="AE233" i="76"/>
  <c r="AJ233" i="76"/>
  <c r="AK233" i="76"/>
  <c r="AL233" i="76"/>
  <c r="AM233" i="76"/>
  <c r="AN233" i="76"/>
  <c r="AO233" i="76"/>
  <c r="AP233" i="76"/>
  <c r="AQ233" i="76"/>
  <c r="AR233" i="76"/>
  <c r="AS233" i="76"/>
  <c r="AT233" i="76"/>
  <c r="AU233" i="76"/>
  <c r="AV233" i="76"/>
  <c r="AW233" i="76"/>
  <c r="AX233" i="76"/>
  <c r="AY233" i="76"/>
  <c r="AZ233" i="76"/>
  <c r="BA233" i="76"/>
  <c r="BB233" i="76"/>
  <c r="BC233" i="76"/>
  <c r="BD233" i="76"/>
  <c r="BE233" i="76"/>
  <c r="BF233" i="76"/>
  <c r="BG233" i="76"/>
  <c r="BH233" i="76"/>
  <c r="BI233" i="76"/>
  <c r="BJ233" i="76"/>
  <c r="BK233" i="76"/>
  <c r="BM233" i="76"/>
  <c r="A234" i="76"/>
  <c r="B234" i="76"/>
  <c r="D234" i="76"/>
  <c r="G234" i="76"/>
  <c r="H234" i="76"/>
  <c r="J234" i="76"/>
  <c r="K234" i="76"/>
  <c r="P234" i="76"/>
  <c r="R234" i="76"/>
  <c r="U234" i="76"/>
  <c r="V234" i="76"/>
  <c r="AE234" i="76"/>
  <c r="AJ234" i="76"/>
  <c r="AK234" i="76"/>
  <c r="AL234" i="76"/>
  <c r="AM234" i="76"/>
  <c r="AN234" i="76"/>
  <c r="AO234" i="76"/>
  <c r="AP234" i="76"/>
  <c r="AQ234" i="76"/>
  <c r="AR234" i="76"/>
  <c r="AS234" i="76"/>
  <c r="AT234" i="76"/>
  <c r="AU234" i="76"/>
  <c r="AV234" i="76"/>
  <c r="AW234" i="76"/>
  <c r="AX234" i="76"/>
  <c r="AY234" i="76"/>
  <c r="AZ234" i="76"/>
  <c r="BA234" i="76"/>
  <c r="BB234" i="76"/>
  <c r="BC234" i="76"/>
  <c r="BD234" i="76"/>
  <c r="BE234" i="76"/>
  <c r="BF234" i="76"/>
  <c r="BG234" i="76"/>
  <c r="BH234" i="76"/>
  <c r="BI234" i="76"/>
  <c r="BJ234" i="76"/>
  <c r="BK234" i="76"/>
  <c r="BM234" i="76"/>
  <c r="A235" i="76"/>
  <c r="B235" i="76"/>
  <c r="D235" i="76"/>
  <c r="G235" i="76"/>
  <c r="H235" i="76"/>
  <c r="J235" i="76"/>
  <c r="F235" i="76" s="1"/>
  <c r="K235" i="76"/>
  <c r="P235" i="76"/>
  <c r="R235" i="76"/>
  <c r="U235" i="76"/>
  <c r="V235" i="76"/>
  <c r="AE235" i="76"/>
  <c r="AJ235" i="76"/>
  <c r="AK235" i="76"/>
  <c r="AL235" i="76"/>
  <c r="AM235" i="76"/>
  <c r="AN235" i="76"/>
  <c r="AO235" i="76"/>
  <c r="AP235" i="76"/>
  <c r="AQ235" i="76"/>
  <c r="AR235" i="76"/>
  <c r="AS235" i="76"/>
  <c r="AT235" i="76"/>
  <c r="AU235" i="76"/>
  <c r="AV235" i="76"/>
  <c r="AW235" i="76"/>
  <c r="AX235" i="76"/>
  <c r="AY235" i="76"/>
  <c r="AZ235" i="76"/>
  <c r="BA235" i="76"/>
  <c r="BB235" i="76"/>
  <c r="BC235" i="76"/>
  <c r="BD235" i="76"/>
  <c r="BE235" i="76"/>
  <c r="BF235" i="76"/>
  <c r="BG235" i="76"/>
  <c r="BH235" i="76"/>
  <c r="BI235" i="76"/>
  <c r="BJ235" i="76"/>
  <c r="BK235" i="76"/>
  <c r="BM235" i="76"/>
  <c r="A236" i="76"/>
  <c r="B236" i="76"/>
  <c r="D236" i="76"/>
  <c r="G236" i="76"/>
  <c r="H236" i="76"/>
  <c r="J236" i="76"/>
  <c r="F236" i="76" s="1"/>
  <c r="K236" i="76"/>
  <c r="P236" i="76"/>
  <c r="R236" i="76"/>
  <c r="U236" i="76"/>
  <c r="V236" i="76"/>
  <c r="AE236" i="76"/>
  <c r="AJ236" i="76"/>
  <c r="AK236" i="76"/>
  <c r="AL236" i="76"/>
  <c r="AM236" i="76"/>
  <c r="AN236" i="76"/>
  <c r="AO236" i="76"/>
  <c r="AP236" i="76"/>
  <c r="AQ236" i="76"/>
  <c r="AR236" i="76"/>
  <c r="AS236" i="76"/>
  <c r="AT236" i="76"/>
  <c r="AU236" i="76"/>
  <c r="AV236" i="76"/>
  <c r="AW236" i="76"/>
  <c r="AX236" i="76"/>
  <c r="AY236" i="76"/>
  <c r="AZ236" i="76"/>
  <c r="BA236" i="76"/>
  <c r="BB236" i="76"/>
  <c r="BC236" i="76"/>
  <c r="BD236" i="76"/>
  <c r="BE236" i="76"/>
  <c r="BF236" i="76"/>
  <c r="BG236" i="76"/>
  <c r="BH236" i="76"/>
  <c r="BI236" i="76"/>
  <c r="BJ236" i="76"/>
  <c r="BK236" i="76"/>
  <c r="BM236" i="76"/>
  <c r="A237" i="76"/>
  <c r="B237" i="76"/>
  <c r="D237" i="76"/>
  <c r="G237" i="76"/>
  <c r="H237" i="76"/>
  <c r="J237" i="76"/>
  <c r="F237" i="76" s="1"/>
  <c r="K237" i="76"/>
  <c r="P237" i="76"/>
  <c r="R237" i="76"/>
  <c r="U237" i="76"/>
  <c r="V237" i="76"/>
  <c r="AE237" i="76"/>
  <c r="AJ237" i="76"/>
  <c r="AK237" i="76"/>
  <c r="AL237" i="76"/>
  <c r="AM237" i="76"/>
  <c r="AN237" i="76"/>
  <c r="AO237" i="76"/>
  <c r="AP237" i="76"/>
  <c r="AQ237" i="76"/>
  <c r="AR237" i="76"/>
  <c r="AS237" i="76"/>
  <c r="AT237" i="76"/>
  <c r="AU237" i="76"/>
  <c r="AV237" i="76"/>
  <c r="AW237" i="76"/>
  <c r="AX237" i="76"/>
  <c r="AY237" i="76"/>
  <c r="AZ237" i="76"/>
  <c r="BA237" i="76"/>
  <c r="BB237" i="76"/>
  <c r="BC237" i="76"/>
  <c r="BD237" i="76"/>
  <c r="BE237" i="76"/>
  <c r="BF237" i="76"/>
  <c r="BG237" i="76"/>
  <c r="BH237" i="76"/>
  <c r="BI237" i="76"/>
  <c r="BJ237" i="76"/>
  <c r="BK237" i="76"/>
  <c r="BM237" i="76"/>
  <c r="A238" i="76"/>
  <c r="B238" i="76"/>
  <c r="D238" i="76"/>
  <c r="G238" i="76"/>
  <c r="H238" i="76"/>
  <c r="J238" i="76"/>
  <c r="F238" i="76" s="1"/>
  <c r="K238" i="76"/>
  <c r="P238" i="76"/>
  <c r="R238" i="76"/>
  <c r="U238" i="76"/>
  <c r="V238" i="76"/>
  <c r="AE238" i="76"/>
  <c r="AJ238" i="76"/>
  <c r="AK238" i="76"/>
  <c r="AL238" i="76"/>
  <c r="AM238" i="76"/>
  <c r="AN238" i="76"/>
  <c r="AO238" i="76"/>
  <c r="AP238" i="76"/>
  <c r="AQ238" i="76"/>
  <c r="AR238" i="76"/>
  <c r="AS238" i="76"/>
  <c r="AT238" i="76"/>
  <c r="AU238" i="76"/>
  <c r="AV238" i="76"/>
  <c r="AW238" i="76"/>
  <c r="AX238" i="76"/>
  <c r="AY238" i="76"/>
  <c r="AZ238" i="76"/>
  <c r="BA238" i="76"/>
  <c r="BB238" i="76"/>
  <c r="BC238" i="76"/>
  <c r="BD238" i="76"/>
  <c r="BE238" i="76"/>
  <c r="BF238" i="76"/>
  <c r="BG238" i="76"/>
  <c r="BH238" i="76"/>
  <c r="BI238" i="76"/>
  <c r="BJ238" i="76"/>
  <c r="BK238" i="76"/>
  <c r="BM238" i="76"/>
  <c r="A239" i="76"/>
  <c r="B239" i="76"/>
  <c r="D239" i="76"/>
  <c r="G239" i="76"/>
  <c r="H239" i="76"/>
  <c r="J239" i="76"/>
  <c r="E239" i="76" s="1"/>
  <c r="K239" i="76"/>
  <c r="P239" i="76"/>
  <c r="R239" i="76"/>
  <c r="U239" i="76"/>
  <c r="V239" i="76"/>
  <c r="AE239" i="76"/>
  <c r="AJ239" i="76"/>
  <c r="AK239" i="76"/>
  <c r="AL239" i="76"/>
  <c r="AM239" i="76"/>
  <c r="AN239" i="76"/>
  <c r="AO239" i="76"/>
  <c r="AP239" i="76"/>
  <c r="AQ239" i="76"/>
  <c r="AR239" i="76"/>
  <c r="AS239" i="76"/>
  <c r="AT239" i="76"/>
  <c r="AU239" i="76"/>
  <c r="AV239" i="76"/>
  <c r="AW239" i="76"/>
  <c r="AX239" i="76"/>
  <c r="AY239" i="76"/>
  <c r="AZ239" i="76"/>
  <c r="BA239" i="76"/>
  <c r="BB239" i="76"/>
  <c r="BC239" i="76"/>
  <c r="BD239" i="76"/>
  <c r="BE239" i="76"/>
  <c r="BF239" i="76"/>
  <c r="BG239" i="76"/>
  <c r="BH239" i="76"/>
  <c r="BI239" i="76"/>
  <c r="BJ239" i="76"/>
  <c r="BK239" i="76"/>
  <c r="BM239" i="76"/>
  <c r="A240" i="76"/>
  <c r="B240" i="76"/>
  <c r="D240" i="76"/>
  <c r="G240" i="76"/>
  <c r="H240" i="76"/>
  <c r="J240" i="76"/>
  <c r="K240" i="76"/>
  <c r="P240" i="76"/>
  <c r="R240" i="76"/>
  <c r="U240" i="76"/>
  <c r="V240" i="76"/>
  <c r="AE240" i="76"/>
  <c r="AJ240" i="76"/>
  <c r="AK240" i="76"/>
  <c r="AL240" i="76"/>
  <c r="AM240" i="76"/>
  <c r="AN240" i="76"/>
  <c r="AO240" i="76"/>
  <c r="AP240" i="76"/>
  <c r="AQ240" i="76"/>
  <c r="AR240" i="76"/>
  <c r="AS240" i="76"/>
  <c r="AT240" i="76"/>
  <c r="AU240" i="76"/>
  <c r="AV240" i="76"/>
  <c r="AW240" i="76"/>
  <c r="AX240" i="76"/>
  <c r="AY240" i="76"/>
  <c r="AZ240" i="76"/>
  <c r="BA240" i="76"/>
  <c r="BB240" i="76"/>
  <c r="BC240" i="76"/>
  <c r="BD240" i="76"/>
  <c r="BE240" i="76"/>
  <c r="BF240" i="76"/>
  <c r="BG240" i="76"/>
  <c r="BH240" i="76"/>
  <c r="BI240" i="76"/>
  <c r="BJ240" i="76"/>
  <c r="BK240" i="76"/>
  <c r="BM240" i="76"/>
  <c r="A241" i="76"/>
  <c r="B241" i="76"/>
  <c r="D241" i="76"/>
  <c r="G241" i="76"/>
  <c r="H241" i="76"/>
  <c r="J241" i="76"/>
  <c r="F241" i="76" s="1"/>
  <c r="K241" i="76"/>
  <c r="P241" i="76"/>
  <c r="R241" i="76"/>
  <c r="U241" i="76"/>
  <c r="V241" i="76"/>
  <c r="AE241" i="76"/>
  <c r="AJ241" i="76"/>
  <c r="AK241" i="76"/>
  <c r="AL241" i="76"/>
  <c r="AM241" i="76"/>
  <c r="AN241" i="76"/>
  <c r="AO241" i="76"/>
  <c r="AP241" i="76"/>
  <c r="AQ241" i="76"/>
  <c r="AR241" i="76"/>
  <c r="AS241" i="76"/>
  <c r="AT241" i="76"/>
  <c r="AU241" i="76"/>
  <c r="AV241" i="76"/>
  <c r="AW241" i="76"/>
  <c r="AX241" i="76"/>
  <c r="AY241" i="76"/>
  <c r="AZ241" i="76"/>
  <c r="BA241" i="76"/>
  <c r="BB241" i="76"/>
  <c r="BC241" i="76"/>
  <c r="BD241" i="76"/>
  <c r="BE241" i="76"/>
  <c r="BF241" i="76"/>
  <c r="BG241" i="76"/>
  <c r="BH241" i="76"/>
  <c r="BI241" i="76"/>
  <c r="BJ241" i="76"/>
  <c r="BK241" i="76"/>
  <c r="BM241" i="76"/>
  <c r="A242" i="76"/>
  <c r="B242" i="76"/>
  <c r="D242" i="76"/>
  <c r="G242" i="76"/>
  <c r="H242" i="76"/>
  <c r="J242" i="76"/>
  <c r="K242" i="76"/>
  <c r="L242" i="76"/>
  <c r="P242" i="76"/>
  <c r="R242" i="76"/>
  <c r="U242" i="76"/>
  <c r="V242" i="76"/>
  <c r="AE242" i="76"/>
  <c r="AJ242" i="76"/>
  <c r="AK242" i="76"/>
  <c r="AL242" i="76"/>
  <c r="AM242" i="76"/>
  <c r="AN242" i="76"/>
  <c r="AO242" i="76"/>
  <c r="AP242" i="76"/>
  <c r="AQ242" i="76"/>
  <c r="AR242" i="76"/>
  <c r="AS242" i="76"/>
  <c r="AT242" i="76"/>
  <c r="AU242" i="76"/>
  <c r="AV242" i="76"/>
  <c r="AW242" i="76"/>
  <c r="AX242" i="76"/>
  <c r="AY242" i="76"/>
  <c r="AZ242" i="76"/>
  <c r="BA242" i="76"/>
  <c r="BB242" i="76"/>
  <c r="BC242" i="76"/>
  <c r="BD242" i="76"/>
  <c r="BE242" i="76"/>
  <c r="BF242" i="76"/>
  <c r="BG242" i="76"/>
  <c r="BH242" i="76"/>
  <c r="BI242" i="76"/>
  <c r="BJ242" i="76"/>
  <c r="BK242" i="76"/>
  <c r="BM242" i="76"/>
  <c r="A243" i="76"/>
  <c r="B243" i="76"/>
  <c r="D243" i="76"/>
  <c r="G243" i="76"/>
  <c r="H243" i="76"/>
  <c r="J243" i="76"/>
  <c r="F243" i="76" s="1"/>
  <c r="K243" i="76"/>
  <c r="L243" i="76"/>
  <c r="P243" i="76"/>
  <c r="R243" i="76"/>
  <c r="U243" i="76"/>
  <c r="V243" i="76"/>
  <c r="AE243" i="76"/>
  <c r="AJ243" i="76"/>
  <c r="AK243" i="76"/>
  <c r="AL243" i="76"/>
  <c r="AM243" i="76"/>
  <c r="AN243" i="76"/>
  <c r="AO243" i="76"/>
  <c r="AP243" i="76"/>
  <c r="AQ243" i="76"/>
  <c r="AR243" i="76"/>
  <c r="AS243" i="76"/>
  <c r="AT243" i="76"/>
  <c r="AU243" i="76"/>
  <c r="AV243" i="76"/>
  <c r="AW243" i="76"/>
  <c r="AX243" i="76"/>
  <c r="AY243" i="76"/>
  <c r="AZ243" i="76"/>
  <c r="BA243" i="76"/>
  <c r="BB243" i="76"/>
  <c r="BC243" i="76"/>
  <c r="BD243" i="76"/>
  <c r="BE243" i="76"/>
  <c r="BF243" i="76"/>
  <c r="BG243" i="76"/>
  <c r="BH243" i="76"/>
  <c r="BI243" i="76"/>
  <c r="BJ243" i="76"/>
  <c r="BK243" i="76"/>
  <c r="BM243" i="76"/>
  <c r="A244" i="76"/>
  <c r="B244" i="76"/>
  <c r="D244" i="76"/>
  <c r="G244" i="76"/>
  <c r="H244" i="76"/>
  <c r="J244" i="76"/>
  <c r="K244" i="76"/>
  <c r="L244" i="76"/>
  <c r="P244" i="76"/>
  <c r="R244" i="76"/>
  <c r="U244" i="76"/>
  <c r="V244" i="76"/>
  <c r="AE244" i="76"/>
  <c r="AJ244" i="76"/>
  <c r="AK244" i="76"/>
  <c r="AL244" i="76"/>
  <c r="AM244" i="76"/>
  <c r="AN244" i="76"/>
  <c r="AO244" i="76"/>
  <c r="AP244" i="76"/>
  <c r="AQ244" i="76"/>
  <c r="AR244" i="76"/>
  <c r="AS244" i="76"/>
  <c r="AT244" i="76"/>
  <c r="AU244" i="76"/>
  <c r="AV244" i="76"/>
  <c r="AW244" i="76"/>
  <c r="AX244" i="76"/>
  <c r="AY244" i="76"/>
  <c r="AZ244" i="76"/>
  <c r="BA244" i="76"/>
  <c r="BB244" i="76"/>
  <c r="BC244" i="76"/>
  <c r="BD244" i="76"/>
  <c r="BE244" i="76"/>
  <c r="BF244" i="76"/>
  <c r="BG244" i="76"/>
  <c r="BH244" i="76"/>
  <c r="BI244" i="76"/>
  <c r="BJ244" i="76"/>
  <c r="BK244" i="76"/>
  <c r="BM244" i="76"/>
  <c r="A245" i="76"/>
  <c r="B245" i="76"/>
  <c r="D245" i="76"/>
  <c r="G245" i="76"/>
  <c r="H245" i="76"/>
  <c r="J245" i="76"/>
  <c r="F245" i="76" s="1"/>
  <c r="K245" i="76"/>
  <c r="L245" i="76"/>
  <c r="P245" i="76"/>
  <c r="R245" i="76"/>
  <c r="U245" i="76"/>
  <c r="V245" i="76"/>
  <c r="AE245" i="76"/>
  <c r="AJ245" i="76"/>
  <c r="AK245" i="76"/>
  <c r="AL245" i="76"/>
  <c r="AM245" i="76"/>
  <c r="AN245" i="76"/>
  <c r="AO245" i="76"/>
  <c r="AP245" i="76"/>
  <c r="AQ245" i="76"/>
  <c r="AR245" i="76"/>
  <c r="AS245" i="76"/>
  <c r="AT245" i="76"/>
  <c r="AU245" i="76"/>
  <c r="AV245" i="76"/>
  <c r="AW245" i="76"/>
  <c r="AX245" i="76"/>
  <c r="AY245" i="76"/>
  <c r="AZ245" i="76"/>
  <c r="BA245" i="76"/>
  <c r="BB245" i="76"/>
  <c r="BC245" i="76"/>
  <c r="BD245" i="76"/>
  <c r="BE245" i="76"/>
  <c r="BF245" i="76"/>
  <c r="BG245" i="76"/>
  <c r="BH245" i="76"/>
  <c r="BI245" i="76"/>
  <c r="BJ245" i="76"/>
  <c r="BK245" i="76"/>
  <c r="BM245" i="76"/>
  <c r="A246" i="76"/>
  <c r="B246" i="76"/>
  <c r="D246" i="76"/>
  <c r="G246" i="76"/>
  <c r="H246" i="76"/>
  <c r="J246" i="76"/>
  <c r="F246" i="76" s="1"/>
  <c r="K246" i="76"/>
  <c r="L246" i="76"/>
  <c r="P246" i="76"/>
  <c r="R246" i="76"/>
  <c r="U246" i="76"/>
  <c r="V246" i="76"/>
  <c r="AE246" i="76"/>
  <c r="AJ246" i="76"/>
  <c r="AK246" i="76"/>
  <c r="AL246" i="76"/>
  <c r="AM246" i="76"/>
  <c r="AN246" i="76"/>
  <c r="AO246" i="76"/>
  <c r="AP246" i="76"/>
  <c r="AQ246" i="76"/>
  <c r="AR246" i="76"/>
  <c r="AS246" i="76"/>
  <c r="AT246" i="76"/>
  <c r="AU246" i="76"/>
  <c r="AV246" i="76"/>
  <c r="AW246" i="76"/>
  <c r="AX246" i="76"/>
  <c r="AY246" i="76"/>
  <c r="AZ246" i="76"/>
  <c r="BA246" i="76"/>
  <c r="BB246" i="76"/>
  <c r="BC246" i="76"/>
  <c r="BD246" i="76"/>
  <c r="BE246" i="76"/>
  <c r="BF246" i="76"/>
  <c r="BG246" i="76"/>
  <c r="BH246" i="76"/>
  <c r="BI246" i="76"/>
  <c r="BJ246" i="76"/>
  <c r="BK246" i="76"/>
  <c r="BM246" i="76"/>
  <c r="A247" i="76"/>
  <c r="B247" i="76"/>
  <c r="D247" i="76"/>
  <c r="G247" i="76"/>
  <c r="H247" i="76"/>
  <c r="J247" i="76"/>
  <c r="K247" i="76"/>
  <c r="L247" i="76"/>
  <c r="P247" i="76"/>
  <c r="R247" i="76"/>
  <c r="U247" i="76"/>
  <c r="V247" i="76"/>
  <c r="AE247" i="76"/>
  <c r="AJ247" i="76"/>
  <c r="AK247" i="76"/>
  <c r="AL247" i="76"/>
  <c r="AM247" i="76"/>
  <c r="AN247" i="76"/>
  <c r="AO247" i="76"/>
  <c r="AP247" i="76"/>
  <c r="AQ247" i="76"/>
  <c r="AR247" i="76"/>
  <c r="AS247" i="76"/>
  <c r="AT247" i="76"/>
  <c r="AU247" i="76"/>
  <c r="AV247" i="76"/>
  <c r="AW247" i="76"/>
  <c r="AX247" i="76"/>
  <c r="AY247" i="76"/>
  <c r="AZ247" i="76"/>
  <c r="BA247" i="76"/>
  <c r="BB247" i="76"/>
  <c r="BC247" i="76"/>
  <c r="BD247" i="76"/>
  <c r="BE247" i="76"/>
  <c r="BF247" i="76"/>
  <c r="BG247" i="76"/>
  <c r="BH247" i="76"/>
  <c r="BI247" i="76"/>
  <c r="BJ247" i="76"/>
  <c r="BK247" i="76"/>
  <c r="BM247" i="76"/>
  <c r="A248" i="76"/>
  <c r="B248" i="76"/>
  <c r="D248" i="76"/>
  <c r="G248" i="76"/>
  <c r="H248" i="76"/>
  <c r="J248" i="76"/>
  <c r="K248" i="76"/>
  <c r="L248" i="76"/>
  <c r="P248" i="76"/>
  <c r="R248" i="76"/>
  <c r="U248" i="76"/>
  <c r="V248" i="76"/>
  <c r="AE248" i="76"/>
  <c r="AJ248" i="76"/>
  <c r="AK248" i="76"/>
  <c r="AL248" i="76"/>
  <c r="AM248" i="76"/>
  <c r="AN248" i="76"/>
  <c r="AO248" i="76"/>
  <c r="AP248" i="76"/>
  <c r="AQ248" i="76"/>
  <c r="AR248" i="76"/>
  <c r="AS248" i="76"/>
  <c r="AT248" i="76"/>
  <c r="AU248" i="76"/>
  <c r="AV248" i="76"/>
  <c r="AW248" i="76"/>
  <c r="AX248" i="76"/>
  <c r="AY248" i="76"/>
  <c r="AZ248" i="76"/>
  <c r="BA248" i="76"/>
  <c r="BB248" i="76"/>
  <c r="BC248" i="76"/>
  <c r="BD248" i="76"/>
  <c r="BE248" i="76"/>
  <c r="BF248" i="76"/>
  <c r="BG248" i="76"/>
  <c r="BH248" i="76"/>
  <c r="BI248" i="76"/>
  <c r="BJ248" i="76"/>
  <c r="BK248" i="76"/>
  <c r="BM248" i="76"/>
  <c r="A249" i="76"/>
  <c r="B249" i="76"/>
  <c r="D249" i="76"/>
  <c r="G249" i="76"/>
  <c r="H249" i="76"/>
  <c r="J249" i="76"/>
  <c r="F249" i="76" s="1"/>
  <c r="K249" i="76"/>
  <c r="L249" i="76"/>
  <c r="P249" i="76"/>
  <c r="R249" i="76"/>
  <c r="U249" i="76"/>
  <c r="V249" i="76"/>
  <c r="AE249" i="76"/>
  <c r="AJ249" i="76"/>
  <c r="AK249" i="76"/>
  <c r="AL249" i="76"/>
  <c r="AM249" i="76"/>
  <c r="AN249" i="76"/>
  <c r="AO249" i="76"/>
  <c r="AP249" i="76"/>
  <c r="AQ249" i="76"/>
  <c r="AR249" i="76"/>
  <c r="AS249" i="76"/>
  <c r="AT249" i="76"/>
  <c r="AU249" i="76"/>
  <c r="AV249" i="76"/>
  <c r="AW249" i="76"/>
  <c r="AX249" i="76"/>
  <c r="AY249" i="76"/>
  <c r="AZ249" i="76"/>
  <c r="BA249" i="76"/>
  <c r="BB249" i="76"/>
  <c r="BC249" i="76"/>
  <c r="BD249" i="76"/>
  <c r="BE249" i="76"/>
  <c r="BF249" i="76"/>
  <c r="BG249" i="76"/>
  <c r="BH249" i="76"/>
  <c r="BI249" i="76"/>
  <c r="BJ249" i="76"/>
  <c r="BK249" i="76"/>
  <c r="BM249" i="76"/>
  <c r="A250" i="76"/>
  <c r="B250" i="76"/>
  <c r="D250" i="76"/>
  <c r="G250" i="76"/>
  <c r="H250" i="76"/>
  <c r="J250" i="76"/>
  <c r="F250" i="76" s="1"/>
  <c r="K250" i="76"/>
  <c r="L250" i="76"/>
  <c r="P250" i="76"/>
  <c r="R250" i="76"/>
  <c r="U250" i="76"/>
  <c r="V250" i="76"/>
  <c r="AE250" i="76"/>
  <c r="AJ250" i="76"/>
  <c r="AK250" i="76"/>
  <c r="AL250" i="76"/>
  <c r="AM250" i="76"/>
  <c r="AN250" i="76"/>
  <c r="AO250" i="76"/>
  <c r="AP250" i="76"/>
  <c r="AQ250" i="76"/>
  <c r="AR250" i="76"/>
  <c r="AS250" i="76"/>
  <c r="AT250" i="76"/>
  <c r="AU250" i="76"/>
  <c r="AV250" i="76"/>
  <c r="AW250" i="76"/>
  <c r="AX250" i="76"/>
  <c r="AY250" i="76"/>
  <c r="AZ250" i="76"/>
  <c r="BA250" i="76"/>
  <c r="BB250" i="76"/>
  <c r="BC250" i="76"/>
  <c r="BD250" i="76"/>
  <c r="BE250" i="76"/>
  <c r="BF250" i="76"/>
  <c r="BG250" i="76"/>
  <c r="BH250" i="76"/>
  <c r="BI250" i="76"/>
  <c r="BJ250" i="76"/>
  <c r="BK250" i="76"/>
  <c r="BM250" i="76"/>
  <c r="A251" i="76"/>
  <c r="B251" i="76"/>
  <c r="D251" i="76"/>
  <c r="G251" i="76"/>
  <c r="H251" i="76"/>
  <c r="J251" i="76"/>
  <c r="K251" i="76"/>
  <c r="L251" i="76"/>
  <c r="P251" i="76"/>
  <c r="R251" i="76"/>
  <c r="U251" i="76"/>
  <c r="V251" i="76"/>
  <c r="AE251" i="76"/>
  <c r="AJ251" i="76"/>
  <c r="AK251" i="76"/>
  <c r="AL251" i="76"/>
  <c r="AM251" i="76"/>
  <c r="AN251" i="76"/>
  <c r="AO251" i="76"/>
  <c r="AP251" i="76"/>
  <c r="AQ251" i="76"/>
  <c r="AR251" i="76"/>
  <c r="AS251" i="76"/>
  <c r="AT251" i="76"/>
  <c r="AU251" i="76"/>
  <c r="AV251" i="76"/>
  <c r="AW251" i="76"/>
  <c r="AX251" i="76"/>
  <c r="AY251" i="76"/>
  <c r="AZ251" i="76"/>
  <c r="BA251" i="76"/>
  <c r="BB251" i="76"/>
  <c r="BC251" i="76"/>
  <c r="BD251" i="76"/>
  <c r="BE251" i="76"/>
  <c r="BF251" i="76"/>
  <c r="BG251" i="76"/>
  <c r="BH251" i="76"/>
  <c r="BI251" i="76"/>
  <c r="BJ251" i="76"/>
  <c r="BK251" i="76"/>
  <c r="BM251" i="76"/>
  <c r="A252" i="76"/>
  <c r="B252" i="76"/>
  <c r="D252" i="76"/>
  <c r="G252" i="76"/>
  <c r="H252" i="76"/>
  <c r="J252" i="76"/>
  <c r="F252" i="76" s="1"/>
  <c r="K252" i="76"/>
  <c r="L252" i="76"/>
  <c r="P252" i="76"/>
  <c r="R252" i="76"/>
  <c r="U252" i="76"/>
  <c r="V252" i="76"/>
  <c r="AE252" i="76"/>
  <c r="AJ252" i="76"/>
  <c r="AK252" i="76"/>
  <c r="AL252" i="76"/>
  <c r="AM252" i="76"/>
  <c r="AN252" i="76"/>
  <c r="AO252" i="76"/>
  <c r="AP252" i="76"/>
  <c r="AQ252" i="76"/>
  <c r="AR252" i="76"/>
  <c r="AS252" i="76"/>
  <c r="AT252" i="76"/>
  <c r="AU252" i="76"/>
  <c r="AV252" i="76"/>
  <c r="AW252" i="76"/>
  <c r="AX252" i="76"/>
  <c r="AY252" i="76"/>
  <c r="AZ252" i="76"/>
  <c r="BA252" i="76"/>
  <c r="BB252" i="76"/>
  <c r="BC252" i="76"/>
  <c r="BD252" i="76"/>
  <c r="BE252" i="76"/>
  <c r="BF252" i="76"/>
  <c r="BG252" i="76"/>
  <c r="BH252" i="76"/>
  <c r="BI252" i="76"/>
  <c r="BJ252" i="76"/>
  <c r="BK252" i="76"/>
  <c r="BM252" i="76"/>
  <c r="A253" i="76"/>
  <c r="B253" i="76"/>
  <c r="D253" i="76"/>
  <c r="G253" i="76"/>
  <c r="H253" i="76"/>
  <c r="J253" i="76"/>
  <c r="K253" i="76"/>
  <c r="L253" i="76"/>
  <c r="P253" i="76"/>
  <c r="R253" i="76"/>
  <c r="U253" i="76"/>
  <c r="V253" i="76"/>
  <c r="AE253" i="76"/>
  <c r="AJ253" i="76"/>
  <c r="AK253" i="76"/>
  <c r="AL253" i="76"/>
  <c r="AM253" i="76"/>
  <c r="AN253" i="76"/>
  <c r="AO253" i="76"/>
  <c r="AP253" i="76"/>
  <c r="AQ253" i="76"/>
  <c r="AR253" i="76"/>
  <c r="AS253" i="76"/>
  <c r="AT253" i="76"/>
  <c r="AU253" i="76"/>
  <c r="AV253" i="76"/>
  <c r="AW253" i="76"/>
  <c r="AX253" i="76"/>
  <c r="AY253" i="76"/>
  <c r="AZ253" i="76"/>
  <c r="BA253" i="76"/>
  <c r="BB253" i="76"/>
  <c r="BC253" i="76"/>
  <c r="BD253" i="76"/>
  <c r="BE253" i="76"/>
  <c r="BF253" i="76"/>
  <c r="BG253" i="76"/>
  <c r="BH253" i="76"/>
  <c r="BI253" i="76"/>
  <c r="BJ253" i="76"/>
  <c r="BK253" i="76"/>
  <c r="BM253" i="76"/>
  <c r="A254" i="76"/>
  <c r="B254" i="76"/>
  <c r="D254" i="76"/>
  <c r="G254" i="76"/>
  <c r="H254" i="76"/>
  <c r="J254" i="76"/>
  <c r="E254" i="76" s="1"/>
  <c r="K254" i="76"/>
  <c r="L254" i="76"/>
  <c r="P254" i="76"/>
  <c r="R254" i="76"/>
  <c r="U254" i="76"/>
  <c r="V254" i="76"/>
  <c r="AE254" i="76"/>
  <c r="AJ254" i="76"/>
  <c r="AK254" i="76"/>
  <c r="AL254" i="76"/>
  <c r="AM254" i="76"/>
  <c r="AN254" i="76"/>
  <c r="AO254" i="76"/>
  <c r="AP254" i="76"/>
  <c r="AQ254" i="76"/>
  <c r="AR254" i="76"/>
  <c r="AS254" i="76"/>
  <c r="AT254" i="76"/>
  <c r="AU254" i="76"/>
  <c r="AV254" i="76"/>
  <c r="AW254" i="76"/>
  <c r="AX254" i="76"/>
  <c r="AY254" i="76"/>
  <c r="AZ254" i="76"/>
  <c r="BA254" i="76"/>
  <c r="BB254" i="76"/>
  <c r="BC254" i="76"/>
  <c r="BD254" i="76"/>
  <c r="BE254" i="76"/>
  <c r="BF254" i="76"/>
  <c r="BG254" i="76"/>
  <c r="BH254" i="76"/>
  <c r="BI254" i="76"/>
  <c r="BJ254" i="76"/>
  <c r="BK254" i="76"/>
  <c r="BM254" i="76"/>
  <c r="A255" i="76"/>
  <c r="B255" i="76"/>
  <c r="D255" i="76"/>
  <c r="G255" i="76"/>
  <c r="H255" i="76"/>
  <c r="J255" i="76"/>
  <c r="K255" i="76"/>
  <c r="L255" i="76"/>
  <c r="P255" i="76"/>
  <c r="R255" i="76"/>
  <c r="U255" i="76"/>
  <c r="V255" i="76"/>
  <c r="AE255" i="76"/>
  <c r="AJ255" i="76"/>
  <c r="AK255" i="76"/>
  <c r="AL255" i="76"/>
  <c r="AM255" i="76"/>
  <c r="AN255" i="76"/>
  <c r="AO255" i="76"/>
  <c r="AP255" i="76"/>
  <c r="AQ255" i="76"/>
  <c r="AR255" i="76"/>
  <c r="AS255" i="76"/>
  <c r="AT255" i="76"/>
  <c r="AU255" i="76"/>
  <c r="AV255" i="76"/>
  <c r="AW255" i="76"/>
  <c r="AX255" i="76"/>
  <c r="AY255" i="76"/>
  <c r="AZ255" i="76"/>
  <c r="BA255" i="76"/>
  <c r="BB255" i="76"/>
  <c r="BC255" i="76"/>
  <c r="BD255" i="76"/>
  <c r="BE255" i="76"/>
  <c r="BF255" i="76"/>
  <c r="BG255" i="76"/>
  <c r="BH255" i="76"/>
  <c r="BI255" i="76"/>
  <c r="BJ255" i="76"/>
  <c r="BK255" i="76"/>
  <c r="BM255" i="76"/>
  <c r="A256" i="76"/>
  <c r="B256" i="76"/>
  <c r="D256" i="76"/>
  <c r="G256" i="76"/>
  <c r="H256" i="76"/>
  <c r="J256" i="76"/>
  <c r="K256" i="76"/>
  <c r="L256" i="76"/>
  <c r="P256" i="76"/>
  <c r="R256" i="76"/>
  <c r="U256" i="76"/>
  <c r="V256" i="76"/>
  <c r="AE256" i="76"/>
  <c r="AJ256" i="76"/>
  <c r="AK256" i="76"/>
  <c r="AL256" i="76"/>
  <c r="AM256" i="76"/>
  <c r="AN256" i="76"/>
  <c r="AO256" i="76"/>
  <c r="AP256" i="76"/>
  <c r="AQ256" i="76"/>
  <c r="AR256" i="76"/>
  <c r="AS256" i="76"/>
  <c r="AT256" i="76"/>
  <c r="AU256" i="76"/>
  <c r="AV256" i="76"/>
  <c r="AW256" i="76"/>
  <c r="AX256" i="76"/>
  <c r="AY256" i="76"/>
  <c r="AZ256" i="76"/>
  <c r="BA256" i="76"/>
  <c r="BB256" i="76"/>
  <c r="BC256" i="76"/>
  <c r="BD256" i="76"/>
  <c r="BE256" i="76"/>
  <c r="BF256" i="76"/>
  <c r="BG256" i="76"/>
  <c r="BH256" i="76"/>
  <c r="BI256" i="76"/>
  <c r="BJ256" i="76"/>
  <c r="BK256" i="76"/>
  <c r="BM256" i="76"/>
  <c r="A257" i="76"/>
  <c r="B257" i="76"/>
  <c r="D257" i="76"/>
  <c r="G257" i="76"/>
  <c r="H257" i="76"/>
  <c r="J257" i="76"/>
  <c r="E257" i="76" s="1"/>
  <c r="K257" i="76"/>
  <c r="L257" i="76"/>
  <c r="P257" i="76"/>
  <c r="R257" i="76"/>
  <c r="U257" i="76"/>
  <c r="V257" i="76"/>
  <c r="AE257" i="76"/>
  <c r="AJ257" i="76"/>
  <c r="AK257" i="76"/>
  <c r="AL257" i="76"/>
  <c r="AM257" i="76"/>
  <c r="AN257" i="76"/>
  <c r="AO257" i="76"/>
  <c r="AP257" i="76"/>
  <c r="AQ257" i="76"/>
  <c r="AR257" i="76"/>
  <c r="AS257" i="76"/>
  <c r="AT257" i="76"/>
  <c r="AU257" i="76"/>
  <c r="AV257" i="76"/>
  <c r="AW257" i="76"/>
  <c r="AX257" i="76"/>
  <c r="AY257" i="76"/>
  <c r="AZ257" i="76"/>
  <c r="BA257" i="76"/>
  <c r="BB257" i="76"/>
  <c r="BC257" i="76"/>
  <c r="BD257" i="76"/>
  <c r="BE257" i="76"/>
  <c r="BF257" i="76"/>
  <c r="BG257" i="76"/>
  <c r="BH257" i="76"/>
  <c r="BI257" i="76"/>
  <c r="BJ257" i="76"/>
  <c r="BK257" i="76"/>
  <c r="BM257" i="76"/>
  <c r="A258" i="76"/>
  <c r="B258" i="76"/>
  <c r="D258" i="76"/>
  <c r="G258" i="76"/>
  <c r="H258" i="76"/>
  <c r="J258" i="76"/>
  <c r="K258" i="76"/>
  <c r="L258" i="76"/>
  <c r="P258" i="76"/>
  <c r="R258" i="76"/>
  <c r="U258" i="76"/>
  <c r="V258" i="76"/>
  <c r="AE258" i="76"/>
  <c r="AJ258" i="76"/>
  <c r="AK258" i="76"/>
  <c r="AL258" i="76"/>
  <c r="AM258" i="76"/>
  <c r="AN258" i="76"/>
  <c r="AO258" i="76"/>
  <c r="AP258" i="76"/>
  <c r="AQ258" i="76"/>
  <c r="AR258" i="76"/>
  <c r="AS258" i="76"/>
  <c r="AT258" i="76"/>
  <c r="AU258" i="76"/>
  <c r="AV258" i="76"/>
  <c r="AW258" i="76"/>
  <c r="AX258" i="76"/>
  <c r="AY258" i="76"/>
  <c r="AZ258" i="76"/>
  <c r="BA258" i="76"/>
  <c r="BB258" i="76"/>
  <c r="BC258" i="76"/>
  <c r="BD258" i="76"/>
  <c r="BE258" i="76"/>
  <c r="BF258" i="76"/>
  <c r="BG258" i="76"/>
  <c r="BH258" i="76"/>
  <c r="BI258" i="76"/>
  <c r="BJ258" i="76"/>
  <c r="BK258" i="76"/>
  <c r="BM258" i="76"/>
  <c r="A259" i="76"/>
  <c r="B259" i="76"/>
  <c r="D259" i="76"/>
  <c r="G259" i="76"/>
  <c r="H259" i="76"/>
  <c r="J259" i="76"/>
  <c r="F259" i="76" s="1"/>
  <c r="K259" i="76"/>
  <c r="L259" i="76"/>
  <c r="P259" i="76"/>
  <c r="R259" i="76"/>
  <c r="U259" i="76"/>
  <c r="V259" i="76"/>
  <c r="AE259" i="76"/>
  <c r="AJ259" i="76"/>
  <c r="AK259" i="76"/>
  <c r="AL259" i="76"/>
  <c r="AM259" i="76"/>
  <c r="AN259" i="76"/>
  <c r="AO259" i="76"/>
  <c r="AP259" i="76"/>
  <c r="AQ259" i="76"/>
  <c r="AR259" i="76"/>
  <c r="AS259" i="76"/>
  <c r="AT259" i="76"/>
  <c r="AU259" i="76"/>
  <c r="AV259" i="76"/>
  <c r="AW259" i="76"/>
  <c r="AX259" i="76"/>
  <c r="AY259" i="76"/>
  <c r="AZ259" i="76"/>
  <c r="BA259" i="76"/>
  <c r="BB259" i="76"/>
  <c r="BC259" i="76"/>
  <c r="BD259" i="76"/>
  <c r="BE259" i="76"/>
  <c r="BF259" i="76"/>
  <c r="BG259" i="76"/>
  <c r="BH259" i="76"/>
  <c r="BI259" i="76"/>
  <c r="BJ259" i="76"/>
  <c r="BK259" i="76"/>
  <c r="BM259" i="76"/>
  <c r="A260" i="76"/>
  <c r="B260" i="76"/>
  <c r="D260" i="76"/>
  <c r="G260" i="76"/>
  <c r="H260" i="76"/>
  <c r="J260" i="76"/>
  <c r="E260" i="76" s="1"/>
  <c r="K260" i="76"/>
  <c r="L260" i="76"/>
  <c r="P260" i="76"/>
  <c r="R260" i="76"/>
  <c r="U260" i="76"/>
  <c r="V260" i="76"/>
  <c r="AE260" i="76"/>
  <c r="AJ260" i="76"/>
  <c r="AK260" i="76"/>
  <c r="AL260" i="76"/>
  <c r="AM260" i="76"/>
  <c r="AN260" i="76"/>
  <c r="AO260" i="76"/>
  <c r="AP260" i="76"/>
  <c r="AQ260" i="76"/>
  <c r="AR260" i="76"/>
  <c r="AS260" i="76"/>
  <c r="AT260" i="76"/>
  <c r="AU260" i="76"/>
  <c r="AV260" i="76"/>
  <c r="AW260" i="76"/>
  <c r="AX260" i="76"/>
  <c r="AY260" i="76"/>
  <c r="AZ260" i="76"/>
  <c r="BA260" i="76"/>
  <c r="BB260" i="76"/>
  <c r="BC260" i="76"/>
  <c r="BD260" i="76"/>
  <c r="BE260" i="76"/>
  <c r="BF260" i="76"/>
  <c r="BG260" i="76"/>
  <c r="BH260" i="76"/>
  <c r="BI260" i="76"/>
  <c r="BJ260" i="76"/>
  <c r="BK260" i="76"/>
  <c r="BM260" i="76"/>
  <c r="A261" i="76"/>
  <c r="B261" i="76"/>
  <c r="D261" i="76"/>
  <c r="G261" i="76"/>
  <c r="H261" i="76"/>
  <c r="J261" i="76"/>
  <c r="K261" i="76"/>
  <c r="L261" i="76"/>
  <c r="P261" i="76"/>
  <c r="R261" i="76"/>
  <c r="U261" i="76"/>
  <c r="V261" i="76"/>
  <c r="AE261" i="76"/>
  <c r="AJ261" i="76"/>
  <c r="AK261" i="76"/>
  <c r="AL261" i="76"/>
  <c r="AM261" i="76"/>
  <c r="AN261" i="76"/>
  <c r="AO261" i="76"/>
  <c r="AP261" i="76"/>
  <c r="AQ261" i="76"/>
  <c r="AR261" i="76"/>
  <c r="AS261" i="76"/>
  <c r="AT261" i="76"/>
  <c r="AU261" i="76"/>
  <c r="AV261" i="76"/>
  <c r="AW261" i="76"/>
  <c r="AX261" i="76"/>
  <c r="AY261" i="76"/>
  <c r="AZ261" i="76"/>
  <c r="BA261" i="76"/>
  <c r="BB261" i="76"/>
  <c r="BC261" i="76"/>
  <c r="BD261" i="76"/>
  <c r="BE261" i="76"/>
  <c r="BF261" i="76"/>
  <c r="BG261" i="76"/>
  <c r="BH261" i="76"/>
  <c r="BI261" i="76"/>
  <c r="BJ261" i="76"/>
  <c r="BK261" i="76"/>
  <c r="BM261" i="76"/>
  <c r="A262" i="76"/>
  <c r="B262" i="76"/>
  <c r="D262" i="76"/>
  <c r="G262" i="76"/>
  <c r="H262" i="76"/>
  <c r="J262" i="76"/>
  <c r="F262" i="76" s="1"/>
  <c r="K262" i="76"/>
  <c r="L262" i="76"/>
  <c r="P262" i="76"/>
  <c r="R262" i="76"/>
  <c r="U262" i="76"/>
  <c r="V262" i="76"/>
  <c r="AE262" i="76"/>
  <c r="AJ262" i="76"/>
  <c r="AK262" i="76"/>
  <c r="AL262" i="76"/>
  <c r="AM262" i="76"/>
  <c r="AN262" i="76"/>
  <c r="AO262" i="76"/>
  <c r="AP262" i="76"/>
  <c r="AQ262" i="76"/>
  <c r="AR262" i="76"/>
  <c r="AS262" i="76"/>
  <c r="AT262" i="76"/>
  <c r="AU262" i="76"/>
  <c r="AV262" i="76"/>
  <c r="AW262" i="76"/>
  <c r="AX262" i="76"/>
  <c r="AY262" i="76"/>
  <c r="AZ262" i="76"/>
  <c r="BA262" i="76"/>
  <c r="BB262" i="76"/>
  <c r="BC262" i="76"/>
  <c r="BD262" i="76"/>
  <c r="BE262" i="76"/>
  <c r="BF262" i="76"/>
  <c r="BG262" i="76"/>
  <c r="BH262" i="76"/>
  <c r="BI262" i="76"/>
  <c r="BJ262" i="76"/>
  <c r="BK262" i="76"/>
  <c r="BM262" i="76"/>
  <c r="A263" i="76"/>
  <c r="B263" i="76"/>
  <c r="D263" i="76"/>
  <c r="G263" i="76"/>
  <c r="H263" i="76"/>
  <c r="J263" i="76"/>
  <c r="K263" i="76"/>
  <c r="L263" i="76"/>
  <c r="P263" i="76"/>
  <c r="R263" i="76"/>
  <c r="U263" i="76"/>
  <c r="V263" i="76"/>
  <c r="AE263" i="76"/>
  <c r="AJ263" i="76"/>
  <c r="AK263" i="76"/>
  <c r="AL263" i="76"/>
  <c r="AM263" i="76"/>
  <c r="AN263" i="76"/>
  <c r="AO263" i="76"/>
  <c r="AP263" i="76"/>
  <c r="AQ263" i="76"/>
  <c r="AR263" i="76"/>
  <c r="AS263" i="76"/>
  <c r="AT263" i="76"/>
  <c r="AU263" i="76"/>
  <c r="AV263" i="76"/>
  <c r="AW263" i="76"/>
  <c r="AX263" i="76"/>
  <c r="AY263" i="76"/>
  <c r="AZ263" i="76"/>
  <c r="BA263" i="76"/>
  <c r="BB263" i="76"/>
  <c r="BC263" i="76"/>
  <c r="BD263" i="76"/>
  <c r="BE263" i="76"/>
  <c r="BF263" i="76"/>
  <c r="BG263" i="76"/>
  <c r="BH263" i="76"/>
  <c r="BI263" i="76"/>
  <c r="BJ263" i="76"/>
  <c r="BK263" i="76"/>
  <c r="BM263" i="76"/>
  <c r="A264" i="76"/>
  <c r="B264" i="76"/>
  <c r="D264" i="76"/>
  <c r="G264" i="76"/>
  <c r="H264" i="76"/>
  <c r="J264" i="76"/>
  <c r="K264" i="76"/>
  <c r="L264" i="76"/>
  <c r="P264" i="76"/>
  <c r="R264" i="76"/>
  <c r="U264" i="76"/>
  <c r="V264" i="76"/>
  <c r="AE264" i="76"/>
  <c r="AJ264" i="76"/>
  <c r="AK264" i="76"/>
  <c r="AL264" i="76"/>
  <c r="AM264" i="76"/>
  <c r="AN264" i="76"/>
  <c r="AO264" i="76"/>
  <c r="AP264" i="76"/>
  <c r="AQ264" i="76"/>
  <c r="AR264" i="76"/>
  <c r="AS264" i="76"/>
  <c r="AT264" i="76"/>
  <c r="AU264" i="76"/>
  <c r="AV264" i="76"/>
  <c r="AW264" i="76"/>
  <c r="AX264" i="76"/>
  <c r="AY264" i="76"/>
  <c r="AZ264" i="76"/>
  <c r="BA264" i="76"/>
  <c r="BB264" i="76"/>
  <c r="BC264" i="76"/>
  <c r="BD264" i="76"/>
  <c r="BE264" i="76"/>
  <c r="BF264" i="76"/>
  <c r="BG264" i="76"/>
  <c r="BH264" i="76"/>
  <c r="BI264" i="76"/>
  <c r="BJ264" i="76"/>
  <c r="BK264" i="76"/>
  <c r="BM264" i="76"/>
  <c r="A265" i="76"/>
  <c r="B265" i="76"/>
  <c r="D265" i="76"/>
  <c r="G265" i="76"/>
  <c r="H265" i="76"/>
  <c r="J265" i="76"/>
  <c r="K265" i="76"/>
  <c r="L265" i="76"/>
  <c r="P265" i="76"/>
  <c r="R265" i="76"/>
  <c r="U265" i="76"/>
  <c r="V265" i="76"/>
  <c r="AE265" i="76"/>
  <c r="AJ265" i="76"/>
  <c r="AK265" i="76"/>
  <c r="AL265" i="76"/>
  <c r="AM265" i="76"/>
  <c r="AN265" i="76"/>
  <c r="AO265" i="76"/>
  <c r="AP265" i="76"/>
  <c r="AQ265" i="76"/>
  <c r="AR265" i="76"/>
  <c r="AS265" i="76"/>
  <c r="AT265" i="76"/>
  <c r="AU265" i="76"/>
  <c r="AV265" i="76"/>
  <c r="AW265" i="76"/>
  <c r="AX265" i="76"/>
  <c r="AY265" i="76"/>
  <c r="AZ265" i="76"/>
  <c r="BA265" i="76"/>
  <c r="BB265" i="76"/>
  <c r="BC265" i="76"/>
  <c r="BD265" i="76"/>
  <c r="BE265" i="76"/>
  <c r="BF265" i="76"/>
  <c r="BG265" i="76"/>
  <c r="BH265" i="76"/>
  <c r="BI265" i="76"/>
  <c r="BJ265" i="76"/>
  <c r="BK265" i="76"/>
  <c r="BM265" i="76"/>
  <c r="A266" i="76"/>
  <c r="B266" i="76"/>
  <c r="D266" i="76"/>
  <c r="G266" i="76"/>
  <c r="H266" i="76"/>
  <c r="J266" i="76"/>
  <c r="K266" i="76"/>
  <c r="L266" i="76"/>
  <c r="P266" i="76"/>
  <c r="R266" i="76"/>
  <c r="U266" i="76"/>
  <c r="V266" i="76"/>
  <c r="AE266" i="76"/>
  <c r="AJ266" i="76"/>
  <c r="AK266" i="76"/>
  <c r="AL266" i="76"/>
  <c r="AM266" i="76"/>
  <c r="AN266" i="76"/>
  <c r="AO266" i="76"/>
  <c r="AP266" i="76"/>
  <c r="AQ266" i="76"/>
  <c r="AR266" i="76"/>
  <c r="AS266" i="76"/>
  <c r="AT266" i="76"/>
  <c r="AU266" i="76"/>
  <c r="AV266" i="76"/>
  <c r="AW266" i="76"/>
  <c r="AX266" i="76"/>
  <c r="AY266" i="76"/>
  <c r="AZ266" i="76"/>
  <c r="BA266" i="76"/>
  <c r="BB266" i="76"/>
  <c r="BC266" i="76"/>
  <c r="BD266" i="76"/>
  <c r="BE266" i="76"/>
  <c r="BF266" i="76"/>
  <c r="BG266" i="76"/>
  <c r="BH266" i="76"/>
  <c r="BI266" i="76"/>
  <c r="BJ266" i="76"/>
  <c r="BK266" i="76"/>
  <c r="BM266" i="76"/>
  <c r="A267" i="76"/>
  <c r="B267" i="76"/>
  <c r="D267" i="76"/>
  <c r="G267" i="76"/>
  <c r="H267" i="76"/>
  <c r="J267" i="76"/>
  <c r="K267" i="76"/>
  <c r="L267" i="76"/>
  <c r="P267" i="76"/>
  <c r="R267" i="76"/>
  <c r="U267" i="76"/>
  <c r="V267" i="76"/>
  <c r="AE267" i="76"/>
  <c r="AJ267" i="76"/>
  <c r="AK267" i="76"/>
  <c r="AL267" i="76"/>
  <c r="AM267" i="76"/>
  <c r="AN267" i="76"/>
  <c r="AO267" i="76"/>
  <c r="AP267" i="76"/>
  <c r="AQ267" i="76"/>
  <c r="AR267" i="76"/>
  <c r="AS267" i="76"/>
  <c r="AT267" i="76"/>
  <c r="AU267" i="76"/>
  <c r="AV267" i="76"/>
  <c r="AW267" i="76"/>
  <c r="AX267" i="76"/>
  <c r="AY267" i="76"/>
  <c r="AZ267" i="76"/>
  <c r="BA267" i="76"/>
  <c r="BB267" i="76"/>
  <c r="BC267" i="76"/>
  <c r="BD267" i="76"/>
  <c r="BE267" i="76"/>
  <c r="BF267" i="76"/>
  <c r="BG267" i="76"/>
  <c r="BH267" i="76"/>
  <c r="BI267" i="76"/>
  <c r="BJ267" i="76"/>
  <c r="BK267" i="76"/>
  <c r="BM267" i="76"/>
  <c r="A268" i="76"/>
  <c r="B268" i="76"/>
  <c r="D268" i="76"/>
  <c r="G268" i="76"/>
  <c r="H268" i="76"/>
  <c r="J268" i="76"/>
  <c r="F268" i="76" s="1"/>
  <c r="K268" i="76"/>
  <c r="L268" i="76"/>
  <c r="P268" i="76"/>
  <c r="R268" i="76"/>
  <c r="U268" i="76"/>
  <c r="V268" i="76"/>
  <c r="AE268" i="76"/>
  <c r="AJ268" i="76"/>
  <c r="AK268" i="76"/>
  <c r="AL268" i="76"/>
  <c r="AM268" i="76"/>
  <c r="AN268" i="76"/>
  <c r="AO268" i="76"/>
  <c r="AP268" i="76"/>
  <c r="AQ268" i="76"/>
  <c r="AR268" i="76"/>
  <c r="AS268" i="76"/>
  <c r="AT268" i="76"/>
  <c r="AU268" i="76"/>
  <c r="AV268" i="76"/>
  <c r="AW268" i="76"/>
  <c r="AX268" i="76"/>
  <c r="AY268" i="76"/>
  <c r="AZ268" i="76"/>
  <c r="BA268" i="76"/>
  <c r="BB268" i="76"/>
  <c r="BC268" i="76"/>
  <c r="BD268" i="76"/>
  <c r="BE268" i="76"/>
  <c r="BF268" i="76"/>
  <c r="BG268" i="76"/>
  <c r="BH268" i="76"/>
  <c r="BI268" i="76"/>
  <c r="BJ268" i="76"/>
  <c r="BK268" i="76"/>
  <c r="BM268" i="76"/>
  <c r="A269" i="76"/>
  <c r="B269" i="76"/>
  <c r="D269" i="76"/>
  <c r="G269" i="76"/>
  <c r="H269" i="76"/>
  <c r="J269" i="76"/>
  <c r="E269" i="76" s="1"/>
  <c r="K269" i="76"/>
  <c r="L269" i="76"/>
  <c r="P269" i="76"/>
  <c r="R269" i="76"/>
  <c r="U269" i="76"/>
  <c r="V269" i="76"/>
  <c r="AE269" i="76"/>
  <c r="AJ269" i="76"/>
  <c r="AK269" i="76"/>
  <c r="AL269" i="76"/>
  <c r="AM269" i="76"/>
  <c r="AN269" i="76"/>
  <c r="AO269" i="76"/>
  <c r="AP269" i="76"/>
  <c r="AQ269" i="76"/>
  <c r="AR269" i="76"/>
  <c r="AS269" i="76"/>
  <c r="AT269" i="76"/>
  <c r="AU269" i="76"/>
  <c r="AV269" i="76"/>
  <c r="AW269" i="76"/>
  <c r="AX269" i="76"/>
  <c r="AY269" i="76"/>
  <c r="AZ269" i="76"/>
  <c r="BA269" i="76"/>
  <c r="BB269" i="76"/>
  <c r="BC269" i="76"/>
  <c r="BD269" i="76"/>
  <c r="BE269" i="76"/>
  <c r="BF269" i="76"/>
  <c r="BG269" i="76"/>
  <c r="BH269" i="76"/>
  <c r="BI269" i="76"/>
  <c r="BJ269" i="76"/>
  <c r="BK269" i="76"/>
  <c r="BM269" i="76"/>
  <c r="A270" i="76"/>
  <c r="B270" i="76"/>
  <c r="D270" i="76"/>
  <c r="G270" i="76"/>
  <c r="H270" i="76"/>
  <c r="J270" i="76"/>
  <c r="K270" i="76"/>
  <c r="L270" i="76"/>
  <c r="P270" i="76"/>
  <c r="R270" i="76"/>
  <c r="U270" i="76"/>
  <c r="V270" i="76"/>
  <c r="AE270" i="76"/>
  <c r="AJ270" i="76"/>
  <c r="AK270" i="76"/>
  <c r="AL270" i="76"/>
  <c r="AM270" i="76"/>
  <c r="AN270" i="76"/>
  <c r="AO270" i="76"/>
  <c r="AP270" i="76"/>
  <c r="AQ270" i="76"/>
  <c r="AR270" i="76"/>
  <c r="AS270" i="76"/>
  <c r="AT270" i="76"/>
  <c r="AU270" i="76"/>
  <c r="AV270" i="76"/>
  <c r="AW270" i="76"/>
  <c r="AX270" i="76"/>
  <c r="AY270" i="76"/>
  <c r="AZ270" i="76"/>
  <c r="BA270" i="76"/>
  <c r="BB270" i="76"/>
  <c r="BC270" i="76"/>
  <c r="BD270" i="76"/>
  <c r="BE270" i="76"/>
  <c r="BF270" i="76"/>
  <c r="BG270" i="76"/>
  <c r="BH270" i="76"/>
  <c r="BI270" i="76"/>
  <c r="BJ270" i="76"/>
  <c r="BK270" i="76"/>
  <c r="BM270" i="76"/>
  <c r="A271" i="76"/>
  <c r="B271" i="76"/>
  <c r="D271" i="76"/>
  <c r="G271" i="76"/>
  <c r="H271" i="76"/>
  <c r="J271" i="76"/>
  <c r="F271" i="76" s="1"/>
  <c r="K271" i="76"/>
  <c r="L271" i="76"/>
  <c r="P271" i="76"/>
  <c r="R271" i="76"/>
  <c r="U271" i="76"/>
  <c r="V271" i="76"/>
  <c r="AE271" i="76"/>
  <c r="AJ271" i="76"/>
  <c r="AK271" i="76"/>
  <c r="AL271" i="76"/>
  <c r="AM271" i="76"/>
  <c r="AN271" i="76"/>
  <c r="AO271" i="76"/>
  <c r="AP271" i="76"/>
  <c r="AQ271" i="76"/>
  <c r="AR271" i="76"/>
  <c r="AS271" i="76"/>
  <c r="AT271" i="76"/>
  <c r="AU271" i="76"/>
  <c r="AV271" i="76"/>
  <c r="AW271" i="76"/>
  <c r="AX271" i="76"/>
  <c r="AY271" i="76"/>
  <c r="AZ271" i="76"/>
  <c r="BA271" i="76"/>
  <c r="BB271" i="76"/>
  <c r="BC271" i="76"/>
  <c r="BD271" i="76"/>
  <c r="BE271" i="76"/>
  <c r="BF271" i="76"/>
  <c r="BG271" i="76"/>
  <c r="BH271" i="76"/>
  <c r="BI271" i="76"/>
  <c r="BJ271" i="76"/>
  <c r="BK271" i="76"/>
  <c r="BM271" i="76"/>
  <c r="A272" i="76"/>
  <c r="B272" i="76"/>
  <c r="D272" i="76"/>
  <c r="G272" i="76"/>
  <c r="H272" i="76"/>
  <c r="J272" i="76"/>
  <c r="K272" i="76"/>
  <c r="L272" i="76"/>
  <c r="P272" i="76"/>
  <c r="R272" i="76"/>
  <c r="U272" i="76"/>
  <c r="V272" i="76"/>
  <c r="AE272" i="76"/>
  <c r="AJ272" i="76"/>
  <c r="AK272" i="76"/>
  <c r="AL272" i="76"/>
  <c r="AM272" i="76"/>
  <c r="AN272" i="76"/>
  <c r="AO272" i="76"/>
  <c r="AP272" i="76"/>
  <c r="AQ272" i="76"/>
  <c r="AR272" i="76"/>
  <c r="AS272" i="76"/>
  <c r="AT272" i="76"/>
  <c r="AU272" i="76"/>
  <c r="AV272" i="76"/>
  <c r="AW272" i="76"/>
  <c r="AX272" i="76"/>
  <c r="AY272" i="76"/>
  <c r="AZ272" i="76"/>
  <c r="BA272" i="76"/>
  <c r="BB272" i="76"/>
  <c r="BC272" i="76"/>
  <c r="BD272" i="76"/>
  <c r="BE272" i="76"/>
  <c r="BF272" i="76"/>
  <c r="BG272" i="76"/>
  <c r="BH272" i="76"/>
  <c r="BI272" i="76"/>
  <c r="BJ272" i="76"/>
  <c r="BK272" i="76"/>
  <c r="BM272" i="76"/>
  <c r="A273" i="76"/>
  <c r="B273" i="76"/>
  <c r="D273" i="76"/>
  <c r="G273" i="76"/>
  <c r="H273" i="76"/>
  <c r="J273" i="76"/>
  <c r="K273" i="76"/>
  <c r="L273" i="76"/>
  <c r="P273" i="76"/>
  <c r="R273" i="76"/>
  <c r="U273" i="76"/>
  <c r="V273" i="76"/>
  <c r="AE273" i="76"/>
  <c r="AJ273" i="76"/>
  <c r="AK273" i="76"/>
  <c r="AL273" i="76"/>
  <c r="AM273" i="76"/>
  <c r="AN273" i="76"/>
  <c r="AO273" i="76"/>
  <c r="AP273" i="76"/>
  <c r="AQ273" i="76"/>
  <c r="AR273" i="76"/>
  <c r="AS273" i="76"/>
  <c r="AT273" i="76"/>
  <c r="AU273" i="76"/>
  <c r="AV273" i="76"/>
  <c r="AW273" i="76"/>
  <c r="AX273" i="76"/>
  <c r="AY273" i="76"/>
  <c r="AZ273" i="76"/>
  <c r="BA273" i="76"/>
  <c r="BB273" i="76"/>
  <c r="BC273" i="76"/>
  <c r="BD273" i="76"/>
  <c r="BE273" i="76"/>
  <c r="BF273" i="76"/>
  <c r="BG273" i="76"/>
  <c r="BH273" i="76"/>
  <c r="BI273" i="76"/>
  <c r="BJ273" i="76"/>
  <c r="BK273" i="76"/>
  <c r="BM273" i="76"/>
  <c r="A274" i="76"/>
  <c r="B274" i="76"/>
  <c r="D274" i="76"/>
  <c r="G274" i="76"/>
  <c r="H274" i="76"/>
  <c r="J274" i="76"/>
  <c r="K274" i="76"/>
  <c r="L274" i="76"/>
  <c r="P274" i="76"/>
  <c r="R274" i="76"/>
  <c r="U274" i="76"/>
  <c r="V274" i="76"/>
  <c r="AE274" i="76"/>
  <c r="AJ274" i="76"/>
  <c r="AK274" i="76"/>
  <c r="AL274" i="76"/>
  <c r="AM274" i="76"/>
  <c r="AN274" i="76"/>
  <c r="AO274" i="76"/>
  <c r="AP274" i="76"/>
  <c r="AQ274" i="76"/>
  <c r="AR274" i="76"/>
  <c r="AS274" i="76"/>
  <c r="AT274" i="76"/>
  <c r="AU274" i="76"/>
  <c r="AV274" i="76"/>
  <c r="AW274" i="76"/>
  <c r="AX274" i="76"/>
  <c r="AY274" i="76"/>
  <c r="AZ274" i="76"/>
  <c r="BA274" i="76"/>
  <c r="BB274" i="76"/>
  <c r="BC274" i="76"/>
  <c r="BD274" i="76"/>
  <c r="BE274" i="76"/>
  <c r="BF274" i="76"/>
  <c r="BG274" i="76"/>
  <c r="BH274" i="76"/>
  <c r="BI274" i="76"/>
  <c r="BJ274" i="76"/>
  <c r="BK274" i="76"/>
  <c r="BM274" i="76"/>
  <c r="A275" i="76"/>
  <c r="B275" i="76"/>
  <c r="D275" i="76"/>
  <c r="G275" i="76"/>
  <c r="H275" i="76"/>
  <c r="J275" i="76"/>
  <c r="E275" i="76" s="1"/>
  <c r="K275" i="76"/>
  <c r="L275" i="76"/>
  <c r="P275" i="76"/>
  <c r="R275" i="76"/>
  <c r="U275" i="76"/>
  <c r="V275" i="76"/>
  <c r="AE275" i="76"/>
  <c r="AJ275" i="76"/>
  <c r="AK275" i="76"/>
  <c r="AL275" i="76"/>
  <c r="AM275" i="76"/>
  <c r="AN275" i="76"/>
  <c r="AO275" i="76"/>
  <c r="AP275" i="76"/>
  <c r="AQ275" i="76"/>
  <c r="AR275" i="76"/>
  <c r="AS275" i="76"/>
  <c r="AT275" i="76"/>
  <c r="AU275" i="76"/>
  <c r="AV275" i="76"/>
  <c r="AW275" i="76"/>
  <c r="AX275" i="76"/>
  <c r="AY275" i="76"/>
  <c r="AZ275" i="76"/>
  <c r="BA275" i="76"/>
  <c r="BB275" i="76"/>
  <c r="BC275" i="76"/>
  <c r="BD275" i="76"/>
  <c r="BE275" i="76"/>
  <c r="BF275" i="76"/>
  <c r="BG275" i="76"/>
  <c r="BH275" i="76"/>
  <c r="BI275" i="76"/>
  <c r="BJ275" i="76"/>
  <c r="BK275" i="76"/>
  <c r="BM275" i="76"/>
  <c r="A276" i="76"/>
  <c r="B276" i="76"/>
  <c r="D276" i="76"/>
  <c r="G276" i="76"/>
  <c r="H276" i="76"/>
  <c r="J276" i="76"/>
  <c r="K276" i="76"/>
  <c r="L276" i="76"/>
  <c r="P276" i="76"/>
  <c r="R276" i="76"/>
  <c r="U276" i="76"/>
  <c r="V276" i="76"/>
  <c r="AE276" i="76"/>
  <c r="AJ276" i="76"/>
  <c r="AK276" i="76"/>
  <c r="AL276" i="76"/>
  <c r="AM276" i="76"/>
  <c r="AN276" i="76"/>
  <c r="AO276" i="76"/>
  <c r="AP276" i="76"/>
  <c r="AQ276" i="76"/>
  <c r="AR276" i="76"/>
  <c r="AS276" i="76"/>
  <c r="AT276" i="76"/>
  <c r="AU276" i="76"/>
  <c r="AV276" i="76"/>
  <c r="AW276" i="76"/>
  <c r="AX276" i="76"/>
  <c r="AY276" i="76"/>
  <c r="AZ276" i="76"/>
  <c r="BA276" i="76"/>
  <c r="BB276" i="76"/>
  <c r="BC276" i="76"/>
  <c r="BD276" i="76"/>
  <c r="BE276" i="76"/>
  <c r="BF276" i="76"/>
  <c r="BG276" i="76"/>
  <c r="BH276" i="76"/>
  <c r="BI276" i="76"/>
  <c r="BJ276" i="76"/>
  <c r="BK276" i="76"/>
  <c r="BM276" i="76"/>
  <c r="A277" i="76"/>
  <c r="B277" i="76"/>
  <c r="D277" i="76"/>
  <c r="G277" i="76"/>
  <c r="H277" i="76"/>
  <c r="J277" i="76"/>
  <c r="F277" i="76" s="1"/>
  <c r="K277" i="76"/>
  <c r="L277" i="76"/>
  <c r="P277" i="76"/>
  <c r="R277" i="76"/>
  <c r="U277" i="76"/>
  <c r="V277" i="76"/>
  <c r="AE277" i="76"/>
  <c r="AJ277" i="76"/>
  <c r="AK277" i="76"/>
  <c r="AL277" i="76"/>
  <c r="AM277" i="76"/>
  <c r="AN277" i="76"/>
  <c r="AO277" i="76"/>
  <c r="AP277" i="76"/>
  <c r="AQ277" i="76"/>
  <c r="AR277" i="76"/>
  <c r="AS277" i="76"/>
  <c r="AT277" i="76"/>
  <c r="AU277" i="76"/>
  <c r="AV277" i="76"/>
  <c r="AW277" i="76"/>
  <c r="AX277" i="76"/>
  <c r="AY277" i="76"/>
  <c r="AZ277" i="76"/>
  <c r="BA277" i="76"/>
  <c r="BB277" i="76"/>
  <c r="BC277" i="76"/>
  <c r="BD277" i="76"/>
  <c r="BE277" i="76"/>
  <c r="BF277" i="76"/>
  <c r="BG277" i="76"/>
  <c r="BH277" i="76"/>
  <c r="BI277" i="76"/>
  <c r="BJ277" i="76"/>
  <c r="BK277" i="76"/>
  <c r="BM277" i="76"/>
  <c r="A278" i="76"/>
  <c r="B278" i="76"/>
  <c r="D278" i="76"/>
  <c r="G278" i="76"/>
  <c r="H278" i="76"/>
  <c r="J278" i="76"/>
  <c r="E278" i="76" s="1"/>
  <c r="K278" i="76"/>
  <c r="L278" i="76"/>
  <c r="P278" i="76"/>
  <c r="R278" i="76"/>
  <c r="U278" i="76"/>
  <c r="V278" i="76"/>
  <c r="AE278" i="76"/>
  <c r="AJ278" i="76"/>
  <c r="AK278" i="76"/>
  <c r="AL278" i="76"/>
  <c r="AM278" i="76"/>
  <c r="AN278" i="76"/>
  <c r="AO278" i="76"/>
  <c r="AP278" i="76"/>
  <c r="AQ278" i="76"/>
  <c r="AR278" i="76"/>
  <c r="AS278" i="76"/>
  <c r="AT278" i="76"/>
  <c r="AU278" i="76"/>
  <c r="AV278" i="76"/>
  <c r="AW278" i="76"/>
  <c r="AX278" i="76"/>
  <c r="AY278" i="76"/>
  <c r="AZ278" i="76"/>
  <c r="BA278" i="76"/>
  <c r="BB278" i="76"/>
  <c r="BC278" i="76"/>
  <c r="BD278" i="76"/>
  <c r="BE278" i="76"/>
  <c r="BF278" i="76"/>
  <c r="BG278" i="76"/>
  <c r="BH278" i="76"/>
  <c r="BI278" i="76"/>
  <c r="BJ278" i="76"/>
  <c r="BK278" i="76"/>
  <c r="BM278" i="76"/>
  <c r="A279" i="76"/>
  <c r="B279" i="76"/>
  <c r="D279" i="76"/>
  <c r="G279" i="76"/>
  <c r="H279" i="76"/>
  <c r="J279" i="76"/>
  <c r="F279" i="76" s="1"/>
  <c r="K279" i="76"/>
  <c r="L279" i="76"/>
  <c r="P279" i="76"/>
  <c r="R279" i="76"/>
  <c r="U279" i="76"/>
  <c r="V279" i="76"/>
  <c r="AE279" i="76"/>
  <c r="AJ279" i="76"/>
  <c r="AK279" i="76"/>
  <c r="AL279" i="76"/>
  <c r="AM279" i="76"/>
  <c r="AN279" i="76"/>
  <c r="AO279" i="76"/>
  <c r="AP279" i="76"/>
  <c r="AQ279" i="76"/>
  <c r="AR279" i="76"/>
  <c r="AS279" i="76"/>
  <c r="AT279" i="76"/>
  <c r="AU279" i="76"/>
  <c r="AV279" i="76"/>
  <c r="AW279" i="76"/>
  <c r="AX279" i="76"/>
  <c r="AY279" i="76"/>
  <c r="AZ279" i="76"/>
  <c r="BA279" i="76"/>
  <c r="BB279" i="76"/>
  <c r="BC279" i="76"/>
  <c r="BD279" i="76"/>
  <c r="BE279" i="76"/>
  <c r="BF279" i="76"/>
  <c r="BG279" i="76"/>
  <c r="BH279" i="76"/>
  <c r="BI279" i="76"/>
  <c r="BJ279" i="76"/>
  <c r="BK279" i="76"/>
  <c r="BM279" i="76"/>
  <c r="A280" i="76"/>
  <c r="B280" i="76"/>
  <c r="D280" i="76"/>
  <c r="G280" i="76"/>
  <c r="H280" i="76"/>
  <c r="J280" i="76"/>
  <c r="F280" i="76" s="1"/>
  <c r="K280" i="76"/>
  <c r="L280" i="76"/>
  <c r="P280" i="76"/>
  <c r="R280" i="76"/>
  <c r="U280" i="76"/>
  <c r="V280" i="76"/>
  <c r="AE280" i="76"/>
  <c r="AJ280" i="76"/>
  <c r="AK280" i="76"/>
  <c r="AL280" i="76"/>
  <c r="AM280" i="76"/>
  <c r="AN280" i="76"/>
  <c r="AO280" i="76"/>
  <c r="AP280" i="76"/>
  <c r="AQ280" i="76"/>
  <c r="AR280" i="76"/>
  <c r="AS280" i="76"/>
  <c r="AT280" i="76"/>
  <c r="AU280" i="76"/>
  <c r="AV280" i="76"/>
  <c r="AW280" i="76"/>
  <c r="AX280" i="76"/>
  <c r="AY280" i="76"/>
  <c r="AZ280" i="76"/>
  <c r="BA280" i="76"/>
  <c r="BB280" i="76"/>
  <c r="BC280" i="76"/>
  <c r="BD280" i="76"/>
  <c r="BE280" i="76"/>
  <c r="BF280" i="76"/>
  <c r="BG280" i="76"/>
  <c r="BH280" i="76"/>
  <c r="BI280" i="76"/>
  <c r="BJ280" i="76"/>
  <c r="BK280" i="76"/>
  <c r="BM280" i="76"/>
  <c r="A281" i="76"/>
  <c r="B281" i="76"/>
  <c r="D281" i="76"/>
  <c r="G281" i="76"/>
  <c r="H281" i="76"/>
  <c r="J281" i="76"/>
  <c r="K281" i="76"/>
  <c r="L281" i="76"/>
  <c r="P281" i="76"/>
  <c r="R281" i="76"/>
  <c r="U281" i="76"/>
  <c r="V281" i="76"/>
  <c r="AE281" i="76"/>
  <c r="AJ281" i="76"/>
  <c r="AK281" i="76"/>
  <c r="AL281" i="76"/>
  <c r="AM281" i="76"/>
  <c r="AN281" i="76"/>
  <c r="AO281" i="76"/>
  <c r="AP281" i="76"/>
  <c r="AQ281" i="76"/>
  <c r="AR281" i="76"/>
  <c r="AS281" i="76"/>
  <c r="AT281" i="76"/>
  <c r="AU281" i="76"/>
  <c r="AV281" i="76"/>
  <c r="AW281" i="76"/>
  <c r="AX281" i="76"/>
  <c r="AY281" i="76"/>
  <c r="AZ281" i="76"/>
  <c r="BA281" i="76"/>
  <c r="BB281" i="76"/>
  <c r="BC281" i="76"/>
  <c r="BD281" i="76"/>
  <c r="BE281" i="76"/>
  <c r="BF281" i="76"/>
  <c r="BG281" i="76"/>
  <c r="BH281" i="76"/>
  <c r="BI281" i="76"/>
  <c r="BJ281" i="76"/>
  <c r="BK281" i="76"/>
  <c r="BM281" i="76"/>
  <c r="A282" i="76"/>
  <c r="B282" i="76"/>
  <c r="D282" i="76"/>
  <c r="G282" i="76"/>
  <c r="H282" i="76"/>
  <c r="J282" i="76"/>
  <c r="F282" i="76" s="1"/>
  <c r="K282" i="76"/>
  <c r="L282" i="76"/>
  <c r="P282" i="76"/>
  <c r="R282" i="76"/>
  <c r="U282" i="76"/>
  <c r="V282" i="76"/>
  <c r="AE282" i="76"/>
  <c r="AJ282" i="76"/>
  <c r="AK282" i="76"/>
  <c r="AL282" i="76"/>
  <c r="AM282" i="76"/>
  <c r="AN282" i="76"/>
  <c r="AO282" i="76"/>
  <c r="AP282" i="76"/>
  <c r="AQ282" i="76"/>
  <c r="AR282" i="76"/>
  <c r="AS282" i="76"/>
  <c r="AT282" i="76"/>
  <c r="AU282" i="76"/>
  <c r="AV282" i="76"/>
  <c r="AW282" i="76"/>
  <c r="AX282" i="76"/>
  <c r="AY282" i="76"/>
  <c r="AZ282" i="76"/>
  <c r="BA282" i="76"/>
  <c r="BB282" i="76"/>
  <c r="BC282" i="76"/>
  <c r="BD282" i="76"/>
  <c r="BE282" i="76"/>
  <c r="BF282" i="76"/>
  <c r="BG282" i="76"/>
  <c r="BH282" i="76"/>
  <c r="BI282" i="76"/>
  <c r="BJ282" i="76"/>
  <c r="BK282" i="76"/>
  <c r="BM282" i="76"/>
  <c r="A283" i="76"/>
  <c r="B283" i="76"/>
  <c r="D283" i="76"/>
  <c r="G283" i="76"/>
  <c r="H283" i="76"/>
  <c r="J283" i="76"/>
  <c r="F283" i="76" s="1"/>
  <c r="K283" i="76"/>
  <c r="L283" i="76"/>
  <c r="P283" i="76"/>
  <c r="R283" i="76"/>
  <c r="U283" i="76"/>
  <c r="V283" i="76"/>
  <c r="AE283" i="76"/>
  <c r="AJ283" i="76"/>
  <c r="AK283" i="76"/>
  <c r="AL283" i="76"/>
  <c r="AM283" i="76"/>
  <c r="AN283" i="76"/>
  <c r="AO283" i="76"/>
  <c r="AP283" i="76"/>
  <c r="AQ283" i="76"/>
  <c r="AR283" i="76"/>
  <c r="AS283" i="76"/>
  <c r="AT283" i="76"/>
  <c r="AU283" i="76"/>
  <c r="AV283" i="76"/>
  <c r="AW283" i="76"/>
  <c r="AX283" i="76"/>
  <c r="AY283" i="76"/>
  <c r="AZ283" i="76"/>
  <c r="BA283" i="76"/>
  <c r="BB283" i="76"/>
  <c r="BC283" i="76"/>
  <c r="BD283" i="76"/>
  <c r="BE283" i="76"/>
  <c r="BF283" i="76"/>
  <c r="BG283" i="76"/>
  <c r="BH283" i="76"/>
  <c r="BI283" i="76"/>
  <c r="BJ283" i="76"/>
  <c r="BK283" i="76"/>
  <c r="BM283" i="76"/>
  <c r="A284" i="76"/>
  <c r="B284" i="76"/>
  <c r="D284" i="76"/>
  <c r="G284" i="76"/>
  <c r="H284" i="76"/>
  <c r="J284" i="76"/>
  <c r="E284" i="76" s="1"/>
  <c r="K284" i="76"/>
  <c r="L284" i="76"/>
  <c r="P284" i="76"/>
  <c r="R284" i="76"/>
  <c r="U284" i="76"/>
  <c r="V284" i="76"/>
  <c r="AE284" i="76"/>
  <c r="AJ284" i="76"/>
  <c r="AK284" i="76"/>
  <c r="AL284" i="76"/>
  <c r="AM284" i="76"/>
  <c r="AN284" i="76"/>
  <c r="AO284" i="76"/>
  <c r="AP284" i="76"/>
  <c r="AQ284" i="76"/>
  <c r="AR284" i="76"/>
  <c r="AS284" i="76"/>
  <c r="AT284" i="76"/>
  <c r="AU284" i="76"/>
  <c r="AV284" i="76"/>
  <c r="AW284" i="76"/>
  <c r="AX284" i="76"/>
  <c r="AY284" i="76"/>
  <c r="AZ284" i="76"/>
  <c r="BA284" i="76"/>
  <c r="BB284" i="76"/>
  <c r="BC284" i="76"/>
  <c r="BD284" i="76"/>
  <c r="BE284" i="76"/>
  <c r="BF284" i="76"/>
  <c r="BG284" i="76"/>
  <c r="BH284" i="76"/>
  <c r="BI284" i="76"/>
  <c r="BJ284" i="76"/>
  <c r="BK284" i="76"/>
  <c r="BM284" i="76"/>
  <c r="A285" i="76"/>
  <c r="B285" i="76"/>
  <c r="D285" i="76"/>
  <c r="G285" i="76"/>
  <c r="H285" i="76"/>
  <c r="J285" i="76"/>
  <c r="F285" i="76" s="1"/>
  <c r="K285" i="76"/>
  <c r="L285" i="76"/>
  <c r="P285" i="76"/>
  <c r="R285" i="76"/>
  <c r="U285" i="76"/>
  <c r="V285" i="76"/>
  <c r="AE285" i="76"/>
  <c r="AJ285" i="76"/>
  <c r="AK285" i="76"/>
  <c r="AL285" i="76"/>
  <c r="AM285" i="76"/>
  <c r="AN285" i="76"/>
  <c r="AO285" i="76"/>
  <c r="AP285" i="76"/>
  <c r="AQ285" i="76"/>
  <c r="AR285" i="76"/>
  <c r="AS285" i="76"/>
  <c r="AT285" i="76"/>
  <c r="AU285" i="76"/>
  <c r="AV285" i="76"/>
  <c r="AW285" i="76"/>
  <c r="AX285" i="76"/>
  <c r="AY285" i="76"/>
  <c r="AZ285" i="76"/>
  <c r="BA285" i="76"/>
  <c r="BB285" i="76"/>
  <c r="BC285" i="76"/>
  <c r="BD285" i="76"/>
  <c r="BE285" i="76"/>
  <c r="BF285" i="76"/>
  <c r="BG285" i="76"/>
  <c r="BH285" i="76"/>
  <c r="BI285" i="76"/>
  <c r="BJ285" i="76"/>
  <c r="BK285" i="76"/>
  <c r="BM285" i="76"/>
  <c r="A286" i="76"/>
  <c r="B286" i="76"/>
  <c r="D286" i="76"/>
  <c r="G286" i="76"/>
  <c r="H286" i="76"/>
  <c r="J286" i="76"/>
  <c r="K286" i="76"/>
  <c r="L286" i="76"/>
  <c r="P286" i="76"/>
  <c r="R286" i="76"/>
  <c r="U286" i="76"/>
  <c r="V286" i="76"/>
  <c r="AE286" i="76"/>
  <c r="AJ286" i="76"/>
  <c r="AK286" i="76"/>
  <c r="AL286" i="76"/>
  <c r="AM286" i="76"/>
  <c r="AN286" i="76"/>
  <c r="AO286" i="76"/>
  <c r="AP286" i="76"/>
  <c r="AQ286" i="76"/>
  <c r="AR286" i="76"/>
  <c r="AS286" i="76"/>
  <c r="AT286" i="76"/>
  <c r="AU286" i="76"/>
  <c r="AV286" i="76"/>
  <c r="AW286" i="76"/>
  <c r="AX286" i="76"/>
  <c r="AY286" i="76"/>
  <c r="AZ286" i="76"/>
  <c r="BA286" i="76"/>
  <c r="BB286" i="76"/>
  <c r="BC286" i="76"/>
  <c r="BD286" i="76"/>
  <c r="BE286" i="76"/>
  <c r="BF286" i="76"/>
  <c r="BG286" i="76"/>
  <c r="BH286" i="76"/>
  <c r="BI286" i="76"/>
  <c r="BJ286" i="76"/>
  <c r="BK286" i="76"/>
  <c r="BM286" i="76"/>
  <c r="A287" i="76"/>
  <c r="B287" i="76"/>
  <c r="D287" i="76"/>
  <c r="G287" i="76"/>
  <c r="H287" i="76"/>
  <c r="J287" i="76"/>
  <c r="E287" i="76" s="1"/>
  <c r="K287" i="76"/>
  <c r="L287" i="76"/>
  <c r="P287" i="76"/>
  <c r="R287" i="76"/>
  <c r="U287" i="76"/>
  <c r="V287" i="76"/>
  <c r="AE287" i="76"/>
  <c r="AJ287" i="76"/>
  <c r="AK287" i="76"/>
  <c r="AL287" i="76"/>
  <c r="AM287" i="76"/>
  <c r="AN287" i="76"/>
  <c r="AO287" i="76"/>
  <c r="AP287" i="76"/>
  <c r="AQ287" i="76"/>
  <c r="AR287" i="76"/>
  <c r="AS287" i="76"/>
  <c r="AT287" i="76"/>
  <c r="AU287" i="76"/>
  <c r="AV287" i="76"/>
  <c r="AW287" i="76"/>
  <c r="AX287" i="76"/>
  <c r="AY287" i="76"/>
  <c r="AZ287" i="76"/>
  <c r="BA287" i="76"/>
  <c r="BB287" i="76"/>
  <c r="BC287" i="76"/>
  <c r="BD287" i="76"/>
  <c r="BE287" i="76"/>
  <c r="BF287" i="76"/>
  <c r="BG287" i="76"/>
  <c r="BH287" i="76"/>
  <c r="BI287" i="76"/>
  <c r="BJ287" i="76"/>
  <c r="BK287" i="76"/>
  <c r="BM287" i="76"/>
  <c r="A288" i="76"/>
  <c r="B288" i="76"/>
  <c r="D288" i="76"/>
  <c r="G288" i="76"/>
  <c r="H288" i="76"/>
  <c r="J288" i="76"/>
  <c r="K288" i="76"/>
  <c r="L288" i="76"/>
  <c r="P288" i="76"/>
  <c r="R288" i="76"/>
  <c r="U288" i="76"/>
  <c r="V288" i="76"/>
  <c r="AE288" i="76"/>
  <c r="AJ288" i="76"/>
  <c r="AK288" i="76"/>
  <c r="AL288" i="76"/>
  <c r="AM288" i="76"/>
  <c r="AN288" i="76"/>
  <c r="AO288" i="76"/>
  <c r="AP288" i="76"/>
  <c r="AQ288" i="76"/>
  <c r="AR288" i="76"/>
  <c r="AS288" i="76"/>
  <c r="AT288" i="76"/>
  <c r="AU288" i="76"/>
  <c r="AV288" i="76"/>
  <c r="AW288" i="76"/>
  <c r="AX288" i="76"/>
  <c r="AY288" i="76"/>
  <c r="AZ288" i="76"/>
  <c r="BA288" i="76"/>
  <c r="BB288" i="76"/>
  <c r="BC288" i="76"/>
  <c r="BD288" i="76"/>
  <c r="BE288" i="76"/>
  <c r="BF288" i="76"/>
  <c r="BG288" i="76"/>
  <c r="BH288" i="76"/>
  <c r="BI288" i="76"/>
  <c r="BJ288" i="76"/>
  <c r="BK288" i="76"/>
  <c r="BM288" i="76"/>
  <c r="A289" i="76"/>
  <c r="B289" i="76"/>
  <c r="D289" i="76"/>
  <c r="G289" i="76"/>
  <c r="H289" i="76"/>
  <c r="J289" i="76"/>
  <c r="F289" i="76" s="1"/>
  <c r="K289" i="76"/>
  <c r="L289" i="76"/>
  <c r="P289" i="76"/>
  <c r="R289" i="76"/>
  <c r="U289" i="76"/>
  <c r="V289" i="76"/>
  <c r="AE289" i="76"/>
  <c r="AJ289" i="76"/>
  <c r="AK289" i="76"/>
  <c r="AL289" i="76"/>
  <c r="AM289" i="76"/>
  <c r="AN289" i="76"/>
  <c r="AO289" i="76"/>
  <c r="AP289" i="76"/>
  <c r="AQ289" i="76"/>
  <c r="AR289" i="76"/>
  <c r="AS289" i="76"/>
  <c r="AT289" i="76"/>
  <c r="AU289" i="76"/>
  <c r="AV289" i="76"/>
  <c r="AW289" i="76"/>
  <c r="AX289" i="76"/>
  <c r="AY289" i="76"/>
  <c r="AZ289" i="76"/>
  <c r="BA289" i="76"/>
  <c r="BB289" i="76"/>
  <c r="BC289" i="76"/>
  <c r="BD289" i="76"/>
  <c r="BE289" i="76"/>
  <c r="BF289" i="76"/>
  <c r="BG289" i="76"/>
  <c r="BH289" i="76"/>
  <c r="BI289" i="76"/>
  <c r="BJ289" i="76"/>
  <c r="BK289" i="76"/>
  <c r="BM289" i="76"/>
  <c r="A290" i="76"/>
  <c r="B290" i="76"/>
  <c r="D290" i="76"/>
  <c r="G290" i="76"/>
  <c r="H290" i="76"/>
  <c r="J290" i="76"/>
  <c r="E290" i="76" s="1"/>
  <c r="K290" i="76"/>
  <c r="L290" i="76"/>
  <c r="P290" i="76"/>
  <c r="R290" i="76"/>
  <c r="U290" i="76"/>
  <c r="V290" i="76"/>
  <c r="AE290" i="76"/>
  <c r="AJ290" i="76"/>
  <c r="AK290" i="76"/>
  <c r="AL290" i="76"/>
  <c r="AM290" i="76"/>
  <c r="AN290" i="76"/>
  <c r="AO290" i="76"/>
  <c r="AP290" i="76"/>
  <c r="AQ290" i="76"/>
  <c r="AR290" i="76"/>
  <c r="AS290" i="76"/>
  <c r="AT290" i="76"/>
  <c r="AU290" i="76"/>
  <c r="AV290" i="76"/>
  <c r="AW290" i="76"/>
  <c r="AX290" i="76"/>
  <c r="AY290" i="76"/>
  <c r="AZ290" i="76"/>
  <c r="BA290" i="76"/>
  <c r="BB290" i="76"/>
  <c r="BC290" i="76"/>
  <c r="BD290" i="76"/>
  <c r="BE290" i="76"/>
  <c r="BF290" i="76"/>
  <c r="BG290" i="76"/>
  <c r="BH290" i="76"/>
  <c r="BI290" i="76"/>
  <c r="BJ290" i="76"/>
  <c r="BK290" i="76"/>
  <c r="BM290" i="76"/>
  <c r="A291" i="76"/>
  <c r="B291" i="76"/>
  <c r="D291" i="76"/>
  <c r="G291" i="76"/>
  <c r="H291" i="76"/>
  <c r="J291" i="76"/>
  <c r="K291" i="76"/>
  <c r="L291" i="76"/>
  <c r="P291" i="76"/>
  <c r="R291" i="76"/>
  <c r="U291" i="76"/>
  <c r="V291" i="76"/>
  <c r="AE291" i="76"/>
  <c r="AJ291" i="76"/>
  <c r="AK291" i="76"/>
  <c r="AL291" i="76"/>
  <c r="AM291" i="76"/>
  <c r="AN291" i="76"/>
  <c r="AO291" i="76"/>
  <c r="AP291" i="76"/>
  <c r="AQ291" i="76"/>
  <c r="AR291" i="76"/>
  <c r="AS291" i="76"/>
  <c r="AT291" i="76"/>
  <c r="AU291" i="76"/>
  <c r="AV291" i="76"/>
  <c r="AW291" i="76"/>
  <c r="AX291" i="76"/>
  <c r="AY291" i="76"/>
  <c r="AZ291" i="76"/>
  <c r="BA291" i="76"/>
  <c r="BB291" i="76"/>
  <c r="BC291" i="76"/>
  <c r="BD291" i="76"/>
  <c r="BE291" i="76"/>
  <c r="BF291" i="76"/>
  <c r="BG291" i="76"/>
  <c r="BH291" i="76"/>
  <c r="BI291" i="76"/>
  <c r="BJ291" i="76"/>
  <c r="BK291" i="76"/>
  <c r="BM291" i="76"/>
  <c r="A292" i="76"/>
  <c r="B292" i="76"/>
  <c r="D292" i="76"/>
  <c r="G292" i="76"/>
  <c r="H292" i="76"/>
  <c r="J292" i="76"/>
  <c r="F292" i="76" s="1"/>
  <c r="K292" i="76"/>
  <c r="L292" i="76"/>
  <c r="P292" i="76"/>
  <c r="R292" i="76"/>
  <c r="U292" i="76"/>
  <c r="V292" i="76"/>
  <c r="AE292" i="76"/>
  <c r="AJ292" i="76"/>
  <c r="AK292" i="76"/>
  <c r="AL292" i="76"/>
  <c r="AM292" i="76"/>
  <c r="AN292" i="76"/>
  <c r="AO292" i="76"/>
  <c r="AP292" i="76"/>
  <c r="AQ292" i="76"/>
  <c r="AR292" i="76"/>
  <c r="AS292" i="76"/>
  <c r="AT292" i="76"/>
  <c r="AU292" i="76"/>
  <c r="AV292" i="76"/>
  <c r="AW292" i="76"/>
  <c r="AX292" i="76"/>
  <c r="AY292" i="76"/>
  <c r="AZ292" i="76"/>
  <c r="BA292" i="76"/>
  <c r="BB292" i="76"/>
  <c r="BC292" i="76"/>
  <c r="BD292" i="76"/>
  <c r="BE292" i="76"/>
  <c r="BF292" i="76"/>
  <c r="BG292" i="76"/>
  <c r="BH292" i="76"/>
  <c r="BI292" i="76"/>
  <c r="BJ292" i="76"/>
  <c r="BK292" i="76"/>
  <c r="BM292" i="76"/>
  <c r="A293" i="76"/>
  <c r="B293" i="76"/>
  <c r="D293" i="76"/>
  <c r="G293" i="76"/>
  <c r="H293" i="76"/>
  <c r="J293" i="76"/>
  <c r="K293" i="76"/>
  <c r="L293" i="76"/>
  <c r="P293" i="76"/>
  <c r="R293" i="76"/>
  <c r="U293" i="76"/>
  <c r="V293" i="76"/>
  <c r="AE293" i="76"/>
  <c r="AJ293" i="76"/>
  <c r="AK293" i="76"/>
  <c r="AL293" i="76"/>
  <c r="AM293" i="76"/>
  <c r="AN293" i="76"/>
  <c r="AO293" i="76"/>
  <c r="AP293" i="76"/>
  <c r="AQ293" i="76"/>
  <c r="AR293" i="76"/>
  <c r="AS293" i="76"/>
  <c r="AT293" i="76"/>
  <c r="AU293" i="76"/>
  <c r="AV293" i="76"/>
  <c r="AW293" i="76"/>
  <c r="AX293" i="76"/>
  <c r="AY293" i="76"/>
  <c r="AZ293" i="76"/>
  <c r="BA293" i="76"/>
  <c r="BB293" i="76"/>
  <c r="BC293" i="76"/>
  <c r="BD293" i="76"/>
  <c r="BE293" i="76"/>
  <c r="BF293" i="76"/>
  <c r="BG293" i="76"/>
  <c r="BH293" i="76"/>
  <c r="BI293" i="76"/>
  <c r="BJ293" i="76"/>
  <c r="BK293" i="76"/>
  <c r="BM293" i="76"/>
  <c r="A294" i="76"/>
  <c r="B294" i="76"/>
  <c r="D294" i="76"/>
  <c r="G294" i="76"/>
  <c r="H294" i="76"/>
  <c r="J294" i="76"/>
  <c r="K294" i="76"/>
  <c r="L294" i="76"/>
  <c r="P294" i="76"/>
  <c r="R294" i="76"/>
  <c r="U294" i="76"/>
  <c r="V294" i="76"/>
  <c r="AE294" i="76"/>
  <c r="AJ294" i="76"/>
  <c r="AK294" i="76"/>
  <c r="AL294" i="76"/>
  <c r="AM294" i="76"/>
  <c r="AN294" i="76"/>
  <c r="AO294" i="76"/>
  <c r="AP294" i="76"/>
  <c r="AQ294" i="76"/>
  <c r="AR294" i="76"/>
  <c r="AS294" i="76"/>
  <c r="AT294" i="76"/>
  <c r="AU294" i="76"/>
  <c r="AV294" i="76"/>
  <c r="AW294" i="76"/>
  <c r="AX294" i="76"/>
  <c r="AY294" i="76"/>
  <c r="AZ294" i="76"/>
  <c r="BA294" i="76"/>
  <c r="BB294" i="76"/>
  <c r="BC294" i="76"/>
  <c r="BD294" i="76"/>
  <c r="BE294" i="76"/>
  <c r="BF294" i="76"/>
  <c r="BG294" i="76"/>
  <c r="BH294" i="76"/>
  <c r="BI294" i="76"/>
  <c r="BJ294" i="76"/>
  <c r="BK294" i="76"/>
  <c r="BM294" i="76"/>
  <c r="A295" i="76"/>
  <c r="B295" i="76"/>
  <c r="D295" i="76"/>
  <c r="G295" i="76"/>
  <c r="H295" i="76"/>
  <c r="J295" i="76"/>
  <c r="K295" i="76"/>
  <c r="L295" i="76"/>
  <c r="P295" i="76"/>
  <c r="R295" i="76"/>
  <c r="U295" i="76"/>
  <c r="V295" i="76"/>
  <c r="AE295" i="76"/>
  <c r="AJ295" i="76"/>
  <c r="AK295" i="76"/>
  <c r="AL295" i="76"/>
  <c r="AM295" i="76"/>
  <c r="AN295" i="76"/>
  <c r="AO295" i="76"/>
  <c r="AP295" i="76"/>
  <c r="AQ295" i="76"/>
  <c r="AR295" i="76"/>
  <c r="AS295" i="76"/>
  <c r="AT295" i="76"/>
  <c r="AU295" i="76"/>
  <c r="AV295" i="76"/>
  <c r="AW295" i="76"/>
  <c r="AX295" i="76"/>
  <c r="AY295" i="76"/>
  <c r="AZ295" i="76"/>
  <c r="BA295" i="76"/>
  <c r="BB295" i="76"/>
  <c r="BC295" i="76"/>
  <c r="BD295" i="76"/>
  <c r="BE295" i="76"/>
  <c r="BF295" i="76"/>
  <c r="BG295" i="76"/>
  <c r="BH295" i="76"/>
  <c r="BI295" i="76"/>
  <c r="BJ295" i="76"/>
  <c r="BK295" i="76"/>
  <c r="BM295" i="76"/>
  <c r="A296" i="76"/>
  <c r="B296" i="76"/>
  <c r="D296" i="76"/>
  <c r="G296" i="76"/>
  <c r="H296" i="76"/>
  <c r="J296" i="76"/>
  <c r="E296" i="76" s="1"/>
  <c r="K296" i="76"/>
  <c r="L296" i="76"/>
  <c r="P296" i="76"/>
  <c r="R296" i="76"/>
  <c r="U296" i="76"/>
  <c r="V296" i="76"/>
  <c r="AE296" i="76"/>
  <c r="AJ296" i="76"/>
  <c r="AK296" i="76"/>
  <c r="AL296" i="76"/>
  <c r="AM296" i="76"/>
  <c r="AN296" i="76"/>
  <c r="AO296" i="76"/>
  <c r="AP296" i="76"/>
  <c r="AQ296" i="76"/>
  <c r="AR296" i="76"/>
  <c r="AS296" i="76"/>
  <c r="AT296" i="76"/>
  <c r="AU296" i="76"/>
  <c r="AV296" i="76"/>
  <c r="AW296" i="76"/>
  <c r="AX296" i="76"/>
  <c r="AY296" i="76"/>
  <c r="AZ296" i="76"/>
  <c r="BA296" i="76"/>
  <c r="BB296" i="76"/>
  <c r="BC296" i="76"/>
  <c r="BD296" i="76"/>
  <c r="BE296" i="76"/>
  <c r="BF296" i="76"/>
  <c r="BG296" i="76"/>
  <c r="BH296" i="76"/>
  <c r="BI296" i="76"/>
  <c r="BJ296" i="76"/>
  <c r="BK296" i="76"/>
  <c r="BM296" i="76"/>
  <c r="A297" i="76"/>
  <c r="B297" i="76"/>
  <c r="D297" i="76"/>
  <c r="G297" i="76"/>
  <c r="H297" i="76"/>
  <c r="J297" i="76"/>
  <c r="F297" i="76" s="1"/>
  <c r="K297" i="76"/>
  <c r="L297" i="76"/>
  <c r="P297" i="76"/>
  <c r="R297" i="76"/>
  <c r="U297" i="76"/>
  <c r="V297" i="76"/>
  <c r="AE297" i="76"/>
  <c r="AJ297" i="76"/>
  <c r="AK297" i="76"/>
  <c r="AL297" i="76"/>
  <c r="AM297" i="76"/>
  <c r="AN297" i="76"/>
  <c r="AO297" i="76"/>
  <c r="AP297" i="76"/>
  <c r="AQ297" i="76"/>
  <c r="AR297" i="76"/>
  <c r="AS297" i="76"/>
  <c r="AT297" i="76"/>
  <c r="AU297" i="76"/>
  <c r="AV297" i="76"/>
  <c r="AW297" i="76"/>
  <c r="AX297" i="76"/>
  <c r="AY297" i="76"/>
  <c r="AZ297" i="76"/>
  <c r="BA297" i="76"/>
  <c r="BB297" i="76"/>
  <c r="BC297" i="76"/>
  <c r="BD297" i="76"/>
  <c r="BE297" i="76"/>
  <c r="BF297" i="76"/>
  <c r="BG297" i="76"/>
  <c r="BH297" i="76"/>
  <c r="BI297" i="76"/>
  <c r="BJ297" i="76"/>
  <c r="BK297" i="76"/>
  <c r="BM297" i="76"/>
  <c r="A298" i="76"/>
  <c r="B298" i="76"/>
  <c r="D298" i="76"/>
  <c r="G298" i="76"/>
  <c r="H298" i="76"/>
  <c r="J298" i="76"/>
  <c r="F298" i="76" s="1"/>
  <c r="K298" i="76"/>
  <c r="L298" i="76"/>
  <c r="P298" i="76"/>
  <c r="R298" i="76"/>
  <c r="U298" i="76"/>
  <c r="V298" i="76"/>
  <c r="AE298" i="76"/>
  <c r="AJ298" i="76"/>
  <c r="AK298" i="76"/>
  <c r="AL298" i="76"/>
  <c r="AM298" i="76"/>
  <c r="AN298" i="76"/>
  <c r="AO298" i="76"/>
  <c r="AP298" i="76"/>
  <c r="AQ298" i="76"/>
  <c r="AR298" i="76"/>
  <c r="AS298" i="76"/>
  <c r="AT298" i="76"/>
  <c r="AU298" i="76"/>
  <c r="AV298" i="76"/>
  <c r="AW298" i="76"/>
  <c r="AX298" i="76"/>
  <c r="AY298" i="76"/>
  <c r="AZ298" i="76"/>
  <c r="BA298" i="76"/>
  <c r="BB298" i="76"/>
  <c r="BC298" i="76"/>
  <c r="BD298" i="76"/>
  <c r="BE298" i="76"/>
  <c r="BF298" i="76"/>
  <c r="BG298" i="76"/>
  <c r="BH298" i="76"/>
  <c r="BI298" i="76"/>
  <c r="BJ298" i="76"/>
  <c r="BK298" i="76"/>
  <c r="BM298" i="76"/>
  <c r="A299" i="76"/>
  <c r="B299" i="76"/>
  <c r="D299" i="76"/>
  <c r="G299" i="76"/>
  <c r="H299" i="76"/>
  <c r="J299" i="76"/>
  <c r="K299" i="76"/>
  <c r="L299" i="76"/>
  <c r="P299" i="76"/>
  <c r="R299" i="76"/>
  <c r="U299" i="76"/>
  <c r="V299" i="76"/>
  <c r="AE299" i="76"/>
  <c r="AJ299" i="76"/>
  <c r="AK299" i="76"/>
  <c r="AL299" i="76"/>
  <c r="AM299" i="76"/>
  <c r="AN299" i="76"/>
  <c r="AO299" i="76"/>
  <c r="AP299" i="76"/>
  <c r="AQ299" i="76"/>
  <c r="AR299" i="76"/>
  <c r="AS299" i="76"/>
  <c r="AT299" i="76"/>
  <c r="AU299" i="76"/>
  <c r="AV299" i="76"/>
  <c r="AW299" i="76"/>
  <c r="AX299" i="76"/>
  <c r="AY299" i="76"/>
  <c r="AZ299" i="76"/>
  <c r="BA299" i="76"/>
  <c r="BB299" i="76"/>
  <c r="BC299" i="76"/>
  <c r="BD299" i="76"/>
  <c r="BE299" i="76"/>
  <c r="BF299" i="76"/>
  <c r="BG299" i="76"/>
  <c r="BH299" i="76"/>
  <c r="BI299" i="76"/>
  <c r="BJ299" i="76"/>
  <c r="BK299" i="76"/>
  <c r="BM299" i="76"/>
  <c r="A300" i="76"/>
  <c r="B300" i="76"/>
  <c r="D300" i="76"/>
  <c r="G300" i="76"/>
  <c r="H300" i="76"/>
  <c r="J300" i="76"/>
  <c r="F300" i="76" s="1"/>
  <c r="K300" i="76"/>
  <c r="L300" i="76"/>
  <c r="P300" i="76"/>
  <c r="R300" i="76"/>
  <c r="U300" i="76"/>
  <c r="V300" i="76"/>
  <c r="AE300" i="76"/>
  <c r="AJ300" i="76"/>
  <c r="AK300" i="76"/>
  <c r="AL300" i="76"/>
  <c r="AM300" i="76"/>
  <c r="AN300" i="76"/>
  <c r="AO300" i="76"/>
  <c r="AP300" i="76"/>
  <c r="AQ300" i="76"/>
  <c r="AR300" i="76"/>
  <c r="AS300" i="76"/>
  <c r="AT300" i="76"/>
  <c r="AU300" i="76"/>
  <c r="AV300" i="76"/>
  <c r="AW300" i="76"/>
  <c r="AX300" i="76"/>
  <c r="AY300" i="76"/>
  <c r="AZ300" i="76"/>
  <c r="BA300" i="76"/>
  <c r="BB300" i="76"/>
  <c r="BC300" i="76"/>
  <c r="BD300" i="76"/>
  <c r="BE300" i="76"/>
  <c r="BF300" i="76"/>
  <c r="BG300" i="76"/>
  <c r="BH300" i="76"/>
  <c r="BI300" i="76"/>
  <c r="BJ300" i="76"/>
  <c r="BK300" i="76"/>
  <c r="BM300" i="76"/>
  <c r="A301" i="76"/>
  <c r="B301" i="76"/>
  <c r="D301" i="76"/>
  <c r="G301" i="76"/>
  <c r="H301" i="76"/>
  <c r="J301" i="76"/>
  <c r="F301" i="76" s="1"/>
  <c r="K301" i="76"/>
  <c r="L301" i="76"/>
  <c r="P301" i="76"/>
  <c r="R301" i="76"/>
  <c r="U301" i="76"/>
  <c r="V301" i="76"/>
  <c r="AE301" i="76"/>
  <c r="AJ301" i="76"/>
  <c r="AK301" i="76"/>
  <c r="AL301" i="76"/>
  <c r="AM301" i="76"/>
  <c r="AN301" i="76"/>
  <c r="AO301" i="76"/>
  <c r="AP301" i="76"/>
  <c r="AQ301" i="76"/>
  <c r="AR301" i="76"/>
  <c r="AS301" i="76"/>
  <c r="AT301" i="76"/>
  <c r="AU301" i="76"/>
  <c r="AV301" i="76"/>
  <c r="AW301" i="76"/>
  <c r="AX301" i="76"/>
  <c r="AY301" i="76"/>
  <c r="AZ301" i="76"/>
  <c r="BA301" i="76"/>
  <c r="BB301" i="76"/>
  <c r="BC301" i="76"/>
  <c r="BD301" i="76"/>
  <c r="BE301" i="76"/>
  <c r="BF301" i="76"/>
  <c r="BG301" i="76"/>
  <c r="BH301" i="76"/>
  <c r="BI301" i="76"/>
  <c r="BJ301" i="76"/>
  <c r="BK301" i="76"/>
  <c r="BM301" i="76"/>
  <c r="A302" i="76"/>
  <c r="B302" i="76"/>
  <c r="D302" i="76"/>
  <c r="G302" i="76"/>
  <c r="H302" i="76"/>
  <c r="J302" i="76"/>
  <c r="K302" i="76"/>
  <c r="L302" i="76"/>
  <c r="P302" i="76"/>
  <c r="R302" i="76"/>
  <c r="U302" i="76"/>
  <c r="V302" i="76"/>
  <c r="AE302" i="76"/>
  <c r="AJ302" i="76"/>
  <c r="AK302" i="76"/>
  <c r="AL302" i="76"/>
  <c r="AM302" i="76"/>
  <c r="AN302" i="76"/>
  <c r="AO302" i="76"/>
  <c r="AP302" i="76"/>
  <c r="AQ302" i="76"/>
  <c r="AR302" i="76"/>
  <c r="AS302" i="76"/>
  <c r="AT302" i="76"/>
  <c r="AU302" i="76"/>
  <c r="AV302" i="76"/>
  <c r="AW302" i="76"/>
  <c r="AX302" i="76"/>
  <c r="AY302" i="76"/>
  <c r="AZ302" i="76"/>
  <c r="BA302" i="76"/>
  <c r="BB302" i="76"/>
  <c r="BC302" i="76"/>
  <c r="BD302" i="76"/>
  <c r="BE302" i="76"/>
  <c r="BF302" i="76"/>
  <c r="BG302" i="76"/>
  <c r="BH302" i="76"/>
  <c r="BI302" i="76"/>
  <c r="BJ302" i="76"/>
  <c r="BK302" i="76"/>
  <c r="BM302" i="76"/>
  <c r="A303" i="76"/>
  <c r="B303" i="76"/>
  <c r="D303" i="76"/>
  <c r="G303" i="76"/>
  <c r="H303" i="76"/>
  <c r="J303" i="76"/>
  <c r="F303" i="76" s="1"/>
  <c r="K303" i="76"/>
  <c r="L303" i="76"/>
  <c r="P303" i="76"/>
  <c r="R303" i="76"/>
  <c r="U303" i="76"/>
  <c r="V303" i="76"/>
  <c r="AE303" i="76"/>
  <c r="AJ303" i="76"/>
  <c r="AK303" i="76"/>
  <c r="AL303" i="76"/>
  <c r="AM303" i="76"/>
  <c r="AN303" i="76"/>
  <c r="AO303" i="76"/>
  <c r="AP303" i="76"/>
  <c r="AQ303" i="76"/>
  <c r="AR303" i="76"/>
  <c r="AS303" i="76"/>
  <c r="AT303" i="76"/>
  <c r="AU303" i="76"/>
  <c r="AV303" i="76"/>
  <c r="AW303" i="76"/>
  <c r="AX303" i="76"/>
  <c r="AY303" i="76"/>
  <c r="AZ303" i="76"/>
  <c r="BA303" i="76"/>
  <c r="BB303" i="76"/>
  <c r="BC303" i="76"/>
  <c r="BD303" i="76"/>
  <c r="BE303" i="76"/>
  <c r="BF303" i="76"/>
  <c r="BG303" i="76"/>
  <c r="BH303" i="76"/>
  <c r="BI303" i="76"/>
  <c r="BJ303" i="76"/>
  <c r="BK303" i="76"/>
  <c r="BM303" i="76"/>
  <c r="A304" i="76"/>
  <c r="B304" i="76"/>
  <c r="D304" i="76"/>
  <c r="G304" i="76"/>
  <c r="H304" i="76"/>
  <c r="J304" i="76"/>
  <c r="K304" i="76"/>
  <c r="L304" i="76"/>
  <c r="P304" i="76"/>
  <c r="R304" i="76"/>
  <c r="U304" i="76"/>
  <c r="V304" i="76"/>
  <c r="AE304" i="76"/>
  <c r="AJ304" i="76"/>
  <c r="AK304" i="76"/>
  <c r="AL304" i="76"/>
  <c r="AM304" i="76"/>
  <c r="AN304" i="76"/>
  <c r="AO304" i="76"/>
  <c r="AP304" i="76"/>
  <c r="AQ304" i="76"/>
  <c r="AR304" i="76"/>
  <c r="AS304" i="76"/>
  <c r="AT304" i="76"/>
  <c r="AU304" i="76"/>
  <c r="AV304" i="76"/>
  <c r="AW304" i="76"/>
  <c r="AX304" i="76"/>
  <c r="AY304" i="76"/>
  <c r="AZ304" i="76"/>
  <c r="BA304" i="76"/>
  <c r="BB304" i="76"/>
  <c r="BC304" i="76"/>
  <c r="BD304" i="76"/>
  <c r="BE304" i="76"/>
  <c r="BF304" i="76"/>
  <c r="BG304" i="76"/>
  <c r="BH304" i="76"/>
  <c r="BI304" i="76"/>
  <c r="BJ304" i="76"/>
  <c r="BK304" i="76"/>
  <c r="BM304" i="76"/>
  <c r="A305" i="76"/>
  <c r="B305" i="76"/>
  <c r="D305" i="76"/>
  <c r="G305" i="76"/>
  <c r="H305" i="76"/>
  <c r="J305" i="76"/>
  <c r="E305" i="76" s="1"/>
  <c r="K305" i="76"/>
  <c r="L305" i="76"/>
  <c r="P305" i="76"/>
  <c r="R305" i="76"/>
  <c r="U305" i="76"/>
  <c r="V305" i="76"/>
  <c r="AE305" i="76"/>
  <c r="AJ305" i="76"/>
  <c r="AK305" i="76"/>
  <c r="AL305" i="76"/>
  <c r="AM305" i="76"/>
  <c r="AN305" i="76"/>
  <c r="AO305" i="76"/>
  <c r="AP305" i="76"/>
  <c r="AQ305" i="76"/>
  <c r="AR305" i="76"/>
  <c r="AS305" i="76"/>
  <c r="AT305" i="76"/>
  <c r="AU305" i="76"/>
  <c r="AV305" i="76"/>
  <c r="AW305" i="76"/>
  <c r="AX305" i="76"/>
  <c r="AY305" i="76"/>
  <c r="AZ305" i="76"/>
  <c r="BA305" i="76"/>
  <c r="BB305" i="76"/>
  <c r="BC305" i="76"/>
  <c r="BD305" i="76"/>
  <c r="BE305" i="76"/>
  <c r="BF305" i="76"/>
  <c r="BG305" i="76"/>
  <c r="BH305" i="76"/>
  <c r="BI305" i="76"/>
  <c r="BJ305" i="76"/>
  <c r="BK305" i="76"/>
  <c r="BM305" i="76"/>
  <c r="A306" i="76"/>
  <c r="B306" i="76"/>
  <c r="D306" i="76"/>
  <c r="G306" i="76"/>
  <c r="H306" i="76"/>
  <c r="J306" i="76"/>
  <c r="F306" i="76" s="1"/>
  <c r="K306" i="76"/>
  <c r="L306" i="76"/>
  <c r="P306" i="76"/>
  <c r="R306" i="76"/>
  <c r="U306" i="76"/>
  <c r="V306" i="76"/>
  <c r="AE306" i="76"/>
  <c r="AJ306" i="76"/>
  <c r="AK306" i="76"/>
  <c r="AL306" i="76"/>
  <c r="AM306" i="76"/>
  <c r="AN306" i="76"/>
  <c r="AO306" i="76"/>
  <c r="AP306" i="76"/>
  <c r="AQ306" i="76"/>
  <c r="AR306" i="76"/>
  <c r="AS306" i="76"/>
  <c r="AT306" i="76"/>
  <c r="AU306" i="76"/>
  <c r="AV306" i="76"/>
  <c r="AW306" i="76"/>
  <c r="AX306" i="76"/>
  <c r="AY306" i="76"/>
  <c r="AZ306" i="76"/>
  <c r="BA306" i="76"/>
  <c r="BB306" i="76"/>
  <c r="BC306" i="76"/>
  <c r="BD306" i="76"/>
  <c r="BE306" i="76"/>
  <c r="BF306" i="76"/>
  <c r="BG306" i="76"/>
  <c r="BH306" i="76"/>
  <c r="BI306" i="76"/>
  <c r="BJ306" i="76"/>
  <c r="BK306" i="76"/>
  <c r="BM306" i="76"/>
  <c r="A307" i="76"/>
  <c r="B307" i="76"/>
  <c r="D307" i="76"/>
  <c r="G307" i="76"/>
  <c r="H307" i="76"/>
  <c r="J307" i="76"/>
  <c r="F307" i="76" s="1"/>
  <c r="K307" i="76"/>
  <c r="L307" i="76"/>
  <c r="P307" i="76"/>
  <c r="R307" i="76"/>
  <c r="U307" i="76"/>
  <c r="V307" i="76"/>
  <c r="AE307" i="76"/>
  <c r="AJ307" i="76"/>
  <c r="AK307" i="76"/>
  <c r="AL307" i="76"/>
  <c r="AM307" i="76"/>
  <c r="AN307" i="76"/>
  <c r="AO307" i="76"/>
  <c r="AP307" i="76"/>
  <c r="AQ307" i="76"/>
  <c r="AR307" i="76"/>
  <c r="AS307" i="76"/>
  <c r="AT307" i="76"/>
  <c r="AU307" i="76"/>
  <c r="AV307" i="76"/>
  <c r="AW307" i="76"/>
  <c r="AX307" i="76"/>
  <c r="AY307" i="76"/>
  <c r="AZ307" i="76"/>
  <c r="BA307" i="76"/>
  <c r="BB307" i="76"/>
  <c r="BC307" i="76"/>
  <c r="BD307" i="76"/>
  <c r="BE307" i="76"/>
  <c r="BF307" i="76"/>
  <c r="BG307" i="76"/>
  <c r="BH307" i="76"/>
  <c r="BI307" i="76"/>
  <c r="BJ307" i="76"/>
  <c r="BK307" i="76"/>
  <c r="BM307" i="76"/>
  <c r="A308" i="76"/>
  <c r="B308" i="76"/>
  <c r="D308" i="76"/>
  <c r="G308" i="76"/>
  <c r="H308" i="76"/>
  <c r="J308" i="76"/>
  <c r="E308" i="76" s="1"/>
  <c r="K308" i="76"/>
  <c r="L308" i="76"/>
  <c r="P308" i="76"/>
  <c r="R308" i="76"/>
  <c r="U308" i="76"/>
  <c r="V308" i="76"/>
  <c r="AE308" i="76"/>
  <c r="AJ308" i="76"/>
  <c r="AK308" i="76"/>
  <c r="AL308" i="76"/>
  <c r="AM308" i="76"/>
  <c r="AN308" i="76"/>
  <c r="AO308" i="76"/>
  <c r="AP308" i="76"/>
  <c r="AQ308" i="76"/>
  <c r="AR308" i="76"/>
  <c r="AS308" i="76"/>
  <c r="AT308" i="76"/>
  <c r="AU308" i="76"/>
  <c r="AV308" i="76"/>
  <c r="AW308" i="76"/>
  <c r="AX308" i="76"/>
  <c r="AY308" i="76"/>
  <c r="AZ308" i="76"/>
  <c r="BA308" i="76"/>
  <c r="BB308" i="76"/>
  <c r="BC308" i="76"/>
  <c r="BD308" i="76"/>
  <c r="BE308" i="76"/>
  <c r="BF308" i="76"/>
  <c r="BG308" i="76"/>
  <c r="BH308" i="76"/>
  <c r="BI308" i="76"/>
  <c r="BJ308" i="76"/>
  <c r="BK308" i="76"/>
  <c r="BM308" i="76"/>
  <c r="A309" i="76"/>
  <c r="B309" i="76"/>
  <c r="D309" i="76"/>
  <c r="G309" i="76"/>
  <c r="H309" i="76"/>
  <c r="J309" i="76"/>
  <c r="K309" i="76"/>
  <c r="L309" i="76"/>
  <c r="P309" i="76"/>
  <c r="R309" i="76"/>
  <c r="U309" i="76"/>
  <c r="V309" i="76"/>
  <c r="AE309" i="76"/>
  <c r="AJ309" i="76"/>
  <c r="AK309" i="76"/>
  <c r="AL309" i="76"/>
  <c r="AM309" i="76"/>
  <c r="AN309" i="76"/>
  <c r="AO309" i="76"/>
  <c r="AP309" i="76"/>
  <c r="AQ309" i="76"/>
  <c r="AR309" i="76"/>
  <c r="AS309" i="76"/>
  <c r="AT309" i="76"/>
  <c r="AU309" i="76"/>
  <c r="AV309" i="76"/>
  <c r="AW309" i="76"/>
  <c r="AX309" i="76"/>
  <c r="AY309" i="76"/>
  <c r="AZ309" i="76"/>
  <c r="BA309" i="76"/>
  <c r="BB309" i="76"/>
  <c r="BC309" i="76"/>
  <c r="BD309" i="76"/>
  <c r="BE309" i="76"/>
  <c r="BF309" i="76"/>
  <c r="BG309" i="76"/>
  <c r="BH309" i="76"/>
  <c r="BI309" i="76"/>
  <c r="BJ309" i="76"/>
  <c r="BK309" i="76"/>
  <c r="BM309" i="76"/>
  <c r="A310" i="76"/>
  <c r="B310" i="76"/>
  <c r="D310" i="76"/>
  <c r="G310" i="76"/>
  <c r="H310" i="76"/>
  <c r="J310" i="76"/>
  <c r="F310" i="76" s="1"/>
  <c r="K310" i="76"/>
  <c r="L310" i="76"/>
  <c r="P310" i="76"/>
  <c r="R310" i="76"/>
  <c r="U310" i="76"/>
  <c r="V310" i="76"/>
  <c r="AE310" i="76"/>
  <c r="AJ310" i="76"/>
  <c r="AK310" i="76"/>
  <c r="AL310" i="76"/>
  <c r="AM310" i="76"/>
  <c r="AN310" i="76"/>
  <c r="AO310" i="76"/>
  <c r="AP310" i="76"/>
  <c r="AQ310" i="76"/>
  <c r="AR310" i="76"/>
  <c r="AS310" i="76"/>
  <c r="AT310" i="76"/>
  <c r="AU310" i="76"/>
  <c r="AV310" i="76"/>
  <c r="AW310" i="76"/>
  <c r="AX310" i="76"/>
  <c r="AY310" i="76"/>
  <c r="AZ310" i="76"/>
  <c r="BA310" i="76"/>
  <c r="BB310" i="76"/>
  <c r="BC310" i="76"/>
  <c r="BD310" i="76"/>
  <c r="BE310" i="76"/>
  <c r="BF310" i="76"/>
  <c r="BG310" i="76"/>
  <c r="BH310" i="76"/>
  <c r="BI310" i="76"/>
  <c r="BJ310" i="76"/>
  <c r="BK310" i="76"/>
  <c r="BM310" i="76"/>
  <c r="A311" i="76"/>
  <c r="B311" i="76"/>
  <c r="D311" i="76"/>
  <c r="G311" i="76"/>
  <c r="H311" i="76"/>
  <c r="J311" i="76"/>
  <c r="E311" i="76" s="1"/>
  <c r="K311" i="76"/>
  <c r="L311" i="76"/>
  <c r="P311" i="76"/>
  <c r="R311" i="76"/>
  <c r="U311" i="76"/>
  <c r="V311" i="76"/>
  <c r="AE311" i="76"/>
  <c r="AJ311" i="76"/>
  <c r="AK311" i="76"/>
  <c r="AL311" i="76"/>
  <c r="AM311" i="76"/>
  <c r="AN311" i="76"/>
  <c r="AO311" i="76"/>
  <c r="AP311" i="76"/>
  <c r="AQ311" i="76"/>
  <c r="AR311" i="76"/>
  <c r="AS311" i="76"/>
  <c r="AT311" i="76"/>
  <c r="AU311" i="76"/>
  <c r="AV311" i="76"/>
  <c r="AW311" i="76"/>
  <c r="AX311" i="76"/>
  <c r="AY311" i="76"/>
  <c r="AZ311" i="76"/>
  <c r="BA311" i="76"/>
  <c r="BB311" i="76"/>
  <c r="BC311" i="76"/>
  <c r="BD311" i="76"/>
  <c r="BE311" i="76"/>
  <c r="BF311" i="76"/>
  <c r="BG311" i="76"/>
  <c r="BH311" i="76"/>
  <c r="BI311" i="76"/>
  <c r="BJ311" i="76"/>
  <c r="BK311" i="76"/>
  <c r="BM311" i="76"/>
  <c r="A312" i="76"/>
  <c r="B312" i="76"/>
  <c r="D312" i="76"/>
  <c r="G312" i="76"/>
  <c r="H312" i="76"/>
  <c r="J312" i="76"/>
  <c r="K312" i="76"/>
  <c r="L312" i="76"/>
  <c r="P312" i="76"/>
  <c r="R312" i="76"/>
  <c r="U312" i="76"/>
  <c r="V312" i="76"/>
  <c r="AE312" i="76"/>
  <c r="AJ312" i="76"/>
  <c r="AK312" i="76"/>
  <c r="AL312" i="76"/>
  <c r="AM312" i="76"/>
  <c r="AN312" i="76"/>
  <c r="AO312" i="76"/>
  <c r="AP312" i="76"/>
  <c r="AQ312" i="76"/>
  <c r="AR312" i="76"/>
  <c r="AS312" i="76"/>
  <c r="AT312" i="76"/>
  <c r="AU312" i="76"/>
  <c r="AV312" i="76"/>
  <c r="AW312" i="76"/>
  <c r="AX312" i="76"/>
  <c r="AY312" i="76"/>
  <c r="AZ312" i="76"/>
  <c r="BA312" i="76"/>
  <c r="BB312" i="76"/>
  <c r="BC312" i="76"/>
  <c r="BD312" i="76"/>
  <c r="BE312" i="76"/>
  <c r="BF312" i="76"/>
  <c r="BG312" i="76"/>
  <c r="BH312" i="76"/>
  <c r="BI312" i="76"/>
  <c r="BJ312" i="76"/>
  <c r="BK312" i="76"/>
  <c r="BM312" i="76"/>
  <c r="A313" i="76"/>
  <c r="B313" i="76"/>
  <c r="D313" i="76"/>
  <c r="G313" i="76"/>
  <c r="H313" i="76"/>
  <c r="J313" i="76"/>
  <c r="F313" i="76" s="1"/>
  <c r="K313" i="76"/>
  <c r="L313" i="76"/>
  <c r="P313" i="76"/>
  <c r="R313" i="76"/>
  <c r="U313" i="76"/>
  <c r="V313" i="76"/>
  <c r="AE313" i="76"/>
  <c r="AJ313" i="76"/>
  <c r="AK313" i="76"/>
  <c r="AL313" i="76"/>
  <c r="AM313" i="76"/>
  <c r="AN313" i="76"/>
  <c r="AO313" i="76"/>
  <c r="AP313" i="76"/>
  <c r="AQ313" i="76"/>
  <c r="AR313" i="76"/>
  <c r="AS313" i="76"/>
  <c r="AT313" i="76"/>
  <c r="AU313" i="76"/>
  <c r="AV313" i="76"/>
  <c r="AW313" i="76"/>
  <c r="AX313" i="76"/>
  <c r="AY313" i="76"/>
  <c r="AZ313" i="76"/>
  <c r="BA313" i="76"/>
  <c r="BB313" i="76"/>
  <c r="BC313" i="76"/>
  <c r="BD313" i="76"/>
  <c r="BE313" i="76"/>
  <c r="BF313" i="76"/>
  <c r="BG313" i="76"/>
  <c r="BH313" i="76"/>
  <c r="BI313" i="76"/>
  <c r="BJ313" i="76"/>
  <c r="BK313" i="76"/>
  <c r="BM313" i="76"/>
  <c r="A314" i="76"/>
  <c r="B314" i="76"/>
  <c r="D314" i="76"/>
  <c r="G314" i="76"/>
  <c r="H314" i="76"/>
  <c r="J314" i="76"/>
  <c r="K314" i="76"/>
  <c r="L314" i="76"/>
  <c r="P314" i="76"/>
  <c r="R314" i="76"/>
  <c r="U314" i="76"/>
  <c r="V314" i="76"/>
  <c r="AE314" i="76"/>
  <c r="AJ314" i="76"/>
  <c r="AK314" i="76"/>
  <c r="AL314" i="76"/>
  <c r="AM314" i="76"/>
  <c r="AN314" i="76"/>
  <c r="AO314" i="76"/>
  <c r="AP314" i="76"/>
  <c r="AQ314" i="76"/>
  <c r="AR314" i="76"/>
  <c r="AS314" i="76"/>
  <c r="AT314" i="76"/>
  <c r="AU314" i="76"/>
  <c r="AV314" i="76"/>
  <c r="AW314" i="76"/>
  <c r="AX314" i="76"/>
  <c r="AY314" i="76"/>
  <c r="AZ314" i="76"/>
  <c r="BA314" i="76"/>
  <c r="BB314" i="76"/>
  <c r="BC314" i="76"/>
  <c r="BD314" i="76"/>
  <c r="BE314" i="76"/>
  <c r="BF314" i="76"/>
  <c r="BG314" i="76"/>
  <c r="BH314" i="76"/>
  <c r="BI314" i="76"/>
  <c r="BJ314" i="76"/>
  <c r="BK314" i="76"/>
  <c r="BM314" i="76"/>
  <c r="A315" i="76"/>
  <c r="B315" i="76"/>
  <c r="D315" i="76"/>
  <c r="G315" i="76"/>
  <c r="H315" i="76"/>
  <c r="J315" i="76"/>
  <c r="F315" i="76" s="1"/>
  <c r="K315" i="76"/>
  <c r="L315" i="76"/>
  <c r="P315" i="76"/>
  <c r="R315" i="76"/>
  <c r="U315" i="76"/>
  <c r="V315" i="76"/>
  <c r="AE315" i="76"/>
  <c r="AJ315" i="76"/>
  <c r="AK315" i="76"/>
  <c r="AL315" i="76"/>
  <c r="AM315" i="76"/>
  <c r="AN315" i="76"/>
  <c r="AO315" i="76"/>
  <c r="AP315" i="76"/>
  <c r="AQ315" i="76"/>
  <c r="AR315" i="76"/>
  <c r="AS315" i="76"/>
  <c r="AT315" i="76"/>
  <c r="AU315" i="76"/>
  <c r="AV315" i="76"/>
  <c r="AW315" i="76"/>
  <c r="AX315" i="76"/>
  <c r="AY315" i="76"/>
  <c r="AZ315" i="76"/>
  <c r="BA315" i="76"/>
  <c r="BB315" i="76"/>
  <c r="BC315" i="76"/>
  <c r="BD315" i="76"/>
  <c r="BE315" i="76"/>
  <c r="BF315" i="76"/>
  <c r="BG315" i="76"/>
  <c r="BH315" i="76"/>
  <c r="BI315" i="76"/>
  <c r="BJ315" i="76"/>
  <c r="BK315" i="76"/>
  <c r="BM315" i="76"/>
  <c r="A316" i="76"/>
  <c r="B316" i="76"/>
  <c r="D316" i="76"/>
  <c r="G316" i="76"/>
  <c r="H316" i="76"/>
  <c r="J316" i="76"/>
  <c r="F316" i="76" s="1"/>
  <c r="K316" i="76"/>
  <c r="L316" i="76"/>
  <c r="P316" i="76"/>
  <c r="R316" i="76"/>
  <c r="U316" i="76"/>
  <c r="V316" i="76"/>
  <c r="AE316" i="76"/>
  <c r="AJ316" i="76"/>
  <c r="AK316" i="76"/>
  <c r="AL316" i="76"/>
  <c r="AM316" i="76"/>
  <c r="AN316" i="76"/>
  <c r="AO316" i="76"/>
  <c r="AP316" i="76"/>
  <c r="AQ316" i="76"/>
  <c r="AR316" i="76"/>
  <c r="AS316" i="76"/>
  <c r="AT316" i="76"/>
  <c r="AU316" i="76"/>
  <c r="AV316" i="76"/>
  <c r="AW316" i="76"/>
  <c r="AX316" i="76"/>
  <c r="AY316" i="76"/>
  <c r="AZ316" i="76"/>
  <c r="BA316" i="76"/>
  <c r="BB316" i="76"/>
  <c r="BC316" i="76"/>
  <c r="BD316" i="76"/>
  <c r="BE316" i="76"/>
  <c r="BF316" i="76"/>
  <c r="BG316" i="76"/>
  <c r="BH316" i="76"/>
  <c r="BI316" i="76"/>
  <c r="BJ316" i="76"/>
  <c r="BK316" i="76"/>
  <c r="BM316" i="76"/>
  <c r="A317" i="76"/>
  <c r="B317" i="76"/>
  <c r="D317" i="76"/>
  <c r="G317" i="76"/>
  <c r="H317" i="76"/>
  <c r="J317" i="76"/>
  <c r="K317" i="76"/>
  <c r="L317" i="76"/>
  <c r="P317" i="76"/>
  <c r="R317" i="76"/>
  <c r="U317" i="76"/>
  <c r="V317" i="76"/>
  <c r="AE317" i="76"/>
  <c r="AJ317" i="76"/>
  <c r="AK317" i="76"/>
  <c r="AL317" i="76"/>
  <c r="AM317" i="76"/>
  <c r="AN317" i="76"/>
  <c r="AO317" i="76"/>
  <c r="AP317" i="76"/>
  <c r="AQ317" i="76"/>
  <c r="AR317" i="76"/>
  <c r="AS317" i="76"/>
  <c r="AT317" i="76"/>
  <c r="AU317" i="76"/>
  <c r="AV317" i="76"/>
  <c r="AW317" i="76"/>
  <c r="AX317" i="76"/>
  <c r="AY317" i="76"/>
  <c r="AZ317" i="76"/>
  <c r="BA317" i="76"/>
  <c r="BB317" i="76"/>
  <c r="BC317" i="76"/>
  <c r="BD317" i="76"/>
  <c r="BE317" i="76"/>
  <c r="BF317" i="76"/>
  <c r="BG317" i="76"/>
  <c r="BH317" i="76"/>
  <c r="BI317" i="76"/>
  <c r="BJ317" i="76"/>
  <c r="BK317" i="76"/>
  <c r="BM317" i="76"/>
  <c r="A318" i="76"/>
  <c r="B318" i="76"/>
  <c r="D318" i="76"/>
  <c r="G318" i="76"/>
  <c r="H318" i="76"/>
  <c r="J318" i="76"/>
  <c r="K318" i="76"/>
  <c r="L318" i="76"/>
  <c r="P318" i="76"/>
  <c r="R318" i="76"/>
  <c r="U318" i="76"/>
  <c r="V318" i="76"/>
  <c r="AE318" i="76"/>
  <c r="AJ318" i="76"/>
  <c r="AK318" i="76"/>
  <c r="AL318" i="76"/>
  <c r="AM318" i="76"/>
  <c r="AN318" i="76"/>
  <c r="AO318" i="76"/>
  <c r="AP318" i="76"/>
  <c r="AQ318" i="76"/>
  <c r="AR318" i="76"/>
  <c r="AS318" i="76"/>
  <c r="AT318" i="76"/>
  <c r="AU318" i="76"/>
  <c r="AV318" i="76"/>
  <c r="AW318" i="76"/>
  <c r="AX318" i="76"/>
  <c r="AY318" i="76"/>
  <c r="AZ318" i="76"/>
  <c r="BA318" i="76"/>
  <c r="BB318" i="76"/>
  <c r="BC318" i="76"/>
  <c r="BD318" i="76"/>
  <c r="BE318" i="76"/>
  <c r="BF318" i="76"/>
  <c r="BG318" i="76"/>
  <c r="BH318" i="76"/>
  <c r="BI318" i="76"/>
  <c r="BJ318" i="76"/>
  <c r="BK318" i="76"/>
  <c r="BM318" i="76"/>
  <c r="A319" i="76"/>
  <c r="B319" i="76"/>
  <c r="D319" i="76"/>
  <c r="G319" i="76"/>
  <c r="H319" i="76"/>
  <c r="J319" i="76"/>
  <c r="F319" i="76" s="1"/>
  <c r="K319" i="76"/>
  <c r="L319" i="76"/>
  <c r="P319" i="76"/>
  <c r="R319" i="76"/>
  <c r="U319" i="76"/>
  <c r="V319" i="76"/>
  <c r="AE319" i="76"/>
  <c r="AJ319" i="76"/>
  <c r="AK319" i="76"/>
  <c r="AL319" i="76"/>
  <c r="AM319" i="76"/>
  <c r="AN319" i="76"/>
  <c r="AO319" i="76"/>
  <c r="AP319" i="76"/>
  <c r="AQ319" i="76"/>
  <c r="AR319" i="76"/>
  <c r="AS319" i="76"/>
  <c r="AT319" i="76"/>
  <c r="AU319" i="76"/>
  <c r="AV319" i="76"/>
  <c r="AW319" i="76"/>
  <c r="AX319" i="76"/>
  <c r="AY319" i="76"/>
  <c r="AZ319" i="76"/>
  <c r="BA319" i="76"/>
  <c r="BB319" i="76"/>
  <c r="BC319" i="76"/>
  <c r="BD319" i="76"/>
  <c r="BE319" i="76"/>
  <c r="BF319" i="76"/>
  <c r="BG319" i="76"/>
  <c r="BH319" i="76"/>
  <c r="BI319" i="76"/>
  <c r="BJ319" i="76"/>
  <c r="BK319" i="76"/>
  <c r="BM319" i="76"/>
  <c r="A320" i="76"/>
  <c r="B320" i="76"/>
  <c r="D320" i="76"/>
  <c r="G320" i="76"/>
  <c r="H320" i="76"/>
  <c r="J320" i="76"/>
  <c r="K320" i="76"/>
  <c r="L320" i="76"/>
  <c r="P320" i="76"/>
  <c r="R320" i="76"/>
  <c r="U320" i="76"/>
  <c r="V320" i="76"/>
  <c r="AE320" i="76"/>
  <c r="AJ320" i="76"/>
  <c r="AK320" i="76"/>
  <c r="AL320" i="76"/>
  <c r="AM320" i="76"/>
  <c r="AN320" i="76"/>
  <c r="AO320" i="76"/>
  <c r="AP320" i="76"/>
  <c r="AQ320" i="76"/>
  <c r="AR320" i="76"/>
  <c r="AS320" i="76"/>
  <c r="AT320" i="76"/>
  <c r="AU320" i="76"/>
  <c r="AV320" i="76"/>
  <c r="AW320" i="76"/>
  <c r="AX320" i="76"/>
  <c r="AY320" i="76"/>
  <c r="AZ320" i="76"/>
  <c r="BA320" i="76"/>
  <c r="BB320" i="76"/>
  <c r="BC320" i="76"/>
  <c r="BD320" i="76"/>
  <c r="BE320" i="76"/>
  <c r="BF320" i="76"/>
  <c r="BG320" i="76"/>
  <c r="BH320" i="76"/>
  <c r="BI320" i="76"/>
  <c r="BJ320" i="76"/>
  <c r="BK320" i="76"/>
  <c r="BM320" i="76"/>
  <c r="A321" i="76"/>
  <c r="B321" i="76"/>
  <c r="D321" i="76"/>
  <c r="G321" i="76"/>
  <c r="H321" i="76"/>
  <c r="J321" i="76"/>
  <c r="K321" i="76"/>
  <c r="L321" i="76"/>
  <c r="P321" i="76"/>
  <c r="R321" i="76"/>
  <c r="U321" i="76"/>
  <c r="V321" i="76"/>
  <c r="AE321" i="76"/>
  <c r="AJ321" i="76"/>
  <c r="AK321" i="76"/>
  <c r="AL321" i="76"/>
  <c r="AM321" i="76"/>
  <c r="AN321" i="76"/>
  <c r="AO321" i="76"/>
  <c r="AP321" i="76"/>
  <c r="AQ321" i="76"/>
  <c r="AR321" i="76"/>
  <c r="AS321" i="76"/>
  <c r="AT321" i="76"/>
  <c r="AU321" i="76"/>
  <c r="AV321" i="76"/>
  <c r="AW321" i="76"/>
  <c r="AX321" i="76"/>
  <c r="AY321" i="76"/>
  <c r="AZ321" i="76"/>
  <c r="BA321" i="76"/>
  <c r="BB321" i="76"/>
  <c r="BC321" i="76"/>
  <c r="BD321" i="76"/>
  <c r="BE321" i="76"/>
  <c r="BF321" i="76"/>
  <c r="BG321" i="76"/>
  <c r="BH321" i="76"/>
  <c r="BI321" i="76"/>
  <c r="BJ321" i="76"/>
  <c r="BK321" i="76"/>
  <c r="BM321" i="76"/>
  <c r="A322" i="76"/>
  <c r="B322" i="76"/>
  <c r="D322" i="76"/>
  <c r="G322" i="76"/>
  <c r="H322" i="76"/>
  <c r="J322" i="76"/>
  <c r="K322" i="76"/>
  <c r="L322" i="76"/>
  <c r="P322" i="76"/>
  <c r="R322" i="76"/>
  <c r="U322" i="76"/>
  <c r="V322" i="76"/>
  <c r="AE322" i="76"/>
  <c r="AJ322" i="76"/>
  <c r="AK322" i="76"/>
  <c r="AL322" i="76"/>
  <c r="AM322" i="76"/>
  <c r="AN322" i="76"/>
  <c r="AO322" i="76"/>
  <c r="AP322" i="76"/>
  <c r="AQ322" i="76"/>
  <c r="AR322" i="76"/>
  <c r="AS322" i="76"/>
  <c r="AT322" i="76"/>
  <c r="AU322" i="76"/>
  <c r="AV322" i="76"/>
  <c r="AW322" i="76"/>
  <c r="AX322" i="76"/>
  <c r="AY322" i="76"/>
  <c r="AZ322" i="76"/>
  <c r="BA322" i="76"/>
  <c r="BB322" i="76"/>
  <c r="BC322" i="76"/>
  <c r="BD322" i="76"/>
  <c r="BE322" i="76"/>
  <c r="BF322" i="76"/>
  <c r="BG322" i="76"/>
  <c r="BH322" i="76"/>
  <c r="BI322" i="76"/>
  <c r="BJ322" i="76"/>
  <c r="BK322" i="76"/>
  <c r="BM322" i="76"/>
  <c r="A323" i="76"/>
  <c r="B323" i="76"/>
  <c r="D323" i="76"/>
  <c r="G323" i="76"/>
  <c r="H323" i="76"/>
  <c r="J323" i="76"/>
  <c r="F323" i="76" s="1"/>
  <c r="K323" i="76"/>
  <c r="L323" i="76"/>
  <c r="P323" i="76"/>
  <c r="R323" i="76"/>
  <c r="U323" i="76"/>
  <c r="V323" i="76"/>
  <c r="AE323" i="76"/>
  <c r="AJ323" i="76"/>
  <c r="AK323" i="76"/>
  <c r="AL323" i="76"/>
  <c r="AM323" i="76"/>
  <c r="AN323" i="76"/>
  <c r="AO323" i="76"/>
  <c r="AP323" i="76"/>
  <c r="AQ323" i="76"/>
  <c r="AR323" i="76"/>
  <c r="AS323" i="76"/>
  <c r="AT323" i="76"/>
  <c r="AU323" i="76"/>
  <c r="AV323" i="76"/>
  <c r="AW323" i="76"/>
  <c r="AX323" i="76"/>
  <c r="AY323" i="76"/>
  <c r="AZ323" i="76"/>
  <c r="BA323" i="76"/>
  <c r="BB323" i="76"/>
  <c r="BC323" i="76"/>
  <c r="BD323" i="76"/>
  <c r="BE323" i="76"/>
  <c r="BF323" i="76"/>
  <c r="BG323" i="76"/>
  <c r="BH323" i="76"/>
  <c r="BI323" i="76"/>
  <c r="BJ323" i="76"/>
  <c r="BK323" i="76"/>
  <c r="BM323" i="76"/>
  <c r="A324" i="76"/>
  <c r="B324" i="76"/>
  <c r="D324" i="76"/>
  <c r="G324" i="76"/>
  <c r="H324" i="76"/>
  <c r="J324" i="76"/>
  <c r="F324" i="76" s="1"/>
  <c r="K324" i="76"/>
  <c r="L324" i="76"/>
  <c r="P324" i="76"/>
  <c r="R324" i="76"/>
  <c r="U324" i="76"/>
  <c r="V324" i="76"/>
  <c r="AE324" i="76"/>
  <c r="AJ324" i="76"/>
  <c r="AK324" i="76"/>
  <c r="AL324" i="76"/>
  <c r="AM324" i="76"/>
  <c r="AN324" i="76"/>
  <c r="AO324" i="76"/>
  <c r="AP324" i="76"/>
  <c r="AQ324" i="76"/>
  <c r="AR324" i="76"/>
  <c r="AS324" i="76"/>
  <c r="AT324" i="76"/>
  <c r="AU324" i="76"/>
  <c r="AV324" i="76"/>
  <c r="AW324" i="76"/>
  <c r="AX324" i="76"/>
  <c r="AY324" i="76"/>
  <c r="AZ324" i="76"/>
  <c r="BA324" i="76"/>
  <c r="BB324" i="76"/>
  <c r="BC324" i="76"/>
  <c r="BD324" i="76"/>
  <c r="BE324" i="76"/>
  <c r="BF324" i="76"/>
  <c r="BG324" i="76"/>
  <c r="BH324" i="76"/>
  <c r="BI324" i="76"/>
  <c r="BJ324" i="76"/>
  <c r="BK324" i="76"/>
  <c r="BM324" i="76"/>
  <c r="A325" i="76"/>
  <c r="B325" i="76"/>
  <c r="D325" i="76"/>
  <c r="G325" i="76"/>
  <c r="H325" i="76"/>
  <c r="J325" i="76"/>
  <c r="F325" i="76" s="1"/>
  <c r="K325" i="76"/>
  <c r="L325" i="76"/>
  <c r="P325" i="76"/>
  <c r="R325" i="76"/>
  <c r="U325" i="76"/>
  <c r="V325" i="76"/>
  <c r="AE325" i="76"/>
  <c r="AJ325" i="76"/>
  <c r="AK325" i="76"/>
  <c r="AL325" i="76"/>
  <c r="AM325" i="76"/>
  <c r="AN325" i="76"/>
  <c r="AO325" i="76"/>
  <c r="AP325" i="76"/>
  <c r="AQ325" i="76"/>
  <c r="AR325" i="76"/>
  <c r="AS325" i="76"/>
  <c r="AT325" i="76"/>
  <c r="AU325" i="76"/>
  <c r="AV325" i="76"/>
  <c r="AW325" i="76"/>
  <c r="AX325" i="76"/>
  <c r="AY325" i="76"/>
  <c r="AZ325" i="76"/>
  <c r="BA325" i="76"/>
  <c r="BB325" i="76"/>
  <c r="BC325" i="76"/>
  <c r="BD325" i="76"/>
  <c r="BE325" i="76"/>
  <c r="BF325" i="76"/>
  <c r="BG325" i="76"/>
  <c r="BH325" i="76"/>
  <c r="BI325" i="76"/>
  <c r="BJ325" i="76"/>
  <c r="BK325" i="76"/>
  <c r="BM325" i="76"/>
  <c r="A326" i="76"/>
  <c r="B326" i="76"/>
  <c r="D326" i="76"/>
  <c r="G326" i="76"/>
  <c r="H326" i="76"/>
  <c r="J326" i="76"/>
  <c r="E326" i="76" s="1"/>
  <c r="K326" i="76"/>
  <c r="L326" i="76"/>
  <c r="P326" i="76"/>
  <c r="R326" i="76"/>
  <c r="U326" i="76"/>
  <c r="V326" i="76"/>
  <c r="AE326" i="76"/>
  <c r="AJ326" i="76"/>
  <c r="AK326" i="76"/>
  <c r="AL326" i="76"/>
  <c r="AM326" i="76"/>
  <c r="AN326" i="76"/>
  <c r="AO326" i="76"/>
  <c r="AP326" i="76"/>
  <c r="AQ326" i="76"/>
  <c r="AR326" i="76"/>
  <c r="AS326" i="76"/>
  <c r="AT326" i="76"/>
  <c r="AU326" i="76"/>
  <c r="AV326" i="76"/>
  <c r="AW326" i="76"/>
  <c r="AX326" i="76"/>
  <c r="AY326" i="76"/>
  <c r="AZ326" i="76"/>
  <c r="BA326" i="76"/>
  <c r="BB326" i="76"/>
  <c r="BC326" i="76"/>
  <c r="BD326" i="76"/>
  <c r="BE326" i="76"/>
  <c r="BF326" i="76"/>
  <c r="BG326" i="76"/>
  <c r="BH326" i="76"/>
  <c r="BI326" i="76"/>
  <c r="BJ326" i="76"/>
  <c r="BK326" i="76"/>
  <c r="BM326" i="76"/>
  <c r="A327" i="76"/>
  <c r="B327" i="76"/>
  <c r="D327" i="76"/>
  <c r="G327" i="76"/>
  <c r="H327" i="76"/>
  <c r="J327" i="76"/>
  <c r="K327" i="76"/>
  <c r="L327" i="76"/>
  <c r="P327" i="76"/>
  <c r="R327" i="76"/>
  <c r="U327" i="76"/>
  <c r="V327" i="76"/>
  <c r="AE327" i="76"/>
  <c r="AJ327" i="76"/>
  <c r="AK327" i="76"/>
  <c r="AL327" i="76"/>
  <c r="AM327" i="76"/>
  <c r="AN327" i="76"/>
  <c r="AO327" i="76"/>
  <c r="AP327" i="76"/>
  <c r="AQ327" i="76"/>
  <c r="AR327" i="76"/>
  <c r="AS327" i="76"/>
  <c r="AT327" i="76"/>
  <c r="AU327" i="76"/>
  <c r="AV327" i="76"/>
  <c r="AW327" i="76"/>
  <c r="AX327" i="76"/>
  <c r="AY327" i="76"/>
  <c r="AZ327" i="76"/>
  <c r="BA327" i="76"/>
  <c r="BB327" i="76"/>
  <c r="BC327" i="76"/>
  <c r="BD327" i="76"/>
  <c r="BE327" i="76"/>
  <c r="BF327" i="76"/>
  <c r="BG327" i="76"/>
  <c r="BH327" i="76"/>
  <c r="BI327" i="76"/>
  <c r="BJ327" i="76"/>
  <c r="BK327" i="76"/>
  <c r="BM327" i="76"/>
  <c r="A328" i="76"/>
  <c r="B328" i="76"/>
  <c r="D328" i="76"/>
  <c r="G328" i="76"/>
  <c r="H328" i="76"/>
  <c r="J328" i="76"/>
  <c r="F328" i="76" s="1"/>
  <c r="K328" i="76"/>
  <c r="L328" i="76"/>
  <c r="P328" i="76"/>
  <c r="R328" i="76"/>
  <c r="U328" i="76"/>
  <c r="V328" i="76"/>
  <c r="AE328" i="76"/>
  <c r="AJ328" i="76"/>
  <c r="AK328" i="76"/>
  <c r="AL328" i="76"/>
  <c r="AM328" i="76"/>
  <c r="AN328" i="76"/>
  <c r="AO328" i="76"/>
  <c r="AP328" i="76"/>
  <c r="AQ328" i="76"/>
  <c r="AR328" i="76"/>
  <c r="AS328" i="76"/>
  <c r="AT328" i="76"/>
  <c r="AU328" i="76"/>
  <c r="AV328" i="76"/>
  <c r="AW328" i="76"/>
  <c r="AX328" i="76"/>
  <c r="AY328" i="76"/>
  <c r="AZ328" i="76"/>
  <c r="BA328" i="76"/>
  <c r="BB328" i="76"/>
  <c r="BC328" i="76"/>
  <c r="BD328" i="76"/>
  <c r="BE328" i="76"/>
  <c r="BF328" i="76"/>
  <c r="BG328" i="76"/>
  <c r="BH328" i="76"/>
  <c r="BI328" i="76"/>
  <c r="BJ328" i="76"/>
  <c r="BK328" i="76"/>
  <c r="BM328" i="76"/>
  <c r="A329" i="76"/>
  <c r="B329" i="76"/>
  <c r="D329" i="76"/>
  <c r="G329" i="76"/>
  <c r="H329" i="76"/>
  <c r="J329" i="76"/>
  <c r="F329" i="76" s="1"/>
  <c r="K329" i="76"/>
  <c r="L329" i="76"/>
  <c r="P329" i="76"/>
  <c r="R329" i="76"/>
  <c r="U329" i="76"/>
  <c r="V329" i="76"/>
  <c r="AE329" i="76"/>
  <c r="AJ329" i="76"/>
  <c r="AK329" i="76"/>
  <c r="AL329" i="76"/>
  <c r="AM329" i="76"/>
  <c r="AN329" i="76"/>
  <c r="AO329" i="76"/>
  <c r="AP329" i="76"/>
  <c r="AQ329" i="76"/>
  <c r="AR329" i="76"/>
  <c r="AS329" i="76"/>
  <c r="AT329" i="76"/>
  <c r="AU329" i="76"/>
  <c r="AV329" i="76"/>
  <c r="AW329" i="76"/>
  <c r="AX329" i="76"/>
  <c r="AY329" i="76"/>
  <c r="AZ329" i="76"/>
  <c r="BA329" i="76"/>
  <c r="BB329" i="76"/>
  <c r="BC329" i="76"/>
  <c r="BD329" i="76"/>
  <c r="BE329" i="76"/>
  <c r="BF329" i="76"/>
  <c r="BG329" i="76"/>
  <c r="BH329" i="76"/>
  <c r="BI329" i="76"/>
  <c r="BJ329" i="76"/>
  <c r="BK329" i="76"/>
  <c r="BM329" i="76"/>
  <c r="A330" i="76"/>
  <c r="B330" i="76"/>
  <c r="D330" i="76"/>
  <c r="G330" i="76"/>
  <c r="H330" i="76"/>
  <c r="J330" i="76"/>
  <c r="K330" i="76"/>
  <c r="L330" i="76"/>
  <c r="P330" i="76"/>
  <c r="R330" i="76"/>
  <c r="U330" i="76"/>
  <c r="V330" i="76"/>
  <c r="AE330" i="76"/>
  <c r="AJ330" i="76"/>
  <c r="AK330" i="76"/>
  <c r="AL330" i="76"/>
  <c r="AM330" i="76"/>
  <c r="AN330" i="76"/>
  <c r="AO330" i="76"/>
  <c r="AP330" i="76"/>
  <c r="AQ330" i="76"/>
  <c r="AR330" i="76"/>
  <c r="AS330" i="76"/>
  <c r="AT330" i="76"/>
  <c r="AU330" i="76"/>
  <c r="AV330" i="76"/>
  <c r="AW330" i="76"/>
  <c r="AX330" i="76"/>
  <c r="AY330" i="76"/>
  <c r="AZ330" i="76"/>
  <c r="BA330" i="76"/>
  <c r="BB330" i="76"/>
  <c r="BC330" i="76"/>
  <c r="BD330" i="76"/>
  <c r="BE330" i="76"/>
  <c r="BF330" i="76"/>
  <c r="BG330" i="76"/>
  <c r="BH330" i="76"/>
  <c r="BI330" i="76"/>
  <c r="BJ330" i="76"/>
  <c r="BK330" i="76"/>
  <c r="BM330" i="76"/>
  <c r="A331" i="76"/>
  <c r="B331" i="76"/>
  <c r="D331" i="76"/>
  <c r="G331" i="76"/>
  <c r="H331" i="76"/>
  <c r="J331" i="76"/>
  <c r="F331" i="76" s="1"/>
  <c r="K331" i="76"/>
  <c r="L331" i="76"/>
  <c r="P331" i="76"/>
  <c r="R331" i="76"/>
  <c r="U331" i="76"/>
  <c r="V331" i="76"/>
  <c r="AE331" i="76"/>
  <c r="AJ331" i="76"/>
  <c r="AK331" i="76"/>
  <c r="AL331" i="76"/>
  <c r="AM331" i="76"/>
  <c r="AN331" i="76"/>
  <c r="AO331" i="76"/>
  <c r="AP331" i="76"/>
  <c r="AQ331" i="76"/>
  <c r="AR331" i="76"/>
  <c r="AS331" i="76"/>
  <c r="AT331" i="76"/>
  <c r="AU331" i="76"/>
  <c r="AV331" i="76"/>
  <c r="AW331" i="76"/>
  <c r="AX331" i="76"/>
  <c r="AY331" i="76"/>
  <c r="AZ331" i="76"/>
  <c r="BA331" i="76"/>
  <c r="BB331" i="76"/>
  <c r="BC331" i="76"/>
  <c r="BD331" i="76"/>
  <c r="BE331" i="76"/>
  <c r="BF331" i="76"/>
  <c r="BG331" i="76"/>
  <c r="BH331" i="76"/>
  <c r="BI331" i="76"/>
  <c r="BJ331" i="76"/>
  <c r="BK331" i="76"/>
  <c r="BM331" i="76"/>
  <c r="A332" i="76"/>
  <c r="B332" i="76"/>
  <c r="D332" i="76"/>
  <c r="G332" i="76"/>
  <c r="H332" i="76"/>
  <c r="J332" i="76"/>
  <c r="K332" i="76"/>
  <c r="L332" i="76"/>
  <c r="P332" i="76"/>
  <c r="R332" i="76"/>
  <c r="U332" i="76"/>
  <c r="V332" i="76"/>
  <c r="AE332" i="76"/>
  <c r="AJ332" i="76"/>
  <c r="AK332" i="76"/>
  <c r="AL332" i="76"/>
  <c r="AM332" i="76"/>
  <c r="AN332" i="76"/>
  <c r="AO332" i="76"/>
  <c r="AP332" i="76"/>
  <c r="AQ332" i="76"/>
  <c r="AR332" i="76"/>
  <c r="AS332" i="76"/>
  <c r="AT332" i="76"/>
  <c r="AU332" i="76"/>
  <c r="AV332" i="76"/>
  <c r="AW332" i="76"/>
  <c r="AX332" i="76"/>
  <c r="AY332" i="76"/>
  <c r="AZ332" i="76"/>
  <c r="BA332" i="76"/>
  <c r="BB332" i="76"/>
  <c r="BC332" i="76"/>
  <c r="BD332" i="76"/>
  <c r="BE332" i="76"/>
  <c r="BF332" i="76"/>
  <c r="BG332" i="76"/>
  <c r="BH332" i="76"/>
  <c r="BI332" i="76"/>
  <c r="BJ332" i="76"/>
  <c r="BK332" i="76"/>
  <c r="BM332" i="76"/>
  <c r="A333" i="76"/>
  <c r="B333" i="76"/>
  <c r="D333" i="76"/>
  <c r="G333" i="76"/>
  <c r="H333" i="76"/>
  <c r="J333" i="76"/>
  <c r="F333" i="76" s="1"/>
  <c r="K333" i="76"/>
  <c r="L333" i="76"/>
  <c r="P333" i="76"/>
  <c r="R333" i="76"/>
  <c r="U333" i="76"/>
  <c r="V333" i="76"/>
  <c r="AE333" i="76"/>
  <c r="AJ333" i="76"/>
  <c r="AK333" i="76"/>
  <c r="AL333" i="76"/>
  <c r="AM333" i="76"/>
  <c r="AN333" i="76"/>
  <c r="AO333" i="76"/>
  <c r="AP333" i="76"/>
  <c r="AQ333" i="76"/>
  <c r="AR333" i="76"/>
  <c r="AS333" i="76"/>
  <c r="AT333" i="76"/>
  <c r="AU333" i="76"/>
  <c r="AV333" i="76"/>
  <c r="AW333" i="76"/>
  <c r="AX333" i="76"/>
  <c r="AY333" i="76"/>
  <c r="AZ333" i="76"/>
  <c r="BA333" i="76"/>
  <c r="BB333" i="76"/>
  <c r="BC333" i="76"/>
  <c r="BD333" i="76"/>
  <c r="BE333" i="76"/>
  <c r="BF333" i="76"/>
  <c r="BG333" i="76"/>
  <c r="BH333" i="76"/>
  <c r="BI333" i="76"/>
  <c r="BJ333" i="76"/>
  <c r="BK333" i="76"/>
  <c r="BM333" i="76"/>
  <c r="A334" i="76"/>
  <c r="B334" i="76"/>
  <c r="D334" i="76"/>
  <c r="G334" i="76"/>
  <c r="H334" i="76"/>
  <c r="J334" i="76"/>
  <c r="K334" i="76"/>
  <c r="L334" i="76"/>
  <c r="P334" i="76"/>
  <c r="R334" i="76"/>
  <c r="U334" i="76"/>
  <c r="V334" i="76"/>
  <c r="AE334" i="76"/>
  <c r="AJ334" i="76"/>
  <c r="AK334" i="76"/>
  <c r="AL334" i="76"/>
  <c r="AM334" i="76"/>
  <c r="AN334" i="76"/>
  <c r="AO334" i="76"/>
  <c r="AP334" i="76"/>
  <c r="AQ334" i="76"/>
  <c r="AR334" i="76"/>
  <c r="AS334" i="76"/>
  <c r="AT334" i="76"/>
  <c r="AU334" i="76"/>
  <c r="AV334" i="76"/>
  <c r="AW334" i="76"/>
  <c r="AX334" i="76"/>
  <c r="AY334" i="76"/>
  <c r="AZ334" i="76"/>
  <c r="BA334" i="76"/>
  <c r="BB334" i="76"/>
  <c r="BC334" i="76"/>
  <c r="BD334" i="76"/>
  <c r="BE334" i="76"/>
  <c r="BF334" i="76"/>
  <c r="BG334" i="76"/>
  <c r="BH334" i="76"/>
  <c r="BI334" i="76"/>
  <c r="BJ334" i="76"/>
  <c r="BK334" i="76"/>
  <c r="BM334" i="76"/>
  <c r="A335" i="76"/>
  <c r="B335" i="76"/>
  <c r="D335" i="76"/>
  <c r="G335" i="76"/>
  <c r="H335" i="76"/>
  <c r="J335" i="76"/>
  <c r="K335" i="76"/>
  <c r="L335" i="76"/>
  <c r="P335" i="76"/>
  <c r="R335" i="76"/>
  <c r="U335" i="76"/>
  <c r="V335" i="76"/>
  <c r="AE335" i="76"/>
  <c r="AJ335" i="76"/>
  <c r="AK335" i="76"/>
  <c r="AL335" i="76"/>
  <c r="AM335" i="76"/>
  <c r="AN335" i="76"/>
  <c r="AO335" i="76"/>
  <c r="AP335" i="76"/>
  <c r="AQ335" i="76"/>
  <c r="AR335" i="76"/>
  <c r="AS335" i="76"/>
  <c r="AT335" i="76"/>
  <c r="AU335" i="76"/>
  <c r="AV335" i="76"/>
  <c r="AW335" i="76"/>
  <c r="AX335" i="76"/>
  <c r="AY335" i="76"/>
  <c r="AZ335" i="76"/>
  <c r="BA335" i="76"/>
  <c r="BB335" i="76"/>
  <c r="BC335" i="76"/>
  <c r="BD335" i="76"/>
  <c r="BE335" i="76"/>
  <c r="BF335" i="76"/>
  <c r="BG335" i="76"/>
  <c r="BH335" i="76"/>
  <c r="BI335" i="76"/>
  <c r="BJ335" i="76"/>
  <c r="BK335" i="76"/>
  <c r="BM335" i="76"/>
  <c r="A336" i="76"/>
  <c r="B336" i="76"/>
  <c r="D336" i="76"/>
  <c r="G336" i="76"/>
  <c r="H336" i="76"/>
  <c r="J336" i="76"/>
  <c r="K336" i="76"/>
  <c r="L336" i="76"/>
  <c r="P336" i="76"/>
  <c r="R336" i="76"/>
  <c r="U336" i="76"/>
  <c r="V336" i="76"/>
  <c r="AE336" i="76"/>
  <c r="AJ336" i="76"/>
  <c r="AK336" i="76"/>
  <c r="AL336" i="76"/>
  <c r="AM336" i="76"/>
  <c r="AN336" i="76"/>
  <c r="AO336" i="76"/>
  <c r="AP336" i="76"/>
  <c r="AQ336" i="76"/>
  <c r="AR336" i="76"/>
  <c r="AS336" i="76"/>
  <c r="AT336" i="76"/>
  <c r="AU336" i="76"/>
  <c r="AV336" i="76"/>
  <c r="AW336" i="76"/>
  <c r="AX336" i="76"/>
  <c r="AY336" i="76"/>
  <c r="AZ336" i="76"/>
  <c r="BA336" i="76"/>
  <c r="BB336" i="76"/>
  <c r="BC336" i="76"/>
  <c r="BD336" i="76"/>
  <c r="BE336" i="76"/>
  <c r="BF336" i="76"/>
  <c r="BG336" i="76"/>
  <c r="BH336" i="76"/>
  <c r="BI336" i="76"/>
  <c r="BJ336" i="76"/>
  <c r="BK336" i="76"/>
  <c r="BM336" i="76"/>
  <c r="A337" i="76"/>
  <c r="B337" i="76"/>
  <c r="D337" i="76"/>
  <c r="G337" i="76"/>
  <c r="H337" i="76"/>
  <c r="J337" i="76"/>
  <c r="F337" i="76" s="1"/>
  <c r="K337" i="76"/>
  <c r="L337" i="76"/>
  <c r="P337" i="76"/>
  <c r="R337" i="76"/>
  <c r="U337" i="76"/>
  <c r="V337" i="76"/>
  <c r="AE337" i="76"/>
  <c r="AJ337" i="76"/>
  <c r="AK337" i="76"/>
  <c r="AL337" i="76"/>
  <c r="AM337" i="76"/>
  <c r="AN337" i="76"/>
  <c r="AO337" i="76"/>
  <c r="AP337" i="76"/>
  <c r="AQ337" i="76"/>
  <c r="AR337" i="76"/>
  <c r="AS337" i="76"/>
  <c r="AT337" i="76"/>
  <c r="AU337" i="76"/>
  <c r="AV337" i="76"/>
  <c r="AW337" i="76"/>
  <c r="AX337" i="76"/>
  <c r="AY337" i="76"/>
  <c r="AZ337" i="76"/>
  <c r="BA337" i="76"/>
  <c r="BB337" i="76"/>
  <c r="BC337" i="76"/>
  <c r="BD337" i="76"/>
  <c r="BE337" i="76"/>
  <c r="BF337" i="76"/>
  <c r="BG337" i="76"/>
  <c r="BH337" i="76"/>
  <c r="BI337" i="76"/>
  <c r="BJ337" i="76"/>
  <c r="BK337" i="76"/>
  <c r="BM337" i="76"/>
  <c r="A338" i="76"/>
  <c r="B338" i="76"/>
  <c r="D338" i="76"/>
  <c r="G338" i="76"/>
  <c r="H338" i="76"/>
  <c r="J338" i="76"/>
  <c r="E338" i="76" s="1"/>
  <c r="K338" i="76"/>
  <c r="L338" i="76"/>
  <c r="P338" i="76"/>
  <c r="R338" i="76"/>
  <c r="U338" i="76"/>
  <c r="V338" i="76"/>
  <c r="AE338" i="76"/>
  <c r="AJ338" i="76"/>
  <c r="AK338" i="76"/>
  <c r="AL338" i="76"/>
  <c r="AM338" i="76"/>
  <c r="AN338" i="76"/>
  <c r="AO338" i="76"/>
  <c r="AP338" i="76"/>
  <c r="AQ338" i="76"/>
  <c r="AR338" i="76"/>
  <c r="AS338" i="76"/>
  <c r="AT338" i="76"/>
  <c r="AU338" i="76"/>
  <c r="AV338" i="76"/>
  <c r="AW338" i="76"/>
  <c r="AX338" i="76"/>
  <c r="AY338" i="76"/>
  <c r="AZ338" i="76"/>
  <c r="BA338" i="76"/>
  <c r="BB338" i="76"/>
  <c r="BC338" i="76"/>
  <c r="BD338" i="76"/>
  <c r="BE338" i="76"/>
  <c r="BF338" i="76"/>
  <c r="BG338" i="76"/>
  <c r="BH338" i="76"/>
  <c r="BI338" i="76"/>
  <c r="BJ338" i="76"/>
  <c r="BK338" i="76"/>
  <c r="BM338" i="76"/>
  <c r="A339" i="76"/>
  <c r="B339" i="76"/>
  <c r="D339" i="76"/>
  <c r="G339" i="76"/>
  <c r="H339" i="76"/>
  <c r="J339" i="76"/>
  <c r="F339" i="76" s="1"/>
  <c r="K339" i="76"/>
  <c r="L339" i="76"/>
  <c r="P339" i="76"/>
  <c r="R339" i="76"/>
  <c r="U339" i="76"/>
  <c r="V339" i="76"/>
  <c r="AE339" i="76"/>
  <c r="AJ339" i="76"/>
  <c r="AK339" i="76"/>
  <c r="AL339" i="76"/>
  <c r="AM339" i="76"/>
  <c r="AN339" i="76"/>
  <c r="AO339" i="76"/>
  <c r="AP339" i="76"/>
  <c r="AQ339" i="76"/>
  <c r="AR339" i="76"/>
  <c r="AS339" i="76"/>
  <c r="AT339" i="76"/>
  <c r="AU339" i="76"/>
  <c r="AV339" i="76"/>
  <c r="AW339" i="76"/>
  <c r="AX339" i="76"/>
  <c r="AY339" i="76"/>
  <c r="AZ339" i="76"/>
  <c r="BA339" i="76"/>
  <c r="BB339" i="76"/>
  <c r="BC339" i="76"/>
  <c r="BD339" i="76"/>
  <c r="BE339" i="76"/>
  <c r="BF339" i="76"/>
  <c r="BG339" i="76"/>
  <c r="BH339" i="76"/>
  <c r="BI339" i="76"/>
  <c r="BJ339" i="76"/>
  <c r="BK339" i="76"/>
  <c r="BM339" i="76"/>
  <c r="A340" i="76"/>
  <c r="B340" i="76"/>
  <c r="D340" i="76"/>
  <c r="G340" i="76"/>
  <c r="H340" i="76"/>
  <c r="J340" i="76"/>
  <c r="K340" i="76"/>
  <c r="L340" i="76"/>
  <c r="P340" i="76"/>
  <c r="R340" i="76"/>
  <c r="U340" i="76"/>
  <c r="V340" i="76"/>
  <c r="AE340" i="76"/>
  <c r="AJ340" i="76"/>
  <c r="AK340" i="76"/>
  <c r="AL340" i="76"/>
  <c r="AM340" i="76"/>
  <c r="AN340" i="76"/>
  <c r="AO340" i="76"/>
  <c r="AP340" i="76"/>
  <c r="AQ340" i="76"/>
  <c r="AR340" i="76"/>
  <c r="AS340" i="76"/>
  <c r="AT340" i="76"/>
  <c r="AU340" i="76"/>
  <c r="AV340" i="76"/>
  <c r="AW340" i="76"/>
  <c r="AX340" i="76"/>
  <c r="AY340" i="76"/>
  <c r="AZ340" i="76"/>
  <c r="BA340" i="76"/>
  <c r="BB340" i="76"/>
  <c r="BC340" i="76"/>
  <c r="BD340" i="76"/>
  <c r="BE340" i="76"/>
  <c r="BF340" i="76"/>
  <c r="BG340" i="76"/>
  <c r="BH340" i="76"/>
  <c r="BI340" i="76"/>
  <c r="BJ340" i="76"/>
  <c r="BK340" i="76"/>
  <c r="BM340" i="76"/>
  <c r="A341" i="76"/>
  <c r="B341" i="76"/>
  <c r="D341" i="76"/>
  <c r="G341" i="76"/>
  <c r="H341" i="76"/>
  <c r="J341" i="76"/>
  <c r="K341" i="76"/>
  <c r="L341" i="76"/>
  <c r="P341" i="76"/>
  <c r="R341" i="76"/>
  <c r="U341" i="76"/>
  <c r="V341" i="76"/>
  <c r="AE341" i="76"/>
  <c r="AJ341" i="76"/>
  <c r="AK341" i="76"/>
  <c r="AL341" i="76"/>
  <c r="AM341" i="76"/>
  <c r="AN341" i="76"/>
  <c r="AO341" i="76"/>
  <c r="AP341" i="76"/>
  <c r="AQ341" i="76"/>
  <c r="AR341" i="76"/>
  <c r="AS341" i="76"/>
  <c r="AT341" i="76"/>
  <c r="AU341" i="76"/>
  <c r="AV341" i="76"/>
  <c r="AW341" i="76"/>
  <c r="AX341" i="76"/>
  <c r="AY341" i="76"/>
  <c r="AZ341" i="76"/>
  <c r="BA341" i="76"/>
  <c r="BB341" i="76"/>
  <c r="BC341" i="76"/>
  <c r="BD341" i="76"/>
  <c r="BE341" i="76"/>
  <c r="BF341" i="76"/>
  <c r="BG341" i="76"/>
  <c r="BH341" i="76"/>
  <c r="BI341" i="76"/>
  <c r="BJ341" i="76"/>
  <c r="BK341" i="76"/>
  <c r="BM341" i="76"/>
  <c r="A342" i="76"/>
  <c r="B342" i="76"/>
  <c r="D342" i="76"/>
  <c r="G342" i="76"/>
  <c r="H342" i="76"/>
  <c r="J342" i="76"/>
  <c r="F342" i="76" s="1"/>
  <c r="K342" i="76"/>
  <c r="L342" i="76"/>
  <c r="P342" i="76"/>
  <c r="R342" i="76"/>
  <c r="U342" i="76"/>
  <c r="V342" i="76"/>
  <c r="AE342" i="76"/>
  <c r="AJ342" i="76"/>
  <c r="AK342" i="76"/>
  <c r="AL342" i="76"/>
  <c r="AM342" i="76"/>
  <c r="AN342" i="76"/>
  <c r="AO342" i="76"/>
  <c r="AP342" i="76"/>
  <c r="AQ342" i="76"/>
  <c r="AR342" i="76"/>
  <c r="AS342" i="76"/>
  <c r="AT342" i="76"/>
  <c r="AU342" i="76"/>
  <c r="AV342" i="76"/>
  <c r="AW342" i="76"/>
  <c r="AX342" i="76"/>
  <c r="AY342" i="76"/>
  <c r="AZ342" i="76"/>
  <c r="BA342" i="76"/>
  <c r="BB342" i="76"/>
  <c r="BC342" i="76"/>
  <c r="BD342" i="76"/>
  <c r="BE342" i="76"/>
  <c r="BF342" i="76"/>
  <c r="BG342" i="76"/>
  <c r="BH342" i="76"/>
  <c r="BI342" i="76"/>
  <c r="BJ342" i="76"/>
  <c r="BK342" i="76"/>
  <c r="BM342" i="76"/>
  <c r="A343" i="76"/>
  <c r="B343" i="76"/>
  <c r="D343" i="76"/>
  <c r="G343" i="76"/>
  <c r="H343" i="76"/>
  <c r="J343" i="76"/>
  <c r="K343" i="76"/>
  <c r="L343" i="76"/>
  <c r="P343" i="76"/>
  <c r="R343" i="76"/>
  <c r="U343" i="76"/>
  <c r="V343" i="76"/>
  <c r="AE343" i="76"/>
  <c r="AJ343" i="76"/>
  <c r="AK343" i="76"/>
  <c r="AL343" i="76"/>
  <c r="AM343" i="76"/>
  <c r="AN343" i="76"/>
  <c r="AO343" i="76"/>
  <c r="AP343" i="76"/>
  <c r="AQ343" i="76"/>
  <c r="AR343" i="76"/>
  <c r="AS343" i="76"/>
  <c r="AT343" i="76"/>
  <c r="AU343" i="76"/>
  <c r="AV343" i="76"/>
  <c r="AW343" i="76"/>
  <c r="AX343" i="76"/>
  <c r="AY343" i="76"/>
  <c r="AZ343" i="76"/>
  <c r="BA343" i="76"/>
  <c r="BB343" i="76"/>
  <c r="BC343" i="76"/>
  <c r="BD343" i="76"/>
  <c r="BE343" i="76"/>
  <c r="BF343" i="76"/>
  <c r="BG343" i="76"/>
  <c r="BH343" i="76"/>
  <c r="BI343" i="76"/>
  <c r="BJ343" i="76"/>
  <c r="BK343" i="76"/>
  <c r="BM343" i="76"/>
  <c r="A344" i="76"/>
  <c r="B344" i="76"/>
  <c r="D344" i="76"/>
  <c r="G344" i="76"/>
  <c r="H344" i="76"/>
  <c r="J344" i="76"/>
  <c r="E344" i="76" s="1"/>
  <c r="K344" i="76"/>
  <c r="L344" i="76"/>
  <c r="P344" i="76"/>
  <c r="R344" i="76"/>
  <c r="U344" i="76"/>
  <c r="V344" i="76"/>
  <c r="AE344" i="76"/>
  <c r="AJ344" i="76"/>
  <c r="AK344" i="76"/>
  <c r="AL344" i="76"/>
  <c r="AM344" i="76"/>
  <c r="AN344" i="76"/>
  <c r="AO344" i="76"/>
  <c r="AP344" i="76"/>
  <c r="AQ344" i="76"/>
  <c r="AR344" i="76"/>
  <c r="AS344" i="76"/>
  <c r="AT344" i="76"/>
  <c r="AU344" i="76"/>
  <c r="AV344" i="76"/>
  <c r="AW344" i="76"/>
  <c r="AX344" i="76"/>
  <c r="AY344" i="76"/>
  <c r="AZ344" i="76"/>
  <c r="BA344" i="76"/>
  <c r="BB344" i="76"/>
  <c r="BC344" i="76"/>
  <c r="BD344" i="76"/>
  <c r="BE344" i="76"/>
  <c r="BF344" i="76"/>
  <c r="BG344" i="76"/>
  <c r="BH344" i="76"/>
  <c r="BI344" i="76"/>
  <c r="BJ344" i="76"/>
  <c r="BK344" i="76"/>
  <c r="BM344" i="76"/>
  <c r="A345" i="76"/>
  <c r="B345" i="76"/>
  <c r="D345" i="76"/>
  <c r="G345" i="76"/>
  <c r="H345" i="76"/>
  <c r="J345" i="76"/>
  <c r="K345" i="76"/>
  <c r="L345" i="76"/>
  <c r="P345" i="76"/>
  <c r="R345" i="76"/>
  <c r="U345" i="76"/>
  <c r="V345" i="76"/>
  <c r="AE345" i="76"/>
  <c r="AJ345" i="76"/>
  <c r="AK345" i="76"/>
  <c r="AL345" i="76"/>
  <c r="AM345" i="76"/>
  <c r="AN345" i="76"/>
  <c r="AO345" i="76"/>
  <c r="AP345" i="76"/>
  <c r="AQ345" i="76"/>
  <c r="AR345" i="76"/>
  <c r="AS345" i="76"/>
  <c r="AT345" i="76"/>
  <c r="AU345" i="76"/>
  <c r="AV345" i="76"/>
  <c r="AW345" i="76"/>
  <c r="AX345" i="76"/>
  <c r="AY345" i="76"/>
  <c r="AZ345" i="76"/>
  <c r="BA345" i="76"/>
  <c r="BB345" i="76"/>
  <c r="BC345" i="76"/>
  <c r="BD345" i="76"/>
  <c r="BE345" i="76"/>
  <c r="BF345" i="76"/>
  <c r="BG345" i="76"/>
  <c r="BH345" i="76"/>
  <c r="BI345" i="76"/>
  <c r="BJ345" i="76"/>
  <c r="BK345" i="76"/>
  <c r="BM345" i="76"/>
  <c r="A346" i="76"/>
  <c r="B346" i="76"/>
  <c r="D346" i="76"/>
  <c r="G346" i="76"/>
  <c r="H346" i="76"/>
  <c r="J346" i="76"/>
  <c r="F346" i="76" s="1"/>
  <c r="K346" i="76"/>
  <c r="L346" i="76"/>
  <c r="P346" i="76"/>
  <c r="R346" i="76"/>
  <c r="U346" i="76"/>
  <c r="V346" i="76"/>
  <c r="AE346" i="76"/>
  <c r="AJ346" i="76"/>
  <c r="AK346" i="76"/>
  <c r="AL346" i="76"/>
  <c r="AM346" i="76"/>
  <c r="AN346" i="76"/>
  <c r="AO346" i="76"/>
  <c r="AP346" i="76"/>
  <c r="AQ346" i="76"/>
  <c r="AR346" i="76"/>
  <c r="AS346" i="76"/>
  <c r="AT346" i="76"/>
  <c r="AU346" i="76"/>
  <c r="AV346" i="76"/>
  <c r="AW346" i="76"/>
  <c r="AX346" i="76"/>
  <c r="AY346" i="76"/>
  <c r="AZ346" i="76"/>
  <c r="BA346" i="76"/>
  <c r="BB346" i="76"/>
  <c r="BC346" i="76"/>
  <c r="BD346" i="76"/>
  <c r="BE346" i="76"/>
  <c r="BF346" i="76"/>
  <c r="BG346" i="76"/>
  <c r="BH346" i="76"/>
  <c r="BI346" i="76"/>
  <c r="BJ346" i="76"/>
  <c r="BK346" i="76"/>
  <c r="BM346" i="76"/>
  <c r="A347" i="76"/>
  <c r="B347" i="76"/>
  <c r="D347" i="76"/>
  <c r="G347" i="76"/>
  <c r="H347" i="76"/>
  <c r="J347" i="76"/>
  <c r="E347" i="76" s="1"/>
  <c r="K347" i="76"/>
  <c r="L347" i="76"/>
  <c r="P347" i="76"/>
  <c r="R347" i="76"/>
  <c r="U347" i="76"/>
  <c r="V347" i="76"/>
  <c r="AE347" i="76"/>
  <c r="AJ347" i="76"/>
  <c r="AK347" i="76"/>
  <c r="AL347" i="76"/>
  <c r="AM347" i="76"/>
  <c r="AN347" i="76"/>
  <c r="AO347" i="76"/>
  <c r="AP347" i="76"/>
  <c r="AQ347" i="76"/>
  <c r="AR347" i="76"/>
  <c r="AS347" i="76"/>
  <c r="AT347" i="76"/>
  <c r="AU347" i="76"/>
  <c r="AV347" i="76"/>
  <c r="AW347" i="76"/>
  <c r="AX347" i="76"/>
  <c r="AY347" i="76"/>
  <c r="AZ347" i="76"/>
  <c r="BA347" i="76"/>
  <c r="BB347" i="76"/>
  <c r="BC347" i="76"/>
  <c r="BD347" i="76"/>
  <c r="BE347" i="76"/>
  <c r="BF347" i="76"/>
  <c r="BG347" i="76"/>
  <c r="BH347" i="76"/>
  <c r="BI347" i="76"/>
  <c r="BJ347" i="76"/>
  <c r="BK347" i="76"/>
  <c r="BM347" i="76"/>
  <c r="A348" i="76"/>
  <c r="B348" i="76"/>
  <c r="D348" i="76"/>
  <c r="G348" i="76"/>
  <c r="H348" i="76"/>
  <c r="J348" i="76"/>
  <c r="K348" i="76"/>
  <c r="L348" i="76"/>
  <c r="P348" i="76"/>
  <c r="R348" i="76"/>
  <c r="U348" i="76"/>
  <c r="V348" i="76"/>
  <c r="AE348" i="76"/>
  <c r="AJ348" i="76"/>
  <c r="AK348" i="76"/>
  <c r="AL348" i="76"/>
  <c r="AM348" i="76"/>
  <c r="AN348" i="76"/>
  <c r="AO348" i="76"/>
  <c r="AP348" i="76"/>
  <c r="AQ348" i="76"/>
  <c r="AR348" i="76"/>
  <c r="AS348" i="76"/>
  <c r="AT348" i="76"/>
  <c r="AU348" i="76"/>
  <c r="AV348" i="76"/>
  <c r="AW348" i="76"/>
  <c r="AX348" i="76"/>
  <c r="AY348" i="76"/>
  <c r="AZ348" i="76"/>
  <c r="BA348" i="76"/>
  <c r="BB348" i="76"/>
  <c r="BC348" i="76"/>
  <c r="BD348" i="76"/>
  <c r="BE348" i="76"/>
  <c r="BF348" i="76"/>
  <c r="BG348" i="76"/>
  <c r="BH348" i="76"/>
  <c r="BI348" i="76"/>
  <c r="BJ348" i="76"/>
  <c r="BK348" i="76"/>
  <c r="BM348" i="76"/>
  <c r="A349" i="76"/>
  <c r="B349" i="76"/>
  <c r="D349" i="76"/>
  <c r="G349" i="76"/>
  <c r="H349" i="76"/>
  <c r="J349" i="76"/>
  <c r="F349" i="76" s="1"/>
  <c r="K349" i="76"/>
  <c r="L349" i="76"/>
  <c r="P349" i="76"/>
  <c r="R349" i="76"/>
  <c r="U349" i="76"/>
  <c r="V349" i="76"/>
  <c r="AE349" i="76"/>
  <c r="AJ349" i="76"/>
  <c r="AK349" i="76"/>
  <c r="AL349" i="76"/>
  <c r="AM349" i="76"/>
  <c r="AN349" i="76"/>
  <c r="AO349" i="76"/>
  <c r="AP349" i="76"/>
  <c r="AQ349" i="76"/>
  <c r="AR349" i="76"/>
  <c r="AS349" i="76"/>
  <c r="AT349" i="76"/>
  <c r="AU349" i="76"/>
  <c r="AV349" i="76"/>
  <c r="AW349" i="76"/>
  <c r="AX349" i="76"/>
  <c r="AY349" i="76"/>
  <c r="AZ349" i="76"/>
  <c r="BA349" i="76"/>
  <c r="BB349" i="76"/>
  <c r="BC349" i="76"/>
  <c r="BD349" i="76"/>
  <c r="BE349" i="76"/>
  <c r="BF349" i="76"/>
  <c r="BG349" i="76"/>
  <c r="BH349" i="76"/>
  <c r="BI349" i="76"/>
  <c r="BJ349" i="76"/>
  <c r="BK349" i="76"/>
  <c r="BM349" i="76"/>
  <c r="A350" i="76"/>
  <c r="B350" i="76"/>
  <c r="D350" i="76"/>
  <c r="G350" i="76"/>
  <c r="H350" i="76"/>
  <c r="J350" i="76"/>
  <c r="K350" i="76"/>
  <c r="L350" i="76"/>
  <c r="P350" i="76"/>
  <c r="R350" i="76"/>
  <c r="U350" i="76"/>
  <c r="V350" i="76"/>
  <c r="AE350" i="76"/>
  <c r="AJ350" i="76"/>
  <c r="AK350" i="76"/>
  <c r="AL350" i="76"/>
  <c r="AM350" i="76"/>
  <c r="AN350" i="76"/>
  <c r="AO350" i="76"/>
  <c r="AP350" i="76"/>
  <c r="AQ350" i="76"/>
  <c r="AR350" i="76"/>
  <c r="AS350" i="76"/>
  <c r="AT350" i="76"/>
  <c r="AU350" i="76"/>
  <c r="AV350" i="76"/>
  <c r="AW350" i="76"/>
  <c r="AX350" i="76"/>
  <c r="AY350" i="76"/>
  <c r="AZ350" i="76"/>
  <c r="BA350" i="76"/>
  <c r="BB350" i="76"/>
  <c r="BC350" i="76"/>
  <c r="BD350" i="76"/>
  <c r="BE350" i="76"/>
  <c r="BF350" i="76"/>
  <c r="BG350" i="76"/>
  <c r="BH350" i="76"/>
  <c r="BI350" i="76"/>
  <c r="BJ350" i="76"/>
  <c r="BK350" i="76"/>
  <c r="BM350" i="76"/>
  <c r="A351" i="76"/>
  <c r="B351" i="76"/>
  <c r="D351" i="76"/>
  <c r="G351" i="76"/>
  <c r="H351" i="76"/>
  <c r="J351" i="76"/>
  <c r="F351" i="76" s="1"/>
  <c r="K351" i="76"/>
  <c r="L351" i="76"/>
  <c r="P351" i="76"/>
  <c r="R351" i="76"/>
  <c r="U351" i="76"/>
  <c r="V351" i="76"/>
  <c r="AE351" i="76"/>
  <c r="AJ351" i="76"/>
  <c r="AK351" i="76"/>
  <c r="AL351" i="76"/>
  <c r="AM351" i="76"/>
  <c r="AN351" i="76"/>
  <c r="AO351" i="76"/>
  <c r="AP351" i="76"/>
  <c r="AQ351" i="76"/>
  <c r="AR351" i="76"/>
  <c r="AS351" i="76"/>
  <c r="AT351" i="76"/>
  <c r="AU351" i="76"/>
  <c r="AV351" i="76"/>
  <c r="AW351" i="76"/>
  <c r="AX351" i="76"/>
  <c r="AY351" i="76"/>
  <c r="AZ351" i="76"/>
  <c r="BA351" i="76"/>
  <c r="BB351" i="76"/>
  <c r="BC351" i="76"/>
  <c r="BD351" i="76"/>
  <c r="BE351" i="76"/>
  <c r="BF351" i="76"/>
  <c r="BG351" i="76"/>
  <c r="BH351" i="76"/>
  <c r="BI351" i="76"/>
  <c r="BJ351" i="76"/>
  <c r="BK351" i="76"/>
  <c r="BM351" i="76"/>
  <c r="A352" i="76"/>
  <c r="B352" i="76"/>
  <c r="D352" i="76"/>
  <c r="G352" i="76"/>
  <c r="H352" i="76"/>
  <c r="J352" i="76"/>
  <c r="K352" i="76"/>
  <c r="L352" i="76"/>
  <c r="P352" i="76"/>
  <c r="R352" i="76"/>
  <c r="U352" i="76"/>
  <c r="V352" i="76"/>
  <c r="AE352" i="76"/>
  <c r="AJ352" i="76"/>
  <c r="AK352" i="76"/>
  <c r="AL352" i="76"/>
  <c r="AM352" i="76"/>
  <c r="AN352" i="76"/>
  <c r="AO352" i="76"/>
  <c r="AP352" i="76"/>
  <c r="AQ352" i="76"/>
  <c r="AR352" i="76"/>
  <c r="AS352" i="76"/>
  <c r="AT352" i="76"/>
  <c r="AU352" i="76"/>
  <c r="AV352" i="76"/>
  <c r="AW352" i="76"/>
  <c r="AX352" i="76"/>
  <c r="AY352" i="76"/>
  <c r="AZ352" i="76"/>
  <c r="BA352" i="76"/>
  <c r="BB352" i="76"/>
  <c r="BC352" i="76"/>
  <c r="BD352" i="76"/>
  <c r="BE352" i="76"/>
  <c r="BF352" i="76"/>
  <c r="BG352" i="76"/>
  <c r="BH352" i="76"/>
  <c r="BI352" i="76"/>
  <c r="BJ352" i="76"/>
  <c r="BK352" i="76"/>
  <c r="BM352" i="76"/>
  <c r="A353" i="76"/>
  <c r="B353" i="76"/>
  <c r="D353" i="76"/>
  <c r="G353" i="76"/>
  <c r="H353" i="76"/>
  <c r="J353" i="76"/>
  <c r="K353" i="76"/>
  <c r="L353" i="76"/>
  <c r="P353" i="76"/>
  <c r="R353" i="76"/>
  <c r="U353" i="76"/>
  <c r="V353" i="76"/>
  <c r="AE353" i="76"/>
  <c r="AJ353" i="76"/>
  <c r="AK353" i="76"/>
  <c r="AL353" i="76"/>
  <c r="AM353" i="76"/>
  <c r="AN353" i="76"/>
  <c r="AO353" i="76"/>
  <c r="AP353" i="76"/>
  <c r="AQ353" i="76"/>
  <c r="AR353" i="76"/>
  <c r="AS353" i="76"/>
  <c r="AT353" i="76"/>
  <c r="AU353" i="76"/>
  <c r="AV353" i="76"/>
  <c r="AW353" i="76"/>
  <c r="AX353" i="76"/>
  <c r="AY353" i="76"/>
  <c r="AZ353" i="76"/>
  <c r="BA353" i="76"/>
  <c r="BB353" i="76"/>
  <c r="BC353" i="76"/>
  <c r="BD353" i="76"/>
  <c r="BE353" i="76"/>
  <c r="BF353" i="76"/>
  <c r="BG353" i="76"/>
  <c r="BH353" i="76"/>
  <c r="BI353" i="76"/>
  <c r="BJ353" i="76"/>
  <c r="BK353" i="76"/>
  <c r="BM353" i="76"/>
  <c r="A354" i="76"/>
  <c r="B354" i="76"/>
  <c r="D354" i="76"/>
  <c r="G354" i="76"/>
  <c r="H354" i="76"/>
  <c r="J354" i="76"/>
  <c r="F354" i="76" s="1"/>
  <c r="K354" i="76"/>
  <c r="L354" i="76"/>
  <c r="P354" i="76"/>
  <c r="R354" i="76"/>
  <c r="U354" i="76"/>
  <c r="V354" i="76"/>
  <c r="AE354" i="76"/>
  <c r="AJ354" i="76"/>
  <c r="AK354" i="76"/>
  <c r="AL354" i="76"/>
  <c r="AM354" i="76"/>
  <c r="AN354" i="76"/>
  <c r="AO354" i="76"/>
  <c r="AP354" i="76"/>
  <c r="AQ354" i="76"/>
  <c r="AR354" i="76"/>
  <c r="AS354" i="76"/>
  <c r="AT354" i="76"/>
  <c r="AU354" i="76"/>
  <c r="AV354" i="76"/>
  <c r="AW354" i="76"/>
  <c r="AX354" i="76"/>
  <c r="AY354" i="76"/>
  <c r="AZ354" i="76"/>
  <c r="BA354" i="76"/>
  <c r="BB354" i="76"/>
  <c r="BC354" i="76"/>
  <c r="BD354" i="76"/>
  <c r="BE354" i="76"/>
  <c r="BF354" i="76"/>
  <c r="BG354" i="76"/>
  <c r="BH354" i="76"/>
  <c r="BI354" i="76"/>
  <c r="BJ354" i="76"/>
  <c r="BK354" i="76"/>
  <c r="BM354" i="76"/>
  <c r="A355" i="76"/>
  <c r="B355" i="76"/>
  <c r="D355" i="76"/>
  <c r="G355" i="76"/>
  <c r="H355" i="76"/>
  <c r="J355" i="76"/>
  <c r="F355" i="76" s="1"/>
  <c r="K355" i="76"/>
  <c r="L355" i="76"/>
  <c r="P355" i="76"/>
  <c r="R355" i="76"/>
  <c r="U355" i="76"/>
  <c r="V355" i="76"/>
  <c r="AE355" i="76"/>
  <c r="AJ355" i="76"/>
  <c r="AK355" i="76"/>
  <c r="AL355" i="76"/>
  <c r="AM355" i="76"/>
  <c r="AN355" i="76"/>
  <c r="AO355" i="76"/>
  <c r="AP355" i="76"/>
  <c r="AQ355" i="76"/>
  <c r="AR355" i="76"/>
  <c r="AS355" i="76"/>
  <c r="AT355" i="76"/>
  <c r="AU355" i="76"/>
  <c r="AV355" i="76"/>
  <c r="AW355" i="76"/>
  <c r="AX355" i="76"/>
  <c r="AY355" i="76"/>
  <c r="AZ355" i="76"/>
  <c r="BA355" i="76"/>
  <c r="BB355" i="76"/>
  <c r="BC355" i="76"/>
  <c r="BD355" i="76"/>
  <c r="BE355" i="76"/>
  <c r="BF355" i="76"/>
  <c r="BG355" i="76"/>
  <c r="BH355" i="76"/>
  <c r="BI355" i="76"/>
  <c r="BJ355" i="76"/>
  <c r="BK355" i="76"/>
  <c r="BM355" i="76"/>
  <c r="A356" i="76"/>
  <c r="B356" i="76"/>
  <c r="D356" i="76"/>
  <c r="G356" i="76"/>
  <c r="H356" i="76"/>
  <c r="J356" i="76"/>
  <c r="E356" i="76" s="1"/>
  <c r="K356" i="76"/>
  <c r="L356" i="76"/>
  <c r="P356" i="76"/>
  <c r="R356" i="76"/>
  <c r="U356" i="76"/>
  <c r="V356" i="76"/>
  <c r="AE356" i="76"/>
  <c r="AJ356" i="76"/>
  <c r="AK356" i="76"/>
  <c r="AL356" i="76"/>
  <c r="AM356" i="76"/>
  <c r="AN356" i="76"/>
  <c r="AO356" i="76"/>
  <c r="AP356" i="76"/>
  <c r="AQ356" i="76"/>
  <c r="AR356" i="76"/>
  <c r="AS356" i="76"/>
  <c r="AT356" i="76"/>
  <c r="AU356" i="76"/>
  <c r="AV356" i="76"/>
  <c r="AW356" i="76"/>
  <c r="AX356" i="76"/>
  <c r="AY356" i="76"/>
  <c r="AZ356" i="76"/>
  <c r="BA356" i="76"/>
  <c r="BB356" i="76"/>
  <c r="BC356" i="76"/>
  <c r="BD356" i="76"/>
  <c r="BE356" i="76"/>
  <c r="BF356" i="76"/>
  <c r="BG356" i="76"/>
  <c r="BH356" i="76"/>
  <c r="BI356" i="76"/>
  <c r="BJ356" i="76"/>
  <c r="BK356" i="76"/>
  <c r="BM356" i="76"/>
  <c r="A357" i="76"/>
  <c r="B357" i="76"/>
  <c r="D357" i="76"/>
  <c r="G357" i="76"/>
  <c r="H357" i="76"/>
  <c r="J357" i="76"/>
  <c r="F357" i="76" s="1"/>
  <c r="K357" i="76"/>
  <c r="L357" i="76"/>
  <c r="P357" i="76"/>
  <c r="R357" i="76"/>
  <c r="U357" i="76"/>
  <c r="V357" i="76"/>
  <c r="AE357" i="76"/>
  <c r="AJ357" i="76"/>
  <c r="AK357" i="76"/>
  <c r="AL357" i="76"/>
  <c r="AM357" i="76"/>
  <c r="AN357" i="76"/>
  <c r="AO357" i="76"/>
  <c r="AP357" i="76"/>
  <c r="AQ357" i="76"/>
  <c r="AR357" i="76"/>
  <c r="AS357" i="76"/>
  <c r="AT357" i="76"/>
  <c r="AU357" i="76"/>
  <c r="AV357" i="76"/>
  <c r="AW357" i="76"/>
  <c r="AX357" i="76"/>
  <c r="AY357" i="76"/>
  <c r="AZ357" i="76"/>
  <c r="BA357" i="76"/>
  <c r="BB357" i="76"/>
  <c r="BC357" i="76"/>
  <c r="BD357" i="76"/>
  <c r="BE357" i="76"/>
  <c r="BF357" i="76"/>
  <c r="BG357" i="76"/>
  <c r="BH357" i="76"/>
  <c r="BI357" i="76"/>
  <c r="BJ357" i="76"/>
  <c r="BK357" i="76"/>
  <c r="BM357" i="76"/>
  <c r="A358" i="76"/>
  <c r="B358" i="76"/>
  <c r="D358" i="76"/>
  <c r="G358" i="76"/>
  <c r="H358" i="76"/>
  <c r="J358" i="76"/>
  <c r="K358" i="76"/>
  <c r="L358" i="76"/>
  <c r="P358" i="76"/>
  <c r="R358" i="76"/>
  <c r="U358" i="76"/>
  <c r="V358" i="76"/>
  <c r="AE358" i="76"/>
  <c r="AJ358" i="76"/>
  <c r="AK358" i="76"/>
  <c r="AL358" i="76"/>
  <c r="AM358" i="76"/>
  <c r="AN358" i="76"/>
  <c r="AO358" i="76"/>
  <c r="AP358" i="76"/>
  <c r="AQ358" i="76"/>
  <c r="AR358" i="76"/>
  <c r="AS358" i="76"/>
  <c r="AT358" i="76"/>
  <c r="AU358" i="76"/>
  <c r="AV358" i="76"/>
  <c r="AW358" i="76"/>
  <c r="AX358" i="76"/>
  <c r="AY358" i="76"/>
  <c r="AZ358" i="76"/>
  <c r="BA358" i="76"/>
  <c r="BB358" i="76"/>
  <c r="BC358" i="76"/>
  <c r="BD358" i="76"/>
  <c r="BE358" i="76"/>
  <c r="BF358" i="76"/>
  <c r="BG358" i="76"/>
  <c r="BH358" i="76"/>
  <c r="BI358" i="76"/>
  <c r="BJ358" i="76"/>
  <c r="BK358" i="76"/>
  <c r="BM358" i="76"/>
  <c r="A359" i="76"/>
  <c r="B359" i="76"/>
  <c r="D359" i="76"/>
  <c r="G359" i="76"/>
  <c r="H359" i="76"/>
  <c r="J359" i="76"/>
  <c r="K359" i="76"/>
  <c r="L359" i="76"/>
  <c r="P359" i="76"/>
  <c r="R359" i="76"/>
  <c r="U359" i="76"/>
  <c r="V359" i="76"/>
  <c r="AE359" i="76"/>
  <c r="AJ359" i="76"/>
  <c r="AK359" i="76"/>
  <c r="AL359" i="76"/>
  <c r="AM359" i="76"/>
  <c r="AN359" i="76"/>
  <c r="AO359" i="76"/>
  <c r="AP359" i="76"/>
  <c r="AQ359" i="76"/>
  <c r="AR359" i="76"/>
  <c r="AS359" i="76"/>
  <c r="AT359" i="76"/>
  <c r="AU359" i="76"/>
  <c r="AV359" i="76"/>
  <c r="AW359" i="76"/>
  <c r="AX359" i="76"/>
  <c r="AY359" i="76"/>
  <c r="AZ359" i="76"/>
  <c r="BA359" i="76"/>
  <c r="BB359" i="76"/>
  <c r="BC359" i="76"/>
  <c r="BD359" i="76"/>
  <c r="BE359" i="76"/>
  <c r="BF359" i="76"/>
  <c r="BG359" i="76"/>
  <c r="BH359" i="76"/>
  <c r="BI359" i="76"/>
  <c r="BJ359" i="76"/>
  <c r="BK359" i="76"/>
  <c r="BM359" i="76"/>
  <c r="A360" i="76"/>
  <c r="B360" i="76"/>
  <c r="D360" i="76"/>
  <c r="G360" i="76"/>
  <c r="H360" i="76"/>
  <c r="J360" i="76"/>
  <c r="F360" i="76" s="1"/>
  <c r="K360" i="76"/>
  <c r="L360" i="76"/>
  <c r="P360" i="76"/>
  <c r="R360" i="76"/>
  <c r="U360" i="76"/>
  <c r="V360" i="76"/>
  <c r="AE360" i="76"/>
  <c r="AJ360" i="76"/>
  <c r="AK360" i="76"/>
  <c r="AL360" i="76"/>
  <c r="AM360" i="76"/>
  <c r="AN360" i="76"/>
  <c r="AO360" i="76"/>
  <c r="AP360" i="76"/>
  <c r="AQ360" i="76"/>
  <c r="AR360" i="76"/>
  <c r="AS360" i="76"/>
  <c r="AT360" i="76"/>
  <c r="AU360" i="76"/>
  <c r="AV360" i="76"/>
  <c r="AW360" i="76"/>
  <c r="AX360" i="76"/>
  <c r="AY360" i="76"/>
  <c r="AZ360" i="76"/>
  <c r="BA360" i="76"/>
  <c r="BB360" i="76"/>
  <c r="BC360" i="76"/>
  <c r="BD360" i="76"/>
  <c r="BE360" i="76"/>
  <c r="BF360" i="76"/>
  <c r="BG360" i="76"/>
  <c r="BH360" i="76"/>
  <c r="BI360" i="76"/>
  <c r="BJ360" i="76"/>
  <c r="BK360" i="76"/>
  <c r="BM360" i="76"/>
  <c r="A361" i="76"/>
  <c r="B361" i="76"/>
  <c r="D361" i="76"/>
  <c r="G361" i="76"/>
  <c r="H361" i="76"/>
  <c r="J361" i="76"/>
  <c r="F361" i="76" s="1"/>
  <c r="K361" i="76"/>
  <c r="L361" i="76"/>
  <c r="P361" i="76"/>
  <c r="R361" i="76"/>
  <c r="U361" i="76"/>
  <c r="V361" i="76"/>
  <c r="AE361" i="76"/>
  <c r="AJ361" i="76"/>
  <c r="AK361" i="76"/>
  <c r="AL361" i="76"/>
  <c r="AM361" i="76"/>
  <c r="AN361" i="76"/>
  <c r="AO361" i="76"/>
  <c r="AP361" i="76"/>
  <c r="AQ361" i="76"/>
  <c r="AR361" i="76"/>
  <c r="AS361" i="76"/>
  <c r="AT361" i="76"/>
  <c r="AU361" i="76"/>
  <c r="AV361" i="76"/>
  <c r="AW361" i="76"/>
  <c r="AX361" i="76"/>
  <c r="AY361" i="76"/>
  <c r="AZ361" i="76"/>
  <c r="BA361" i="76"/>
  <c r="BB361" i="76"/>
  <c r="BC361" i="76"/>
  <c r="BD361" i="76"/>
  <c r="BE361" i="76"/>
  <c r="BF361" i="76"/>
  <c r="BG361" i="76"/>
  <c r="BH361" i="76"/>
  <c r="BI361" i="76"/>
  <c r="BJ361" i="76"/>
  <c r="BK361" i="76"/>
  <c r="BM361" i="76"/>
  <c r="A362" i="76"/>
  <c r="B362" i="76"/>
  <c r="D362" i="76"/>
  <c r="G362" i="76"/>
  <c r="H362" i="76"/>
  <c r="J362" i="76"/>
  <c r="E362" i="76" s="1"/>
  <c r="K362" i="76"/>
  <c r="L362" i="76"/>
  <c r="P362" i="76"/>
  <c r="R362" i="76"/>
  <c r="U362" i="76"/>
  <c r="V362" i="76"/>
  <c r="AE362" i="76"/>
  <c r="AJ362" i="76"/>
  <c r="AK362" i="76"/>
  <c r="AL362" i="76"/>
  <c r="AM362" i="76"/>
  <c r="AN362" i="76"/>
  <c r="AO362" i="76"/>
  <c r="AP362" i="76"/>
  <c r="AQ362" i="76"/>
  <c r="AR362" i="76"/>
  <c r="AS362" i="76"/>
  <c r="AT362" i="76"/>
  <c r="AU362" i="76"/>
  <c r="AV362" i="76"/>
  <c r="AW362" i="76"/>
  <c r="AX362" i="76"/>
  <c r="AY362" i="76"/>
  <c r="AZ362" i="76"/>
  <c r="BA362" i="76"/>
  <c r="BB362" i="76"/>
  <c r="BC362" i="76"/>
  <c r="BD362" i="76"/>
  <c r="BE362" i="76"/>
  <c r="BF362" i="76"/>
  <c r="BG362" i="76"/>
  <c r="BH362" i="76"/>
  <c r="BI362" i="76"/>
  <c r="BJ362" i="76"/>
  <c r="BK362" i="76"/>
  <c r="BM362" i="76"/>
  <c r="A363" i="76"/>
  <c r="B363" i="76"/>
  <c r="D363" i="76"/>
  <c r="G363" i="76"/>
  <c r="H363" i="76"/>
  <c r="J363" i="76"/>
  <c r="K363" i="76"/>
  <c r="L363" i="76"/>
  <c r="P363" i="76"/>
  <c r="R363" i="76"/>
  <c r="U363" i="76"/>
  <c r="V363" i="76"/>
  <c r="AE363" i="76"/>
  <c r="AJ363" i="76"/>
  <c r="AK363" i="76"/>
  <c r="AL363" i="76"/>
  <c r="AM363" i="76"/>
  <c r="AN363" i="76"/>
  <c r="AO363" i="76"/>
  <c r="AP363" i="76"/>
  <c r="AQ363" i="76"/>
  <c r="AR363" i="76"/>
  <c r="AS363" i="76"/>
  <c r="AT363" i="76"/>
  <c r="AU363" i="76"/>
  <c r="AV363" i="76"/>
  <c r="AW363" i="76"/>
  <c r="AX363" i="76"/>
  <c r="AY363" i="76"/>
  <c r="AZ363" i="76"/>
  <c r="BA363" i="76"/>
  <c r="BB363" i="76"/>
  <c r="BC363" i="76"/>
  <c r="BD363" i="76"/>
  <c r="BE363" i="76"/>
  <c r="BF363" i="76"/>
  <c r="BG363" i="76"/>
  <c r="BH363" i="76"/>
  <c r="BI363" i="76"/>
  <c r="BJ363" i="76"/>
  <c r="BK363" i="76"/>
  <c r="BM363" i="76"/>
  <c r="A364" i="76"/>
  <c r="B364" i="76"/>
  <c r="D364" i="76"/>
  <c r="G364" i="76"/>
  <c r="H364" i="76"/>
  <c r="J364" i="76"/>
  <c r="K364" i="76"/>
  <c r="L364" i="76"/>
  <c r="P364" i="76"/>
  <c r="R364" i="76"/>
  <c r="U364" i="76"/>
  <c r="V364" i="76"/>
  <c r="AE364" i="76"/>
  <c r="AJ364" i="76"/>
  <c r="AK364" i="76"/>
  <c r="AL364" i="76"/>
  <c r="AM364" i="76"/>
  <c r="AN364" i="76"/>
  <c r="AO364" i="76"/>
  <c r="AP364" i="76"/>
  <c r="AQ364" i="76"/>
  <c r="AR364" i="76"/>
  <c r="AS364" i="76"/>
  <c r="AT364" i="76"/>
  <c r="AU364" i="76"/>
  <c r="AV364" i="76"/>
  <c r="AW364" i="76"/>
  <c r="AX364" i="76"/>
  <c r="AY364" i="76"/>
  <c r="AZ364" i="76"/>
  <c r="BA364" i="76"/>
  <c r="BB364" i="76"/>
  <c r="BC364" i="76"/>
  <c r="BD364" i="76"/>
  <c r="BE364" i="76"/>
  <c r="BF364" i="76"/>
  <c r="BG364" i="76"/>
  <c r="BH364" i="76"/>
  <c r="BI364" i="76"/>
  <c r="BJ364" i="76"/>
  <c r="BK364" i="76"/>
  <c r="BM364" i="76"/>
  <c r="A365" i="76"/>
  <c r="B365" i="76"/>
  <c r="D365" i="76"/>
  <c r="G365" i="76"/>
  <c r="H365" i="76"/>
  <c r="J365" i="76"/>
  <c r="F365" i="76" s="1"/>
  <c r="K365" i="76"/>
  <c r="L365" i="76"/>
  <c r="P365" i="76"/>
  <c r="R365" i="76"/>
  <c r="U365" i="76"/>
  <c r="V365" i="76"/>
  <c r="AE365" i="76"/>
  <c r="AJ365" i="76"/>
  <c r="AK365" i="76"/>
  <c r="AL365" i="76"/>
  <c r="AM365" i="76"/>
  <c r="AN365" i="76"/>
  <c r="AO365" i="76"/>
  <c r="AP365" i="76"/>
  <c r="AQ365" i="76"/>
  <c r="AR365" i="76"/>
  <c r="AS365" i="76"/>
  <c r="AT365" i="76"/>
  <c r="AU365" i="76"/>
  <c r="AV365" i="76"/>
  <c r="AW365" i="76"/>
  <c r="AX365" i="76"/>
  <c r="AY365" i="76"/>
  <c r="AZ365" i="76"/>
  <c r="BA365" i="76"/>
  <c r="BB365" i="76"/>
  <c r="BC365" i="76"/>
  <c r="BD365" i="76"/>
  <c r="BE365" i="76"/>
  <c r="BF365" i="76"/>
  <c r="BG365" i="76"/>
  <c r="BH365" i="76"/>
  <c r="BI365" i="76"/>
  <c r="BJ365" i="76"/>
  <c r="BK365" i="76"/>
  <c r="BM365" i="76"/>
  <c r="A366" i="76"/>
  <c r="B366" i="76"/>
  <c r="D366" i="76"/>
  <c r="G366" i="76"/>
  <c r="H366" i="76"/>
  <c r="J366" i="76"/>
  <c r="K366" i="76"/>
  <c r="L366" i="76"/>
  <c r="P366" i="76"/>
  <c r="R366" i="76"/>
  <c r="U366" i="76"/>
  <c r="V366" i="76"/>
  <c r="AE366" i="76"/>
  <c r="AJ366" i="76"/>
  <c r="AK366" i="76"/>
  <c r="AL366" i="76"/>
  <c r="AM366" i="76"/>
  <c r="AN366" i="76"/>
  <c r="AO366" i="76"/>
  <c r="AP366" i="76"/>
  <c r="AQ366" i="76"/>
  <c r="AR366" i="76"/>
  <c r="AS366" i="76"/>
  <c r="AT366" i="76"/>
  <c r="AU366" i="76"/>
  <c r="AV366" i="76"/>
  <c r="AW366" i="76"/>
  <c r="AX366" i="76"/>
  <c r="AY366" i="76"/>
  <c r="AZ366" i="76"/>
  <c r="BA366" i="76"/>
  <c r="BB366" i="76"/>
  <c r="BC366" i="76"/>
  <c r="BD366" i="76"/>
  <c r="BE366" i="76"/>
  <c r="BF366" i="76"/>
  <c r="BG366" i="76"/>
  <c r="BH366" i="76"/>
  <c r="BI366" i="76"/>
  <c r="BJ366" i="76"/>
  <c r="BK366" i="76"/>
  <c r="BM366" i="76"/>
  <c r="A367" i="76"/>
  <c r="B367" i="76"/>
  <c r="D367" i="76"/>
  <c r="G367" i="76"/>
  <c r="H367" i="76"/>
  <c r="J367" i="76"/>
  <c r="F367" i="76" s="1"/>
  <c r="K367" i="76"/>
  <c r="L367" i="76"/>
  <c r="P367" i="76"/>
  <c r="R367" i="76"/>
  <c r="U367" i="76"/>
  <c r="V367" i="76"/>
  <c r="AE367" i="76"/>
  <c r="AJ367" i="76"/>
  <c r="AK367" i="76"/>
  <c r="AL367" i="76"/>
  <c r="AM367" i="76"/>
  <c r="AN367" i="76"/>
  <c r="AO367" i="76"/>
  <c r="AP367" i="76"/>
  <c r="AQ367" i="76"/>
  <c r="AR367" i="76"/>
  <c r="AS367" i="76"/>
  <c r="AT367" i="76"/>
  <c r="AU367" i="76"/>
  <c r="AV367" i="76"/>
  <c r="AW367" i="76"/>
  <c r="AX367" i="76"/>
  <c r="AY367" i="76"/>
  <c r="AZ367" i="76"/>
  <c r="BA367" i="76"/>
  <c r="BB367" i="76"/>
  <c r="BC367" i="76"/>
  <c r="BD367" i="76"/>
  <c r="BE367" i="76"/>
  <c r="BF367" i="76"/>
  <c r="BG367" i="76"/>
  <c r="BH367" i="76"/>
  <c r="BI367" i="76"/>
  <c r="BJ367" i="76"/>
  <c r="BK367" i="76"/>
  <c r="BM367" i="76"/>
  <c r="A368" i="76"/>
  <c r="B368" i="76"/>
  <c r="D368" i="76"/>
  <c r="G368" i="76"/>
  <c r="H368" i="76"/>
  <c r="J368" i="76"/>
  <c r="E368" i="76" s="1"/>
  <c r="K368" i="76"/>
  <c r="L368" i="76"/>
  <c r="P368" i="76"/>
  <c r="R368" i="76"/>
  <c r="U368" i="76"/>
  <c r="V368" i="76"/>
  <c r="AE368" i="76"/>
  <c r="AJ368" i="76"/>
  <c r="AK368" i="76"/>
  <c r="AL368" i="76"/>
  <c r="AM368" i="76"/>
  <c r="AN368" i="76"/>
  <c r="AO368" i="76"/>
  <c r="AP368" i="76"/>
  <c r="AQ368" i="76"/>
  <c r="AR368" i="76"/>
  <c r="AS368" i="76"/>
  <c r="AT368" i="76"/>
  <c r="AU368" i="76"/>
  <c r="AV368" i="76"/>
  <c r="AW368" i="76"/>
  <c r="AX368" i="76"/>
  <c r="AY368" i="76"/>
  <c r="AZ368" i="76"/>
  <c r="BA368" i="76"/>
  <c r="BB368" i="76"/>
  <c r="BC368" i="76"/>
  <c r="BD368" i="76"/>
  <c r="BE368" i="76"/>
  <c r="BF368" i="76"/>
  <c r="BG368" i="76"/>
  <c r="BH368" i="76"/>
  <c r="BI368" i="76"/>
  <c r="BJ368" i="76"/>
  <c r="BK368" i="76"/>
  <c r="BM368" i="76"/>
  <c r="A369" i="76"/>
  <c r="B369" i="76"/>
  <c r="D369" i="76"/>
  <c r="G369" i="76"/>
  <c r="H369" i="76"/>
  <c r="J369" i="76"/>
  <c r="F369" i="76" s="1"/>
  <c r="K369" i="76"/>
  <c r="L369" i="76"/>
  <c r="P369" i="76"/>
  <c r="R369" i="76"/>
  <c r="U369" i="76"/>
  <c r="V369" i="76"/>
  <c r="AE369" i="76"/>
  <c r="AJ369" i="76"/>
  <c r="AK369" i="76"/>
  <c r="AL369" i="76"/>
  <c r="AM369" i="76"/>
  <c r="AN369" i="76"/>
  <c r="AO369" i="76"/>
  <c r="AP369" i="76"/>
  <c r="AQ369" i="76"/>
  <c r="AR369" i="76"/>
  <c r="AS369" i="76"/>
  <c r="AT369" i="76"/>
  <c r="AU369" i="76"/>
  <c r="AV369" i="76"/>
  <c r="AW369" i="76"/>
  <c r="AX369" i="76"/>
  <c r="AY369" i="76"/>
  <c r="AZ369" i="76"/>
  <c r="BA369" i="76"/>
  <c r="BB369" i="76"/>
  <c r="BC369" i="76"/>
  <c r="BD369" i="76"/>
  <c r="BE369" i="76"/>
  <c r="BF369" i="76"/>
  <c r="BG369" i="76"/>
  <c r="BH369" i="76"/>
  <c r="BI369" i="76"/>
  <c r="BJ369" i="76"/>
  <c r="BK369" i="76"/>
  <c r="BM369" i="76"/>
  <c r="A370" i="76"/>
  <c r="B370" i="76"/>
  <c r="D370" i="76"/>
  <c r="G370" i="76"/>
  <c r="H370" i="76"/>
  <c r="J370" i="76"/>
  <c r="F370" i="76" s="1"/>
  <c r="K370" i="76"/>
  <c r="L370" i="76"/>
  <c r="P370" i="76"/>
  <c r="R370" i="76"/>
  <c r="U370" i="76"/>
  <c r="V370" i="76"/>
  <c r="AE370" i="76"/>
  <c r="AJ370" i="76"/>
  <c r="AK370" i="76"/>
  <c r="AL370" i="76"/>
  <c r="AM370" i="76"/>
  <c r="AN370" i="76"/>
  <c r="AO370" i="76"/>
  <c r="AP370" i="76"/>
  <c r="AQ370" i="76"/>
  <c r="AR370" i="76"/>
  <c r="AS370" i="76"/>
  <c r="AT370" i="76"/>
  <c r="AU370" i="76"/>
  <c r="AV370" i="76"/>
  <c r="AW370" i="76"/>
  <c r="AX370" i="76"/>
  <c r="AY370" i="76"/>
  <c r="AZ370" i="76"/>
  <c r="BA370" i="76"/>
  <c r="BB370" i="76"/>
  <c r="BC370" i="76"/>
  <c r="BD370" i="76"/>
  <c r="BE370" i="76"/>
  <c r="BF370" i="76"/>
  <c r="BG370" i="76"/>
  <c r="BH370" i="76"/>
  <c r="BI370" i="76"/>
  <c r="BJ370" i="76"/>
  <c r="BK370" i="76"/>
  <c r="BM370" i="76"/>
  <c r="A371" i="76"/>
  <c r="B371" i="76"/>
  <c r="D371" i="76"/>
  <c r="G371" i="76"/>
  <c r="H371" i="76"/>
  <c r="J371" i="76"/>
  <c r="K371" i="76"/>
  <c r="L371" i="76"/>
  <c r="P371" i="76"/>
  <c r="R371" i="76"/>
  <c r="U371" i="76"/>
  <c r="V371" i="76"/>
  <c r="AE371" i="76"/>
  <c r="AJ371" i="76"/>
  <c r="AK371" i="76"/>
  <c r="AL371" i="76"/>
  <c r="AM371" i="76"/>
  <c r="AN371" i="76"/>
  <c r="AO371" i="76"/>
  <c r="AP371" i="76"/>
  <c r="AQ371" i="76"/>
  <c r="AR371" i="76"/>
  <c r="AS371" i="76"/>
  <c r="AT371" i="76"/>
  <c r="AU371" i="76"/>
  <c r="AV371" i="76"/>
  <c r="AW371" i="76"/>
  <c r="AX371" i="76"/>
  <c r="AY371" i="76"/>
  <c r="AZ371" i="76"/>
  <c r="BA371" i="76"/>
  <c r="BB371" i="76"/>
  <c r="BC371" i="76"/>
  <c r="BD371" i="76"/>
  <c r="BE371" i="76"/>
  <c r="BF371" i="76"/>
  <c r="BG371" i="76"/>
  <c r="BH371" i="76"/>
  <c r="BI371" i="76"/>
  <c r="BJ371" i="76"/>
  <c r="BK371" i="76"/>
  <c r="BM371" i="76"/>
  <c r="A372" i="76"/>
  <c r="B372" i="76"/>
  <c r="D372" i="76"/>
  <c r="G372" i="76"/>
  <c r="H372" i="76"/>
  <c r="J372" i="76"/>
  <c r="F372" i="76" s="1"/>
  <c r="K372" i="76"/>
  <c r="L372" i="76"/>
  <c r="P372" i="76"/>
  <c r="R372" i="76"/>
  <c r="U372" i="76"/>
  <c r="V372" i="76"/>
  <c r="AE372" i="76"/>
  <c r="AJ372" i="76"/>
  <c r="AK372" i="76"/>
  <c r="AL372" i="76"/>
  <c r="AM372" i="76"/>
  <c r="AN372" i="76"/>
  <c r="AO372" i="76"/>
  <c r="AP372" i="76"/>
  <c r="AQ372" i="76"/>
  <c r="AR372" i="76"/>
  <c r="AS372" i="76"/>
  <c r="AT372" i="76"/>
  <c r="AU372" i="76"/>
  <c r="AV372" i="76"/>
  <c r="AW372" i="76"/>
  <c r="AX372" i="76"/>
  <c r="AY372" i="76"/>
  <c r="AZ372" i="76"/>
  <c r="BA372" i="76"/>
  <c r="BB372" i="76"/>
  <c r="BC372" i="76"/>
  <c r="BD372" i="76"/>
  <c r="BE372" i="76"/>
  <c r="BF372" i="76"/>
  <c r="BG372" i="76"/>
  <c r="BH372" i="76"/>
  <c r="BI372" i="76"/>
  <c r="BJ372" i="76"/>
  <c r="BK372" i="76"/>
  <c r="BM372" i="76"/>
  <c r="A373" i="76"/>
  <c r="B373" i="76"/>
  <c r="D373" i="76"/>
  <c r="G373" i="76"/>
  <c r="H373" i="76"/>
  <c r="J373" i="76"/>
  <c r="K373" i="76"/>
  <c r="L373" i="76"/>
  <c r="P373" i="76"/>
  <c r="R373" i="76"/>
  <c r="U373" i="76"/>
  <c r="V373" i="76"/>
  <c r="AE373" i="76"/>
  <c r="AJ373" i="76"/>
  <c r="AK373" i="76"/>
  <c r="AL373" i="76"/>
  <c r="AM373" i="76"/>
  <c r="AN373" i="76"/>
  <c r="AO373" i="76"/>
  <c r="AP373" i="76"/>
  <c r="AQ373" i="76"/>
  <c r="AR373" i="76"/>
  <c r="AS373" i="76"/>
  <c r="AT373" i="76"/>
  <c r="AU373" i="76"/>
  <c r="AV373" i="76"/>
  <c r="AW373" i="76"/>
  <c r="AX373" i="76"/>
  <c r="AY373" i="76"/>
  <c r="AZ373" i="76"/>
  <c r="BA373" i="76"/>
  <c r="BB373" i="76"/>
  <c r="BC373" i="76"/>
  <c r="BD373" i="76"/>
  <c r="BE373" i="76"/>
  <c r="BF373" i="76"/>
  <c r="BG373" i="76"/>
  <c r="BH373" i="76"/>
  <c r="BI373" i="76"/>
  <c r="BJ373" i="76"/>
  <c r="BK373" i="76"/>
  <c r="BM373" i="76"/>
  <c r="A374" i="76"/>
  <c r="B374" i="76"/>
  <c r="D374" i="76"/>
  <c r="G374" i="76"/>
  <c r="H374" i="76"/>
  <c r="J374" i="76"/>
  <c r="E374" i="76" s="1"/>
  <c r="K374" i="76"/>
  <c r="L374" i="76"/>
  <c r="P374" i="76"/>
  <c r="R374" i="76"/>
  <c r="U374" i="76"/>
  <c r="V374" i="76"/>
  <c r="AE374" i="76"/>
  <c r="AJ374" i="76"/>
  <c r="AK374" i="76"/>
  <c r="AL374" i="76"/>
  <c r="AM374" i="76"/>
  <c r="AN374" i="76"/>
  <c r="AO374" i="76"/>
  <c r="AP374" i="76"/>
  <c r="AQ374" i="76"/>
  <c r="AR374" i="76"/>
  <c r="AS374" i="76"/>
  <c r="AT374" i="76"/>
  <c r="AU374" i="76"/>
  <c r="AV374" i="76"/>
  <c r="AW374" i="76"/>
  <c r="AX374" i="76"/>
  <c r="AY374" i="76"/>
  <c r="AZ374" i="76"/>
  <c r="BA374" i="76"/>
  <c r="BB374" i="76"/>
  <c r="BC374" i="76"/>
  <c r="BD374" i="76"/>
  <c r="BE374" i="76"/>
  <c r="BF374" i="76"/>
  <c r="BG374" i="76"/>
  <c r="BH374" i="76"/>
  <c r="BI374" i="76"/>
  <c r="BJ374" i="76"/>
  <c r="BK374" i="76"/>
  <c r="BM374" i="76"/>
  <c r="A375" i="76"/>
  <c r="B375" i="76"/>
  <c r="D375" i="76"/>
  <c r="G375" i="76"/>
  <c r="H375" i="76"/>
  <c r="J375" i="76"/>
  <c r="K375" i="76"/>
  <c r="L375" i="76"/>
  <c r="P375" i="76"/>
  <c r="R375" i="76"/>
  <c r="U375" i="76"/>
  <c r="V375" i="76"/>
  <c r="AE375" i="76"/>
  <c r="AJ375" i="76"/>
  <c r="AK375" i="76"/>
  <c r="AL375" i="76"/>
  <c r="AM375" i="76"/>
  <c r="AN375" i="76"/>
  <c r="AO375" i="76"/>
  <c r="AP375" i="76"/>
  <c r="AQ375" i="76"/>
  <c r="AR375" i="76"/>
  <c r="AS375" i="76"/>
  <c r="AT375" i="76"/>
  <c r="AU375" i="76"/>
  <c r="AV375" i="76"/>
  <c r="AW375" i="76"/>
  <c r="AX375" i="76"/>
  <c r="AY375" i="76"/>
  <c r="AZ375" i="76"/>
  <c r="BA375" i="76"/>
  <c r="BB375" i="76"/>
  <c r="BC375" i="76"/>
  <c r="BD375" i="76"/>
  <c r="BE375" i="76"/>
  <c r="BF375" i="76"/>
  <c r="BG375" i="76"/>
  <c r="BH375" i="76"/>
  <c r="BI375" i="76"/>
  <c r="BJ375" i="76"/>
  <c r="BK375" i="76"/>
  <c r="BM375" i="76"/>
  <c r="A376" i="76"/>
  <c r="B376" i="76"/>
  <c r="D376" i="76"/>
  <c r="G376" i="76"/>
  <c r="H376" i="76"/>
  <c r="J376" i="76"/>
  <c r="K376" i="76"/>
  <c r="L376" i="76"/>
  <c r="P376" i="76"/>
  <c r="R376" i="76"/>
  <c r="U376" i="76"/>
  <c r="V376" i="76"/>
  <c r="AE376" i="76"/>
  <c r="AJ376" i="76"/>
  <c r="AK376" i="76"/>
  <c r="AL376" i="76"/>
  <c r="AM376" i="76"/>
  <c r="AN376" i="76"/>
  <c r="AO376" i="76"/>
  <c r="AP376" i="76"/>
  <c r="AQ376" i="76"/>
  <c r="AR376" i="76"/>
  <c r="AS376" i="76"/>
  <c r="AT376" i="76"/>
  <c r="AU376" i="76"/>
  <c r="AV376" i="76"/>
  <c r="AW376" i="76"/>
  <c r="AX376" i="76"/>
  <c r="AY376" i="76"/>
  <c r="AZ376" i="76"/>
  <c r="BA376" i="76"/>
  <c r="BB376" i="76"/>
  <c r="BC376" i="76"/>
  <c r="BD376" i="76"/>
  <c r="BE376" i="76"/>
  <c r="BF376" i="76"/>
  <c r="BG376" i="76"/>
  <c r="BH376" i="76"/>
  <c r="BI376" i="76"/>
  <c r="BJ376" i="76"/>
  <c r="BK376" i="76"/>
  <c r="BM376" i="76"/>
  <c r="A377" i="76"/>
  <c r="B377" i="76"/>
  <c r="D377" i="76"/>
  <c r="G377" i="76"/>
  <c r="H377" i="76"/>
  <c r="J377" i="76"/>
  <c r="K377" i="76"/>
  <c r="L377" i="76"/>
  <c r="P377" i="76"/>
  <c r="R377" i="76"/>
  <c r="U377" i="76"/>
  <c r="V377" i="76"/>
  <c r="AE377" i="76"/>
  <c r="AJ377" i="76"/>
  <c r="AK377" i="76"/>
  <c r="AL377" i="76"/>
  <c r="AM377" i="76"/>
  <c r="AN377" i="76"/>
  <c r="AO377" i="76"/>
  <c r="AP377" i="76"/>
  <c r="AQ377" i="76"/>
  <c r="AR377" i="76"/>
  <c r="AS377" i="76"/>
  <c r="AT377" i="76"/>
  <c r="AU377" i="76"/>
  <c r="AV377" i="76"/>
  <c r="AW377" i="76"/>
  <c r="AX377" i="76"/>
  <c r="AY377" i="76"/>
  <c r="AZ377" i="76"/>
  <c r="BA377" i="76"/>
  <c r="BB377" i="76"/>
  <c r="BC377" i="76"/>
  <c r="BD377" i="76"/>
  <c r="BE377" i="76"/>
  <c r="BF377" i="76"/>
  <c r="BG377" i="76"/>
  <c r="BH377" i="76"/>
  <c r="BI377" i="76"/>
  <c r="BJ377" i="76"/>
  <c r="BK377" i="76"/>
  <c r="BM377" i="76"/>
  <c r="A378" i="76"/>
  <c r="B378" i="76"/>
  <c r="D378" i="76"/>
  <c r="G378" i="76"/>
  <c r="H378" i="76"/>
  <c r="J378" i="76"/>
  <c r="F378" i="76" s="1"/>
  <c r="K378" i="76"/>
  <c r="L378" i="76"/>
  <c r="P378" i="76"/>
  <c r="R378" i="76"/>
  <c r="U378" i="76"/>
  <c r="V378" i="76"/>
  <c r="AE378" i="76"/>
  <c r="AJ378" i="76"/>
  <c r="AK378" i="76"/>
  <c r="AL378" i="76"/>
  <c r="AM378" i="76"/>
  <c r="AN378" i="76"/>
  <c r="AO378" i="76"/>
  <c r="AP378" i="76"/>
  <c r="AQ378" i="76"/>
  <c r="AR378" i="76"/>
  <c r="AS378" i="76"/>
  <c r="AT378" i="76"/>
  <c r="AU378" i="76"/>
  <c r="AV378" i="76"/>
  <c r="AW378" i="76"/>
  <c r="AX378" i="76"/>
  <c r="AY378" i="76"/>
  <c r="AZ378" i="76"/>
  <c r="BA378" i="76"/>
  <c r="BB378" i="76"/>
  <c r="BC378" i="76"/>
  <c r="BD378" i="76"/>
  <c r="BE378" i="76"/>
  <c r="BF378" i="76"/>
  <c r="BG378" i="76"/>
  <c r="BH378" i="76"/>
  <c r="BI378" i="76"/>
  <c r="BJ378" i="76"/>
  <c r="BK378" i="76"/>
  <c r="BM378" i="76"/>
  <c r="A379" i="76"/>
  <c r="B379" i="76"/>
  <c r="D379" i="76"/>
  <c r="G379" i="76"/>
  <c r="H379" i="76"/>
  <c r="J379" i="76"/>
  <c r="F379" i="76" s="1"/>
  <c r="K379" i="76"/>
  <c r="L379" i="76"/>
  <c r="P379" i="76"/>
  <c r="R379" i="76"/>
  <c r="U379" i="76"/>
  <c r="V379" i="76"/>
  <c r="AE379" i="76"/>
  <c r="AJ379" i="76"/>
  <c r="AK379" i="76"/>
  <c r="AL379" i="76"/>
  <c r="AM379" i="76"/>
  <c r="AN379" i="76"/>
  <c r="AO379" i="76"/>
  <c r="AP379" i="76"/>
  <c r="AQ379" i="76"/>
  <c r="AR379" i="76"/>
  <c r="AS379" i="76"/>
  <c r="AT379" i="76"/>
  <c r="AU379" i="76"/>
  <c r="AV379" i="76"/>
  <c r="AW379" i="76"/>
  <c r="AX379" i="76"/>
  <c r="AY379" i="76"/>
  <c r="AZ379" i="76"/>
  <c r="BA379" i="76"/>
  <c r="BB379" i="76"/>
  <c r="BC379" i="76"/>
  <c r="BD379" i="76"/>
  <c r="BE379" i="76"/>
  <c r="BF379" i="76"/>
  <c r="BG379" i="76"/>
  <c r="BH379" i="76"/>
  <c r="BI379" i="76"/>
  <c r="BJ379" i="76"/>
  <c r="BK379" i="76"/>
  <c r="BM379" i="76"/>
  <c r="A380" i="76"/>
  <c r="B380" i="76"/>
  <c r="D380" i="76"/>
  <c r="G380" i="76"/>
  <c r="H380" i="76"/>
  <c r="J380" i="76"/>
  <c r="E380" i="76" s="1"/>
  <c r="K380" i="76"/>
  <c r="L380" i="76"/>
  <c r="P380" i="76"/>
  <c r="R380" i="76"/>
  <c r="U380" i="76"/>
  <c r="V380" i="76"/>
  <c r="AE380" i="76"/>
  <c r="AJ380" i="76"/>
  <c r="AK380" i="76"/>
  <c r="AL380" i="76"/>
  <c r="AM380" i="76"/>
  <c r="AN380" i="76"/>
  <c r="AO380" i="76"/>
  <c r="AP380" i="76"/>
  <c r="AQ380" i="76"/>
  <c r="AR380" i="76"/>
  <c r="AS380" i="76"/>
  <c r="AT380" i="76"/>
  <c r="AU380" i="76"/>
  <c r="AV380" i="76"/>
  <c r="AW380" i="76"/>
  <c r="AX380" i="76"/>
  <c r="AY380" i="76"/>
  <c r="AZ380" i="76"/>
  <c r="BA380" i="76"/>
  <c r="BB380" i="76"/>
  <c r="BC380" i="76"/>
  <c r="BD380" i="76"/>
  <c r="BE380" i="76"/>
  <c r="BF380" i="76"/>
  <c r="BG380" i="76"/>
  <c r="BH380" i="76"/>
  <c r="BI380" i="76"/>
  <c r="BJ380" i="76"/>
  <c r="BK380" i="76"/>
  <c r="BM380" i="76"/>
  <c r="A381" i="76"/>
  <c r="B381" i="76"/>
  <c r="D381" i="76"/>
  <c r="G381" i="76"/>
  <c r="H381" i="76"/>
  <c r="J381" i="76"/>
  <c r="K381" i="76"/>
  <c r="L381" i="76"/>
  <c r="P381" i="76"/>
  <c r="R381" i="76"/>
  <c r="U381" i="76"/>
  <c r="V381" i="76"/>
  <c r="AE381" i="76"/>
  <c r="AJ381" i="76"/>
  <c r="AK381" i="76"/>
  <c r="AL381" i="76"/>
  <c r="AM381" i="76"/>
  <c r="AN381" i="76"/>
  <c r="AO381" i="76"/>
  <c r="AP381" i="76"/>
  <c r="AQ381" i="76"/>
  <c r="AR381" i="76"/>
  <c r="AS381" i="76"/>
  <c r="AT381" i="76"/>
  <c r="AU381" i="76"/>
  <c r="AV381" i="76"/>
  <c r="AW381" i="76"/>
  <c r="AX381" i="76"/>
  <c r="AY381" i="76"/>
  <c r="AZ381" i="76"/>
  <c r="BA381" i="76"/>
  <c r="BB381" i="76"/>
  <c r="BC381" i="76"/>
  <c r="BD381" i="76"/>
  <c r="BE381" i="76"/>
  <c r="BF381" i="76"/>
  <c r="BG381" i="76"/>
  <c r="BH381" i="76"/>
  <c r="BI381" i="76"/>
  <c r="BJ381" i="76"/>
  <c r="BK381" i="76"/>
  <c r="BM381" i="76"/>
  <c r="A382" i="76"/>
  <c r="B382" i="76"/>
  <c r="D382" i="76"/>
  <c r="G382" i="76"/>
  <c r="H382" i="76"/>
  <c r="J382" i="76"/>
  <c r="K382" i="76"/>
  <c r="L382" i="76"/>
  <c r="P382" i="76"/>
  <c r="R382" i="76"/>
  <c r="U382" i="76"/>
  <c r="V382" i="76"/>
  <c r="AE382" i="76"/>
  <c r="AJ382" i="76"/>
  <c r="AK382" i="76"/>
  <c r="AL382" i="76"/>
  <c r="AM382" i="76"/>
  <c r="AN382" i="76"/>
  <c r="AO382" i="76"/>
  <c r="AP382" i="76"/>
  <c r="AQ382" i="76"/>
  <c r="AR382" i="76"/>
  <c r="AS382" i="76"/>
  <c r="AT382" i="76"/>
  <c r="AU382" i="76"/>
  <c r="AV382" i="76"/>
  <c r="AW382" i="76"/>
  <c r="AX382" i="76"/>
  <c r="AY382" i="76"/>
  <c r="AZ382" i="76"/>
  <c r="BA382" i="76"/>
  <c r="BB382" i="76"/>
  <c r="BC382" i="76"/>
  <c r="BD382" i="76"/>
  <c r="BE382" i="76"/>
  <c r="BF382" i="76"/>
  <c r="BG382" i="76"/>
  <c r="BH382" i="76"/>
  <c r="BI382" i="76"/>
  <c r="BJ382" i="76"/>
  <c r="BK382" i="76"/>
  <c r="BM382" i="76"/>
  <c r="A383" i="76"/>
  <c r="B383" i="76"/>
  <c r="D383" i="76"/>
  <c r="G383" i="76"/>
  <c r="H383" i="76"/>
  <c r="J383" i="76"/>
  <c r="E383" i="76" s="1"/>
  <c r="K383" i="76"/>
  <c r="L383" i="76"/>
  <c r="P383" i="76"/>
  <c r="R383" i="76"/>
  <c r="U383" i="76"/>
  <c r="V383" i="76"/>
  <c r="AE383" i="76"/>
  <c r="AJ383" i="76"/>
  <c r="AK383" i="76"/>
  <c r="AL383" i="76"/>
  <c r="AM383" i="76"/>
  <c r="AN383" i="76"/>
  <c r="AO383" i="76"/>
  <c r="AP383" i="76"/>
  <c r="AQ383" i="76"/>
  <c r="AR383" i="76"/>
  <c r="AS383" i="76"/>
  <c r="AT383" i="76"/>
  <c r="AU383" i="76"/>
  <c r="AV383" i="76"/>
  <c r="AW383" i="76"/>
  <c r="AX383" i="76"/>
  <c r="AY383" i="76"/>
  <c r="AZ383" i="76"/>
  <c r="BA383" i="76"/>
  <c r="BB383" i="76"/>
  <c r="BC383" i="76"/>
  <c r="BD383" i="76"/>
  <c r="BE383" i="76"/>
  <c r="BF383" i="76"/>
  <c r="BG383" i="76"/>
  <c r="BH383" i="76"/>
  <c r="BI383" i="76"/>
  <c r="BJ383" i="76"/>
  <c r="BK383" i="76"/>
  <c r="BM383" i="76"/>
  <c r="A384" i="76"/>
  <c r="B384" i="76"/>
  <c r="D384" i="76"/>
  <c r="G384" i="76"/>
  <c r="H384" i="76"/>
  <c r="J384" i="76"/>
  <c r="K384" i="76"/>
  <c r="L384" i="76"/>
  <c r="P384" i="76"/>
  <c r="R384" i="76"/>
  <c r="U384" i="76"/>
  <c r="V384" i="76"/>
  <c r="AE384" i="76"/>
  <c r="AJ384" i="76"/>
  <c r="AK384" i="76"/>
  <c r="AL384" i="76"/>
  <c r="AM384" i="76"/>
  <c r="AN384" i="76"/>
  <c r="AO384" i="76"/>
  <c r="AP384" i="76"/>
  <c r="AQ384" i="76"/>
  <c r="AR384" i="76"/>
  <c r="AS384" i="76"/>
  <c r="AT384" i="76"/>
  <c r="AU384" i="76"/>
  <c r="AV384" i="76"/>
  <c r="AW384" i="76"/>
  <c r="AX384" i="76"/>
  <c r="AY384" i="76"/>
  <c r="AZ384" i="76"/>
  <c r="BA384" i="76"/>
  <c r="BB384" i="76"/>
  <c r="BC384" i="76"/>
  <c r="BD384" i="76"/>
  <c r="BE384" i="76"/>
  <c r="BF384" i="76"/>
  <c r="BG384" i="76"/>
  <c r="BH384" i="76"/>
  <c r="BI384" i="76"/>
  <c r="BJ384" i="76"/>
  <c r="BK384" i="76"/>
  <c r="BM384" i="76"/>
  <c r="A385" i="76"/>
  <c r="B385" i="76"/>
  <c r="D385" i="76"/>
  <c r="G385" i="76"/>
  <c r="H385" i="76"/>
  <c r="J385" i="76"/>
  <c r="F385" i="76" s="1"/>
  <c r="K385" i="76"/>
  <c r="L385" i="76"/>
  <c r="P385" i="76"/>
  <c r="R385" i="76"/>
  <c r="U385" i="76"/>
  <c r="V385" i="76"/>
  <c r="AE385" i="76"/>
  <c r="AJ385" i="76"/>
  <c r="AK385" i="76"/>
  <c r="AL385" i="76"/>
  <c r="AM385" i="76"/>
  <c r="AN385" i="76"/>
  <c r="AO385" i="76"/>
  <c r="AP385" i="76"/>
  <c r="AQ385" i="76"/>
  <c r="AR385" i="76"/>
  <c r="AS385" i="76"/>
  <c r="AT385" i="76"/>
  <c r="AU385" i="76"/>
  <c r="AV385" i="76"/>
  <c r="AW385" i="76"/>
  <c r="AX385" i="76"/>
  <c r="AY385" i="76"/>
  <c r="AZ385" i="76"/>
  <c r="BA385" i="76"/>
  <c r="BB385" i="76"/>
  <c r="BC385" i="76"/>
  <c r="BD385" i="76"/>
  <c r="BE385" i="76"/>
  <c r="BF385" i="76"/>
  <c r="BG385" i="76"/>
  <c r="BH385" i="76"/>
  <c r="BI385" i="76"/>
  <c r="BJ385" i="76"/>
  <c r="BK385" i="76"/>
  <c r="BM385" i="76"/>
  <c r="A386" i="76"/>
  <c r="B386" i="76"/>
  <c r="D386" i="76"/>
  <c r="G386" i="76"/>
  <c r="H386" i="76"/>
  <c r="J386" i="76"/>
  <c r="E386" i="76" s="1"/>
  <c r="K386" i="76"/>
  <c r="L386" i="76"/>
  <c r="P386" i="76"/>
  <c r="R386" i="76"/>
  <c r="U386" i="76"/>
  <c r="V386" i="76"/>
  <c r="AE386" i="76"/>
  <c r="AJ386" i="76"/>
  <c r="AK386" i="76"/>
  <c r="AL386" i="76"/>
  <c r="AM386" i="76"/>
  <c r="AN386" i="76"/>
  <c r="AO386" i="76"/>
  <c r="AP386" i="76"/>
  <c r="AQ386" i="76"/>
  <c r="AR386" i="76"/>
  <c r="AS386" i="76"/>
  <c r="AT386" i="76"/>
  <c r="AU386" i="76"/>
  <c r="AV386" i="76"/>
  <c r="AW386" i="76"/>
  <c r="AX386" i="76"/>
  <c r="AY386" i="76"/>
  <c r="AZ386" i="76"/>
  <c r="BA386" i="76"/>
  <c r="BB386" i="76"/>
  <c r="BC386" i="76"/>
  <c r="BD386" i="76"/>
  <c r="BE386" i="76"/>
  <c r="BF386" i="76"/>
  <c r="BG386" i="76"/>
  <c r="BH386" i="76"/>
  <c r="BI386" i="76"/>
  <c r="BJ386" i="76"/>
  <c r="BK386" i="76"/>
  <c r="BM386" i="76"/>
  <c r="A387" i="76"/>
  <c r="B387" i="76"/>
  <c r="D387" i="76"/>
  <c r="G387" i="76"/>
  <c r="H387" i="76"/>
  <c r="J387" i="76"/>
  <c r="F387" i="76" s="1"/>
  <c r="K387" i="76"/>
  <c r="L387" i="76"/>
  <c r="P387" i="76"/>
  <c r="R387" i="76"/>
  <c r="U387" i="76"/>
  <c r="V387" i="76"/>
  <c r="AE387" i="76"/>
  <c r="AJ387" i="76"/>
  <c r="AK387" i="76"/>
  <c r="AL387" i="76"/>
  <c r="AM387" i="76"/>
  <c r="AN387" i="76"/>
  <c r="AO387" i="76"/>
  <c r="AP387" i="76"/>
  <c r="AQ387" i="76"/>
  <c r="AR387" i="76"/>
  <c r="AS387" i="76"/>
  <c r="AT387" i="76"/>
  <c r="AU387" i="76"/>
  <c r="AV387" i="76"/>
  <c r="AW387" i="76"/>
  <c r="AX387" i="76"/>
  <c r="AY387" i="76"/>
  <c r="AZ387" i="76"/>
  <c r="BA387" i="76"/>
  <c r="BB387" i="76"/>
  <c r="BC387" i="76"/>
  <c r="BD387" i="76"/>
  <c r="BE387" i="76"/>
  <c r="BF387" i="76"/>
  <c r="BG387" i="76"/>
  <c r="BH387" i="76"/>
  <c r="BI387" i="76"/>
  <c r="BJ387" i="76"/>
  <c r="BK387" i="76"/>
  <c r="BM387" i="76"/>
  <c r="A388" i="76"/>
  <c r="B388" i="76"/>
  <c r="D388" i="76"/>
  <c r="G388" i="76"/>
  <c r="H388" i="76"/>
  <c r="J388" i="76"/>
  <c r="F388" i="76" s="1"/>
  <c r="K388" i="76"/>
  <c r="L388" i="76"/>
  <c r="P388" i="76"/>
  <c r="R388" i="76"/>
  <c r="U388" i="76"/>
  <c r="V388" i="76"/>
  <c r="AE388" i="76"/>
  <c r="AJ388" i="76"/>
  <c r="AK388" i="76"/>
  <c r="AL388" i="76"/>
  <c r="AM388" i="76"/>
  <c r="AN388" i="76"/>
  <c r="AO388" i="76"/>
  <c r="AP388" i="76"/>
  <c r="AQ388" i="76"/>
  <c r="AR388" i="76"/>
  <c r="AS388" i="76"/>
  <c r="AT388" i="76"/>
  <c r="AU388" i="76"/>
  <c r="AV388" i="76"/>
  <c r="AW388" i="76"/>
  <c r="AX388" i="76"/>
  <c r="AY388" i="76"/>
  <c r="AZ388" i="76"/>
  <c r="BA388" i="76"/>
  <c r="BB388" i="76"/>
  <c r="BC388" i="76"/>
  <c r="BD388" i="76"/>
  <c r="BE388" i="76"/>
  <c r="BF388" i="76"/>
  <c r="BG388" i="76"/>
  <c r="BH388" i="76"/>
  <c r="BI388" i="76"/>
  <c r="BJ388" i="76"/>
  <c r="BK388" i="76"/>
  <c r="BM388" i="76"/>
  <c r="A389" i="76"/>
  <c r="B389" i="76"/>
  <c r="D389" i="76"/>
  <c r="G389" i="76"/>
  <c r="H389" i="76"/>
  <c r="J389" i="76"/>
  <c r="K389" i="76"/>
  <c r="L389" i="76"/>
  <c r="P389" i="76"/>
  <c r="R389" i="76"/>
  <c r="U389" i="76"/>
  <c r="V389" i="76"/>
  <c r="AE389" i="76"/>
  <c r="AJ389" i="76"/>
  <c r="AK389" i="76"/>
  <c r="AL389" i="76"/>
  <c r="AM389" i="76"/>
  <c r="AN389" i="76"/>
  <c r="AO389" i="76"/>
  <c r="AP389" i="76"/>
  <c r="AQ389" i="76"/>
  <c r="AR389" i="76"/>
  <c r="AS389" i="76"/>
  <c r="AT389" i="76"/>
  <c r="AU389" i="76"/>
  <c r="AV389" i="76"/>
  <c r="AW389" i="76"/>
  <c r="AX389" i="76"/>
  <c r="AY389" i="76"/>
  <c r="AZ389" i="76"/>
  <c r="BA389" i="76"/>
  <c r="BB389" i="76"/>
  <c r="BC389" i="76"/>
  <c r="BD389" i="76"/>
  <c r="BE389" i="76"/>
  <c r="BF389" i="76"/>
  <c r="BG389" i="76"/>
  <c r="BH389" i="76"/>
  <c r="BI389" i="76"/>
  <c r="BJ389" i="76"/>
  <c r="BK389" i="76"/>
  <c r="BM389" i="76"/>
  <c r="A390" i="76"/>
  <c r="B390" i="76"/>
  <c r="D390" i="76"/>
  <c r="G390" i="76"/>
  <c r="H390" i="76"/>
  <c r="J390" i="76"/>
  <c r="F390" i="76" s="1"/>
  <c r="K390" i="76"/>
  <c r="L390" i="76"/>
  <c r="P390" i="76"/>
  <c r="R390" i="76"/>
  <c r="U390" i="76"/>
  <c r="V390" i="76"/>
  <c r="AE390" i="76"/>
  <c r="AJ390" i="76"/>
  <c r="AK390" i="76"/>
  <c r="AL390" i="76"/>
  <c r="AM390" i="76"/>
  <c r="AN390" i="76"/>
  <c r="AO390" i="76"/>
  <c r="AP390" i="76"/>
  <c r="AQ390" i="76"/>
  <c r="AR390" i="76"/>
  <c r="AS390" i="76"/>
  <c r="AT390" i="76"/>
  <c r="AU390" i="76"/>
  <c r="AV390" i="76"/>
  <c r="AW390" i="76"/>
  <c r="AX390" i="76"/>
  <c r="AY390" i="76"/>
  <c r="AZ390" i="76"/>
  <c r="BA390" i="76"/>
  <c r="BB390" i="76"/>
  <c r="BC390" i="76"/>
  <c r="BD390" i="76"/>
  <c r="BE390" i="76"/>
  <c r="BF390" i="76"/>
  <c r="BG390" i="76"/>
  <c r="BH390" i="76"/>
  <c r="BI390" i="76"/>
  <c r="BJ390" i="76"/>
  <c r="BK390" i="76"/>
  <c r="BM390" i="76"/>
  <c r="A391" i="76"/>
  <c r="B391" i="76"/>
  <c r="D391" i="76"/>
  <c r="G391" i="76"/>
  <c r="H391" i="76"/>
  <c r="J391" i="76"/>
  <c r="F391" i="76" s="1"/>
  <c r="K391" i="76"/>
  <c r="L391" i="76"/>
  <c r="P391" i="76"/>
  <c r="R391" i="76"/>
  <c r="U391" i="76"/>
  <c r="V391" i="76"/>
  <c r="AE391" i="76"/>
  <c r="AJ391" i="76"/>
  <c r="AK391" i="76"/>
  <c r="AL391" i="76"/>
  <c r="AM391" i="76"/>
  <c r="AN391" i="76"/>
  <c r="AO391" i="76"/>
  <c r="AP391" i="76"/>
  <c r="AQ391" i="76"/>
  <c r="AR391" i="76"/>
  <c r="AS391" i="76"/>
  <c r="AT391" i="76"/>
  <c r="AU391" i="76"/>
  <c r="AV391" i="76"/>
  <c r="AW391" i="76"/>
  <c r="AX391" i="76"/>
  <c r="AY391" i="76"/>
  <c r="AZ391" i="76"/>
  <c r="BA391" i="76"/>
  <c r="BB391" i="76"/>
  <c r="BC391" i="76"/>
  <c r="BD391" i="76"/>
  <c r="BE391" i="76"/>
  <c r="BF391" i="76"/>
  <c r="BG391" i="76"/>
  <c r="BH391" i="76"/>
  <c r="BI391" i="76"/>
  <c r="BJ391" i="76"/>
  <c r="BK391" i="76"/>
  <c r="BM391" i="76"/>
  <c r="A392" i="76"/>
  <c r="B392" i="76"/>
  <c r="D392" i="76"/>
  <c r="G392" i="76"/>
  <c r="H392" i="76"/>
  <c r="J392" i="76"/>
  <c r="E392" i="76" s="1"/>
  <c r="K392" i="76"/>
  <c r="L392" i="76"/>
  <c r="P392" i="76"/>
  <c r="R392" i="76"/>
  <c r="U392" i="76"/>
  <c r="V392" i="76"/>
  <c r="AE392" i="76"/>
  <c r="AJ392" i="76"/>
  <c r="AK392" i="76"/>
  <c r="AL392" i="76"/>
  <c r="AM392" i="76"/>
  <c r="AN392" i="76"/>
  <c r="AO392" i="76"/>
  <c r="AP392" i="76"/>
  <c r="AQ392" i="76"/>
  <c r="AR392" i="76"/>
  <c r="AS392" i="76"/>
  <c r="AT392" i="76"/>
  <c r="AU392" i="76"/>
  <c r="AV392" i="76"/>
  <c r="AW392" i="76"/>
  <c r="AX392" i="76"/>
  <c r="AY392" i="76"/>
  <c r="AZ392" i="76"/>
  <c r="BA392" i="76"/>
  <c r="BB392" i="76"/>
  <c r="BC392" i="76"/>
  <c r="BD392" i="76"/>
  <c r="BE392" i="76"/>
  <c r="BF392" i="76"/>
  <c r="BG392" i="76"/>
  <c r="BH392" i="76"/>
  <c r="BI392" i="76"/>
  <c r="BJ392" i="76"/>
  <c r="BK392" i="76"/>
  <c r="BM392" i="76"/>
  <c r="A393" i="76"/>
  <c r="B393" i="76"/>
  <c r="D393" i="76"/>
  <c r="G393" i="76"/>
  <c r="H393" i="76"/>
  <c r="J393" i="76"/>
  <c r="F393" i="76" s="1"/>
  <c r="K393" i="76"/>
  <c r="L393" i="76"/>
  <c r="P393" i="76"/>
  <c r="R393" i="76"/>
  <c r="U393" i="76"/>
  <c r="V393" i="76"/>
  <c r="AE393" i="76"/>
  <c r="AJ393" i="76"/>
  <c r="AK393" i="76"/>
  <c r="AL393" i="76"/>
  <c r="AM393" i="76"/>
  <c r="AN393" i="76"/>
  <c r="AO393" i="76"/>
  <c r="AP393" i="76"/>
  <c r="AQ393" i="76"/>
  <c r="AR393" i="76"/>
  <c r="AS393" i="76"/>
  <c r="AT393" i="76"/>
  <c r="AU393" i="76"/>
  <c r="AV393" i="76"/>
  <c r="AW393" i="76"/>
  <c r="AX393" i="76"/>
  <c r="AY393" i="76"/>
  <c r="AZ393" i="76"/>
  <c r="BA393" i="76"/>
  <c r="BB393" i="76"/>
  <c r="BC393" i="76"/>
  <c r="BD393" i="76"/>
  <c r="BE393" i="76"/>
  <c r="BF393" i="76"/>
  <c r="BG393" i="76"/>
  <c r="BH393" i="76"/>
  <c r="BI393" i="76"/>
  <c r="BJ393" i="76"/>
  <c r="BK393" i="76"/>
  <c r="BM393" i="76"/>
  <c r="A394" i="76"/>
  <c r="B394" i="76"/>
  <c r="D394" i="76"/>
  <c r="G394" i="76"/>
  <c r="H394" i="76"/>
  <c r="J394" i="76"/>
  <c r="K394" i="76"/>
  <c r="L394" i="76"/>
  <c r="P394" i="76"/>
  <c r="R394" i="76"/>
  <c r="U394" i="76"/>
  <c r="V394" i="76"/>
  <c r="AE394" i="76"/>
  <c r="AJ394" i="76"/>
  <c r="AK394" i="76"/>
  <c r="AL394" i="76"/>
  <c r="AM394" i="76"/>
  <c r="AN394" i="76"/>
  <c r="AO394" i="76"/>
  <c r="AP394" i="76"/>
  <c r="AQ394" i="76"/>
  <c r="AR394" i="76"/>
  <c r="AS394" i="76"/>
  <c r="AT394" i="76"/>
  <c r="AU394" i="76"/>
  <c r="AV394" i="76"/>
  <c r="AW394" i="76"/>
  <c r="AX394" i="76"/>
  <c r="AY394" i="76"/>
  <c r="AZ394" i="76"/>
  <c r="BA394" i="76"/>
  <c r="BB394" i="76"/>
  <c r="BC394" i="76"/>
  <c r="BD394" i="76"/>
  <c r="BE394" i="76"/>
  <c r="BF394" i="76"/>
  <c r="BG394" i="76"/>
  <c r="BH394" i="76"/>
  <c r="BI394" i="76"/>
  <c r="BJ394" i="76"/>
  <c r="BK394" i="76"/>
  <c r="BM394" i="76"/>
  <c r="A395" i="76"/>
  <c r="B395" i="76"/>
  <c r="D395" i="76"/>
  <c r="G395" i="76"/>
  <c r="H395" i="76"/>
  <c r="J395" i="76"/>
  <c r="K395" i="76"/>
  <c r="L395" i="76"/>
  <c r="P395" i="76"/>
  <c r="R395" i="76"/>
  <c r="U395" i="76"/>
  <c r="V395" i="76"/>
  <c r="AE395" i="76"/>
  <c r="AJ395" i="76"/>
  <c r="AK395" i="76"/>
  <c r="AL395" i="76"/>
  <c r="AM395" i="76"/>
  <c r="AN395" i="76"/>
  <c r="AO395" i="76"/>
  <c r="AP395" i="76"/>
  <c r="AQ395" i="76"/>
  <c r="AR395" i="76"/>
  <c r="AS395" i="76"/>
  <c r="AT395" i="76"/>
  <c r="AU395" i="76"/>
  <c r="AV395" i="76"/>
  <c r="AW395" i="76"/>
  <c r="AX395" i="76"/>
  <c r="AY395" i="76"/>
  <c r="AZ395" i="76"/>
  <c r="BA395" i="76"/>
  <c r="BB395" i="76"/>
  <c r="BC395" i="76"/>
  <c r="BD395" i="76"/>
  <c r="BE395" i="76"/>
  <c r="BF395" i="76"/>
  <c r="BG395" i="76"/>
  <c r="BH395" i="76"/>
  <c r="BI395" i="76"/>
  <c r="BJ395" i="76"/>
  <c r="BK395" i="76"/>
  <c r="BM395" i="76"/>
  <c r="A396" i="76"/>
  <c r="B396" i="76"/>
  <c r="D396" i="76"/>
  <c r="G396" i="76"/>
  <c r="H396" i="76"/>
  <c r="J396" i="76"/>
  <c r="F396" i="76" s="1"/>
  <c r="K396" i="76"/>
  <c r="L396" i="76"/>
  <c r="P396" i="76"/>
  <c r="R396" i="76"/>
  <c r="U396" i="76"/>
  <c r="V396" i="76"/>
  <c r="AE396" i="76"/>
  <c r="AJ396" i="76"/>
  <c r="AK396" i="76"/>
  <c r="AL396" i="76"/>
  <c r="AM396" i="76"/>
  <c r="AN396" i="76"/>
  <c r="AO396" i="76"/>
  <c r="AP396" i="76"/>
  <c r="AQ396" i="76"/>
  <c r="AR396" i="76"/>
  <c r="AS396" i="76"/>
  <c r="AT396" i="76"/>
  <c r="AU396" i="76"/>
  <c r="AV396" i="76"/>
  <c r="AW396" i="76"/>
  <c r="AX396" i="76"/>
  <c r="AY396" i="76"/>
  <c r="AZ396" i="76"/>
  <c r="BA396" i="76"/>
  <c r="BB396" i="76"/>
  <c r="BC396" i="76"/>
  <c r="BD396" i="76"/>
  <c r="BE396" i="76"/>
  <c r="BF396" i="76"/>
  <c r="BG396" i="76"/>
  <c r="BH396" i="76"/>
  <c r="BI396" i="76"/>
  <c r="BJ396" i="76"/>
  <c r="BK396" i="76"/>
  <c r="BM396" i="76"/>
  <c r="A397" i="76"/>
  <c r="B397" i="76"/>
  <c r="D397" i="76"/>
  <c r="G397" i="76"/>
  <c r="H397" i="76"/>
  <c r="J397" i="76"/>
  <c r="F397" i="76" s="1"/>
  <c r="K397" i="76"/>
  <c r="L397" i="76"/>
  <c r="P397" i="76"/>
  <c r="R397" i="76"/>
  <c r="U397" i="76"/>
  <c r="V397" i="76"/>
  <c r="AE397" i="76"/>
  <c r="AJ397" i="76"/>
  <c r="AK397" i="76"/>
  <c r="AL397" i="76"/>
  <c r="AM397" i="76"/>
  <c r="AN397" i="76"/>
  <c r="AO397" i="76"/>
  <c r="AP397" i="76"/>
  <c r="AQ397" i="76"/>
  <c r="AR397" i="76"/>
  <c r="AS397" i="76"/>
  <c r="AT397" i="76"/>
  <c r="AU397" i="76"/>
  <c r="AV397" i="76"/>
  <c r="AW397" i="76"/>
  <c r="AX397" i="76"/>
  <c r="AY397" i="76"/>
  <c r="AZ397" i="76"/>
  <c r="BA397" i="76"/>
  <c r="BB397" i="76"/>
  <c r="BC397" i="76"/>
  <c r="BD397" i="76"/>
  <c r="BE397" i="76"/>
  <c r="BF397" i="76"/>
  <c r="BG397" i="76"/>
  <c r="BH397" i="76"/>
  <c r="BI397" i="76"/>
  <c r="BJ397" i="76"/>
  <c r="BK397" i="76"/>
  <c r="BM397" i="76"/>
  <c r="A398" i="76"/>
  <c r="B398" i="76"/>
  <c r="D398" i="76"/>
  <c r="G398" i="76"/>
  <c r="H398" i="76"/>
  <c r="J398" i="76"/>
  <c r="K398" i="76"/>
  <c r="L398" i="76"/>
  <c r="P398" i="76"/>
  <c r="R398" i="76"/>
  <c r="U398" i="76"/>
  <c r="V398" i="76"/>
  <c r="AE398" i="76"/>
  <c r="AJ398" i="76"/>
  <c r="AK398" i="76"/>
  <c r="AL398" i="76"/>
  <c r="AM398" i="76"/>
  <c r="AN398" i="76"/>
  <c r="AO398" i="76"/>
  <c r="AP398" i="76"/>
  <c r="AQ398" i="76"/>
  <c r="AR398" i="76"/>
  <c r="AS398" i="76"/>
  <c r="AT398" i="76"/>
  <c r="AU398" i="76"/>
  <c r="AV398" i="76"/>
  <c r="AW398" i="76"/>
  <c r="AX398" i="76"/>
  <c r="AY398" i="76"/>
  <c r="AZ398" i="76"/>
  <c r="BA398" i="76"/>
  <c r="BB398" i="76"/>
  <c r="BC398" i="76"/>
  <c r="BD398" i="76"/>
  <c r="BE398" i="76"/>
  <c r="BF398" i="76"/>
  <c r="BG398" i="76"/>
  <c r="BH398" i="76"/>
  <c r="BI398" i="76"/>
  <c r="BJ398" i="76"/>
  <c r="BK398" i="76"/>
  <c r="BM398" i="76"/>
  <c r="A399" i="76"/>
  <c r="B399" i="76"/>
  <c r="D399" i="76"/>
  <c r="G399" i="76"/>
  <c r="H399" i="76"/>
  <c r="J399" i="76"/>
  <c r="K399" i="76"/>
  <c r="L399" i="76"/>
  <c r="P399" i="76"/>
  <c r="R399" i="76"/>
  <c r="U399" i="76"/>
  <c r="V399" i="76"/>
  <c r="AE399" i="76"/>
  <c r="AJ399" i="76"/>
  <c r="AK399" i="76"/>
  <c r="AL399" i="76"/>
  <c r="AM399" i="76"/>
  <c r="AN399" i="76"/>
  <c r="AO399" i="76"/>
  <c r="AP399" i="76"/>
  <c r="AQ399" i="76"/>
  <c r="AR399" i="76"/>
  <c r="AS399" i="76"/>
  <c r="AT399" i="76"/>
  <c r="AU399" i="76"/>
  <c r="AV399" i="76"/>
  <c r="AW399" i="76"/>
  <c r="AX399" i="76"/>
  <c r="AY399" i="76"/>
  <c r="AZ399" i="76"/>
  <c r="BA399" i="76"/>
  <c r="BB399" i="76"/>
  <c r="BC399" i="76"/>
  <c r="BD399" i="76"/>
  <c r="BE399" i="76"/>
  <c r="BF399" i="76"/>
  <c r="BG399" i="76"/>
  <c r="BH399" i="76"/>
  <c r="BI399" i="76"/>
  <c r="BJ399" i="76"/>
  <c r="BK399" i="76"/>
  <c r="BM399" i="76"/>
  <c r="A400" i="76"/>
  <c r="B400" i="76"/>
  <c r="D400" i="76"/>
  <c r="G400" i="76"/>
  <c r="H400" i="76"/>
  <c r="J400" i="76"/>
  <c r="K400" i="76"/>
  <c r="L400" i="76"/>
  <c r="P400" i="76"/>
  <c r="R400" i="76"/>
  <c r="U400" i="76"/>
  <c r="V400" i="76"/>
  <c r="AE400" i="76"/>
  <c r="AJ400" i="76"/>
  <c r="AK400" i="76"/>
  <c r="AL400" i="76"/>
  <c r="AM400" i="76"/>
  <c r="AN400" i="76"/>
  <c r="AO400" i="76"/>
  <c r="AP400" i="76"/>
  <c r="AQ400" i="76"/>
  <c r="AR400" i="76"/>
  <c r="AS400" i="76"/>
  <c r="AT400" i="76"/>
  <c r="AU400" i="76"/>
  <c r="AV400" i="76"/>
  <c r="AW400" i="76"/>
  <c r="AX400" i="76"/>
  <c r="AY400" i="76"/>
  <c r="AZ400" i="76"/>
  <c r="BA400" i="76"/>
  <c r="BB400" i="76"/>
  <c r="BC400" i="76"/>
  <c r="BD400" i="76"/>
  <c r="BE400" i="76"/>
  <c r="BF400" i="76"/>
  <c r="BG400" i="76"/>
  <c r="BH400" i="76"/>
  <c r="BI400" i="76"/>
  <c r="BJ400" i="76"/>
  <c r="BK400" i="76"/>
  <c r="BM400" i="76"/>
  <c r="A401" i="76"/>
  <c r="B401" i="76"/>
  <c r="D401" i="76"/>
  <c r="G401" i="76"/>
  <c r="H401" i="76"/>
  <c r="J401" i="76"/>
  <c r="E401" i="76" s="1"/>
  <c r="K401" i="76"/>
  <c r="L401" i="76"/>
  <c r="P401" i="76"/>
  <c r="R401" i="76"/>
  <c r="U401" i="76"/>
  <c r="V401" i="76"/>
  <c r="AE401" i="76"/>
  <c r="AJ401" i="76"/>
  <c r="AK401" i="76"/>
  <c r="AL401" i="76"/>
  <c r="AM401" i="76"/>
  <c r="AN401" i="76"/>
  <c r="AO401" i="76"/>
  <c r="AP401" i="76"/>
  <c r="AQ401" i="76"/>
  <c r="AR401" i="76"/>
  <c r="AS401" i="76"/>
  <c r="AT401" i="76"/>
  <c r="AU401" i="76"/>
  <c r="AV401" i="76"/>
  <c r="AW401" i="76"/>
  <c r="AX401" i="76"/>
  <c r="AY401" i="76"/>
  <c r="AZ401" i="76"/>
  <c r="BA401" i="76"/>
  <c r="BB401" i="76"/>
  <c r="BC401" i="76"/>
  <c r="BD401" i="76"/>
  <c r="BE401" i="76"/>
  <c r="BF401" i="76"/>
  <c r="BG401" i="76"/>
  <c r="BH401" i="76"/>
  <c r="BI401" i="76"/>
  <c r="BJ401" i="76"/>
  <c r="BK401" i="76"/>
  <c r="BM401" i="76"/>
  <c r="A402" i="76"/>
  <c r="B402" i="76"/>
  <c r="D402" i="76"/>
  <c r="G402" i="76"/>
  <c r="H402" i="76"/>
  <c r="J402" i="76"/>
  <c r="K402" i="76"/>
  <c r="L402" i="76"/>
  <c r="P402" i="76"/>
  <c r="R402" i="76"/>
  <c r="U402" i="76"/>
  <c r="V402" i="76"/>
  <c r="AE402" i="76"/>
  <c r="AJ402" i="76"/>
  <c r="AK402" i="76"/>
  <c r="AL402" i="76"/>
  <c r="AM402" i="76"/>
  <c r="AN402" i="76"/>
  <c r="AO402" i="76"/>
  <c r="AP402" i="76"/>
  <c r="AQ402" i="76"/>
  <c r="AR402" i="76"/>
  <c r="AS402" i="76"/>
  <c r="AT402" i="76"/>
  <c r="AU402" i="76"/>
  <c r="AV402" i="76"/>
  <c r="AW402" i="76"/>
  <c r="AX402" i="76"/>
  <c r="AY402" i="76"/>
  <c r="AZ402" i="76"/>
  <c r="BA402" i="76"/>
  <c r="BB402" i="76"/>
  <c r="BC402" i="76"/>
  <c r="BD402" i="76"/>
  <c r="BE402" i="76"/>
  <c r="BF402" i="76"/>
  <c r="BG402" i="76"/>
  <c r="BH402" i="76"/>
  <c r="BI402" i="76"/>
  <c r="BJ402" i="76"/>
  <c r="BK402" i="76"/>
  <c r="BM402" i="76"/>
  <c r="A403" i="76"/>
  <c r="B403" i="76"/>
  <c r="D403" i="76"/>
  <c r="G403" i="76"/>
  <c r="H403" i="76"/>
  <c r="J403" i="76"/>
  <c r="F403" i="76" s="1"/>
  <c r="K403" i="76"/>
  <c r="L403" i="76"/>
  <c r="P403" i="76"/>
  <c r="R403" i="76"/>
  <c r="U403" i="76"/>
  <c r="V403" i="76"/>
  <c r="AE403" i="76"/>
  <c r="AJ403" i="76"/>
  <c r="AK403" i="76"/>
  <c r="AL403" i="76"/>
  <c r="AM403" i="76"/>
  <c r="AN403" i="76"/>
  <c r="AO403" i="76"/>
  <c r="AP403" i="76"/>
  <c r="AQ403" i="76"/>
  <c r="AR403" i="76"/>
  <c r="AS403" i="76"/>
  <c r="AT403" i="76"/>
  <c r="AU403" i="76"/>
  <c r="AV403" i="76"/>
  <c r="AW403" i="76"/>
  <c r="AX403" i="76"/>
  <c r="AY403" i="76"/>
  <c r="AZ403" i="76"/>
  <c r="BA403" i="76"/>
  <c r="BB403" i="76"/>
  <c r="BC403" i="76"/>
  <c r="BD403" i="76"/>
  <c r="BE403" i="76"/>
  <c r="BF403" i="76"/>
  <c r="BG403" i="76"/>
  <c r="BH403" i="76"/>
  <c r="BI403" i="76"/>
  <c r="BJ403" i="76"/>
  <c r="BK403" i="76"/>
  <c r="BM403" i="76"/>
  <c r="A404" i="76"/>
  <c r="B404" i="76"/>
  <c r="D404" i="76"/>
  <c r="G404" i="76"/>
  <c r="H404" i="76"/>
  <c r="J404" i="76"/>
  <c r="E404" i="76" s="1"/>
  <c r="K404" i="76"/>
  <c r="L404" i="76"/>
  <c r="P404" i="76"/>
  <c r="R404" i="76"/>
  <c r="U404" i="76"/>
  <c r="V404" i="76"/>
  <c r="AE404" i="76"/>
  <c r="AJ404" i="76"/>
  <c r="AK404" i="76"/>
  <c r="AL404" i="76"/>
  <c r="AM404" i="76"/>
  <c r="AN404" i="76"/>
  <c r="AO404" i="76"/>
  <c r="AP404" i="76"/>
  <c r="AQ404" i="76"/>
  <c r="AR404" i="76"/>
  <c r="AS404" i="76"/>
  <c r="AT404" i="76"/>
  <c r="AU404" i="76"/>
  <c r="AV404" i="76"/>
  <c r="AW404" i="76"/>
  <c r="AX404" i="76"/>
  <c r="AY404" i="76"/>
  <c r="AZ404" i="76"/>
  <c r="BA404" i="76"/>
  <c r="BB404" i="76"/>
  <c r="BC404" i="76"/>
  <c r="BD404" i="76"/>
  <c r="BE404" i="76"/>
  <c r="BF404" i="76"/>
  <c r="BG404" i="76"/>
  <c r="BH404" i="76"/>
  <c r="BI404" i="76"/>
  <c r="BJ404" i="76"/>
  <c r="BK404" i="76"/>
  <c r="BM404" i="76"/>
  <c r="A405" i="76"/>
  <c r="B405" i="76"/>
  <c r="D405" i="76"/>
  <c r="G405" i="76"/>
  <c r="H405" i="76"/>
  <c r="J405" i="76"/>
  <c r="F405" i="76" s="1"/>
  <c r="K405" i="76"/>
  <c r="L405" i="76"/>
  <c r="P405" i="76"/>
  <c r="R405" i="76"/>
  <c r="U405" i="76"/>
  <c r="V405" i="76"/>
  <c r="AE405" i="76"/>
  <c r="AJ405" i="76"/>
  <c r="AK405" i="76"/>
  <c r="AL405" i="76"/>
  <c r="AM405" i="76"/>
  <c r="AN405" i="76"/>
  <c r="AO405" i="76"/>
  <c r="AP405" i="76"/>
  <c r="AQ405" i="76"/>
  <c r="AR405" i="76"/>
  <c r="AS405" i="76"/>
  <c r="AT405" i="76"/>
  <c r="AU405" i="76"/>
  <c r="AV405" i="76"/>
  <c r="AW405" i="76"/>
  <c r="AX405" i="76"/>
  <c r="AY405" i="76"/>
  <c r="AZ405" i="76"/>
  <c r="BA405" i="76"/>
  <c r="BB405" i="76"/>
  <c r="BC405" i="76"/>
  <c r="BD405" i="76"/>
  <c r="BE405" i="76"/>
  <c r="BF405" i="76"/>
  <c r="BG405" i="76"/>
  <c r="BH405" i="76"/>
  <c r="BI405" i="76"/>
  <c r="BJ405" i="76"/>
  <c r="BK405" i="76"/>
  <c r="BM405" i="76"/>
  <c r="A406" i="76"/>
  <c r="B406" i="76"/>
  <c r="D406" i="76"/>
  <c r="G406" i="76"/>
  <c r="H406" i="76"/>
  <c r="J406" i="76"/>
  <c r="K406" i="76"/>
  <c r="L406" i="76"/>
  <c r="P406" i="76"/>
  <c r="R406" i="76"/>
  <c r="U406" i="76"/>
  <c r="V406" i="76"/>
  <c r="AE406" i="76"/>
  <c r="AJ406" i="76"/>
  <c r="AK406" i="76"/>
  <c r="AL406" i="76"/>
  <c r="AM406" i="76"/>
  <c r="AN406" i="76"/>
  <c r="AO406" i="76"/>
  <c r="AP406" i="76"/>
  <c r="AQ406" i="76"/>
  <c r="AR406" i="76"/>
  <c r="AS406" i="76"/>
  <c r="AT406" i="76"/>
  <c r="AU406" i="76"/>
  <c r="AV406" i="76"/>
  <c r="AW406" i="76"/>
  <c r="AX406" i="76"/>
  <c r="AY406" i="76"/>
  <c r="AZ406" i="76"/>
  <c r="BA406" i="76"/>
  <c r="BB406" i="76"/>
  <c r="BC406" i="76"/>
  <c r="BD406" i="76"/>
  <c r="BE406" i="76"/>
  <c r="BF406" i="76"/>
  <c r="BG406" i="76"/>
  <c r="BH406" i="76"/>
  <c r="BI406" i="76"/>
  <c r="BJ406" i="76"/>
  <c r="BK406" i="76"/>
  <c r="BM406" i="76"/>
  <c r="A407" i="76"/>
  <c r="B407" i="76"/>
  <c r="D407" i="76"/>
  <c r="G407" i="76"/>
  <c r="H407" i="76"/>
  <c r="J407" i="76"/>
  <c r="K407" i="76"/>
  <c r="L407" i="76"/>
  <c r="P407" i="76"/>
  <c r="R407" i="76"/>
  <c r="U407" i="76"/>
  <c r="V407" i="76"/>
  <c r="AE407" i="76"/>
  <c r="AJ407" i="76"/>
  <c r="AK407" i="76"/>
  <c r="AL407" i="76"/>
  <c r="AM407" i="76"/>
  <c r="AN407" i="76"/>
  <c r="AO407" i="76"/>
  <c r="AP407" i="76"/>
  <c r="AQ407" i="76"/>
  <c r="AR407" i="76"/>
  <c r="AS407" i="76"/>
  <c r="AT407" i="76"/>
  <c r="AU407" i="76"/>
  <c r="AV407" i="76"/>
  <c r="AW407" i="76"/>
  <c r="AX407" i="76"/>
  <c r="AY407" i="76"/>
  <c r="AZ407" i="76"/>
  <c r="BA407" i="76"/>
  <c r="BB407" i="76"/>
  <c r="BC407" i="76"/>
  <c r="BD407" i="76"/>
  <c r="BE407" i="76"/>
  <c r="BF407" i="76"/>
  <c r="BG407" i="76"/>
  <c r="BH407" i="76"/>
  <c r="BI407" i="76"/>
  <c r="BJ407" i="76"/>
  <c r="BK407" i="76"/>
  <c r="BM407" i="76"/>
  <c r="A408" i="76"/>
  <c r="B408" i="76"/>
  <c r="D408" i="76"/>
  <c r="G408" i="76"/>
  <c r="H408" i="76"/>
  <c r="J408" i="76"/>
  <c r="F408" i="76" s="1"/>
  <c r="K408" i="76"/>
  <c r="L408" i="76"/>
  <c r="P408" i="76"/>
  <c r="R408" i="76"/>
  <c r="U408" i="76"/>
  <c r="V408" i="76"/>
  <c r="AE408" i="76"/>
  <c r="AJ408" i="76"/>
  <c r="AK408" i="76"/>
  <c r="AL408" i="76"/>
  <c r="AM408" i="76"/>
  <c r="AN408" i="76"/>
  <c r="AO408" i="76"/>
  <c r="AP408" i="76"/>
  <c r="AQ408" i="76"/>
  <c r="AR408" i="76"/>
  <c r="AS408" i="76"/>
  <c r="AT408" i="76"/>
  <c r="AU408" i="76"/>
  <c r="AV408" i="76"/>
  <c r="AW408" i="76"/>
  <c r="AX408" i="76"/>
  <c r="AY408" i="76"/>
  <c r="AZ408" i="76"/>
  <c r="BA408" i="76"/>
  <c r="BB408" i="76"/>
  <c r="BC408" i="76"/>
  <c r="BD408" i="76"/>
  <c r="BE408" i="76"/>
  <c r="BF408" i="76"/>
  <c r="BG408" i="76"/>
  <c r="BH408" i="76"/>
  <c r="BI408" i="76"/>
  <c r="BJ408" i="76"/>
  <c r="BK408" i="76"/>
  <c r="BM408" i="76"/>
  <c r="A409" i="76"/>
  <c r="B409" i="76"/>
  <c r="D409" i="76"/>
  <c r="G409" i="76"/>
  <c r="H409" i="76"/>
  <c r="J409" i="76"/>
  <c r="F409" i="76" s="1"/>
  <c r="K409" i="76"/>
  <c r="L409" i="76"/>
  <c r="P409" i="76"/>
  <c r="R409" i="76"/>
  <c r="U409" i="76"/>
  <c r="V409" i="76"/>
  <c r="AE409" i="76"/>
  <c r="AJ409" i="76"/>
  <c r="AK409" i="76"/>
  <c r="AL409" i="76"/>
  <c r="AM409" i="76"/>
  <c r="AN409" i="76"/>
  <c r="AO409" i="76"/>
  <c r="AP409" i="76"/>
  <c r="AQ409" i="76"/>
  <c r="AR409" i="76"/>
  <c r="AS409" i="76"/>
  <c r="AT409" i="76"/>
  <c r="AU409" i="76"/>
  <c r="AV409" i="76"/>
  <c r="AW409" i="76"/>
  <c r="AX409" i="76"/>
  <c r="AY409" i="76"/>
  <c r="AZ409" i="76"/>
  <c r="BA409" i="76"/>
  <c r="BB409" i="76"/>
  <c r="BC409" i="76"/>
  <c r="BD409" i="76"/>
  <c r="BE409" i="76"/>
  <c r="BF409" i="76"/>
  <c r="BG409" i="76"/>
  <c r="BH409" i="76"/>
  <c r="BI409" i="76"/>
  <c r="BJ409" i="76"/>
  <c r="BK409" i="76"/>
  <c r="BM409" i="76"/>
  <c r="A410" i="76"/>
  <c r="B410" i="76"/>
  <c r="D410" i="76"/>
  <c r="G410" i="76"/>
  <c r="H410" i="76"/>
  <c r="J410" i="76"/>
  <c r="E410" i="76" s="1"/>
  <c r="K410" i="76"/>
  <c r="L410" i="76"/>
  <c r="P410" i="76"/>
  <c r="R410" i="76"/>
  <c r="U410" i="76"/>
  <c r="V410" i="76"/>
  <c r="AE410" i="76"/>
  <c r="AJ410" i="76"/>
  <c r="AK410" i="76"/>
  <c r="AL410" i="76"/>
  <c r="AM410" i="76"/>
  <c r="AN410" i="76"/>
  <c r="AO410" i="76"/>
  <c r="AP410" i="76"/>
  <c r="AQ410" i="76"/>
  <c r="AR410" i="76"/>
  <c r="AS410" i="76"/>
  <c r="AT410" i="76"/>
  <c r="AU410" i="76"/>
  <c r="AV410" i="76"/>
  <c r="AW410" i="76"/>
  <c r="AX410" i="76"/>
  <c r="AY410" i="76"/>
  <c r="AZ410" i="76"/>
  <c r="BA410" i="76"/>
  <c r="BB410" i="76"/>
  <c r="BC410" i="76"/>
  <c r="BD410" i="76"/>
  <c r="BE410" i="76"/>
  <c r="BF410" i="76"/>
  <c r="BG410" i="76"/>
  <c r="BH410" i="76"/>
  <c r="BI410" i="76"/>
  <c r="BJ410" i="76"/>
  <c r="BK410" i="76"/>
  <c r="BM410" i="76"/>
  <c r="A411" i="76"/>
  <c r="B411" i="76"/>
  <c r="D411" i="76"/>
  <c r="G411" i="76"/>
  <c r="H411" i="76"/>
  <c r="J411" i="76"/>
  <c r="F411" i="76" s="1"/>
  <c r="K411" i="76"/>
  <c r="L411" i="76"/>
  <c r="P411" i="76"/>
  <c r="R411" i="76"/>
  <c r="U411" i="76"/>
  <c r="V411" i="76"/>
  <c r="AE411" i="76"/>
  <c r="AJ411" i="76"/>
  <c r="AK411" i="76"/>
  <c r="AL411" i="76"/>
  <c r="AM411" i="76"/>
  <c r="AN411" i="76"/>
  <c r="AO411" i="76"/>
  <c r="AP411" i="76"/>
  <c r="AQ411" i="76"/>
  <c r="AR411" i="76"/>
  <c r="AS411" i="76"/>
  <c r="AT411" i="76"/>
  <c r="AU411" i="76"/>
  <c r="AV411" i="76"/>
  <c r="AW411" i="76"/>
  <c r="AX411" i="76"/>
  <c r="AY411" i="76"/>
  <c r="AZ411" i="76"/>
  <c r="BA411" i="76"/>
  <c r="BB411" i="76"/>
  <c r="BC411" i="76"/>
  <c r="BD411" i="76"/>
  <c r="BE411" i="76"/>
  <c r="BF411" i="76"/>
  <c r="BG411" i="76"/>
  <c r="BH411" i="76"/>
  <c r="BI411" i="76"/>
  <c r="BJ411" i="76"/>
  <c r="BK411" i="76"/>
  <c r="BM411" i="76"/>
  <c r="A412" i="76"/>
  <c r="B412" i="76"/>
  <c r="D412" i="76"/>
  <c r="G412" i="76"/>
  <c r="H412" i="76"/>
  <c r="J412" i="76"/>
  <c r="K412" i="76"/>
  <c r="L412" i="76"/>
  <c r="P412" i="76"/>
  <c r="R412" i="76"/>
  <c r="U412" i="76"/>
  <c r="V412" i="76"/>
  <c r="AE412" i="76"/>
  <c r="AJ412" i="76"/>
  <c r="AK412" i="76"/>
  <c r="AL412" i="76"/>
  <c r="AM412" i="76"/>
  <c r="AN412" i="76"/>
  <c r="AO412" i="76"/>
  <c r="AP412" i="76"/>
  <c r="AQ412" i="76"/>
  <c r="AR412" i="76"/>
  <c r="AS412" i="76"/>
  <c r="AT412" i="76"/>
  <c r="AU412" i="76"/>
  <c r="AV412" i="76"/>
  <c r="AW412" i="76"/>
  <c r="AX412" i="76"/>
  <c r="AY412" i="76"/>
  <c r="AZ412" i="76"/>
  <c r="BA412" i="76"/>
  <c r="BB412" i="76"/>
  <c r="BC412" i="76"/>
  <c r="BD412" i="76"/>
  <c r="BE412" i="76"/>
  <c r="BF412" i="76"/>
  <c r="BG412" i="76"/>
  <c r="BH412" i="76"/>
  <c r="BI412" i="76"/>
  <c r="BJ412" i="76"/>
  <c r="BK412" i="76"/>
  <c r="BM412" i="76"/>
  <c r="A413" i="76"/>
  <c r="B413" i="76"/>
  <c r="D413" i="76"/>
  <c r="G413" i="76"/>
  <c r="H413" i="76"/>
  <c r="J413" i="76"/>
  <c r="K413" i="76"/>
  <c r="L413" i="76"/>
  <c r="P413" i="76"/>
  <c r="R413" i="76"/>
  <c r="U413" i="76"/>
  <c r="V413" i="76"/>
  <c r="AE413" i="76"/>
  <c r="AJ413" i="76"/>
  <c r="AK413" i="76"/>
  <c r="AL413" i="76"/>
  <c r="AM413" i="76"/>
  <c r="AN413" i="76"/>
  <c r="AO413" i="76"/>
  <c r="AP413" i="76"/>
  <c r="AQ413" i="76"/>
  <c r="AR413" i="76"/>
  <c r="AS413" i="76"/>
  <c r="AT413" i="76"/>
  <c r="AU413" i="76"/>
  <c r="AV413" i="76"/>
  <c r="AW413" i="76"/>
  <c r="AX413" i="76"/>
  <c r="AY413" i="76"/>
  <c r="AZ413" i="76"/>
  <c r="BA413" i="76"/>
  <c r="BB413" i="76"/>
  <c r="BC413" i="76"/>
  <c r="BD413" i="76"/>
  <c r="BE413" i="76"/>
  <c r="BF413" i="76"/>
  <c r="BG413" i="76"/>
  <c r="BH413" i="76"/>
  <c r="BI413" i="76"/>
  <c r="BJ413" i="76"/>
  <c r="BK413" i="76"/>
  <c r="BM413" i="76"/>
  <c r="A414" i="76"/>
  <c r="B414" i="76"/>
  <c r="D414" i="76"/>
  <c r="G414" i="76"/>
  <c r="H414" i="76"/>
  <c r="J414" i="76"/>
  <c r="F414" i="76" s="1"/>
  <c r="K414" i="76"/>
  <c r="L414" i="76"/>
  <c r="P414" i="76"/>
  <c r="R414" i="76"/>
  <c r="U414" i="76"/>
  <c r="V414" i="76"/>
  <c r="AE414" i="76"/>
  <c r="AJ414" i="76"/>
  <c r="AK414" i="76"/>
  <c r="AL414" i="76"/>
  <c r="AM414" i="76"/>
  <c r="AN414" i="76"/>
  <c r="AO414" i="76"/>
  <c r="AP414" i="76"/>
  <c r="AQ414" i="76"/>
  <c r="AR414" i="76"/>
  <c r="AS414" i="76"/>
  <c r="AT414" i="76"/>
  <c r="AU414" i="76"/>
  <c r="AV414" i="76"/>
  <c r="AW414" i="76"/>
  <c r="AX414" i="76"/>
  <c r="AY414" i="76"/>
  <c r="AZ414" i="76"/>
  <c r="BA414" i="76"/>
  <c r="BB414" i="76"/>
  <c r="BC414" i="76"/>
  <c r="BD414" i="76"/>
  <c r="BE414" i="76"/>
  <c r="BF414" i="76"/>
  <c r="BG414" i="76"/>
  <c r="BH414" i="76"/>
  <c r="BI414" i="76"/>
  <c r="BJ414" i="76"/>
  <c r="BK414" i="76"/>
  <c r="BM414" i="76"/>
  <c r="A415" i="76"/>
  <c r="B415" i="76"/>
  <c r="D415" i="76"/>
  <c r="G415" i="76"/>
  <c r="H415" i="76"/>
  <c r="J415" i="76"/>
  <c r="F415" i="76" s="1"/>
  <c r="K415" i="76"/>
  <c r="L415" i="76"/>
  <c r="P415" i="76"/>
  <c r="R415" i="76"/>
  <c r="U415" i="76"/>
  <c r="V415" i="76"/>
  <c r="AE415" i="76"/>
  <c r="AJ415" i="76"/>
  <c r="AK415" i="76"/>
  <c r="AL415" i="76"/>
  <c r="AM415" i="76"/>
  <c r="AN415" i="76"/>
  <c r="AO415" i="76"/>
  <c r="AP415" i="76"/>
  <c r="AQ415" i="76"/>
  <c r="AR415" i="76"/>
  <c r="AS415" i="76"/>
  <c r="AT415" i="76"/>
  <c r="AU415" i="76"/>
  <c r="AV415" i="76"/>
  <c r="AW415" i="76"/>
  <c r="AX415" i="76"/>
  <c r="AY415" i="76"/>
  <c r="AZ415" i="76"/>
  <c r="BA415" i="76"/>
  <c r="BB415" i="76"/>
  <c r="BC415" i="76"/>
  <c r="BD415" i="76"/>
  <c r="BE415" i="76"/>
  <c r="BF415" i="76"/>
  <c r="BG415" i="76"/>
  <c r="BH415" i="76"/>
  <c r="BI415" i="76"/>
  <c r="BJ415" i="76"/>
  <c r="BK415" i="76"/>
  <c r="BM415" i="76"/>
  <c r="A416" i="76"/>
  <c r="B416" i="76"/>
  <c r="D416" i="76"/>
  <c r="G416" i="76"/>
  <c r="H416" i="76"/>
  <c r="J416" i="76"/>
  <c r="K416" i="76"/>
  <c r="L416" i="76"/>
  <c r="P416" i="76"/>
  <c r="R416" i="76"/>
  <c r="U416" i="76"/>
  <c r="V416" i="76"/>
  <c r="AE416" i="76"/>
  <c r="AJ416" i="76"/>
  <c r="AK416" i="76"/>
  <c r="AL416" i="76"/>
  <c r="AM416" i="76"/>
  <c r="AN416" i="76"/>
  <c r="AO416" i="76"/>
  <c r="AP416" i="76"/>
  <c r="AQ416" i="76"/>
  <c r="AR416" i="76"/>
  <c r="AS416" i="76"/>
  <c r="AT416" i="76"/>
  <c r="AU416" i="76"/>
  <c r="AV416" i="76"/>
  <c r="AW416" i="76"/>
  <c r="AX416" i="76"/>
  <c r="AY416" i="76"/>
  <c r="AZ416" i="76"/>
  <c r="BA416" i="76"/>
  <c r="BB416" i="76"/>
  <c r="BC416" i="76"/>
  <c r="BD416" i="76"/>
  <c r="BE416" i="76"/>
  <c r="BF416" i="76"/>
  <c r="BG416" i="76"/>
  <c r="BH416" i="76"/>
  <c r="BI416" i="76"/>
  <c r="BJ416" i="76"/>
  <c r="BK416" i="76"/>
  <c r="BM416" i="76"/>
  <c r="A417" i="76"/>
  <c r="B417" i="76"/>
  <c r="D417" i="76"/>
  <c r="G417" i="76"/>
  <c r="H417" i="76"/>
  <c r="J417" i="76"/>
  <c r="K417" i="76"/>
  <c r="L417" i="76"/>
  <c r="P417" i="76"/>
  <c r="R417" i="76"/>
  <c r="U417" i="76"/>
  <c r="V417" i="76"/>
  <c r="AE417" i="76"/>
  <c r="AJ417" i="76"/>
  <c r="AK417" i="76"/>
  <c r="AL417" i="76"/>
  <c r="AM417" i="76"/>
  <c r="AN417" i="76"/>
  <c r="AO417" i="76"/>
  <c r="AP417" i="76"/>
  <c r="AQ417" i="76"/>
  <c r="AR417" i="76"/>
  <c r="AS417" i="76"/>
  <c r="AT417" i="76"/>
  <c r="AU417" i="76"/>
  <c r="AV417" i="76"/>
  <c r="AW417" i="76"/>
  <c r="AX417" i="76"/>
  <c r="AY417" i="76"/>
  <c r="AZ417" i="76"/>
  <c r="BA417" i="76"/>
  <c r="BB417" i="76"/>
  <c r="BC417" i="76"/>
  <c r="BD417" i="76"/>
  <c r="BE417" i="76"/>
  <c r="BF417" i="76"/>
  <c r="BG417" i="76"/>
  <c r="BH417" i="76"/>
  <c r="BI417" i="76"/>
  <c r="BJ417" i="76"/>
  <c r="BK417" i="76"/>
  <c r="BM417" i="76"/>
  <c r="A418" i="76"/>
  <c r="B418" i="76"/>
  <c r="D418" i="76"/>
  <c r="G418" i="76"/>
  <c r="H418" i="76"/>
  <c r="J418" i="76"/>
  <c r="K418" i="76"/>
  <c r="L418" i="76"/>
  <c r="P418" i="76"/>
  <c r="R418" i="76"/>
  <c r="U418" i="76"/>
  <c r="V418" i="76"/>
  <c r="AE418" i="76"/>
  <c r="AJ418" i="76"/>
  <c r="AK418" i="76"/>
  <c r="AL418" i="76"/>
  <c r="AM418" i="76"/>
  <c r="AN418" i="76"/>
  <c r="AO418" i="76"/>
  <c r="AP418" i="76"/>
  <c r="AQ418" i="76"/>
  <c r="AR418" i="76"/>
  <c r="AS418" i="76"/>
  <c r="AT418" i="76"/>
  <c r="AU418" i="76"/>
  <c r="AV418" i="76"/>
  <c r="AW418" i="76"/>
  <c r="AX418" i="76"/>
  <c r="AY418" i="76"/>
  <c r="AZ418" i="76"/>
  <c r="BA418" i="76"/>
  <c r="BB418" i="76"/>
  <c r="BC418" i="76"/>
  <c r="BD418" i="76"/>
  <c r="BE418" i="76"/>
  <c r="BF418" i="76"/>
  <c r="BG418" i="76"/>
  <c r="BH418" i="76"/>
  <c r="BI418" i="76"/>
  <c r="BJ418" i="76"/>
  <c r="BK418" i="76"/>
  <c r="BM418" i="76"/>
  <c r="A419" i="76"/>
  <c r="B419" i="76"/>
  <c r="D419" i="76"/>
  <c r="G419" i="76"/>
  <c r="H419" i="76"/>
  <c r="J419" i="76"/>
  <c r="F419" i="76" s="1"/>
  <c r="K419" i="76"/>
  <c r="L419" i="76"/>
  <c r="P419" i="76"/>
  <c r="R419" i="76"/>
  <c r="U419" i="76"/>
  <c r="V419" i="76"/>
  <c r="AE419" i="76"/>
  <c r="AJ419" i="76"/>
  <c r="AK419" i="76"/>
  <c r="AL419" i="76"/>
  <c r="AM419" i="76"/>
  <c r="AN419" i="76"/>
  <c r="AO419" i="76"/>
  <c r="AP419" i="76"/>
  <c r="AQ419" i="76"/>
  <c r="AR419" i="76"/>
  <c r="AS419" i="76"/>
  <c r="AT419" i="76"/>
  <c r="AU419" i="76"/>
  <c r="AV419" i="76"/>
  <c r="AW419" i="76"/>
  <c r="AX419" i="76"/>
  <c r="AY419" i="76"/>
  <c r="AZ419" i="76"/>
  <c r="BA419" i="76"/>
  <c r="BB419" i="76"/>
  <c r="BC419" i="76"/>
  <c r="BD419" i="76"/>
  <c r="BE419" i="76"/>
  <c r="BF419" i="76"/>
  <c r="BG419" i="76"/>
  <c r="BH419" i="76"/>
  <c r="BI419" i="76"/>
  <c r="BJ419" i="76"/>
  <c r="BK419" i="76"/>
  <c r="BM419" i="76"/>
  <c r="A420" i="76"/>
  <c r="B420" i="76"/>
  <c r="D420" i="76"/>
  <c r="G420" i="76"/>
  <c r="H420" i="76"/>
  <c r="J420" i="76"/>
  <c r="K420" i="76"/>
  <c r="L420" i="76"/>
  <c r="P420" i="76"/>
  <c r="R420" i="76"/>
  <c r="U420" i="76"/>
  <c r="V420" i="76"/>
  <c r="AE420" i="76"/>
  <c r="AJ420" i="76"/>
  <c r="AK420" i="76"/>
  <c r="AL420" i="76"/>
  <c r="AM420" i="76"/>
  <c r="AN420" i="76"/>
  <c r="AO420" i="76"/>
  <c r="AP420" i="76"/>
  <c r="AQ420" i="76"/>
  <c r="AR420" i="76"/>
  <c r="AS420" i="76"/>
  <c r="AT420" i="76"/>
  <c r="AU420" i="76"/>
  <c r="AV420" i="76"/>
  <c r="AW420" i="76"/>
  <c r="AX420" i="76"/>
  <c r="AY420" i="76"/>
  <c r="AZ420" i="76"/>
  <c r="BA420" i="76"/>
  <c r="BB420" i="76"/>
  <c r="BC420" i="76"/>
  <c r="BD420" i="76"/>
  <c r="BE420" i="76"/>
  <c r="BF420" i="76"/>
  <c r="BG420" i="76"/>
  <c r="BH420" i="76"/>
  <c r="BI420" i="76"/>
  <c r="BJ420" i="76"/>
  <c r="BK420" i="76"/>
  <c r="BM420" i="76"/>
  <c r="A421" i="76"/>
  <c r="B421" i="76"/>
  <c r="D421" i="76"/>
  <c r="G421" i="76"/>
  <c r="H421" i="76"/>
  <c r="J421" i="76"/>
  <c r="F421" i="76" s="1"/>
  <c r="K421" i="76"/>
  <c r="L421" i="76"/>
  <c r="P421" i="76"/>
  <c r="R421" i="76"/>
  <c r="U421" i="76"/>
  <c r="V421" i="76"/>
  <c r="AE421" i="76"/>
  <c r="AJ421" i="76"/>
  <c r="AK421" i="76"/>
  <c r="AL421" i="76"/>
  <c r="AM421" i="76"/>
  <c r="AN421" i="76"/>
  <c r="AO421" i="76"/>
  <c r="AP421" i="76"/>
  <c r="AQ421" i="76"/>
  <c r="AR421" i="76"/>
  <c r="AS421" i="76"/>
  <c r="AT421" i="76"/>
  <c r="AU421" i="76"/>
  <c r="AV421" i="76"/>
  <c r="AW421" i="76"/>
  <c r="AX421" i="76"/>
  <c r="AY421" i="76"/>
  <c r="AZ421" i="76"/>
  <c r="BA421" i="76"/>
  <c r="BB421" i="76"/>
  <c r="BC421" i="76"/>
  <c r="BD421" i="76"/>
  <c r="BE421" i="76"/>
  <c r="BF421" i="76"/>
  <c r="BG421" i="76"/>
  <c r="BH421" i="76"/>
  <c r="BI421" i="76"/>
  <c r="BJ421" i="76"/>
  <c r="BK421" i="76"/>
  <c r="BM421" i="76"/>
  <c r="A422" i="76"/>
  <c r="B422" i="76"/>
  <c r="D422" i="76"/>
  <c r="G422" i="76"/>
  <c r="H422" i="76"/>
  <c r="J422" i="76"/>
  <c r="E422" i="76" s="1"/>
  <c r="K422" i="76"/>
  <c r="L422" i="76"/>
  <c r="P422" i="76"/>
  <c r="R422" i="76"/>
  <c r="U422" i="76"/>
  <c r="V422" i="76"/>
  <c r="AE422" i="76"/>
  <c r="AJ422" i="76"/>
  <c r="AK422" i="76"/>
  <c r="AL422" i="76"/>
  <c r="AM422" i="76"/>
  <c r="AN422" i="76"/>
  <c r="AO422" i="76"/>
  <c r="AP422" i="76"/>
  <c r="AQ422" i="76"/>
  <c r="AR422" i="76"/>
  <c r="AS422" i="76"/>
  <c r="AT422" i="76"/>
  <c r="AU422" i="76"/>
  <c r="AV422" i="76"/>
  <c r="AW422" i="76"/>
  <c r="AX422" i="76"/>
  <c r="AY422" i="76"/>
  <c r="AZ422" i="76"/>
  <c r="BA422" i="76"/>
  <c r="BB422" i="76"/>
  <c r="BC422" i="76"/>
  <c r="BD422" i="76"/>
  <c r="BE422" i="76"/>
  <c r="BF422" i="76"/>
  <c r="BG422" i="76"/>
  <c r="BH422" i="76"/>
  <c r="BI422" i="76"/>
  <c r="BJ422" i="76"/>
  <c r="BK422" i="76"/>
  <c r="BM422" i="76"/>
  <c r="A423" i="76"/>
  <c r="B423" i="76"/>
  <c r="D423" i="76"/>
  <c r="G423" i="76"/>
  <c r="H423" i="76"/>
  <c r="J423" i="76"/>
  <c r="F423" i="76" s="1"/>
  <c r="K423" i="76"/>
  <c r="L423" i="76"/>
  <c r="P423" i="76"/>
  <c r="R423" i="76"/>
  <c r="U423" i="76"/>
  <c r="V423" i="76"/>
  <c r="AE423" i="76"/>
  <c r="AJ423" i="76"/>
  <c r="AK423" i="76"/>
  <c r="AL423" i="76"/>
  <c r="AM423" i="76"/>
  <c r="AN423" i="76"/>
  <c r="AO423" i="76"/>
  <c r="AP423" i="76"/>
  <c r="AQ423" i="76"/>
  <c r="AR423" i="76"/>
  <c r="AS423" i="76"/>
  <c r="AT423" i="76"/>
  <c r="AU423" i="76"/>
  <c r="AV423" i="76"/>
  <c r="AW423" i="76"/>
  <c r="AX423" i="76"/>
  <c r="AY423" i="76"/>
  <c r="AZ423" i="76"/>
  <c r="BA423" i="76"/>
  <c r="BB423" i="76"/>
  <c r="BC423" i="76"/>
  <c r="BD423" i="76"/>
  <c r="BE423" i="76"/>
  <c r="BF423" i="76"/>
  <c r="BG423" i="76"/>
  <c r="BH423" i="76"/>
  <c r="BI423" i="76"/>
  <c r="BJ423" i="76"/>
  <c r="BK423" i="76"/>
  <c r="BM423" i="76"/>
  <c r="A424" i="76"/>
  <c r="B424" i="76"/>
  <c r="D424" i="76"/>
  <c r="G424" i="76"/>
  <c r="H424" i="76"/>
  <c r="J424" i="76"/>
  <c r="F424" i="76" s="1"/>
  <c r="K424" i="76"/>
  <c r="L424" i="76"/>
  <c r="P424" i="76"/>
  <c r="R424" i="76"/>
  <c r="U424" i="76"/>
  <c r="V424" i="76"/>
  <c r="AE424" i="76"/>
  <c r="AJ424" i="76"/>
  <c r="AK424" i="76"/>
  <c r="AL424" i="76"/>
  <c r="AM424" i="76"/>
  <c r="AN424" i="76"/>
  <c r="AO424" i="76"/>
  <c r="AP424" i="76"/>
  <c r="AQ424" i="76"/>
  <c r="AR424" i="76"/>
  <c r="AS424" i="76"/>
  <c r="AT424" i="76"/>
  <c r="AU424" i="76"/>
  <c r="AV424" i="76"/>
  <c r="AW424" i="76"/>
  <c r="AX424" i="76"/>
  <c r="AY424" i="76"/>
  <c r="AZ424" i="76"/>
  <c r="BA424" i="76"/>
  <c r="BB424" i="76"/>
  <c r="BC424" i="76"/>
  <c r="BD424" i="76"/>
  <c r="BE424" i="76"/>
  <c r="BF424" i="76"/>
  <c r="BG424" i="76"/>
  <c r="BH424" i="76"/>
  <c r="BI424" i="76"/>
  <c r="BJ424" i="76"/>
  <c r="BK424" i="76"/>
  <c r="BM424" i="76"/>
  <c r="A425" i="76"/>
  <c r="B425" i="76"/>
  <c r="D425" i="76"/>
  <c r="G425" i="76"/>
  <c r="H425" i="76"/>
  <c r="J425" i="76"/>
  <c r="K425" i="76"/>
  <c r="L425" i="76"/>
  <c r="P425" i="76"/>
  <c r="R425" i="76"/>
  <c r="U425" i="76"/>
  <c r="V425" i="76"/>
  <c r="AE425" i="76"/>
  <c r="AJ425" i="76"/>
  <c r="AK425" i="76"/>
  <c r="AL425" i="76"/>
  <c r="AM425" i="76"/>
  <c r="AN425" i="76"/>
  <c r="AO425" i="76"/>
  <c r="AP425" i="76"/>
  <c r="AQ425" i="76"/>
  <c r="AR425" i="76"/>
  <c r="AS425" i="76"/>
  <c r="AT425" i="76"/>
  <c r="AU425" i="76"/>
  <c r="AV425" i="76"/>
  <c r="AW425" i="76"/>
  <c r="AX425" i="76"/>
  <c r="AY425" i="76"/>
  <c r="AZ425" i="76"/>
  <c r="BA425" i="76"/>
  <c r="BB425" i="76"/>
  <c r="BC425" i="76"/>
  <c r="BD425" i="76"/>
  <c r="BE425" i="76"/>
  <c r="BF425" i="76"/>
  <c r="BG425" i="76"/>
  <c r="BH425" i="76"/>
  <c r="BI425" i="76"/>
  <c r="BJ425" i="76"/>
  <c r="BK425" i="76"/>
  <c r="BM425" i="76"/>
  <c r="A426" i="76"/>
  <c r="B426" i="76"/>
  <c r="D426" i="76"/>
  <c r="G426" i="76"/>
  <c r="H426" i="76"/>
  <c r="J426" i="76"/>
  <c r="F426" i="76" s="1"/>
  <c r="K426" i="76"/>
  <c r="L426" i="76"/>
  <c r="P426" i="76"/>
  <c r="R426" i="76"/>
  <c r="U426" i="76"/>
  <c r="V426" i="76"/>
  <c r="AE426" i="76"/>
  <c r="AJ426" i="76"/>
  <c r="AK426" i="76"/>
  <c r="AL426" i="76"/>
  <c r="AM426" i="76"/>
  <c r="AN426" i="76"/>
  <c r="AO426" i="76"/>
  <c r="AP426" i="76"/>
  <c r="AQ426" i="76"/>
  <c r="AR426" i="76"/>
  <c r="AS426" i="76"/>
  <c r="AT426" i="76"/>
  <c r="AU426" i="76"/>
  <c r="AV426" i="76"/>
  <c r="AW426" i="76"/>
  <c r="AX426" i="76"/>
  <c r="AY426" i="76"/>
  <c r="AZ426" i="76"/>
  <c r="BA426" i="76"/>
  <c r="BB426" i="76"/>
  <c r="BC426" i="76"/>
  <c r="BD426" i="76"/>
  <c r="BE426" i="76"/>
  <c r="BF426" i="76"/>
  <c r="BG426" i="76"/>
  <c r="BH426" i="76"/>
  <c r="BI426" i="76"/>
  <c r="BJ426" i="76"/>
  <c r="BK426" i="76"/>
  <c r="BM426" i="76"/>
  <c r="A427" i="76"/>
  <c r="B427" i="76"/>
  <c r="D427" i="76"/>
  <c r="G427" i="76"/>
  <c r="H427" i="76"/>
  <c r="J427" i="76"/>
  <c r="K427" i="76"/>
  <c r="L427" i="76"/>
  <c r="P427" i="76"/>
  <c r="R427" i="76"/>
  <c r="U427" i="76"/>
  <c r="V427" i="76"/>
  <c r="AE427" i="76"/>
  <c r="AJ427" i="76"/>
  <c r="AK427" i="76"/>
  <c r="AL427" i="76"/>
  <c r="AM427" i="76"/>
  <c r="AN427" i="76"/>
  <c r="AO427" i="76"/>
  <c r="AP427" i="76"/>
  <c r="AQ427" i="76"/>
  <c r="AR427" i="76"/>
  <c r="AS427" i="76"/>
  <c r="AT427" i="76"/>
  <c r="AU427" i="76"/>
  <c r="AV427" i="76"/>
  <c r="AW427" i="76"/>
  <c r="AX427" i="76"/>
  <c r="AY427" i="76"/>
  <c r="AZ427" i="76"/>
  <c r="BA427" i="76"/>
  <c r="BB427" i="76"/>
  <c r="BC427" i="76"/>
  <c r="BD427" i="76"/>
  <c r="BE427" i="76"/>
  <c r="BF427" i="76"/>
  <c r="BG427" i="76"/>
  <c r="BH427" i="76"/>
  <c r="BI427" i="76"/>
  <c r="BJ427" i="76"/>
  <c r="BK427" i="76"/>
  <c r="BM427" i="76"/>
  <c r="A428" i="76"/>
  <c r="B428" i="76"/>
  <c r="D428" i="76"/>
  <c r="G428" i="76"/>
  <c r="H428" i="76"/>
  <c r="J428" i="76"/>
  <c r="E428" i="76" s="1"/>
  <c r="K428" i="76"/>
  <c r="L428" i="76"/>
  <c r="P428" i="76"/>
  <c r="R428" i="76"/>
  <c r="U428" i="76"/>
  <c r="V428" i="76"/>
  <c r="AE428" i="76"/>
  <c r="AJ428" i="76"/>
  <c r="AK428" i="76"/>
  <c r="AL428" i="76"/>
  <c r="AM428" i="76"/>
  <c r="AN428" i="76"/>
  <c r="AO428" i="76"/>
  <c r="AP428" i="76"/>
  <c r="AQ428" i="76"/>
  <c r="AR428" i="76"/>
  <c r="AS428" i="76"/>
  <c r="AT428" i="76"/>
  <c r="AU428" i="76"/>
  <c r="AV428" i="76"/>
  <c r="AW428" i="76"/>
  <c r="AX428" i="76"/>
  <c r="AY428" i="76"/>
  <c r="AZ428" i="76"/>
  <c r="BA428" i="76"/>
  <c r="BB428" i="76"/>
  <c r="BC428" i="76"/>
  <c r="BD428" i="76"/>
  <c r="BE428" i="76"/>
  <c r="BF428" i="76"/>
  <c r="BG428" i="76"/>
  <c r="BH428" i="76"/>
  <c r="BI428" i="76"/>
  <c r="BJ428" i="76"/>
  <c r="BK428" i="76"/>
  <c r="BM428" i="76"/>
  <c r="A429" i="76"/>
  <c r="B429" i="76"/>
  <c r="D429" i="76"/>
  <c r="G429" i="76"/>
  <c r="H429" i="76"/>
  <c r="J429" i="76"/>
  <c r="K429" i="76"/>
  <c r="L429" i="76"/>
  <c r="P429" i="76"/>
  <c r="R429" i="76"/>
  <c r="U429" i="76"/>
  <c r="V429" i="76"/>
  <c r="AE429" i="76"/>
  <c r="AJ429" i="76"/>
  <c r="AK429" i="76"/>
  <c r="AL429" i="76"/>
  <c r="AM429" i="76"/>
  <c r="AN429" i="76"/>
  <c r="AO429" i="76"/>
  <c r="AP429" i="76"/>
  <c r="AQ429" i="76"/>
  <c r="AR429" i="76"/>
  <c r="AS429" i="76"/>
  <c r="AT429" i="76"/>
  <c r="AU429" i="76"/>
  <c r="AV429" i="76"/>
  <c r="AW429" i="76"/>
  <c r="AX429" i="76"/>
  <c r="AY429" i="76"/>
  <c r="AZ429" i="76"/>
  <c r="BA429" i="76"/>
  <c r="BB429" i="76"/>
  <c r="BC429" i="76"/>
  <c r="BD429" i="76"/>
  <c r="BE429" i="76"/>
  <c r="BF429" i="76"/>
  <c r="BG429" i="76"/>
  <c r="BH429" i="76"/>
  <c r="BI429" i="76"/>
  <c r="BJ429" i="76"/>
  <c r="BK429" i="76"/>
  <c r="BM429" i="76"/>
  <c r="A430" i="76"/>
  <c r="B430" i="76"/>
  <c r="D430" i="76"/>
  <c r="G430" i="76"/>
  <c r="H430" i="76"/>
  <c r="J430" i="76"/>
  <c r="K430" i="76"/>
  <c r="L430" i="76"/>
  <c r="P430" i="76"/>
  <c r="R430" i="76"/>
  <c r="U430" i="76"/>
  <c r="V430" i="76"/>
  <c r="AE430" i="76"/>
  <c r="AJ430" i="76"/>
  <c r="AK430" i="76"/>
  <c r="AL430" i="76"/>
  <c r="AM430" i="76"/>
  <c r="AN430" i="76"/>
  <c r="AO430" i="76"/>
  <c r="AP430" i="76"/>
  <c r="AQ430" i="76"/>
  <c r="AR430" i="76"/>
  <c r="AS430" i="76"/>
  <c r="AT430" i="76"/>
  <c r="AU430" i="76"/>
  <c r="AV430" i="76"/>
  <c r="AW430" i="76"/>
  <c r="AX430" i="76"/>
  <c r="AY430" i="76"/>
  <c r="AZ430" i="76"/>
  <c r="BA430" i="76"/>
  <c r="BB430" i="76"/>
  <c r="BC430" i="76"/>
  <c r="BD430" i="76"/>
  <c r="BE430" i="76"/>
  <c r="BF430" i="76"/>
  <c r="BG430" i="76"/>
  <c r="BH430" i="76"/>
  <c r="BI430" i="76"/>
  <c r="BJ430" i="76"/>
  <c r="BK430" i="76"/>
  <c r="BM430" i="76"/>
  <c r="A431" i="76"/>
  <c r="B431" i="76"/>
  <c r="D431" i="76"/>
  <c r="G431" i="76"/>
  <c r="H431" i="76"/>
  <c r="J431" i="76"/>
  <c r="K431" i="76"/>
  <c r="L431" i="76"/>
  <c r="P431" i="76"/>
  <c r="R431" i="76"/>
  <c r="U431" i="76"/>
  <c r="V431" i="76"/>
  <c r="AE431" i="76"/>
  <c r="AJ431" i="76"/>
  <c r="AK431" i="76"/>
  <c r="AL431" i="76"/>
  <c r="AM431" i="76"/>
  <c r="AN431" i="76"/>
  <c r="AO431" i="76"/>
  <c r="AP431" i="76"/>
  <c r="AQ431" i="76"/>
  <c r="AR431" i="76"/>
  <c r="AS431" i="76"/>
  <c r="AT431" i="76"/>
  <c r="AU431" i="76"/>
  <c r="AV431" i="76"/>
  <c r="AW431" i="76"/>
  <c r="AX431" i="76"/>
  <c r="AY431" i="76"/>
  <c r="AZ431" i="76"/>
  <c r="BA431" i="76"/>
  <c r="BB431" i="76"/>
  <c r="BC431" i="76"/>
  <c r="BD431" i="76"/>
  <c r="BE431" i="76"/>
  <c r="BF431" i="76"/>
  <c r="BG431" i="76"/>
  <c r="BH431" i="76"/>
  <c r="BI431" i="76"/>
  <c r="BJ431" i="76"/>
  <c r="BK431" i="76"/>
  <c r="BM431" i="76"/>
  <c r="A432" i="76"/>
  <c r="B432" i="76"/>
  <c r="D432" i="76"/>
  <c r="G432" i="76"/>
  <c r="H432" i="76"/>
  <c r="J432" i="76"/>
  <c r="F432" i="76" s="1"/>
  <c r="K432" i="76"/>
  <c r="L432" i="76"/>
  <c r="P432" i="76"/>
  <c r="R432" i="76"/>
  <c r="U432" i="76"/>
  <c r="V432" i="76"/>
  <c r="AE432" i="76"/>
  <c r="AJ432" i="76"/>
  <c r="AK432" i="76"/>
  <c r="AL432" i="76"/>
  <c r="AM432" i="76"/>
  <c r="AN432" i="76"/>
  <c r="AO432" i="76"/>
  <c r="AP432" i="76"/>
  <c r="AQ432" i="76"/>
  <c r="AR432" i="76"/>
  <c r="AS432" i="76"/>
  <c r="AT432" i="76"/>
  <c r="AU432" i="76"/>
  <c r="AV432" i="76"/>
  <c r="AW432" i="76"/>
  <c r="AX432" i="76"/>
  <c r="AY432" i="76"/>
  <c r="AZ432" i="76"/>
  <c r="BA432" i="76"/>
  <c r="BB432" i="76"/>
  <c r="BC432" i="76"/>
  <c r="BD432" i="76"/>
  <c r="BE432" i="76"/>
  <c r="BF432" i="76"/>
  <c r="BG432" i="76"/>
  <c r="BH432" i="76"/>
  <c r="BI432" i="76"/>
  <c r="BJ432" i="76"/>
  <c r="BK432" i="76"/>
  <c r="BM432" i="76"/>
  <c r="A433" i="76"/>
  <c r="B433" i="76"/>
  <c r="D433" i="76"/>
  <c r="G433" i="76"/>
  <c r="H433" i="76"/>
  <c r="J433" i="76"/>
  <c r="F433" i="76" s="1"/>
  <c r="K433" i="76"/>
  <c r="L433" i="76"/>
  <c r="P433" i="76"/>
  <c r="R433" i="76"/>
  <c r="U433" i="76"/>
  <c r="V433" i="76"/>
  <c r="AE433" i="76"/>
  <c r="AJ433" i="76"/>
  <c r="AK433" i="76"/>
  <c r="AL433" i="76"/>
  <c r="AM433" i="76"/>
  <c r="AN433" i="76"/>
  <c r="AO433" i="76"/>
  <c r="AP433" i="76"/>
  <c r="AQ433" i="76"/>
  <c r="AR433" i="76"/>
  <c r="AS433" i="76"/>
  <c r="AT433" i="76"/>
  <c r="AU433" i="76"/>
  <c r="AV433" i="76"/>
  <c r="AW433" i="76"/>
  <c r="AX433" i="76"/>
  <c r="AY433" i="76"/>
  <c r="AZ433" i="76"/>
  <c r="BA433" i="76"/>
  <c r="BB433" i="76"/>
  <c r="BC433" i="76"/>
  <c r="BD433" i="76"/>
  <c r="BE433" i="76"/>
  <c r="BF433" i="76"/>
  <c r="BG433" i="76"/>
  <c r="BH433" i="76"/>
  <c r="BI433" i="76"/>
  <c r="BJ433" i="76"/>
  <c r="BK433" i="76"/>
  <c r="BM433" i="76"/>
  <c r="A434" i="76"/>
  <c r="B434" i="76"/>
  <c r="D434" i="76"/>
  <c r="G434" i="76"/>
  <c r="H434" i="76"/>
  <c r="J434" i="76"/>
  <c r="K434" i="76"/>
  <c r="L434" i="76"/>
  <c r="P434" i="76"/>
  <c r="R434" i="76"/>
  <c r="U434" i="76"/>
  <c r="V434" i="76"/>
  <c r="AE434" i="76"/>
  <c r="AJ434" i="76"/>
  <c r="AK434" i="76"/>
  <c r="AL434" i="76"/>
  <c r="AM434" i="76"/>
  <c r="AN434" i="76"/>
  <c r="AO434" i="76"/>
  <c r="AP434" i="76"/>
  <c r="AQ434" i="76"/>
  <c r="AR434" i="76"/>
  <c r="AS434" i="76"/>
  <c r="AT434" i="76"/>
  <c r="AU434" i="76"/>
  <c r="AV434" i="76"/>
  <c r="AW434" i="76"/>
  <c r="AX434" i="76"/>
  <c r="AY434" i="76"/>
  <c r="AZ434" i="76"/>
  <c r="BA434" i="76"/>
  <c r="BB434" i="76"/>
  <c r="BC434" i="76"/>
  <c r="BD434" i="76"/>
  <c r="BE434" i="76"/>
  <c r="BF434" i="76"/>
  <c r="BG434" i="76"/>
  <c r="BH434" i="76"/>
  <c r="BI434" i="76"/>
  <c r="BJ434" i="76"/>
  <c r="BK434" i="76"/>
  <c r="BM434" i="76"/>
  <c r="A435" i="76"/>
  <c r="B435" i="76"/>
  <c r="D435" i="76"/>
  <c r="G435" i="76"/>
  <c r="H435" i="76"/>
  <c r="J435" i="76"/>
  <c r="K435" i="76"/>
  <c r="L435" i="76"/>
  <c r="P435" i="76"/>
  <c r="R435" i="76"/>
  <c r="U435" i="76"/>
  <c r="V435" i="76"/>
  <c r="AE435" i="76"/>
  <c r="AJ435" i="76"/>
  <c r="AK435" i="76"/>
  <c r="AL435" i="76"/>
  <c r="AM435" i="76"/>
  <c r="AN435" i="76"/>
  <c r="AO435" i="76"/>
  <c r="AP435" i="76"/>
  <c r="AQ435" i="76"/>
  <c r="AR435" i="76"/>
  <c r="AS435" i="76"/>
  <c r="AT435" i="76"/>
  <c r="AU435" i="76"/>
  <c r="AV435" i="76"/>
  <c r="AW435" i="76"/>
  <c r="AX435" i="76"/>
  <c r="AY435" i="76"/>
  <c r="AZ435" i="76"/>
  <c r="BA435" i="76"/>
  <c r="BB435" i="76"/>
  <c r="BC435" i="76"/>
  <c r="BD435" i="76"/>
  <c r="BE435" i="76"/>
  <c r="BF435" i="76"/>
  <c r="BG435" i="76"/>
  <c r="BH435" i="76"/>
  <c r="BI435" i="76"/>
  <c r="BJ435" i="76"/>
  <c r="BK435" i="76"/>
  <c r="BM435" i="76"/>
  <c r="A436" i="76"/>
  <c r="B436" i="76"/>
  <c r="D436" i="76"/>
  <c r="G436" i="76"/>
  <c r="H436" i="76"/>
  <c r="J436" i="76"/>
  <c r="K436" i="76"/>
  <c r="L436" i="76"/>
  <c r="P436" i="76"/>
  <c r="R436" i="76"/>
  <c r="U436" i="76"/>
  <c r="V436" i="76"/>
  <c r="AE436" i="76"/>
  <c r="AJ436" i="76"/>
  <c r="AK436" i="76"/>
  <c r="AL436" i="76"/>
  <c r="AM436" i="76"/>
  <c r="AN436" i="76"/>
  <c r="AO436" i="76"/>
  <c r="AP436" i="76"/>
  <c r="AQ436" i="76"/>
  <c r="AR436" i="76"/>
  <c r="AS436" i="76"/>
  <c r="AT436" i="76"/>
  <c r="AU436" i="76"/>
  <c r="AV436" i="76"/>
  <c r="AW436" i="76"/>
  <c r="AX436" i="76"/>
  <c r="AY436" i="76"/>
  <c r="AZ436" i="76"/>
  <c r="BA436" i="76"/>
  <c r="BB436" i="76"/>
  <c r="BC436" i="76"/>
  <c r="BD436" i="76"/>
  <c r="BE436" i="76"/>
  <c r="BF436" i="76"/>
  <c r="BG436" i="76"/>
  <c r="BH436" i="76"/>
  <c r="BI436" i="76"/>
  <c r="BJ436" i="76"/>
  <c r="BK436" i="76"/>
  <c r="BM436" i="76"/>
  <c r="A437" i="76"/>
  <c r="B437" i="76"/>
  <c r="D437" i="76"/>
  <c r="G437" i="76"/>
  <c r="H437" i="76"/>
  <c r="J437" i="76"/>
  <c r="E437" i="76" s="1"/>
  <c r="K437" i="76"/>
  <c r="L437" i="76"/>
  <c r="P437" i="76"/>
  <c r="R437" i="76"/>
  <c r="U437" i="76"/>
  <c r="V437" i="76"/>
  <c r="AE437" i="76"/>
  <c r="AJ437" i="76"/>
  <c r="AK437" i="76"/>
  <c r="AL437" i="76"/>
  <c r="AM437" i="76"/>
  <c r="AN437" i="76"/>
  <c r="AO437" i="76"/>
  <c r="AP437" i="76"/>
  <c r="AQ437" i="76"/>
  <c r="AR437" i="76"/>
  <c r="AS437" i="76"/>
  <c r="AT437" i="76"/>
  <c r="AU437" i="76"/>
  <c r="AV437" i="76"/>
  <c r="AW437" i="76"/>
  <c r="AX437" i="76"/>
  <c r="AY437" i="76"/>
  <c r="AZ437" i="76"/>
  <c r="BA437" i="76"/>
  <c r="BB437" i="76"/>
  <c r="BC437" i="76"/>
  <c r="BD437" i="76"/>
  <c r="BE437" i="76"/>
  <c r="BF437" i="76"/>
  <c r="BG437" i="76"/>
  <c r="BH437" i="76"/>
  <c r="BI437" i="76"/>
  <c r="BJ437" i="76"/>
  <c r="BK437" i="76"/>
  <c r="BM437" i="76"/>
  <c r="A438" i="76"/>
  <c r="B438" i="76"/>
  <c r="D438" i="76"/>
  <c r="G438" i="76"/>
  <c r="H438" i="76"/>
  <c r="J438" i="76"/>
  <c r="K438" i="76"/>
  <c r="L438" i="76"/>
  <c r="P438" i="76"/>
  <c r="R438" i="76"/>
  <c r="U438" i="76"/>
  <c r="V438" i="76"/>
  <c r="AE438" i="76"/>
  <c r="AJ438" i="76"/>
  <c r="AK438" i="76"/>
  <c r="AL438" i="76"/>
  <c r="AM438" i="76"/>
  <c r="AN438" i="76"/>
  <c r="AO438" i="76"/>
  <c r="AP438" i="76"/>
  <c r="AQ438" i="76"/>
  <c r="AR438" i="76"/>
  <c r="AS438" i="76"/>
  <c r="AT438" i="76"/>
  <c r="AU438" i="76"/>
  <c r="AV438" i="76"/>
  <c r="AW438" i="76"/>
  <c r="AX438" i="76"/>
  <c r="AY438" i="76"/>
  <c r="AZ438" i="76"/>
  <c r="BA438" i="76"/>
  <c r="BB438" i="76"/>
  <c r="BC438" i="76"/>
  <c r="BD438" i="76"/>
  <c r="BE438" i="76"/>
  <c r="BF438" i="76"/>
  <c r="BG438" i="76"/>
  <c r="BH438" i="76"/>
  <c r="BI438" i="76"/>
  <c r="BJ438" i="76"/>
  <c r="BK438" i="76"/>
  <c r="BM438" i="76"/>
  <c r="A439" i="76"/>
  <c r="B439" i="76"/>
  <c r="D439" i="76"/>
  <c r="G439" i="76"/>
  <c r="H439" i="76"/>
  <c r="J439" i="76"/>
  <c r="K439" i="76"/>
  <c r="L439" i="76"/>
  <c r="P439" i="76"/>
  <c r="R439" i="76"/>
  <c r="U439" i="76"/>
  <c r="V439" i="76"/>
  <c r="AE439" i="76"/>
  <c r="AJ439" i="76"/>
  <c r="AK439" i="76"/>
  <c r="AL439" i="76"/>
  <c r="AM439" i="76"/>
  <c r="AN439" i="76"/>
  <c r="AO439" i="76"/>
  <c r="AP439" i="76"/>
  <c r="AQ439" i="76"/>
  <c r="AR439" i="76"/>
  <c r="AS439" i="76"/>
  <c r="AT439" i="76"/>
  <c r="AU439" i="76"/>
  <c r="AV439" i="76"/>
  <c r="AW439" i="76"/>
  <c r="AX439" i="76"/>
  <c r="AY439" i="76"/>
  <c r="AZ439" i="76"/>
  <c r="BA439" i="76"/>
  <c r="BB439" i="76"/>
  <c r="BC439" i="76"/>
  <c r="BD439" i="76"/>
  <c r="BE439" i="76"/>
  <c r="BF439" i="76"/>
  <c r="BG439" i="76"/>
  <c r="BH439" i="76"/>
  <c r="BI439" i="76"/>
  <c r="BJ439" i="76"/>
  <c r="BK439" i="76"/>
  <c r="BM439" i="76"/>
  <c r="A440" i="76"/>
  <c r="B440" i="76"/>
  <c r="D440" i="76"/>
  <c r="G440" i="76"/>
  <c r="H440" i="76"/>
  <c r="J440" i="76"/>
  <c r="F440" i="76" s="1"/>
  <c r="K440" i="76"/>
  <c r="L440" i="76"/>
  <c r="P440" i="76"/>
  <c r="R440" i="76"/>
  <c r="U440" i="76"/>
  <c r="V440" i="76"/>
  <c r="AE440" i="76"/>
  <c r="AJ440" i="76"/>
  <c r="AK440" i="76"/>
  <c r="AL440" i="76"/>
  <c r="AM440" i="76"/>
  <c r="AN440" i="76"/>
  <c r="AO440" i="76"/>
  <c r="AP440" i="76"/>
  <c r="AQ440" i="76"/>
  <c r="AR440" i="76"/>
  <c r="AS440" i="76"/>
  <c r="AT440" i="76"/>
  <c r="AU440" i="76"/>
  <c r="AV440" i="76"/>
  <c r="AW440" i="76"/>
  <c r="AX440" i="76"/>
  <c r="AY440" i="76"/>
  <c r="AZ440" i="76"/>
  <c r="BA440" i="76"/>
  <c r="BB440" i="76"/>
  <c r="BC440" i="76"/>
  <c r="BD440" i="76"/>
  <c r="BE440" i="76"/>
  <c r="BF440" i="76"/>
  <c r="BG440" i="76"/>
  <c r="BH440" i="76"/>
  <c r="BI440" i="76"/>
  <c r="BJ440" i="76"/>
  <c r="BK440" i="76"/>
  <c r="BM440" i="76"/>
  <c r="A441" i="76"/>
  <c r="B441" i="76"/>
  <c r="D441" i="76"/>
  <c r="G441" i="76"/>
  <c r="H441" i="76"/>
  <c r="J441" i="76"/>
  <c r="F441" i="76" s="1"/>
  <c r="K441" i="76"/>
  <c r="L441" i="76"/>
  <c r="P441" i="76"/>
  <c r="R441" i="76"/>
  <c r="U441" i="76"/>
  <c r="V441" i="76"/>
  <c r="AE441" i="76"/>
  <c r="AJ441" i="76"/>
  <c r="AK441" i="76"/>
  <c r="AL441" i="76"/>
  <c r="AM441" i="76"/>
  <c r="AN441" i="76"/>
  <c r="AO441" i="76"/>
  <c r="AP441" i="76"/>
  <c r="AQ441" i="76"/>
  <c r="AR441" i="76"/>
  <c r="AS441" i="76"/>
  <c r="AT441" i="76"/>
  <c r="AU441" i="76"/>
  <c r="AV441" i="76"/>
  <c r="AW441" i="76"/>
  <c r="AX441" i="76"/>
  <c r="AY441" i="76"/>
  <c r="AZ441" i="76"/>
  <c r="BA441" i="76"/>
  <c r="BB441" i="76"/>
  <c r="BC441" i="76"/>
  <c r="BD441" i="76"/>
  <c r="BE441" i="76"/>
  <c r="BF441" i="76"/>
  <c r="BG441" i="76"/>
  <c r="BH441" i="76"/>
  <c r="BI441" i="76"/>
  <c r="BJ441" i="76"/>
  <c r="BK441" i="76"/>
  <c r="BM441" i="76"/>
  <c r="A442" i="76"/>
  <c r="B442" i="76"/>
  <c r="D442" i="76"/>
  <c r="G442" i="76"/>
  <c r="H442" i="76"/>
  <c r="J442" i="76"/>
  <c r="F442" i="76" s="1"/>
  <c r="K442" i="76"/>
  <c r="L442" i="76"/>
  <c r="P442" i="76"/>
  <c r="R442" i="76"/>
  <c r="U442" i="76"/>
  <c r="V442" i="76"/>
  <c r="AE442" i="76"/>
  <c r="AJ442" i="76"/>
  <c r="AK442" i="76"/>
  <c r="AL442" i="76"/>
  <c r="AM442" i="76"/>
  <c r="AN442" i="76"/>
  <c r="AO442" i="76"/>
  <c r="AP442" i="76"/>
  <c r="AQ442" i="76"/>
  <c r="AR442" i="76"/>
  <c r="AS442" i="76"/>
  <c r="AT442" i="76"/>
  <c r="AU442" i="76"/>
  <c r="AV442" i="76"/>
  <c r="AW442" i="76"/>
  <c r="AX442" i="76"/>
  <c r="AY442" i="76"/>
  <c r="AZ442" i="76"/>
  <c r="BA442" i="76"/>
  <c r="BB442" i="76"/>
  <c r="BC442" i="76"/>
  <c r="BD442" i="76"/>
  <c r="BE442" i="76"/>
  <c r="BF442" i="76"/>
  <c r="BG442" i="76"/>
  <c r="BH442" i="76"/>
  <c r="BI442" i="76"/>
  <c r="BJ442" i="76"/>
  <c r="BK442" i="76"/>
  <c r="BM442" i="76"/>
  <c r="A443" i="76"/>
  <c r="B443" i="76"/>
  <c r="D443" i="76"/>
  <c r="G443" i="76"/>
  <c r="H443" i="76"/>
  <c r="J443" i="76"/>
  <c r="K443" i="76"/>
  <c r="L443" i="76"/>
  <c r="P443" i="76"/>
  <c r="R443" i="76"/>
  <c r="U443" i="76"/>
  <c r="V443" i="76"/>
  <c r="AE443" i="76"/>
  <c r="AJ443" i="76"/>
  <c r="AK443" i="76"/>
  <c r="AL443" i="76"/>
  <c r="AM443" i="76"/>
  <c r="AN443" i="76"/>
  <c r="AO443" i="76"/>
  <c r="AP443" i="76"/>
  <c r="AQ443" i="76"/>
  <c r="AR443" i="76"/>
  <c r="AS443" i="76"/>
  <c r="AT443" i="76"/>
  <c r="AU443" i="76"/>
  <c r="AV443" i="76"/>
  <c r="AW443" i="76"/>
  <c r="AX443" i="76"/>
  <c r="AY443" i="76"/>
  <c r="AZ443" i="76"/>
  <c r="BA443" i="76"/>
  <c r="BB443" i="76"/>
  <c r="BC443" i="76"/>
  <c r="BD443" i="76"/>
  <c r="BE443" i="76"/>
  <c r="BF443" i="76"/>
  <c r="BG443" i="76"/>
  <c r="BH443" i="76"/>
  <c r="BI443" i="76"/>
  <c r="BJ443" i="76"/>
  <c r="BK443" i="76"/>
  <c r="BM443" i="76"/>
  <c r="A444" i="76"/>
  <c r="B444" i="76"/>
  <c r="D444" i="76"/>
  <c r="G444" i="76"/>
  <c r="H444" i="76"/>
  <c r="J444" i="76"/>
  <c r="E444" i="76" s="1"/>
  <c r="K444" i="76"/>
  <c r="L444" i="76"/>
  <c r="P444" i="76"/>
  <c r="R444" i="76"/>
  <c r="U444" i="76"/>
  <c r="V444" i="76"/>
  <c r="AE444" i="76"/>
  <c r="AJ444" i="76"/>
  <c r="AK444" i="76"/>
  <c r="AL444" i="76"/>
  <c r="AM444" i="76"/>
  <c r="AN444" i="76"/>
  <c r="AO444" i="76"/>
  <c r="AP444" i="76"/>
  <c r="AQ444" i="76"/>
  <c r="AR444" i="76"/>
  <c r="AS444" i="76"/>
  <c r="AT444" i="76"/>
  <c r="AU444" i="76"/>
  <c r="AV444" i="76"/>
  <c r="AW444" i="76"/>
  <c r="AX444" i="76"/>
  <c r="AY444" i="76"/>
  <c r="AZ444" i="76"/>
  <c r="BA444" i="76"/>
  <c r="BB444" i="76"/>
  <c r="BC444" i="76"/>
  <c r="BD444" i="76"/>
  <c r="BE444" i="76"/>
  <c r="BF444" i="76"/>
  <c r="BG444" i="76"/>
  <c r="BH444" i="76"/>
  <c r="BI444" i="76"/>
  <c r="BJ444" i="76"/>
  <c r="BK444" i="76"/>
  <c r="BM444" i="76"/>
  <c r="A445" i="76"/>
  <c r="B445" i="76"/>
  <c r="D445" i="76"/>
  <c r="G445" i="76"/>
  <c r="H445" i="76"/>
  <c r="J445" i="76"/>
  <c r="K445" i="76"/>
  <c r="L445" i="76"/>
  <c r="P445" i="76"/>
  <c r="R445" i="76"/>
  <c r="U445" i="76"/>
  <c r="V445" i="76"/>
  <c r="AE445" i="76"/>
  <c r="AJ445" i="76"/>
  <c r="AK445" i="76"/>
  <c r="AL445" i="76"/>
  <c r="AM445" i="76"/>
  <c r="AN445" i="76"/>
  <c r="AO445" i="76"/>
  <c r="AP445" i="76"/>
  <c r="AQ445" i="76"/>
  <c r="AR445" i="76"/>
  <c r="AS445" i="76"/>
  <c r="AT445" i="76"/>
  <c r="AU445" i="76"/>
  <c r="AV445" i="76"/>
  <c r="AW445" i="76"/>
  <c r="AX445" i="76"/>
  <c r="AY445" i="76"/>
  <c r="AZ445" i="76"/>
  <c r="BA445" i="76"/>
  <c r="BB445" i="76"/>
  <c r="BC445" i="76"/>
  <c r="BD445" i="76"/>
  <c r="BE445" i="76"/>
  <c r="BF445" i="76"/>
  <c r="BG445" i="76"/>
  <c r="BH445" i="76"/>
  <c r="BI445" i="76"/>
  <c r="BJ445" i="76"/>
  <c r="BK445" i="76"/>
  <c r="BM445" i="76"/>
  <c r="A446" i="76"/>
  <c r="B446" i="76"/>
  <c r="D446" i="76"/>
  <c r="G446" i="76"/>
  <c r="H446" i="76"/>
  <c r="J446" i="76"/>
  <c r="K446" i="76"/>
  <c r="L446" i="76"/>
  <c r="P446" i="76"/>
  <c r="R446" i="76"/>
  <c r="U446" i="76"/>
  <c r="V446" i="76"/>
  <c r="AE446" i="76"/>
  <c r="AJ446" i="76"/>
  <c r="AK446" i="76"/>
  <c r="AL446" i="76"/>
  <c r="AM446" i="76"/>
  <c r="AN446" i="76"/>
  <c r="AO446" i="76"/>
  <c r="AP446" i="76"/>
  <c r="AQ446" i="76"/>
  <c r="AR446" i="76"/>
  <c r="AS446" i="76"/>
  <c r="AT446" i="76"/>
  <c r="AU446" i="76"/>
  <c r="AV446" i="76"/>
  <c r="AW446" i="76"/>
  <c r="AX446" i="76"/>
  <c r="AY446" i="76"/>
  <c r="AZ446" i="76"/>
  <c r="BA446" i="76"/>
  <c r="BB446" i="76"/>
  <c r="BC446" i="76"/>
  <c r="BD446" i="76"/>
  <c r="BE446" i="76"/>
  <c r="BF446" i="76"/>
  <c r="BG446" i="76"/>
  <c r="BH446" i="76"/>
  <c r="BI446" i="76"/>
  <c r="BJ446" i="76"/>
  <c r="BK446" i="76"/>
  <c r="BM446" i="76"/>
  <c r="A447" i="76"/>
  <c r="B447" i="76"/>
  <c r="D447" i="76"/>
  <c r="G447" i="76"/>
  <c r="H447" i="76"/>
  <c r="J447" i="76"/>
  <c r="F447" i="76" s="1"/>
  <c r="K447" i="76"/>
  <c r="L447" i="76"/>
  <c r="P447" i="76"/>
  <c r="R447" i="76"/>
  <c r="U447" i="76"/>
  <c r="V447" i="76"/>
  <c r="AE447" i="76"/>
  <c r="AJ447" i="76"/>
  <c r="AK447" i="76"/>
  <c r="AL447" i="76"/>
  <c r="AM447" i="76"/>
  <c r="AN447" i="76"/>
  <c r="AO447" i="76"/>
  <c r="AP447" i="76"/>
  <c r="AQ447" i="76"/>
  <c r="AR447" i="76"/>
  <c r="AS447" i="76"/>
  <c r="AT447" i="76"/>
  <c r="AU447" i="76"/>
  <c r="AV447" i="76"/>
  <c r="AW447" i="76"/>
  <c r="AX447" i="76"/>
  <c r="AY447" i="76"/>
  <c r="AZ447" i="76"/>
  <c r="BA447" i="76"/>
  <c r="BB447" i="76"/>
  <c r="BC447" i="76"/>
  <c r="BD447" i="76"/>
  <c r="BE447" i="76"/>
  <c r="BF447" i="76"/>
  <c r="BG447" i="76"/>
  <c r="BH447" i="76"/>
  <c r="BI447" i="76"/>
  <c r="BJ447" i="76"/>
  <c r="BK447" i="76"/>
  <c r="BM447" i="76"/>
  <c r="A448" i="76"/>
  <c r="B448" i="76"/>
  <c r="D448" i="76"/>
  <c r="G448" i="76"/>
  <c r="H448" i="76"/>
  <c r="J448" i="76"/>
  <c r="F448" i="76" s="1"/>
  <c r="K448" i="76"/>
  <c r="L448" i="76"/>
  <c r="P448" i="76"/>
  <c r="R448" i="76"/>
  <c r="U448" i="76"/>
  <c r="V448" i="76"/>
  <c r="AE448" i="76"/>
  <c r="AJ448" i="76"/>
  <c r="AK448" i="76"/>
  <c r="AL448" i="76"/>
  <c r="AM448" i="76"/>
  <c r="AN448" i="76"/>
  <c r="AO448" i="76"/>
  <c r="AP448" i="76"/>
  <c r="AQ448" i="76"/>
  <c r="AR448" i="76"/>
  <c r="AS448" i="76"/>
  <c r="AT448" i="76"/>
  <c r="AU448" i="76"/>
  <c r="AV448" i="76"/>
  <c r="AW448" i="76"/>
  <c r="AX448" i="76"/>
  <c r="AY448" i="76"/>
  <c r="AZ448" i="76"/>
  <c r="BA448" i="76"/>
  <c r="BB448" i="76"/>
  <c r="BC448" i="76"/>
  <c r="BD448" i="76"/>
  <c r="BE448" i="76"/>
  <c r="BF448" i="76"/>
  <c r="BG448" i="76"/>
  <c r="BH448" i="76"/>
  <c r="BI448" i="76"/>
  <c r="BJ448" i="76"/>
  <c r="BK448" i="76"/>
  <c r="BM448" i="76"/>
  <c r="A449" i="76"/>
  <c r="B449" i="76"/>
  <c r="D449" i="76"/>
  <c r="G449" i="76"/>
  <c r="H449" i="76"/>
  <c r="J449" i="76"/>
  <c r="E449" i="76" s="1"/>
  <c r="K449" i="76"/>
  <c r="L449" i="76"/>
  <c r="P449" i="76"/>
  <c r="R449" i="76"/>
  <c r="U449" i="76"/>
  <c r="V449" i="76"/>
  <c r="AE449" i="76"/>
  <c r="AJ449" i="76"/>
  <c r="AK449" i="76"/>
  <c r="AL449" i="76"/>
  <c r="AM449" i="76"/>
  <c r="AN449" i="76"/>
  <c r="AO449" i="76"/>
  <c r="AP449" i="76"/>
  <c r="AQ449" i="76"/>
  <c r="AR449" i="76"/>
  <c r="AS449" i="76"/>
  <c r="AT449" i="76"/>
  <c r="AU449" i="76"/>
  <c r="AV449" i="76"/>
  <c r="AW449" i="76"/>
  <c r="AX449" i="76"/>
  <c r="AY449" i="76"/>
  <c r="AZ449" i="76"/>
  <c r="BA449" i="76"/>
  <c r="BB449" i="76"/>
  <c r="BC449" i="76"/>
  <c r="BD449" i="76"/>
  <c r="BE449" i="76"/>
  <c r="BF449" i="76"/>
  <c r="BG449" i="76"/>
  <c r="BH449" i="76"/>
  <c r="BI449" i="76"/>
  <c r="BJ449" i="76"/>
  <c r="BK449" i="76"/>
  <c r="BM449" i="76"/>
  <c r="A450" i="76"/>
  <c r="B450" i="76"/>
  <c r="D450" i="76"/>
  <c r="G450" i="76"/>
  <c r="H450" i="76"/>
  <c r="J450" i="76"/>
  <c r="K450" i="76"/>
  <c r="L450" i="76"/>
  <c r="P450" i="76"/>
  <c r="R450" i="76"/>
  <c r="U450" i="76"/>
  <c r="V450" i="76"/>
  <c r="AE450" i="76"/>
  <c r="AJ450" i="76"/>
  <c r="AK450" i="76"/>
  <c r="AL450" i="76"/>
  <c r="AM450" i="76"/>
  <c r="AN450" i="76"/>
  <c r="AO450" i="76"/>
  <c r="AP450" i="76"/>
  <c r="AQ450" i="76"/>
  <c r="AR450" i="76"/>
  <c r="AS450" i="76"/>
  <c r="AT450" i="76"/>
  <c r="AU450" i="76"/>
  <c r="AV450" i="76"/>
  <c r="AW450" i="76"/>
  <c r="AX450" i="76"/>
  <c r="AY450" i="76"/>
  <c r="AZ450" i="76"/>
  <c r="BA450" i="76"/>
  <c r="BB450" i="76"/>
  <c r="BC450" i="76"/>
  <c r="BD450" i="76"/>
  <c r="BE450" i="76"/>
  <c r="BF450" i="76"/>
  <c r="BG450" i="76"/>
  <c r="BH450" i="76"/>
  <c r="BI450" i="76"/>
  <c r="BJ450" i="76"/>
  <c r="BK450" i="76"/>
  <c r="BM450" i="76"/>
  <c r="A451" i="76"/>
  <c r="B451" i="76"/>
  <c r="D451" i="76"/>
  <c r="G451" i="76"/>
  <c r="H451" i="76"/>
  <c r="J451" i="76"/>
  <c r="K451" i="76"/>
  <c r="L451" i="76"/>
  <c r="P451" i="76"/>
  <c r="R451" i="76"/>
  <c r="U451" i="76"/>
  <c r="V451" i="76"/>
  <c r="AE451" i="76"/>
  <c r="AJ451" i="76"/>
  <c r="AK451" i="76"/>
  <c r="AL451" i="76"/>
  <c r="AM451" i="76"/>
  <c r="AN451" i="76"/>
  <c r="AO451" i="76"/>
  <c r="AP451" i="76"/>
  <c r="AQ451" i="76"/>
  <c r="AR451" i="76"/>
  <c r="AS451" i="76"/>
  <c r="AT451" i="76"/>
  <c r="AU451" i="76"/>
  <c r="AV451" i="76"/>
  <c r="AW451" i="76"/>
  <c r="AX451" i="76"/>
  <c r="AY451" i="76"/>
  <c r="AZ451" i="76"/>
  <c r="BA451" i="76"/>
  <c r="BB451" i="76"/>
  <c r="BC451" i="76"/>
  <c r="BD451" i="76"/>
  <c r="BE451" i="76"/>
  <c r="BF451" i="76"/>
  <c r="BG451" i="76"/>
  <c r="BH451" i="76"/>
  <c r="BI451" i="76"/>
  <c r="BJ451" i="76"/>
  <c r="BK451" i="76"/>
  <c r="BM451" i="76"/>
  <c r="A452" i="76"/>
  <c r="B452" i="76"/>
  <c r="D452" i="76"/>
  <c r="G452" i="76"/>
  <c r="H452" i="76"/>
  <c r="J452" i="76"/>
  <c r="K452" i="76"/>
  <c r="L452" i="76"/>
  <c r="P452" i="76"/>
  <c r="R452" i="76"/>
  <c r="U452" i="76"/>
  <c r="V452" i="76"/>
  <c r="AE452" i="76"/>
  <c r="AJ452" i="76"/>
  <c r="AK452" i="76"/>
  <c r="AL452" i="76"/>
  <c r="AM452" i="76"/>
  <c r="AN452" i="76"/>
  <c r="AO452" i="76"/>
  <c r="AP452" i="76"/>
  <c r="AQ452" i="76"/>
  <c r="AR452" i="76"/>
  <c r="AS452" i="76"/>
  <c r="AT452" i="76"/>
  <c r="AU452" i="76"/>
  <c r="AV452" i="76"/>
  <c r="AW452" i="76"/>
  <c r="AX452" i="76"/>
  <c r="AY452" i="76"/>
  <c r="AZ452" i="76"/>
  <c r="BA452" i="76"/>
  <c r="BB452" i="76"/>
  <c r="BC452" i="76"/>
  <c r="BD452" i="76"/>
  <c r="BE452" i="76"/>
  <c r="BF452" i="76"/>
  <c r="BG452" i="76"/>
  <c r="BH452" i="76"/>
  <c r="BI452" i="76"/>
  <c r="BJ452" i="76"/>
  <c r="BK452" i="76"/>
  <c r="BM452" i="76"/>
  <c r="A453" i="76"/>
  <c r="B453" i="76"/>
  <c r="D453" i="76"/>
  <c r="G453" i="76"/>
  <c r="H453" i="76"/>
  <c r="J453" i="76"/>
  <c r="E453" i="76" s="1"/>
  <c r="K453" i="76"/>
  <c r="L453" i="76"/>
  <c r="P453" i="76"/>
  <c r="R453" i="76"/>
  <c r="U453" i="76"/>
  <c r="V453" i="76"/>
  <c r="AE453" i="76"/>
  <c r="AJ453" i="76"/>
  <c r="AK453" i="76"/>
  <c r="AL453" i="76"/>
  <c r="AM453" i="76"/>
  <c r="AN453" i="76"/>
  <c r="AO453" i="76"/>
  <c r="AP453" i="76"/>
  <c r="AQ453" i="76"/>
  <c r="AR453" i="76"/>
  <c r="AS453" i="76"/>
  <c r="AT453" i="76"/>
  <c r="AU453" i="76"/>
  <c r="AV453" i="76"/>
  <c r="AW453" i="76"/>
  <c r="AX453" i="76"/>
  <c r="AY453" i="76"/>
  <c r="AZ453" i="76"/>
  <c r="BA453" i="76"/>
  <c r="BB453" i="76"/>
  <c r="BC453" i="76"/>
  <c r="BD453" i="76"/>
  <c r="BE453" i="76"/>
  <c r="BF453" i="76"/>
  <c r="BG453" i="76"/>
  <c r="BH453" i="76"/>
  <c r="BI453" i="76"/>
  <c r="BJ453" i="76"/>
  <c r="BK453" i="76"/>
  <c r="BM453" i="76"/>
  <c r="A454" i="76"/>
  <c r="B454" i="76"/>
  <c r="D454" i="76"/>
  <c r="G454" i="76"/>
  <c r="H454" i="76"/>
  <c r="J454" i="76"/>
  <c r="K454" i="76"/>
  <c r="L454" i="76"/>
  <c r="P454" i="76"/>
  <c r="R454" i="76"/>
  <c r="U454" i="76"/>
  <c r="V454" i="76"/>
  <c r="AE454" i="76"/>
  <c r="AJ454" i="76"/>
  <c r="AK454" i="76"/>
  <c r="AL454" i="76"/>
  <c r="AM454" i="76"/>
  <c r="AN454" i="76"/>
  <c r="AO454" i="76"/>
  <c r="AP454" i="76"/>
  <c r="AQ454" i="76"/>
  <c r="AR454" i="76"/>
  <c r="AS454" i="76"/>
  <c r="AT454" i="76"/>
  <c r="AU454" i="76"/>
  <c r="AV454" i="76"/>
  <c r="AW454" i="76"/>
  <c r="AX454" i="76"/>
  <c r="AY454" i="76"/>
  <c r="AZ454" i="76"/>
  <c r="BA454" i="76"/>
  <c r="BB454" i="76"/>
  <c r="BC454" i="76"/>
  <c r="BD454" i="76"/>
  <c r="BE454" i="76"/>
  <c r="BF454" i="76"/>
  <c r="BG454" i="76"/>
  <c r="BH454" i="76"/>
  <c r="BI454" i="76"/>
  <c r="BJ454" i="76"/>
  <c r="BK454" i="76"/>
  <c r="BM454" i="76"/>
  <c r="A455" i="76"/>
  <c r="B455" i="76"/>
  <c r="D455" i="76"/>
  <c r="G455" i="76"/>
  <c r="H455" i="76"/>
  <c r="J455" i="76"/>
  <c r="E455" i="76" s="1"/>
  <c r="K455" i="76"/>
  <c r="L455" i="76"/>
  <c r="P455" i="76"/>
  <c r="R455" i="76"/>
  <c r="U455" i="76"/>
  <c r="V455" i="76"/>
  <c r="AE455" i="76"/>
  <c r="AJ455" i="76"/>
  <c r="AK455" i="76"/>
  <c r="AL455" i="76"/>
  <c r="AM455" i="76"/>
  <c r="AN455" i="76"/>
  <c r="AO455" i="76"/>
  <c r="AP455" i="76"/>
  <c r="AQ455" i="76"/>
  <c r="AR455" i="76"/>
  <c r="AS455" i="76"/>
  <c r="AT455" i="76"/>
  <c r="AU455" i="76"/>
  <c r="AV455" i="76"/>
  <c r="AW455" i="76"/>
  <c r="AX455" i="76"/>
  <c r="AY455" i="76"/>
  <c r="AZ455" i="76"/>
  <c r="BA455" i="76"/>
  <c r="BB455" i="76"/>
  <c r="BC455" i="76"/>
  <c r="BD455" i="76"/>
  <c r="BE455" i="76"/>
  <c r="BF455" i="76"/>
  <c r="BG455" i="76"/>
  <c r="BH455" i="76"/>
  <c r="BI455" i="76"/>
  <c r="BJ455" i="76"/>
  <c r="BK455" i="76"/>
  <c r="BM455" i="76"/>
  <c r="A456" i="76"/>
  <c r="B456" i="76"/>
  <c r="D456" i="76"/>
  <c r="G456" i="76"/>
  <c r="H456" i="76"/>
  <c r="J456" i="76"/>
  <c r="E456" i="76" s="1"/>
  <c r="K456" i="76"/>
  <c r="L456" i="76"/>
  <c r="P456" i="76"/>
  <c r="R456" i="76"/>
  <c r="U456" i="76"/>
  <c r="V456" i="76"/>
  <c r="AE456" i="76"/>
  <c r="AJ456" i="76"/>
  <c r="AK456" i="76"/>
  <c r="AL456" i="76"/>
  <c r="AM456" i="76"/>
  <c r="AN456" i="76"/>
  <c r="AO456" i="76"/>
  <c r="AP456" i="76"/>
  <c r="AQ456" i="76"/>
  <c r="AR456" i="76"/>
  <c r="AS456" i="76"/>
  <c r="AT456" i="76"/>
  <c r="AU456" i="76"/>
  <c r="AV456" i="76"/>
  <c r="AW456" i="76"/>
  <c r="AX456" i="76"/>
  <c r="AY456" i="76"/>
  <c r="AZ456" i="76"/>
  <c r="BA456" i="76"/>
  <c r="BB456" i="76"/>
  <c r="BC456" i="76"/>
  <c r="BD456" i="76"/>
  <c r="BE456" i="76"/>
  <c r="BF456" i="76"/>
  <c r="BG456" i="76"/>
  <c r="BH456" i="76"/>
  <c r="BI456" i="76"/>
  <c r="BJ456" i="76"/>
  <c r="BK456" i="76"/>
  <c r="BM456" i="76"/>
  <c r="A457" i="76"/>
  <c r="B457" i="76"/>
  <c r="D457" i="76"/>
  <c r="G457" i="76"/>
  <c r="H457" i="76"/>
  <c r="J457" i="76"/>
  <c r="K457" i="76"/>
  <c r="L457" i="76"/>
  <c r="P457" i="76"/>
  <c r="R457" i="76"/>
  <c r="U457" i="76"/>
  <c r="V457" i="76"/>
  <c r="AE457" i="76"/>
  <c r="AJ457" i="76"/>
  <c r="AK457" i="76"/>
  <c r="AL457" i="76"/>
  <c r="AM457" i="76"/>
  <c r="AN457" i="76"/>
  <c r="AO457" i="76"/>
  <c r="AP457" i="76"/>
  <c r="AQ457" i="76"/>
  <c r="AR457" i="76"/>
  <c r="AS457" i="76"/>
  <c r="AT457" i="76"/>
  <c r="AU457" i="76"/>
  <c r="AV457" i="76"/>
  <c r="AW457" i="76"/>
  <c r="AX457" i="76"/>
  <c r="AY457" i="76"/>
  <c r="AZ457" i="76"/>
  <c r="BA457" i="76"/>
  <c r="BB457" i="76"/>
  <c r="BC457" i="76"/>
  <c r="BD457" i="76"/>
  <c r="BE457" i="76"/>
  <c r="BF457" i="76"/>
  <c r="BG457" i="76"/>
  <c r="BH457" i="76"/>
  <c r="BI457" i="76"/>
  <c r="BJ457" i="76"/>
  <c r="BK457" i="76"/>
  <c r="BM457" i="76"/>
  <c r="A458" i="76"/>
  <c r="B458" i="76"/>
  <c r="D458" i="76"/>
  <c r="G458" i="76"/>
  <c r="H458" i="76"/>
  <c r="J458" i="76"/>
  <c r="F458" i="76" s="1"/>
  <c r="K458" i="76"/>
  <c r="L458" i="76"/>
  <c r="P458" i="76"/>
  <c r="R458" i="76"/>
  <c r="U458" i="76"/>
  <c r="V458" i="76"/>
  <c r="AE458" i="76"/>
  <c r="AJ458" i="76"/>
  <c r="AK458" i="76"/>
  <c r="AL458" i="76"/>
  <c r="AM458" i="76"/>
  <c r="AN458" i="76"/>
  <c r="AO458" i="76"/>
  <c r="AP458" i="76"/>
  <c r="AQ458" i="76"/>
  <c r="AR458" i="76"/>
  <c r="AS458" i="76"/>
  <c r="AT458" i="76"/>
  <c r="AU458" i="76"/>
  <c r="AV458" i="76"/>
  <c r="AW458" i="76"/>
  <c r="AX458" i="76"/>
  <c r="AY458" i="76"/>
  <c r="AZ458" i="76"/>
  <c r="BA458" i="76"/>
  <c r="BB458" i="76"/>
  <c r="BC458" i="76"/>
  <c r="BD458" i="76"/>
  <c r="BE458" i="76"/>
  <c r="BF458" i="76"/>
  <c r="BG458" i="76"/>
  <c r="BH458" i="76"/>
  <c r="BI458" i="76"/>
  <c r="BJ458" i="76"/>
  <c r="BK458" i="76"/>
  <c r="BM458" i="76"/>
  <c r="A459" i="76"/>
  <c r="B459" i="76"/>
  <c r="D459" i="76"/>
  <c r="G459" i="76"/>
  <c r="H459" i="76"/>
  <c r="J459" i="76"/>
  <c r="K459" i="76"/>
  <c r="L459" i="76"/>
  <c r="P459" i="76"/>
  <c r="R459" i="76"/>
  <c r="U459" i="76"/>
  <c r="V459" i="76"/>
  <c r="AE459" i="76"/>
  <c r="AJ459" i="76"/>
  <c r="AK459" i="76"/>
  <c r="AL459" i="76"/>
  <c r="AM459" i="76"/>
  <c r="AN459" i="76"/>
  <c r="AO459" i="76"/>
  <c r="AP459" i="76"/>
  <c r="AQ459" i="76"/>
  <c r="AR459" i="76"/>
  <c r="AS459" i="76"/>
  <c r="AT459" i="76"/>
  <c r="AU459" i="76"/>
  <c r="AV459" i="76"/>
  <c r="AW459" i="76"/>
  <c r="AX459" i="76"/>
  <c r="AY459" i="76"/>
  <c r="AZ459" i="76"/>
  <c r="BA459" i="76"/>
  <c r="BB459" i="76"/>
  <c r="BC459" i="76"/>
  <c r="BD459" i="76"/>
  <c r="BE459" i="76"/>
  <c r="BF459" i="76"/>
  <c r="BG459" i="76"/>
  <c r="BH459" i="76"/>
  <c r="BI459" i="76"/>
  <c r="BJ459" i="76"/>
  <c r="BK459" i="76"/>
  <c r="BM459" i="76"/>
  <c r="A460" i="76"/>
  <c r="B460" i="76"/>
  <c r="D460" i="76"/>
  <c r="G460" i="76"/>
  <c r="H460" i="76"/>
  <c r="J460" i="76"/>
  <c r="F460" i="76" s="1"/>
  <c r="K460" i="76"/>
  <c r="L460" i="76"/>
  <c r="P460" i="76"/>
  <c r="R460" i="76"/>
  <c r="U460" i="76"/>
  <c r="V460" i="76"/>
  <c r="AE460" i="76"/>
  <c r="AJ460" i="76"/>
  <c r="AK460" i="76"/>
  <c r="AL460" i="76"/>
  <c r="AM460" i="76"/>
  <c r="AN460" i="76"/>
  <c r="AO460" i="76"/>
  <c r="AP460" i="76"/>
  <c r="AQ460" i="76"/>
  <c r="AR460" i="76"/>
  <c r="AS460" i="76"/>
  <c r="AT460" i="76"/>
  <c r="AU460" i="76"/>
  <c r="AV460" i="76"/>
  <c r="AW460" i="76"/>
  <c r="AX460" i="76"/>
  <c r="AY460" i="76"/>
  <c r="AZ460" i="76"/>
  <c r="BA460" i="76"/>
  <c r="BB460" i="76"/>
  <c r="BC460" i="76"/>
  <c r="BD460" i="76"/>
  <c r="BE460" i="76"/>
  <c r="BF460" i="76"/>
  <c r="BG460" i="76"/>
  <c r="BH460" i="76"/>
  <c r="BI460" i="76"/>
  <c r="BJ460" i="76"/>
  <c r="BK460" i="76"/>
  <c r="BM460" i="76"/>
  <c r="A461" i="76"/>
  <c r="B461" i="76"/>
  <c r="D461" i="76"/>
  <c r="G461" i="76"/>
  <c r="H461" i="76"/>
  <c r="J461" i="76"/>
  <c r="E461" i="76" s="1"/>
  <c r="K461" i="76"/>
  <c r="L461" i="76"/>
  <c r="P461" i="76"/>
  <c r="R461" i="76"/>
  <c r="U461" i="76"/>
  <c r="V461" i="76"/>
  <c r="AE461" i="76"/>
  <c r="AJ461" i="76"/>
  <c r="AK461" i="76"/>
  <c r="AL461" i="76"/>
  <c r="AM461" i="76"/>
  <c r="AN461" i="76"/>
  <c r="AO461" i="76"/>
  <c r="AP461" i="76"/>
  <c r="AQ461" i="76"/>
  <c r="AR461" i="76"/>
  <c r="AS461" i="76"/>
  <c r="AT461" i="76"/>
  <c r="AU461" i="76"/>
  <c r="AV461" i="76"/>
  <c r="AW461" i="76"/>
  <c r="AX461" i="76"/>
  <c r="AY461" i="76"/>
  <c r="AZ461" i="76"/>
  <c r="BA461" i="76"/>
  <c r="BB461" i="76"/>
  <c r="BC461" i="76"/>
  <c r="BD461" i="76"/>
  <c r="BE461" i="76"/>
  <c r="BF461" i="76"/>
  <c r="BG461" i="76"/>
  <c r="BH461" i="76"/>
  <c r="BI461" i="76"/>
  <c r="BJ461" i="76"/>
  <c r="BK461" i="76"/>
  <c r="BM461" i="76"/>
  <c r="A462" i="76"/>
  <c r="B462" i="76"/>
  <c r="D462" i="76"/>
  <c r="G462" i="76"/>
  <c r="H462" i="76"/>
  <c r="J462" i="76"/>
  <c r="K462" i="76"/>
  <c r="L462" i="76"/>
  <c r="P462" i="76"/>
  <c r="R462" i="76"/>
  <c r="U462" i="76"/>
  <c r="V462" i="76"/>
  <c r="AE462" i="76"/>
  <c r="AJ462" i="76"/>
  <c r="AK462" i="76"/>
  <c r="AL462" i="76"/>
  <c r="AM462" i="76"/>
  <c r="AN462" i="76"/>
  <c r="AO462" i="76"/>
  <c r="AP462" i="76"/>
  <c r="AQ462" i="76"/>
  <c r="AR462" i="76"/>
  <c r="AS462" i="76"/>
  <c r="AT462" i="76"/>
  <c r="AU462" i="76"/>
  <c r="AV462" i="76"/>
  <c r="AW462" i="76"/>
  <c r="AX462" i="76"/>
  <c r="AY462" i="76"/>
  <c r="AZ462" i="76"/>
  <c r="BA462" i="76"/>
  <c r="BB462" i="76"/>
  <c r="BC462" i="76"/>
  <c r="BD462" i="76"/>
  <c r="BE462" i="76"/>
  <c r="BF462" i="76"/>
  <c r="BG462" i="76"/>
  <c r="BH462" i="76"/>
  <c r="BI462" i="76"/>
  <c r="BJ462" i="76"/>
  <c r="BK462" i="76"/>
  <c r="BM462" i="76"/>
  <c r="A463" i="76"/>
  <c r="B463" i="76"/>
  <c r="D463" i="76"/>
  <c r="G463" i="76"/>
  <c r="H463" i="76"/>
  <c r="J463" i="76"/>
  <c r="K463" i="76"/>
  <c r="L463" i="76"/>
  <c r="P463" i="76"/>
  <c r="R463" i="76"/>
  <c r="U463" i="76"/>
  <c r="V463" i="76"/>
  <c r="AE463" i="76"/>
  <c r="AJ463" i="76"/>
  <c r="AK463" i="76"/>
  <c r="AL463" i="76"/>
  <c r="AM463" i="76"/>
  <c r="AN463" i="76"/>
  <c r="AO463" i="76"/>
  <c r="AP463" i="76"/>
  <c r="AQ463" i="76"/>
  <c r="AR463" i="76"/>
  <c r="AS463" i="76"/>
  <c r="AT463" i="76"/>
  <c r="AU463" i="76"/>
  <c r="AV463" i="76"/>
  <c r="AW463" i="76"/>
  <c r="AX463" i="76"/>
  <c r="AY463" i="76"/>
  <c r="AZ463" i="76"/>
  <c r="BA463" i="76"/>
  <c r="BB463" i="76"/>
  <c r="BC463" i="76"/>
  <c r="BD463" i="76"/>
  <c r="BE463" i="76"/>
  <c r="BF463" i="76"/>
  <c r="BG463" i="76"/>
  <c r="BH463" i="76"/>
  <c r="BI463" i="76"/>
  <c r="BJ463" i="76"/>
  <c r="BK463" i="76"/>
  <c r="BM463" i="76"/>
  <c r="A464" i="76"/>
  <c r="B464" i="76"/>
  <c r="D464" i="76"/>
  <c r="G464" i="76"/>
  <c r="H464" i="76"/>
  <c r="J464" i="76"/>
  <c r="K464" i="76"/>
  <c r="L464" i="76"/>
  <c r="P464" i="76"/>
  <c r="R464" i="76"/>
  <c r="U464" i="76"/>
  <c r="V464" i="76"/>
  <c r="AE464" i="76"/>
  <c r="AJ464" i="76"/>
  <c r="AK464" i="76"/>
  <c r="AL464" i="76"/>
  <c r="AM464" i="76"/>
  <c r="AN464" i="76"/>
  <c r="AO464" i="76"/>
  <c r="AP464" i="76"/>
  <c r="AQ464" i="76"/>
  <c r="AR464" i="76"/>
  <c r="AS464" i="76"/>
  <c r="AT464" i="76"/>
  <c r="AU464" i="76"/>
  <c r="AV464" i="76"/>
  <c r="AW464" i="76"/>
  <c r="AX464" i="76"/>
  <c r="AY464" i="76"/>
  <c r="AZ464" i="76"/>
  <c r="BA464" i="76"/>
  <c r="BB464" i="76"/>
  <c r="BC464" i="76"/>
  <c r="BD464" i="76"/>
  <c r="BE464" i="76"/>
  <c r="BF464" i="76"/>
  <c r="BG464" i="76"/>
  <c r="BH464" i="76"/>
  <c r="BI464" i="76"/>
  <c r="BJ464" i="76"/>
  <c r="BK464" i="76"/>
  <c r="BM464" i="76"/>
  <c r="A465" i="76"/>
  <c r="B465" i="76"/>
  <c r="D465" i="76"/>
  <c r="G465" i="76"/>
  <c r="H465" i="76"/>
  <c r="J465" i="76"/>
  <c r="E465" i="76" s="1"/>
  <c r="K465" i="76"/>
  <c r="L465" i="76"/>
  <c r="P465" i="76"/>
  <c r="R465" i="76"/>
  <c r="U465" i="76"/>
  <c r="V465" i="76"/>
  <c r="AE465" i="76"/>
  <c r="AJ465" i="76"/>
  <c r="AK465" i="76"/>
  <c r="AL465" i="76"/>
  <c r="AM465" i="76"/>
  <c r="AN465" i="76"/>
  <c r="AO465" i="76"/>
  <c r="AP465" i="76"/>
  <c r="AQ465" i="76"/>
  <c r="AR465" i="76"/>
  <c r="AS465" i="76"/>
  <c r="AT465" i="76"/>
  <c r="AU465" i="76"/>
  <c r="AV465" i="76"/>
  <c r="AW465" i="76"/>
  <c r="AX465" i="76"/>
  <c r="AY465" i="76"/>
  <c r="AZ465" i="76"/>
  <c r="BA465" i="76"/>
  <c r="BB465" i="76"/>
  <c r="BC465" i="76"/>
  <c r="BD465" i="76"/>
  <c r="BE465" i="76"/>
  <c r="BF465" i="76"/>
  <c r="BG465" i="76"/>
  <c r="BH465" i="76"/>
  <c r="BI465" i="76"/>
  <c r="BJ465" i="76"/>
  <c r="BK465" i="76"/>
  <c r="BM465" i="76"/>
  <c r="A466" i="76"/>
  <c r="B466" i="76"/>
  <c r="D466" i="76"/>
  <c r="G466" i="76"/>
  <c r="H466" i="76"/>
  <c r="J466" i="76"/>
  <c r="F466" i="76" s="1"/>
  <c r="K466" i="76"/>
  <c r="L466" i="76"/>
  <c r="P466" i="76"/>
  <c r="R466" i="76"/>
  <c r="U466" i="76"/>
  <c r="V466" i="76"/>
  <c r="AE466" i="76"/>
  <c r="AJ466" i="76"/>
  <c r="AK466" i="76"/>
  <c r="AL466" i="76"/>
  <c r="AM466" i="76"/>
  <c r="AN466" i="76"/>
  <c r="AO466" i="76"/>
  <c r="AP466" i="76"/>
  <c r="AQ466" i="76"/>
  <c r="AR466" i="76"/>
  <c r="AS466" i="76"/>
  <c r="AT466" i="76"/>
  <c r="AU466" i="76"/>
  <c r="AV466" i="76"/>
  <c r="AW466" i="76"/>
  <c r="AX466" i="76"/>
  <c r="AY466" i="76"/>
  <c r="AZ466" i="76"/>
  <c r="BA466" i="76"/>
  <c r="BB466" i="76"/>
  <c r="BC466" i="76"/>
  <c r="BD466" i="76"/>
  <c r="BE466" i="76"/>
  <c r="BF466" i="76"/>
  <c r="BG466" i="76"/>
  <c r="BH466" i="76"/>
  <c r="BI466" i="76"/>
  <c r="BJ466" i="76"/>
  <c r="BK466" i="76"/>
  <c r="BM466" i="76"/>
  <c r="A467" i="76"/>
  <c r="B467" i="76"/>
  <c r="D467" i="76"/>
  <c r="G467" i="76"/>
  <c r="H467" i="76"/>
  <c r="J467" i="76"/>
  <c r="E467" i="76" s="1"/>
  <c r="K467" i="76"/>
  <c r="L467" i="76"/>
  <c r="P467" i="76"/>
  <c r="R467" i="76"/>
  <c r="U467" i="76"/>
  <c r="V467" i="76"/>
  <c r="AE467" i="76"/>
  <c r="AJ467" i="76"/>
  <c r="AK467" i="76"/>
  <c r="AL467" i="76"/>
  <c r="AM467" i="76"/>
  <c r="AN467" i="76"/>
  <c r="AO467" i="76"/>
  <c r="AP467" i="76"/>
  <c r="AQ467" i="76"/>
  <c r="AR467" i="76"/>
  <c r="AS467" i="76"/>
  <c r="AT467" i="76"/>
  <c r="AU467" i="76"/>
  <c r="AV467" i="76"/>
  <c r="AW467" i="76"/>
  <c r="AX467" i="76"/>
  <c r="AY467" i="76"/>
  <c r="AZ467" i="76"/>
  <c r="BA467" i="76"/>
  <c r="BB467" i="76"/>
  <c r="BC467" i="76"/>
  <c r="BD467" i="76"/>
  <c r="BE467" i="76"/>
  <c r="BF467" i="76"/>
  <c r="BG467" i="76"/>
  <c r="BH467" i="76"/>
  <c r="BI467" i="76"/>
  <c r="BJ467" i="76"/>
  <c r="BK467" i="76"/>
  <c r="BM467" i="76"/>
  <c r="A468" i="76"/>
  <c r="B468" i="76"/>
  <c r="D468" i="76"/>
  <c r="G468" i="76"/>
  <c r="H468" i="76"/>
  <c r="J468" i="76"/>
  <c r="E468" i="76" s="1"/>
  <c r="K468" i="76"/>
  <c r="L468" i="76"/>
  <c r="P468" i="76"/>
  <c r="R468" i="76"/>
  <c r="U468" i="76"/>
  <c r="V468" i="76"/>
  <c r="AE468" i="76"/>
  <c r="AJ468" i="76"/>
  <c r="AK468" i="76"/>
  <c r="AL468" i="76"/>
  <c r="AM468" i="76"/>
  <c r="AN468" i="76"/>
  <c r="AO468" i="76"/>
  <c r="AP468" i="76"/>
  <c r="AQ468" i="76"/>
  <c r="AR468" i="76"/>
  <c r="AS468" i="76"/>
  <c r="AT468" i="76"/>
  <c r="AU468" i="76"/>
  <c r="AV468" i="76"/>
  <c r="AW468" i="76"/>
  <c r="AX468" i="76"/>
  <c r="AY468" i="76"/>
  <c r="AZ468" i="76"/>
  <c r="BA468" i="76"/>
  <c r="BB468" i="76"/>
  <c r="BC468" i="76"/>
  <c r="BD468" i="76"/>
  <c r="BE468" i="76"/>
  <c r="BF468" i="76"/>
  <c r="BG468" i="76"/>
  <c r="BH468" i="76"/>
  <c r="BI468" i="76"/>
  <c r="BJ468" i="76"/>
  <c r="BK468" i="76"/>
  <c r="BM468" i="76"/>
  <c r="A469" i="76"/>
  <c r="B469" i="76"/>
  <c r="D469" i="76"/>
  <c r="G469" i="76"/>
  <c r="H469" i="76"/>
  <c r="J469" i="76"/>
  <c r="K469" i="76"/>
  <c r="L469" i="76"/>
  <c r="P469" i="76"/>
  <c r="R469" i="76"/>
  <c r="U469" i="76"/>
  <c r="V469" i="76"/>
  <c r="AE469" i="76"/>
  <c r="AJ469" i="76"/>
  <c r="AK469" i="76"/>
  <c r="AL469" i="76"/>
  <c r="AM469" i="76"/>
  <c r="AN469" i="76"/>
  <c r="AO469" i="76"/>
  <c r="AP469" i="76"/>
  <c r="AQ469" i="76"/>
  <c r="AR469" i="76"/>
  <c r="AS469" i="76"/>
  <c r="AT469" i="76"/>
  <c r="AU469" i="76"/>
  <c r="AV469" i="76"/>
  <c r="AW469" i="76"/>
  <c r="AX469" i="76"/>
  <c r="AY469" i="76"/>
  <c r="AZ469" i="76"/>
  <c r="BA469" i="76"/>
  <c r="BB469" i="76"/>
  <c r="BC469" i="76"/>
  <c r="BD469" i="76"/>
  <c r="BE469" i="76"/>
  <c r="BF469" i="76"/>
  <c r="BG469" i="76"/>
  <c r="BH469" i="76"/>
  <c r="BI469" i="76"/>
  <c r="BJ469" i="76"/>
  <c r="BK469" i="76"/>
  <c r="BM469" i="76"/>
  <c r="A470" i="76"/>
  <c r="B470" i="76"/>
  <c r="D470" i="76"/>
  <c r="G470" i="76"/>
  <c r="H470" i="76"/>
  <c r="J470" i="76"/>
  <c r="E470" i="76" s="1"/>
  <c r="K470" i="76"/>
  <c r="L470" i="76"/>
  <c r="P470" i="76"/>
  <c r="R470" i="76"/>
  <c r="U470" i="76"/>
  <c r="V470" i="76"/>
  <c r="AE470" i="76"/>
  <c r="AJ470" i="76"/>
  <c r="AK470" i="76"/>
  <c r="AL470" i="76"/>
  <c r="AM470" i="76"/>
  <c r="AN470" i="76"/>
  <c r="AO470" i="76"/>
  <c r="AP470" i="76"/>
  <c r="AQ470" i="76"/>
  <c r="AR470" i="76"/>
  <c r="AS470" i="76"/>
  <c r="AT470" i="76"/>
  <c r="AU470" i="76"/>
  <c r="AV470" i="76"/>
  <c r="AW470" i="76"/>
  <c r="AX470" i="76"/>
  <c r="AY470" i="76"/>
  <c r="AZ470" i="76"/>
  <c r="BA470" i="76"/>
  <c r="BB470" i="76"/>
  <c r="BC470" i="76"/>
  <c r="BD470" i="76"/>
  <c r="BE470" i="76"/>
  <c r="BF470" i="76"/>
  <c r="BG470" i="76"/>
  <c r="BH470" i="76"/>
  <c r="BI470" i="76"/>
  <c r="BJ470" i="76"/>
  <c r="BK470" i="76"/>
  <c r="BM470" i="76"/>
  <c r="A471" i="76"/>
  <c r="B471" i="76"/>
  <c r="D471" i="76"/>
  <c r="G471" i="76"/>
  <c r="H471" i="76"/>
  <c r="J471" i="76"/>
  <c r="F471" i="76" s="1"/>
  <c r="K471" i="76"/>
  <c r="L471" i="76"/>
  <c r="P471" i="76"/>
  <c r="R471" i="76"/>
  <c r="U471" i="76"/>
  <c r="V471" i="76"/>
  <c r="AE471" i="76"/>
  <c r="AJ471" i="76"/>
  <c r="AK471" i="76"/>
  <c r="AL471" i="76"/>
  <c r="AM471" i="76"/>
  <c r="AN471" i="76"/>
  <c r="AO471" i="76"/>
  <c r="AP471" i="76"/>
  <c r="AQ471" i="76"/>
  <c r="AR471" i="76"/>
  <c r="AS471" i="76"/>
  <c r="AT471" i="76"/>
  <c r="AU471" i="76"/>
  <c r="AV471" i="76"/>
  <c r="AW471" i="76"/>
  <c r="AX471" i="76"/>
  <c r="AY471" i="76"/>
  <c r="AZ471" i="76"/>
  <c r="BA471" i="76"/>
  <c r="BB471" i="76"/>
  <c r="BC471" i="76"/>
  <c r="BD471" i="76"/>
  <c r="BE471" i="76"/>
  <c r="BF471" i="76"/>
  <c r="BG471" i="76"/>
  <c r="BH471" i="76"/>
  <c r="BI471" i="76"/>
  <c r="BJ471" i="76"/>
  <c r="BK471" i="76"/>
  <c r="BM471" i="76"/>
  <c r="A472" i="76"/>
  <c r="B472" i="76"/>
  <c r="D472" i="76"/>
  <c r="G472" i="76"/>
  <c r="H472" i="76"/>
  <c r="J472" i="76"/>
  <c r="F472" i="76" s="1"/>
  <c r="K472" i="76"/>
  <c r="L472" i="76"/>
  <c r="P472" i="76"/>
  <c r="R472" i="76"/>
  <c r="U472" i="76"/>
  <c r="V472" i="76"/>
  <c r="AE472" i="76"/>
  <c r="AJ472" i="76"/>
  <c r="AK472" i="76"/>
  <c r="AL472" i="76"/>
  <c r="AM472" i="76"/>
  <c r="AN472" i="76"/>
  <c r="AO472" i="76"/>
  <c r="AP472" i="76"/>
  <c r="AQ472" i="76"/>
  <c r="AR472" i="76"/>
  <c r="AS472" i="76"/>
  <c r="AT472" i="76"/>
  <c r="AU472" i="76"/>
  <c r="AV472" i="76"/>
  <c r="AW472" i="76"/>
  <c r="AX472" i="76"/>
  <c r="AY472" i="76"/>
  <c r="AZ472" i="76"/>
  <c r="BA472" i="76"/>
  <c r="BB472" i="76"/>
  <c r="BC472" i="76"/>
  <c r="BD472" i="76"/>
  <c r="BE472" i="76"/>
  <c r="BF472" i="76"/>
  <c r="BG472" i="76"/>
  <c r="BH472" i="76"/>
  <c r="BI472" i="76"/>
  <c r="BJ472" i="76"/>
  <c r="BK472" i="76"/>
  <c r="BM472" i="76"/>
  <c r="A473" i="76"/>
  <c r="B473" i="76"/>
  <c r="D473" i="76"/>
  <c r="G473" i="76"/>
  <c r="H473" i="76"/>
  <c r="J473" i="76"/>
  <c r="E473" i="76" s="1"/>
  <c r="K473" i="76"/>
  <c r="L473" i="76"/>
  <c r="P473" i="76"/>
  <c r="R473" i="76"/>
  <c r="U473" i="76"/>
  <c r="V473" i="76"/>
  <c r="AE473" i="76"/>
  <c r="AJ473" i="76"/>
  <c r="AK473" i="76"/>
  <c r="AL473" i="76"/>
  <c r="AM473" i="76"/>
  <c r="AN473" i="76"/>
  <c r="AO473" i="76"/>
  <c r="AP473" i="76"/>
  <c r="AQ473" i="76"/>
  <c r="AR473" i="76"/>
  <c r="AS473" i="76"/>
  <c r="AT473" i="76"/>
  <c r="AU473" i="76"/>
  <c r="AV473" i="76"/>
  <c r="AW473" i="76"/>
  <c r="AX473" i="76"/>
  <c r="AY473" i="76"/>
  <c r="AZ473" i="76"/>
  <c r="BA473" i="76"/>
  <c r="BB473" i="76"/>
  <c r="BC473" i="76"/>
  <c r="BD473" i="76"/>
  <c r="BE473" i="76"/>
  <c r="BF473" i="76"/>
  <c r="BG473" i="76"/>
  <c r="BH473" i="76"/>
  <c r="BI473" i="76"/>
  <c r="BJ473" i="76"/>
  <c r="BK473" i="76"/>
  <c r="BM473" i="76"/>
  <c r="A474" i="76"/>
  <c r="B474" i="76"/>
  <c r="D474" i="76"/>
  <c r="G474" i="76"/>
  <c r="H474" i="76"/>
  <c r="J474" i="76"/>
  <c r="K474" i="76"/>
  <c r="L474" i="76"/>
  <c r="P474" i="76"/>
  <c r="R474" i="76"/>
  <c r="U474" i="76"/>
  <c r="V474" i="76"/>
  <c r="AE474" i="76"/>
  <c r="AJ474" i="76"/>
  <c r="AK474" i="76"/>
  <c r="AL474" i="76"/>
  <c r="AM474" i="76"/>
  <c r="AN474" i="76"/>
  <c r="AO474" i="76"/>
  <c r="AP474" i="76"/>
  <c r="AQ474" i="76"/>
  <c r="AR474" i="76"/>
  <c r="AS474" i="76"/>
  <c r="AT474" i="76"/>
  <c r="AU474" i="76"/>
  <c r="AV474" i="76"/>
  <c r="AW474" i="76"/>
  <c r="AX474" i="76"/>
  <c r="AY474" i="76"/>
  <c r="AZ474" i="76"/>
  <c r="BA474" i="76"/>
  <c r="BB474" i="76"/>
  <c r="BC474" i="76"/>
  <c r="BD474" i="76"/>
  <c r="BE474" i="76"/>
  <c r="BF474" i="76"/>
  <c r="BG474" i="76"/>
  <c r="BH474" i="76"/>
  <c r="BI474" i="76"/>
  <c r="BJ474" i="76"/>
  <c r="BK474" i="76"/>
  <c r="BM474" i="76"/>
  <c r="A475" i="76"/>
  <c r="B475" i="76"/>
  <c r="D475" i="76"/>
  <c r="G475" i="76"/>
  <c r="H475" i="76"/>
  <c r="J475" i="76"/>
  <c r="F475" i="76" s="1"/>
  <c r="K475" i="76"/>
  <c r="L475" i="76"/>
  <c r="P475" i="76"/>
  <c r="R475" i="76"/>
  <c r="U475" i="76"/>
  <c r="V475" i="76"/>
  <c r="AE475" i="76"/>
  <c r="AJ475" i="76"/>
  <c r="AK475" i="76"/>
  <c r="AL475" i="76"/>
  <c r="AM475" i="76"/>
  <c r="AN475" i="76"/>
  <c r="AO475" i="76"/>
  <c r="AP475" i="76"/>
  <c r="AQ475" i="76"/>
  <c r="AR475" i="76"/>
  <c r="AS475" i="76"/>
  <c r="AT475" i="76"/>
  <c r="AU475" i="76"/>
  <c r="AV475" i="76"/>
  <c r="AW475" i="76"/>
  <c r="AX475" i="76"/>
  <c r="AY475" i="76"/>
  <c r="AZ475" i="76"/>
  <c r="BA475" i="76"/>
  <c r="BB475" i="76"/>
  <c r="BC475" i="76"/>
  <c r="BD475" i="76"/>
  <c r="BE475" i="76"/>
  <c r="BF475" i="76"/>
  <c r="BG475" i="76"/>
  <c r="BH475" i="76"/>
  <c r="BI475" i="76"/>
  <c r="BJ475" i="76"/>
  <c r="BK475" i="76"/>
  <c r="BM475" i="76"/>
  <c r="A476" i="76"/>
  <c r="B476" i="76"/>
  <c r="D476" i="76"/>
  <c r="G476" i="76"/>
  <c r="H476" i="76"/>
  <c r="J476" i="76"/>
  <c r="E476" i="76" s="1"/>
  <c r="K476" i="76"/>
  <c r="L476" i="76"/>
  <c r="P476" i="76"/>
  <c r="R476" i="76"/>
  <c r="U476" i="76"/>
  <c r="V476" i="76"/>
  <c r="AE476" i="76"/>
  <c r="AJ476" i="76"/>
  <c r="AK476" i="76"/>
  <c r="AL476" i="76"/>
  <c r="AM476" i="76"/>
  <c r="AN476" i="76"/>
  <c r="AO476" i="76"/>
  <c r="AP476" i="76"/>
  <c r="AQ476" i="76"/>
  <c r="AR476" i="76"/>
  <c r="AS476" i="76"/>
  <c r="AT476" i="76"/>
  <c r="AU476" i="76"/>
  <c r="AV476" i="76"/>
  <c r="AW476" i="76"/>
  <c r="AX476" i="76"/>
  <c r="AY476" i="76"/>
  <c r="AZ476" i="76"/>
  <c r="BA476" i="76"/>
  <c r="BB476" i="76"/>
  <c r="BC476" i="76"/>
  <c r="BD476" i="76"/>
  <c r="BE476" i="76"/>
  <c r="BF476" i="76"/>
  <c r="BG476" i="76"/>
  <c r="BH476" i="76"/>
  <c r="BI476" i="76"/>
  <c r="BJ476" i="76"/>
  <c r="BK476" i="76"/>
  <c r="BM476" i="76"/>
  <c r="A477" i="76"/>
  <c r="B477" i="76"/>
  <c r="D477" i="76"/>
  <c r="G477" i="76"/>
  <c r="H477" i="76"/>
  <c r="J477" i="76"/>
  <c r="F477" i="76" s="1"/>
  <c r="K477" i="76"/>
  <c r="L477" i="76"/>
  <c r="P477" i="76"/>
  <c r="R477" i="76"/>
  <c r="U477" i="76"/>
  <c r="V477" i="76"/>
  <c r="AE477" i="76"/>
  <c r="AJ477" i="76"/>
  <c r="AK477" i="76"/>
  <c r="AL477" i="76"/>
  <c r="AM477" i="76"/>
  <c r="AN477" i="76"/>
  <c r="AO477" i="76"/>
  <c r="AP477" i="76"/>
  <c r="AQ477" i="76"/>
  <c r="AR477" i="76"/>
  <c r="AS477" i="76"/>
  <c r="AT477" i="76"/>
  <c r="AU477" i="76"/>
  <c r="AV477" i="76"/>
  <c r="AW477" i="76"/>
  <c r="AX477" i="76"/>
  <c r="AY477" i="76"/>
  <c r="AZ477" i="76"/>
  <c r="BA477" i="76"/>
  <c r="BB477" i="76"/>
  <c r="BC477" i="76"/>
  <c r="BD477" i="76"/>
  <c r="BE477" i="76"/>
  <c r="BF477" i="76"/>
  <c r="BG477" i="76"/>
  <c r="BH477" i="76"/>
  <c r="BI477" i="76"/>
  <c r="BJ477" i="76"/>
  <c r="BK477" i="76"/>
  <c r="BM477" i="76"/>
  <c r="A478" i="76"/>
  <c r="B478" i="76"/>
  <c r="D478" i="76"/>
  <c r="G478" i="76"/>
  <c r="H478" i="76"/>
  <c r="J478" i="76"/>
  <c r="F478" i="76" s="1"/>
  <c r="K478" i="76"/>
  <c r="L478" i="76"/>
  <c r="P478" i="76"/>
  <c r="R478" i="76"/>
  <c r="U478" i="76"/>
  <c r="V478" i="76"/>
  <c r="AE478" i="76"/>
  <c r="AJ478" i="76"/>
  <c r="AK478" i="76"/>
  <c r="AL478" i="76"/>
  <c r="AM478" i="76"/>
  <c r="AN478" i="76"/>
  <c r="AO478" i="76"/>
  <c r="AP478" i="76"/>
  <c r="AQ478" i="76"/>
  <c r="AR478" i="76"/>
  <c r="AS478" i="76"/>
  <c r="AT478" i="76"/>
  <c r="AU478" i="76"/>
  <c r="AV478" i="76"/>
  <c r="AW478" i="76"/>
  <c r="AX478" i="76"/>
  <c r="AY478" i="76"/>
  <c r="AZ478" i="76"/>
  <c r="BA478" i="76"/>
  <c r="BB478" i="76"/>
  <c r="BC478" i="76"/>
  <c r="BD478" i="76"/>
  <c r="BE478" i="76"/>
  <c r="BF478" i="76"/>
  <c r="BG478" i="76"/>
  <c r="BH478" i="76"/>
  <c r="BI478" i="76"/>
  <c r="BJ478" i="76"/>
  <c r="BK478" i="76"/>
  <c r="BM478" i="76"/>
  <c r="A479" i="76"/>
  <c r="B479" i="76"/>
  <c r="D479" i="76"/>
  <c r="G479" i="76"/>
  <c r="H479" i="76"/>
  <c r="J479" i="76"/>
  <c r="K479" i="76"/>
  <c r="L479" i="76"/>
  <c r="P479" i="76"/>
  <c r="R479" i="76"/>
  <c r="U479" i="76"/>
  <c r="V479" i="76"/>
  <c r="AE479" i="76"/>
  <c r="AJ479" i="76"/>
  <c r="AK479" i="76"/>
  <c r="AL479" i="76"/>
  <c r="AM479" i="76"/>
  <c r="AN479" i="76"/>
  <c r="AO479" i="76"/>
  <c r="AP479" i="76"/>
  <c r="AQ479" i="76"/>
  <c r="AR479" i="76"/>
  <c r="AS479" i="76"/>
  <c r="AT479" i="76"/>
  <c r="AU479" i="76"/>
  <c r="AV479" i="76"/>
  <c r="AW479" i="76"/>
  <c r="AX479" i="76"/>
  <c r="AY479" i="76"/>
  <c r="AZ479" i="76"/>
  <c r="BA479" i="76"/>
  <c r="BB479" i="76"/>
  <c r="BC479" i="76"/>
  <c r="BD479" i="76"/>
  <c r="BE479" i="76"/>
  <c r="BF479" i="76"/>
  <c r="BG479" i="76"/>
  <c r="BH479" i="76"/>
  <c r="BI479" i="76"/>
  <c r="BJ479" i="76"/>
  <c r="BK479" i="76"/>
  <c r="BM479" i="76"/>
  <c r="A480" i="76"/>
  <c r="B480" i="76"/>
  <c r="D480" i="76"/>
  <c r="G480" i="76"/>
  <c r="H480" i="76"/>
  <c r="J480" i="76"/>
  <c r="K480" i="76"/>
  <c r="L480" i="76"/>
  <c r="P480" i="76"/>
  <c r="R480" i="76"/>
  <c r="U480" i="76"/>
  <c r="V480" i="76"/>
  <c r="AE480" i="76"/>
  <c r="AJ480" i="76"/>
  <c r="AK480" i="76"/>
  <c r="AL480" i="76"/>
  <c r="AM480" i="76"/>
  <c r="AN480" i="76"/>
  <c r="AO480" i="76"/>
  <c r="AP480" i="76"/>
  <c r="AQ480" i="76"/>
  <c r="AR480" i="76"/>
  <c r="AS480" i="76"/>
  <c r="AT480" i="76"/>
  <c r="AU480" i="76"/>
  <c r="AV480" i="76"/>
  <c r="AW480" i="76"/>
  <c r="AX480" i="76"/>
  <c r="AY480" i="76"/>
  <c r="AZ480" i="76"/>
  <c r="BA480" i="76"/>
  <c r="BB480" i="76"/>
  <c r="BC480" i="76"/>
  <c r="BD480" i="76"/>
  <c r="BE480" i="76"/>
  <c r="BF480" i="76"/>
  <c r="BG480" i="76"/>
  <c r="BH480" i="76"/>
  <c r="BI480" i="76"/>
  <c r="BJ480" i="76"/>
  <c r="BK480" i="76"/>
  <c r="BM480" i="76"/>
  <c r="A481" i="76"/>
  <c r="B481" i="76"/>
  <c r="D481" i="76"/>
  <c r="G481" i="76"/>
  <c r="H481" i="76"/>
  <c r="J481" i="76"/>
  <c r="F481" i="76" s="1"/>
  <c r="K481" i="76"/>
  <c r="L481" i="76"/>
  <c r="P481" i="76"/>
  <c r="R481" i="76"/>
  <c r="U481" i="76"/>
  <c r="V481" i="76"/>
  <c r="AE481" i="76"/>
  <c r="AJ481" i="76"/>
  <c r="AK481" i="76"/>
  <c r="AL481" i="76"/>
  <c r="AM481" i="76"/>
  <c r="AN481" i="76"/>
  <c r="AO481" i="76"/>
  <c r="AP481" i="76"/>
  <c r="AQ481" i="76"/>
  <c r="AR481" i="76"/>
  <c r="AS481" i="76"/>
  <c r="AT481" i="76"/>
  <c r="AU481" i="76"/>
  <c r="AV481" i="76"/>
  <c r="AW481" i="76"/>
  <c r="AX481" i="76"/>
  <c r="AY481" i="76"/>
  <c r="AZ481" i="76"/>
  <c r="BA481" i="76"/>
  <c r="BB481" i="76"/>
  <c r="BC481" i="76"/>
  <c r="BD481" i="76"/>
  <c r="BE481" i="76"/>
  <c r="BF481" i="76"/>
  <c r="BG481" i="76"/>
  <c r="BH481" i="76"/>
  <c r="BI481" i="76"/>
  <c r="BJ481" i="76"/>
  <c r="BK481" i="76"/>
  <c r="BM481" i="76"/>
  <c r="A482" i="76"/>
  <c r="B482" i="76"/>
  <c r="D482" i="76"/>
  <c r="G482" i="76"/>
  <c r="H482" i="76"/>
  <c r="J482" i="76"/>
  <c r="K482" i="76"/>
  <c r="L482" i="76"/>
  <c r="P482" i="76"/>
  <c r="R482" i="76"/>
  <c r="U482" i="76"/>
  <c r="V482" i="76"/>
  <c r="AE482" i="76"/>
  <c r="AJ482" i="76"/>
  <c r="AK482" i="76"/>
  <c r="AL482" i="76"/>
  <c r="AM482" i="76"/>
  <c r="AN482" i="76"/>
  <c r="AO482" i="76"/>
  <c r="AP482" i="76"/>
  <c r="AQ482" i="76"/>
  <c r="AR482" i="76"/>
  <c r="AS482" i="76"/>
  <c r="AT482" i="76"/>
  <c r="AU482" i="76"/>
  <c r="AV482" i="76"/>
  <c r="AW482" i="76"/>
  <c r="AX482" i="76"/>
  <c r="AY482" i="76"/>
  <c r="AZ482" i="76"/>
  <c r="BA482" i="76"/>
  <c r="BB482" i="76"/>
  <c r="BC482" i="76"/>
  <c r="BD482" i="76"/>
  <c r="BE482" i="76"/>
  <c r="BF482" i="76"/>
  <c r="BG482" i="76"/>
  <c r="BH482" i="76"/>
  <c r="BI482" i="76"/>
  <c r="BJ482" i="76"/>
  <c r="BK482" i="76"/>
  <c r="BM482" i="76"/>
  <c r="A483" i="76"/>
  <c r="B483" i="76"/>
  <c r="D483" i="76"/>
  <c r="G483" i="76"/>
  <c r="H483" i="76"/>
  <c r="J483" i="76"/>
  <c r="F483" i="76" s="1"/>
  <c r="K483" i="76"/>
  <c r="L483" i="76"/>
  <c r="P483" i="76"/>
  <c r="R483" i="76"/>
  <c r="U483" i="76"/>
  <c r="V483" i="76"/>
  <c r="AE483" i="76"/>
  <c r="AJ483" i="76"/>
  <c r="AK483" i="76"/>
  <c r="AL483" i="76"/>
  <c r="AM483" i="76"/>
  <c r="AN483" i="76"/>
  <c r="AO483" i="76"/>
  <c r="AP483" i="76"/>
  <c r="AQ483" i="76"/>
  <c r="AR483" i="76"/>
  <c r="AS483" i="76"/>
  <c r="AT483" i="76"/>
  <c r="AU483" i="76"/>
  <c r="AV483" i="76"/>
  <c r="AW483" i="76"/>
  <c r="AX483" i="76"/>
  <c r="AY483" i="76"/>
  <c r="AZ483" i="76"/>
  <c r="BA483" i="76"/>
  <c r="BB483" i="76"/>
  <c r="BC483" i="76"/>
  <c r="BD483" i="76"/>
  <c r="BE483" i="76"/>
  <c r="BF483" i="76"/>
  <c r="BG483" i="76"/>
  <c r="BH483" i="76"/>
  <c r="BI483" i="76"/>
  <c r="BJ483" i="76"/>
  <c r="BK483" i="76"/>
  <c r="BM483" i="76"/>
  <c r="A484" i="76"/>
  <c r="B484" i="76"/>
  <c r="D484" i="76"/>
  <c r="G484" i="76"/>
  <c r="H484" i="76"/>
  <c r="J484" i="76"/>
  <c r="K484" i="76"/>
  <c r="L484" i="76"/>
  <c r="P484" i="76"/>
  <c r="R484" i="76"/>
  <c r="U484" i="76"/>
  <c r="V484" i="76"/>
  <c r="AE484" i="76"/>
  <c r="AJ484" i="76"/>
  <c r="AK484" i="76"/>
  <c r="AL484" i="76"/>
  <c r="AM484" i="76"/>
  <c r="AN484" i="76"/>
  <c r="AO484" i="76"/>
  <c r="AP484" i="76"/>
  <c r="AQ484" i="76"/>
  <c r="AR484" i="76"/>
  <c r="AS484" i="76"/>
  <c r="AT484" i="76"/>
  <c r="AU484" i="76"/>
  <c r="AV484" i="76"/>
  <c r="AW484" i="76"/>
  <c r="AX484" i="76"/>
  <c r="AY484" i="76"/>
  <c r="AZ484" i="76"/>
  <c r="BA484" i="76"/>
  <c r="BB484" i="76"/>
  <c r="BC484" i="76"/>
  <c r="BD484" i="76"/>
  <c r="BE484" i="76"/>
  <c r="BF484" i="76"/>
  <c r="BG484" i="76"/>
  <c r="BH484" i="76"/>
  <c r="BI484" i="76"/>
  <c r="BJ484" i="76"/>
  <c r="BK484" i="76"/>
  <c r="BM484" i="76"/>
  <c r="A485" i="76"/>
  <c r="B485" i="76"/>
  <c r="D485" i="76"/>
  <c r="G485" i="76"/>
  <c r="H485" i="76"/>
  <c r="J485" i="76"/>
  <c r="E485" i="76" s="1"/>
  <c r="K485" i="76"/>
  <c r="L485" i="76"/>
  <c r="P485" i="76"/>
  <c r="R485" i="76"/>
  <c r="U485" i="76"/>
  <c r="V485" i="76"/>
  <c r="AE485" i="76"/>
  <c r="AJ485" i="76"/>
  <c r="AK485" i="76"/>
  <c r="AL485" i="76"/>
  <c r="AM485" i="76"/>
  <c r="AN485" i="76"/>
  <c r="AO485" i="76"/>
  <c r="AP485" i="76"/>
  <c r="AQ485" i="76"/>
  <c r="AR485" i="76"/>
  <c r="AS485" i="76"/>
  <c r="AT485" i="76"/>
  <c r="AU485" i="76"/>
  <c r="AV485" i="76"/>
  <c r="AW485" i="76"/>
  <c r="AX485" i="76"/>
  <c r="AY485" i="76"/>
  <c r="AZ485" i="76"/>
  <c r="BA485" i="76"/>
  <c r="BB485" i="76"/>
  <c r="BC485" i="76"/>
  <c r="BD485" i="76"/>
  <c r="BE485" i="76"/>
  <c r="BF485" i="76"/>
  <c r="BG485" i="76"/>
  <c r="BH485" i="76"/>
  <c r="BI485" i="76"/>
  <c r="BJ485" i="76"/>
  <c r="BK485" i="76"/>
  <c r="BM485" i="76"/>
  <c r="A486" i="76"/>
  <c r="B486" i="76"/>
  <c r="D486" i="76"/>
  <c r="G486" i="76"/>
  <c r="H486" i="76"/>
  <c r="J486" i="76"/>
  <c r="F486" i="76" s="1"/>
  <c r="K486" i="76"/>
  <c r="L486" i="76"/>
  <c r="P486" i="76"/>
  <c r="R486" i="76"/>
  <c r="U486" i="76"/>
  <c r="V486" i="76"/>
  <c r="AE486" i="76"/>
  <c r="AJ486" i="76"/>
  <c r="AK486" i="76"/>
  <c r="AL486" i="76"/>
  <c r="AM486" i="76"/>
  <c r="AN486" i="76"/>
  <c r="AO486" i="76"/>
  <c r="AP486" i="76"/>
  <c r="AQ486" i="76"/>
  <c r="AR486" i="76"/>
  <c r="AS486" i="76"/>
  <c r="AT486" i="76"/>
  <c r="AU486" i="76"/>
  <c r="AV486" i="76"/>
  <c r="AW486" i="76"/>
  <c r="AX486" i="76"/>
  <c r="AY486" i="76"/>
  <c r="AZ486" i="76"/>
  <c r="BA486" i="76"/>
  <c r="BB486" i="76"/>
  <c r="BC486" i="76"/>
  <c r="BD486" i="76"/>
  <c r="BE486" i="76"/>
  <c r="BF486" i="76"/>
  <c r="BG486" i="76"/>
  <c r="BH486" i="76"/>
  <c r="BI486" i="76"/>
  <c r="BJ486" i="76"/>
  <c r="BK486" i="76"/>
  <c r="BM486" i="76"/>
  <c r="A487" i="76"/>
  <c r="B487" i="76"/>
  <c r="D487" i="76"/>
  <c r="G487" i="76"/>
  <c r="H487" i="76"/>
  <c r="J487" i="76"/>
  <c r="K487" i="76"/>
  <c r="L487" i="76"/>
  <c r="P487" i="76"/>
  <c r="R487" i="76"/>
  <c r="U487" i="76"/>
  <c r="V487" i="76"/>
  <c r="AE487" i="76"/>
  <c r="AJ487" i="76"/>
  <c r="AK487" i="76"/>
  <c r="AL487" i="76"/>
  <c r="AM487" i="76"/>
  <c r="AN487" i="76"/>
  <c r="AO487" i="76"/>
  <c r="AP487" i="76"/>
  <c r="AQ487" i="76"/>
  <c r="AR487" i="76"/>
  <c r="AS487" i="76"/>
  <c r="AT487" i="76"/>
  <c r="AU487" i="76"/>
  <c r="AV487" i="76"/>
  <c r="AW487" i="76"/>
  <c r="AX487" i="76"/>
  <c r="AY487" i="76"/>
  <c r="AZ487" i="76"/>
  <c r="BA487" i="76"/>
  <c r="BB487" i="76"/>
  <c r="BC487" i="76"/>
  <c r="BD487" i="76"/>
  <c r="BE487" i="76"/>
  <c r="BF487" i="76"/>
  <c r="BG487" i="76"/>
  <c r="BH487" i="76"/>
  <c r="BI487" i="76"/>
  <c r="BJ487" i="76"/>
  <c r="BK487" i="76"/>
  <c r="BM487" i="76"/>
  <c r="A488" i="76"/>
  <c r="B488" i="76"/>
  <c r="D488" i="76"/>
  <c r="G488" i="76"/>
  <c r="H488" i="76"/>
  <c r="J488" i="76"/>
  <c r="F488" i="76" s="1"/>
  <c r="K488" i="76"/>
  <c r="L488" i="76"/>
  <c r="P488" i="76"/>
  <c r="R488" i="76"/>
  <c r="U488" i="76"/>
  <c r="V488" i="76"/>
  <c r="AE488" i="76"/>
  <c r="AJ488" i="76"/>
  <c r="AK488" i="76"/>
  <c r="AL488" i="76"/>
  <c r="AM488" i="76"/>
  <c r="AN488" i="76"/>
  <c r="AO488" i="76"/>
  <c r="AP488" i="76"/>
  <c r="AQ488" i="76"/>
  <c r="AR488" i="76"/>
  <c r="AS488" i="76"/>
  <c r="AT488" i="76"/>
  <c r="AU488" i="76"/>
  <c r="AV488" i="76"/>
  <c r="AW488" i="76"/>
  <c r="AX488" i="76"/>
  <c r="AY488" i="76"/>
  <c r="AZ488" i="76"/>
  <c r="BA488" i="76"/>
  <c r="BB488" i="76"/>
  <c r="BC488" i="76"/>
  <c r="BD488" i="76"/>
  <c r="BE488" i="76"/>
  <c r="BF488" i="76"/>
  <c r="BG488" i="76"/>
  <c r="BH488" i="76"/>
  <c r="BI488" i="76"/>
  <c r="BJ488" i="76"/>
  <c r="BK488" i="76"/>
  <c r="BM488" i="76"/>
  <c r="A489" i="76"/>
  <c r="B489" i="76"/>
  <c r="D489" i="76"/>
  <c r="G489" i="76"/>
  <c r="H489" i="76"/>
  <c r="J489" i="76"/>
  <c r="K489" i="76"/>
  <c r="L489" i="76"/>
  <c r="P489" i="76"/>
  <c r="R489" i="76"/>
  <c r="U489" i="76"/>
  <c r="V489" i="76"/>
  <c r="AE489" i="76"/>
  <c r="AJ489" i="76"/>
  <c r="AK489" i="76"/>
  <c r="AL489" i="76"/>
  <c r="AM489" i="76"/>
  <c r="AN489" i="76"/>
  <c r="AO489" i="76"/>
  <c r="AP489" i="76"/>
  <c r="AQ489" i="76"/>
  <c r="AR489" i="76"/>
  <c r="AS489" i="76"/>
  <c r="AT489" i="76"/>
  <c r="AU489" i="76"/>
  <c r="AV489" i="76"/>
  <c r="AW489" i="76"/>
  <c r="AX489" i="76"/>
  <c r="AY489" i="76"/>
  <c r="AZ489" i="76"/>
  <c r="BA489" i="76"/>
  <c r="BB489" i="76"/>
  <c r="BC489" i="76"/>
  <c r="BD489" i="76"/>
  <c r="BE489" i="76"/>
  <c r="BF489" i="76"/>
  <c r="BG489" i="76"/>
  <c r="BH489" i="76"/>
  <c r="BI489" i="76"/>
  <c r="BJ489" i="76"/>
  <c r="BK489" i="76"/>
  <c r="BM489" i="76"/>
  <c r="A490" i="76"/>
  <c r="B490" i="76"/>
  <c r="D490" i="76"/>
  <c r="G490" i="76"/>
  <c r="H490" i="76"/>
  <c r="J490" i="76"/>
  <c r="E490" i="76" s="1"/>
  <c r="K490" i="76"/>
  <c r="L490" i="76"/>
  <c r="P490" i="76"/>
  <c r="R490" i="76"/>
  <c r="U490" i="76"/>
  <c r="V490" i="76"/>
  <c r="AE490" i="76"/>
  <c r="AJ490" i="76"/>
  <c r="AK490" i="76"/>
  <c r="AL490" i="76"/>
  <c r="AM490" i="76"/>
  <c r="AN490" i="76"/>
  <c r="AO490" i="76"/>
  <c r="AP490" i="76"/>
  <c r="AQ490" i="76"/>
  <c r="AR490" i="76"/>
  <c r="AS490" i="76"/>
  <c r="AT490" i="76"/>
  <c r="AU490" i="76"/>
  <c r="AV490" i="76"/>
  <c r="AW490" i="76"/>
  <c r="AX490" i="76"/>
  <c r="AY490" i="76"/>
  <c r="AZ490" i="76"/>
  <c r="BA490" i="76"/>
  <c r="BB490" i="76"/>
  <c r="BC490" i="76"/>
  <c r="BD490" i="76"/>
  <c r="BE490" i="76"/>
  <c r="BF490" i="76"/>
  <c r="BG490" i="76"/>
  <c r="BH490" i="76"/>
  <c r="BI490" i="76"/>
  <c r="BJ490" i="76"/>
  <c r="BK490" i="76"/>
  <c r="BM490" i="76"/>
  <c r="A491" i="76"/>
  <c r="B491" i="76"/>
  <c r="D491" i="76"/>
  <c r="G491" i="76"/>
  <c r="H491" i="76"/>
  <c r="J491" i="76"/>
  <c r="F491" i="76" s="1"/>
  <c r="K491" i="76"/>
  <c r="L491" i="76"/>
  <c r="P491" i="76"/>
  <c r="R491" i="76"/>
  <c r="U491" i="76"/>
  <c r="V491" i="76"/>
  <c r="AE491" i="76"/>
  <c r="AJ491" i="76"/>
  <c r="AK491" i="76"/>
  <c r="AL491" i="76"/>
  <c r="AM491" i="76"/>
  <c r="AN491" i="76"/>
  <c r="AO491" i="76"/>
  <c r="AP491" i="76"/>
  <c r="AQ491" i="76"/>
  <c r="AR491" i="76"/>
  <c r="AS491" i="76"/>
  <c r="AT491" i="76"/>
  <c r="AU491" i="76"/>
  <c r="AV491" i="76"/>
  <c r="AW491" i="76"/>
  <c r="AX491" i="76"/>
  <c r="AY491" i="76"/>
  <c r="AZ491" i="76"/>
  <c r="BA491" i="76"/>
  <c r="BB491" i="76"/>
  <c r="BC491" i="76"/>
  <c r="BD491" i="76"/>
  <c r="BE491" i="76"/>
  <c r="BF491" i="76"/>
  <c r="BG491" i="76"/>
  <c r="BH491" i="76"/>
  <c r="BI491" i="76"/>
  <c r="BJ491" i="76"/>
  <c r="BK491" i="76"/>
  <c r="BM491" i="76"/>
  <c r="A492" i="76"/>
  <c r="B492" i="76"/>
  <c r="D492" i="76"/>
  <c r="G492" i="76"/>
  <c r="H492" i="76"/>
  <c r="J492" i="76"/>
  <c r="K492" i="76"/>
  <c r="L492" i="76"/>
  <c r="P492" i="76"/>
  <c r="R492" i="76"/>
  <c r="U492" i="76"/>
  <c r="V492" i="76"/>
  <c r="AE492" i="76"/>
  <c r="AJ492" i="76"/>
  <c r="AK492" i="76"/>
  <c r="AL492" i="76"/>
  <c r="AM492" i="76"/>
  <c r="AN492" i="76"/>
  <c r="AO492" i="76"/>
  <c r="AP492" i="76"/>
  <c r="AQ492" i="76"/>
  <c r="AR492" i="76"/>
  <c r="AS492" i="76"/>
  <c r="AT492" i="76"/>
  <c r="AU492" i="76"/>
  <c r="AV492" i="76"/>
  <c r="AW492" i="76"/>
  <c r="AX492" i="76"/>
  <c r="AY492" i="76"/>
  <c r="AZ492" i="76"/>
  <c r="BA492" i="76"/>
  <c r="BB492" i="76"/>
  <c r="BC492" i="76"/>
  <c r="BD492" i="76"/>
  <c r="BE492" i="76"/>
  <c r="BF492" i="76"/>
  <c r="BG492" i="76"/>
  <c r="BH492" i="76"/>
  <c r="BI492" i="76"/>
  <c r="BJ492" i="76"/>
  <c r="BK492" i="76"/>
  <c r="BM492" i="76"/>
  <c r="A493" i="76"/>
  <c r="B493" i="76"/>
  <c r="D493" i="76"/>
  <c r="G493" i="76"/>
  <c r="H493" i="76"/>
  <c r="J493" i="76"/>
  <c r="F493" i="76" s="1"/>
  <c r="K493" i="76"/>
  <c r="L493" i="76"/>
  <c r="P493" i="76"/>
  <c r="R493" i="76"/>
  <c r="U493" i="76"/>
  <c r="V493" i="76"/>
  <c r="AE493" i="76"/>
  <c r="AJ493" i="76"/>
  <c r="AK493" i="76"/>
  <c r="AL493" i="76"/>
  <c r="AM493" i="76"/>
  <c r="AN493" i="76"/>
  <c r="AO493" i="76"/>
  <c r="AP493" i="76"/>
  <c r="AQ493" i="76"/>
  <c r="AR493" i="76"/>
  <c r="AS493" i="76"/>
  <c r="AT493" i="76"/>
  <c r="AU493" i="76"/>
  <c r="AV493" i="76"/>
  <c r="AW493" i="76"/>
  <c r="AX493" i="76"/>
  <c r="AY493" i="76"/>
  <c r="AZ493" i="76"/>
  <c r="BA493" i="76"/>
  <c r="BB493" i="76"/>
  <c r="BC493" i="76"/>
  <c r="BD493" i="76"/>
  <c r="BE493" i="76"/>
  <c r="BF493" i="76"/>
  <c r="BG493" i="76"/>
  <c r="BH493" i="76"/>
  <c r="BI493" i="76"/>
  <c r="BJ493" i="76"/>
  <c r="BK493" i="76"/>
  <c r="BM493" i="76"/>
  <c r="A494" i="76"/>
  <c r="B494" i="76"/>
  <c r="D494" i="76"/>
  <c r="G494" i="76"/>
  <c r="H494" i="76"/>
  <c r="J494" i="76"/>
  <c r="F494" i="76" s="1"/>
  <c r="K494" i="76"/>
  <c r="L494" i="76"/>
  <c r="P494" i="76"/>
  <c r="R494" i="76"/>
  <c r="U494" i="76"/>
  <c r="V494" i="76"/>
  <c r="AE494" i="76"/>
  <c r="AJ494" i="76"/>
  <c r="AK494" i="76"/>
  <c r="AL494" i="76"/>
  <c r="AM494" i="76"/>
  <c r="AN494" i="76"/>
  <c r="AO494" i="76"/>
  <c r="AP494" i="76"/>
  <c r="AQ494" i="76"/>
  <c r="AR494" i="76"/>
  <c r="AS494" i="76"/>
  <c r="AT494" i="76"/>
  <c r="AU494" i="76"/>
  <c r="AV494" i="76"/>
  <c r="AW494" i="76"/>
  <c r="AX494" i="76"/>
  <c r="AY494" i="76"/>
  <c r="AZ494" i="76"/>
  <c r="BA494" i="76"/>
  <c r="BB494" i="76"/>
  <c r="BC494" i="76"/>
  <c r="BD494" i="76"/>
  <c r="BE494" i="76"/>
  <c r="BF494" i="76"/>
  <c r="BG494" i="76"/>
  <c r="BH494" i="76"/>
  <c r="BI494" i="76"/>
  <c r="BJ494" i="76"/>
  <c r="BK494" i="76"/>
  <c r="BM494" i="76"/>
  <c r="A495" i="76"/>
  <c r="B495" i="76"/>
  <c r="D495" i="76"/>
  <c r="G495" i="76"/>
  <c r="H495" i="76"/>
  <c r="J495" i="76"/>
  <c r="E495" i="76" s="1"/>
  <c r="K495" i="76"/>
  <c r="L495" i="76"/>
  <c r="P495" i="76"/>
  <c r="R495" i="76"/>
  <c r="U495" i="76"/>
  <c r="V495" i="76"/>
  <c r="AE495" i="76"/>
  <c r="AJ495" i="76"/>
  <c r="AK495" i="76"/>
  <c r="AL495" i="76"/>
  <c r="AM495" i="76"/>
  <c r="AN495" i="76"/>
  <c r="AO495" i="76"/>
  <c r="AP495" i="76"/>
  <c r="AQ495" i="76"/>
  <c r="AR495" i="76"/>
  <c r="AS495" i="76"/>
  <c r="AT495" i="76"/>
  <c r="AU495" i="76"/>
  <c r="AV495" i="76"/>
  <c r="AW495" i="76"/>
  <c r="AX495" i="76"/>
  <c r="AY495" i="76"/>
  <c r="AZ495" i="76"/>
  <c r="BA495" i="76"/>
  <c r="BB495" i="76"/>
  <c r="BC495" i="76"/>
  <c r="BD495" i="76"/>
  <c r="BE495" i="76"/>
  <c r="BF495" i="76"/>
  <c r="BG495" i="76"/>
  <c r="BH495" i="76"/>
  <c r="BI495" i="76"/>
  <c r="BJ495" i="76"/>
  <c r="BK495" i="76"/>
  <c r="BM495" i="76"/>
  <c r="A496" i="76"/>
  <c r="B496" i="76"/>
  <c r="D496" i="76"/>
  <c r="G496" i="76"/>
  <c r="H496" i="76"/>
  <c r="J496" i="76"/>
  <c r="E496" i="76" s="1"/>
  <c r="K496" i="76"/>
  <c r="L496" i="76"/>
  <c r="P496" i="76"/>
  <c r="R496" i="76"/>
  <c r="U496" i="76"/>
  <c r="V496" i="76"/>
  <c r="AE496" i="76"/>
  <c r="AJ496" i="76"/>
  <c r="AK496" i="76"/>
  <c r="AL496" i="76"/>
  <c r="AM496" i="76"/>
  <c r="AN496" i="76"/>
  <c r="AO496" i="76"/>
  <c r="AP496" i="76"/>
  <c r="AQ496" i="76"/>
  <c r="AR496" i="76"/>
  <c r="AS496" i="76"/>
  <c r="AT496" i="76"/>
  <c r="AU496" i="76"/>
  <c r="AV496" i="76"/>
  <c r="AW496" i="76"/>
  <c r="AX496" i="76"/>
  <c r="AY496" i="76"/>
  <c r="AZ496" i="76"/>
  <c r="BA496" i="76"/>
  <c r="BB496" i="76"/>
  <c r="BC496" i="76"/>
  <c r="BD496" i="76"/>
  <c r="BE496" i="76"/>
  <c r="BF496" i="76"/>
  <c r="BG496" i="76"/>
  <c r="BH496" i="76"/>
  <c r="BI496" i="76"/>
  <c r="BJ496" i="76"/>
  <c r="BK496" i="76"/>
  <c r="BM496" i="76"/>
  <c r="A497" i="76"/>
  <c r="B497" i="76"/>
  <c r="D497" i="76"/>
  <c r="G497" i="76"/>
  <c r="H497" i="76"/>
  <c r="J497" i="76"/>
  <c r="K497" i="76"/>
  <c r="L497" i="76"/>
  <c r="P497" i="76"/>
  <c r="R497" i="76"/>
  <c r="U497" i="76"/>
  <c r="V497" i="76"/>
  <c r="AE497" i="76"/>
  <c r="AJ497" i="76"/>
  <c r="AK497" i="76"/>
  <c r="AL497" i="76"/>
  <c r="AM497" i="76"/>
  <c r="AN497" i="76"/>
  <c r="AO497" i="76"/>
  <c r="AP497" i="76"/>
  <c r="AQ497" i="76"/>
  <c r="AR497" i="76"/>
  <c r="AS497" i="76"/>
  <c r="AT497" i="76"/>
  <c r="AU497" i="76"/>
  <c r="AV497" i="76"/>
  <c r="AW497" i="76"/>
  <c r="AX497" i="76"/>
  <c r="AY497" i="76"/>
  <c r="AZ497" i="76"/>
  <c r="BA497" i="76"/>
  <c r="BB497" i="76"/>
  <c r="BC497" i="76"/>
  <c r="BD497" i="76"/>
  <c r="BE497" i="76"/>
  <c r="BF497" i="76"/>
  <c r="BG497" i="76"/>
  <c r="BH497" i="76"/>
  <c r="BI497" i="76"/>
  <c r="BJ497" i="76"/>
  <c r="BK497" i="76"/>
  <c r="BM497" i="76"/>
  <c r="A498" i="76"/>
  <c r="B498" i="76"/>
  <c r="D498" i="76"/>
  <c r="G498" i="76"/>
  <c r="H498" i="76"/>
  <c r="J498" i="76"/>
  <c r="E498" i="76" s="1"/>
  <c r="K498" i="76"/>
  <c r="L498" i="76"/>
  <c r="P498" i="76"/>
  <c r="R498" i="76"/>
  <c r="U498" i="76"/>
  <c r="V498" i="76"/>
  <c r="AE498" i="76"/>
  <c r="AJ498" i="76"/>
  <c r="AK498" i="76"/>
  <c r="AL498" i="76"/>
  <c r="AM498" i="76"/>
  <c r="AN498" i="76"/>
  <c r="AO498" i="76"/>
  <c r="AP498" i="76"/>
  <c r="AQ498" i="76"/>
  <c r="AR498" i="76"/>
  <c r="AS498" i="76"/>
  <c r="AT498" i="76"/>
  <c r="AU498" i="76"/>
  <c r="AV498" i="76"/>
  <c r="AW498" i="76"/>
  <c r="AX498" i="76"/>
  <c r="AY498" i="76"/>
  <c r="AZ498" i="76"/>
  <c r="BA498" i="76"/>
  <c r="BB498" i="76"/>
  <c r="BC498" i="76"/>
  <c r="BD498" i="76"/>
  <c r="BE498" i="76"/>
  <c r="BF498" i="76"/>
  <c r="BG498" i="76"/>
  <c r="BH498" i="76"/>
  <c r="BI498" i="76"/>
  <c r="BJ498" i="76"/>
  <c r="BK498" i="76"/>
  <c r="BM498" i="76"/>
  <c r="A499" i="76"/>
  <c r="B499" i="76"/>
  <c r="D499" i="76"/>
  <c r="G499" i="76"/>
  <c r="H499" i="76"/>
  <c r="J499" i="76"/>
  <c r="K499" i="76"/>
  <c r="L499" i="76"/>
  <c r="P499" i="76"/>
  <c r="R499" i="76"/>
  <c r="U499" i="76"/>
  <c r="V499" i="76"/>
  <c r="AE499" i="76"/>
  <c r="AJ499" i="76"/>
  <c r="AK499" i="76"/>
  <c r="AL499" i="76"/>
  <c r="AM499" i="76"/>
  <c r="AN499" i="76"/>
  <c r="AO499" i="76"/>
  <c r="AP499" i="76"/>
  <c r="AQ499" i="76"/>
  <c r="AR499" i="76"/>
  <c r="AS499" i="76"/>
  <c r="AT499" i="76"/>
  <c r="AU499" i="76"/>
  <c r="AV499" i="76"/>
  <c r="AW499" i="76"/>
  <c r="AX499" i="76"/>
  <c r="AY499" i="76"/>
  <c r="AZ499" i="76"/>
  <c r="BA499" i="76"/>
  <c r="BB499" i="76"/>
  <c r="BC499" i="76"/>
  <c r="BD499" i="76"/>
  <c r="BE499" i="76"/>
  <c r="BF499" i="76"/>
  <c r="BG499" i="76"/>
  <c r="BH499" i="76"/>
  <c r="BI499" i="76"/>
  <c r="BJ499" i="76"/>
  <c r="BK499" i="76"/>
  <c r="BM499" i="76"/>
  <c r="A500" i="76"/>
  <c r="B500" i="76"/>
  <c r="D500" i="76"/>
  <c r="G500" i="76"/>
  <c r="H500" i="76"/>
  <c r="J500" i="76"/>
  <c r="K500" i="76"/>
  <c r="L500" i="76"/>
  <c r="P500" i="76"/>
  <c r="R500" i="76"/>
  <c r="U500" i="76"/>
  <c r="V500" i="76"/>
  <c r="AE500" i="76"/>
  <c r="AJ500" i="76"/>
  <c r="AK500" i="76"/>
  <c r="AL500" i="76"/>
  <c r="AM500" i="76"/>
  <c r="AN500" i="76"/>
  <c r="AO500" i="76"/>
  <c r="AP500" i="76"/>
  <c r="AQ500" i="76"/>
  <c r="AR500" i="76"/>
  <c r="AS500" i="76"/>
  <c r="AT500" i="76"/>
  <c r="AU500" i="76"/>
  <c r="AV500" i="76"/>
  <c r="AW500" i="76"/>
  <c r="AX500" i="76"/>
  <c r="AY500" i="76"/>
  <c r="AZ500" i="76"/>
  <c r="BA500" i="76"/>
  <c r="BB500" i="76"/>
  <c r="BC500" i="76"/>
  <c r="BD500" i="76"/>
  <c r="BE500" i="76"/>
  <c r="BF500" i="76"/>
  <c r="BG500" i="76"/>
  <c r="BH500" i="76"/>
  <c r="BI500" i="76"/>
  <c r="BJ500" i="76"/>
  <c r="BK500" i="76"/>
  <c r="BM500" i="76"/>
  <c r="A501" i="76"/>
  <c r="B501" i="76"/>
  <c r="D501" i="76"/>
  <c r="G501" i="76"/>
  <c r="H501" i="76"/>
  <c r="J501" i="76"/>
  <c r="K501" i="76"/>
  <c r="L501" i="76"/>
  <c r="P501" i="76"/>
  <c r="R501" i="76"/>
  <c r="U501" i="76"/>
  <c r="V501" i="76"/>
  <c r="AE501" i="76"/>
  <c r="AJ501" i="76"/>
  <c r="AK501" i="76"/>
  <c r="AL501" i="76"/>
  <c r="AM501" i="76"/>
  <c r="AN501" i="76"/>
  <c r="AO501" i="76"/>
  <c r="AP501" i="76"/>
  <c r="AQ501" i="76"/>
  <c r="AR501" i="76"/>
  <c r="AS501" i="76"/>
  <c r="AT501" i="76"/>
  <c r="AU501" i="76"/>
  <c r="AV501" i="76"/>
  <c r="AW501" i="76"/>
  <c r="AX501" i="76"/>
  <c r="AY501" i="76"/>
  <c r="AZ501" i="76"/>
  <c r="BA501" i="76"/>
  <c r="BB501" i="76"/>
  <c r="BC501" i="76"/>
  <c r="BD501" i="76"/>
  <c r="BE501" i="76"/>
  <c r="BF501" i="76"/>
  <c r="BG501" i="76"/>
  <c r="BH501" i="76"/>
  <c r="BI501" i="76"/>
  <c r="BJ501" i="76"/>
  <c r="BK501" i="76"/>
  <c r="BM501" i="76"/>
  <c r="A502" i="76"/>
  <c r="B502" i="76"/>
  <c r="D502" i="76"/>
  <c r="G502" i="76"/>
  <c r="H502" i="76"/>
  <c r="J502" i="76"/>
  <c r="E502" i="76" s="1"/>
  <c r="K502" i="76"/>
  <c r="L502" i="76"/>
  <c r="P502" i="76"/>
  <c r="R502" i="76"/>
  <c r="U502" i="76"/>
  <c r="V502" i="76"/>
  <c r="AE502" i="76"/>
  <c r="AJ502" i="76"/>
  <c r="AK502" i="76"/>
  <c r="AL502" i="76"/>
  <c r="AM502" i="76"/>
  <c r="AN502" i="76"/>
  <c r="AO502" i="76"/>
  <c r="AP502" i="76"/>
  <c r="AQ502" i="76"/>
  <c r="AR502" i="76"/>
  <c r="AS502" i="76"/>
  <c r="AT502" i="76"/>
  <c r="AU502" i="76"/>
  <c r="AV502" i="76"/>
  <c r="AW502" i="76"/>
  <c r="AX502" i="76"/>
  <c r="AY502" i="76"/>
  <c r="AZ502" i="76"/>
  <c r="BA502" i="76"/>
  <c r="BB502" i="76"/>
  <c r="BC502" i="76"/>
  <c r="BD502" i="76"/>
  <c r="BE502" i="76"/>
  <c r="BF502" i="76"/>
  <c r="BG502" i="76"/>
  <c r="BH502" i="76"/>
  <c r="BI502" i="76"/>
  <c r="BJ502" i="76"/>
  <c r="BK502" i="76"/>
  <c r="BM502" i="76"/>
  <c r="A503" i="76"/>
  <c r="B503" i="76"/>
  <c r="D503" i="76"/>
  <c r="G503" i="76"/>
  <c r="H503" i="76"/>
  <c r="J503" i="76"/>
  <c r="K503" i="76"/>
  <c r="L503" i="76"/>
  <c r="P503" i="76"/>
  <c r="R503" i="76"/>
  <c r="U503" i="76"/>
  <c r="V503" i="76"/>
  <c r="AE503" i="76"/>
  <c r="AJ503" i="76"/>
  <c r="AK503" i="76"/>
  <c r="AL503" i="76"/>
  <c r="AM503" i="76"/>
  <c r="AN503" i="76"/>
  <c r="AO503" i="76"/>
  <c r="AP503" i="76"/>
  <c r="AQ503" i="76"/>
  <c r="AR503" i="76"/>
  <c r="AS503" i="76"/>
  <c r="AT503" i="76"/>
  <c r="AU503" i="76"/>
  <c r="AV503" i="76"/>
  <c r="AW503" i="76"/>
  <c r="AX503" i="76"/>
  <c r="AY503" i="76"/>
  <c r="AZ503" i="76"/>
  <c r="BA503" i="76"/>
  <c r="BB503" i="76"/>
  <c r="BC503" i="76"/>
  <c r="BD503" i="76"/>
  <c r="BE503" i="76"/>
  <c r="BF503" i="76"/>
  <c r="BG503" i="76"/>
  <c r="BH503" i="76"/>
  <c r="BI503" i="76"/>
  <c r="BJ503" i="76"/>
  <c r="BK503" i="76"/>
  <c r="BM503" i="76"/>
  <c r="A504" i="76"/>
  <c r="B504" i="76"/>
  <c r="D504" i="76"/>
  <c r="G504" i="76"/>
  <c r="H504" i="76"/>
  <c r="J504" i="76"/>
  <c r="K504" i="76"/>
  <c r="L504" i="76"/>
  <c r="P504" i="76"/>
  <c r="R504" i="76"/>
  <c r="U504" i="76"/>
  <c r="V504" i="76"/>
  <c r="AE504" i="76"/>
  <c r="AJ504" i="76"/>
  <c r="AK504" i="76"/>
  <c r="AL504" i="76"/>
  <c r="AM504" i="76"/>
  <c r="AN504" i="76"/>
  <c r="AO504" i="76"/>
  <c r="AP504" i="76"/>
  <c r="AQ504" i="76"/>
  <c r="AR504" i="76"/>
  <c r="AS504" i="76"/>
  <c r="AT504" i="76"/>
  <c r="AU504" i="76"/>
  <c r="AV504" i="76"/>
  <c r="AW504" i="76"/>
  <c r="AX504" i="76"/>
  <c r="AY504" i="76"/>
  <c r="AZ504" i="76"/>
  <c r="BA504" i="76"/>
  <c r="BB504" i="76"/>
  <c r="BC504" i="76"/>
  <c r="BD504" i="76"/>
  <c r="BE504" i="76"/>
  <c r="BF504" i="76"/>
  <c r="BG504" i="76"/>
  <c r="BH504" i="76"/>
  <c r="BI504" i="76"/>
  <c r="BJ504" i="76"/>
  <c r="BK504" i="76"/>
  <c r="BM504" i="76"/>
  <c r="A505" i="76"/>
  <c r="B505" i="76"/>
  <c r="D505" i="76"/>
  <c r="G505" i="76"/>
  <c r="H505" i="76"/>
  <c r="J505" i="76"/>
  <c r="F505" i="76" s="1"/>
  <c r="K505" i="76"/>
  <c r="L505" i="76"/>
  <c r="P505" i="76"/>
  <c r="R505" i="76"/>
  <c r="U505" i="76"/>
  <c r="V505" i="76"/>
  <c r="AE505" i="76"/>
  <c r="AJ505" i="76"/>
  <c r="AK505" i="76"/>
  <c r="AL505" i="76"/>
  <c r="AM505" i="76"/>
  <c r="AN505" i="76"/>
  <c r="AO505" i="76"/>
  <c r="AP505" i="76"/>
  <c r="AQ505" i="76"/>
  <c r="AR505" i="76"/>
  <c r="AS505" i="76"/>
  <c r="AT505" i="76"/>
  <c r="AU505" i="76"/>
  <c r="AV505" i="76"/>
  <c r="AW505" i="76"/>
  <c r="AX505" i="76"/>
  <c r="AY505" i="76"/>
  <c r="AZ505" i="76"/>
  <c r="BA505" i="76"/>
  <c r="BB505" i="76"/>
  <c r="BC505" i="76"/>
  <c r="BD505" i="76"/>
  <c r="BE505" i="76"/>
  <c r="BF505" i="76"/>
  <c r="BG505" i="76"/>
  <c r="BH505" i="76"/>
  <c r="BI505" i="76"/>
  <c r="BJ505" i="76"/>
  <c r="BK505" i="76"/>
  <c r="BM505" i="76"/>
  <c r="A506" i="76"/>
  <c r="B506" i="76"/>
  <c r="D506" i="76"/>
  <c r="G506" i="76"/>
  <c r="H506" i="76"/>
  <c r="J506" i="76"/>
  <c r="K506" i="76"/>
  <c r="L506" i="76"/>
  <c r="P506" i="76"/>
  <c r="R506" i="76"/>
  <c r="U506" i="76"/>
  <c r="V506" i="76"/>
  <c r="AE506" i="76"/>
  <c r="AJ506" i="76"/>
  <c r="AK506" i="76"/>
  <c r="AL506" i="76"/>
  <c r="AM506" i="76"/>
  <c r="AN506" i="76"/>
  <c r="AO506" i="76"/>
  <c r="AP506" i="76"/>
  <c r="AQ506" i="76"/>
  <c r="AR506" i="76"/>
  <c r="AS506" i="76"/>
  <c r="AT506" i="76"/>
  <c r="AU506" i="76"/>
  <c r="AV506" i="76"/>
  <c r="AW506" i="76"/>
  <c r="AX506" i="76"/>
  <c r="AY506" i="76"/>
  <c r="AZ506" i="76"/>
  <c r="BA506" i="76"/>
  <c r="BB506" i="76"/>
  <c r="BC506" i="76"/>
  <c r="BD506" i="76"/>
  <c r="BE506" i="76"/>
  <c r="BF506" i="76"/>
  <c r="BG506" i="76"/>
  <c r="BH506" i="76"/>
  <c r="BI506" i="76"/>
  <c r="BJ506" i="76"/>
  <c r="BK506" i="76"/>
  <c r="BM506" i="76"/>
  <c r="A507" i="76"/>
  <c r="B507" i="76"/>
  <c r="D507" i="76"/>
  <c r="G507" i="76"/>
  <c r="H507" i="76"/>
  <c r="J507" i="76"/>
  <c r="F507" i="76" s="1"/>
  <c r="K507" i="76"/>
  <c r="L507" i="76"/>
  <c r="P507" i="76"/>
  <c r="R507" i="76"/>
  <c r="U507" i="76"/>
  <c r="V507" i="76"/>
  <c r="AE507" i="76"/>
  <c r="AJ507" i="76"/>
  <c r="AK507" i="76"/>
  <c r="AL507" i="76"/>
  <c r="AM507" i="76"/>
  <c r="AN507" i="76"/>
  <c r="AO507" i="76"/>
  <c r="AP507" i="76"/>
  <c r="AQ507" i="76"/>
  <c r="AR507" i="76"/>
  <c r="AS507" i="76"/>
  <c r="AT507" i="76"/>
  <c r="AU507" i="76"/>
  <c r="AV507" i="76"/>
  <c r="AW507" i="76"/>
  <c r="AX507" i="76"/>
  <c r="AY507" i="76"/>
  <c r="AZ507" i="76"/>
  <c r="BA507" i="76"/>
  <c r="BB507" i="76"/>
  <c r="BC507" i="76"/>
  <c r="BD507" i="76"/>
  <c r="BE507" i="76"/>
  <c r="BF507" i="76"/>
  <c r="BG507" i="76"/>
  <c r="BH507" i="76"/>
  <c r="BI507" i="76"/>
  <c r="BJ507" i="76"/>
  <c r="BK507" i="76"/>
  <c r="BM507" i="76"/>
  <c r="A508" i="76"/>
  <c r="B508" i="76"/>
  <c r="D508" i="76"/>
  <c r="G508" i="76"/>
  <c r="H508" i="76"/>
  <c r="J508" i="76"/>
  <c r="E508" i="76" s="1"/>
  <c r="K508" i="76"/>
  <c r="L508" i="76"/>
  <c r="P508" i="76"/>
  <c r="R508" i="76"/>
  <c r="U508" i="76"/>
  <c r="V508" i="76"/>
  <c r="AE508" i="76"/>
  <c r="AJ508" i="76"/>
  <c r="AK508" i="76"/>
  <c r="AL508" i="76"/>
  <c r="AM508" i="76"/>
  <c r="AN508" i="76"/>
  <c r="AO508" i="76"/>
  <c r="AP508" i="76"/>
  <c r="AQ508" i="76"/>
  <c r="AR508" i="76"/>
  <c r="AS508" i="76"/>
  <c r="AT508" i="76"/>
  <c r="AU508" i="76"/>
  <c r="AV508" i="76"/>
  <c r="AW508" i="76"/>
  <c r="AX508" i="76"/>
  <c r="AY508" i="76"/>
  <c r="AZ508" i="76"/>
  <c r="BA508" i="76"/>
  <c r="BB508" i="76"/>
  <c r="BC508" i="76"/>
  <c r="BD508" i="76"/>
  <c r="BE508" i="76"/>
  <c r="BF508" i="76"/>
  <c r="BG508" i="76"/>
  <c r="BH508" i="76"/>
  <c r="BI508" i="76"/>
  <c r="BJ508" i="76"/>
  <c r="BK508" i="76"/>
  <c r="BM508" i="76"/>
  <c r="A509" i="76"/>
  <c r="B509" i="76"/>
  <c r="D509" i="76"/>
  <c r="G509" i="76"/>
  <c r="H509" i="76"/>
  <c r="J509" i="76"/>
  <c r="F509" i="76" s="1"/>
  <c r="K509" i="76"/>
  <c r="L509" i="76"/>
  <c r="P509" i="76"/>
  <c r="R509" i="76"/>
  <c r="U509" i="76"/>
  <c r="V509" i="76"/>
  <c r="AE509" i="76"/>
  <c r="AJ509" i="76"/>
  <c r="AK509" i="76"/>
  <c r="AL509" i="76"/>
  <c r="AM509" i="76"/>
  <c r="AN509" i="76"/>
  <c r="AO509" i="76"/>
  <c r="AP509" i="76"/>
  <c r="AQ509" i="76"/>
  <c r="AR509" i="76"/>
  <c r="AS509" i="76"/>
  <c r="AT509" i="76"/>
  <c r="AU509" i="76"/>
  <c r="AV509" i="76"/>
  <c r="AW509" i="76"/>
  <c r="AX509" i="76"/>
  <c r="AY509" i="76"/>
  <c r="AZ509" i="76"/>
  <c r="BA509" i="76"/>
  <c r="BB509" i="76"/>
  <c r="BC509" i="76"/>
  <c r="BD509" i="76"/>
  <c r="BE509" i="76"/>
  <c r="BF509" i="76"/>
  <c r="BG509" i="76"/>
  <c r="BH509" i="76"/>
  <c r="BI509" i="76"/>
  <c r="BJ509" i="76"/>
  <c r="BK509" i="76"/>
  <c r="BM509" i="76"/>
  <c r="A510" i="76"/>
  <c r="B510" i="76"/>
  <c r="D510" i="76"/>
  <c r="G510" i="76"/>
  <c r="H510" i="76"/>
  <c r="J510" i="76"/>
  <c r="K510" i="76"/>
  <c r="L510" i="76"/>
  <c r="P510" i="76"/>
  <c r="R510" i="76"/>
  <c r="U510" i="76"/>
  <c r="V510" i="76"/>
  <c r="AE510" i="76"/>
  <c r="AJ510" i="76"/>
  <c r="AK510" i="76"/>
  <c r="AL510" i="76"/>
  <c r="AM510" i="76"/>
  <c r="AN510" i="76"/>
  <c r="AO510" i="76"/>
  <c r="AP510" i="76"/>
  <c r="AQ510" i="76"/>
  <c r="AR510" i="76"/>
  <c r="AS510" i="76"/>
  <c r="AT510" i="76"/>
  <c r="AU510" i="76"/>
  <c r="AV510" i="76"/>
  <c r="AW510" i="76"/>
  <c r="AX510" i="76"/>
  <c r="AY510" i="76"/>
  <c r="AZ510" i="76"/>
  <c r="BA510" i="76"/>
  <c r="BB510" i="76"/>
  <c r="BC510" i="76"/>
  <c r="BD510" i="76"/>
  <c r="BE510" i="76"/>
  <c r="BF510" i="76"/>
  <c r="BG510" i="76"/>
  <c r="BH510" i="76"/>
  <c r="BI510" i="76"/>
  <c r="BJ510" i="76"/>
  <c r="BK510" i="76"/>
  <c r="BM510" i="76"/>
  <c r="A511" i="76"/>
  <c r="B511" i="76"/>
  <c r="D511" i="76"/>
  <c r="G511" i="76"/>
  <c r="H511" i="76"/>
  <c r="J511" i="76"/>
  <c r="K511" i="76"/>
  <c r="L511" i="76"/>
  <c r="P511" i="76"/>
  <c r="R511" i="76"/>
  <c r="U511" i="76"/>
  <c r="V511" i="76"/>
  <c r="AE511" i="76"/>
  <c r="AJ511" i="76"/>
  <c r="AK511" i="76"/>
  <c r="AL511" i="76"/>
  <c r="AM511" i="76"/>
  <c r="AN511" i="76"/>
  <c r="AO511" i="76"/>
  <c r="AP511" i="76"/>
  <c r="AQ511" i="76"/>
  <c r="AR511" i="76"/>
  <c r="AS511" i="76"/>
  <c r="AT511" i="76"/>
  <c r="AU511" i="76"/>
  <c r="AV511" i="76"/>
  <c r="AW511" i="76"/>
  <c r="AX511" i="76"/>
  <c r="AY511" i="76"/>
  <c r="AZ511" i="76"/>
  <c r="BA511" i="76"/>
  <c r="BB511" i="76"/>
  <c r="BC511" i="76"/>
  <c r="BD511" i="76"/>
  <c r="BE511" i="76"/>
  <c r="BF511" i="76"/>
  <c r="BG511" i="76"/>
  <c r="BH511" i="76"/>
  <c r="BI511" i="76"/>
  <c r="BJ511" i="76"/>
  <c r="BK511" i="76"/>
  <c r="BM511" i="76"/>
  <c r="A512" i="76"/>
  <c r="B512" i="76"/>
  <c r="D512" i="76"/>
  <c r="G512" i="76"/>
  <c r="H512" i="76"/>
  <c r="J512" i="76"/>
  <c r="F512" i="76" s="1"/>
  <c r="K512" i="76"/>
  <c r="L512" i="76"/>
  <c r="P512" i="76"/>
  <c r="R512" i="76"/>
  <c r="U512" i="76"/>
  <c r="V512" i="76"/>
  <c r="AE512" i="76"/>
  <c r="AJ512" i="76"/>
  <c r="AK512" i="76"/>
  <c r="AL512" i="76"/>
  <c r="AM512" i="76"/>
  <c r="AN512" i="76"/>
  <c r="AO512" i="76"/>
  <c r="AP512" i="76"/>
  <c r="AQ512" i="76"/>
  <c r="AR512" i="76"/>
  <c r="AS512" i="76"/>
  <c r="AT512" i="76"/>
  <c r="AU512" i="76"/>
  <c r="AV512" i="76"/>
  <c r="AW512" i="76"/>
  <c r="AX512" i="76"/>
  <c r="AY512" i="76"/>
  <c r="AZ512" i="76"/>
  <c r="BA512" i="76"/>
  <c r="BB512" i="76"/>
  <c r="BC512" i="76"/>
  <c r="BD512" i="76"/>
  <c r="BE512" i="76"/>
  <c r="BF512" i="76"/>
  <c r="BG512" i="76"/>
  <c r="BH512" i="76"/>
  <c r="BI512" i="76"/>
  <c r="BJ512" i="76"/>
  <c r="BK512" i="76"/>
  <c r="BM512" i="76"/>
  <c r="A513" i="76"/>
  <c r="B513" i="76"/>
  <c r="D513" i="76"/>
  <c r="G513" i="76"/>
  <c r="H513" i="76"/>
  <c r="J513" i="76"/>
  <c r="E513" i="76" s="1"/>
  <c r="K513" i="76"/>
  <c r="L513" i="76"/>
  <c r="P513" i="76"/>
  <c r="R513" i="76"/>
  <c r="U513" i="76"/>
  <c r="V513" i="76"/>
  <c r="AE513" i="76"/>
  <c r="AJ513" i="76"/>
  <c r="AK513" i="76"/>
  <c r="AL513" i="76"/>
  <c r="AM513" i="76"/>
  <c r="AN513" i="76"/>
  <c r="AO513" i="76"/>
  <c r="AP513" i="76"/>
  <c r="AQ513" i="76"/>
  <c r="AR513" i="76"/>
  <c r="AS513" i="76"/>
  <c r="AT513" i="76"/>
  <c r="AU513" i="76"/>
  <c r="AV513" i="76"/>
  <c r="AW513" i="76"/>
  <c r="AX513" i="76"/>
  <c r="AY513" i="76"/>
  <c r="AZ513" i="76"/>
  <c r="BA513" i="76"/>
  <c r="BB513" i="76"/>
  <c r="BC513" i="76"/>
  <c r="BD513" i="76"/>
  <c r="BE513" i="76"/>
  <c r="BF513" i="76"/>
  <c r="BG513" i="76"/>
  <c r="BH513" i="76"/>
  <c r="BI513" i="76"/>
  <c r="BJ513" i="76"/>
  <c r="BK513" i="76"/>
  <c r="BM513" i="76"/>
  <c r="A514" i="76"/>
  <c r="B514" i="76"/>
  <c r="D514" i="76"/>
  <c r="G514" i="76"/>
  <c r="H514" i="76"/>
  <c r="J514" i="76"/>
  <c r="K514" i="76"/>
  <c r="L514" i="76"/>
  <c r="P514" i="76"/>
  <c r="R514" i="76"/>
  <c r="U514" i="76"/>
  <c r="V514" i="76"/>
  <c r="AE514" i="76"/>
  <c r="AJ514" i="76"/>
  <c r="AK514" i="76"/>
  <c r="AL514" i="76"/>
  <c r="AM514" i="76"/>
  <c r="AN514" i="76"/>
  <c r="AO514" i="76"/>
  <c r="AP514" i="76"/>
  <c r="AQ514" i="76"/>
  <c r="AR514" i="76"/>
  <c r="AS514" i="76"/>
  <c r="AT514" i="76"/>
  <c r="AU514" i="76"/>
  <c r="AV514" i="76"/>
  <c r="AW514" i="76"/>
  <c r="AX514" i="76"/>
  <c r="AY514" i="76"/>
  <c r="AZ514" i="76"/>
  <c r="BA514" i="76"/>
  <c r="BB514" i="76"/>
  <c r="BC514" i="76"/>
  <c r="BD514" i="76"/>
  <c r="BE514" i="76"/>
  <c r="BF514" i="76"/>
  <c r="BG514" i="76"/>
  <c r="BH514" i="76"/>
  <c r="BI514" i="76"/>
  <c r="BJ514" i="76"/>
  <c r="BK514" i="76"/>
  <c r="BM514" i="76"/>
  <c r="A515" i="76"/>
  <c r="B515" i="76"/>
  <c r="D515" i="76"/>
  <c r="G515" i="76"/>
  <c r="H515" i="76"/>
  <c r="J515" i="76"/>
  <c r="K515" i="76"/>
  <c r="L515" i="76"/>
  <c r="P515" i="76"/>
  <c r="R515" i="76"/>
  <c r="U515" i="76"/>
  <c r="V515" i="76"/>
  <c r="AE515" i="76"/>
  <c r="AJ515" i="76"/>
  <c r="AK515" i="76"/>
  <c r="AL515" i="76"/>
  <c r="AM515" i="76"/>
  <c r="AN515" i="76"/>
  <c r="AO515" i="76"/>
  <c r="AP515" i="76"/>
  <c r="AQ515" i="76"/>
  <c r="AR515" i="76"/>
  <c r="AS515" i="76"/>
  <c r="AT515" i="76"/>
  <c r="AU515" i="76"/>
  <c r="AV515" i="76"/>
  <c r="AW515" i="76"/>
  <c r="AX515" i="76"/>
  <c r="AY515" i="76"/>
  <c r="AZ515" i="76"/>
  <c r="BA515" i="76"/>
  <c r="BB515" i="76"/>
  <c r="BC515" i="76"/>
  <c r="BD515" i="76"/>
  <c r="BE515" i="76"/>
  <c r="BF515" i="76"/>
  <c r="BG515" i="76"/>
  <c r="BH515" i="76"/>
  <c r="BI515" i="76"/>
  <c r="BJ515" i="76"/>
  <c r="BK515" i="76"/>
  <c r="BM515" i="76"/>
  <c r="A516" i="76"/>
  <c r="B516" i="76"/>
  <c r="D516" i="76"/>
  <c r="G516" i="76"/>
  <c r="H516" i="76"/>
  <c r="J516" i="76"/>
  <c r="E516" i="76" s="1"/>
  <c r="K516" i="76"/>
  <c r="L516" i="76"/>
  <c r="P516" i="76"/>
  <c r="R516" i="76"/>
  <c r="U516" i="76"/>
  <c r="V516" i="76"/>
  <c r="AE516" i="76"/>
  <c r="AJ516" i="76"/>
  <c r="AK516" i="76"/>
  <c r="AL516" i="76"/>
  <c r="AM516" i="76"/>
  <c r="AN516" i="76"/>
  <c r="AO516" i="76"/>
  <c r="AP516" i="76"/>
  <c r="AQ516" i="76"/>
  <c r="AR516" i="76"/>
  <c r="AS516" i="76"/>
  <c r="AT516" i="76"/>
  <c r="AU516" i="76"/>
  <c r="AV516" i="76"/>
  <c r="AW516" i="76"/>
  <c r="AX516" i="76"/>
  <c r="AY516" i="76"/>
  <c r="AZ516" i="76"/>
  <c r="BA516" i="76"/>
  <c r="BB516" i="76"/>
  <c r="BC516" i="76"/>
  <c r="BD516" i="76"/>
  <c r="BE516" i="76"/>
  <c r="BF516" i="76"/>
  <c r="BG516" i="76"/>
  <c r="BH516" i="76"/>
  <c r="BI516" i="76"/>
  <c r="BJ516" i="76"/>
  <c r="BK516" i="76"/>
  <c r="BM516" i="76"/>
  <c r="A517" i="76"/>
  <c r="B517" i="76"/>
  <c r="D517" i="76"/>
  <c r="G517" i="76"/>
  <c r="H517" i="76"/>
  <c r="J517" i="76"/>
  <c r="K517" i="76"/>
  <c r="L517" i="76"/>
  <c r="P517" i="76"/>
  <c r="R517" i="76"/>
  <c r="U517" i="76"/>
  <c r="V517" i="76"/>
  <c r="AE517" i="76"/>
  <c r="AJ517" i="76"/>
  <c r="AK517" i="76"/>
  <c r="AL517" i="76"/>
  <c r="AM517" i="76"/>
  <c r="AN517" i="76"/>
  <c r="AO517" i="76"/>
  <c r="AP517" i="76"/>
  <c r="AQ517" i="76"/>
  <c r="AR517" i="76"/>
  <c r="AS517" i="76"/>
  <c r="AT517" i="76"/>
  <c r="AU517" i="76"/>
  <c r="AV517" i="76"/>
  <c r="AW517" i="76"/>
  <c r="AX517" i="76"/>
  <c r="AY517" i="76"/>
  <c r="AZ517" i="76"/>
  <c r="BA517" i="76"/>
  <c r="BB517" i="76"/>
  <c r="BC517" i="76"/>
  <c r="BD517" i="76"/>
  <c r="BE517" i="76"/>
  <c r="BF517" i="76"/>
  <c r="BG517" i="76"/>
  <c r="BH517" i="76"/>
  <c r="BI517" i="76"/>
  <c r="BJ517" i="76"/>
  <c r="BK517" i="76"/>
  <c r="BM517" i="76"/>
  <c r="A518" i="76"/>
  <c r="B518" i="76"/>
  <c r="D518" i="76"/>
  <c r="G518" i="76"/>
  <c r="H518" i="76"/>
  <c r="J518" i="76"/>
  <c r="F518" i="76" s="1"/>
  <c r="K518" i="76"/>
  <c r="L518" i="76"/>
  <c r="P518" i="76"/>
  <c r="R518" i="76"/>
  <c r="U518" i="76"/>
  <c r="V518" i="76"/>
  <c r="AE518" i="76"/>
  <c r="AJ518" i="76"/>
  <c r="AK518" i="76"/>
  <c r="AL518" i="76"/>
  <c r="AM518" i="76"/>
  <c r="AN518" i="76"/>
  <c r="AO518" i="76"/>
  <c r="AP518" i="76"/>
  <c r="AQ518" i="76"/>
  <c r="AR518" i="76"/>
  <c r="AS518" i="76"/>
  <c r="AT518" i="76"/>
  <c r="AU518" i="76"/>
  <c r="AV518" i="76"/>
  <c r="AW518" i="76"/>
  <c r="AX518" i="76"/>
  <c r="AY518" i="76"/>
  <c r="AZ518" i="76"/>
  <c r="BA518" i="76"/>
  <c r="BB518" i="76"/>
  <c r="BC518" i="76"/>
  <c r="BD518" i="76"/>
  <c r="BE518" i="76"/>
  <c r="BF518" i="76"/>
  <c r="BG518" i="76"/>
  <c r="BH518" i="76"/>
  <c r="BI518" i="76"/>
  <c r="BJ518" i="76"/>
  <c r="BK518" i="76"/>
  <c r="BM518" i="76"/>
  <c r="A519" i="76"/>
  <c r="B519" i="76"/>
  <c r="D519" i="76"/>
  <c r="G519" i="76"/>
  <c r="H519" i="76"/>
  <c r="J519" i="76"/>
  <c r="E519" i="76" s="1"/>
  <c r="K519" i="76"/>
  <c r="L519" i="76"/>
  <c r="P519" i="76"/>
  <c r="R519" i="76"/>
  <c r="U519" i="76"/>
  <c r="V519" i="76"/>
  <c r="AE519" i="76"/>
  <c r="AJ519" i="76"/>
  <c r="AK519" i="76"/>
  <c r="AL519" i="76"/>
  <c r="AM519" i="76"/>
  <c r="AN519" i="76"/>
  <c r="AO519" i="76"/>
  <c r="AP519" i="76"/>
  <c r="AQ519" i="76"/>
  <c r="AR519" i="76"/>
  <c r="AS519" i="76"/>
  <c r="AT519" i="76"/>
  <c r="AU519" i="76"/>
  <c r="AV519" i="76"/>
  <c r="AW519" i="76"/>
  <c r="AX519" i="76"/>
  <c r="AY519" i="76"/>
  <c r="AZ519" i="76"/>
  <c r="BA519" i="76"/>
  <c r="BB519" i="76"/>
  <c r="BC519" i="76"/>
  <c r="BD519" i="76"/>
  <c r="BE519" i="76"/>
  <c r="BF519" i="76"/>
  <c r="BG519" i="76"/>
  <c r="BH519" i="76"/>
  <c r="BI519" i="76"/>
  <c r="BJ519" i="76"/>
  <c r="BK519" i="76"/>
  <c r="BM519" i="76"/>
  <c r="A520" i="76"/>
  <c r="B520" i="76"/>
  <c r="D520" i="76"/>
  <c r="G520" i="76"/>
  <c r="H520" i="76"/>
  <c r="J520" i="76"/>
  <c r="K520" i="76"/>
  <c r="L520" i="76"/>
  <c r="P520" i="76"/>
  <c r="R520" i="76"/>
  <c r="U520" i="76"/>
  <c r="V520" i="76"/>
  <c r="AE520" i="76"/>
  <c r="AJ520" i="76"/>
  <c r="AK520" i="76"/>
  <c r="AL520" i="76"/>
  <c r="AM520" i="76"/>
  <c r="AN520" i="76"/>
  <c r="AO520" i="76"/>
  <c r="AP520" i="76"/>
  <c r="AQ520" i="76"/>
  <c r="AR520" i="76"/>
  <c r="AS520" i="76"/>
  <c r="AT520" i="76"/>
  <c r="AU520" i="76"/>
  <c r="AV520" i="76"/>
  <c r="AW520" i="76"/>
  <c r="AX520" i="76"/>
  <c r="AY520" i="76"/>
  <c r="AZ520" i="76"/>
  <c r="BA520" i="76"/>
  <c r="BB520" i="76"/>
  <c r="BC520" i="76"/>
  <c r="BD520" i="76"/>
  <c r="BE520" i="76"/>
  <c r="BF520" i="76"/>
  <c r="BG520" i="76"/>
  <c r="BH520" i="76"/>
  <c r="BI520" i="76"/>
  <c r="BJ520" i="76"/>
  <c r="BK520" i="76"/>
  <c r="BM520" i="76"/>
  <c r="A521" i="76"/>
  <c r="B521" i="76"/>
  <c r="D521" i="76"/>
  <c r="G521" i="76"/>
  <c r="H521" i="76"/>
  <c r="J521" i="76"/>
  <c r="F521" i="76" s="1"/>
  <c r="K521" i="76"/>
  <c r="L521" i="76"/>
  <c r="P521" i="76"/>
  <c r="R521" i="76"/>
  <c r="U521" i="76"/>
  <c r="V521" i="76"/>
  <c r="AE521" i="76"/>
  <c r="AJ521" i="76"/>
  <c r="AK521" i="76"/>
  <c r="AL521" i="76"/>
  <c r="AM521" i="76"/>
  <c r="AN521" i="76"/>
  <c r="AO521" i="76"/>
  <c r="AP521" i="76"/>
  <c r="AQ521" i="76"/>
  <c r="AR521" i="76"/>
  <c r="AS521" i="76"/>
  <c r="AT521" i="76"/>
  <c r="AU521" i="76"/>
  <c r="AV521" i="76"/>
  <c r="AW521" i="76"/>
  <c r="AX521" i="76"/>
  <c r="AY521" i="76"/>
  <c r="AZ521" i="76"/>
  <c r="BA521" i="76"/>
  <c r="BB521" i="76"/>
  <c r="BC521" i="76"/>
  <c r="BD521" i="76"/>
  <c r="BE521" i="76"/>
  <c r="BF521" i="76"/>
  <c r="BG521" i="76"/>
  <c r="BH521" i="76"/>
  <c r="BI521" i="76"/>
  <c r="BJ521" i="76"/>
  <c r="BK521" i="76"/>
  <c r="BM521" i="76"/>
  <c r="A522" i="76"/>
  <c r="B522" i="76"/>
  <c r="D522" i="76"/>
  <c r="G522" i="76"/>
  <c r="H522" i="76"/>
  <c r="J522" i="76"/>
  <c r="K522" i="76"/>
  <c r="L522" i="76"/>
  <c r="P522" i="76"/>
  <c r="R522" i="76"/>
  <c r="U522" i="76"/>
  <c r="V522" i="76"/>
  <c r="AE522" i="76"/>
  <c r="AJ522" i="76"/>
  <c r="AK522" i="76"/>
  <c r="AL522" i="76"/>
  <c r="AM522" i="76"/>
  <c r="AN522" i="76"/>
  <c r="AO522" i="76"/>
  <c r="AP522" i="76"/>
  <c r="AQ522" i="76"/>
  <c r="AR522" i="76"/>
  <c r="AS522" i="76"/>
  <c r="AT522" i="76"/>
  <c r="AU522" i="76"/>
  <c r="AV522" i="76"/>
  <c r="AW522" i="76"/>
  <c r="AX522" i="76"/>
  <c r="AY522" i="76"/>
  <c r="AZ522" i="76"/>
  <c r="BA522" i="76"/>
  <c r="BB522" i="76"/>
  <c r="BC522" i="76"/>
  <c r="BD522" i="76"/>
  <c r="BE522" i="76"/>
  <c r="BF522" i="76"/>
  <c r="BG522" i="76"/>
  <c r="BH522" i="76"/>
  <c r="BI522" i="76"/>
  <c r="BJ522" i="76"/>
  <c r="BK522" i="76"/>
  <c r="BM522" i="76"/>
  <c r="A523" i="76"/>
  <c r="B523" i="76"/>
  <c r="D523" i="76"/>
  <c r="G523" i="76"/>
  <c r="H523" i="76"/>
  <c r="J523" i="76"/>
  <c r="F523" i="76" s="1"/>
  <c r="K523" i="76"/>
  <c r="L523" i="76"/>
  <c r="P523" i="76"/>
  <c r="R523" i="76"/>
  <c r="U523" i="76"/>
  <c r="V523" i="76"/>
  <c r="AE523" i="76"/>
  <c r="AJ523" i="76"/>
  <c r="AK523" i="76"/>
  <c r="AL523" i="76"/>
  <c r="AM523" i="76"/>
  <c r="AN523" i="76"/>
  <c r="AO523" i="76"/>
  <c r="AP523" i="76"/>
  <c r="AQ523" i="76"/>
  <c r="AR523" i="76"/>
  <c r="AS523" i="76"/>
  <c r="AT523" i="76"/>
  <c r="AU523" i="76"/>
  <c r="AV523" i="76"/>
  <c r="AW523" i="76"/>
  <c r="AX523" i="76"/>
  <c r="AY523" i="76"/>
  <c r="AZ523" i="76"/>
  <c r="BA523" i="76"/>
  <c r="BB523" i="76"/>
  <c r="BC523" i="76"/>
  <c r="BD523" i="76"/>
  <c r="BE523" i="76"/>
  <c r="BF523" i="76"/>
  <c r="BG523" i="76"/>
  <c r="BH523" i="76"/>
  <c r="BI523" i="76"/>
  <c r="BJ523" i="76"/>
  <c r="BK523" i="76"/>
  <c r="BM523" i="76"/>
  <c r="A524" i="76"/>
  <c r="B524" i="76"/>
  <c r="D524" i="76"/>
  <c r="G524" i="76"/>
  <c r="H524" i="76"/>
  <c r="J524" i="76"/>
  <c r="F524" i="76" s="1"/>
  <c r="K524" i="76"/>
  <c r="L524" i="76"/>
  <c r="P524" i="76"/>
  <c r="R524" i="76"/>
  <c r="U524" i="76"/>
  <c r="V524" i="76"/>
  <c r="AE524" i="76"/>
  <c r="AJ524" i="76"/>
  <c r="AK524" i="76"/>
  <c r="AL524" i="76"/>
  <c r="AM524" i="76"/>
  <c r="AN524" i="76"/>
  <c r="AO524" i="76"/>
  <c r="AP524" i="76"/>
  <c r="AQ524" i="76"/>
  <c r="AR524" i="76"/>
  <c r="AS524" i="76"/>
  <c r="AT524" i="76"/>
  <c r="AU524" i="76"/>
  <c r="AV524" i="76"/>
  <c r="AW524" i="76"/>
  <c r="AX524" i="76"/>
  <c r="AY524" i="76"/>
  <c r="AZ524" i="76"/>
  <c r="BA524" i="76"/>
  <c r="BB524" i="76"/>
  <c r="BC524" i="76"/>
  <c r="BD524" i="76"/>
  <c r="BE524" i="76"/>
  <c r="BF524" i="76"/>
  <c r="BG524" i="76"/>
  <c r="BH524" i="76"/>
  <c r="BI524" i="76"/>
  <c r="BJ524" i="76"/>
  <c r="BK524" i="76"/>
  <c r="BM524" i="76"/>
  <c r="A525" i="76"/>
  <c r="B525" i="76"/>
  <c r="D525" i="76"/>
  <c r="G525" i="76"/>
  <c r="H525" i="76"/>
  <c r="J525" i="76"/>
  <c r="K525" i="76"/>
  <c r="L525" i="76"/>
  <c r="P525" i="76"/>
  <c r="R525" i="76"/>
  <c r="U525" i="76"/>
  <c r="V525" i="76"/>
  <c r="AE525" i="76"/>
  <c r="AJ525" i="76"/>
  <c r="AK525" i="76"/>
  <c r="AL525" i="76"/>
  <c r="AM525" i="76"/>
  <c r="AN525" i="76"/>
  <c r="AO525" i="76"/>
  <c r="AP525" i="76"/>
  <c r="AQ525" i="76"/>
  <c r="AR525" i="76"/>
  <c r="AS525" i="76"/>
  <c r="AT525" i="76"/>
  <c r="AU525" i="76"/>
  <c r="AV525" i="76"/>
  <c r="AW525" i="76"/>
  <c r="AX525" i="76"/>
  <c r="AY525" i="76"/>
  <c r="AZ525" i="76"/>
  <c r="BA525" i="76"/>
  <c r="BB525" i="76"/>
  <c r="BC525" i="76"/>
  <c r="BD525" i="76"/>
  <c r="BE525" i="76"/>
  <c r="BF525" i="76"/>
  <c r="BG525" i="76"/>
  <c r="BH525" i="76"/>
  <c r="BI525" i="76"/>
  <c r="BJ525" i="76"/>
  <c r="BK525" i="76"/>
  <c r="BM525" i="76"/>
  <c r="A526" i="76"/>
  <c r="B526" i="76"/>
  <c r="D526" i="76"/>
  <c r="G526" i="76"/>
  <c r="H526" i="76"/>
  <c r="J526" i="76"/>
  <c r="E526" i="76" s="1"/>
  <c r="K526" i="76"/>
  <c r="L526" i="76"/>
  <c r="P526" i="76"/>
  <c r="R526" i="76"/>
  <c r="U526" i="76"/>
  <c r="V526" i="76"/>
  <c r="AE526" i="76"/>
  <c r="AJ526" i="76"/>
  <c r="AK526" i="76"/>
  <c r="AL526" i="76"/>
  <c r="AM526" i="76"/>
  <c r="AN526" i="76"/>
  <c r="AO526" i="76"/>
  <c r="AP526" i="76"/>
  <c r="AQ526" i="76"/>
  <c r="AR526" i="76"/>
  <c r="AS526" i="76"/>
  <c r="AT526" i="76"/>
  <c r="AU526" i="76"/>
  <c r="AV526" i="76"/>
  <c r="AW526" i="76"/>
  <c r="AX526" i="76"/>
  <c r="AY526" i="76"/>
  <c r="AZ526" i="76"/>
  <c r="BA526" i="76"/>
  <c r="BB526" i="76"/>
  <c r="BC526" i="76"/>
  <c r="BD526" i="76"/>
  <c r="BE526" i="76"/>
  <c r="BF526" i="76"/>
  <c r="BG526" i="76"/>
  <c r="BH526" i="76"/>
  <c r="BI526" i="76"/>
  <c r="BJ526" i="76"/>
  <c r="BK526" i="76"/>
  <c r="BM526" i="76"/>
  <c r="A527" i="76"/>
  <c r="B527" i="76"/>
  <c r="D527" i="76"/>
  <c r="G527" i="76"/>
  <c r="H527" i="76"/>
  <c r="J527" i="76"/>
  <c r="F527" i="76" s="1"/>
  <c r="K527" i="76"/>
  <c r="L527" i="76"/>
  <c r="P527" i="76"/>
  <c r="R527" i="76"/>
  <c r="U527" i="76"/>
  <c r="V527" i="76"/>
  <c r="AE527" i="76"/>
  <c r="AJ527" i="76"/>
  <c r="AK527" i="76"/>
  <c r="AL527" i="76"/>
  <c r="AM527" i="76"/>
  <c r="AN527" i="76"/>
  <c r="AO527" i="76"/>
  <c r="AP527" i="76"/>
  <c r="AQ527" i="76"/>
  <c r="AR527" i="76"/>
  <c r="AS527" i="76"/>
  <c r="AT527" i="76"/>
  <c r="AU527" i="76"/>
  <c r="AV527" i="76"/>
  <c r="AW527" i="76"/>
  <c r="AX527" i="76"/>
  <c r="AY527" i="76"/>
  <c r="AZ527" i="76"/>
  <c r="BA527" i="76"/>
  <c r="BB527" i="76"/>
  <c r="BC527" i="76"/>
  <c r="BD527" i="76"/>
  <c r="BE527" i="76"/>
  <c r="BF527" i="76"/>
  <c r="BG527" i="76"/>
  <c r="BH527" i="76"/>
  <c r="BI527" i="76"/>
  <c r="BJ527" i="76"/>
  <c r="BK527" i="76"/>
  <c r="BM527" i="76"/>
  <c r="A528" i="76"/>
  <c r="B528" i="76"/>
  <c r="D528" i="76"/>
  <c r="G528" i="76"/>
  <c r="H528" i="76"/>
  <c r="J528" i="76"/>
  <c r="K528" i="76"/>
  <c r="L528" i="76"/>
  <c r="P528" i="76"/>
  <c r="R528" i="76"/>
  <c r="U528" i="76"/>
  <c r="V528" i="76"/>
  <c r="AE528" i="76"/>
  <c r="AJ528" i="76"/>
  <c r="AK528" i="76"/>
  <c r="AL528" i="76"/>
  <c r="AM528" i="76"/>
  <c r="AN528" i="76"/>
  <c r="AO528" i="76"/>
  <c r="AP528" i="76"/>
  <c r="AQ528" i="76"/>
  <c r="AR528" i="76"/>
  <c r="AS528" i="76"/>
  <c r="AT528" i="76"/>
  <c r="AU528" i="76"/>
  <c r="AV528" i="76"/>
  <c r="AW528" i="76"/>
  <c r="AX528" i="76"/>
  <c r="AY528" i="76"/>
  <c r="AZ528" i="76"/>
  <c r="BA528" i="76"/>
  <c r="BB528" i="76"/>
  <c r="BC528" i="76"/>
  <c r="BD528" i="76"/>
  <c r="BE528" i="76"/>
  <c r="BF528" i="76"/>
  <c r="BG528" i="76"/>
  <c r="BH528" i="76"/>
  <c r="BI528" i="76"/>
  <c r="BJ528" i="76"/>
  <c r="BK528" i="76"/>
  <c r="BM528" i="76"/>
  <c r="A529" i="76"/>
  <c r="B529" i="76"/>
  <c r="D529" i="76"/>
  <c r="G529" i="76"/>
  <c r="H529" i="76"/>
  <c r="J529" i="76"/>
  <c r="K529" i="76"/>
  <c r="L529" i="76"/>
  <c r="P529" i="76"/>
  <c r="R529" i="76"/>
  <c r="U529" i="76"/>
  <c r="V529" i="76"/>
  <c r="AE529" i="76"/>
  <c r="AJ529" i="76"/>
  <c r="AK529" i="76"/>
  <c r="AL529" i="76"/>
  <c r="AM529" i="76"/>
  <c r="AN529" i="76"/>
  <c r="AO529" i="76"/>
  <c r="AP529" i="76"/>
  <c r="AQ529" i="76"/>
  <c r="AR529" i="76"/>
  <c r="AS529" i="76"/>
  <c r="AT529" i="76"/>
  <c r="AU529" i="76"/>
  <c r="AV529" i="76"/>
  <c r="AW529" i="76"/>
  <c r="AX529" i="76"/>
  <c r="AY529" i="76"/>
  <c r="AZ529" i="76"/>
  <c r="BA529" i="76"/>
  <c r="BB529" i="76"/>
  <c r="BC529" i="76"/>
  <c r="BD529" i="76"/>
  <c r="BE529" i="76"/>
  <c r="BF529" i="76"/>
  <c r="BG529" i="76"/>
  <c r="BH529" i="76"/>
  <c r="BI529" i="76"/>
  <c r="BJ529" i="76"/>
  <c r="BK529" i="76"/>
  <c r="BM529" i="76"/>
  <c r="A530" i="76"/>
  <c r="B530" i="76"/>
  <c r="D530" i="76"/>
  <c r="G530" i="76"/>
  <c r="H530" i="76"/>
  <c r="J530" i="76"/>
  <c r="F530" i="76" s="1"/>
  <c r="K530" i="76"/>
  <c r="L530" i="76"/>
  <c r="P530" i="76"/>
  <c r="R530" i="76"/>
  <c r="U530" i="76"/>
  <c r="V530" i="76"/>
  <c r="AE530" i="76"/>
  <c r="AJ530" i="76"/>
  <c r="AK530" i="76"/>
  <c r="AL530" i="76"/>
  <c r="AM530" i="76"/>
  <c r="AN530" i="76"/>
  <c r="AO530" i="76"/>
  <c r="AP530" i="76"/>
  <c r="AQ530" i="76"/>
  <c r="AR530" i="76"/>
  <c r="AS530" i="76"/>
  <c r="AT530" i="76"/>
  <c r="AU530" i="76"/>
  <c r="AV530" i="76"/>
  <c r="AW530" i="76"/>
  <c r="AX530" i="76"/>
  <c r="AY530" i="76"/>
  <c r="AZ530" i="76"/>
  <c r="BA530" i="76"/>
  <c r="BB530" i="76"/>
  <c r="BC530" i="76"/>
  <c r="BD530" i="76"/>
  <c r="BE530" i="76"/>
  <c r="BF530" i="76"/>
  <c r="BG530" i="76"/>
  <c r="BH530" i="76"/>
  <c r="BI530" i="76"/>
  <c r="BJ530" i="76"/>
  <c r="BK530" i="76"/>
  <c r="BM530" i="76"/>
  <c r="A531" i="76"/>
  <c r="B531" i="76"/>
  <c r="D531" i="76"/>
  <c r="G531" i="76"/>
  <c r="H531" i="76"/>
  <c r="J531" i="76"/>
  <c r="E531" i="76" s="1"/>
  <c r="K531" i="76"/>
  <c r="L531" i="76"/>
  <c r="P531" i="76"/>
  <c r="R531" i="76"/>
  <c r="U531" i="76"/>
  <c r="V531" i="76"/>
  <c r="AE531" i="76"/>
  <c r="AJ531" i="76"/>
  <c r="AK531" i="76"/>
  <c r="AL531" i="76"/>
  <c r="AM531" i="76"/>
  <c r="AN531" i="76"/>
  <c r="AO531" i="76"/>
  <c r="AP531" i="76"/>
  <c r="AQ531" i="76"/>
  <c r="AR531" i="76"/>
  <c r="AS531" i="76"/>
  <c r="AT531" i="76"/>
  <c r="AU531" i="76"/>
  <c r="AV531" i="76"/>
  <c r="AW531" i="76"/>
  <c r="AX531" i="76"/>
  <c r="AY531" i="76"/>
  <c r="AZ531" i="76"/>
  <c r="BA531" i="76"/>
  <c r="BB531" i="76"/>
  <c r="BC531" i="76"/>
  <c r="BD531" i="76"/>
  <c r="BE531" i="76"/>
  <c r="BF531" i="76"/>
  <c r="BG531" i="76"/>
  <c r="BH531" i="76"/>
  <c r="BI531" i="76"/>
  <c r="BJ531" i="76"/>
  <c r="BK531" i="76"/>
  <c r="BM531" i="76"/>
  <c r="A532" i="76"/>
  <c r="B532" i="76"/>
  <c r="D532" i="76"/>
  <c r="G532" i="76"/>
  <c r="H532" i="76"/>
  <c r="J532" i="76"/>
  <c r="K532" i="76"/>
  <c r="L532" i="76"/>
  <c r="P532" i="76"/>
  <c r="R532" i="76"/>
  <c r="U532" i="76"/>
  <c r="V532" i="76"/>
  <c r="AE532" i="76"/>
  <c r="AJ532" i="76"/>
  <c r="AK532" i="76"/>
  <c r="AL532" i="76"/>
  <c r="AM532" i="76"/>
  <c r="AN532" i="76"/>
  <c r="AO532" i="76"/>
  <c r="AP532" i="76"/>
  <c r="AQ532" i="76"/>
  <c r="AR532" i="76"/>
  <c r="AS532" i="76"/>
  <c r="AT532" i="76"/>
  <c r="AU532" i="76"/>
  <c r="AV532" i="76"/>
  <c r="AW532" i="76"/>
  <c r="AX532" i="76"/>
  <c r="AY532" i="76"/>
  <c r="AZ532" i="76"/>
  <c r="BA532" i="76"/>
  <c r="BB532" i="76"/>
  <c r="BC532" i="76"/>
  <c r="BD532" i="76"/>
  <c r="BE532" i="76"/>
  <c r="BF532" i="76"/>
  <c r="BG532" i="76"/>
  <c r="BH532" i="76"/>
  <c r="BI532" i="76"/>
  <c r="BJ532" i="76"/>
  <c r="BK532" i="76"/>
  <c r="BM532" i="76"/>
  <c r="A533" i="76"/>
  <c r="B533" i="76"/>
  <c r="D533" i="76"/>
  <c r="G533" i="76"/>
  <c r="H533" i="76"/>
  <c r="J533" i="76"/>
  <c r="K533" i="76"/>
  <c r="L533" i="76"/>
  <c r="P533" i="76"/>
  <c r="R533" i="76"/>
  <c r="U533" i="76"/>
  <c r="V533" i="76"/>
  <c r="AE533" i="76"/>
  <c r="AJ533" i="76"/>
  <c r="AK533" i="76"/>
  <c r="AL533" i="76"/>
  <c r="AM533" i="76"/>
  <c r="AN533" i="76"/>
  <c r="AO533" i="76"/>
  <c r="AP533" i="76"/>
  <c r="AQ533" i="76"/>
  <c r="AR533" i="76"/>
  <c r="AS533" i="76"/>
  <c r="AT533" i="76"/>
  <c r="AU533" i="76"/>
  <c r="AV533" i="76"/>
  <c r="AW533" i="76"/>
  <c r="AX533" i="76"/>
  <c r="AY533" i="76"/>
  <c r="AZ533" i="76"/>
  <c r="BA533" i="76"/>
  <c r="BB533" i="76"/>
  <c r="BC533" i="76"/>
  <c r="BD533" i="76"/>
  <c r="BE533" i="76"/>
  <c r="BF533" i="76"/>
  <c r="BG533" i="76"/>
  <c r="BH533" i="76"/>
  <c r="BI533" i="76"/>
  <c r="BJ533" i="76"/>
  <c r="BK533" i="76"/>
  <c r="BM533" i="76"/>
  <c r="A534" i="76"/>
  <c r="B534" i="76"/>
  <c r="D534" i="76"/>
  <c r="G534" i="76"/>
  <c r="H534" i="76"/>
  <c r="J534" i="76"/>
  <c r="K534" i="76"/>
  <c r="L534" i="76"/>
  <c r="P534" i="76"/>
  <c r="R534" i="76"/>
  <c r="U534" i="76"/>
  <c r="V534" i="76"/>
  <c r="AE534" i="76"/>
  <c r="AJ534" i="76"/>
  <c r="AK534" i="76"/>
  <c r="AL534" i="76"/>
  <c r="AM534" i="76"/>
  <c r="AN534" i="76"/>
  <c r="AO534" i="76"/>
  <c r="AP534" i="76"/>
  <c r="AQ534" i="76"/>
  <c r="AR534" i="76"/>
  <c r="AS534" i="76"/>
  <c r="AT534" i="76"/>
  <c r="AU534" i="76"/>
  <c r="AV534" i="76"/>
  <c r="AW534" i="76"/>
  <c r="AX534" i="76"/>
  <c r="AY534" i="76"/>
  <c r="AZ534" i="76"/>
  <c r="BA534" i="76"/>
  <c r="BB534" i="76"/>
  <c r="BC534" i="76"/>
  <c r="BD534" i="76"/>
  <c r="BE534" i="76"/>
  <c r="BF534" i="76"/>
  <c r="BG534" i="76"/>
  <c r="BH534" i="76"/>
  <c r="BI534" i="76"/>
  <c r="BJ534" i="76"/>
  <c r="BK534" i="76"/>
  <c r="BM534" i="76"/>
  <c r="A535" i="76"/>
  <c r="B535" i="76"/>
  <c r="D535" i="76"/>
  <c r="G535" i="76"/>
  <c r="H535" i="76"/>
  <c r="J535" i="76"/>
  <c r="E535" i="76" s="1"/>
  <c r="K535" i="76"/>
  <c r="L535" i="76"/>
  <c r="P535" i="76"/>
  <c r="R535" i="76"/>
  <c r="U535" i="76"/>
  <c r="V535" i="76"/>
  <c r="AE535" i="76"/>
  <c r="AJ535" i="76"/>
  <c r="AK535" i="76"/>
  <c r="AL535" i="76"/>
  <c r="AM535" i="76"/>
  <c r="AN535" i="76"/>
  <c r="AO535" i="76"/>
  <c r="AP535" i="76"/>
  <c r="AQ535" i="76"/>
  <c r="AR535" i="76"/>
  <c r="AS535" i="76"/>
  <c r="AT535" i="76"/>
  <c r="AU535" i="76"/>
  <c r="AV535" i="76"/>
  <c r="AW535" i="76"/>
  <c r="AX535" i="76"/>
  <c r="AY535" i="76"/>
  <c r="AZ535" i="76"/>
  <c r="BA535" i="76"/>
  <c r="BB535" i="76"/>
  <c r="BC535" i="76"/>
  <c r="BD535" i="76"/>
  <c r="BE535" i="76"/>
  <c r="BF535" i="76"/>
  <c r="BG535" i="76"/>
  <c r="BH535" i="76"/>
  <c r="BI535" i="76"/>
  <c r="BJ535" i="76"/>
  <c r="BK535" i="76"/>
  <c r="BM535" i="76"/>
  <c r="A536" i="76"/>
  <c r="B536" i="76"/>
  <c r="D536" i="76"/>
  <c r="G536" i="76"/>
  <c r="H536" i="76"/>
  <c r="J536" i="76"/>
  <c r="K536" i="76"/>
  <c r="L536" i="76"/>
  <c r="P536" i="76"/>
  <c r="R536" i="76"/>
  <c r="U536" i="76"/>
  <c r="V536" i="76"/>
  <c r="AE536" i="76"/>
  <c r="AJ536" i="76"/>
  <c r="AK536" i="76"/>
  <c r="AL536" i="76"/>
  <c r="AM536" i="76"/>
  <c r="AN536" i="76"/>
  <c r="AO536" i="76"/>
  <c r="AP536" i="76"/>
  <c r="AQ536" i="76"/>
  <c r="AR536" i="76"/>
  <c r="AS536" i="76"/>
  <c r="AT536" i="76"/>
  <c r="AU536" i="76"/>
  <c r="AV536" i="76"/>
  <c r="AW536" i="76"/>
  <c r="AX536" i="76"/>
  <c r="AY536" i="76"/>
  <c r="AZ536" i="76"/>
  <c r="BA536" i="76"/>
  <c r="BB536" i="76"/>
  <c r="BC536" i="76"/>
  <c r="BD536" i="76"/>
  <c r="BE536" i="76"/>
  <c r="BF536" i="76"/>
  <c r="BG536" i="76"/>
  <c r="BH536" i="76"/>
  <c r="BI536" i="76"/>
  <c r="BJ536" i="76"/>
  <c r="BK536" i="76"/>
  <c r="BM536" i="76"/>
  <c r="A537" i="76"/>
  <c r="B537" i="76"/>
  <c r="D537" i="76"/>
  <c r="G537" i="76"/>
  <c r="H537" i="76"/>
  <c r="J537" i="76"/>
  <c r="E537" i="76" s="1"/>
  <c r="K537" i="76"/>
  <c r="L537" i="76"/>
  <c r="P537" i="76"/>
  <c r="R537" i="76"/>
  <c r="U537" i="76"/>
  <c r="V537" i="76"/>
  <c r="AE537" i="76"/>
  <c r="AJ537" i="76"/>
  <c r="AK537" i="76"/>
  <c r="AL537" i="76"/>
  <c r="AM537" i="76"/>
  <c r="AN537" i="76"/>
  <c r="AO537" i="76"/>
  <c r="AP537" i="76"/>
  <c r="AQ537" i="76"/>
  <c r="AR537" i="76"/>
  <c r="AS537" i="76"/>
  <c r="AT537" i="76"/>
  <c r="AU537" i="76"/>
  <c r="AV537" i="76"/>
  <c r="AW537" i="76"/>
  <c r="AX537" i="76"/>
  <c r="AY537" i="76"/>
  <c r="AZ537" i="76"/>
  <c r="BA537" i="76"/>
  <c r="BB537" i="76"/>
  <c r="BC537" i="76"/>
  <c r="BD537" i="76"/>
  <c r="BE537" i="76"/>
  <c r="BF537" i="76"/>
  <c r="BG537" i="76"/>
  <c r="BH537" i="76"/>
  <c r="BI537" i="76"/>
  <c r="BJ537" i="76"/>
  <c r="BK537" i="76"/>
  <c r="BM537" i="76"/>
  <c r="A538" i="76"/>
  <c r="B538" i="76"/>
  <c r="D538" i="76"/>
  <c r="G538" i="76"/>
  <c r="H538" i="76"/>
  <c r="J538" i="76"/>
  <c r="E538" i="76" s="1"/>
  <c r="K538" i="76"/>
  <c r="L538" i="76"/>
  <c r="P538" i="76"/>
  <c r="R538" i="76"/>
  <c r="U538" i="76"/>
  <c r="V538" i="76"/>
  <c r="AE538" i="76"/>
  <c r="AJ538" i="76"/>
  <c r="AK538" i="76"/>
  <c r="AL538" i="76"/>
  <c r="AM538" i="76"/>
  <c r="AN538" i="76"/>
  <c r="AO538" i="76"/>
  <c r="AP538" i="76"/>
  <c r="AQ538" i="76"/>
  <c r="AR538" i="76"/>
  <c r="AS538" i="76"/>
  <c r="AT538" i="76"/>
  <c r="AU538" i="76"/>
  <c r="AV538" i="76"/>
  <c r="AW538" i="76"/>
  <c r="AX538" i="76"/>
  <c r="AY538" i="76"/>
  <c r="AZ538" i="76"/>
  <c r="BA538" i="76"/>
  <c r="BB538" i="76"/>
  <c r="BC538" i="76"/>
  <c r="BD538" i="76"/>
  <c r="BE538" i="76"/>
  <c r="BF538" i="76"/>
  <c r="BG538" i="76"/>
  <c r="BH538" i="76"/>
  <c r="BI538" i="76"/>
  <c r="BJ538" i="76"/>
  <c r="BK538" i="76"/>
  <c r="BM538" i="76"/>
  <c r="A539" i="76"/>
  <c r="B539" i="76"/>
  <c r="D539" i="76"/>
  <c r="G539" i="76"/>
  <c r="H539" i="76"/>
  <c r="J539" i="76"/>
  <c r="K539" i="76"/>
  <c r="L539" i="76"/>
  <c r="P539" i="76"/>
  <c r="R539" i="76"/>
  <c r="U539" i="76"/>
  <c r="V539" i="76"/>
  <c r="AE539" i="76"/>
  <c r="AJ539" i="76"/>
  <c r="AK539" i="76"/>
  <c r="AL539" i="76"/>
  <c r="AM539" i="76"/>
  <c r="AN539" i="76"/>
  <c r="AO539" i="76"/>
  <c r="AP539" i="76"/>
  <c r="AQ539" i="76"/>
  <c r="AR539" i="76"/>
  <c r="AS539" i="76"/>
  <c r="AT539" i="76"/>
  <c r="AU539" i="76"/>
  <c r="AV539" i="76"/>
  <c r="AW539" i="76"/>
  <c r="AX539" i="76"/>
  <c r="AY539" i="76"/>
  <c r="AZ539" i="76"/>
  <c r="BA539" i="76"/>
  <c r="BB539" i="76"/>
  <c r="BC539" i="76"/>
  <c r="BD539" i="76"/>
  <c r="BE539" i="76"/>
  <c r="BF539" i="76"/>
  <c r="BG539" i="76"/>
  <c r="BH539" i="76"/>
  <c r="BI539" i="76"/>
  <c r="BJ539" i="76"/>
  <c r="BK539" i="76"/>
  <c r="BM539" i="76"/>
  <c r="A540" i="76"/>
  <c r="B540" i="76"/>
  <c r="D540" i="76"/>
  <c r="G540" i="76"/>
  <c r="H540" i="76"/>
  <c r="J540" i="76"/>
  <c r="E540" i="76" s="1"/>
  <c r="K540" i="76"/>
  <c r="L540" i="76"/>
  <c r="P540" i="76"/>
  <c r="R540" i="76"/>
  <c r="U540" i="76"/>
  <c r="V540" i="76"/>
  <c r="AE540" i="76"/>
  <c r="AJ540" i="76"/>
  <c r="AK540" i="76"/>
  <c r="AL540" i="76"/>
  <c r="AM540" i="76"/>
  <c r="AN540" i="76"/>
  <c r="AO540" i="76"/>
  <c r="AP540" i="76"/>
  <c r="AQ540" i="76"/>
  <c r="AR540" i="76"/>
  <c r="AS540" i="76"/>
  <c r="AT540" i="76"/>
  <c r="AU540" i="76"/>
  <c r="AV540" i="76"/>
  <c r="AW540" i="76"/>
  <c r="AX540" i="76"/>
  <c r="AY540" i="76"/>
  <c r="AZ540" i="76"/>
  <c r="BA540" i="76"/>
  <c r="BB540" i="76"/>
  <c r="BC540" i="76"/>
  <c r="BD540" i="76"/>
  <c r="BE540" i="76"/>
  <c r="BF540" i="76"/>
  <c r="BG540" i="76"/>
  <c r="BH540" i="76"/>
  <c r="BI540" i="76"/>
  <c r="BJ540" i="76"/>
  <c r="BK540" i="76"/>
  <c r="BM540" i="76"/>
  <c r="A541" i="76"/>
  <c r="B541" i="76"/>
  <c r="D541" i="76"/>
  <c r="G541" i="76"/>
  <c r="H541" i="76"/>
  <c r="J541" i="76"/>
  <c r="E541" i="76" s="1"/>
  <c r="K541" i="76"/>
  <c r="L541" i="76"/>
  <c r="P541" i="76"/>
  <c r="R541" i="76"/>
  <c r="U541" i="76"/>
  <c r="V541" i="76"/>
  <c r="AE541" i="76"/>
  <c r="AJ541" i="76"/>
  <c r="AK541" i="76"/>
  <c r="AL541" i="76"/>
  <c r="AM541" i="76"/>
  <c r="AN541" i="76"/>
  <c r="AO541" i="76"/>
  <c r="AP541" i="76"/>
  <c r="AQ541" i="76"/>
  <c r="AR541" i="76"/>
  <c r="AS541" i="76"/>
  <c r="AT541" i="76"/>
  <c r="AU541" i="76"/>
  <c r="AV541" i="76"/>
  <c r="AW541" i="76"/>
  <c r="AX541" i="76"/>
  <c r="AY541" i="76"/>
  <c r="AZ541" i="76"/>
  <c r="BA541" i="76"/>
  <c r="BB541" i="76"/>
  <c r="BC541" i="76"/>
  <c r="BD541" i="76"/>
  <c r="BE541" i="76"/>
  <c r="BF541" i="76"/>
  <c r="BG541" i="76"/>
  <c r="BH541" i="76"/>
  <c r="BI541" i="76"/>
  <c r="BJ541" i="76"/>
  <c r="BK541" i="76"/>
  <c r="BM541" i="76"/>
  <c r="A542" i="76"/>
  <c r="B542" i="76"/>
  <c r="D542" i="76"/>
  <c r="G542" i="76"/>
  <c r="H542" i="76"/>
  <c r="J542" i="76"/>
  <c r="F542" i="76" s="1"/>
  <c r="K542" i="76"/>
  <c r="L542" i="76"/>
  <c r="P542" i="76"/>
  <c r="R542" i="76"/>
  <c r="U542" i="76"/>
  <c r="V542" i="76"/>
  <c r="AE542" i="76"/>
  <c r="AJ542" i="76"/>
  <c r="AK542" i="76"/>
  <c r="AL542" i="76"/>
  <c r="AM542" i="76"/>
  <c r="AN542" i="76"/>
  <c r="AO542" i="76"/>
  <c r="AP542" i="76"/>
  <c r="AQ542" i="76"/>
  <c r="AR542" i="76"/>
  <c r="AS542" i="76"/>
  <c r="AT542" i="76"/>
  <c r="AU542" i="76"/>
  <c r="AV542" i="76"/>
  <c r="AW542" i="76"/>
  <c r="AX542" i="76"/>
  <c r="AY542" i="76"/>
  <c r="AZ542" i="76"/>
  <c r="BA542" i="76"/>
  <c r="BB542" i="76"/>
  <c r="BC542" i="76"/>
  <c r="BD542" i="76"/>
  <c r="BE542" i="76"/>
  <c r="BF542" i="76"/>
  <c r="BG542" i="76"/>
  <c r="BH542" i="76"/>
  <c r="BI542" i="76"/>
  <c r="BJ542" i="76"/>
  <c r="BK542" i="76"/>
  <c r="BM542" i="76"/>
  <c r="A543" i="76"/>
  <c r="B543" i="76"/>
  <c r="D543" i="76"/>
  <c r="G543" i="76"/>
  <c r="H543" i="76"/>
  <c r="J543" i="76"/>
  <c r="E543" i="76" s="1"/>
  <c r="K543" i="76"/>
  <c r="L543" i="76"/>
  <c r="P543" i="76"/>
  <c r="R543" i="76"/>
  <c r="U543" i="76"/>
  <c r="V543" i="76"/>
  <c r="AE543" i="76"/>
  <c r="AJ543" i="76"/>
  <c r="AK543" i="76"/>
  <c r="AL543" i="76"/>
  <c r="AM543" i="76"/>
  <c r="AN543" i="76"/>
  <c r="AO543" i="76"/>
  <c r="AP543" i="76"/>
  <c r="AQ543" i="76"/>
  <c r="AR543" i="76"/>
  <c r="AS543" i="76"/>
  <c r="AT543" i="76"/>
  <c r="AU543" i="76"/>
  <c r="AV543" i="76"/>
  <c r="AW543" i="76"/>
  <c r="AX543" i="76"/>
  <c r="AY543" i="76"/>
  <c r="AZ543" i="76"/>
  <c r="BA543" i="76"/>
  <c r="BB543" i="76"/>
  <c r="BC543" i="76"/>
  <c r="BD543" i="76"/>
  <c r="BE543" i="76"/>
  <c r="BF543" i="76"/>
  <c r="BG543" i="76"/>
  <c r="BH543" i="76"/>
  <c r="BI543" i="76"/>
  <c r="BJ543" i="76"/>
  <c r="BK543" i="76"/>
  <c r="BM543" i="76"/>
  <c r="A544" i="76"/>
  <c r="B544" i="76"/>
  <c r="D544" i="76"/>
  <c r="G544" i="76"/>
  <c r="H544" i="76"/>
  <c r="J544" i="76"/>
  <c r="E544" i="76" s="1"/>
  <c r="K544" i="76"/>
  <c r="L544" i="76"/>
  <c r="P544" i="76"/>
  <c r="R544" i="76"/>
  <c r="U544" i="76"/>
  <c r="V544" i="76"/>
  <c r="AE544" i="76"/>
  <c r="AJ544" i="76"/>
  <c r="AK544" i="76"/>
  <c r="AL544" i="76"/>
  <c r="AM544" i="76"/>
  <c r="AN544" i="76"/>
  <c r="AO544" i="76"/>
  <c r="AP544" i="76"/>
  <c r="AQ544" i="76"/>
  <c r="AR544" i="76"/>
  <c r="AS544" i="76"/>
  <c r="AT544" i="76"/>
  <c r="AU544" i="76"/>
  <c r="AV544" i="76"/>
  <c r="AW544" i="76"/>
  <c r="AX544" i="76"/>
  <c r="AY544" i="76"/>
  <c r="AZ544" i="76"/>
  <c r="BA544" i="76"/>
  <c r="BB544" i="76"/>
  <c r="BC544" i="76"/>
  <c r="BD544" i="76"/>
  <c r="BE544" i="76"/>
  <c r="BF544" i="76"/>
  <c r="BG544" i="76"/>
  <c r="BH544" i="76"/>
  <c r="BI544" i="76"/>
  <c r="BJ544" i="76"/>
  <c r="BK544" i="76"/>
  <c r="BM544" i="76"/>
  <c r="A545" i="76"/>
  <c r="B545" i="76"/>
  <c r="D545" i="76"/>
  <c r="G545" i="76"/>
  <c r="H545" i="76"/>
  <c r="J545" i="76"/>
  <c r="F545" i="76" s="1"/>
  <c r="K545" i="76"/>
  <c r="L545" i="76"/>
  <c r="P545" i="76"/>
  <c r="R545" i="76"/>
  <c r="U545" i="76"/>
  <c r="V545" i="76"/>
  <c r="AE545" i="76"/>
  <c r="AJ545" i="76"/>
  <c r="AK545" i="76"/>
  <c r="AL545" i="76"/>
  <c r="AM545" i="76"/>
  <c r="AN545" i="76"/>
  <c r="AO545" i="76"/>
  <c r="AP545" i="76"/>
  <c r="AQ545" i="76"/>
  <c r="AR545" i="76"/>
  <c r="AS545" i="76"/>
  <c r="AT545" i="76"/>
  <c r="AU545" i="76"/>
  <c r="AV545" i="76"/>
  <c r="AW545" i="76"/>
  <c r="AX545" i="76"/>
  <c r="AY545" i="76"/>
  <c r="AZ545" i="76"/>
  <c r="BA545" i="76"/>
  <c r="BB545" i="76"/>
  <c r="BC545" i="76"/>
  <c r="BD545" i="76"/>
  <c r="BE545" i="76"/>
  <c r="BF545" i="76"/>
  <c r="BG545" i="76"/>
  <c r="BH545" i="76"/>
  <c r="BI545" i="76"/>
  <c r="BJ545" i="76"/>
  <c r="BK545" i="76"/>
  <c r="BM545" i="76"/>
  <c r="A546" i="76"/>
  <c r="B546" i="76"/>
  <c r="D546" i="76"/>
  <c r="G546" i="76"/>
  <c r="H546" i="76"/>
  <c r="J546" i="76"/>
  <c r="K546" i="76"/>
  <c r="L546" i="76"/>
  <c r="P546" i="76"/>
  <c r="R546" i="76"/>
  <c r="U546" i="76"/>
  <c r="V546" i="76"/>
  <c r="AE546" i="76"/>
  <c r="AJ546" i="76"/>
  <c r="AK546" i="76"/>
  <c r="AL546" i="76"/>
  <c r="AM546" i="76"/>
  <c r="AN546" i="76"/>
  <c r="AO546" i="76"/>
  <c r="AP546" i="76"/>
  <c r="AQ546" i="76"/>
  <c r="AR546" i="76"/>
  <c r="AS546" i="76"/>
  <c r="AT546" i="76"/>
  <c r="AU546" i="76"/>
  <c r="AV546" i="76"/>
  <c r="AW546" i="76"/>
  <c r="AX546" i="76"/>
  <c r="AY546" i="76"/>
  <c r="AZ546" i="76"/>
  <c r="BA546" i="76"/>
  <c r="BB546" i="76"/>
  <c r="BC546" i="76"/>
  <c r="BD546" i="76"/>
  <c r="BE546" i="76"/>
  <c r="BF546" i="76"/>
  <c r="BG546" i="76"/>
  <c r="BH546" i="76"/>
  <c r="BI546" i="76"/>
  <c r="BJ546" i="76"/>
  <c r="BK546" i="76"/>
  <c r="BM546" i="76"/>
  <c r="A547" i="76"/>
  <c r="B547" i="76"/>
  <c r="D547" i="76"/>
  <c r="G547" i="76"/>
  <c r="H547" i="76"/>
  <c r="J547" i="76"/>
  <c r="K547" i="76"/>
  <c r="L547" i="76"/>
  <c r="P547" i="76"/>
  <c r="R547" i="76"/>
  <c r="U547" i="76"/>
  <c r="V547" i="76"/>
  <c r="AE547" i="76"/>
  <c r="AJ547" i="76"/>
  <c r="AK547" i="76"/>
  <c r="AL547" i="76"/>
  <c r="AM547" i="76"/>
  <c r="AN547" i="76"/>
  <c r="AO547" i="76"/>
  <c r="AP547" i="76"/>
  <c r="AQ547" i="76"/>
  <c r="AR547" i="76"/>
  <c r="AS547" i="76"/>
  <c r="AT547" i="76"/>
  <c r="AU547" i="76"/>
  <c r="AV547" i="76"/>
  <c r="AW547" i="76"/>
  <c r="AX547" i="76"/>
  <c r="AY547" i="76"/>
  <c r="AZ547" i="76"/>
  <c r="BA547" i="76"/>
  <c r="BB547" i="76"/>
  <c r="BC547" i="76"/>
  <c r="BD547" i="76"/>
  <c r="BE547" i="76"/>
  <c r="BF547" i="76"/>
  <c r="BG547" i="76"/>
  <c r="BH547" i="76"/>
  <c r="BI547" i="76"/>
  <c r="BJ547" i="76"/>
  <c r="BK547" i="76"/>
  <c r="BM547" i="76"/>
  <c r="A548" i="76"/>
  <c r="B548" i="76"/>
  <c r="D548" i="76"/>
  <c r="G548" i="76"/>
  <c r="H548" i="76"/>
  <c r="J548" i="76"/>
  <c r="K548" i="76"/>
  <c r="L548" i="76"/>
  <c r="P548" i="76"/>
  <c r="R548" i="76"/>
  <c r="U548" i="76"/>
  <c r="V548" i="76"/>
  <c r="AE548" i="76"/>
  <c r="AJ548" i="76"/>
  <c r="AK548" i="76"/>
  <c r="AL548" i="76"/>
  <c r="AM548" i="76"/>
  <c r="AN548" i="76"/>
  <c r="AO548" i="76"/>
  <c r="AP548" i="76"/>
  <c r="AQ548" i="76"/>
  <c r="AR548" i="76"/>
  <c r="AS548" i="76"/>
  <c r="AT548" i="76"/>
  <c r="AU548" i="76"/>
  <c r="AV548" i="76"/>
  <c r="AW548" i="76"/>
  <c r="AX548" i="76"/>
  <c r="AY548" i="76"/>
  <c r="AZ548" i="76"/>
  <c r="BA548" i="76"/>
  <c r="BB548" i="76"/>
  <c r="BC548" i="76"/>
  <c r="BD548" i="76"/>
  <c r="BE548" i="76"/>
  <c r="BF548" i="76"/>
  <c r="BG548" i="76"/>
  <c r="BH548" i="76"/>
  <c r="BI548" i="76"/>
  <c r="BJ548" i="76"/>
  <c r="BK548" i="76"/>
  <c r="BM548" i="76"/>
  <c r="A549" i="76"/>
  <c r="B549" i="76"/>
  <c r="D549" i="76"/>
  <c r="G549" i="76"/>
  <c r="H549" i="76"/>
  <c r="J549" i="76"/>
  <c r="F549" i="76" s="1"/>
  <c r="K549" i="76"/>
  <c r="L549" i="76"/>
  <c r="P549" i="76"/>
  <c r="R549" i="76"/>
  <c r="U549" i="76"/>
  <c r="V549" i="76"/>
  <c r="AE549" i="76"/>
  <c r="AJ549" i="76"/>
  <c r="AK549" i="76"/>
  <c r="AL549" i="76"/>
  <c r="AM549" i="76"/>
  <c r="AN549" i="76"/>
  <c r="AO549" i="76"/>
  <c r="AP549" i="76"/>
  <c r="AQ549" i="76"/>
  <c r="AR549" i="76"/>
  <c r="AS549" i="76"/>
  <c r="AT549" i="76"/>
  <c r="AU549" i="76"/>
  <c r="AV549" i="76"/>
  <c r="AW549" i="76"/>
  <c r="AX549" i="76"/>
  <c r="AY549" i="76"/>
  <c r="AZ549" i="76"/>
  <c r="BA549" i="76"/>
  <c r="BB549" i="76"/>
  <c r="BC549" i="76"/>
  <c r="BD549" i="76"/>
  <c r="BE549" i="76"/>
  <c r="BF549" i="76"/>
  <c r="BG549" i="76"/>
  <c r="BH549" i="76"/>
  <c r="BI549" i="76"/>
  <c r="BJ549" i="76"/>
  <c r="BK549" i="76"/>
  <c r="BM549" i="76"/>
  <c r="A550" i="76"/>
  <c r="B550" i="76"/>
  <c r="D550" i="76"/>
  <c r="G550" i="76"/>
  <c r="H550" i="76"/>
  <c r="J550" i="76"/>
  <c r="K550" i="76"/>
  <c r="L550" i="76"/>
  <c r="P550" i="76"/>
  <c r="R550" i="76"/>
  <c r="U550" i="76"/>
  <c r="V550" i="76"/>
  <c r="AE550" i="76"/>
  <c r="AJ550" i="76"/>
  <c r="AK550" i="76"/>
  <c r="AL550" i="76"/>
  <c r="AM550" i="76"/>
  <c r="AN550" i="76"/>
  <c r="AO550" i="76"/>
  <c r="AP550" i="76"/>
  <c r="AQ550" i="76"/>
  <c r="AR550" i="76"/>
  <c r="AS550" i="76"/>
  <c r="AT550" i="76"/>
  <c r="AU550" i="76"/>
  <c r="AV550" i="76"/>
  <c r="AW550" i="76"/>
  <c r="AX550" i="76"/>
  <c r="AY550" i="76"/>
  <c r="AZ550" i="76"/>
  <c r="BA550" i="76"/>
  <c r="BB550" i="76"/>
  <c r="BC550" i="76"/>
  <c r="BD550" i="76"/>
  <c r="BE550" i="76"/>
  <c r="BF550" i="76"/>
  <c r="BG550" i="76"/>
  <c r="BH550" i="76"/>
  <c r="BI550" i="76"/>
  <c r="BJ550" i="76"/>
  <c r="BK550" i="76"/>
  <c r="BM550" i="76"/>
  <c r="A551" i="76"/>
  <c r="B551" i="76"/>
  <c r="D551" i="76"/>
  <c r="G551" i="76"/>
  <c r="H551" i="76"/>
  <c r="J551" i="76"/>
  <c r="F551" i="76" s="1"/>
  <c r="K551" i="76"/>
  <c r="L551" i="76"/>
  <c r="P551" i="76"/>
  <c r="R551" i="76"/>
  <c r="U551" i="76"/>
  <c r="V551" i="76"/>
  <c r="AE551" i="76"/>
  <c r="AJ551" i="76"/>
  <c r="AK551" i="76"/>
  <c r="AL551" i="76"/>
  <c r="AM551" i="76"/>
  <c r="AN551" i="76"/>
  <c r="AO551" i="76"/>
  <c r="AP551" i="76"/>
  <c r="AQ551" i="76"/>
  <c r="AR551" i="76"/>
  <c r="AS551" i="76"/>
  <c r="AT551" i="76"/>
  <c r="AU551" i="76"/>
  <c r="AV551" i="76"/>
  <c r="AW551" i="76"/>
  <c r="AX551" i="76"/>
  <c r="AY551" i="76"/>
  <c r="AZ551" i="76"/>
  <c r="BA551" i="76"/>
  <c r="BB551" i="76"/>
  <c r="BC551" i="76"/>
  <c r="BD551" i="76"/>
  <c r="BE551" i="76"/>
  <c r="BF551" i="76"/>
  <c r="BG551" i="76"/>
  <c r="BH551" i="76"/>
  <c r="BI551" i="76"/>
  <c r="BJ551" i="76"/>
  <c r="BK551" i="76"/>
  <c r="BM551" i="76"/>
  <c r="A552" i="76"/>
  <c r="B552" i="76"/>
  <c r="D552" i="76"/>
  <c r="G552" i="76"/>
  <c r="H552" i="76"/>
  <c r="J552" i="76"/>
  <c r="F552" i="76" s="1"/>
  <c r="K552" i="76"/>
  <c r="L552" i="76"/>
  <c r="P552" i="76"/>
  <c r="R552" i="76"/>
  <c r="U552" i="76"/>
  <c r="V552" i="76"/>
  <c r="AE552" i="76"/>
  <c r="AJ552" i="76"/>
  <c r="AK552" i="76"/>
  <c r="AL552" i="76"/>
  <c r="AM552" i="76"/>
  <c r="AN552" i="76"/>
  <c r="AO552" i="76"/>
  <c r="AP552" i="76"/>
  <c r="AQ552" i="76"/>
  <c r="AR552" i="76"/>
  <c r="AS552" i="76"/>
  <c r="AT552" i="76"/>
  <c r="AU552" i="76"/>
  <c r="AV552" i="76"/>
  <c r="AW552" i="76"/>
  <c r="AX552" i="76"/>
  <c r="AY552" i="76"/>
  <c r="AZ552" i="76"/>
  <c r="BA552" i="76"/>
  <c r="BB552" i="76"/>
  <c r="BC552" i="76"/>
  <c r="BD552" i="76"/>
  <c r="BE552" i="76"/>
  <c r="BF552" i="76"/>
  <c r="BG552" i="76"/>
  <c r="BH552" i="76"/>
  <c r="BI552" i="76"/>
  <c r="BJ552" i="76"/>
  <c r="BK552" i="76"/>
  <c r="BM552" i="76"/>
  <c r="A553" i="76"/>
  <c r="B553" i="76"/>
  <c r="D553" i="76"/>
  <c r="G553" i="76"/>
  <c r="H553" i="76"/>
  <c r="J553" i="76"/>
  <c r="K553" i="76"/>
  <c r="L553" i="76"/>
  <c r="P553" i="76"/>
  <c r="R553" i="76"/>
  <c r="U553" i="76"/>
  <c r="V553" i="76"/>
  <c r="AE553" i="76"/>
  <c r="AJ553" i="76"/>
  <c r="AK553" i="76"/>
  <c r="AL553" i="76"/>
  <c r="AM553" i="76"/>
  <c r="AN553" i="76"/>
  <c r="AO553" i="76"/>
  <c r="AP553" i="76"/>
  <c r="AQ553" i="76"/>
  <c r="AR553" i="76"/>
  <c r="AS553" i="76"/>
  <c r="AT553" i="76"/>
  <c r="AU553" i="76"/>
  <c r="AV553" i="76"/>
  <c r="AW553" i="76"/>
  <c r="AX553" i="76"/>
  <c r="AY553" i="76"/>
  <c r="AZ553" i="76"/>
  <c r="BA553" i="76"/>
  <c r="BB553" i="76"/>
  <c r="BC553" i="76"/>
  <c r="BD553" i="76"/>
  <c r="BE553" i="76"/>
  <c r="BF553" i="76"/>
  <c r="BG553" i="76"/>
  <c r="BH553" i="76"/>
  <c r="BI553" i="76"/>
  <c r="BJ553" i="76"/>
  <c r="BK553" i="76"/>
  <c r="BM553" i="76"/>
  <c r="A554" i="76"/>
  <c r="B554" i="76"/>
  <c r="D554" i="76"/>
  <c r="G554" i="76"/>
  <c r="H554" i="76"/>
  <c r="J554" i="76"/>
  <c r="F554" i="76" s="1"/>
  <c r="K554" i="76"/>
  <c r="L554" i="76"/>
  <c r="P554" i="76"/>
  <c r="R554" i="76"/>
  <c r="U554" i="76"/>
  <c r="V554" i="76"/>
  <c r="AE554" i="76"/>
  <c r="AJ554" i="76"/>
  <c r="AK554" i="76"/>
  <c r="AL554" i="76"/>
  <c r="AM554" i="76"/>
  <c r="AN554" i="76"/>
  <c r="AO554" i="76"/>
  <c r="AP554" i="76"/>
  <c r="AQ554" i="76"/>
  <c r="AR554" i="76"/>
  <c r="AS554" i="76"/>
  <c r="AT554" i="76"/>
  <c r="AU554" i="76"/>
  <c r="AV554" i="76"/>
  <c r="AW554" i="76"/>
  <c r="AX554" i="76"/>
  <c r="AY554" i="76"/>
  <c r="AZ554" i="76"/>
  <c r="BA554" i="76"/>
  <c r="BB554" i="76"/>
  <c r="BC554" i="76"/>
  <c r="BD554" i="76"/>
  <c r="BE554" i="76"/>
  <c r="BF554" i="76"/>
  <c r="BG554" i="76"/>
  <c r="BH554" i="76"/>
  <c r="BI554" i="76"/>
  <c r="BJ554" i="76"/>
  <c r="BK554" i="76"/>
  <c r="BM554" i="76"/>
  <c r="A555" i="76"/>
  <c r="B555" i="76"/>
  <c r="D555" i="76"/>
  <c r="G555" i="76"/>
  <c r="H555" i="76"/>
  <c r="J555" i="76"/>
  <c r="E555" i="76" s="1"/>
  <c r="K555" i="76"/>
  <c r="L555" i="76"/>
  <c r="P555" i="76"/>
  <c r="R555" i="76"/>
  <c r="U555" i="76"/>
  <c r="V555" i="76"/>
  <c r="AE555" i="76"/>
  <c r="AJ555" i="76"/>
  <c r="AK555" i="76"/>
  <c r="AL555" i="76"/>
  <c r="AM555" i="76"/>
  <c r="AN555" i="76"/>
  <c r="AO555" i="76"/>
  <c r="AP555" i="76"/>
  <c r="AQ555" i="76"/>
  <c r="AR555" i="76"/>
  <c r="AS555" i="76"/>
  <c r="AT555" i="76"/>
  <c r="AU555" i="76"/>
  <c r="AV555" i="76"/>
  <c r="AW555" i="76"/>
  <c r="AX555" i="76"/>
  <c r="AY555" i="76"/>
  <c r="AZ555" i="76"/>
  <c r="BA555" i="76"/>
  <c r="BB555" i="76"/>
  <c r="BC555" i="76"/>
  <c r="BD555" i="76"/>
  <c r="BE555" i="76"/>
  <c r="BF555" i="76"/>
  <c r="BG555" i="76"/>
  <c r="BH555" i="76"/>
  <c r="BI555" i="76"/>
  <c r="BJ555" i="76"/>
  <c r="BK555" i="76"/>
  <c r="BM555" i="76"/>
  <c r="A556" i="76"/>
  <c r="B556" i="76"/>
  <c r="D556" i="76"/>
  <c r="G556" i="76"/>
  <c r="H556" i="76"/>
  <c r="J556" i="76"/>
  <c r="E556" i="76" s="1"/>
  <c r="K556" i="76"/>
  <c r="L556" i="76"/>
  <c r="P556" i="76"/>
  <c r="R556" i="76"/>
  <c r="U556" i="76"/>
  <c r="V556" i="76"/>
  <c r="AE556" i="76"/>
  <c r="AJ556" i="76"/>
  <c r="AK556" i="76"/>
  <c r="AL556" i="76"/>
  <c r="AM556" i="76"/>
  <c r="AN556" i="76"/>
  <c r="AO556" i="76"/>
  <c r="AP556" i="76"/>
  <c r="AQ556" i="76"/>
  <c r="AR556" i="76"/>
  <c r="AS556" i="76"/>
  <c r="AT556" i="76"/>
  <c r="AU556" i="76"/>
  <c r="AV556" i="76"/>
  <c r="AW556" i="76"/>
  <c r="AX556" i="76"/>
  <c r="AY556" i="76"/>
  <c r="AZ556" i="76"/>
  <c r="BA556" i="76"/>
  <c r="BB556" i="76"/>
  <c r="BC556" i="76"/>
  <c r="BD556" i="76"/>
  <c r="BE556" i="76"/>
  <c r="BF556" i="76"/>
  <c r="BG556" i="76"/>
  <c r="BH556" i="76"/>
  <c r="BI556" i="76"/>
  <c r="BJ556" i="76"/>
  <c r="BK556" i="76"/>
  <c r="BM556" i="76"/>
  <c r="A557" i="76"/>
  <c r="B557" i="76"/>
  <c r="D557" i="76"/>
  <c r="G557" i="76"/>
  <c r="H557" i="76"/>
  <c r="J557" i="76"/>
  <c r="F557" i="76" s="1"/>
  <c r="K557" i="76"/>
  <c r="L557" i="76"/>
  <c r="P557" i="76"/>
  <c r="R557" i="76"/>
  <c r="U557" i="76"/>
  <c r="V557" i="76"/>
  <c r="AE557" i="76"/>
  <c r="AJ557" i="76"/>
  <c r="AK557" i="76"/>
  <c r="AL557" i="76"/>
  <c r="AM557" i="76"/>
  <c r="AN557" i="76"/>
  <c r="AO557" i="76"/>
  <c r="AP557" i="76"/>
  <c r="AQ557" i="76"/>
  <c r="AR557" i="76"/>
  <c r="AS557" i="76"/>
  <c r="AT557" i="76"/>
  <c r="AU557" i="76"/>
  <c r="AV557" i="76"/>
  <c r="AW557" i="76"/>
  <c r="AX557" i="76"/>
  <c r="AY557" i="76"/>
  <c r="AZ557" i="76"/>
  <c r="BA557" i="76"/>
  <c r="BB557" i="76"/>
  <c r="BC557" i="76"/>
  <c r="BD557" i="76"/>
  <c r="BE557" i="76"/>
  <c r="BF557" i="76"/>
  <c r="BG557" i="76"/>
  <c r="BH557" i="76"/>
  <c r="BI557" i="76"/>
  <c r="BJ557" i="76"/>
  <c r="BK557" i="76"/>
  <c r="BM557" i="76"/>
  <c r="A558" i="76"/>
  <c r="B558" i="76"/>
  <c r="D558" i="76"/>
  <c r="G558" i="76"/>
  <c r="H558" i="76"/>
  <c r="J558" i="76"/>
  <c r="K558" i="76"/>
  <c r="L558" i="76"/>
  <c r="P558" i="76"/>
  <c r="R558" i="76"/>
  <c r="U558" i="76"/>
  <c r="V558" i="76"/>
  <c r="AE558" i="76"/>
  <c r="AJ558" i="76"/>
  <c r="AK558" i="76"/>
  <c r="AL558" i="76"/>
  <c r="AM558" i="76"/>
  <c r="AN558" i="76"/>
  <c r="AO558" i="76"/>
  <c r="AP558" i="76"/>
  <c r="AQ558" i="76"/>
  <c r="AR558" i="76"/>
  <c r="AS558" i="76"/>
  <c r="AT558" i="76"/>
  <c r="AU558" i="76"/>
  <c r="AV558" i="76"/>
  <c r="AW558" i="76"/>
  <c r="AX558" i="76"/>
  <c r="AY558" i="76"/>
  <c r="AZ558" i="76"/>
  <c r="BA558" i="76"/>
  <c r="BB558" i="76"/>
  <c r="BC558" i="76"/>
  <c r="BD558" i="76"/>
  <c r="BE558" i="76"/>
  <c r="BF558" i="76"/>
  <c r="BG558" i="76"/>
  <c r="BH558" i="76"/>
  <c r="BI558" i="76"/>
  <c r="BJ558" i="76"/>
  <c r="BK558" i="76"/>
  <c r="BM558" i="76"/>
  <c r="A559" i="76"/>
  <c r="B559" i="76"/>
  <c r="D559" i="76"/>
  <c r="G559" i="76"/>
  <c r="H559" i="76"/>
  <c r="J559" i="76"/>
  <c r="E559" i="76" s="1"/>
  <c r="K559" i="76"/>
  <c r="L559" i="76"/>
  <c r="P559" i="76"/>
  <c r="R559" i="76"/>
  <c r="U559" i="76"/>
  <c r="V559" i="76"/>
  <c r="AE559" i="76"/>
  <c r="AJ559" i="76"/>
  <c r="AK559" i="76"/>
  <c r="AL559" i="76"/>
  <c r="AM559" i="76"/>
  <c r="AN559" i="76"/>
  <c r="AO559" i="76"/>
  <c r="AP559" i="76"/>
  <c r="AQ559" i="76"/>
  <c r="AR559" i="76"/>
  <c r="AS559" i="76"/>
  <c r="AT559" i="76"/>
  <c r="AU559" i="76"/>
  <c r="AV559" i="76"/>
  <c r="AW559" i="76"/>
  <c r="AX559" i="76"/>
  <c r="AY559" i="76"/>
  <c r="AZ559" i="76"/>
  <c r="BA559" i="76"/>
  <c r="BB559" i="76"/>
  <c r="BC559" i="76"/>
  <c r="BD559" i="76"/>
  <c r="BE559" i="76"/>
  <c r="BF559" i="76"/>
  <c r="BG559" i="76"/>
  <c r="BH559" i="76"/>
  <c r="BI559" i="76"/>
  <c r="BJ559" i="76"/>
  <c r="BK559" i="76"/>
  <c r="BM559" i="76"/>
  <c r="A560" i="76"/>
  <c r="B560" i="76"/>
  <c r="D560" i="76"/>
  <c r="G560" i="76"/>
  <c r="H560" i="76"/>
  <c r="J560" i="76"/>
  <c r="F560" i="76" s="1"/>
  <c r="K560" i="76"/>
  <c r="L560" i="76"/>
  <c r="P560" i="76"/>
  <c r="R560" i="76"/>
  <c r="U560" i="76"/>
  <c r="V560" i="76"/>
  <c r="AE560" i="76"/>
  <c r="AJ560" i="76"/>
  <c r="AK560" i="76"/>
  <c r="AL560" i="76"/>
  <c r="AM560" i="76"/>
  <c r="AN560" i="76"/>
  <c r="AO560" i="76"/>
  <c r="AP560" i="76"/>
  <c r="AQ560" i="76"/>
  <c r="AR560" i="76"/>
  <c r="AS560" i="76"/>
  <c r="AT560" i="76"/>
  <c r="AU560" i="76"/>
  <c r="AV560" i="76"/>
  <c r="AW560" i="76"/>
  <c r="AX560" i="76"/>
  <c r="AY560" i="76"/>
  <c r="AZ560" i="76"/>
  <c r="BA560" i="76"/>
  <c r="BB560" i="76"/>
  <c r="BC560" i="76"/>
  <c r="BD560" i="76"/>
  <c r="BE560" i="76"/>
  <c r="BF560" i="76"/>
  <c r="BG560" i="76"/>
  <c r="BH560" i="76"/>
  <c r="BI560" i="76"/>
  <c r="BJ560" i="76"/>
  <c r="BK560" i="76"/>
  <c r="BM560" i="76"/>
  <c r="A561" i="76"/>
  <c r="B561" i="76"/>
  <c r="D561" i="76"/>
  <c r="G561" i="76"/>
  <c r="H561" i="76"/>
  <c r="J561" i="76"/>
  <c r="K561" i="76"/>
  <c r="L561" i="76"/>
  <c r="P561" i="76"/>
  <c r="R561" i="76"/>
  <c r="U561" i="76"/>
  <c r="V561" i="76"/>
  <c r="AE561" i="76"/>
  <c r="AJ561" i="76"/>
  <c r="AK561" i="76"/>
  <c r="AL561" i="76"/>
  <c r="AM561" i="76"/>
  <c r="AN561" i="76"/>
  <c r="AO561" i="76"/>
  <c r="AP561" i="76"/>
  <c r="AQ561" i="76"/>
  <c r="AR561" i="76"/>
  <c r="AS561" i="76"/>
  <c r="AT561" i="76"/>
  <c r="AU561" i="76"/>
  <c r="AV561" i="76"/>
  <c r="AW561" i="76"/>
  <c r="AX561" i="76"/>
  <c r="AY561" i="76"/>
  <c r="AZ561" i="76"/>
  <c r="BA561" i="76"/>
  <c r="BB561" i="76"/>
  <c r="BC561" i="76"/>
  <c r="BD561" i="76"/>
  <c r="BE561" i="76"/>
  <c r="BF561" i="76"/>
  <c r="BG561" i="76"/>
  <c r="BH561" i="76"/>
  <c r="BI561" i="76"/>
  <c r="BJ561" i="76"/>
  <c r="BK561" i="76"/>
  <c r="BM561" i="76"/>
  <c r="A562" i="76"/>
  <c r="B562" i="76"/>
  <c r="D562" i="76"/>
  <c r="G562" i="76"/>
  <c r="H562" i="76"/>
  <c r="J562" i="76"/>
  <c r="K562" i="76"/>
  <c r="L562" i="76"/>
  <c r="P562" i="76"/>
  <c r="R562" i="76"/>
  <c r="U562" i="76"/>
  <c r="V562" i="76"/>
  <c r="AE562" i="76"/>
  <c r="AJ562" i="76"/>
  <c r="AK562" i="76"/>
  <c r="AL562" i="76"/>
  <c r="AM562" i="76"/>
  <c r="AN562" i="76"/>
  <c r="AO562" i="76"/>
  <c r="AP562" i="76"/>
  <c r="AQ562" i="76"/>
  <c r="AR562" i="76"/>
  <c r="AS562" i="76"/>
  <c r="AT562" i="76"/>
  <c r="AU562" i="76"/>
  <c r="AV562" i="76"/>
  <c r="AW562" i="76"/>
  <c r="AX562" i="76"/>
  <c r="AY562" i="76"/>
  <c r="AZ562" i="76"/>
  <c r="BA562" i="76"/>
  <c r="BB562" i="76"/>
  <c r="BC562" i="76"/>
  <c r="BD562" i="76"/>
  <c r="BE562" i="76"/>
  <c r="BF562" i="76"/>
  <c r="BG562" i="76"/>
  <c r="BH562" i="76"/>
  <c r="BI562" i="76"/>
  <c r="BJ562" i="76"/>
  <c r="BK562" i="76"/>
  <c r="BM562" i="76"/>
  <c r="A563" i="76"/>
  <c r="B563" i="76"/>
  <c r="D563" i="76"/>
  <c r="G563" i="76"/>
  <c r="H563" i="76"/>
  <c r="J563" i="76"/>
  <c r="F563" i="76" s="1"/>
  <c r="K563" i="76"/>
  <c r="L563" i="76"/>
  <c r="P563" i="76"/>
  <c r="R563" i="76"/>
  <c r="U563" i="76"/>
  <c r="V563" i="76"/>
  <c r="AE563" i="76"/>
  <c r="AJ563" i="76"/>
  <c r="AK563" i="76"/>
  <c r="AL563" i="76"/>
  <c r="AM563" i="76"/>
  <c r="AN563" i="76"/>
  <c r="AO563" i="76"/>
  <c r="AP563" i="76"/>
  <c r="AQ563" i="76"/>
  <c r="AR563" i="76"/>
  <c r="AS563" i="76"/>
  <c r="AT563" i="76"/>
  <c r="AU563" i="76"/>
  <c r="AV563" i="76"/>
  <c r="AW563" i="76"/>
  <c r="AX563" i="76"/>
  <c r="AY563" i="76"/>
  <c r="AZ563" i="76"/>
  <c r="BA563" i="76"/>
  <c r="BB563" i="76"/>
  <c r="BC563" i="76"/>
  <c r="BD563" i="76"/>
  <c r="BE563" i="76"/>
  <c r="BF563" i="76"/>
  <c r="BG563" i="76"/>
  <c r="BH563" i="76"/>
  <c r="BI563" i="76"/>
  <c r="BJ563" i="76"/>
  <c r="BK563" i="76"/>
  <c r="BM563" i="76"/>
  <c r="A564" i="76"/>
  <c r="B564" i="76"/>
  <c r="D564" i="76"/>
  <c r="G564" i="76"/>
  <c r="H564" i="76"/>
  <c r="J564" i="76"/>
  <c r="K564" i="76"/>
  <c r="L564" i="76"/>
  <c r="P564" i="76"/>
  <c r="R564" i="76"/>
  <c r="U564" i="76"/>
  <c r="V564" i="76"/>
  <c r="AE564" i="76"/>
  <c r="AJ564" i="76"/>
  <c r="AK564" i="76"/>
  <c r="AL564" i="76"/>
  <c r="AM564" i="76"/>
  <c r="AN564" i="76"/>
  <c r="AO564" i="76"/>
  <c r="AP564" i="76"/>
  <c r="AQ564" i="76"/>
  <c r="AR564" i="76"/>
  <c r="AS564" i="76"/>
  <c r="AT564" i="76"/>
  <c r="AU564" i="76"/>
  <c r="AV564" i="76"/>
  <c r="AW564" i="76"/>
  <c r="AX564" i="76"/>
  <c r="AY564" i="76"/>
  <c r="AZ564" i="76"/>
  <c r="BA564" i="76"/>
  <c r="BB564" i="76"/>
  <c r="BC564" i="76"/>
  <c r="BD564" i="76"/>
  <c r="BE564" i="76"/>
  <c r="BF564" i="76"/>
  <c r="BG564" i="76"/>
  <c r="BH564" i="76"/>
  <c r="BI564" i="76"/>
  <c r="BJ564" i="76"/>
  <c r="BK564" i="76"/>
  <c r="BM564" i="76"/>
  <c r="A565" i="76"/>
  <c r="B565" i="76"/>
  <c r="D565" i="76"/>
  <c r="G565" i="76"/>
  <c r="H565" i="76"/>
  <c r="J565" i="76"/>
  <c r="E565" i="76" s="1"/>
  <c r="K565" i="76"/>
  <c r="L565" i="76"/>
  <c r="P565" i="76"/>
  <c r="R565" i="76"/>
  <c r="U565" i="76"/>
  <c r="V565" i="76"/>
  <c r="AE565" i="76"/>
  <c r="AJ565" i="76"/>
  <c r="AK565" i="76"/>
  <c r="AL565" i="76"/>
  <c r="AM565" i="76"/>
  <c r="AN565" i="76"/>
  <c r="AO565" i="76"/>
  <c r="AP565" i="76"/>
  <c r="AQ565" i="76"/>
  <c r="AR565" i="76"/>
  <c r="AS565" i="76"/>
  <c r="AT565" i="76"/>
  <c r="AU565" i="76"/>
  <c r="AV565" i="76"/>
  <c r="AW565" i="76"/>
  <c r="AX565" i="76"/>
  <c r="AY565" i="76"/>
  <c r="AZ565" i="76"/>
  <c r="BA565" i="76"/>
  <c r="BB565" i="76"/>
  <c r="BC565" i="76"/>
  <c r="BD565" i="76"/>
  <c r="BE565" i="76"/>
  <c r="BF565" i="76"/>
  <c r="BG565" i="76"/>
  <c r="BH565" i="76"/>
  <c r="BI565" i="76"/>
  <c r="BJ565" i="76"/>
  <c r="BK565" i="76"/>
  <c r="BM565" i="76"/>
  <c r="A566" i="76"/>
  <c r="B566" i="76"/>
  <c r="D566" i="76"/>
  <c r="G566" i="76"/>
  <c r="H566" i="76"/>
  <c r="J566" i="76"/>
  <c r="F566" i="76" s="1"/>
  <c r="K566" i="76"/>
  <c r="L566" i="76"/>
  <c r="P566" i="76"/>
  <c r="R566" i="76"/>
  <c r="U566" i="76"/>
  <c r="V566" i="76"/>
  <c r="AE566" i="76"/>
  <c r="AJ566" i="76"/>
  <c r="AK566" i="76"/>
  <c r="AL566" i="76"/>
  <c r="AM566" i="76"/>
  <c r="AN566" i="76"/>
  <c r="AO566" i="76"/>
  <c r="AP566" i="76"/>
  <c r="AQ566" i="76"/>
  <c r="AR566" i="76"/>
  <c r="AS566" i="76"/>
  <c r="AT566" i="76"/>
  <c r="AU566" i="76"/>
  <c r="AV566" i="76"/>
  <c r="AW566" i="76"/>
  <c r="AX566" i="76"/>
  <c r="AY566" i="76"/>
  <c r="AZ566" i="76"/>
  <c r="BA566" i="76"/>
  <c r="BB566" i="76"/>
  <c r="BC566" i="76"/>
  <c r="BD566" i="76"/>
  <c r="BE566" i="76"/>
  <c r="BF566" i="76"/>
  <c r="BG566" i="76"/>
  <c r="BH566" i="76"/>
  <c r="BI566" i="76"/>
  <c r="BJ566" i="76"/>
  <c r="BK566" i="76"/>
  <c r="BM566" i="76"/>
  <c r="A567" i="76"/>
  <c r="B567" i="76"/>
  <c r="D567" i="76"/>
  <c r="G567" i="76"/>
  <c r="H567" i="76"/>
  <c r="J567" i="76"/>
  <c r="K567" i="76"/>
  <c r="L567" i="76"/>
  <c r="P567" i="76"/>
  <c r="R567" i="76"/>
  <c r="U567" i="76"/>
  <c r="V567" i="76"/>
  <c r="AE567" i="76"/>
  <c r="AJ567" i="76"/>
  <c r="AK567" i="76"/>
  <c r="AL567" i="76"/>
  <c r="AM567" i="76"/>
  <c r="AN567" i="76"/>
  <c r="AO567" i="76"/>
  <c r="AP567" i="76"/>
  <c r="AQ567" i="76"/>
  <c r="AR567" i="76"/>
  <c r="AS567" i="76"/>
  <c r="AT567" i="76"/>
  <c r="AU567" i="76"/>
  <c r="AV567" i="76"/>
  <c r="AW567" i="76"/>
  <c r="AX567" i="76"/>
  <c r="AY567" i="76"/>
  <c r="AZ567" i="76"/>
  <c r="BA567" i="76"/>
  <c r="BB567" i="76"/>
  <c r="BC567" i="76"/>
  <c r="BD567" i="76"/>
  <c r="BE567" i="76"/>
  <c r="BF567" i="76"/>
  <c r="BG567" i="76"/>
  <c r="BH567" i="76"/>
  <c r="BI567" i="76"/>
  <c r="BJ567" i="76"/>
  <c r="BK567" i="76"/>
  <c r="BM567" i="76"/>
  <c r="A568" i="76"/>
  <c r="B568" i="76"/>
  <c r="D568" i="76"/>
  <c r="G568" i="76"/>
  <c r="H568" i="76"/>
  <c r="J568" i="76"/>
  <c r="E568" i="76" s="1"/>
  <c r="K568" i="76"/>
  <c r="L568" i="76"/>
  <c r="P568" i="76"/>
  <c r="R568" i="76"/>
  <c r="U568" i="76"/>
  <c r="V568" i="76"/>
  <c r="AE568" i="76"/>
  <c r="AJ568" i="76"/>
  <c r="AK568" i="76"/>
  <c r="AL568" i="76"/>
  <c r="AM568" i="76"/>
  <c r="AN568" i="76"/>
  <c r="AO568" i="76"/>
  <c r="AP568" i="76"/>
  <c r="AQ568" i="76"/>
  <c r="AR568" i="76"/>
  <c r="AS568" i="76"/>
  <c r="AT568" i="76"/>
  <c r="AU568" i="76"/>
  <c r="AV568" i="76"/>
  <c r="AW568" i="76"/>
  <c r="AX568" i="76"/>
  <c r="AY568" i="76"/>
  <c r="AZ568" i="76"/>
  <c r="BA568" i="76"/>
  <c r="BB568" i="76"/>
  <c r="BC568" i="76"/>
  <c r="BD568" i="76"/>
  <c r="BE568" i="76"/>
  <c r="BF568" i="76"/>
  <c r="BG568" i="76"/>
  <c r="BH568" i="76"/>
  <c r="BI568" i="76"/>
  <c r="BJ568" i="76"/>
  <c r="BK568" i="76"/>
  <c r="BM568" i="76"/>
  <c r="A569" i="76"/>
  <c r="B569" i="76"/>
  <c r="D569" i="76"/>
  <c r="G569" i="76"/>
  <c r="H569" i="76"/>
  <c r="J569" i="76"/>
  <c r="K569" i="76"/>
  <c r="L569" i="76"/>
  <c r="P569" i="76"/>
  <c r="R569" i="76"/>
  <c r="U569" i="76"/>
  <c r="V569" i="76"/>
  <c r="AE569" i="76"/>
  <c r="AJ569" i="76"/>
  <c r="AK569" i="76"/>
  <c r="AL569" i="76"/>
  <c r="AM569" i="76"/>
  <c r="AN569" i="76"/>
  <c r="AO569" i="76"/>
  <c r="AP569" i="76"/>
  <c r="AQ569" i="76"/>
  <c r="AR569" i="76"/>
  <c r="AS569" i="76"/>
  <c r="AT569" i="76"/>
  <c r="AU569" i="76"/>
  <c r="AV569" i="76"/>
  <c r="AW569" i="76"/>
  <c r="AX569" i="76"/>
  <c r="AY569" i="76"/>
  <c r="AZ569" i="76"/>
  <c r="BA569" i="76"/>
  <c r="BB569" i="76"/>
  <c r="BC569" i="76"/>
  <c r="BD569" i="76"/>
  <c r="BE569" i="76"/>
  <c r="BF569" i="76"/>
  <c r="BG569" i="76"/>
  <c r="BH569" i="76"/>
  <c r="BI569" i="76"/>
  <c r="BJ569" i="76"/>
  <c r="BK569" i="76"/>
  <c r="BM569" i="76"/>
  <c r="A570" i="76"/>
  <c r="B570" i="76"/>
  <c r="D570" i="76"/>
  <c r="G570" i="76"/>
  <c r="H570" i="76"/>
  <c r="J570" i="76"/>
  <c r="F570" i="76" s="1"/>
  <c r="K570" i="76"/>
  <c r="L570" i="76"/>
  <c r="P570" i="76"/>
  <c r="R570" i="76"/>
  <c r="U570" i="76"/>
  <c r="V570" i="76"/>
  <c r="AE570" i="76"/>
  <c r="AJ570" i="76"/>
  <c r="AK570" i="76"/>
  <c r="AL570" i="76"/>
  <c r="AM570" i="76"/>
  <c r="AN570" i="76"/>
  <c r="AO570" i="76"/>
  <c r="AP570" i="76"/>
  <c r="AQ570" i="76"/>
  <c r="AR570" i="76"/>
  <c r="AS570" i="76"/>
  <c r="AT570" i="76"/>
  <c r="AU570" i="76"/>
  <c r="AV570" i="76"/>
  <c r="AW570" i="76"/>
  <c r="AX570" i="76"/>
  <c r="AY570" i="76"/>
  <c r="AZ570" i="76"/>
  <c r="BA570" i="76"/>
  <c r="BB570" i="76"/>
  <c r="BC570" i="76"/>
  <c r="BD570" i="76"/>
  <c r="BE570" i="76"/>
  <c r="BF570" i="76"/>
  <c r="BG570" i="76"/>
  <c r="BH570" i="76"/>
  <c r="BI570" i="76"/>
  <c r="BJ570" i="76"/>
  <c r="BK570" i="76"/>
  <c r="BM570" i="76"/>
  <c r="A571" i="76"/>
  <c r="B571" i="76"/>
  <c r="D571" i="76"/>
  <c r="G571" i="76"/>
  <c r="H571" i="76"/>
  <c r="J571" i="76"/>
  <c r="E571" i="76" s="1"/>
  <c r="K571" i="76"/>
  <c r="L571" i="76"/>
  <c r="P571" i="76"/>
  <c r="R571" i="76"/>
  <c r="U571" i="76"/>
  <c r="V571" i="76"/>
  <c r="AE571" i="76"/>
  <c r="AJ571" i="76"/>
  <c r="AK571" i="76"/>
  <c r="AL571" i="76"/>
  <c r="AM571" i="76"/>
  <c r="AN571" i="76"/>
  <c r="AO571" i="76"/>
  <c r="AP571" i="76"/>
  <c r="AQ571" i="76"/>
  <c r="AR571" i="76"/>
  <c r="AS571" i="76"/>
  <c r="AT571" i="76"/>
  <c r="AU571" i="76"/>
  <c r="AV571" i="76"/>
  <c r="AW571" i="76"/>
  <c r="AX571" i="76"/>
  <c r="AY571" i="76"/>
  <c r="AZ571" i="76"/>
  <c r="BA571" i="76"/>
  <c r="BB571" i="76"/>
  <c r="BC571" i="76"/>
  <c r="BD571" i="76"/>
  <c r="BE571" i="76"/>
  <c r="BF571" i="76"/>
  <c r="BG571" i="76"/>
  <c r="BH571" i="76"/>
  <c r="BI571" i="76"/>
  <c r="BJ571" i="76"/>
  <c r="BK571" i="76"/>
  <c r="BM571" i="76"/>
  <c r="A572" i="76"/>
  <c r="B572" i="76"/>
  <c r="D572" i="76"/>
  <c r="G572" i="76"/>
  <c r="H572" i="76"/>
  <c r="J572" i="76"/>
  <c r="K572" i="76"/>
  <c r="L572" i="76"/>
  <c r="P572" i="76"/>
  <c r="R572" i="76"/>
  <c r="U572" i="76"/>
  <c r="V572" i="76"/>
  <c r="AE572" i="76"/>
  <c r="AJ572" i="76"/>
  <c r="AK572" i="76"/>
  <c r="AL572" i="76"/>
  <c r="AM572" i="76"/>
  <c r="AN572" i="76"/>
  <c r="AO572" i="76"/>
  <c r="AP572" i="76"/>
  <c r="AQ572" i="76"/>
  <c r="AR572" i="76"/>
  <c r="AS572" i="76"/>
  <c r="AT572" i="76"/>
  <c r="AU572" i="76"/>
  <c r="AV572" i="76"/>
  <c r="AW572" i="76"/>
  <c r="AX572" i="76"/>
  <c r="AY572" i="76"/>
  <c r="AZ572" i="76"/>
  <c r="BA572" i="76"/>
  <c r="BB572" i="76"/>
  <c r="BC572" i="76"/>
  <c r="BD572" i="76"/>
  <c r="BE572" i="76"/>
  <c r="BF572" i="76"/>
  <c r="BG572" i="76"/>
  <c r="BH572" i="76"/>
  <c r="BI572" i="76"/>
  <c r="BJ572" i="76"/>
  <c r="BK572" i="76"/>
  <c r="BM572" i="76"/>
  <c r="A573" i="76"/>
  <c r="B573" i="76"/>
  <c r="D573" i="76"/>
  <c r="G573" i="76"/>
  <c r="H573" i="76"/>
  <c r="J573" i="76"/>
  <c r="E573" i="76" s="1"/>
  <c r="K573" i="76"/>
  <c r="L573" i="76"/>
  <c r="P573" i="76"/>
  <c r="R573" i="76"/>
  <c r="U573" i="76"/>
  <c r="V573" i="76"/>
  <c r="AE573" i="76"/>
  <c r="AJ573" i="76"/>
  <c r="AK573" i="76"/>
  <c r="AL573" i="76"/>
  <c r="AM573" i="76"/>
  <c r="AN573" i="76"/>
  <c r="AO573" i="76"/>
  <c r="AP573" i="76"/>
  <c r="AQ573" i="76"/>
  <c r="AR573" i="76"/>
  <c r="AS573" i="76"/>
  <c r="AT573" i="76"/>
  <c r="AU573" i="76"/>
  <c r="AV573" i="76"/>
  <c r="AW573" i="76"/>
  <c r="AX573" i="76"/>
  <c r="AY573" i="76"/>
  <c r="AZ573" i="76"/>
  <c r="BA573" i="76"/>
  <c r="BB573" i="76"/>
  <c r="BC573" i="76"/>
  <c r="BD573" i="76"/>
  <c r="BE573" i="76"/>
  <c r="BF573" i="76"/>
  <c r="BG573" i="76"/>
  <c r="BH573" i="76"/>
  <c r="BI573" i="76"/>
  <c r="BJ573" i="76"/>
  <c r="BK573" i="76"/>
  <c r="BM573" i="76"/>
  <c r="A574" i="76"/>
  <c r="B574" i="76"/>
  <c r="D574" i="76"/>
  <c r="G574" i="76"/>
  <c r="H574" i="76"/>
  <c r="J574" i="76"/>
  <c r="K574" i="76"/>
  <c r="L574" i="76"/>
  <c r="P574" i="76"/>
  <c r="R574" i="76"/>
  <c r="U574" i="76"/>
  <c r="V574" i="76"/>
  <c r="AE574" i="76"/>
  <c r="AJ574" i="76"/>
  <c r="AK574" i="76"/>
  <c r="AL574" i="76"/>
  <c r="AM574" i="76"/>
  <c r="AN574" i="76"/>
  <c r="AO574" i="76"/>
  <c r="AP574" i="76"/>
  <c r="AQ574" i="76"/>
  <c r="AR574" i="76"/>
  <c r="AS574" i="76"/>
  <c r="AT574" i="76"/>
  <c r="AU574" i="76"/>
  <c r="AV574" i="76"/>
  <c r="AW574" i="76"/>
  <c r="AX574" i="76"/>
  <c r="AY574" i="76"/>
  <c r="AZ574" i="76"/>
  <c r="BA574" i="76"/>
  <c r="BB574" i="76"/>
  <c r="BC574" i="76"/>
  <c r="BD574" i="76"/>
  <c r="BE574" i="76"/>
  <c r="BF574" i="76"/>
  <c r="BG574" i="76"/>
  <c r="BH574" i="76"/>
  <c r="BI574" i="76"/>
  <c r="BJ574" i="76"/>
  <c r="BK574" i="76"/>
  <c r="BM574" i="76"/>
  <c r="A575" i="76"/>
  <c r="B575" i="76"/>
  <c r="D575" i="76"/>
  <c r="G575" i="76"/>
  <c r="H575" i="76"/>
  <c r="J575" i="76"/>
  <c r="K575" i="76"/>
  <c r="L575" i="76"/>
  <c r="P575" i="76"/>
  <c r="R575" i="76"/>
  <c r="U575" i="76"/>
  <c r="V575" i="76"/>
  <c r="AE575" i="76"/>
  <c r="AJ575" i="76"/>
  <c r="AK575" i="76"/>
  <c r="AL575" i="76"/>
  <c r="AM575" i="76"/>
  <c r="AN575" i="76"/>
  <c r="AO575" i="76"/>
  <c r="AP575" i="76"/>
  <c r="AQ575" i="76"/>
  <c r="AR575" i="76"/>
  <c r="AS575" i="76"/>
  <c r="AT575" i="76"/>
  <c r="AU575" i="76"/>
  <c r="AV575" i="76"/>
  <c r="AW575" i="76"/>
  <c r="AX575" i="76"/>
  <c r="AY575" i="76"/>
  <c r="AZ575" i="76"/>
  <c r="BA575" i="76"/>
  <c r="BB575" i="76"/>
  <c r="BC575" i="76"/>
  <c r="BD575" i="76"/>
  <c r="BE575" i="76"/>
  <c r="BF575" i="76"/>
  <c r="BG575" i="76"/>
  <c r="BH575" i="76"/>
  <c r="BI575" i="76"/>
  <c r="BJ575" i="76"/>
  <c r="BK575" i="76"/>
  <c r="BM575" i="76"/>
  <c r="A576" i="76"/>
  <c r="B576" i="76"/>
  <c r="D576" i="76"/>
  <c r="G576" i="76"/>
  <c r="H576" i="76"/>
  <c r="J576" i="76"/>
  <c r="E576" i="76" s="1"/>
  <c r="K576" i="76"/>
  <c r="L576" i="76"/>
  <c r="P576" i="76"/>
  <c r="R576" i="76"/>
  <c r="U576" i="76"/>
  <c r="V576" i="76"/>
  <c r="AE576" i="76"/>
  <c r="AJ576" i="76"/>
  <c r="AK576" i="76"/>
  <c r="AL576" i="76"/>
  <c r="AM576" i="76"/>
  <c r="AN576" i="76"/>
  <c r="AO576" i="76"/>
  <c r="AP576" i="76"/>
  <c r="AQ576" i="76"/>
  <c r="AR576" i="76"/>
  <c r="AS576" i="76"/>
  <c r="AT576" i="76"/>
  <c r="AU576" i="76"/>
  <c r="AV576" i="76"/>
  <c r="AW576" i="76"/>
  <c r="AX576" i="76"/>
  <c r="AY576" i="76"/>
  <c r="AZ576" i="76"/>
  <c r="BA576" i="76"/>
  <c r="BB576" i="76"/>
  <c r="BC576" i="76"/>
  <c r="BD576" i="76"/>
  <c r="BE576" i="76"/>
  <c r="BF576" i="76"/>
  <c r="BG576" i="76"/>
  <c r="BH576" i="76"/>
  <c r="BI576" i="76"/>
  <c r="BJ576" i="76"/>
  <c r="BK576" i="76"/>
  <c r="BM576" i="76"/>
  <c r="A577" i="76"/>
  <c r="B577" i="76"/>
  <c r="D577" i="76"/>
  <c r="G577" i="76"/>
  <c r="H577" i="76"/>
  <c r="J577" i="76"/>
  <c r="K577" i="76"/>
  <c r="L577" i="76"/>
  <c r="P577" i="76"/>
  <c r="R577" i="76"/>
  <c r="U577" i="76"/>
  <c r="V577" i="76"/>
  <c r="AE577" i="76"/>
  <c r="AJ577" i="76"/>
  <c r="AK577" i="76"/>
  <c r="AL577" i="76"/>
  <c r="AM577" i="76"/>
  <c r="AN577" i="76"/>
  <c r="AO577" i="76"/>
  <c r="AP577" i="76"/>
  <c r="AQ577" i="76"/>
  <c r="AR577" i="76"/>
  <c r="AS577" i="76"/>
  <c r="AT577" i="76"/>
  <c r="AU577" i="76"/>
  <c r="AV577" i="76"/>
  <c r="AW577" i="76"/>
  <c r="AX577" i="76"/>
  <c r="AY577" i="76"/>
  <c r="AZ577" i="76"/>
  <c r="BA577" i="76"/>
  <c r="BB577" i="76"/>
  <c r="BC577" i="76"/>
  <c r="BD577" i="76"/>
  <c r="BE577" i="76"/>
  <c r="BF577" i="76"/>
  <c r="BG577" i="76"/>
  <c r="BH577" i="76"/>
  <c r="BI577" i="76"/>
  <c r="BJ577" i="76"/>
  <c r="BK577" i="76"/>
  <c r="BM577" i="76"/>
  <c r="A578" i="76"/>
  <c r="B578" i="76"/>
  <c r="D578" i="76"/>
  <c r="G578" i="76"/>
  <c r="H578" i="76"/>
  <c r="J578" i="76"/>
  <c r="F578" i="76" s="1"/>
  <c r="K578" i="76"/>
  <c r="L578" i="76"/>
  <c r="P578" i="76"/>
  <c r="R578" i="76"/>
  <c r="U578" i="76"/>
  <c r="V578" i="76"/>
  <c r="AE578" i="76"/>
  <c r="AJ578" i="76"/>
  <c r="AK578" i="76"/>
  <c r="AL578" i="76"/>
  <c r="AM578" i="76"/>
  <c r="AN578" i="76"/>
  <c r="AO578" i="76"/>
  <c r="AP578" i="76"/>
  <c r="AQ578" i="76"/>
  <c r="AR578" i="76"/>
  <c r="AS578" i="76"/>
  <c r="AT578" i="76"/>
  <c r="AU578" i="76"/>
  <c r="AV578" i="76"/>
  <c r="AW578" i="76"/>
  <c r="AX578" i="76"/>
  <c r="AY578" i="76"/>
  <c r="AZ578" i="76"/>
  <c r="BA578" i="76"/>
  <c r="BB578" i="76"/>
  <c r="BC578" i="76"/>
  <c r="BD578" i="76"/>
  <c r="BE578" i="76"/>
  <c r="BF578" i="76"/>
  <c r="BG578" i="76"/>
  <c r="BH578" i="76"/>
  <c r="BI578" i="76"/>
  <c r="BJ578" i="76"/>
  <c r="BK578" i="76"/>
  <c r="BM578" i="76"/>
  <c r="A579" i="76"/>
  <c r="B579" i="76"/>
  <c r="D579" i="76"/>
  <c r="G579" i="76"/>
  <c r="H579" i="76"/>
  <c r="J579" i="76"/>
  <c r="E579" i="76" s="1"/>
  <c r="K579" i="76"/>
  <c r="L579" i="76"/>
  <c r="P579" i="76"/>
  <c r="R579" i="76"/>
  <c r="U579" i="76"/>
  <c r="V579" i="76"/>
  <c r="AE579" i="76"/>
  <c r="AJ579" i="76"/>
  <c r="AK579" i="76"/>
  <c r="AL579" i="76"/>
  <c r="AM579" i="76"/>
  <c r="AN579" i="76"/>
  <c r="AO579" i="76"/>
  <c r="AP579" i="76"/>
  <c r="AQ579" i="76"/>
  <c r="AR579" i="76"/>
  <c r="AS579" i="76"/>
  <c r="AT579" i="76"/>
  <c r="AU579" i="76"/>
  <c r="AV579" i="76"/>
  <c r="AW579" i="76"/>
  <c r="AX579" i="76"/>
  <c r="AY579" i="76"/>
  <c r="AZ579" i="76"/>
  <c r="BA579" i="76"/>
  <c r="BB579" i="76"/>
  <c r="BC579" i="76"/>
  <c r="BD579" i="76"/>
  <c r="BE579" i="76"/>
  <c r="BF579" i="76"/>
  <c r="BG579" i="76"/>
  <c r="BH579" i="76"/>
  <c r="BI579" i="76"/>
  <c r="BJ579" i="76"/>
  <c r="BK579" i="76"/>
  <c r="BM579" i="76"/>
  <c r="A580" i="76"/>
  <c r="B580" i="76"/>
  <c r="D580" i="76"/>
  <c r="G580" i="76"/>
  <c r="H580" i="76"/>
  <c r="J580" i="76"/>
  <c r="E580" i="76" s="1"/>
  <c r="K580" i="76"/>
  <c r="L580" i="76"/>
  <c r="P580" i="76"/>
  <c r="R580" i="76"/>
  <c r="U580" i="76"/>
  <c r="V580" i="76"/>
  <c r="AE580" i="76"/>
  <c r="AJ580" i="76"/>
  <c r="AK580" i="76"/>
  <c r="AL580" i="76"/>
  <c r="AM580" i="76"/>
  <c r="AN580" i="76"/>
  <c r="AO580" i="76"/>
  <c r="AP580" i="76"/>
  <c r="AQ580" i="76"/>
  <c r="AR580" i="76"/>
  <c r="AS580" i="76"/>
  <c r="AT580" i="76"/>
  <c r="AU580" i="76"/>
  <c r="AV580" i="76"/>
  <c r="AW580" i="76"/>
  <c r="AX580" i="76"/>
  <c r="AY580" i="76"/>
  <c r="AZ580" i="76"/>
  <c r="BA580" i="76"/>
  <c r="BB580" i="76"/>
  <c r="BC580" i="76"/>
  <c r="BD580" i="76"/>
  <c r="BE580" i="76"/>
  <c r="BF580" i="76"/>
  <c r="BG580" i="76"/>
  <c r="BH580" i="76"/>
  <c r="BI580" i="76"/>
  <c r="BJ580" i="76"/>
  <c r="BK580" i="76"/>
  <c r="BM580" i="76"/>
  <c r="A581" i="76"/>
  <c r="B581" i="76"/>
  <c r="D581" i="76"/>
  <c r="G581" i="76"/>
  <c r="H581" i="76"/>
  <c r="J581" i="76"/>
  <c r="F581" i="76" s="1"/>
  <c r="K581" i="76"/>
  <c r="L581" i="76"/>
  <c r="P581" i="76"/>
  <c r="R581" i="76"/>
  <c r="U581" i="76"/>
  <c r="V581" i="76"/>
  <c r="AE581" i="76"/>
  <c r="AJ581" i="76"/>
  <c r="AK581" i="76"/>
  <c r="AL581" i="76"/>
  <c r="AM581" i="76"/>
  <c r="AN581" i="76"/>
  <c r="AO581" i="76"/>
  <c r="AP581" i="76"/>
  <c r="AQ581" i="76"/>
  <c r="AR581" i="76"/>
  <c r="AS581" i="76"/>
  <c r="AT581" i="76"/>
  <c r="AU581" i="76"/>
  <c r="AV581" i="76"/>
  <c r="AW581" i="76"/>
  <c r="AX581" i="76"/>
  <c r="AY581" i="76"/>
  <c r="AZ581" i="76"/>
  <c r="BA581" i="76"/>
  <c r="BB581" i="76"/>
  <c r="BC581" i="76"/>
  <c r="BD581" i="76"/>
  <c r="BE581" i="76"/>
  <c r="BF581" i="76"/>
  <c r="BG581" i="76"/>
  <c r="BH581" i="76"/>
  <c r="BI581" i="76"/>
  <c r="BJ581" i="76"/>
  <c r="BK581" i="76"/>
  <c r="BM581" i="76"/>
  <c r="A582" i="76"/>
  <c r="B582" i="76"/>
  <c r="D582" i="76"/>
  <c r="G582" i="76"/>
  <c r="H582" i="76"/>
  <c r="J582" i="76"/>
  <c r="K582" i="76"/>
  <c r="L582" i="76"/>
  <c r="P582" i="76"/>
  <c r="R582" i="76"/>
  <c r="U582" i="76"/>
  <c r="V582" i="76"/>
  <c r="AE582" i="76"/>
  <c r="AJ582" i="76"/>
  <c r="AK582" i="76"/>
  <c r="AL582" i="76"/>
  <c r="AM582" i="76"/>
  <c r="AN582" i="76"/>
  <c r="AO582" i="76"/>
  <c r="AP582" i="76"/>
  <c r="AQ582" i="76"/>
  <c r="AR582" i="76"/>
  <c r="AS582" i="76"/>
  <c r="AT582" i="76"/>
  <c r="AU582" i="76"/>
  <c r="AV582" i="76"/>
  <c r="AW582" i="76"/>
  <c r="AX582" i="76"/>
  <c r="AY582" i="76"/>
  <c r="AZ582" i="76"/>
  <c r="BA582" i="76"/>
  <c r="BB582" i="76"/>
  <c r="BC582" i="76"/>
  <c r="BD582" i="76"/>
  <c r="BE582" i="76"/>
  <c r="BF582" i="76"/>
  <c r="BG582" i="76"/>
  <c r="BH582" i="76"/>
  <c r="BI582" i="76"/>
  <c r="BJ582" i="76"/>
  <c r="BK582" i="76"/>
  <c r="BM582" i="76"/>
  <c r="A583" i="76"/>
  <c r="B583" i="76"/>
  <c r="D583" i="76"/>
  <c r="G583" i="76"/>
  <c r="H583" i="76"/>
  <c r="J583" i="76"/>
  <c r="K583" i="76"/>
  <c r="L583" i="76"/>
  <c r="P583" i="76"/>
  <c r="R583" i="76"/>
  <c r="U583" i="76"/>
  <c r="V583" i="76"/>
  <c r="AE583" i="76"/>
  <c r="AJ583" i="76"/>
  <c r="AK583" i="76"/>
  <c r="AL583" i="76"/>
  <c r="AM583" i="76"/>
  <c r="AN583" i="76"/>
  <c r="AO583" i="76"/>
  <c r="AP583" i="76"/>
  <c r="AQ583" i="76"/>
  <c r="AR583" i="76"/>
  <c r="AS583" i="76"/>
  <c r="AT583" i="76"/>
  <c r="AU583" i="76"/>
  <c r="AV583" i="76"/>
  <c r="AW583" i="76"/>
  <c r="AX583" i="76"/>
  <c r="AY583" i="76"/>
  <c r="AZ583" i="76"/>
  <c r="BA583" i="76"/>
  <c r="BB583" i="76"/>
  <c r="BC583" i="76"/>
  <c r="BD583" i="76"/>
  <c r="BE583" i="76"/>
  <c r="BF583" i="76"/>
  <c r="BG583" i="76"/>
  <c r="BH583" i="76"/>
  <c r="BI583" i="76"/>
  <c r="BJ583" i="76"/>
  <c r="BK583" i="76"/>
  <c r="BM583" i="76"/>
  <c r="A584" i="76"/>
  <c r="B584" i="76"/>
  <c r="D584" i="76"/>
  <c r="G584" i="76"/>
  <c r="H584" i="76"/>
  <c r="J584" i="76"/>
  <c r="K584" i="76"/>
  <c r="L584" i="76"/>
  <c r="P584" i="76"/>
  <c r="R584" i="76"/>
  <c r="U584" i="76"/>
  <c r="V584" i="76"/>
  <c r="AE584" i="76"/>
  <c r="AJ584" i="76"/>
  <c r="AK584" i="76"/>
  <c r="AL584" i="76"/>
  <c r="AM584" i="76"/>
  <c r="AN584" i="76"/>
  <c r="AO584" i="76"/>
  <c r="AP584" i="76"/>
  <c r="AQ584" i="76"/>
  <c r="AR584" i="76"/>
  <c r="AS584" i="76"/>
  <c r="AT584" i="76"/>
  <c r="AU584" i="76"/>
  <c r="AV584" i="76"/>
  <c r="AW584" i="76"/>
  <c r="AX584" i="76"/>
  <c r="AY584" i="76"/>
  <c r="AZ584" i="76"/>
  <c r="BA584" i="76"/>
  <c r="BB584" i="76"/>
  <c r="BC584" i="76"/>
  <c r="BD584" i="76"/>
  <c r="BE584" i="76"/>
  <c r="BF584" i="76"/>
  <c r="BG584" i="76"/>
  <c r="BH584" i="76"/>
  <c r="BI584" i="76"/>
  <c r="BJ584" i="76"/>
  <c r="BK584" i="76"/>
  <c r="BM584" i="76"/>
  <c r="A585" i="76"/>
  <c r="B585" i="76"/>
  <c r="D585" i="76"/>
  <c r="G585" i="76"/>
  <c r="H585" i="76"/>
  <c r="J585" i="76"/>
  <c r="F585" i="76" s="1"/>
  <c r="K585" i="76"/>
  <c r="L585" i="76"/>
  <c r="P585" i="76"/>
  <c r="R585" i="76"/>
  <c r="U585" i="76"/>
  <c r="V585" i="76"/>
  <c r="AE585" i="76"/>
  <c r="AJ585" i="76"/>
  <c r="AK585" i="76"/>
  <c r="AL585" i="76"/>
  <c r="AM585" i="76"/>
  <c r="AN585" i="76"/>
  <c r="AO585" i="76"/>
  <c r="AP585" i="76"/>
  <c r="AQ585" i="76"/>
  <c r="AR585" i="76"/>
  <c r="AS585" i="76"/>
  <c r="AT585" i="76"/>
  <c r="AU585" i="76"/>
  <c r="AV585" i="76"/>
  <c r="AW585" i="76"/>
  <c r="AX585" i="76"/>
  <c r="AY585" i="76"/>
  <c r="AZ585" i="76"/>
  <c r="BA585" i="76"/>
  <c r="BB585" i="76"/>
  <c r="BC585" i="76"/>
  <c r="BD585" i="76"/>
  <c r="BE585" i="76"/>
  <c r="BF585" i="76"/>
  <c r="BG585" i="76"/>
  <c r="BH585" i="76"/>
  <c r="BI585" i="76"/>
  <c r="BJ585" i="76"/>
  <c r="BK585" i="76"/>
  <c r="BM585" i="76"/>
  <c r="A586" i="76"/>
  <c r="B586" i="76"/>
  <c r="D586" i="76"/>
  <c r="G586" i="76"/>
  <c r="H586" i="76"/>
  <c r="J586" i="76"/>
  <c r="K586" i="76"/>
  <c r="L586" i="76"/>
  <c r="P586" i="76"/>
  <c r="R586" i="76"/>
  <c r="U586" i="76"/>
  <c r="V586" i="76"/>
  <c r="AE586" i="76"/>
  <c r="AJ586" i="76"/>
  <c r="AK586" i="76"/>
  <c r="AL586" i="76"/>
  <c r="AM586" i="76"/>
  <c r="AN586" i="76"/>
  <c r="AO586" i="76"/>
  <c r="AP586" i="76"/>
  <c r="AQ586" i="76"/>
  <c r="AR586" i="76"/>
  <c r="AS586" i="76"/>
  <c r="AT586" i="76"/>
  <c r="AU586" i="76"/>
  <c r="AV586" i="76"/>
  <c r="AW586" i="76"/>
  <c r="AX586" i="76"/>
  <c r="AY586" i="76"/>
  <c r="AZ586" i="76"/>
  <c r="BA586" i="76"/>
  <c r="BB586" i="76"/>
  <c r="BC586" i="76"/>
  <c r="BD586" i="76"/>
  <c r="BE586" i="76"/>
  <c r="BF586" i="76"/>
  <c r="BG586" i="76"/>
  <c r="BH586" i="76"/>
  <c r="BI586" i="76"/>
  <c r="BJ586" i="76"/>
  <c r="BK586" i="76"/>
  <c r="BM586" i="76"/>
  <c r="A587" i="76"/>
  <c r="B587" i="76"/>
  <c r="D587" i="76"/>
  <c r="G587" i="76"/>
  <c r="H587" i="76"/>
  <c r="J587" i="76"/>
  <c r="F587" i="76" s="1"/>
  <c r="K587" i="76"/>
  <c r="L587" i="76"/>
  <c r="P587" i="76"/>
  <c r="R587" i="76"/>
  <c r="U587" i="76"/>
  <c r="V587" i="76"/>
  <c r="AE587" i="76"/>
  <c r="AJ587" i="76"/>
  <c r="AK587" i="76"/>
  <c r="AL587" i="76"/>
  <c r="AM587" i="76"/>
  <c r="AN587" i="76"/>
  <c r="AO587" i="76"/>
  <c r="AP587" i="76"/>
  <c r="AQ587" i="76"/>
  <c r="AR587" i="76"/>
  <c r="AS587" i="76"/>
  <c r="AT587" i="76"/>
  <c r="AU587" i="76"/>
  <c r="AV587" i="76"/>
  <c r="AW587" i="76"/>
  <c r="AX587" i="76"/>
  <c r="AY587" i="76"/>
  <c r="AZ587" i="76"/>
  <c r="BA587" i="76"/>
  <c r="BB587" i="76"/>
  <c r="BC587" i="76"/>
  <c r="BD587" i="76"/>
  <c r="BE587" i="76"/>
  <c r="BF587" i="76"/>
  <c r="BG587" i="76"/>
  <c r="BH587" i="76"/>
  <c r="BI587" i="76"/>
  <c r="BJ587" i="76"/>
  <c r="BK587" i="76"/>
  <c r="BM587" i="76"/>
  <c r="A588" i="76"/>
  <c r="B588" i="76"/>
  <c r="D588" i="76"/>
  <c r="G588" i="76"/>
  <c r="H588" i="76"/>
  <c r="J588" i="76"/>
  <c r="E588" i="76" s="1"/>
  <c r="K588" i="76"/>
  <c r="L588" i="76"/>
  <c r="P588" i="76"/>
  <c r="R588" i="76"/>
  <c r="U588" i="76"/>
  <c r="V588" i="76"/>
  <c r="AE588" i="76"/>
  <c r="AJ588" i="76"/>
  <c r="AK588" i="76"/>
  <c r="AL588" i="76"/>
  <c r="AM588" i="76"/>
  <c r="AN588" i="76"/>
  <c r="AO588" i="76"/>
  <c r="AP588" i="76"/>
  <c r="AQ588" i="76"/>
  <c r="AR588" i="76"/>
  <c r="AS588" i="76"/>
  <c r="AT588" i="76"/>
  <c r="AU588" i="76"/>
  <c r="AV588" i="76"/>
  <c r="AW588" i="76"/>
  <c r="AX588" i="76"/>
  <c r="AY588" i="76"/>
  <c r="AZ588" i="76"/>
  <c r="BA588" i="76"/>
  <c r="BB588" i="76"/>
  <c r="BC588" i="76"/>
  <c r="BD588" i="76"/>
  <c r="BE588" i="76"/>
  <c r="BF588" i="76"/>
  <c r="BG588" i="76"/>
  <c r="BH588" i="76"/>
  <c r="BI588" i="76"/>
  <c r="BJ588" i="76"/>
  <c r="BK588" i="76"/>
  <c r="BM588" i="76"/>
  <c r="A589" i="76"/>
  <c r="B589" i="76"/>
  <c r="D589" i="76"/>
  <c r="G589" i="76"/>
  <c r="H589" i="76"/>
  <c r="J589" i="76"/>
  <c r="K589" i="76"/>
  <c r="L589" i="76"/>
  <c r="P589" i="76"/>
  <c r="R589" i="76"/>
  <c r="U589" i="76"/>
  <c r="V589" i="76"/>
  <c r="AE589" i="76"/>
  <c r="AJ589" i="76"/>
  <c r="AK589" i="76"/>
  <c r="AL589" i="76"/>
  <c r="AM589" i="76"/>
  <c r="AN589" i="76"/>
  <c r="AO589" i="76"/>
  <c r="AP589" i="76"/>
  <c r="AQ589" i="76"/>
  <c r="AR589" i="76"/>
  <c r="AS589" i="76"/>
  <c r="AT589" i="76"/>
  <c r="AU589" i="76"/>
  <c r="AV589" i="76"/>
  <c r="AW589" i="76"/>
  <c r="AX589" i="76"/>
  <c r="AY589" i="76"/>
  <c r="AZ589" i="76"/>
  <c r="BA589" i="76"/>
  <c r="BB589" i="76"/>
  <c r="BC589" i="76"/>
  <c r="BD589" i="76"/>
  <c r="BE589" i="76"/>
  <c r="BF589" i="76"/>
  <c r="BG589" i="76"/>
  <c r="BH589" i="76"/>
  <c r="BI589" i="76"/>
  <c r="BJ589" i="76"/>
  <c r="BK589" i="76"/>
  <c r="BM589" i="76"/>
  <c r="A590" i="76"/>
  <c r="B590" i="76"/>
  <c r="D590" i="76"/>
  <c r="G590" i="76"/>
  <c r="H590" i="76"/>
  <c r="J590" i="76"/>
  <c r="F590" i="76" s="1"/>
  <c r="K590" i="76"/>
  <c r="L590" i="76"/>
  <c r="P590" i="76"/>
  <c r="R590" i="76"/>
  <c r="U590" i="76"/>
  <c r="V590" i="76"/>
  <c r="AE590" i="76"/>
  <c r="AJ590" i="76"/>
  <c r="AK590" i="76"/>
  <c r="AL590" i="76"/>
  <c r="AM590" i="76"/>
  <c r="AN590" i="76"/>
  <c r="AO590" i="76"/>
  <c r="AP590" i="76"/>
  <c r="AQ590" i="76"/>
  <c r="AR590" i="76"/>
  <c r="AS590" i="76"/>
  <c r="AT590" i="76"/>
  <c r="AU590" i="76"/>
  <c r="AV590" i="76"/>
  <c r="AW590" i="76"/>
  <c r="AX590" i="76"/>
  <c r="AY590" i="76"/>
  <c r="AZ590" i="76"/>
  <c r="BA590" i="76"/>
  <c r="BB590" i="76"/>
  <c r="BC590" i="76"/>
  <c r="BD590" i="76"/>
  <c r="BE590" i="76"/>
  <c r="BF590" i="76"/>
  <c r="BG590" i="76"/>
  <c r="BH590" i="76"/>
  <c r="BI590" i="76"/>
  <c r="BJ590" i="76"/>
  <c r="BK590" i="76"/>
  <c r="BM590" i="76"/>
  <c r="A591" i="76"/>
  <c r="B591" i="76"/>
  <c r="D591" i="76"/>
  <c r="G591" i="76"/>
  <c r="H591" i="76"/>
  <c r="J591" i="76"/>
  <c r="E591" i="76" s="1"/>
  <c r="K591" i="76"/>
  <c r="L591" i="76"/>
  <c r="P591" i="76"/>
  <c r="R591" i="76"/>
  <c r="U591" i="76"/>
  <c r="V591" i="76"/>
  <c r="AE591" i="76"/>
  <c r="AJ591" i="76"/>
  <c r="AK591" i="76"/>
  <c r="AL591" i="76"/>
  <c r="AM591" i="76"/>
  <c r="AN591" i="76"/>
  <c r="AO591" i="76"/>
  <c r="AP591" i="76"/>
  <c r="AQ591" i="76"/>
  <c r="AR591" i="76"/>
  <c r="AS591" i="76"/>
  <c r="AT591" i="76"/>
  <c r="AU591" i="76"/>
  <c r="AV591" i="76"/>
  <c r="AW591" i="76"/>
  <c r="AX591" i="76"/>
  <c r="AY591" i="76"/>
  <c r="AZ591" i="76"/>
  <c r="BA591" i="76"/>
  <c r="BB591" i="76"/>
  <c r="BC591" i="76"/>
  <c r="BD591" i="76"/>
  <c r="BE591" i="76"/>
  <c r="BF591" i="76"/>
  <c r="BG591" i="76"/>
  <c r="BH591" i="76"/>
  <c r="BI591" i="76"/>
  <c r="BJ591" i="76"/>
  <c r="BK591" i="76"/>
  <c r="BM591" i="76"/>
  <c r="A592" i="76"/>
  <c r="B592" i="76"/>
  <c r="D592" i="76"/>
  <c r="G592" i="76"/>
  <c r="H592" i="76"/>
  <c r="J592" i="76"/>
  <c r="F592" i="76" s="1"/>
  <c r="K592" i="76"/>
  <c r="L592" i="76"/>
  <c r="P592" i="76"/>
  <c r="R592" i="76"/>
  <c r="U592" i="76"/>
  <c r="V592" i="76"/>
  <c r="AE592" i="76"/>
  <c r="AJ592" i="76"/>
  <c r="AK592" i="76"/>
  <c r="AL592" i="76"/>
  <c r="AM592" i="76"/>
  <c r="AN592" i="76"/>
  <c r="AO592" i="76"/>
  <c r="AP592" i="76"/>
  <c r="AQ592" i="76"/>
  <c r="AR592" i="76"/>
  <c r="AS592" i="76"/>
  <c r="AT592" i="76"/>
  <c r="AU592" i="76"/>
  <c r="AV592" i="76"/>
  <c r="AW592" i="76"/>
  <c r="AX592" i="76"/>
  <c r="AY592" i="76"/>
  <c r="AZ592" i="76"/>
  <c r="BA592" i="76"/>
  <c r="BB592" i="76"/>
  <c r="BC592" i="76"/>
  <c r="BD592" i="76"/>
  <c r="BE592" i="76"/>
  <c r="BF592" i="76"/>
  <c r="BG592" i="76"/>
  <c r="BH592" i="76"/>
  <c r="BI592" i="76"/>
  <c r="BJ592" i="76"/>
  <c r="BK592" i="76"/>
  <c r="BM592" i="76"/>
  <c r="A593" i="76"/>
  <c r="B593" i="76"/>
  <c r="D593" i="76"/>
  <c r="G593" i="76"/>
  <c r="H593" i="76"/>
  <c r="J593" i="76"/>
  <c r="K593" i="76"/>
  <c r="L593" i="76"/>
  <c r="P593" i="76"/>
  <c r="R593" i="76"/>
  <c r="U593" i="76"/>
  <c r="V593" i="76"/>
  <c r="AE593" i="76"/>
  <c r="AJ593" i="76"/>
  <c r="AK593" i="76"/>
  <c r="AL593" i="76"/>
  <c r="AM593" i="76"/>
  <c r="AN593" i="76"/>
  <c r="AO593" i="76"/>
  <c r="AP593" i="76"/>
  <c r="AQ593" i="76"/>
  <c r="AR593" i="76"/>
  <c r="AS593" i="76"/>
  <c r="AT593" i="76"/>
  <c r="AU593" i="76"/>
  <c r="AV593" i="76"/>
  <c r="AW593" i="76"/>
  <c r="AX593" i="76"/>
  <c r="AY593" i="76"/>
  <c r="AZ593" i="76"/>
  <c r="BA593" i="76"/>
  <c r="BB593" i="76"/>
  <c r="BC593" i="76"/>
  <c r="BD593" i="76"/>
  <c r="BE593" i="76"/>
  <c r="BF593" i="76"/>
  <c r="BG593" i="76"/>
  <c r="BH593" i="76"/>
  <c r="BI593" i="76"/>
  <c r="BJ593" i="76"/>
  <c r="BK593" i="76"/>
  <c r="BM593" i="76"/>
  <c r="A594" i="76"/>
  <c r="B594" i="76"/>
  <c r="D594" i="76"/>
  <c r="G594" i="76"/>
  <c r="H594" i="76"/>
  <c r="J594" i="76"/>
  <c r="K594" i="76"/>
  <c r="L594" i="76"/>
  <c r="P594" i="76"/>
  <c r="R594" i="76"/>
  <c r="U594" i="76"/>
  <c r="V594" i="76"/>
  <c r="AE594" i="76"/>
  <c r="AJ594" i="76"/>
  <c r="AK594" i="76"/>
  <c r="AL594" i="76"/>
  <c r="AM594" i="76"/>
  <c r="AN594" i="76"/>
  <c r="AO594" i="76"/>
  <c r="AP594" i="76"/>
  <c r="AQ594" i="76"/>
  <c r="AR594" i="76"/>
  <c r="AS594" i="76"/>
  <c r="AT594" i="76"/>
  <c r="AU594" i="76"/>
  <c r="AV594" i="76"/>
  <c r="AW594" i="76"/>
  <c r="AX594" i="76"/>
  <c r="AY594" i="76"/>
  <c r="AZ594" i="76"/>
  <c r="BA594" i="76"/>
  <c r="BB594" i="76"/>
  <c r="BC594" i="76"/>
  <c r="BD594" i="76"/>
  <c r="BE594" i="76"/>
  <c r="BF594" i="76"/>
  <c r="BG594" i="76"/>
  <c r="BH594" i="76"/>
  <c r="BI594" i="76"/>
  <c r="BJ594" i="76"/>
  <c r="BK594" i="76"/>
  <c r="BM594" i="76"/>
  <c r="A595" i="76"/>
  <c r="B595" i="76"/>
  <c r="D595" i="76"/>
  <c r="G595" i="76"/>
  <c r="H595" i="76"/>
  <c r="J595" i="76"/>
  <c r="K595" i="76"/>
  <c r="L595" i="76"/>
  <c r="P595" i="76"/>
  <c r="R595" i="76"/>
  <c r="U595" i="76"/>
  <c r="V595" i="76"/>
  <c r="AE595" i="76"/>
  <c r="AJ595" i="76"/>
  <c r="AK595" i="76"/>
  <c r="AL595" i="76"/>
  <c r="AM595" i="76"/>
  <c r="AN595" i="76"/>
  <c r="AO595" i="76"/>
  <c r="AP595" i="76"/>
  <c r="AQ595" i="76"/>
  <c r="AR595" i="76"/>
  <c r="AS595" i="76"/>
  <c r="AT595" i="76"/>
  <c r="AU595" i="76"/>
  <c r="AV595" i="76"/>
  <c r="AW595" i="76"/>
  <c r="AX595" i="76"/>
  <c r="AY595" i="76"/>
  <c r="AZ595" i="76"/>
  <c r="BA595" i="76"/>
  <c r="BB595" i="76"/>
  <c r="BC595" i="76"/>
  <c r="BD595" i="76"/>
  <c r="BE595" i="76"/>
  <c r="BF595" i="76"/>
  <c r="BG595" i="76"/>
  <c r="BH595" i="76"/>
  <c r="BI595" i="76"/>
  <c r="BJ595" i="76"/>
  <c r="BK595" i="76"/>
  <c r="BM595" i="76"/>
  <c r="A596" i="76"/>
  <c r="B596" i="76"/>
  <c r="D596" i="76"/>
  <c r="G596" i="76"/>
  <c r="H596" i="76"/>
  <c r="J596" i="76"/>
  <c r="F596" i="76" s="1"/>
  <c r="K596" i="76"/>
  <c r="L596" i="76"/>
  <c r="P596" i="76"/>
  <c r="R596" i="76"/>
  <c r="U596" i="76"/>
  <c r="V596" i="76"/>
  <c r="AE596" i="76"/>
  <c r="AJ596" i="76"/>
  <c r="AK596" i="76"/>
  <c r="AL596" i="76"/>
  <c r="AM596" i="76"/>
  <c r="AN596" i="76"/>
  <c r="AO596" i="76"/>
  <c r="AP596" i="76"/>
  <c r="AQ596" i="76"/>
  <c r="AR596" i="76"/>
  <c r="AS596" i="76"/>
  <c r="AT596" i="76"/>
  <c r="AU596" i="76"/>
  <c r="AV596" i="76"/>
  <c r="AW596" i="76"/>
  <c r="AX596" i="76"/>
  <c r="AY596" i="76"/>
  <c r="AZ596" i="76"/>
  <c r="BA596" i="76"/>
  <c r="BB596" i="76"/>
  <c r="BC596" i="76"/>
  <c r="BD596" i="76"/>
  <c r="BE596" i="76"/>
  <c r="BF596" i="76"/>
  <c r="BG596" i="76"/>
  <c r="BH596" i="76"/>
  <c r="BI596" i="76"/>
  <c r="BJ596" i="76"/>
  <c r="BK596" i="76"/>
  <c r="BM596" i="76"/>
  <c r="A597" i="76"/>
  <c r="B597" i="76"/>
  <c r="D597" i="76"/>
  <c r="G597" i="76"/>
  <c r="H597" i="76"/>
  <c r="J597" i="76"/>
  <c r="K597" i="76"/>
  <c r="L597" i="76"/>
  <c r="P597" i="76"/>
  <c r="R597" i="76"/>
  <c r="U597" i="76"/>
  <c r="V597" i="76"/>
  <c r="AE597" i="76"/>
  <c r="AJ597" i="76"/>
  <c r="AK597" i="76"/>
  <c r="AL597" i="76"/>
  <c r="AM597" i="76"/>
  <c r="AN597" i="76"/>
  <c r="AO597" i="76"/>
  <c r="AP597" i="76"/>
  <c r="AQ597" i="76"/>
  <c r="AR597" i="76"/>
  <c r="AS597" i="76"/>
  <c r="AT597" i="76"/>
  <c r="AU597" i="76"/>
  <c r="AV597" i="76"/>
  <c r="AW597" i="76"/>
  <c r="AX597" i="76"/>
  <c r="AY597" i="76"/>
  <c r="AZ597" i="76"/>
  <c r="BA597" i="76"/>
  <c r="BB597" i="76"/>
  <c r="BC597" i="76"/>
  <c r="BD597" i="76"/>
  <c r="BE597" i="76"/>
  <c r="BF597" i="76"/>
  <c r="BG597" i="76"/>
  <c r="BH597" i="76"/>
  <c r="BI597" i="76"/>
  <c r="BJ597" i="76"/>
  <c r="BK597" i="76"/>
  <c r="BM597" i="76"/>
  <c r="A598" i="76"/>
  <c r="B598" i="76"/>
  <c r="D598" i="76"/>
  <c r="G598" i="76"/>
  <c r="H598" i="76"/>
  <c r="J598" i="76"/>
  <c r="F598" i="76" s="1"/>
  <c r="K598" i="76"/>
  <c r="L598" i="76"/>
  <c r="P598" i="76"/>
  <c r="R598" i="76"/>
  <c r="U598" i="76"/>
  <c r="V598" i="76"/>
  <c r="AE598" i="76"/>
  <c r="AJ598" i="76"/>
  <c r="AK598" i="76"/>
  <c r="AL598" i="76"/>
  <c r="AM598" i="76"/>
  <c r="AN598" i="76"/>
  <c r="AO598" i="76"/>
  <c r="AP598" i="76"/>
  <c r="AQ598" i="76"/>
  <c r="AR598" i="76"/>
  <c r="AS598" i="76"/>
  <c r="AT598" i="76"/>
  <c r="AU598" i="76"/>
  <c r="AV598" i="76"/>
  <c r="AW598" i="76"/>
  <c r="AX598" i="76"/>
  <c r="AY598" i="76"/>
  <c r="AZ598" i="76"/>
  <c r="BA598" i="76"/>
  <c r="BB598" i="76"/>
  <c r="BC598" i="76"/>
  <c r="BD598" i="76"/>
  <c r="BE598" i="76"/>
  <c r="BF598" i="76"/>
  <c r="BG598" i="76"/>
  <c r="BH598" i="76"/>
  <c r="BI598" i="76"/>
  <c r="BJ598" i="76"/>
  <c r="BK598" i="76"/>
  <c r="BM598" i="76"/>
  <c r="A599" i="76"/>
  <c r="B599" i="76"/>
  <c r="D599" i="76"/>
  <c r="G599" i="76"/>
  <c r="H599" i="76"/>
  <c r="J599" i="76"/>
  <c r="F599" i="76" s="1"/>
  <c r="K599" i="76"/>
  <c r="L599" i="76"/>
  <c r="P599" i="76"/>
  <c r="R599" i="76"/>
  <c r="U599" i="76"/>
  <c r="V599" i="76"/>
  <c r="AE599" i="76"/>
  <c r="AJ599" i="76"/>
  <c r="AK599" i="76"/>
  <c r="AL599" i="76"/>
  <c r="AM599" i="76"/>
  <c r="AN599" i="76"/>
  <c r="AO599" i="76"/>
  <c r="AP599" i="76"/>
  <c r="AQ599" i="76"/>
  <c r="AR599" i="76"/>
  <c r="AS599" i="76"/>
  <c r="AT599" i="76"/>
  <c r="AU599" i="76"/>
  <c r="AV599" i="76"/>
  <c r="AW599" i="76"/>
  <c r="AX599" i="76"/>
  <c r="AY599" i="76"/>
  <c r="AZ599" i="76"/>
  <c r="BA599" i="76"/>
  <c r="BB599" i="76"/>
  <c r="BC599" i="76"/>
  <c r="BD599" i="76"/>
  <c r="BE599" i="76"/>
  <c r="BF599" i="76"/>
  <c r="BG599" i="76"/>
  <c r="BH599" i="76"/>
  <c r="BI599" i="76"/>
  <c r="BJ599" i="76"/>
  <c r="BK599" i="76"/>
  <c r="BM599" i="76"/>
  <c r="A600" i="76"/>
  <c r="B600" i="76"/>
  <c r="D600" i="76"/>
  <c r="G600" i="76"/>
  <c r="H600" i="76"/>
  <c r="J600" i="76"/>
  <c r="F600" i="76" s="1"/>
  <c r="K600" i="76"/>
  <c r="L600" i="76"/>
  <c r="P600" i="76"/>
  <c r="R600" i="76"/>
  <c r="U600" i="76"/>
  <c r="V600" i="76"/>
  <c r="AE600" i="76"/>
  <c r="AJ600" i="76"/>
  <c r="AK600" i="76"/>
  <c r="AL600" i="76"/>
  <c r="AM600" i="76"/>
  <c r="AN600" i="76"/>
  <c r="AO600" i="76"/>
  <c r="AP600" i="76"/>
  <c r="AQ600" i="76"/>
  <c r="AR600" i="76"/>
  <c r="AS600" i="76"/>
  <c r="AT600" i="76"/>
  <c r="AU600" i="76"/>
  <c r="AV600" i="76"/>
  <c r="AW600" i="76"/>
  <c r="AX600" i="76"/>
  <c r="AY600" i="76"/>
  <c r="AZ600" i="76"/>
  <c r="BA600" i="76"/>
  <c r="BB600" i="76"/>
  <c r="BC600" i="76"/>
  <c r="BD600" i="76"/>
  <c r="BE600" i="76"/>
  <c r="BF600" i="76"/>
  <c r="BG600" i="76"/>
  <c r="BH600" i="76"/>
  <c r="BI600" i="76"/>
  <c r="BJ600" i="76"/>
  <c r="BK600" i="76"/>
  <c r="BM600" i="76"/>
  <c r="A601" i="76"/>
  <c r="B601" i="76"/>
  <c r="D601" i="76"/>
  <c r="G601" i="76"/>
  <c r="H601" i="76"/>
  <c r="J601" i="76"/>
  <c r="F601" i="76" s="1"/>
  <c r="K601" i="76"/>
  <c r="L601" i="76"/>
  <c r="P601" i="76"/>
  <c r="R601" i="76"/>
  <c r="U601" i="76"/>
  <c r="V601" i="76"/>
  <c r="AE601" i="76"/>
  <c r="AJ601" i="76"/>
  <c r="AK601" i="76"/>
  <c r="AL601" i="76"/>
  <c r="AM601" i="76"/>
  <c r="AN601" i="76"/>
  <c r="AO601" i="76"/>
  <c r="AP601" i="76"/>
  <c r="AQ601" i="76"/>
  <c r="AR601" i="76"/>
  <c r="AS601" i="76"/>
  <c r="AT601" i="76"/>
  <c r="AU601" i="76"/>
  <c r="AV601" i="76"/>
  <c r="AW601" i="76"/>
  <c r="AX601" i="76"/>
  <c r="AY601" i="76"/>
  <c r="AZ601" i="76"/>
  <c r="BA601" i="76"/>
  <c r="BB601" i="76"/>
  <c r="BC601" i="76"/>
  <c r="BD601" i="76"/>
  <c r="BE601" i="76"/>
  <c r="BF601" i="76"/>
  <c r="BG601" i="76"/>
  <c r="BH601" i="76"/>
  <c r="BI601" i="76"/>
  <c r="BJ601" i="76"/>
  <c r="BK601" i="76"/>
  <c r="BM601" i="76"/>
  <c r="A602" i="76"/>
  <c r="B602" i="76"/>
  <c r="D602" i="76"/>
  <c r="G602" i="76"/>
  <c r="H602" i="76"/>
  <c r="J602" i="76"/>
  <c r="F602" i="76" s="1"/>
  <c r="K602" i="76"/>
  <c r="L602" i="76"/>
  <c r="P602" i="76"/>
  <c r="R602" i="76"/>
  <c r="U602" i="76"/>
  <c r="V602" i="76"/>
  <c r="AE602" i="76"/>
  <c r="AJ602" i="76"/>
  <c r="AK602" i="76"/>
  <c r="AL602" i="76"/>
  <c r="AM602" i="76"/>
  <c r="AN602" i="76"/>
  <c r="AO602" i="76"/>
  <c r="AP602" i="76"/>
  <c r="AQ602" i="76"/>
  <c r="AR602" i="76"/>
  <c r="AS602" i="76"/>
  <c r="AT602" i="76"/>
  <c r="AU602" i="76"/>
  <c r="AV602" i="76"/>
  <c r="AW602" i="76"/>
  <c r="AX602" i="76"/>
  <c r="AY602" i="76"/>
  <c r="AZ602" i="76"/>
  <c r="BA602" i="76"/>
  <c r="BB602" i="76"/>
  <c r="BC602" i="76"/>
  <c r="BD602" i="76"/>
  <c r="BE602" i="76"/>
  <c r="BF602" i="76"/>
  <c r="BG602" i="76"/>
  <c r="BH602" i="76"/>
  <c r="BI602" i="76"/>
  <c r="BJ602" i="76"/>
  <c r="BK602" i="76"/>
  <c r="BM602" i="76"/>
  <c r="A603" i="76"/>
  <c r="B603" i="76"/>
  <c r="D603" i="76"/>
  <c r="G603" i="76"/>
  <c r="H603" i="76"/>
  <c r="J603" i="76"/>
  <c r="E603" i="76" s="1"/>
  <c r="K603" i="76"/>
  <c r="L603" i="76"/>
  <c r="P603" i="76"/>
  <c r="R603" i="76"/>
  <c r="U603" i="76"/>
  <c r="V603" i="76"/>
  <c r="AE603" i="76"/>
  <c r="AJ603" i="76"/>
  <c r="AK603" i="76"/>
  <c r="AL603" i="76"/>
  <c r="AM603" i="76"/>
  <c r="AN603" i="76"/>
  <c r="AO603" i="76"/>
  <c r="AP603" i="76"/>
  <c r="AQ603" i="76"/>
  <c r="AR603" i="76"/>
  <c r="AS603" i="76"/>
  <c r="AT603" i="76"/>
  <c r="AU603" i="76"/>
  <c r="AV603" i="76"/>
  <c r="AW603" i="76"/>
  <c r="AX603" i="76"/>
  <c r="AY603" i="76"/>
  <c r="AZ603" i="76"/>
  <c r="BA603" i="76"/>
  <c r="BB603" i="76"/>
  <c r="BC603" i="76"/>
  <c r="BD603" i="76"/>
  <c r="BE603" i="76"/>
  <c r="BF603" i="76"/>
  <c r="BG603" i="76"/>
  <c r="BH603" i="76"/>
  <c r="BI603" i="76"/>
  <c r="BJ603" i="76"/>
  <c r="BK603" i="76"/>
  <c r="BM603" i="76"/>
  <c r="A604" i="76"/>
  <c r="B604" i="76"/>
  <c r="D604" i="76"/>
  <c r="G604" i="76"/>
  <c r="H604" i="76"/>
  <c r="J604" i="76"/>
  <c r="F604" i="76" s="1"/>
  <c r="K604" i="76"/>
  <c r="L604" i="76"/>
  <c r="P604" i="76"/>
  <c r="R604" i="76"/>
  <c r="U604" i="76"/>
  <c r="V604" i="76"/>
  <c r="AE604" i="76"/>
  <c r="AJ604" i="76"/>
  <c r="AK604" i="76"/>
  <c r="AL604" i="76"/>
  <c r="AM604" i="76"/>
  <c r="AN604" i="76"/>
  <c r="AO604" i="76"/>
  <c r="AP604" i="76"/>
  <c r="AQ604" i="76"/>
  <c r="AR604" i="76"/>
  <c r="AS604" i="76"/>
  <c r="AT604" i="76"/>
  <c r="AU604" i="76"/>
  <c r="AV604" i="76"/>
  <c r="AW604" i="76"/>
  <c r="AX604" i="76"/>
  <c r="AY604" i="76"/>
  <c r="AZ604" i="76"/>
  <c r="BA604" i="76"/>
  <c r="BB604" i="76"/>
  <c r="BC604" i="76"/>
  <c r="BD604" i="76"/>
  <c r="BE604" i="76"/>
  <c r="BF604" i="76"/>
  <c r="BG604" i="76"/>
  <c r="BH604" i="76"/>
  <c r="BI604" i="76"/>
  <c r="BJ604" i="76"/>
  <c r="BK604" i="76"/>
  <c r="BM604" i="76"/>
  <c r="A605" i="76"/>
  <c r="B605" i="76"/>
  <c r="D605" i="76"/>
  <c r="G605" i="76"/>
  <c r="H605" i="76"/>
  <c r="J605" i="76"/>
  <c r="K605" i="76"/>
  <c r="L605" i="76"/>
  <c r="P605" i="76"/>
  <c r="R605" i="76"/>
  <c r="U605" i="76"/>
  <c r="V605" i="76"/>
  <c r="AE605" i="76"/>
  <c r="AJ605" i="76"/>
  <c r="AK605" i="76"/>
  <c r="AL605" i="76"/>
  <c r="AM605" i="76"/>
  <c r="AN605" i="76"/>
  <c r="AO605" i="76"/>
  <c r="AP605" i="76"/>
  <c r="AQ605" i="76"/>
  <c r="AR605" i="76"/>
  <c r="AS605" i="76"/>
  <c r="AT605" i="76"/>
  <c r="AU605" i="76"/>
  <c r="AV605" i="76"/>
  <c r="AW605" i="76"/>
  <c r="AX605" i="76"/>
  <c r="AY605" i="76"/>
  <c r="AZ605" i="76"/>
  <c r="BA605" i="76"/>
  <c r="BB605" i="76"/>
  <c r="BC605" i="76"/>
  <c r="BD605" i="76"/>
  <c r="BE605" i="76"/>
  <c r="BF605" i="76"/>
  <c r="BG605" i="76"/>
  <c r="BH605" i="76"/>
  <c r="BI605" i="76"/>
  <c r="BJ605" i="76"/>
  <c r="BK605" i="76"/>
  <c r="BM605" i="76"/>
  <c r="A606" i="76"/>
  <c r="B606" i="76"/>
  <c r="D606" i="76"/>
  <c r="G606" i="76"/>
  <c r="H606" i="76"/>
  <c r="J606" i="76"/>
  <c r="E606" i="76" s="1"/>
  <c r="K606" i="76"/>
  <c r="L606" i="76"/>
  <c r="P606" i="76"/>
  <c r="R606" i="76"/>
  <c r="U606" i="76"/>
  <c r="V606" i="76"/>
  <c r="AE606" i="76"/>
  <c r="AJ606" i="76"/>
  <c r="AK606" i="76"/>
  <c r="AL606" i="76"/>
  <c r="AM606" i="76"/>
  <c r="AN606" i="76"/>
  <c r="AO606" i="76"/>
  <c r="AP606" i="76"/>
  <c r="AQ606" i="76"/>
  <c r="AR606" i="76"/>
  <c r="AS606" i="76"/>
  <c r="AT606" i="76"/>
  <c r="AU606" i="76"/>
  <c r="AV606" i="76"/>
  <c r="AW606" i="76"/>
  <c r="AX606" i="76"/>
  <c r="AY606" i="76"/>
  <c r="AZ606" i="76"/>
  <c r="BA606" i="76"/>
  <c r="BB606" i="76"/>
  <c r="BC606" i="76"/>
  <c r="BD606" i="76"/>
  <c r="BE606" i="76"/>
  <c r="BF606" i="76"/>
  <c r="BG606" i="76"/>
  <c r="BH606" i="76"/>
  <c r="BI606" i="76"/>
  <c r="BJ606" i="76"/>
  <c r="BK606" i="76"/>
  <c r="BM606" i="76"/>
  <c r="A607" i="76"/>
  <c r="B607" i="76"/>
  <c r="D607" i="76"/>
  <c r="G607" i="76"/>
  <c r="H607" i="76"/>
  <c r="J607" i="76"/>
  <c r="K607" i="76"/>
  <c r="L607" i="76"/>
  <c r="P607" i="76"/>
  <c r="R607" i="76"/>
  <c r="U607" i="76"/>
  <c r="V607" i="76"/>
  <c r="AE607" i="76"/>
  <c r="AJ607" i="76"/>
  <c r="AK607" i="76"/>
  <c r="AL607" i="76"/>
  <c r="AM607" i="76"/>
  <c r="AN607" i="76"/>
  <c r="AO607" i="76"/>
  <c r="AP607" i="76"/>
  <c r="AQ607" i="76"/>
  <c r="AR607" i="76"/>
  <c r="AS607" i="76"/>
  <c r="AT607" i="76"/>
  <c r="AU607" i="76"/>
  <c r="AV607" i="76"/>
  <c r="AW607" i="76"/>
  <c r="AX607" i="76"/>
  <c r="AY607" i="76"/>
  <c r="AZ607" i="76"/>
  <c r="BA607" i="76"/>
  <c r="BB607" i="76"/>
  <c r="BC607" i="76"/>
  <c r="BD607" i="76"/>
  <c r="BE607" i="76"/>
  <c r="BF607" i="76"/>
  <c r="BG607" i="76"/>
  <c r="BH607" i="76"/>
  <c r="BI607" i="76"/>
  <c r="BJ607" i="76"/>
  <c r="BK607" i="76"/>
  <c r="BM607" i="76"/>
  <c r="A608" i="76"/>
  <c r="B608" i="76"/>
  <c r="D608" i="76"/>
  <c r="G608" i="76"/>
  <c r="H608" i="76"/>
  <c r="J608" i="76"/>
  <c r="K608" i="76"/>
  <c r="L608" i="76"/>
  <c r="P608" i="76"/>
  <c r="R608" i="76"/>
  <c r="U608" i="76"/>
  <c r="V608" i="76"/>
  <c r="AE608" i="76"/>
  <c r="AJ608" i="76"/>
  <c r="AK608" i="76"/>
  <c r="AL608" i="76"/>
  <c r="AM608" i="76"/>
  <c r="AN608" i="76"/>
  <c r="AO608" i="76"/>
  <c r="AP608" i="76"/>
  <c r="AQ608" i="76"/>
  <c r="AR608" i="76"/>
  <c r="AS608" i="76"/>
  <c r="AT608" i="76"/>
  <c r="AU608" i="76"/>
  <c r="AV608" i="76"/>
  <c r="AW608" i="76"/>
  <c r="AX608" i="76"/>
  <c r="AY608" i="76"/>
  <c r="AZ608" i="76"/>
  <c r="BA608" i="76"/>
  <c r="BB608" i="76"/>
  <c r="BC608" i="76"/>
  <c r="BD608" i="76"/>
  <c r="BE608" i="76"/>
  <c r="BF608" i="76"/>
  <c r="BG608" i="76"/>
  <c r="BH608" i="76"/>
  <c r="BI608" i="76"/>
  <c r="BJ608" i="76"/>
  <c r="BK608" i="76"/>
  <c r="BM608" i="76"/>
  <c r="A609" i="76"/>
  <c r="B609" i="76"/>
  <c r="D609" i="76"/>
  <c r="G609" i="76"/>
  <c r="H609" i="76"/>
  <c r="J609" i="76"/>
  <c r="F609" i="76" s="1"/>
  <c r="K609" i="76"/>
  <c r="L609" i="76"/>
  <c r="P609" i="76"/>
  <c r="R609" i="76"/>
  <c r="U609" i="76"/>
  <c r="V609" i="76"/>
  <c r="AE609" i="76"/>
  <c r="AJ609" i="76"/>
  <c r="AK609" i="76"/>
  <c r="AL609" i="76"/>
  <c r="AM609" i="76"/>
  <c r="AN609" i="76"/>
  <c r="AO609" i="76"/>
  <c r="AP609" i="76"/>
  <c r="AQ609" i="76"/>
  <c r="AR609" i="76"/>
  <c r="AS609" i="76"/>
  <c r="AT609" i="76"/>
  <c r="AU609" i="76"/>
  <c r="AV609" i="76"/>
  <c r="AW609" i="76"/>
  <c r="AX609" i="76"/>
  <c r="AY609" i="76"/>
  <c r="AZ609" i="76"/>
  <c r="BA609" i="76"/>
  <c r="BB609" i="76"/>
  <c r="BC609" i="76"/>
  <c r="BD609" i="76"/>
  <c r="BE609" i="76"/>
  <c r="BF609" i="76"/>
  <c r="BG609" i="76"/>
  <c r="BH609" i="76"/>
  <c r="BI609" i="76"/>
  <c r="BJ609" i="76"/>
  <c r="BK609" i="76"/>
  <c r="BM609" i="76"/>
  <c r="A610" i="76"/>
  <c r="B610" i="76"/>
  <c r="D610" i="76"/>
  <c r="G610" i="76"/>
  <c r="H610" i="76"/>
  <c r="J610" i="76"/>
  <c r="F610" i="76" s="1"/>
  <c r="K610" i="76"/>
  <c r="L610" i="76"/>
  <c r="P610" i="76"/>
  <c r="R610" i="76"/>
  <c r="U610" i="76"/>
  <c r="V610" i="76"/>
  <c r="AE610" i="76"/>
  <c r="AJ610" i="76"/>
  <c r="AK610" i="76"/>
  <c r="AL610" i="76"/>
  <c r="AM610" i="76"/>
  <c r="AN610" i="76"/>
  <c r="AO610" i="76"/>
  <c r="AP610" i="76"/>
  <c r="AQ610" i="76"/>
  <c r="AR610" i="76"/>
  <c r="AS610" i="76"/>
  <c r="AT610" i="76"/>
  <c r="AU610" i="76"/>
  <c r="AV610" i="76"/>
  <c r="AW610" i="76"/>
  <c r="AX610" i="76"/>
  <c r="AY610" i="76"/>
  <c r="AZ610" i="76"/>
  <c r="BA610" i="76"/>
  <c r="BB610" i="76"/>
  <c r="BC610" i="76"/>
  <c r="BD610" i="76"/>
  <c r="BE610" i="76"/>
  <c r="BF610" i="76"/>
  <c r="BG610" i="76"/>
  <c r="BH610" i="76"/>
  <c r="BI610" i="76"/>
  <c r="BJ610" i="76"/>
  <c r="BK610" i="76"/>
  <c r="BM610" i="76"/>
  <c r="A611" i="76"/>
  <c r="B611" i="76"/>
  <c r="D611" i="76"/>
  <c r="G611" i="76"/>
  <c r="H611" i="76"/>
  <c r="J611" i="76"/>
  <c r="K611" i="76"/>
  <c r="L611" i="76"/>
  <c r="P611" i="76"/>
  <c r="R611" i="76"/>
  <c r="U611" i="76"/>
  <c r="V611" i="76"/>
  <c r="AE611" i="76"/>
  <c r="AJ611" i="76"/>
  <c r="AK611" i="76"/>
  <c r="AL611" i="76"/>
  <c r="AM611" i="76"/>
  <c r="AN611" i="76"/>
  <c r="AO611" i="76"/>
  <c r="AP611" i="76"/>
  <c r="AQ611" i="76"/>
  <c r="AR611" i="76"/>
  <c r="AS611" i="76"/>
  <c r="AT611" i="76"/>
  <c r="AU611" i="76"/>
  <c r="AV611" i="76"/>
  <c r="AW611" i="76"/>
  <c r="AX611" i="76"/>
  <c r="AY611" i="76"/>
  <c r="AZ611" i="76"/>
  <c r="BA611" i="76"/>
  <c r="BB611" i="76"/>
  <c r="BC611" i="76"/>
  <c r="BD611" i="76"/>
  <c r="BE611" i="76"/>
  <c r="BF611" i="76"/>
  <c r="BG611" i="76"/>
  <c r="BH611" i="76"/>
  <c r="BI611" i="76"/>
  <c r="BJ611" i="76"/>
  <c r="BK611" i="76"/>
  <c r="BM611" i="76"/>
  <c r="A612" i="76"/>
  <c r="B612" i="76"/>
  <c r="D612" i="76"/>
  <c r="G612" i="76"/>
  <c r="H612" i="76"/>
  <c r="J612" i="76"/>
  <c r="K612" i="76"/>
  <c r="L612" i="76"/>
  <c r="P612" i="76"/>
  <c r="R612" i="76"/>
  <c r="U612" i="76"/>
  <c r="V612" i="76"/>
  <c r="AE612" i="76"/>
  <c r="AJ612" i="76"/>
  <c r="AK612" i="76"/>
  <c r="AL612" i="76"/>
  <c r="AM612" i="76"/>
  <c r="AN612" i="76"/>
  <c r="AO612" i="76"/>
  <c r="AP612" i="76"/>
  <c r="AQ612" i="76"/>
  <c r="AR612" i="76"/>
  <c r="AS612" i="76"/>
  <c r="AT612" i="76"/>
  <c r="AU612" i="76"/>
  <c r="AV612" i="76"/>
  <c r="AW612" i="76"/>
  <c r="AX612" i="76"/>
  <c r="AY612" i="76"/>
  <c r="AZ612" i="76"/>
  <c r="BA612" i="76"/>
  <c r="BB612" i="76"/>
  <c r="BC612" i="76"/>
  <c r="BD612" i="76"/>
  <c r="BE612" i="76"/>
  <c r="BF612" i="76"/>
  <c r="BG612" i="76"/>
  <c r="BH612" i="76"/>
  <c r="BI612" i="76"/>
  <c r="BJ612" i="76"/>
  <c r="BK612" i="76"/>
  <c r="BM612" i="76"/>
  <c r="A613" i="76"/>
  <c r="B613" i="76"/>
  <c r="D613" i="76"/>
  <c r="G613" i="76"/>
  <c r="H613" i="76"/>
  <c r="J613" i="76"/>
  <c r="E613" i="76" s="1"/>
  <c r="K613" i="76"/>
  <c r="L613" i="76"/>
  <c r="P613" i="76"/>
  <c r="R613" i="76"/>
  <c r="U613" i="76"/>
  <c r="V613" i="76"/>
  <c r="AE613" i="76"/>
  <c r="AJ613" i="76"/>
  <c r="AK613" i="76"/>
  <c r="AL613" i="76"/>
  <c r="AM613" i="76"/>
  <c r="AN613" i="76"/>
  <c r="AO613" i="76"/>
  <c r="AP613" i="76"/>
  <c r="AQ613" i="76"/>
  <c r="AR613" i="76"/>
  <c r="AS613" i="76"/>
  <c r="AT613" i="76"/>
  <c r="AU613" i="76"/>
  <c r="AV613" i="76"/>
  <c r="AW613" i="76"/>
  <c r="AX613" i="76"/>
  <c r="AY613" i="76"/>
  <c r="AZ613" i="76"/>
  <c r="BA613" i="76"/>
  <c r="BB613" i="76"/>
  <c r="BC613" i="76"/>
  <c r="BD613" i="76"/>
  <c r="BE613" i="76"/>
  <c r="BF613" i="76"/>
  <c r="BG613" i="76"/>
  <c r="BH613" i="76"/>
  <c r="BI613" i="76"/>
  <c r="BJ613" i="76"/>
  <c r="BK613" i="76"/>
  <c r="BM613" i="76"/>
  <c r="A614" i="76"/>
  <c r="B614" i="76"/>
  <c r="D614" i="76"/>
  <c r="G614" i="76"/>
  <c r="H614" i="76"/>
  <c r="J614" i="76"/>
  <c r="K614" i="76"/>
  <c r="L614" i="76"/>
  <c r="P614" i="76"/>
  <c r="R614" i="76"/>
  <c r="U614" i="76"/>
  <c r="V614" i="76"/>
  <c r="AE614" i="76"/>
  <c r="AJ614" i="76"/>
  <c r="AK614" i="76"/>
  <c r="AL614" i="76"/>
  <c r="AM614" i="76"/>
  <c r="AN614" i="76"/>
  <c r="AO614" i="76"/>
  <c r="AP614" i="76"/>
  <c r="AQ614" i="76"/>
  <c r="AR614" i="76"/>
  <c r="AS614" i="76"/>
  <c r="AT614" i="76"/>
  <c r="AU614" i="76"/>
  <c r="AV614" i="76"/>
  <c r="AW614" i="76"/>
  <c r="AX614" i="76"/>
  <c r="AY614" i="76"/>
  <c r="AZ614" i="76"/>
  <c r="BA614" i="76"/>
  <c r="BB614" i="76"/>
  <c r="BC614" i="76"/>
  <c r="BD614" i="76"/>
  <c r="BE614" i="76"/>
  <c r="BF614" i="76"/>
  <c r="BG614" i="76"/>
  <c r="BH614" i="76"/>
  <c r="BI614" i="76"/>
  <c r="BJ614" i="76"/>
  <c r="BK614" i="76"/>
  <c r="BM614" i="76"/>
  <c r="A615" i="76"/>
  <c r="B615" i="76"/>
  <c r="D615" i="76"/>
  <c r="G615" i="76"/>
  <c r="H615" i="76"/>
  <c r="J615" i="76"/>
  <c r="F615" i="76" s="1"/>
  <c r="K615" i="76"/>
  <c r="L615" i="76"/>
  <c r="P615" i="76"/>
  <c r="R615" i="76"/>
  <c r="U615" i="76"/>
  <c r="V615" i="76"/>
  <c r="AE615" i="76"/>
  <c r="AJ615" i="76"/>
  <c r="AK615" i="76"/>
  <c r="AL615" i="76"/>
  <c r="AM615" i="76"/>
  <c r="AN615" i="76"/>
  <c r="AO615" i="76"/>
  <c r="AP615" i="76"/>
  <c r="AQ615" i="76"/>
  <c r="AR615" i="76"/>
  <c r="AS615" i="76"/>
  <c r="AT615" i="76"/>
  <c r="AU615" i="76"/>
  <c r="AV615" i="76"/>
  <c r="AW615" i="76"/>
  <c r="AX615" i="76"/>
  <c r="AY615" i="76"/>
  <c r="AZ615" i="76"/>
  <c r="BA615" i="76"/>
  <c r="BB615" i="76"/>
  <c r="BC615" i="76"/>
  <c r="BD615" i="76"/>
  <c r="BE615" i="76"/>
  <c r="BF615" i="76"/>
  <c r="BG615" i="76"/>
  <c r="BH615" i="76"/>
  <c r="BI615" i="76"/>
  <c r="BJ615" i="76"/>
  <c r="BK615" i="76"/>
  <c r="BM615" i="76"/>
  <c r="A616" i="76"/>
  <c r="B616" i="76"/>
  <c r="D616" i="76"/>
  <c r="G616" i="76"/>
  <c r="H616" i="76"/>
  <c r="J616" i="76"/>
  <c r="E616" i="76" s="1"/>
  <c r="K616" i="76"/>
  <c r="L616" i="76"/>
  <c r="P616" i="76"/>
  <c r="R616" i="76"/>
  <c r="U616" i="76"/>
  <c r="V616" i="76"/>
  <c r="AE616" i="76"/>
  <c r="AJ616" i="76"/>
  <c r="AK616" i="76"/>
  <c r="AL616" i="76"/>
  <c r="AM616" i="76"/>
  <c r="AN616" i="76"/>
  <c r="AO616" i="76"/>
  <c r="AP616" i="76"/>
  <c r="AQ616" i="76"/>
  <c r="AR616" i="76"/>
  <c r="AS616" i="76"/>
  <c r="AT616" i="76"/>
  <c r="AU616" i="76"/>
  <c r="AV616" i="76"/>
  <c r="AW616" i="76"/>
  <c r="AX616" i="76"/>
  <c r="AY616" i="76"/>
  <c r="AZ616" i="76"/>
  <c r="BA616" i="76"/>
  <c r="BB616" i="76"/>
  <c r="BC616" i="76"/>
  <c r="BD616" i="76"/>
  <c r="BE616" i="76"/>
  <c r="BF616" i="76"/>
  <c r="BG616" i="76"/>
  <c r="BH616" i="76"/>
  <c r="BI616" i="76"/>
  <c r="BJ616" i="76"/>
  <c r="BK616" i="76"/>
  <c r="BM616" i="76"/>
  <c r="A617" i="76"/>
  <c r="B617" i="76"/>
  <c r="D617" i="76"/>
  <c r="G617" i="76"/>
  <c r="H617" i="76"/>
  <c r="J617" i="76"/>
  <c r="F617" i="76" s="1"/>
  <c r="K617" i="76"/>
  <c r="L617" i="76"/>
  <c r="P617" i="76"/>
  <c r="R617" i="76"/>
  <c r="U617" i="76"/>
  <c r="V617" i="76"/>
  <c r="AE617" i="76"/>
  <c r="AJ617" i="76"/>
  <c r="AK617" i="76"/>
  <c r="AL617" i="76"/>
  <c r="AM617" i="76"/>
  <c r="AN617" i="76"/>
  <c r="AO617" i="76"/>
  <c r="AP617" i="76"/>
  <c r="AQ617" i="76"/>
  <c r="AR617" i="76"/>
  <c r="AS617" i="76"/>
  <c r="AT617" i="76"/>
  <c r="AU617" i="76"/>
  <c r="AV617" i="76"/>
  <c r="AW617" i="76"/>
  <c r="AX617" i="76"/>
  <c r="AY617" i="76"/>
  <c r="AZ617" i="76"/>
  <c r="BA617" i="76"/>
  <c r="BB617" i="76"/>
  <c r="BC617" i="76"/>
  <c r="BD617" i="76"/>
  <c r="BE617" i="76"/>
  <c r="BF617" i="76"/>
  <c r="BG617" i="76"/>
  <c r="BH617" i="76"/>
  <c r="BI617" i="76"/>
  <c r="BJ617" i="76"/>
  <c r="BK617" i="76"/>
  <c r="BM617" i="76"/>
  <c r="A618" i="76"/>
  <c r="B618" i="76"/>
  <c r="D618" i="76"/>
  <c r="G618" i="76"/>
  <c r="H618" i="76"/>
  <c r="J618" i="76"/>
  <c r="F618" i="76" s="1"/>
  <c r="K618" i="76"/>
  <c r="L618" i="76"/>
  <c r="P618" i="76"/>
  <c r="R618" i="76"/>
  <c r="U618" i="76"/>
  <c r="V618" i="76"/>
  <c r="AE618" i="76"/>
  <c r="AJ618" i="76"/>
  <c r="AK618" i="76"/>
  <c r="AL618" i="76"/>
  <c r="AM618" i="76"/>
  <c r="AN618" i="76"/>
  <c r="AO618" i="76"/>
  <c r="AP618" i="76"/>
  <c r="AQ618" i="76"/>
  <c r="AR618" i="76"/>
  <c r="AS618" i="76"/>
  <c r="AT618" i="76"/>
  <c r="AU618" i="76"/>
  <c r="AV618" i="76"/>
  <c r="AW618" i="76"/>
  <c r="AX618" i="76"/>
  <c r="AY618" i="76"/>
  <c r="AZ618" i="76"/>
  <c r="BA618" i="76"/>
  <c r="BB618" i="76"/>
  <c r="BC618" i="76"/>
  <c r="BD618" i="76"/>
  <c r="BE618" i="76"/>
  <c r="BF618" i="76"/>
  <c r="BG618" i="76"/>
  <c r="BH618" i="76"/>
  <c r="BI618" i="76"/>
  <c r="BJ618" i="76"/>
  <c r="BK618" i="76"/>
  <c r="BM618" i="76"/>
  <c r="A619" i="76"/>
  <c r="B619" i="76"/>
  <c r="D619" i="76"/>
  <c r="G619" i="76"/>
  <c r="H619" i="76"/>
  <c r="J619" i="76"/>
  <c r="K619" i="76"/>
  <c r="L619" i="76"/>
  <c r="P619" i="76"/>
  <c r="R619" i="76"/>
  <c r="U619" i="76"/>
  <c r="V619" i="76"/>
  <c r="AE619" i="76"/>
  <c r="AJ619" i="76"/>
  <c r="AK619" i="76"/>
  <c r="AL619" i="76"/>
  <c r="AM619" i="76"/>
  <c r="AN619" i="76"/>
  <c r="AO619" i="76"/>
  <c r="AP619" i="76"/>
  <c r="AQ619" i="76"/>
  <c r="AR619" i="76"/>
  <c r="AS619" i="76"/>
  <c r="AT619" i="76"/>
  <c r="AU619" i="76"/>
  <c r="AV619" i="76"/>
  <c r="AW619" i="76"/>
  <c r="AX619" i="76"/>
  <c r="AY619" i="76"/>
  <c r="AZ619" i="76"/>
  <c r="BA619" i="76"/>
  <c r="BB619" i="76"/>
  <c r="BC619" i="76"/>
  <c r="BD619" i="76"/>
  <c r="BE619" i="76"/>
  <c r="BF619" i="76"/>
  <c r="BG619" i="76"/>
  <c r="BH619" i="76"/>
  <c r="BI619" i="76"/>
  <c r="BJ619" i="76"/>
  <c r="BK619" i="76"/>
  <c r="BM619" i="76"/>
  <c r="A620" i="76"/>
  <c r="B620" i="76"/>
  <c r="D620" i="76"/>
  <c r="G620" i="76"/>
  <c r="H620" i="76"/>
  <c r="J620" i="76"/>
  <c r="F620" i="76" s="1"/>
  <c r="K620" i="76"/>
  <c r="L620" i="76"/>
  <c r="P620" i="76"/>
  <c r="R620" i="76"/>
  <c r="U620" i="76"/>
  <c r="V620" i="76"/>
  <c r="AE620" i="76"/>
  <c r="AJ620" i="76"/>
  <c r="AK620" i="76"/>
  <c r="AL620" i="76"/>
  <c r="AM620" i="76"/>
  <c r="AN620" i="76"/>
  <c r="AO620" i="76"/>
  <c r="AP620" i="76"/>
  <c r="AQ620" i="76"/>
  <c r="AR620" i="76"/>
  <c r="AS620" i="76"/>
  <c r="AT620" i="76"/>
  <c r="AU620" i="76"/>
  <c r="AV620" i="76"/>
  <c r="AW620" i="76"/>
  <c r="AX620" i="76"/>
  <c r="AY620" i="76"/>
  <c r="AZ620" i="76"/>
  <c r="BA620" i="76"/>
  <c r="BB620" i="76"/>
  <c r="BC620" i="76"/>
  <c r="BD620" i="76"/>
  <c r="BE620" i="76"/>
  <c r="BF620" i="76"/>
  <c r="BG620" i="76"/>
  <c r="BH620" i="76"/>
  <c r="BI620" i="76"/>
  <c r="BJ620" i="76"/>
  <c r="BK620" i="76"/>
  <c r="BM620" i="76"/>
  <c r="A621" i="76"/>
  <c r="B621" i="76"/>
  <c r="D621" i="76"/>
  <c r="G621" i="76"/>
  <c r="H621" i="76"/>
  <c r="J621" i="76"/>
  <c r="E621" i="76" s="1"/>
  <c r="K621" i="76"/>
  <c r="L621" i="76"/>
  <c r="P621" i="76"/>
  <c r="R621" i="76"/>
  <c r="U621" i="76"/>
  <c r="V621" i="76"/>
  <c r="AE621" i="76"/>
  <c r="AJ621" i="76"/>
  <c r="AK621" i="76"/>
  <c r="AL621" i="76"/>
  <c r="AM621" i="76"/>
  <c r="AN621" i="76"/>
  <c r="AO621" i="76"/>
  <c r="AP621" i="76"/>
  <c r="AQ621" i="76"/>
  <c r="AR621" i="76"/>
  <c r="AS621" i="76"/>
  <c r="AT621" i="76"/>
  <c r="AU621" i="76"/>
  <c r="AV621" i="76"/>
  <c r="AW621" i="76"/>
  <c r="AX621" i="76"/>
  <c r="AY621" i="76"/>
  <c r="AZ621" i="76"/>
  <c r="BA621" i="76"/>
  <c r="BB621" i="76"/>
  <c r="BC621" i="76"/>
  <c r="BD621" i="76"/>
  <c r="BE621" i="76"/>
  <c r="BF621" i="76"/>
  <c r="BG621" i="76"/>
  <c r="BH621" i="76"/>
  <c r="BI621" i="76"/>
  <c r="BJ621" i="76"/>
  <c r="BK621" i="76"/>
  <c r="BM621" i="76"/>
  <c r="A622" i="76"/>
  <c r="B622" i="76"/>
  <c r="D622" i="76"/>
  <c r="G622" i="76"/>
  <c r="H622" i="76"/>
  <c r="J622" i="76"/>
  <c r="K622" i="76"/>
  <c r="L622" i="76"/>
  <c r="P622" i="76"/>
  <c r="R622" i="76"/>
  <c r="U622" i="76"/>
  <c r="V622" i="76"/>
  <c r="AE622" i="76"/>
  <c r="AJ622" i="76"/>
  <c r="AK622" i="76"/>
  <c r="AL622" i="76"/>
  <c r="AM622" i="76"/>
  <c r="AN622" i="76"/>
  <c r="AO622" i="76"/>
  <c r="AP622" i="76"/>
  <c r="AQ622" i="76"/>
  <c r="AR622" i="76"/>
  <c r="AS622" i="76"/>
  <c r="AT622" i="76"/>
  <c r="AU622" i="76"/>
  <c r="AV622" i="76"/>
  <c r="AW622" i="76"/>
  <c r="AX622" i="76"/>
  <c r="AY622" i="76"/>
  <c r="AZ622" i="76"/>
  <c r="BA622" i="76"/>
  <c r="BB622" i="76"/>
  <c r="BC622" i="76"/>
  <c r="BD622" i="76"/>
  <c r="BE622" i="76"/>
  <c r="BF622" i="76"/>
  <c r="BG622" i="76"/>
  <c r="BH622" i="76"/>
  <c r="BI622" i="76"/>
  <c r="BJ622" i="76"/>
  <c r="BK622" i="76"/>
  <c r="BM622" i="76"/>
  <c r="A623" i="76"/>
  <c r="B623" i="76"/>
  <c r="D623" i="76"/>
  <c r="G623" i="76"/>
  <c r="H623" i="76"/>
  <c r="J623" i="76"/>
  <c r="F623" i="76" s="1"/>
  <c r="K623" i="76"/>
  <c r="L623" i="76"/>
  <c r="P623" i="76"/>
  <c r="R623" i="76"/>
  <c r="U623" i="76"/>
  <c r="V623" i="76"/>
  <c r="AE623" i="76"/>
  <c r="AJ623" i="76"/>
  <c r="AK623" i="76"/>
  <c r="AL623" i="76"/>
  <c r="AM623" i="76"/>
  <c r="AN623" i="76"/>
  <c r="AO623" i="76"/>
  <c r="AP623" i="76"/>
  <c r="AQ623" i="76"/>
  <c r="AR623" i="76"/>
  <c r="AS623" i="76"/>
  <c r="AT623" i="76"/>
  <c r="AU623" i="76"/>
  <c r="AV623" i="76"/>
  <c r="AW623" i="76"/>
  <c r="AX623" i="76"/>
  <c r="AY623" i="76"/>
  <c r="AZ623" i="76"/>
  <c r="BA623" i="76"/>
  <c r="BB623" i="76"/>
  <c r="BC623" i="76"/>
  <c r="BD623" i="76"/>
  <c r="BE623" i="76"/>
  <c r="BF623" i="76"/>
  <c r="BG623" i="76"/>
  <c r="BH623" i="76"/>
  <c r="BI623" i="76"/>
  <c r="BJ623" i="76"/>
  <c r="BK623" i="76"/>
  <c r="BM623" i="76"/>
  <c r="A624" i="76"/>
  <c r="B624" i="76"/>
  <c r="D624" i="76"/>
  <c r="G624" i="76"/>
  <c r="H624" i="76"/>
  <c r="J624" i="76"/>
  <c r="F624" i="76" s="1"/>
  <c r="K624" i="76"/>
  <c r="L624" i="76"/>
  <c r="P624" i="76"/>
  <c r="R624" i="76"/>
  <c r="U624" i="76"/>
  <c r="V624" i="76"/>
  <c r="AE624" i="76"/>
  <c r="AJ624" i="76"/>
  <c r="AK624" i="76"/>
  <c r="AL624" i="76"/>
  <c r="AM624" i="76"/>
  <c r="AN624" i="76"/>
  <c r="AO624" i="76"/>
  <c r="AP624" i="76"/>
  <c r="AQ624" i="76"/>
  <c r="AR624" i="76"/>
  <c r="AS624" i="76"/>
  <c r="AT624" i="76"/>
  <c r="AU624" i="76"/>
  <c r="AV624" i="76"/>
  <c r="AW624" i="76"/>
  <c r="AX624" i="76"/>
  <c r="AY624" i="76"/>
  <c r="AZ624" i="76"/>
  <c r="BA624" i="76"/>
  <c r="BB624" i="76"/>
  <c r="BC624" i="76"/>
  <c r="BD624" i="76"/>
  <c r="BE624" i="76"/>
  <c r="BF624" i="76"/>
  <c r="BG624" i="76"/>
  <c r="BH624" i="76"/>
  <c r="BI624" i="76"/>
  <c r="BJ624" i="76"/>
  <c r="BK624" i="76"/>
  <c r="BM624" i="76"/>
  <c r="A625" i="76"/>
  <c r="B625" i="76"/>
  <c r="D625" i="76"/>
  <c r="G625" i="76"/>
  <c r="H625" i="76"/>
  <c r="J625" i="76"/>
  <c r="F625" i="76" s="1"/>
  <c r="K625" i="76"/>
  <c r="L625" i="76"/>
  <c r="P625" i="76"/>
  <c r="R625" i="76"/>
  <c r="U625" i="76"/>
  <c r="V625" i="76"/>
  <c r="AE625" i="76"/>
  <c r="AJ625" i="76"/>
  <c r="AK625" i="76"/>
  <c r="AL625" i="76"/>
  <c r="AM625" i="76"/>
  <c r="AN625" i="76"/>
  <c r="AO625" i="76"/>
  <c r="AP625" i="76"/>
  <c r="AQ625" i="76"/>
  <c r="AR625" i="76"/>
  <c r="AS625" i="76"/>
  <c r="AT625" i="76"/>
  <c r="AU625" i="76"/>
  <c r="AV625" i="76"/>
  <c r="AW625" i="76"/>
  <c r="AX625" i="76"/>
  <c r="AY625" i="76"/>
  <c r="AZ625" i="76"/>
  <c r="BA625" i="76"/>
  <c r="BB625" i="76"/>
  <c r="BC625" i="76"/>
  <c r="BD625" i="76"/>
  <c r="BE625" i="76"/>
  <c r="BF625" i="76"/>
  <c r="BG625" i="76"/>
  <c r="BH625" i="76"/>
  <c r="BI625" i="76"/>
  <c r="BJ625" i="76"/>
  <c r="BK625" i="76"/>
  <c r="BM625" i="76"/>
  <c r="A626" i="76"/>
  <c r="B626" i="76"/>
  <c r="D626" i="76"/>
  <c r="G626" i="76"/>
  <c r="H626" i="76"/>
  <c r="J626" i="76"/>
  <c r="F626" i="76" s="1"/>
  <c r="K626" i="76"/>
  <c r="L626" i="76"/>
  <c r="P626" i="76"/>
  <c r="R626" i="76"/>
  <c r="U626" i="76"/>
  <c r="V626" i="76"/>
  <c r="AE626" i="76"/>
  <c r="AJ626" i="76"/>
  <c r="AK626" i="76"/>
  <c r="AL626" i="76"/>
  <c r="AM626" i="76"/>
  <c r="AN626" i="76"/>
  <c r="AO626" i="76"/>
  <c r="AP626" i="76"/>
  <c r="AQ626" i="76"/>
  <c r="AR626" i="76"/>
  <c r="AS626" i="76"/>
  <c r="AT626" i="76"/>
  <c r="AU626" i="76"/>
  <c r="AV626" i="76"/>
  <c r="AW626" i="76"/>
  <c r="AX626" i="76"/>
  <c r="AY626" i="76"/>
  <c r="AZ626" i="76"/>
  <c r="BA626" i="76"/>
  <c r="BB626" i="76"/>
  <c r="BC626" i="76"/>
  <c r="BD626" i="76"/>
  <c r="BE626" i="76"/>
  <c r="BF626" i="76"/>
  <c r="BG626" i="76"/>
  <c r="BH626" i="76"/>
  <c r="BI626" i="76"/>
  <c r="BJ626" i="76"/>
  <c r="BK626" i="76"/>
  <c r="BM626" i="76"/>
  <c r="A627" i="76"/>
  <c r="B627" i="76"/>
  <c r="D627" i="76"/>
  <c r="G627" i="76"/>
  <c r="H627" i="76"/>
  <c r="J627" i="76"/>
  <c r="E627" i="76" s="1"/>
  <c r="K627" i="76"/>
  <c r="L627" i="76"/>
  <c r="P627" i="76"/>
  <c r="R627" i="76"/>
  <c r="U627" i="76"/>
  <c r="V627" i="76"/>
  <c r="AE627" i="76"/>
  <c r="AJ627" i="76"/>
  <c r="AK627" i="76"/>
  <c r="AL627" i="76"/>
  <c r="AM627" i="76"/>
  <c r="AN627" i="76"/>
  <c r="AO627" i="76"/>
  <c r="AP627" i="76"/>
  <c r="AQ627" i="76"/>
  <c r="AR627" i="76"/>
  <c r="AS627" i="76"/>
  <c r="AT627" i="76"/>
  <c r="AU627" i="76"/>
  <c r="AV627" i="76"/>
  <c r="AW627" i="76"/>
  <c r="AX627" i="76"/>
  <c r="AY627" i="76"/>
  <c r="AZ627" i="76"/>
  <c r="BA627" i="76"/>
  <c r="BB627" i="76"/>
  <c r="BC627" i="76"/>
  <c r="BD627" i="76"/>
  <c r="BE627" i="76"/>
  <c r="BF627" i="76"/>
  <c r="BG627" i="76"/>
  <c r="BH627" i="76"/>
  <c r="BI627" i="76"/>
  <c r="BJ627" i="76"/>
  <c r="BK627" i="76"/>
  <c r="BM627" i="76"/>
  <c r="A628" i="76"/>
  <c r="B628" i="76"/>
  <c r="D628" i="76"/>
  <c r="G628" i="76"/>
  <c r="H628" i="76"/>
  <c r="J628" i="76"/>
  <c r="E628" i="76" s="1"/>
  <c r="K628" i="76"/>
  <c r="L628" i="76"/>
  <c r="P628" i="76"/>
  <c r="R628" i="76"/>
  <c r="U628" i="76"/>
  <c r="V628" i="76"/>
  <c r="AE628" i="76"/>
  <c r="AJ628" i="76"/>
  <c r="AK628" i="76"/>
  <c r="AL628" i="76"/>
  <c r="AM628" i="76"/>
  <c r="AN628" i="76"/>
  <c r="AO628" i="76"/>
  <c r="AP628" i="76"/>
  <c r="AQ628" i="76"/>
  <c r="AR628" i="76"/>
  <c r="AS628" i="76"/>
  <c r="AT628" i="76"/>
  <c r="AU628" i="76"/>
  <c r="AV628" i="76"/>
  <c r="AW628" i="76"/>
  <c r="AX628" i="76"/>
  <c r="AY628" i="76"/>
  <c r="AZ628" i="76"/>
  <c r="BA628" i="76"/>
  <c r="BB628" i="76"/>
  <c r="BC628" i="76"/>
  <c r="BD628" i="76"/>
  <c r="BE628" i="76"/>
  <c r="BF628" i="76"/>
  <c r="BG628" i="76"/>
  <c r="BH628" i="76"/>
  <c r="BI628" i="76"/>
  <c r="BJ628" i="76"/>
  <c r="BK628" i="76"/>
  <c r="BM628" i="76"/>
  <c r="A629" i="76"/>
  <c r="B629" i="76"/>
  <c r="D629" i="76"/>
  <c r="G629" i="76"/>
  <c r="H629" i="76"/>
  <c r="J629" i="76"/>
  <c r="F629" i="76" s="1"/>
  <c r="K629" i="76"/>
  <c r="L629" i="76"/>
  <c r="P629" i="76"/>
  <c r="R629" i="76"/>
  <c r="U629" i="76"/>
  <c r="V629" i="76"/>
  <c r="AE629" i="76"/>
  <c r="AJ629" i="76"/>
  <c r="AK629" i="76"/>
  <c r="AL629" i="76"/>
  <c r="AM629" i="76"/>
  <c r="AN629" i="76"/>
  <c r="AO629" i="76"/>
  <c r="AP629" i="76"/>
  <c r="AQ629" i="76"/>
  <c r="AR629" i="76"/>
  <c r="AS629" i="76"/>
  <c r="AT629" i="76"/>
  <c r="AU629" i="76"/>
  <c r="AV629" i="76"/>
  <c r="AW629" i="76"/>
  <c r="AX629" i="76"/>
  <c r="AY629" i="76"/>
  <c r="AZ629" i="76"/>
  <c r="BA629" i="76"/>
  <c r="BB629" i="76"/>
  <c r="BC629" i="76"/>
  <c r="BD629" i="76"/>
  <c r="BE629" i="76"/>
  <c r="BF629" i="76"/>
  <c r="BG629" i="76"/>
  <c r="BH629" i="76"/>
  <c r="BI629" i="76"/>
  <c r="BJ629" i="76"/>
  <c r="BK629" i="76"/>
  <c r="BM629" i="76"/>
  <c r="A630" i="76"/>
  <c r="B630" i="76"/>
  <c r="D630" i="76"/>
  <c r="G630" i="76"/>
  <c r="H630" i="76"/>
  <c r="J630" i="76"/>
  <c r="K630" i="76"/>
  <c r="L630" i="76"/>
  <c r="P630" i="76"/>
  <c r="R630" i="76"/>
  <c r="U630" i="76"/>
  <c r="V630" i="76"/>
  <c r="AE630" i="76"/>
  <c r="AJ630" i="76"/>
  <c r="AK630" i="76"/>
  <c r="AL630" i="76"/>
  <c r="AM630" i="76"/>
  <c r="AN630" i="76"/>
  <c r="AO630" i="76"/>
  <c r="AP630" i="76"/>
  <c r="AQ630" i="76"/>
  <c r="AR630" i="76"/>
  <c r="AS630" i="76"/>
  <c r="AT630" i="76"/>
  <c r="AU630" i="76"/>
  <c r="AV630" i="76"/>
  <c r="AW630" i="76"/>
  <c r="AX630" i="76"/>
  <c r="AY630" i="76"/>
  <c r="AZ630" i="76"/>
  <c r="BA630" i="76"/>
  <c r="BB630" i="76"/>
  <c r="BC630" i="76"/>
  <c r="BD630" i="76"/>
  <c r="BE630" i="76"/>
  <c r="BF630" i="76"/>
  <c r="BG630" i="76"/>
  <c r="BH630" i="76"/>
  <c r="BI630" i="76"/>
  <c r="BJ630" i="76"/>
  <c r="BK630" i="76"/>
  <c r="BM630" i="76"/>
  <c r="A631" i="76"/>
  <c r="B631" i="76"/>
  <c r="D631" i="76"/>
  <c r="G631" i="76"/>
  <c r="H631" i="76"/>
  <c r="J631" i="76"/>
  <c r="F631" i="76" s="1"/>
  <c r="K631" i="76"/>
  <c r="L631" i="76"/>
  <c r="P631" i="76"/>
  <c r="R631" i="76"/>
  <c r="U631" i="76"/>
  <c r="V631" i="76"/>
  <c r="AE631" i="76"/>
  <c r="AJ631" i="76"/>
  <c r="AK631" i="76"/>
  <c r="AL631" i="76"/>
  <c r="AM631" i="76"/>
  <c r="AN631" i="76"/>
  <c r="AO631" i="76"/>
  <c r="AP631" i="76"/>
  <c r="AQ631" i="76"/>
  <c r="AR631" i="76"/>
  <c r="AS631" i="76"/>
  <c r="AT631" i="76"/>
  <c r="AU631" i="76"/>
  <c r="AV631" i="76"/>
  <c r="AW631" i="76"/>
  <c r="AX631" i="76"/>
  <c r="AY631" i="76"/>
  <c r="AZ631" i="76"/>
  <c r="BA631" i="76"/>
  <c r="BB631" i="76"/>
  <c r="BC631" i="76"/>
  <c r="BD631" i="76"/>
  <c r="BE631" i="76"/>
  <c r="BF631" i="76"/>
  <c r="BG631" i="76"/>
  <c r="BH631" i="76"/>
  <c r="BI631" i="76"/>
  <c r="BJ631" i="76"/>
  <c r="BK631" i="76"/>
  <c r="BM631" i="76"/>
  <c r="A632" i="76"/>
  <c r="B632" i="76"/>
  <c r="D632" i="76"/>
  <c r="G632" i="76"/>
  <c r="H632" i="76"/>
  <c r="J632" i="76"/>
  <c r="K632" i="76"/>
  <c r="L632" i="76"/>
  <c r="P632" i="76"/>
  <c r="R632" i="76"/>
  <c r="U632" i="76"/>
  <c r="V632" i="76"/>
  <c r="AE632" i="76"/>
  <c r="AJ632" i="76"/>
  <c r="AK632" i="76"/>
  <c r="AL632" i="76"/>
  <c r="AM632" i="76"/>
  <c r="AN632" i="76"/>
  <c r="AO632" i="76"/>
  <c r="AP632" i="76"/>
  <c r="AQ632" i="76"/>
  <c r="AR632" i="76"/>
  <c r="AS632" i="76"/>
  <c r="AT632" i="76"/>
  <c r="AU632" i="76"/>
  <c r="AV632" i="76"/>
  <c r="AW632" i="76"/>
  <c r="AX632" i="76"/>
  <c r="AY632" i="76"/>
  <c r="AZ632" i="76"/>
  <c r="BA632" i="76"/>
  <c r="BB632" i="76"/>
  <c r="BC632" i="76"/>
  <c r="BD632" i="76"/>
  <c r="BE632" i="76"/>
  <c r="BF632" i="76"/>
  <c r="BG632" i="76"/>
  <c r="BH632" i="76"/>
  <c r="BI632" i="76"/>
  <c r="BJ632" i="76"/>
  <c r="BK632" i="76"/>
  <c r="BM632" i="76"/>
  <c r="A633" i="76"/>
  <c r="B633" i="76"/>
  <c r="D633" i="76"/>
  <c r="G633" i="76"/>
  <c r="H633" i="76"/>
  <c r="J633" i="76"/>
  <c r="K633" i="76"/>
  <c r="L633" i="76"/>
  <c r="P633" i="76"/>
  <c r="R633" i="76"/>
  <c r="U633" i="76"/>
  <c r="V633" i="76"/>
  <c r="AE633" i="76"/>
  <c r="AJ633" i="76"/>
  <c r="AK633" i="76"/>
  <c r="AL633" i="76"/>
  <c r="AM633" i="76"/>
  <c r="AN633" i="76"/>
  <c r="AO633" i="76"/>
  <c r="AP633" i="76"/>
  <c r="AQ633" i="76"/>
  <c r="AR633" i="76"/>
  <c r="AS633" i="76"/>
  <c r="AT633" i="76"/>
  <c r="AU633" i="76"/>
  <c r="AV633" i="76"/>
  <c r="AW633" i="76"/>
  <c r="AX633" i="76"/>
  <c r="AY633" i="76"/>
  <c r="AZ633" i="76"/>
  <c r="BA633" i="76"/>
  <c r="BB633" i="76"/>
  <c r="BC633" i="76"/>
  <c r="BD633" i="76"/>
  <c r="BE633" i="76"/>
  <c r="BF633" i="76"/>
  <c r="BG633" i="76"/>
  <c r="BH633" i="76"/>
  <c r="BI633" i="76"/>
  <c r="BJ633" i="76"/>
  <c r="BK633" i="76"/>
  <c r="BM633" i="76"/>
  <c r="A634" i="76"/>
  <c r="B634" i="76"/>
  <c r="D634" i="76"/>
  <c r="G634" i="76"/>
  <c r="H634" i="76"/>
  <c r="J634" i="76"/>
  <c r="F634" i="76" s="1"/>
  <c r="K634" i="76"/>
  <c r="L634" i="76"/>
  <c r="P634" i="76"/>
  <c r="R634" i="76"/>
  <c r="U634" i="76"/>
  <c r="V634" i="76"/>
  <c r="AE634" i="76"/>
  <c r="AJ634" i="76"/>
  <c r="AK634" i="76"/>
  <c r="AL634" i="76"/>
  <c r="AM634" i="76"/>
  <c r="AN634" i="76"/>
  <c r="AO634" i="76"/>
  <c r="AP634" i="76"/>
  <c r="AQ634" i="76"/>
  <c r="AR634" i="76"/>
  <c r="AS634" i="76"/>
  <c r="AT634" i="76"/>
  <c r="AU634" i="76"/>
  <c r="AV634" i="76"/>
  <c r="AW634" i="76"/>
  <c r="AX634" i="76"/>
  <c r="AY634" i="76"/>
  <c r="AZ634" i="76"/>
  <c r="BA634" i="76"/>
  <c r="BB634" i="76"/>
  <c r="BC634" i="76"/>
  <c r="BD634" i="76"/>
  <c r="BE634" i="76"/>
  <c r="BF634" i="76"/>
  <c r="BG634" i="76"/>
  <c r="BH634" i="76"/>
  <c r="BI634" i="76"/>
  <c r="BJ634" i="76"/>
  <c r="BK634" i="76"/>
  <c r="BM634" i="76"/>
  <c r="A635" i="76"/>
  <c r="B635" i="76"/>
  <c r="D635" i="76"/>
  <c r="G635" i="76"/>
  <c r="H635" i="76"/>
  <c r="J635" i="76"/>
  <c r="F635" i="76" s="1"/>
  <c r="K635" i="76"/>
  <c r="L635" i="76"/>
  <c r="P635" i="76"/>
  <c r="R635" i="76"/>
  <c r="U635" i="76"/>
  <c r="V635" i="76"/>
  <c r="AE635" i="76"/>
  <c r="AJ635" i="76"/>
  <c r="AK635" i="76"/>
  <c r="AL635" i="76"/>
  <c r="AM635" i="76"/>
  <c r="AN635" i="76"/>
  <c r="AO635" i="76"/>
  <c r="AP635" i="76"/>
  <c r="AQ635" i="76"/>
  <c r="AR635" i="76"/>
  <c r="AS635" i="76"/>
  <c r="AT635" i="76"/>
  <c r="AU635" i="76"/>
  <c r="AV635" i="76"/>
  <c r="AW635" i="76"/>
  <c r="AX635" i="76"/>
  <c r="AY635" i="76"/>
  <c r="AZ635" i="76"/>
  <c r="BA635" i="76"/>
  <c r="BB635" i="76"/>
  <c r="BC635" i="76"/>
  <c r="BD635" i="76"/>
  <c r="BE635" i="76"/>
  <c r="BF635" i="76"/>
  <c r="BG635" i="76"/>
  <c r="BH635" i="76"/>
  <c r="BI635" i="76"/>
  <c r="BJ635" i="76"/>
  <c r="BK635" i="76"/>
  <c r="BM635" i="76"/>
  <c r="A636" i="76"/>
  <c r="B636" i="76"/>
  <c r="D636" i="76"/>
  <c r="G636" i="76"/>
  <c r="H636" i="76"/>
  <c r="J636" i="76"/>
  <c r="F636" i="76" s="1"/>
  <c r="K636" i="76"/>
  <c r="L636" i="76"/>
  <c r="P636" i="76"/>
  <c r="R636" i="76"/>
  <c r="U636" i="76"/>
  <c r="V636" i="76"/>
  <c r="AE636" i="76"/>
  <c r="AJ636" i="76"/>
  <c r="AK636" i="76"/>
  <c r="AL636" i="76"/>
  <c r="AM636" i="76"/>
  <c r="AN636" i="76"/>
  <c r="AO636" i="76"/>
  <c r="AP636" i="76"/>
  <c r="AQ636" i="76"/>
  <c r="AR636" i="76"/>
  <c r="AS636" i="76"/>
  <c r="AT636" i="76"/>
  <c r="AU636" i="76"/>
  <c r="AV636" i="76"/>
  <c r="AW636" i="76"/>
  <c r="AX636" i="76"/>
  <c r="AY636" i="76"/>
  <c r="AZ636" i="76"/>
  <c r="BA636" i="76"/>
  <c r="BB636" i="76"/>
  <c r="BC636" i="76"/>
  <c r="BD636" i="76"/>
  <c r="BE636" i="76"/>
  <c r="BF636" i="76"/>
  <c r="BG636" i="76"/>
  <c r="BH636" i="76"/>
  <c r="BI636" i="76"/>
  <c r="BJ636" i="76"/>
  <c r="BK636" i="76"/>
  <c r="BM636" i="76"/>
  <c r="A637" i="76"/>
  <c r="B637" i="76"/>
  <c r="D637" i="76"/>
  <c r="G637" i="76"/>
  <c r="H637" i="76"/>
  <c r="J637" i="76"/>
  <c r="K637" i="76"/>
  <c r="L637" i="76"/>
  <c r="P637" i="76"/>
  <c r="R637" i="76"/>
  <c r="U637" i="76"/>
  <c r="V637" i="76"/>
  <c r="AE637" i="76"/>
  <c r="AJ637" i="76"/>
  <c r="AK637" i="76"/>
  <c r="AL637" i="76"/>
  <c r="AM637" i="76"/>
  <c r="AN637" i="76"/>
  <c r="AO637" i="76"/>
  <c r="AP637" i="76"/>
  <c r="AQ637" i="76"/>
  <c r="AR637" i="76"/>
  <c r="AS637" i="76"/>
  <c r="AT637" i="76"/>
  <c r="AU637" i="76"/>
  <c r="AV637" i="76"/>
  <c r="AW637" i="76"/>
  <c r="AX637" i="76"/>
  <c r="AY637" i="76"/>
  <c r="AZ637" i="76"/>
  <c r="BA637" i="76"/>
  <c r="BB637" i="76"/>
  <c r="BC637" i="76"/>
  <c r="BD637" i="76"/>
  <c r="BE637" i="76"/>
  <c r="BF637" i="76"/>
  <c r="BG637" i="76"/>
  <c r="BH637" i="76"/>
  <c r="BI637" i="76"/>
  <c r="BJ637" i="76"/>
  <c r="BK637" i="76"/>
  <c r="BM637" i="76"/>
  <c r="A638" i="76"/>
  <c r="B638" i="76"/>
  <c r="D638" i="76"/>
  <c r="G638" i="76"/>
  <c r="H638" i="76"/>
  <c r="J638" i="76"/>
  <c r="F638" i="76" s="1"/>
  <c r="K638" i="76"/>
  <c r="L638" i="76"/>
  <c r="P638" i="76"/>
  <c r="R638" i="76"/>
  <c r="U638" i="76"/>
  <c r="V638" i="76"/>
  <c r="AE638" i="76"/>
  <c r="AJ638" i="76"/>
  <c r="AK638" i="76"/>
  <c r="AL638" i="76"/>
  <c r="AM638" i="76"/>
  <c r="AN638" i="76"/>
  <c r="AO638" i="76"/>
  <c r="AP638" i="76"/>
  <c r="AQ638" i="76"/>
  <c r="AR638" i="76"/>
  <c r="AS638" i="76"/>
  <c r="AT638" i="76"/>
  <c r="AU638" i="76"/>
  <c r="AV638" i="76"/>
  <c r="AW638" i="76"/>
  <c r="AX638" i="76"/>
  <c r="AY638" i="76"/>
  <c r="AZ638" i="76"/>
  <c r="BA638" i="76"/>
  <c r="BB638" i="76"/>
  <c r="BC638" i="76"/>
  <c r="BD638" i="76"/>
  <c r="BE638" i="76"/>
  <c r="BF638" i="76"/>
  <c r="BG638" i="76"/>
  <c r="BH638" i="76"/>
  <c r="BI638" i="76"/>
  <c r="BJ638" i="76"/>
  <c r="BK638" i="76"/>
  <c r="BM638" i="76"/>
  <c r="A639" i="76"/>
  <c r="B639" i="76"/>
  <c r="D639" i="76"/>
  <c r="G639" i="76"/>
  <c r="H639" i="76"/>
  <c r="J639" i="76"/>
  <c r="K639" i="76"/>
  <c r="L639" i="76"/>
  <c r="P639" i="76"/>
  <c r="R639" i="76"/>
  <c r="U639" i="76"/>
  <c r="V639" i="76"/>
  <c r="AE639" i="76"/>
  <c r="AJ639" i="76"/>
  <c r="AK639" i="76"/>
  <c r="AL639" i="76"/>
  <c r="AM639" i="76"/>
  <c r="AN639" i="76"/>
  <c r="AO639" i="76"/>
  <c r="AP639" i="76"/>
  <c r="AQ639" i="76"/>
  <c r="AR639" i="76"/>
  <c r="AS639" i="76"/>
  <c r="AT639" i="76"/>
  <c r="AU639" i="76"/>
  <c r="AV639" i="76"/>
  <c r="AW639" i="76"/>
  <c r="AX639" i="76"/>
  <c r="AY639" i="76"/>
  <c r="AZ639" i="76"/>
  <c r="BA639" i="76"/>
  <c r="BB639" i="76"/>
  <c r="BC639" i="76"/>
  <c r="BD639" i="76"/>
  <c r="BE639" i="76"/>
  <c r="BF639" i="76"/>
  <c r="BG639" i="76"/>
  <c r="BH639" i="76"/>
  <c r="BI639" i="76"/>
  <c r="BJ639" i="76"/>
  <c r="BK639" i="76"/>
  <c r="BM639" i="76"/>
  <c r="A640" i="76"/>
  <c r="B640" i="76"/>
  <c r="D640" i="76"/>
  <c r="G640" i="76"/>
  <c r="H640" i="76"/>
  <c r="J640" i="76"/>
  <c r="F640" i="76" s="1"/>
  <c r="K640" i="76"/>
  <c r="L640" i="76"/>
  <c r="P640" i="76"/>
  <c r="R640" i="76"/>
  <c r="U640" i="76"/>
  <c r="V640" i="76"/>
  <c r="AE640" i="76"/>
  <c r="AJ640" i="76"/>
  <c r="AK640" i="76"/>
  <c r="AL640" i="76"/>
  <c r="AM640" i="76"/>
  <c r="AN640" i="76"/>
  <c r="AO640" i="76"/>
  <c r="AP640" i="76"/>
  <c r="AQ640" i="76"/>
  <c r="AR640" i="76"/>
  <c r="AS640" i="76"/>
  <c r="AT640" i="76"/>
  <c r="AU640" i="76"/>
  <c r="AV640" i="76"/>
  <c r="AW640" i="76"/>
  <c r="AX640" i="76"/>
  <c r="AY640" i="76"/>
  <c r="AZ640" i="76"/>
  <c r="BA640" i="76"/>
  <c r="BB640" i="76"/>
  <c r="BC640" i="76"/>
  <c r="BD640" i="76"/>
  <c r="BE640" i="76"/>
  <c r="BF640" i="76"/>
  <c r="BG640" i="76"/>
  <c r="BH640" i="76"/>
  <c r="BI640" i="76"/>
  <c r="BJ640" i="76"/>
  <c r="BK640" i="76"/>
  <c r="BM640" i="76"/>
  <c r="A641" i="76"/>
  <c r="B641" i="76"/>
  <c r="D641" i="76"/>
  <c r="G641" i="76"/>
  <c r="H641" i="76"/>
  <c r="J641" i="76"/>
  <c r="K641" i="76"/>
  <c r="L641" i="76"/>
  <c r="P641" i="76"/>
  <c r="R641" i="76"/>
  <c r="U641" i="76"/>
  <c r="V641" i="76"/>
  <c r="AE641" i="76"/>
  <c r="AJ641" i="76"/>
  <c r="AK641" i="76"/>
  <c r="AL641" i="76"/>
  <c r="AM641" i="76"/>
  <c r="AN641" i="76"/>
  <c r="AO641" i="76"/>
  <c r="AP641" i="76"/>
  <c r="AQ641" i="76"/>
  <c r="AR641" i="76"/>
  <c r="AS641" i="76"/>
  <c r="AT641" i="76"/>
  <c r="AU641" i="76"/>
  <c r="AV641" i="76"/>
  <c r="AW641" i="76"/>
  <c r="AX641" i="76"/>
  <c r="AY641" i="76"/>
  <c r="AZ641" i="76"/>
  <c r="BA641" i="76"/>
  <c r="BB641" i="76"/>
  <c r="BC641" i="76"/>
  <c r="BD641" i="76"/>
  <c r="BE641" i="76"/>
  <c r="BF641" i="76"/>
  <c r="BG641" i="76"/>
  <c r="BH641" i="76"/>
  <c r="BI641" i="76"/>
  <c r="BJ641" i="76"/>
  <c r="BK641" i="76"/>
  <c r="BM641" i="76"/>
  <c r="A642" i="76"/>
  <c r="B642" i="76"/>
  <c r="D642" i="76"/>
  <c r="G642" i="76"/>
  <c r="H642" i="76"/>
  <c r="J642" i="76"/>
  <c r="K642" i="76"/>
  <c r="L642" i="76"/>
  <c r="P642" i="76"/>
  <c r="R642" i="76"/>
  <c r="U642" i="76"/>
  <c r="V642" i="76"/>
  <c r="AE642" i="76"/>
  <c r="AJ642" i="76"/>
  <c r="AK642" i="76"/>
  <c r="AL642" i="76"/>
  <c r="AM642" i="76"/>
  <c r="AN642" i="76"/>
  <c r="AO642" i="76"/>
  <c r="AP642" i="76"/>
  <c r="AQ642" i="76"/>
  <c r="AR642" i="76"/>
  <c r="AS642" i="76"/>
  <c r="AT642" i="76"/>
  <c r="AU642" i="76"/>
  <c r="AV642" i="76"/>
  <c r="AW642" i="76"/>
  <c r="AX642" i="76"/>
  <c r="AY642" i="76"/>
  <c r="AZ642" i="76"/>
  <c r="BA642" i="76"/>
  <c r="BB642" i="76"/>
  <c r="BC642" i="76"/>
  <c r="BD642" i="76"/>
  <c r="BE642" i="76"/>
  <c r="BF642" i="76"/>
  <c r="BG642" i="76"/>
  <c r="BH642" i="76"/>
  <c r="BI642" i="76"/>
  <c r="BJ642" i="76"/>
  <c r="BK642" i="76"/>
  <c r="BM642" i="76"/>
  <c r="A643" i="76"/>
  <c r="B643" i="76"/>
  <c r="D643" i="76"/>
  <c r="G643" i="76"/>
  <c r="H643" i="76"/>
  <c r="J643" i="76"/>
  <c r="F643" i="76" s="1"/>
  <c r="K643" i="76"/>
  <c r="L643" i="76"/>
  <c r="P643" i="76"/>
  <c r="R643" i="76"/>
  <c r="U643" i="76"/>
  <c r="V643" i="76"/>
  <c r="AE643" i="76"/>
  <c r="AJ643" i="76"/>
  <c r="AK643" i="76"/>
  <c r="AL643" i="76"/>
  <c r="AM643" i="76"/>
  <c r="AN643" i="76"/>
  <c r="AO643" i="76"/>
  <c r="AP643" i="76"/>
  <c r="AQ643" i="76"/>
  <c r="AR643" i="76"/>
  <c r="AS643" i="76"/>
  <c r="AT643" i="76"/>
  <c r="AU643" i="76"/>
  <c r="AV643" i="76"/>
  <c r="AW643" i="76"/>
  <c r="AX643" i="76"/>
  <c r="AY643" i="76"/>
  <c r="AZ643" i="76"/>
  <c r="BA643" i="76"/>
  <c r="BB643" i="76"/>
  <c r="BC643" i="76"/>
  <c r="BD643" i="76"/>
  <c r="BE643" i="76"/>
  <c r="BF643" i="76"/>
  <c r="BG643" i="76"/>
  <c r="BH643" i="76"/>
  <c r="BI643" i="76"/>
  <c r="BJ643" i="76"/>
  <c r="BK643" i="76"/>
  <c r="BM643" i="76"/>
  <c r="A644" i="76"/>
  <c r="B644" i="76"/>
  <c r="D644" i="76"/>
  <c r="G644" i="76"/>
  <c r="H644" i="76"/>
  <c r="J644" i="76"/>
  <c r="K644" i="76"/>
  <c r="L644" i="76"/>
  <c r="P644" i="76"/>
  <c r="R644" i="76"/>
  <c r="U644" i="76"/>
  <c r="V644" i="76"/>
  <c r="AE644" i="76"/>
  <c r="AJ644" i="76"/>
  <c r="AK644" i="76"/>
  <c r="AL644" i="76"/>
  <c r="AM644" i="76"/>
  <c r="AN644" i="76"/>
  <c r="AO644" i="76"/>
  <c r="AP644" i="76"/>
  <c r="AQ644" i="76"/>
  <c r="AR644" i="76"/>
  <c r="AS644" i="76"/>
  <c r="AT644" i="76"/>
  <c r="AU644" i="76"/>
  <c r="AV644" i="76"/>
  <c r="AW644" i="76"/>
  <c r="AX644" i="76"/>
  <c r="AY644" i="76"/>
  <c r="AZ644" i="76"/>
  <c r="BA644" i="76"/>
  <c r="BB644" i="76"/>
  <c r="BC644" i="76"/>
  <c r="BD644" i="76"/>
  <c r="BE644" i="76"/>
  <c r="BF644" i="76"/>
  <c r="BG644" i="76"/>
  <c r="BH644" i="76"/>
  <c r="BI644" i="76"/>
  <c r="BJ644" i="76"/>
  <c r="BK644" i="76"/>
  <c r="BM644" i="76"/>
  <c r="A645" i="76"/>
  <c r="B645" i="76"/>
  <c r="D645" i="76"/>
  <c r="G645" i="76"/>
  <c r="H645" i="76"/>
  <c r="J645" i="76"/>
  <c r="E645" i="76" s="1"/>
  <c r="K645" i="76"/>
  <c r="L645" i="76"/>
  <c r="P645" i="76"/>
  <c r="R645" i="76"/>
  <c r="U645" i="76"/>
  <c r="V645" i="76"/>
  <c r="AE645" i="76"/>
  <c r="AJ645" i="76"/>
  <c r="AK645" i="76"/>
  <c r="AL645" i="76"/>
  <c r="AM645" i="76"/>
  <c r="AN645" i="76"/>
  <c r="AO645" i="76"/>
  <c r="AP645" i="76"/>
  <c r="AQ645" i="76"/>
  <c r="AR645" i="76"/>
  <c r="AS645" i="76"/>
  <c r="AT645" i="76"/>
  <c r="AU645" i="76"/>
  <c r="AV645" i="76"/>
  <c r="AW645" i="76"/>
  <c r="AX645" i="76"/>
  <c r="AY645" i="76"/>
  <c r="AZ645" i="76"/>
  <c r="BA645" i="76"/>
  <c r="BB645" i="76"/>
  <c r="BC645" i="76"/>
  <c r="BD645" i="76"/>
  <c r="BE645" i="76"/>
  <c r="BF645" i="76"/>
  <c r="BG645" i="76"/>
  <c r="BH645" i="76"/>
  <c r="BI645" i="76"/>
  <c r="BJ645" i="76"/>
  <c r="BK645" i="76"/>
  <c r="BM645" i="76"/>
  <c r="A646" i="76"/>
  <c r="B646" i="76"/>
  <c r="D646" i="76"/>
  <c r="G646" i="76"/>
  <c r="H646" i="76"/>
  <c r="J646" i="76"/>
  <c r="E646" i="76" s="1"/>
  <c r="K646" i="76"/>
  <c r="L646" i="76"/>
  <c r="P646" i="76"/>
  <c r="R646" i="76"/>
  <c r="U646" i="76"/>
  <c r="V646" i="76"/>
  <c r="AE646" i="76"/>
  <c r="AJ646" i="76"/>
  <c r="AK646" i="76"/>
  <c r="AL646" i="76"/>
  <c r="AM646" i="76"/>
  <c r="AN646" i="76"/>
  <c r="AO646" i="76"/>
  <c r="AP646" i="76"/>
  <c r="AQ646" i="76"/>
  <c r="AR646" i="76"/>
  <c r="AS646" i="76"/>
  <c r="AT646" i="76"/>
  <c r="AU646" i="76"/>
  <c r="AV646" i="76"/>
  <c r="AW646" i="76"/>
  <c r="AX646" i="76"/>
  <c r="AY646" i="76"/>
  <c r="AZ646" i="76"/>
  <c r="BA646" i="76"/>
  <c r="BB646" i="76"/>
  <c r="BC646" i="76"/>
  <c r="BD646" i="76"/>
  <c r="BE646" i="76"/>
  <c r="BF646" i="76"/>
  <c r="BG646" i="76"/>
  <c r="BH646" i="76"/>
  <c r="BI646" i="76"/>
  <c r="BJ646" i="76"/>
  <c r="BK646" i="76"/>
  <c r="BM646" i="76"/>
  <c r="A647" i="76"/>
  <c r="B647" i="76"/>
  <c r="D647" i="76"/>
  <c r="G647" i="76"/>
  <c r="H647" i="76"/>
  <c r="J647" i="76"/>
  <c r="K647" i="76"/>
  <c r="L647" i="76"/>
  <c r="P647" i="76"/>
  <c r="R647" i="76"/>
  <c r="U647" i="76"/>
  <c r="V647" i="76"/>
  <c r="AE647" i="76"/>
  <c r="AJ647" i="76"/>
  <c r="AK647" i="76"/>
  <c r="AL647" i="76"/>
  <c r="AM647" i="76"/>
  <c r="AN647" i="76"/>
  <c r="AO647" i="76"/>
  <c r="AP647" i="76"/>
  <c r="AQ647" i="76"/>
  <c r="AR647" i="76"/>
  <c r="AS647" i="76"/>
  <c r="AT647" i="76"/>
  <c r="AU647" i="76"/>
  <c r="AV647" i="76"/>
  <c r="AW647" i="76"/>
  <c r="AX647" i="76"/>
  <c r="AY647" i="76"/>
  <c r="AZ647" i="76"/>
  <c r="BA647" i="76"/>
  <c r="BB647" i="76"/>
  <c r="BC647" i="76"/>
  <c r="BD647" i="76"/>
  <c r="BE647" i="76"/>
  <c r="BF647" i="76"/>
  <c r="BG647" i="76"/>
  <c r="BH647" i="76"/>
  <c r="BI647" i="76"/>
  <c r="BJ647" i="76"/>
  <c r="BK647" i="76"/>
  <c r="BM647" i="76"/>
  <c r="A648" i="76"/>
  <c r="B648" i="76"/>
  <c r="D648" i="76"/>
  <c r="G648" i="76"/>
  <c r="H648" i="76"/>
  <c r="J648" i="76"/>
  <c r="F648" i="76" s="1"/>
  <c r="K648" i="76"/>
  <c r="L648" i="76"/>
  <c r="P648" i="76"/>
  <c r="R648" i="76"/>
  <c r="U648" i="76"/>
  <c r="V648" i="76"/>
  <c r="AE648" i="76"/>
  <c r="AJ648" i="76"/>
  <c r="AK648" i="76"/>
  <c r="AL648" i="76"/>
  <c r="AM648" i="76"/>
  <c r="AN648" i="76"/>
  <c r="AO648" i="76"/>
  <c r="AP648" i="76"/>
  <c r="AQ648" i="76"/>
  <c r="AR648" i="76"/>
  <c r="AS648" i="76"/>
  <c r="AT648" i="76"/>
  <c r="AU648" i="76"/>
  <c r="AV648" i="76"/>
  <c r="AW648" i="76"/>
  <c r="AX648" i="76"/>
  <c r="AY648" i="76"/>
  <c r="AZ648" i="76"/>
  <c r="BA648" i="76"/>
  <c r="BB648" i="76"/>
  <c r="BC648" i="76"/>
  <c r="BD648" i="76"/>
  <c r="BE648" i="76"/>
  <c r="BF648" i="76"/>
  <c r="BG648" i="76"/>
  <c r="BH648" i="76"/>
  <c r="BI648" i="76"/>
  <c r="BJ648" i="76"/>
  <c r="BK648" i="76"/>
  <c r="BM648" i="76"/>
  <c r="A649" i="76"/>
  <c r="B649" i="76"/>
  <c r="D649" i="76"/>
  <c r="G649" i="76"/>
  <c r="H649" i="76"/>
  <c r="J649" i="76"/>
  <c r="E649" i="76" s="1"/>
  <c r="K649" i="76"/>
  <c r="L649" i="76"/>
  <c r="P649" i="76"/>
  <c r="R649" i="76"/>
  <c r="U649" i="76"/>
  <c r="V649" i="76"/>
  <c r="AE649" i="76"/>
  <c r="AJ649" i="76"/>
  <c r="AK649" i="76"/>
  <c r="AL649" i="76"/>
  <c r="AM649" i="76"/>
  <c r="AN649" i="76"/>
  <c r="AO649" i="76"/>
  <c r="AP649" i="76"/>
  <c r="AQ649" i="76"/>
  <c r="AR649" i="76"/>
  <c r="AS649" i="76"/>
  <c r="AT649" i="76"/>
  <c r="AU649" i="76"/>
  <c r="AV649" i="76"/>
  <c r="AW649" i="76"/>
  <c r="AX649" i="76"/>
  <c r="AY649" i="76"/>
  <c r="AZ649" i="76"/>
  <c r="BA649" i="76"/>
  <c r="BB649" i="76"/>
  <c r="BC649" i="76"/>
  <c r="BD649" i="76"/>
  <c r="BE649" i="76"/>
  <c r="BF649" i="76"/>
  <c r="BG649" i="76"/>
  <c r="BH649" i="76"/>
  <c r="BI649" i="76"/>
  <c r="BJ649" i="76"/>
  <c r="BK649" i="76"/>
  <c r="BM649" i="76"/>
  <c r="A650" i="76"/>
  <c r="B650" i="76"/>
  <c r="D650" i="76"/>
  <c r="G650" i="76"/>
  <c r="H650" i="76"/>
  <c r="J650" i="76"/>
  <c r="F650" i="76" s="1"/>
  <c r="K650" i="76"/>
  <c r="L650" i="76"/>
  <c r="P650" i="76"/>
  <c r="R650" i="76"/>
  <c r="U650" i="76"/>
  <c r="V650" i="76"/>
  <c r="AE650" i="76"/>
  <c r="AJ650" i="76"/>
  <c r="AK650" i="76"/>
  <c r="AL650" i="76"/>
  <c r="AM650" i="76"/>
  <c r="AN650" i="76"/>
  <c r="AO650" i="76"/>
  <c r="AP650" i="76"/>
  <c r="AQ650" i="76"/>
  <c r="AR650" i="76"/>
  <c r="AS650" i="76"/>
  <c r="AT650" i="76"/>
  <c r="AU650" i="76"/>
  <c r="AV650" i="76"/>
  <c r="AW650" i="76"/>
  <c r="AX650" i="76"/>
  <c r="AY650" i="76"/>
  <c r="AZ650" i="76"/>
  <c r="BA650" i="76"/>
  <c r="BB650" i="76"/>
  <c r="BC650" i="76"/>
  <c r="BD650" i="76"/>
  <c r="BE650" i="76"/>
  <c r="BF650" i="76"/>
  <c r="BG650" i="76"/>
  <c r="BH650" i="76"/>
  <c r="BI650" i="76"/>
  <c r="BJ650" i="76"/>
  <c r="BK650" i="76"/>
  <c r="BM650" i="76"/>
  <c r="A651" i="76"/>
  <c r="B651" i="76"/>
  <c r="D651" i="76"/>
  <c r="G651" i="76"/>
  <c r="H651" i="76"/>
  <c r="J651" i="76"/>
  <c r="E651" i="76" s="1"/>
  <c r="K651" i="76"/>
  <c r="L651" i="76"/>
  <c r="P651" i="76"/>
  <c r="R651" i="76"/>
  <c r="U651" i="76"/>
  <c r="V651" i="76"/>
  <c r="AE651" i="76"/>
  <c r="AJ651" i="76"/>
  <c r="AK651" i="76"/>
  <c r="AL651" i="76"/>
  <c r="AM651" i="76"/>
  <c r="AN651" i="76"/>
  <c r="AO651" i="76"/>
  <c r="AP651" i="76"/>
  <c r="AQ651" i="76"/>
  <c r="AR651" i="76"/>
  <c r="AS651" i="76"/>
  <c r="AT651" i="76"/>
  <c r="AU651" i="76"/>
  <c r="AV651" i="76"/>
  <c r="AW651" i="76"/>
  <c r="AX651" i="76"/>
  <c r="AY651" i="76"/>
  <c r="AZ651" i="76"/>
  <c r="BA651" i="76"/>
  <c r="BB651" i="76"/>
  <c r="BC651" i="76"/>
  <c r="BD651" i="76"/>
  <c r="BE651" i="76"/>
  <c r="BF651" i="76"/>
  <c r="BG651" i="76"/>
  <c r="BH651" i="76"/>
  <c r="BI651" i="76"/>
  <c r="BJ651" i="76"/>
  <c r="BK651" i="76"/>
  <c r="BM651" i="76"/>
  <c r="A652" i="76"/>
  <c r="B652" i="76"/>
  <c r="D652" i="76"/>
  <c r="G652" i="76"/>
  <c r="H652" i="76"/>
  <c r="J652" i="76"/>
  <c r="E652" i="76" s="1"/>
  <c r="K652" i="76"/>
  <c r="L652" i="76"/>
  <c r="P652" i="76"/>
  <c r="R652" i="76"/>
  <c r="U652" i="76"/>
  <c r="V652" i="76"/>
  <c r="AE652" i="76"/>
  <c r="AJ652" i="76"/>
  <c r="AK652" i="76"/>
  <c r="AL652" i="76"/>
  <c r="AM652" i="76"/>
  <c r="AN652" i="76"/>
  <c r="AO652" i="76"/>
  <c r="AP652" i="76"/>
  <c r="AQ652" i="76"/>
  <c r="AR652" i="76"/>
  <c r="AS652" i="76"/>
  <c r="AT652" i="76"/>
  <c r="AU652" i="76"/>
  <c r="AV652" i="76"/>
  <c r="AW652" i="76"/>
  <c r="AX652" i="76"/>
  <c r="AY652" i="76"/>
  <c r="AZ652" i="76"/>
  <c r="BA652" i="76"/>
  <c r="BB652" i="76"/>
  <c r="BC652" i="76"/>
  <c r="BD652" i="76"/>
  <c r="BE652" i="76"/>
  <c r="BF652" i="76"/>
  <c r="BG652" i="76"/>
  <c r="BH652" i="76"/>
  <c r="BI652" i="76"/>
  <c r="BJ652" i="76"/>
  <c r="BK652" i="76"/>
  <c r="BM652" i="76"/>
  <c r="A653" i="76"/>
  <c r="B653" i="76"/>
  <c r="D653" i="76"/>
  <c r="G653" i="76"/>
  <c r="H653" i="76"/>
  <c r="J653" i="76"/>
  <c r="K653" i="76"/>
  <c r="L653" i="76"/>
  <c r="P653" i="76"/>
  <c r="R653" i="76"/>
  <c r="U653" i="76"/>
  <c r="V653" i="76"/>
  <c r="AE653" i="76"/>
  <c r="AJ653" i="76"/>
  <c r="AK653" i="76"/>
  <c r="AL653" i="76"/>
  <c r="AM653" i="76"/>
  <c r="AN653" i="76"/>
  <c r="AO653" i="76"/>
  <c r="AP653" i="76"/>
  <c r="AQ653" i="76"/>
  <c r="AR653" i="76"/>
  <c r="AS653" i="76"/>
  <c r="AT653" i="76"/>
  <c r="AU653" i="76"/>
  <c r="AV653" i="76"/>
  <c r="AW653" i="76"/>
  <c r="AX653" i="76"/>
  <c r="AY653" i="76"/>
  <c r="AZ653" i="76"/>
  <c r="BA653" i="76"/>
  <c r="BB653" i="76"/>
  <c r="BC653" i="76"/>
  <c r="BD653" i="76"/>
  <c r="BE653" i="76"/>
  <c r="BF653" i="76"/>
  <c r="BG653" i="76"/>
  <c r="BH653" i="76"/>
  <c r="BI653" i="76"/>
  <c r="BJ653" i="76"/>
  <c r="BK653" i="76"/>
  <c r="BM653" i="76"/>
  <c r="A654" i="76"/>
  <c r="B654" i="76"/>
  <c r="D654" i="76"/>
  <c r="G654" i="76"/>
  <c r="H654" i="76"/>
  <c r="J654" i="76"/>
  <c r="E654" i="76" s="1"/>
  <c r="K654" i="76"/>
  <c r="L654" i="76"/>
  <c r="P654" i="76"/>
  <c r="R654" i="76"/>
  <c r="U654" i="76"/>
  <c r="V654" i="76"/>
  <c r="AE654" i="76"/>
  <c r="AJ654" i="76"/>
  <c r="AK654" i="76"/>
  <c r="AL654" i="76"/>
  <c r="AM654" i="76"/>
  <c r="AN654" i="76"/>
  <c r="AO654" i="76"/>
  <c r="AP654" i="76"/>
  <c r="AQ654" i="76"/>
  <c r="AR654" i="76"/>
  <c r="AS654" i="76"/>
  <c r="AT654" i="76"/>
  <c r="AU654" i="76"/>
  <c r="AV654" i="76"/>
  <c r="AW654" i="76"/>
  <c r="AX654" i="76"/>
  <c r="AY654" i="76"/>
  <c r="AZ654" i="76"/>
  <c r="BA654" i="76"/>
  <c r="BB654" i="76"/>
  <c r="BC654" i="76"/>
  <c r="BD654" i="76"/>
  <c r="BE654" i="76"/>
  <c r="BF654" i="76"/>
  <c r="BG654" i="76"/>
  <c r="BH654" i="76"/>
  <c r="BI654" i="76"/>
  <c r="BJ654" i="76"/>
  <c r="BK654" i="76"/>
  <c r="BM654" i="76"/>
  <c r="A655" i="76"/>
  <c r="B655" i="76"/>
  <c r="D655" i="76"/>
  <c r="G655" i="76"/>
  <c r="H655" i="76"/>
  <c r="J655" i="76"/>
  <c r="K655" i="76"/>
  <c r="L655" i="76"/>
  <c r="P655" i="76"/>
  <c r="R655" i="76"/>
  <c r="U655" i="76"/>
  <c r="V655" i="76"/>
  <c r="AE655" i="76"/>
  <c r="AJ655" i="76"/>
  <c r="AK655" i="76"/>
  <c r="AL655" i="76"/>
  <c r="AM655" i="76"/>
  <c r="AN655" i="76"/>
  <c r="AO655" i="76"/>
  <c r="AP655" i="76"/>
  <c r="AQ655" i="76"/>
  <c r="AR655" i="76"/>
  <c r="AS655" i="76"/>
  <c r="AT655" i="76"/>
  <c r="AU655" i="76"/>
  <c r="AV655" i="76"/>
  <c r="AW655" i="76"/>
  <c r="AX655" i="76"/>
  <c r="AY655" i="76"/>
  <c r="AZ655" i="76"/>
  <c r="BA655" i="76"/>
  <c r="BB655" i="76"/>
  <c r="BC655" i="76"/>
  <c r="BD655" i="76"/>
  <c r="BE655" i="76"/>
  <c r="BF655" i="76"/>
  <c r="BG655" i="76"/>
  <c r="BH655" i="76"/>
  <c r="BI655" i="76"/>
  <c r="BJ655" i="76"/>
  <c r="BK655" i="76"/>
  <c r="BM655" i="76"/>
  <c r="A656" i="76"/>
  <c r="B656" i="76"/>
  <c r="D656" i="76"/>
  <c r="G656" i="76"/>
  <c r="H656" i="76"/>
  <c r="J656" i="76"/>
  <c r="E656" i="76" s="1"/>
  <c r="K656" i="76"/>
  <c r="L656" i="76"/>
  <c r="P656" i="76"/>
  <c r="R656" i="76"/>
  <c r="U656" i="76"/>
  <c r="V656" i="76"/>
  <c r="AE656" i="76"/>
  <c r="AJ656" i="76"/>
  <c r="AK656" i="76"/>
  <c r="AL656" i="76"/>
  <c r="AM656" i="76"/>
  <c r="AN656" i="76"/>
  <c r="AO656" i="76"/>
  <c r="AP656" i="76"/>
  <c r="AQ656" i="76"/>
  <c r="AR656" i="76"/>
  <c r="AS656" i="76"/>
  <c r="AT656" i="76"/>
  <c r="AU656" i="76"/>
  <c r="AV656" i="76"/>
  <c r="AW656" i="76"/>
  <c r="AX656" i="76"/>
  <c r="AY656" i="76"/>
  <c r="AZ656" i="76"/>
  <c r="BA656" i="76"/>
  <c r="BB656" i="76"/>
  <c r="BC656" i="76"/>
  <c r="BD656" i="76"/>
  <c r="BE656" i="76"/>
  <c r="BF656" i="76"/>
  <c r="BG656" i="76"/>
  <c r="BH656" i="76"/>
  <c r="BI656" i="76"/>
  <c r="BJ656" i="76"/>
  <c r="BK656" i="76"/>
  <c r="BM656" i="76"/>
  <c r="A657" i="76"/>
  <c r="B657" i="76"/>
  <c r="D657" i="76"/>
  <c r="G657" i="76"/>
  <c r="H657" i="76"/>
  <c r="J657" i="76"/>
  <c r="E657" i="76" s="1"/>
  <c r="K657" i="76"/>
  <c r="L657" i="76"/>
  <c r="P657" i="76"/>
  <c r="R657" i="76"/>
  <c r="U657" i="76"/>
  <c r="V657" i="76"/>
  <c r="AE657" i="76"/>
  <c r="AJ657" i="76"/>
  <c r="AK657" i="76"/>
  <c r="AL657" i="76"/>
  <c r="AM657" i="76"/>
  <c r="AN657" i="76"/>
  <c r="AO657" i="76"/>
  <c r="AP657" i="76"/>
  <c r="AQ657" i="76"/>
  <c r="AR657" i="76"/>
  <c r="AS657" i="76"/>
  <c r="AT657" i="76"/>
  <c r="AU657" i="76"/>
  <c r="AV657" i="76"/>
  <c r="AW657" i="76"/>
  <c r="AX657" i="76"/>
  <c r="AY657" i="76"/>
  <c r="AZ657" i="76"/>
  <c r="BA657" i="76"/>
  <c r="BB657" i="76"/>
  <c r="BC657" i="76"/>
  <c r="BD657" i="76"/>
  <c r="BE657" i="76"/>
  <c r="BF657" i="76"/>
  <c r="BG657" i="76"/>
  <c r="BH657" i="76"/>
  <c r="BI657" i="76"/>
  <c r="BJ657" i="76"/>
  <c r="BK657" i="76"/>
  <c r="BM657" i="76"/>
  <c r="A658" i="76"/>
  <c r="B658" i="76"/>
  <c r="D658" i="76"/>
  <c r="G658" i="76"/>
  <c r="H658" i="76"/>
  <c r="J658" i="76"/>
  <c r="K658" i="76"/>
  <c r="L658" i="76"/>
  <c r="P658" i="76"/>
  <c r="R658" i="76"/>
  <c r="U658" i="76"/>
  <c r="V658" i="76"/>
  <c r="AE658" i="76"/>
  <c r="AJ658" i="76"/>
  <c r="AK658" i="76"/>
  <c r="AL658" i="76"/>
  <c r="AM658" i="76"/>
  <c r="AN658" i="76"/>
  <c r="AO658" i="76"/>
  <c r="AP658" i="76"/>
  <c r="AQ658" i="76"/>
  <c r="AR658" i="76"/>
  <c r="AS658" i="76"/>
  <c r="AT658" i="76"/>
  <c r="AU658" i="76"/>
  <c r="AV658" i="76"/>
  <c r="AW658" i="76"/>
  <c r="AX658" i="76"/>
  <c r="AY658" i="76"/>
  <c r="AZ658" i="76"/>
  <c r="BA658" i="76"/>
  <c r="BB658" i="76"/>
  <c r="BC658" i="76"/>
  <c r="BD658" i="76"/>
  <c r="BE658" i="76"/>
  <c r="BF658" i="76"/>
  <c r="BG658" i="76"/>
  <c r="BH658" i="76"/>
  <c r="BI658" i="76"/>
  <c r="BJ658" i="76"/>
  <c r="BK658" i="76"/>
  <c r="BM658" i="76"/>
  <c r="A659" i="76"/>
  <c r="B659" i="76"/>
  <c r="D659" i="76"/>
  <c r="G659" i="76"/>
  <c r="H659" i="76"/>
  <c r="J659" i="76"/>
  <c r="F659" i="76" s="1"/>
  <c r="K659" i="76"/>
  <c r="L659" i="76"/>
  <c r="P659" i="76"/>
  <c r="R659" i="76"/>
  <c r="U659" i="76"/>
  <c r="V659" i="76"/>
  <c r="AE659" i="76"/>
  <c r="AJ659" i="76"/>
  <c r="AK659" i="76"/>
  <c r="AL659" i="76"/>
  <c r="AM659" i="76"/>
  <c r="AN659" i="76"/>
  <c r="AO659" i="76"/>
  <c r="AP659" i="76"/>
  <c r="AQ659" i="76"/>
  <c r="AR659" i="76"/>
  <c r="AS659" i="76"/>
  <c r="AT659" i="76"/>
  <c r="AU659" i="76"/>
  <c r="AV659" i="76"/>
  <c r="AW659" i="76"/>
  <c r="AX659" i="76"/>
  <c r="AY659" i="76"/>
  <c r="AZ659" i="76"/>
  <c r="BA659" i="76"/>
  <c r="BB659" i="76"/>
  <c r="BC659" i="76"/>
  <c r="BD659" i="76"/>
  <c r="BE659" i="76"/>
  <c r="BF659" i="76"/>
  <c r="BG659" i="76"/>
  <c r="BH659" i="76"/>
  <c r="BI659" i="76"/>
  <c r="BJ659" i="76"/>
  <c r="BK659" i="76"/>
  <c r="BM659" i="76"/>
  <c r="A660" i="76"/>
  <c r="B660" i="76"/>
  <c r="D660" i="76"/>
  <c r="G660" i="76"/>
  <c r="H660" i="76"/>
  <c r="J660" i="76"/>
  <c r="K660" i="76"/>
  <c r="L660" i="76"/>
  <c r="P660" i="76"/>
  <c r="R660" i="76"/>
  <c r="U660" i="76"/>
  <c r="V660" i="76"/>
  <c r="AE660" i="76"/>
  <c r="AJ660" i="76"/>
  <c r="AK660" i="76"/>
  <c r="AL660" i="76"/>
  <c r="AM660" i="76"/>
  <c r="AN660" i="76"/>
  <c r="AO660" i="76"/>
  <c r="AP660" i="76"/>
  <c r="AQ660" i="76"/>
  <c r="AR660" i="76"/>
  <c r="AS660" i="76"/>
  <c r="AT660" i="76"/>
  <c r="AU660" i="76"/>
  <c r="AV660" i="76"/>
  <c r="AW660" i="76"/>
  <c r="AX660" i="76"/>
  <c r="AY660" i="76"/>
  <c r="AZ660" i="76"/>
  <c r="BA660" i="76"/>
  <c r="BB660" i="76"/>
  <c r="BC660" i="76"/>
  <c r="BD660" i="76"/>
  <c r="BE660" i="76"/>
  <c r="BF660" i="76"/>
  <c r="BG660" i="76"/>
  <c r="BH660" i="76"/>
  <c r="BI660" i="76"/>
  <c r="BJ660" i="76"/>
  <c r="BK660" i="76"/>
  <c r="BM660" i="76"/>
  <c r="A661" i="76"/>
  <c r="B661" i="76"/>
  <c r="D661" i="76"/>
  <c r="G661" i="76"/>
  <c r="H661" i="76"/>
  <c r="J661" i="76"/>
  <c r="K661" i="76"/>
  <c r="L661" i="76"/>
  <c r="P661" i="76"/>
  <c r="R661" i="76"/>
  <c r="U661" i="76"/>
  <c r="V661" i="76"/>
  <c r="AE661" i="76"/>
  <c r="AJ661" i="76"/>
  <c r="AK661" i="76"/>
  <c r="AL661" i="76"/>
  <c r="AM661" i="76"/>
  <c r="AN661" i="76"/>
  <c r="AO661" i="76"/>
  <c r="AP661" i="76"/>
  <c r="AQ661" i="76"/>
  <c r="AR661" i="76"/>
  <c r="AS661" i="76"/>
  <c r="AT661" i="76"/>
  <c r="AU661" i="76"/>
  <c r="AV661" i="76"/>
  <c r="AW661" i="76"/>
  <c r="AX661" i="76"/>
  <c r="AY661" i="76"/>
  <c r="AZ661" i="76"/>
  <c r="BA661" i="76"/>
  <c r="BB661" i="76"/>
  <c r="BC661" i="76"/>
  <c r="BD661" i="76"/>
  <c r="BE661" i="76"/>
  <c r="BF661" i="76"/>
  <c r="BG661" i="76"/>
  <c r="BH661" i="76"/>
  <c r="BI661" i="76"/>
  <c r="BJ661" i="76"/>
  <c r="BK661" i="76"/>
  <c r="BM661" i="76"/>
  <c r="A662" i="76"/>
  <c r="B662" i="76"/>
  <c r="D662" i="76"/>
  <c r="G662" i="76"/>
  <c r="H662" i="76"/>
  <c r="J662" i="76"/>
  <c r="K662" i="76"/>
  <c r="L662" i="76"/>
  <c r="P662" i="76"/>
  <c r="R662" i="76"/>
  <c r="U662" i="76"/>
  <c r="V662" i="76"/>
  <c r="AE662" i="76"/>
  <c r="AJ662" i="76"/>
  <c r="AK662" i="76"/>
  <c r="AL662" i="76"/>
  <c r="AM662" i="76"/>
  <c r="AN662" i="76"/>
  <c r="AO662" i="76"/>
  <c r="AP662" i="76"/>
  <c r="AQ662" i="76"/>
  <c r="AR662" i="76"/>
  <c r="AS662" i="76"/>
  <c r="AT662" i="76"/>
  <c r="AU662" i="76"/>
  <c r="AV662" i="76"/>
  <c r="AW662" i="76"/>
  <c r="AX662" i="76"/>
  <c r="AY662" i="76"/>
  <c r="AZ662" i="76"/>
  <c r="BA662" i="76"/>
  <c r="BB662" i="76"/>
  <c r="BC662" i="76"/>
  <c r="BD662" i="76"/>
  <c r="BE662" i="76"/>
  <c r="BF662" i="76"/>
  <c r="BG662" i="76"/>
  <c r="BH662" i="76"/>
  <c r="BI662" i="76"/>
  <c r="BJ662" i="76"/>
  <c r="BK662" i="76"/>
  <c r="BM662" i="76"/>
  <c r="A663" i="76"/>
  <c r="B663" i="76"/>
  <c r="D663" i="76"/>
  <c r="G663" i="76"/>
  <c r="H663" i="76"/>
  <c r="J663" i="76"/>
  <c r="F663" i="76" s="1"/>
  <c r="K663" i="76"/>
  <c r="L663" i="76"/>
  <c r="P663" i="76"/>
  <c r="R663" i="76"/>
  <c r="U663" i="76"/>
  <c r="V663" i="76"/>
  <c r="AE663" i="76"/>
  <c r="AJ663" i="76"/>
  <c r="AK663" i="76"/>
  <c r="AL663" i="76"/>
  <c r="AM663" i="76"/>
  <c r="AN663" i="76"/>
  <c r="AO663" i="76"/>
  <c r="AP663" i="76"/>
  <c r="AQ663" i="76"/>
  <c r="AR663" i="76"/>
  <c r="AS663" i="76"/>
  <c r="AT663" i="76"/>
  <c r="AU663" i="76"/>
  <c r="AV663" i="76"/>
  <c r="AW663" i="76"/>
  <c r="AX663" i="76"/>
  <c r="AY663" i="76"/>
  <c r="AZ663" i="76"/>
  <c r="BA663" i="76"/>
  <c r="BB663" i="76"/>
  <c r="BC663" i="76"/>
  <c r="BD663" i="76"/>
  <c r="BE663" i="76"/>
  <c r="BF663" i="76"/>
  <c r="BG663" i="76"/>
  <c r="BH663" i="76"/>
  <c r="BI663" i="76"/>
  <c r="BJ663" i="76"/>
  <c r="BK663" i="76"/>
  <c r="BM663" i="76"/>
  <c r="A664" i="76"/>
  <c r="B664" i="76"/>
  <c r="D664" i="76"/>
  <c r="G664" i="76"/>
  <c r="H664" i="76"/>
  <c r="J664" i="76"/>
  <c r="K664" i="76"/>
  <c r="L664" i="76"/>
  <c r="P664" i="76"/>
  <c r="R664" i="76"/>
  <c r="U664" i="76"/>
  <c r="V664" i="76"/>
  <c r="AE664" i="76"/>
  <c r="AJ664" i="76"/>
  <c r="AK664" i="76"/>
  <c r="AL664" i="76"/>
  <c r="AM664" i="76"/>
  <c r="AN664" i="76"/>
  <c r="AO664" i="76"/>
  <c r="AP664" i="76"/>
  <c r="AQ664" i="76"/>
  <c r="AR664" i="76"/>
  <c r="AS664" i="76"/>
  <c r="AT664" i="76"/>
  <c r="AU664" i="76"/>
  <c r="AV664" i="76"/>
  <c r="AW664" i="76"/>
  <c r="AX664" i="76"/>
  <c r="AY664" i="76"/>
  <c r="AZ664" i="76"/>
  <c r="BA664" i="76"/>
  <c r="BB664" i="76"/>
  <c r="BC664" i="76"/>
  <c r="BD664" i="76"/>
  <c r="BE664" i="76"/>
  <c r="BF664" i="76"/>
  <c r="BG664" i="76"/>
  <c r="BH664" i="76"/>
  <c r="BI664" i="76"/>
  <c r="BJ664" i="76"/>
  <c r="BK664" i="76"/>
  <c r="BM664" i="76"/>
  <c r="A665" i="76"/>
  <c r="B665" i="76"/>
  <c r="D665" i="76"/>
  <c r="G665" i="76"/>
  <c r="H665" i="76"/>
  <c r="J665" i="76"/>
  <c r="K665" i="76"/>
  <c r="L665" i="76"/>
  <c r="P665" i="76"/>
  <c r="R665" i="76"/>
  <c r="U665" i="76"/>
  <c r="V665" i="76"/>
  <c r="AE665" i="76"/>
  <c r="AJ665" i="76"/>
  <c r="AK665" i="76"/>
  <c r="AL665" i="76"/>
  <c r="AM665" i="76"/>
  <c r="AN665" i="76"/>
  <c r="AO665" i="76"/>
  <c r="AP665" i="76"/>
  <c r="AQ665" i="76"/>
  <c r="AR665" i="76"/>
  <c r="AS665" i="76"/>
  <c r="AT665" i="76"/>
  <c r="AU665" i="76"/>
  <c r="AV665" i="76"/>
  <c r="AW665" i="76"/>
  <c r="AX665" i="76"/>
  <c r="AY665" i="76"/>
  <c r="AZ665" i="76"/>
  <c r="BA665" i="76"/>
  <c r="BB665" i="76"/>
  <c r="BC665" i="76"/>
  <c r="BD665" i="76"/>
  <c r="BE665" i="76"/>
  <c r="BF665" i="76"/>
  <c r="BG665" i="76"/>
  <c r="BH665" i="76"/>
  <c r="BI665" i="76"/>
  <c r="BJ665" i="76"/>
  <c r="BK665" i="76"/>
  <c r="BM665" i="76"/>
  <c r="A666" i="76"/>
  <c r="B666" i="76"/>
  <c r="D666" i="76"/>
  <c r="G666" i="76"/>
  <c r="H666" i="76"/>
  <c r="J666" i="76"/>
  <c r="E666" i="76" s="1"/>
  <c r="K666" i="76"/>
  <c r="L666" i="76"/>
  <c r="P666" i="76"/>
  <c r="R666" i="76"/>
  <c r="U666" i="76"/>
  <c r="V666" i="76"/>
  <c r="AE666" i="76"/>
  <c r="AJ666" i="76"/>
  <c r="AK666" i="76"/>
  <c r="AL666" i="76"/>
  <c r="AM666" i="76"/>
  <c r="AN666" i="76"/>
  <c r="AO666" i="76"/>
  <c r="AP666" i="76"/>
  <c r="AQ666" i="76"/>
  <c r="AR666" i="76"/>
  <c r="AS666" i="76"/>
  <c r="AT666" i="76"/>
  <c r="AU666" i="76"/>
  <c r="AV666" i="76"/>
  <c r="AW666" i="76"/>
  <c r="AX666" i="76"/>
  <c r="AY666" i="76"/>
  <c r="AZ666" i="76"/>
  <c r="BA666" i="76"/>
  <c r="BB666" i="76"/>
  <c r="BC666" i="76"/>
  <c r="BD666" i="76"/>
  <c r="BE666" i="76"/>
  <c r="BF666" i="76"/>
  <c r="BG666" i="76"/>
  <c r="BH666" i="76"/>
  <c r="BI666" i="76"/>
  <c r="BJ666" i="76"/>
  <c r="BK666" i="76"/>
  <c r="BM666" i="76"/>
  <c r="A667" i="76"/>
  <c r="B667" i="76"/>
  <c r="D667" i="76"/>
  <c r="G667" i="76"/>
  <c r="H667" i="76"/>
  <c r="J667" i="76"/>
  <c r="K667" i="76"/>
  <c r="L667" i="76"/>
  <c r="P667" i="76"/>
  <c r="R667" i="76"/>
  <c r="U667" i="76"/>
  <c r="V667" i="76"/>
  <c r="AE667" i="76"/>
  <c r="AJ667" i="76"/>
  <c r="AK667" i="76"/>
  <c r="AL667" i="76"/>
  <c r="AM667" i="76"/>
  <c r="AN667" i="76"/>
  <c r="AO667" i="76"/>
  <c r="AP667" i="76"/>
  <c r="AQ667" i="76"/>
  <c r="AR667" i="76"/>
  <c r="AS667" i="76"/>
  <c r="AT667" i="76"/>
  <c r="AU667" i="76"/>
  <c r="AV667" i="76"/>
  <c r="AW667" i="76"/>
  <c r="AX667" i="76"/>
  <c r="AY667" i="76"/>
  <c r="AZ667" i="76"/>
  <c r="BA667" i="76"/>
  <c r="BB667" i="76"/>
  <c r="BC667" i="76"/>
  <c r="BD667" i="76"/>
  <c r="BE667" i="76"/>
  <c r="BF667" i="76"/>
  <c r="BG667" i="76"/>
  <c r="BH667" i="76"/>
  <c r="BI667" i="76"/>
  <c r="BJ667" i="76"/>
  <c r="BK667" i="76"/>
  <c r="BM667" i="76"/>
  <c r="A668" i="76"/>
  <c r="B668" i="76"/>
  <c r="D668" i="76"/>
  <c r="G668" i="76"/>
  <c r="H668" i="76"/>
  <c r="J668" i="76"/>
  <c r="E668" i="76" s="1"/>
  <c r="K668" i="76"/>
  <c r="L668" i="76"/>
  <c r="P668" i="76"/>
  <c r="R668" i="76"/>
  <c r="U668" i="76"/>
  <c r="V668" i="76"/>
  <c r="AE668" i="76"/>
  <c r="AJ668" i="76"/>
  <c r="AK668" i="76"/>
  <c r="AL668" i="76"/>
  <c r="AM668" i="76"/>
  <c r="AN668" i="76"/>
  <c r="AO668" i="76"/>
  <c r="AP668" i="76"/>
  <c r="AQ668" i="76"/>
  <c r="AR668" i="76"/>
  <c r="AS668" i="76"/>
  <c r="AT668" i="76"/>
  <c r="AU668" i="76"/>
  <c r="AV668" i="76"/>
  <c r="AW668" i="76"/>
  <c r="AX668" i="76"/>
  <c r="AY668" i="76"/>
  <c r="AZ668" i="76"/>
  <c r="BA668" i="76"/>
  <c r="BB668" i="76"/>
  <c r="BC668" i="76"/>
  <c r="BD668" i="76"/>
  <c r="BE668" i="76"/>
  <c r="BF668" i="76"/>
  <c r="BG668" i="76"/>
  <c r="BH668" i="76"/>
  <c r="BI668" i="76"/>
  <c r="BJ668" i="76"/>
  <c r="BK668" i="76"/>
  <c r="BM668" i="76"/>
  <c r="A669" i="76"/>
  <c r="B669" i="76"/>
  <c r="D669" i="76"/>
  <c r="G669" i="76"/>
  <c r="H669" i="76"/>
  <c r="J669" i="76"/>
  <c r="E669" i="76" s="1"/>
  <c r="K669" i="76"/>
  <c r="L669" i="76"/>
  <c r="P669" i="76"/>
  <c r="R669" i="76"/>
  <c r="U669" i="76"/>
  <c r="V669" i="76"/>
  <c r="AE669" i="76"/>
  <c r="AJ669" i="76"/>
  <c r="AK669" i="76"/>
  <c r="AL669" i="76"/>
  <c r="AM669" i="76"/>
  <c r="AN669" i="76"/>
  <c r="AO669" i="76"/>
  <c r="AP669" i="76"/>
  <c r="AQ669" i="76"/>
  <c r="AR669" i="76"/>
  <c r="AS669" i="76"/>
  <c r="AT669" i="76"/>
  <c r="AU669" i="76"/>
  <c r="AV669" i="76"/>
  <c r="AW669" i="76"/>
  <c r="AX669" i="76"/>
  <c r="AY669" i="76"/>
  <c r="AZ669" i="76"/>
  <c r="BA669" i="76"/>
  <c r="BB669" i="76"/>
  <c r="BC669" i="76"/>
  <c r="BD669" i="76"/>
  <c r="BE669" i="76"/>
  <c r="BF669" i="76"/>
  <c r="BG669" i="76"/>
  <c r="BH669" i="76"/>
  <c r="BI669" i="76"/>
  <c r="BJ669" i="76"/>
  <c r="BK669" i="76"/>
  <c r="BM669" i="76"/>
  <c r="A670" i="76"/>
  <c r="B670" i="76"/>
  <c r="D670" i="76"/>
  <c r="G670" i="76"/>
  <c r="H670" i="76"/>
  <c r="J670" i="76"/>
  <c r="K670" i="76"/>
  <c r="L670" i="76"/>
  <c r="P670" i="76"/>
  <c r="R670" i="76"/>
  <c r="U670" i="76"/>
  <c r="V670" i="76"/>
  <c r="AE670" i="76"/>
  <c r="AJ670" i="76"/>
  <c r="AK670" i="76"/>
  <c r="AL670" i="76"/>
  <c r="AM670" i="76"/>
  <c r="AN670" i="76"/>
  <c r="AO670" i="76"/>
  <c r="AP670" i="76"/>
  <c r="AQ670" i="76"/>
  <c r="AR670" i="76"/>
  <c r="AS670" i="76"/>
  <c r="AT670" i="76"/>
  <c r="AU670" i="76"/>
  <c r="AV670" i="76"/>
  <c r="AW670" i="76"/>
  <c r="AX670" i="76"/>
  <c r="AY670" i="76"/>
  <c r="AZ670" i="76"/>
  <c r="BA670" i="76"/>
  <c r="BB670" i="76"/>
  <c r="BC670" i="76"/>
  <c r="BD670" i="76"/>
  <c r="BE670" i="76"/>
  <c r="BF670" i="76"/>
  <c r="BG670" i="76"/>
  <c r="BH670" i="76"/>
  <c r="BI670" i="76"/>
  <c r="BJ670" i="76"/>
  <c r="BK670" i="76"/>
  <c r="BM670" i="76"/>
  <c r="A671" i="76"/>
  <c r="B671" i="76"/>
  <c r="D671" i="76"/>
  <c r="G671" i="76"/>
  <c r="H671" i="76"/>
  <c r="J671" i="76"/>
  <c r="E671" i="76" s="1"/>
  <c r="K671" i="76"/>
  <c r="L671" i="76"/>
  <c r="P671" i="76"/>
  <c r="R671" i="76"/>
  <c r="U671" i="76"/>
  <c r="V671" i="76"/>
  <c r="AE671" i="76"/>
  <c r="AJ671" i="76"/>
  <c r="AK671" i="76"/>
  <c r="AL671" i="76"/>
  <c r="AM671" i="76"/>
  <c r="AN671" i="76"/>
  <c r="AO671" i="76"/>
  <c r="AP671" i="76"/>
  <c r="AQ671" i="76"/>
  <c r="AR671" i="76"/>
  <c r="AS671" i="76"/>
  <c r="AT671" i="76"/>
  <c r="AU671" i="76"/>
  <c r="AV671" i="76"/>
  <c r="AW671" i="76"/>
  <c r="AX671" i="76"/>
  <c r="AY671" i="76"/>
  <c r="AZ671" i="76"/>
  <c r="BA671" i="76"/>
  <c r="BB671" i="76"/>
  <c r="BC671" i="76"/>
  <c r="BD671" i="76"/>
  <c r="BE671" i="76"/>
  <c r="BF671" i="76"/>
  <c r="BG671" i="76"/>
  <c r="BH671" i="76"/>
  <c r="BI671" i="76"/>
  <c r="BJ671" i="76"/>
  <c r="BK671" i="76"/>
  <c r="BM671" i="76"/>
  <c r="A672" i="76"/>
  <c r="B672" i="76"/>
  <c r="D672" i="76"/>
  <c r="G672" i="76"/>
  <c r="H672" i="76"/>
  <c r="J672" i="76"/>
  <c r="E672" i="76" s="1"/>
  <c r="K672" i="76"/>
  <c r="L672" i="76"/>
  <c r="P672" i="76"/>
  <c r="R672" i="76"/>
  <c r="U672" i="76"/>
  <c r="V672" i="76"/>
  <c r="AE672" i="76"/>
  <c r="AJ672" i="76"/>
  <c r="AK672" i="76"/>
  <c r="AL672" i="76"/>
  <c r="AM672" i="76"/>
  <c r="AN672" i="76"/>
  <c r="AO672" i="76"/>
  <c r="AP672" i="76"/>
  <c r="AQ672" i="76"/>
  <c r="AR672" i="76"/>
  <c r="AS672" i="76"/>
  <c r="AT672" i="76"/>
  <c r="AU672" i="76"/>
  <c r="AV672" i="76"/>
  <c r="AW672" i="76"/>
  <c r="AX672" i="76"/>
  <c r="AY672" i="76"/>
  <c r="AZ672" i="76"/>
  <c r="BA672" i="76"/>
  <c r="BB672" i="76"/>
  <c r="BC672" i="76"/>
  <c r="BD672" i="76"/>
  <c r="BE672" i="76"/>
  <c r="BF672" i="76"/>
  <c r="BG672" i="76"/>
  <c r="BH672" i="76"/>
  <c r="BI672" i="76"/>
  <c r="BJ672" i="76"/>
  <c r="BK672" i="76"/>
  <c r="BM672" i="76"/>
  <c r="A673" i="76"/>
  <c r="B673" i="76"/>
  <c r="D673" i="76"/>
  <c r="G673" i="76"/>
  <c r="H673" i="76"/>
  <c r="J673" i="76"/>
  <c r="K673" i="76"/>
  <c r="L673" i="76"/>
  <c r="P673" i="76"/>
  <c r="R673" i="76"/>
  <c r="U673" i="76"/>
  <c r="V673" i="76"/>
  <c r="AE673" i="76"/>
  <c r="AJ673" i="76"/>
  <c r="AK673" i="76"/>
  <c r="AL673" i="76"/>
  <c r="AM673" i="76"/>
  <c r="AN673" i="76"/>
  <c r="AO673" i="76"/>
  <c r="AP673" i="76"/>
  <c r="AQ673" i="76"/>
  <c r="AR673" i="76"/>
  <c r="AS673" i="76"/>
  <c r="AT673" i="76"/>
  <c r="AU673" i="76"/>
  <c r="AV673" i="76"/>
  <c r="AW673" i="76"/>
  <c r="AX673" i="76"/>
  <c r="AY673" i="76"/>
  <c r="AZ673" i="76"/>
  <c r="BA673" i="76"/>
  <c r="BB673" i="76"/>
  <c r="BC673" i="76"/>
  <c r="BD673" i="76"/>
  <c r="BE673" i="76"/>
  <c r="BF673" i="76"/>
  <c r="BG673" i="76"/>
  <c r="BH673" i="76"/>
  <c r="BI673" i="76"/>
  <c r="BJ673" i="76"/>
  <c r="BK673" i="76"/>
  <c r="BM673" i="76"/>
  <c r="A674" i="76"/>
  <c r="B674" i="76"/>
  <c r="D674" i="76"/>
  <c r="G674" i="76"/>
  <c r="H674" i="76"/>
  <c r="J674" i="76"/>
  <c r="K674" i="76"/>
  <c r="L674" i="76"/>
  <c r="P674" i="76"/>
  <c r="R674" i="76"/>
  <c r="U674" i="76"/>
  <c r="V674" i="76"/>
  <c r="AE674" i="76"/>
  <c r="AJ674" i="76"/>
  <c r="AK674" i="76"/>
  <c r="AL674" i="76"/>
  <c r="AM674" i="76"/>
  <c r="AN674" i="76"/>
  <c r="AO674" i="76"/>
  <c r="AP674" i="76"/>
  <c r="AQ674" i="76"/>
  <c r="AR674" i="76"/>
  <c r="AS674" i="76"/>
  <c r="AT674" i="76"/>
  <c r="AU674" i="76"/>
  <c r="AV674" i="76"/>
  <c r="AW674" i="76"/>
  <c r="AX674" i="76"/>
  <c r="AY674" i="76"/>
  <c r="AZ674" i="76"/>
  <c r="BA674" i="76"/>
  <c r="BB674" i="76"/>
  <c r="BC674" i="76"/>
  <c r="BD674" i="76"/>
  <c r="BE674" i="76"/>
  <c r="BF674" i="76"/>
  <c r="BG674" i="76"/>
  <c r="BH674" i="76"/>
  <c r="BI674" i="76"/>
  <c r="BJ674" i="76"/>
  <c r="BK674" i="76"/>
  <c r="BM674" i="76"/>
  <c r="A675" i="76"/>
  <c r="B675" i="76"/>
  <c r="D675" i="76"/>
  <c r="G675" i="76"/>
  <c r="H675" i="76"/>
  <c r="J675" i="76"/>
  <c r="E675" i="76" s="1"/>
  <c r="K675" i="76"/>
  <c r="L675" i="76"/>
  <c r="P675" i="76"/>
  <c r="R675" i="76"/>
  <c r="U675" i="76"/>
  <c r="V675" i="76"/>
  <c r="AE675" i="76"/>
  <c r="AJ675" i="76"/>
  <c r="AK675" i="76"/>
  <c r="AL675" i="76"/>
  <c r="AM675" i="76"/>
  <c r="AN675" i="76"/>
  <c r="AO675" i="76"/>
  <c r="AP675" i="76"/>
  <c r="AQ675" i="76"/>
  <c r="AR675" i="76"/>
  <c r="AS675" i="76"/>
  <c r="AT675" i="76"/>
  <c r="AU675" i="76"/>
  <c r="AV675" i="76"/>
  <c r="AW675" i="76"/>
  <c r="AX675" i="76"/>
  <c r="AY675" i="76"/>
  <c r="AZ675" i="76"/>
  <c r="BA675" i="76"/>
  <c r="BB675" i="76"/>
  <c r="BC675" i="76"/>
  <c r="BD675" i="76"/>
  <c r="BE675" i="76"/>
  <c r="BF675" i="76"/>
  <c r="BG675" i="76"/>
  <c r="BH675" i="76"/>
  <c r="BI675" i="76"/>
  <c r="BJ675" i="76"/>
  <c r="BK675" i="76"/>
  <c r="BM675" i="76"/>
  <c r="A676" i="76"/>
  <c r="B676" i="76"/>
  <c r="D676" i="76"/>
  <c r="G676" i="76"/>
  <c r="H676" i="76"/>
  <c r="J676" i="76"/>
  <c r="K676" i="76"/>
  <c r="L676" i="76"/>
  <c r="P676" i="76"/>
  <c r="R676" i="76"/>
  <c r="U676" i="76"/>
  <c r="V676" i="76"/>
  <c r="AE676" i="76"/>
  <c r="AJ676" i="76"/>
  <c r="AK676" i="76"/>
  <c r="AL676" i="76"/>
  <c r="AM676" i="76"/>
  <c r="AN676" i="76"/>
  <c r="AO676" i="76"/>
  <c r="AP676" i="76"/>
  <c r="AQ676" i="76"/>
  <c r="AR676" i="76"/>
  <c r="AS676" i="76"/>
  <c r="AT676" i="76"/>
  <c r="AU676" i="76"/>
  <c r="AV676" i="76"/>
  <c r="AW676" i="76"/>
  <c r="AX676" i="76"/>
  <c r="AY676" i="76"/>
  <c r="AZ676" i="76"/>
  <c r="BA676" i="76"/>
  <c r="BB676" i="76"/>
  <c r="BC676" i="76"/>
  <c r="BD676" i="76"/>
  <c r="BE676" i="76"/>
  <c r="BF676" i="76"/>
  <c r="BG676" i="76"/>
  <c r="BH676" i="76"/>
  <c r="BI676" i="76"/>
  <c r="BJ676" i="76"/>
  <c r="BK676" i="76"/>
  <c r="BM676" i="76"/>
  <c r="A677" i="76"/>
  <c r="B677" i="76"/>
  <c r="D677" i="76"/>
  <c r="G677" i="76"/>
  <c r="H677" i="76"/>
  <c r="J677" i="76"/>
  <c r="F677" i="76" s="1"/>
  <c r="K677" i="76"/>
  <c r="L677" i="76"/>
  <c r="P677" i="76"/>
  <c r="R677" i="76"/>
  <c r="U677" i="76"/>
  <c r="V677" i="76"/>
  <c r="AE677" i="76"/>
  <c r="AJ677" i="76"/>
  <c r="AK677" i="76"/>
  <c r="AL677" i="76"/>
  <c r="AM677" i="76"/>
  <c r="AN677" i="76"/>
  <c r="AO677" i="76"/>
  <c r="AP677" i="76"/>
  <c r="AQ677" i="76"/>
  <c r="AR677" i="76"/>
  <c r="AS677" i="76"/>
  <c r="AT677" i="76"/>
  <c r="AU677" i="76"/>
  <c r="AV677" i="76"/>
  <c r="AW677" i="76"/>
  <c r="AX677" i="76"/>
  <c r="AY677" i="76"/>
  <c r="AZ677" i="76"/>
  <c r="BA677" i="76"/>
  <c r="BB677" i="76"/>
  <c r="BC677" i="76"/>
  <c r="BD677" i="76"/>
  <c r="BE677" i="76"/>
  <c r="BF677" i="76"/>
  <c r="BG677" i="76"/>
  <c r="BH677" i="76"/>
  <c r="BI677" i="76"/>
  <c r="BJ677" i="76"/>
  <c r="BK677" i="76"/>
  <c r="BM677" i="76"/>
  <c r="A678" i="76"/>
  <c r="B678" i="76"/>
  <c r="D678" i="76"/>
  <c r="G678" i="76"/>
  <c r="H678" i="76"/>
  <c r="J678" i="76"/>
  <c r="E678" i="76" s="1"/>
  <c r="K678" i="76"/>
  <c r="L678" i="76"/>
  <c r="P678" i="76"/>
  <c r="R678" i="76"/>
  <c r="U678" i="76"/>
  <c r="V678" i="76"/>
  <c r="AE678" i="76"/>
  <c r="AJ678" i="76"/>
  <c r="AK678" i="76"/>
  <c r="AL678" i="76"/>
  <c r="AM678" i="76"/>
  <c r="AN678" i="76"/>
  <c r="AO678" i="76"/>
  <c r="AP678" i="76"/>
  <c r="AQ678" i="76"/>
  <c r="AR678" i="76"/>
  <c r="AS678" i="76"/>
  <c r="AT678" i="76"/>
  <c r="AU678" i="76"/>
  <c r="AV678" i="76"/>
  <c r="AW678" i="76"/>
  <c r="AX678" i="76"/>
  <c r="AY678" i="76"/>
  <c r="AZ678" i="76"/>
  <c r="BA678" i="76"/>
  <c r="BB678" i="76"/>
  <c r="BC678" i="76"/>
  <c r="BD678" i="76"/>
  <c r="BE678" i="76"/>
  <c r="BF678" i="76"/>
  <c r="BG678" i="76"/>
  <c r="BH678" i="76"/>
  <c r="BI678" i="76"/>
  <c r="BJ678" i="76"/>
  <c r="BK678" i="76"/>
  <c r="BM678" i="76"/>
  <c r="A679" i="76"/>
  <c r="B679" i="76"/>
  <c r="D679" i="76"/>
  <c r="G679" i="76"/>
  <c r="H679" i="76"/>
  <c r="J679" i="76"/>
  <c r="K679" i="76"/>
  <c r="L679" i="76"/>
  <c r="P679" i="76"/>
  <c r="R679" i="76"/>
  <c r="U679" i="76"/>
  <c r="V679" i="76"/>
  <c r="AE679" i="76"/>
  <c r="AJ679" i="76"/>
  <c r="AK679" i="76"/>
  <c r="AL679" i="76"/>
  <c r="AM679" i="76"/>
  <c r="AN679" i="76"/>
  <c r="AO679" i="76"/>
  <c r="AP679" i="76"/>
  <c r="AQ679" i="76"/>
  <c r="AR679" i="76"/>
  <c r="AS679" i="76"/>
  <c r="AT679" i="76"/>
  <c r="AU679" i="76"/>
  <c r="AV679" i="76"/>
  <c r="AW679" i="76"/>
  <c r="AX679" i="76"/>
  <c r="AY679" i="76"/>
  <c r="AZ679" i="76"/>
  <c r="BA679" i="76"/>
  <c r="BB679" i="76"/>
  <c r="BC679" i="76"/>
  <c r="BD679" i="76"/>
  <c r="BE679" i="76"/>
  <c r="BF679" i="76"/>
  <c r="BG679" i="76"/>
  <c r="BH679" i="76"/>
  <c r="BI679" i="76"/>
  <c r="BJ679" i="76"/>
  <c r="BK679" i="76"/>
  <c r="BM679" i="76"/>
  <c r="A680" i="76"/>
  <c r="B680" i="76"/>
  <c r="D680" i="76"/>
  <c r="G680" i="76"/>
  <c r="H680" i="76"/>
  <c r="J680" i="76"/>
  <c r="E680" i="76" s="1"/>
  <c r="K680" i="76"/>
  <c r="L680" i="76"/>
  <c r="P680" i="76"/>
  <c r="R680" i="76"/>
  <c r="U680" i="76"/>
  <c r="V680" i="76"/>
  <c r="AE680" i="76"/>
  <c r="AJ680" i="76"/>
  <c r="AK680" i="76"/>
  <c r="AL680" i="76"/>
  <c r="AM680" i="76"/>
  <c r="AN680" i="76"/>
  <c r="AO680" i="76"/>
  <c r="AP680" i="76"/>
  <c r="AQ680" i="76"/>
  <c r="AR680" i="76"/>
  <c r="AS680" i="76"/>
  <c r="AT680" i="76"/>
  <c r="AU680" i="76"/>
  <c r="AV680" i="76"/>
  <c r="AW680" i="76"/>
  <c r="AX680" i="76"/>
  <c r="AY680" i="76"/>
  <c r="AZ680" i="76"/>
  <c r="BA680" i="76"/>
  <c r="BB680" i="76"/>
  <c r="BC680" i="76"/>
  <c r="BD680" i="76"/>
  <c r="BE680" i="76"/>
  <c r="BF680" i="76"/>
  <c r="BG680" i="76"/>
  <c r="BH680" i="76"/>
  <c r="BI680" i="76"/>
  <c r="BJ680" i="76"/>
  <c r="BK680" i="76"/>
  <c r="BM680" i="76"/>
  <c r="A681" i="76"/>
  <c r="B681" i="76"/>
  <c r="D681" i="76"/>
  <c r="G681" i="76"/>
  <c r="H681" i="76"/>
  <c r="J681" i="76"/>
  <c r="K681" i="76"/>
  <c r="L681" i="76"/>
  <c r="P681" i="76"/>
  <c r="R681" i="76"/>
  <c r="U681" i="76"/>
  <c r="V681" i="76"/>
  <c r="AE681" i="76"/>
  <c r="AJ681" i="76"/>
  <c r="AK681" i="76"/>
  <c r="AL681" i="76"/>
  <c r="AM681" i="76"/>
  <c r="AN681" i="76"/>
  <c r="AO681" i="76"/>
  <c r="AP681" i="76"/>
  <c r="AQ681" i="76"/>
  <c r="AR681" i="76"/>
  <c r="AS681" i="76"/>
  <c r="AT681" i="76"/>
  <c r="AU681" i="76"/>
  <c r="AV681" i="76"/>
  <c r="AW681" i="76"/>
  <c r="AX681" i="76"/>
  <c r="AY681" i="76"/>
  <c r="AZ681" i="76"/>
  <c r="BA681" i="76"/>
  <c r="BB681" i="76"/>
  <c r="BC681" i="76"/>
  <c r="BD681" i="76"/>
  <c r="BE681" i="76"/>
  <c r="BF681" i="76"/>
  <c r="BG681" i="76"/>
  <c r="BH681" i="76"/>
  <c r="BI681" i="76"/>
  <c r="BJ681" i="76"/>
  <c r="BK681" i="76"/>
  <c r="BM681" i="76"/>
  <c r="A682" i="76"/>
  <c r="B682" i="76"/>
  <c r="D682" i="76"/>
  <c r="G682" i="76"/>
  <c r="H682" i="76"/>
  <c r="J682" i="76"/>
  <c r="K682" i="76"/>
  <c r="L682" i="76"/>
  <c r="P682" i="76"/>
  <c r="R682" i="76"/>
  <c r="U682" i="76"/>
  <c r="V682" i="76"/>
  <c r="AE682" i="76"/>
  <c r="AJ682" i="76"/>
  <c r="AK682" i="76"/>
  <c r="AL682" i="76"/>
  <c r="AM682" i="76"/>
  <c r="AN682" i="76"/>
  <c r="AO682" i="76"/>
  <c r="AP682" i="76"/>
  <c r="AQ682" i="76"/>
  <c r="AR682" i="76"/>
  <c r="AS682" i="76"/>
  <c r="AT682" i="76"/>
  <c r="AU682" i="76"/>
  <c r="AV682" i="76"/>
  <c r="AW682" i="76"/>
  <c r="AX682" i="76"/>
  <c r="AY682" i="76"/>
  <c r="AZ682" i="76"/>
  <c r="BA682" i="76"/>
  <c r="BB682" i="76"/>
  <c r="BC682" i="76"/>
  <c r="BD682" i="76"/>
  <c r="BE682" i="76"/>
  <c r="BF682" i="76"/>
  <c r="BG682" i="76"/>
  <c r="BH682" i="76"/>
  <c r="BI682" i="76"/>
  <c r="BJ682" i="76"/>
  <c r="BK682" i="76"/>
  <c r="BM682" i="76"/>
  <c r="A683" i="76"/>
  <c r="B683" i="76"/>
  <c r="D683" i="76"/>
  <c r="G683" i="76"/>
  <c r="H683" i="76"/>
  <c r="J683" i="76"/>
  <c r="E683" i="76" s="1"/>
  <c r="K683" i="76"/>
  <c r="L683" i="76"/>
  <c r="P683" i="76"/>
  <c r="R683" i="76"/>
  <c r="U683" i="76"/>
  <c r="V683" i="76"/>
  <c r="AE683" i="76"/>
  <c r="AJ683" i="76"/>
  <c r="AK683" i="76"/>
  <c r="AL683" i="76"/>
  <c r="AM683" i="76"/>
  <c r="AN683" i="76"/>
  <c r="AO683" i="76"/>
  <c r="AP683" i="76"/>
  <c r="AQ683" i="76"/>
  <c r="AR683" i="76"/>
  <c r="AS683" i="76"/>
  <c r="AT683" i="76"/>
  <c r="AU683" i="76"/>
  <c r="AV683" i="76"/>
  <c r="AW683" i="76"/>
  <c r="AX683" i="76"/>
  <c r="AY683" i="76"/>
  <c r="AZ683" i="76"/>
  <c r="BA683" i="76"/>
  <c r="BB683" i="76"/>
  <c r="BC683" i="76"/>
  <c r="BD683" i="76"/>
  <c r="BE683" i="76"/>
  <c r="BF683" i="76"/>
  <c r="BG683" i="76"/>
  <c r="BH683" i="76"/>
  <c r="BI683" i="76"/>
  <c r="BJ683" i="76"/>
  <c r="BK683" i="76"/>
  <c r="BM683" i="76"/>
  <c r="A684" i="76"/>
  <c r="B684" i="76"/>
  <c r="D684" i="76"/>
  <c r="G684" i="76"/>
  <c r="H684" i="76"/>
  <c r="J684" i="76"/>
  <c r="E684" i="76" s="1"/>
  <c r="K684" i="76"/>
  <c r="L684" i="76"/>
  <c r="P684" i="76"/>
  <c r="R684" i="76"/>
  <c r="U684" i="76"/>
  <c r="V684" i="76"/>
  <c r="AE684" i="76"/>
  <c r="AJ684" i="76"/>
  <c r="AK684" i="76"/>
  <c r="AL684" i="76"/>
  <c r="AM684" i="76"/>
  <c r="AN684" i="76"/>
  <c r="AO684" i="76"/>
  <c r="AP684" i="76"/>
  <c r="AQ684" i="76"/>
  <c r="AR684" i="76"/>
  <c r="AS684" i="76"/>
  <c r="AT684" i="76"/>
  <c r="AU684" i="76"/>
  <c r="AV684" i="76"/>
  <c r="AW684" i="76"/>
  <c r="AX684" i="76"/>
  <c r="AY684" i="76"/>
  <c r="AZ684" i="76"/>
  <c r="BA684" i="76"/>
  <c r="BB684" i="76"/>
  <c r="BC684" i="76"/>
  <c r="BD684" i="76"/>
  <c r="BE684" i="76"/>
  <c r="BF684" i="76"/>
  <c r="BG684" i="76"/>
  <c r="BH684" i="76"/>
  <c r="BI684" i="76"/>
  <c r="BJ684" i="76"/>
  <c r="BK684" i="76"/>
  <c r="BM684" i="76"/>
  <c r="A685" i="76"/>
  <c r="B685" i="76"/>
  <c r="D685" i="76"/>
  <c r="G685" i="76"/>
  <c r="H685" i="76"/>
  <c r="J685" i="76"/>
  <c r="K685" i="76"/>
  <c r="L685" i="76"/>
  <c r="P685" i="76"/>
  <c r="R685" i="76"/>
  <c r="U685" i="76"/>
  <c r="V685" i="76"/>
  <c r="AE685" i="76"/>
  <c r="AJ685" i="76"/>
  <c r="AK685" i="76"/>
  <c r="AL685" i="76"/>
  <c r="AM685" i="76"/>
  <c r="AN685" i="76"/>
  <c r="AO685" i="76"/>
  <c r="AP685" i="76"/>
  <c r="AQ685" i="76"/>
  <c r="AR685" i="76"/>
  <c r="AS685" i="76"/>
  <c r="AT685" i="76"/>
  <c r="AU685" i="76"/>
  <c r="AV685" i="76"/>
  <c r="AW685" i="76"/>
  <c r="AX685" i="76"/>
  <c r="AY685" i="76"/>
  <c r="AZ685" i="76"/>
  <c r="BA685" i="76"/>
  <c r="BB685" i="76"/>
  <c r="BC685" i="76"/>
  <c r="BD685" i="76"/>
  <c r="BE685" i="76"/>
  <c r="BF685" i="76"/>
  <c r="BG685" i="76"/>
  <c r="BH685" i="76"/>
  <c r="BI685" i="76"/>
  <c r="BJ685" i="76"/>
  <c r="BK685" i="76"/>
  <c r="BM685" i="76"/>
  <c r="A686" i="76"/>
  <c r="B686" i="76"/>
  <c r="D686" i="76"/>
  <c r="G686" i="76"/>
  <c r="H686" i="76"/>
  <c r="J686" i="76"/>
  <c r="K686" i="76"/>
  <c r="L686" i="76"/>
  <c r="P686" i="76"/>
  <c r="R686" i="76"/>
  <c r="U686" i="76"/>
  <c r="V686" i="76"/>
  <c r="AE686" i="76"/>
  <c r="AJ686" i="76"/>
  <c r="AK686" i="76"/>
  <c r="AL686" i="76"/>
  <c r="AM686" i="76"/>
  <c r="AN686" i="76"/>
  <c r="AO686" i="76"/>
  <c r="AP686" i="76"/>
  <c r="AQ686" i="76"/>
  <c r="AR686" i="76"/>
  <c r="AS686" i="76"/>
  <c r="AT686" i="76"/>
  <c r="AU686" i="76"/>
  <c r="AV686" i="76"/>
  <c r="AW686" i="76"/>
  <c r="AX686" i="76"/>
  <c r="AY686" i="76"/>
  <c r="AZ686" i="76"/>
  <c r="BA686" i="76"/>
  <c r="BB686" i="76"/>
  <c r="BC686" i="76"/>
  <c r="BD686" i="76"/>
  <c r="BE686" i="76"/>
  <c r="BF686" i="76"/>
  <c r="BG686" i="76"/>
  <c r="BH686" i="76"/>
  <c r="BI686" i="76"/>
  <c r="BJ686" i="76"/>
  <c r="BK686" i="76"/>
  <c r="BM686" i="76"/>
  <c r="A687" i="76"/>
  <c r="B687" i="76"/>
  <c r="D687" i="76"/>
  <c r="G687" i="76"/>
  <c r="H687" i="76"/>
  <c r="J687" i="76"/>
  <c r="E687" i="76" s="1"/>
  <c r="K687" i="76"/>
  <c r="L687" i="76"/>
  <c r="P687" i="76"/>
  <c r="R687" i="76"/>
  <c r="U687" i="76"/>
  <c r="V687" i="76"/>
  <c r="AE687" i="76"/>
  <c r="AJ687" i="76"/>
  <c r="AK687" i="76"/>
  <c r="AL687" i="76"/>
  <c r="AM687" i="76"/>
  <c r="AN687" i="76"/>
  <c r="AO687" i="76"/>
  <c r="AP687" i="76"/>
  <c r="AQ687" i="76"/>
  <c r="AR687" i="76"/>
  <c r="AS687" i="76"/>
  <c r="AT687" i="76"/>
  <c r="AU687" i="76"/>
  <c r="AV687" i="76"/>
  <c r="AW687" i="76"/>
  <c r="AX687" i="76"/>
  <c r="AY687" i="76"/>
  <c r="AZ687" i="76"/>
  <c r="BA687" i="76"/>
  <c r="BB687" i="76"/>
  <c r="BC687" i="76"/>
  <c r="BD687" i="76"/>
  <c r="BE687" i="76"/>
  <c r="BF687" i="76"/>
  <c r="BG687" i="76"/>
  <c r="BH687" i="76"/>
  <c r="BI687" i="76"/>
  <c r="BJ687" i="76"/>
  <c r="BK687" i="76"/>
  <c r="BM687" i="76"/>
  <c r="A688" i="76"/>
  <c r="B688" i="76"/>
  <c r="D688" i="76"/>
  <c r="G688" i="76"/>
  <c r="H688" i="76"/>
  <c r="J688" i="76"/>
  <c r="K688" i="76"/>
  <c r="L688" i="76"/>
  <c r="P688" i="76"/>
  <c r="R688" i="76"/>
  <c r="U688" i="76"/>
  <c r="V688" i="76"/>
  <c r="AE688" i="76"/>
  <c r="AJ688" i="76"/>
  <c r="AK688" i="76"/>
  <c r="AL688" i="76"/>
  <c r="AM688" i="76"/>
  <c r="AN688" i="76"/>
  <c r="AO688" i="76"/>
  <c r="AP688" i="76"/>
  <c r="AQ688" i="76"/>
  <c r="AR688" i="76"/>
  <c r="AS688" i="76"/>
  <c r="AT688" i="76"/>
  <c r="AU688" i="76"/>
  <c r="AV688" i="76"/>
  <c r="AW688" i="76"/>
  <c r="AX688" i="76"/>
  <c r="AY688" i="76"/>
  <c r="AZ688" i="76"/>
  <c r="BA688" i="76"/>
  <c r="BB688" i="76"/>
  <c r="BC688" i="76"/>
  <c r="BD688" i="76"/>
  <c r="BE688" i="76"/>
  <c r="BF688" i="76"/>
  <c r="BG688" i="76"/>
  <c r="BH688" i="76"/>
  <c r="BI688" i="76"/>
  <c r="BJ688" i="76"/>
  <c r="BK688" i="76"/>
  <c r="BM688" i="76"/>
  <c r="A689" i="76"/>
  <c r="B689" i="76"/>
  <c r="D689" i="76"/>
  <c r="G689" i="76"/>
  <c r="H689" i="76"/>
  <c r="J689" i="76"/>
  <c r="E689" i="76" s="1"/>
  <c r="K689" i="76"/>
  <c r="L689" i="76"/>
  <c r="P689" i="76"/>
  <c r="R689" i="76"/>
  <c r="U689" i="76"/>
  <c r="V689" i="76"/>
  <c r="AE689" i="76"/>
  <c r="AJ689" i="76"/>
  <c r="AK689" i="76"/>
  <c r="AL689" i="76"/>
  <c r="AM689" i="76"/>
  <c r="AN689" i="76"/>
  <c r="AO689" i="76"/>
  <c r="AP689" i="76"/>
  <c r="AQ689" i="76"/>
  <c r="AR689" i="76"/>
  <c r="AS689" i="76"/>
  <c r="AT689" i="76"/>
  <c r="AU689" i="76"/>
  <c r="AV689" i="76"/>
  <c r="AW689" i="76"/>
  <c r="AX689" i="76"/>
  <c r="AY689" i="76"/>
  <c r="AZ689" i="76"/>
  <c r="BA689" i="76"/>
  <c r="BB689" i="76"/>
  <c r="BC689" i="76"/>
  <c r="BD689" i="76"/>
  <c r="BE689" i="76"/>
  <c r="BF689" i="76"/>
  <c r="BG689" i="76"/>
  <c r="BH689" i="76"/>
  <c r="BI689" i="76"/>
  <c r="BJ689" i="76"/>
  <c r="BK689" i="76"/>
  <c r="BM689" i="76"/>
  <c r="A690" i="76"/>
  <c r="B690" i="76"/>
  <c r="D690" i="76"/>
  <c r="G690" i="76"/>
  <c r="H690" i="76"/>
  <c r="J690" i="76"/>
  <c r="E690" i="76" s="1"/>
  <c r="K690" i="76"/>
  <c r="L690" i="76"/>
  <c r="P690" i="76"/>
  <c r="R690" i="76"/>
  <c r="U690" i="76"/>
  <c r="V690" i="76"/>
  <c r="AE690" i="76"/>
  <c r="AJ690" i="76"/>
  <c r="AK690" i="76"/>
  <c r="AL690" i="76"/>
  <c r="AM690" i="76"/>
  <c r="AN690" i="76"/>
  <c r="AO690" i="76"/>
  <c r="AP690" i="76"/>
  <c r="AQ690" i="76"/>
  <c r="AR690" i="76"/>
  <c r="AS690" i="76"/>
  <c r="AT690" i="76"/>
  <c r="AU690" i="76"/>
  <c r="AV690" i="76"/>
  <c r="AW690" i="76"/>
  <c r="AX690" i="76"/>
  <c r="AY690" i="76"/>
  <c r="AZ690" i="76"/>
  <c r="BA690" i="76"/>
  <c r="BB690" i="76"/>
  <c r="BC690" i="76"/>
  <c r="BD690" i="76"/>
  <c r="BE690" i="76"/>
  <c r="BF690" i="76"/>
  <c r="BG690" i="76"/>
  <c r="BH690" i="76"/>
  <c r="BI690" i="76"/>
  <c r="BJ690" i="76"/>
  <c r="BK690" i="76"/>
  <c r="BM690" i="76"/>
  <c r="A691" i="76"/>
  <c r="B691" i="76"/>
  <c r="D691" i="76"/>
  <c r="G691" i="76"/>
  <c r="H691" i="76"/>
  <c r="J691" i="76"/>
  <c r="K691" i="76"/>
  <c r="L691" i="76"/>
  <c r="P691" i="76"/>
  <c r="R691" i="76"/>
  <c r="U691" i="76"/>
  <c r="V691" i="76"/>
  <c r="AE691" i="76"/>
  <c r="AJ691" i="76"/>
  <c r="AK691" i="76"/>
  <c r="AL691" i="76"/>
  <c r="AM691" i="76"/>
  <c r="AN691" i="76"/>
  <c r="AO691" i="76"/>
  <c r="AP691" i="76"/>
  <c r="AQ691" i="76"/>
  <c r="AR691" i="76"/>
  <c r="AS691" i="76"/>
  <c r="AT691" i="76"/>
  <c r="AU691" i="76"/>
  <c r="AV691" i="76"/>
  <c r="AW691" i="76"/>
  <c r="AX691" i="76"/>
  <c r="AY691" i="76"/>
  <c r="AZ691" i="76"/>
  <c r="BA691" i="76"/>
  <c r="BB691" i="76"/>
  <c r="BC691" i="76"/>
  <c r="BD691" i="76"/>
  <c r="BE691" i="76"/>
  <c r="BF691" i="76"/>
  <c r="BG691" i="76"/>
  <c r="BH691" i="76"/>
  <c r="BI691" i="76"/>
  <c r="BJ691" i="76"/>
  <c r="BK691" i="76"/>
  <c r="BM691" i="76"/>
  <c r="A692" i="76"/>
  <c r="B692" i="76"/>
  <c r="D692" i="76"/>
  <c r="G692" i="76"/>
  <c r="H692" i="76"/>
  <c r="J692" i="76"/>
  <c r="E692" i="76" s="1"/>
  <c r="K692" i="76"/>
  <c r="L692" i="76"/>
  <c r="P692" i="76"/>
  <c r="R692" i="76"/>
  <c r="U692" i="76"/>
  <c r="V692" i="76"/>
  <c r="AE692" i="76"/>
  <c r="AJ692" i="76"/>
  <c r="AK692" i="76"/>
  <c r="AL692" i="76"/>
  <c r="AM692" i="76"/>
  <c r="AN692" i="76"/>
  <c r="AO692" i="76"/>
  <c r="AP692" i="76"/>
  <c r="AQ692" i="76"/>
  <c r="AR692" i="76"/>
  <c r="AS692" i="76"/>
  <c r="AT692" i="76"/>
  <c r="AU692" i="76"/>
  <c r="AV692" i="76"/>
  <c r="AW692" i="76"/>
  <c r="AX692" i="76"/>
  <c r="AY692" i="76"/>
  <c r="AZ692" i="76"/>
  <c r="BA692" i="76"/>
  <c r="BB692" i="76"/>
  <c r="BC692" i="76"/>
  <c r="BD692" i="76"/>
  <c r="BE692" i="76"/>
  <c r="BF692" i="76"/>
  <c r="BG692" i="76"/>
  <c r="BH692" i="76"/>
  <c r="BI692" i="76"/>
  <c r="BJ692" i="76"/>
  <c r="BK692" i="76"/>
  <c r="BM692" i="76"/>
  <c r="A693" i="76"/>
  <c r="B693" i="76"/>
  <c r="D693" i="76"/>
  <c r="G693" i="76"/>
  <c r="H693" i="76"/>
  <c r="J693" i="76"/>
  <c r="E693" i="76" s="1"/>
  <c r="K693" i="76"/>
  <c r="L693" i="76"/>
  <c r="P693" i="76"/>
  <c r="R693" i="76"/>
  <c r="U693" i="76"/>
  <c r="V693" i="76"/>
  <c r="AE693" i="76"/>
  <c r="AJ693" i="76"/>
  <c r="AK693" i="76"/>
  <c r="AL693" i="76"/>
  <c r="AM693" i="76"/>
  <c r="AN693" i="76"/>
  <c r="AO693" i="76"/>
  <c r="AP693" i="76"/>
  <c r="AQ693" i="76"/>
  <c r="AR693" i="76"/>
  <c r="AS693" i="76"/>
  <c r="AT693" i="76"/>
  <c r="AU693" i="76"/>
  <c r="AV693" i="76"/>
  <c r="AW693" i="76"/>
  <c r="AX693" i="76"/>
  <c r="AY693" i="76"/>
  <c r="AZ693" i="76"/>
  <c r="BA693" i="76"/>
  <c r="BB693" i="76"/>
  <c r="BC693" i="76"/>
  <c r="BD693" i="76"/>
  <c r="BE693" i="76"/>
  <c r="BF693" i="76"/>
  <c r="BG693" i="76"/>
  <c r="BH693" i="76"/>
  <c r="BI693" i="76"/>
  <c r="BJ693" i="76"/>
  <c r="BK693" i="76"/>
  <c r="BM693" i="76"/>
  <c r="A694" i="76"/>
  <c r="B694" i="76"/>
  <c r="D694" i="76"/>
  <c r="G694" i="76"/>
  <c r="H694" i="76"/>
  <c r="J694" i="76"/>
  <c r="K694" i="76"/>
  <c r="L694" i="76"/>
  <c r="P694" i="76"/>
  <c r="R694" i="76"/>
  <c r="U694" i="76"/>
  <c r="V694" i="76"/>
  <c r="AE694" i="76"/>
  <c r="AJ694" i="76"/>
  <c r="AK694" i="76"/>
  <c r="AL694" i="76"/>
  <c r="AM694" i="76"/>
  <c r="AN694" i="76"/>
  <c r="AO694" i="76"/>
  <c r="AP694" i="76"/>
  <c r="AQ694" i="76"/>
  <c r="AR694" i="76"/>
  <c r="AS694" i="76"/>
  <c r="AT694" i="76"/>
  <c r="AU694" i="76"/>
  <c r="AV694" i="76"/>
  <c r="AW694" i="76"/>
  <c r="AX694" i="76"/>
  <c r="AY694" i="76"/>
  <c r="AZ694" i="76"/>
  <c r="BA694" i="76"/>
  <c r="BB694" i="76"/>
  <c r="BC694" i="76"/>
  <c r="BD694" i="76"/>
  <c r="BE694" i="76"/>
  <c r="BF694" i="76"/>
  <c r="BG694" i="76"/>
  <c r="BH694" i="76"/>
  <c r="BI694" i="76"/>
  <c r="BJ694" i="76"/>
  <c r="BK694" i="76"/>
  <c r="BM694" i="76"/>
  <c r="A695" i="76"/>
  <c r="B695" i="76"/>
  <c r="D695" i="76"/>
  <c r="G695" i="76"/>
  <c r="H695" i="76"/>
  <c r="J695" i="76"/>
  <c r="K695" i="76"/>
  <c r="L695" i="76"/>
  <c r="P695" i="76"/>
  <c r="R695" i="76"/>
  <c r="U695" i="76"/>
  <c r="V695" i="76"/>
  <c r="AE695" i="76"/>
  <c r="AJ695" i="76"/>
  <c r="AK695" i="76"/>
  <c r="AL695" i="76"/>
  <c r="AM695" i="76"/>
  <c r="AN695" i="76"/>
  <c r="AO695" i="76"/>
  <c r="AP695" i="76"/>
  <c r="AQ695" i="76"/>
  <c r="AR695" i="76"/>
  <c r="AS695" i="76"/>
  <c r="AT695" i="76"/>
  <c r="AU695" i="76"/>
  <c r="AV695" i="76"/>
  <c r="AW695" i="76"/>
  <c r="AX695" i="76"/>
  <c r="AY695" i="76"/>
  <c r="AZ695" i="76"/>
  <c r="BA695" i="76"/>
  <c r="BB695" i="76"/>
  <c r="BC695" i="76"/>
  <c r="BD695" i="76"/>
  <c r="BE695" i="76"/>
  <c r="BF695" i="76"/>
  <c r="BG695" i="76"/>
  <c r="BH695" i="76"/>
  <c r="BI695" i="76"/>
  <c r="BJ695" i="76"/>
  <c r="BK695" i="76"/>
  <c r="BM695" i="76"/>
  <c r="A696" i="76"/>
  <c r="B696" i="76"/>
  <c r="D696" i="76"/>
  <c r="G696" i="76"/>
  <c r="H696" i="76"/>
  <c r="J696" i="76"/>
  <c r="F696" i="76" s="1"/>
  <c r="K696" i="76"/>
  <c r="L696" i="76"/>
  <c r="P696" i="76"/>
  <c r="R696" i="76"/>
  <c r="U696" i="76"/>
  <c r="V696" i="76"/>
  <c r="AE696" i="76"/>
  <c r="AJ696" i="76"/>
  <c r="AK696" i="76"/>
  <c r="AL696" i="76"/>
  <c r="AM696" i="76"/>
  <c r="AN696" i="76"/>
  <c r="AO696" i="76"/>
  <c r="AP696" i="76"/>
  <c r="AQ696" i="76"/>
  <c r="AR696" i="76"/>
  <c r="AS696" i="76"/>
  <c r="AT696" i="76"/>
  <c r="AU696" i="76"/>
  <c r="AV696" i="76"/>
  <c r="AW696" i="76"/>
  <c r="AX696" i="76"/>
  <c r="AY696" i="76"/>
  <c r="AZ696" i="76"/>
  <c r="BA696" i="76"/>
  <c r="BB696" i="76"/>
  <c r="BC696" i="76"/>
  <c r="BD696" i="76"/>
  <c r="BE696" i="76"/>
  <c r="BF696" i="76"/>
  <c r="BG696" i="76"/>
  <c r="BH696" i="76"/>
  <c r="BI696" i="76"/>
  <c r="BJ696" i="76"/>
  <c r="BK696" i="76"/>
  <c r="BM696" i="76"/>
  <c r="A697" i="76"/>
  <c r="B697" i="76"/>
  <c r="D697" i="76"/>
  <c r="G697" i="76"/>
  <c r="H697" i="76"/>
  <c r="J697" i="76"/>
  <c r="K697" i="76"/>
  <c r="L697" i="76"/>
  <c r="P697" i="76"/>
  <c r="R697" i="76"/>
  <c r="U697" i="76"/>
  <c r="V697" i="76"/>
  <c r="AE697" i="76"/>
  <c r="AJ697" i="76"/>
  <c r="AK697" i="76"/>
  <c r="AL697" i="76"/>
  <c r="AM697" i="76"/>
  <c r="AN697" i="76"/>
  <c r="AO697" i="76"/>
  <c r="AP697" i="76"/>
  <c r="AQ697" i="76"/>
  <c r="AR697" i="76"/>
  <c r="AS697" i="76"/>
  <c r="AT697" i="76"/>
  <c r="AU697" i="76"/>
  <c r="AV697" i="76"/>
  <c r="AW697" i="76"/>
  <c r="AX697" i="76"/>
  <c r="AY697" i="76"/>
  <c r="AZ697" i="76"/>
  <c r="BA697" i="76"/>
  <c r="BB697" i="76"/>
  <c r="BC697" i="76"/>
  <c r="BD697" i="76"/>
  <c r="BE697" i="76"/>
  <c r="BF697" i="76"/>
  <c r="BG697" i="76"/>
  <c r="BH697" i="76"/>
  <c r="BI697" i="76"/>
  <c r="BJ697" i="76"/>
  <c r="BK697" i="76"/>
  <c r="BM697" i="76"/>
  <c r="A698" i="76"/>
  <c r="B698" i="76"/>
  <c r="D698" i="76"/>
  <c r="G698" i="76"/>
  <c r="H698" i="76"/>
  <c r="J698" i="76"/>
  <c r="F698" i="76" s="1"/>
  <c r="K698" i="76"/>
  <c r="L698" i="76"/>
  <c r="P698" i="76"/>
  <c r="R698" i="76"/>
  <c r="U698" i="76"/>
  <c r="V698" i="76"/>
  <c r="AE698" i="76"/>
  <c r="AJ698" i="76"/>
  <c r="AK698" i="76"/>
  <c r="AL698" i="76"/>
  <c r="AM698" i="76"/>
  <c r="AN698" i="76"/>
  <c r="AO698" i="76"/>
  <c r="AP698" i="76"/>
  <c r="AQ698" i="76"/>
  <c r="AR698" i="76"/>
  <c r="AS698" i="76"/>
  <c r="AT698" i="76"/>
  <c r="AU698" i="76"/>
  <c r="AV698" i="76"/>
  <c r="AW698" i="76"/>
  <c r="AX698" i="76"/>
  <c r="AY698" i="76"/>
  <c r="AZ698" i="76"/>
  <c r="BA698" i="76"/>
  <c r="BB698" i="76"/>
  <c r="BC698" i="76"/>
  <c r="BD698" i="76"/>
  <c r="BE698" i="76"/>
  <c r="BF698" i="76"/>
  <c r="BG698" i="76"/>
  <c r="BH698" i="76"/>
  <c r="BI698" i="76"/>
  <c r="BJ698" i="76"/>
  <c r="BK698" i="76"/>
  <c r="BM698" i="76"/>
  <c r="A699" i="76"/>
  <c r="B699" i="76"/>
  <c r="D699" i="76"/>
  <c r="G699" i="76"/>
  <c r="H699" i="76"/>
  <c r="J699" i="76"/>
  <c r="F699" i="76" s="1"/>
  <c r="K699" i="76"/>
  <c r="L699" i="76"/>
  <c r="P699" i="76"/>
  <c r="R699" i="76"/>
  <c r="U699" i="76"/>
  <c r="V699" i="76"/>
  <c r="AE699" i="76"/>
  <c r="AJ699" i="76"/>
  <c r="AK699" i="76"/>
  <c r="AL699" i="76"/>
  <c r="AM699" i="76"/>
  <c r="AN699" i="76"/>
  <c r="AO699" i="76"/>
  <c r="AP699" i="76"/>
  <c r="AQ699" i="76"/>
  <c r="AR699" i="76"/>
  <c r="AS699" i="76"/>
  <c r="AT699" i="76"/>
  <c r="AU699" i="76"/>
  <c r="AV699" i="76"/>
  <c r="AW699" i="76"/>
  <c r="AX699" i="76"/>
  <c r="AY699" i="76"/>
  <c r="AZ699" i="76"/>
  <c r="BA699" i="76"/>
  <c r="BB699" i="76"/>
  <c r="BC699" i="76"/>
  <c r="BD699" i="76"/>
  <c r="BE699" i="76"/>
  <c r="BF699" i="76"/>
  <c r="BG699" i="76"/>
  <c r="BH699" i="76"/>
  <c r="BI699" i="76"/>
  <c r="BJ699" i="76"/>
  <c r="BK699" i="76"/>
  <c r="BM699" i="76"/>
  <c r="A700" i="76"/>
  <c r="B700" i="76"/>
  <c r="D700" i="76"/>
  <c r="G700" i="76"/>
  <c r="H700" i="76"/>
  <c r="J700" i="76"/>
  <c r="K700" i="76"/>
  <c r="L700" i="76"/>
  <c r="P700" i="76"/>
  <c r="R700" i="76"/>
  <c r="U700" i="76"/>
  <c r="V700" i="76"/>
  <c r="AE700" i="76"/>
  <c r="AJ700" i="76"/>
  <c r="AK700" i="76"/>
  <c r="AL700" i="76"/>
  <c r="AM700" i="76"/>
  <c r="AN700" i="76"/>
  <c r="AO700" i="76"/>
  <c r="AP700" i="76"/>
  <c r="AQ700" i="76"/>
  <c r="AR700" i="76"/>
  <c r="AS700" i="76"/>
  <c r="AT700" i="76"/>
  <c r="AU700" i="76"/>
  <c r="AV700" i="76"/>
  <c r="AW700" i="76"/>
  <c r="AX700" i="76"/>
  <c r="AY700" i="76"/>
  <c r="AZ700" i="76"/>
  <c r="BA700" i="76"/>
  <c r="BB700" i="76"/>
  <c r="BC700" i="76"/>
  <c r="BD700" i="76"/>
  <c r="BE700" i="76"/>
  <c r="BF700" i="76"/>
  <c r="BG700" i="76"/>
  <c r="BH700" i="76"/>
  <c r="BI700" i="76"/>
  <c r="BJ700" i="76"/>
  <c r="BK700" i="76"/>
  <c r="BM700" i="76"/>
  <c r="A701" i="76"/>
  <c r="B701" i="76"/>
  <c r="D701" i="76"/>
  <c r="G701" i="76"/>
  <c r="H701" i="76"/>
  <c r="J701" i="76"/>
  <c r="F701" i="76" s="1"/>
  <c r="K701" i="76"/>
  <c r="L701" i="76"/>
  <c r="P701" i="76"/>
  <c r="R701" i="76"/>
  <c r="U701" i="76"/>
  <c r="V701" i="76"/>
  <c r="AE701" i="76"/>
  <c r="AJ701" i="76"/>
  <c r="AK701" i="76"/>
  <c r="AL701" i="76"/>
  <c r="AM701" i="76"/>
  <c r="AN701" i="76"/>
  <c r="AO701" i="76"/>
  <c r="AP701" i="76"/>
  <c r="AQ701" i="76"/>
  <c r="AR701" i="76"/>
  <c r="AS701" i="76"/>
  <c r="AT701" i="76"/>
  <c r="AU701" i="76"/>
  <c r="AV701" i="76"/>
  <c r="AW701" i="76"/>
  <c r="AX701" i="76"/>
  <c r="AY701" i="76"/>
  <c r="AZ701" i="76"/>
  <c r="BA701" i="76"/>
  <c r="BB701" i="76"/>
  <c r="BC701" i="76"/>
  <c r="BD701" i="76"/>
  <c r="BE701" i="76"/>
  <c r="BF701" i="76"/>
  <c r="BG701" i="76"/>
  <c r="BH701" i="76"/>
  <c r="BI701" i="76"/>
  <c r="BJ701" i="76"/>
  <c r="BK701" i="76"/>
  <c r="BM701" i="76"/>
  <c r="A702" i="76"/>
  <c r="B702" i="76"/>
  <c r="D702" i="76"/>
  <c r="G702" i="76"/>
  <c r="H702" i="76"/>
  <c r="J702" i="76"/>
  <c r="F702" i="76" s="1"/>
  <c r="K702" i="76"/>
  <c r="L702" i="76"/>
  <c r="P702" i="76"/>
  <c r="R702" i="76"/>
  <c r="U702" i="76"/>
  <c r="V702" i="76"/>
  <c r="AE702" i="76"/>
  <c r="AJ702" i="76"/>
  <c r="AK702" i="76"/>
  <c r="AL702" i="76"/>
  <c r="AM702" i="76"/>
  <c r="AN702" i="76"/>
  <c r="AO702" i="76"/>
  <c r="AP702" i="76"/>
  <c r="AQ702" i="76"/>
  <c r="AR702" i="76"/>
  <c r="AS702" i="76"/>
  <c r="AT702" i="76"/>
  <c r="AU702" i="76"/>
  <c r="AV702" i="76"/>
  <c r="AW702" i="76"/>
  <c r="AX702" i="76"/>
  <c r="AY702" i="76"/>
  <c r="AZ702" i="76"/>
  <c r="BA702" i="76"/>
  <c r="BB702" i="76"/>
  <c r="BC702" i="76"/>
  <c r="BD702" i="76"/>
  <c r="BE702" i="76"/>
  <c r="BF702" i="76"/>
  <c r="BG702" i="76"/>
  <c r="BH702" i="76"/>
  <c r="BI702" i="76"/>
  <c r="BJ702" i="76"/>
  <c r="BK702" i="76"/>
  <c r="BM702" i="76"/>
  <c r="A703" i="76"/>
  <c r="B703" i="76"/>
  <c r="D703" i="76"/>
  <c r="G703" i="76"/>
  <c r="H703" i="76"/>
  <c r="J703" i="76"/>
  <c r="K703" i="76"/>
  <c r="L703" i="76"/>
  <c r="P703" i="76"/>
  <c r="R703" i="76"/>
  <c r="U703" i="76"/>
  <c r="V703" i="76"/>
  <c r="AE703" i="76"/>
  <c r="AJ703" i="76"/>
  <c r="AK703" i="76"/>
  <c r="AL703" i="76"/>
  <c r="AM703" i="76"/>
  <c r="AN703" i="76"/>
  <c r="AO703" i="76"/>
  <c r="AP703" i="76"/>
  <c r="AQ703" i="76"/>
  <c r="AR703" i="76"/>
  <c r="AS703" i="76"/>
  <c r="AT703" i="76"/>
  <c r="AU703" i="76"/>
  <c r="AV703" i="76"/>
  <c r="AW703" i="76"/>
  <c r="AX703" i="76"/>
  <c r="AY703" i="76"/>
  <c r="AZ703" i="76"/>
  <c r="BA703" i="76"/>
  <c r="BB703" i="76"/>
  <c r="BC703" i="76"/>
  <c r="BD703" i="76"/>
  <c r="BE703" i="76"/>
  <c r="BF703" i="76"/>
  <c r="BG703" i="76"/>
  <c r="BH703" i="76"/>
  <c r="BI703" i="76"/>
  <c r="BJ703" i="76"/>
  <c r="BK703" i="76"/>
  <c r="BM703" i="76"/>
  <c r="A704" i="76"/>
  <c r="B704" i="76"/>
  <c r="D704" i="76"/>
  <c r="G704" i="76"/>
  <c r="H704" i="76"/>
  <c r="J704" i="76"/>
  <c r="E704" i="76" s="1"/>
  <c r="K704" i="76"/>
  <c r="L704" i="76"/>
  <c r="P704" i="76"/>
  <c r="R704" i="76"/>
  <c r="U704" i="76"/>
  <c r="V704" i="76"/>
  <c r="AE704" i="76"/>
  <c r="AJ704" i="76"/>
  <c r="AK704" i="76"/>
  <c r="AL704" i="76"/>
  <c r="AM704" i="76"/>
  <c r="AN704" i="76"/>
  <c r="AO704" i="76"/>
  <c r="AP704" i="76"/>
  <c r="AQ704" i="76"/>
  <c r="AR704" i="76"/>
  <c r="AS704" i="76"/>
  <c r="AT704" i="76"/>
  <c r="AU704" i="76"/>
  <c r="AV704" i="76"/>
  <c r="AW704" i="76"/>
  <c r="AX704" i="76"/>
  <c r="AY704" i="76"/>
  <c r="AZ704" i="76"/>
  <c r="BA704" i="76"/>
  <c r="BB704" i="76"/>
  <c r="BC704" i="76"/>
  <c r="BD704" i="76"/>
  <c r="BE704" i="76"/>
  <c r="BF704" i="76"/>
  <c r="BG704" i="76"/>
  <c r="BH704" i="76"/>
  <c r="BI704" i="76"/>
  <c r="BJ704" i="76"/>
  <c r="BK704" i="76"/>
  <c r="BM704" i="76"/>
  <c r="A705" i="76"/>
  <c r="B705" i="76"/>
  <c r="D705" i="76"/>
  <c r="G705" i="76"/>
  <c r="H705" i="76"/>
  <c r="J705" i="76"/>
  <c r="E705" i="76" s="1"/>
  <c r="K705" i="76"/>
  <c r="L705" i="76"/>
  <c r="P705" i="76"/>
  <c r="R705" i="76"/>
  <c r="U705" i="76"/>
  <c r="V705" i="76"/>
  <c r="AE705" i="76"/>
  <c r="AJ705" i="76"/>
  <c r="AK705" i="76"/>
  <c r="AL705" i="76"/>
  <c r="AM705" i="76"/>
  <c r="AN705" i="76"/>
  <c r="AO705" i="76"/>
  <c r="AP705" i="76"/>
  <c r="AQ705" i="76"/>
  <c r="AR705" i="76"/>
  <c r="AS705" i="76"/>
  <c r="AT705" i="76"/>
  <c r="AU705" i="76"/>
  <c r="AV705" i="76"/>
  <c r="AW705" i="76"/>
  <c r="AX705" i="76"/>
  <c r="AY705" i="76"/>
  <c r="AZ705" i="76"/>
  <c r="BA705" i="76"/>
  <c r="BB705" i="76"/>
  <c r="BC705" i="76"/>
  <c r="BD705" i="76"/>
  <c r="BE705" i="76"/>
  <c r="BF705" i="76"/>
  <c r="BG705" i="76"/>
  <c r="BH705" i="76"/>
  <c r="BI705" i="76"/>
  <c r="BJ705" i="76"/>
  <c r="BK705" i="76"/>
  <c r="BM705" i="76"/>
  <c r="A706" i="76"/>
  <c r="B706" i="76"/>
  <c r="D706" i="76"/>
  <c r="G706" i="76"/>
  <c r="H706" i="76"/>
  <c r="J706" i="76"/>
  <c r="K706" i="76"/>
  <c r="L706" i="76"/>
  <c r="P706" i="76"/>
  <c r="R706" i="76"/>
  <c r="U706" i="76"/>
  <c r="V706" i="76"/>
  <c r="AE706" i="76"/>
  <c r="AJ706" i="76"/>
  <c r="AK706" i="76"/>
  <c r="AL706" i="76"/>
  <c r="AM706" i="76"/>
  <c r="AN706" i="76"/>
  <c r="AO706" i="76"/>
  <c r="AP706" i="76"/>
  <c r="AQ706" i="76"/>
  <c r="AR706" i="76"/>
  <c r="AS706" i="76"/>
  <c r="AT706" i="76"/>
  <c r="AU706" i="76"/>
  <c r="AV706" i="76"/>
  <c r="AW706" i="76"/>
  <c r="AX706" i="76"/>
  <c r="AY706" i="76"/>
  <c r="AZ706" i="76"/>
  <c r="BA706" i="76"/>
  <c r="BB706" i="76"/>
  <c r="BC706" i="76"/>
  <c r="BD706" i="76"/>
  <c r="BE706" i="76"/>
  <c r="BF706" i="76"/>
  <c r="BG706" i="76"/>
  <c r="BH706" i="76"/>
  <c r="BI706" i="76"/>
  <c r="BJ706" i="76"/>
  <c r="BK706" i="76"/>
  <c r="BM706" i="76"/>
  <c r="A707" i="76"/>
  <c r="B707" i="76"/>
  <c r="D707" i="76"/>
  <c r="G707" i="76"/>
  <c r="H707" i="76"/>
  <c r="J707" i="76"/>
  <c r="K707" i="76"/>
  <c r="L707" i="76"/>
  <c r="P707" i="76"/>
  <c r="R707" i="76"/>
  <c r="U707" i="76"/>
  <c r="V707" i="76"/>
  <c r="AE707" i="76"/>
  <c r="AJ707" i="76"/>
  <c r="AK707" i="76"/>
  <c r="AL707" i="76"/>
  <c r="AM707" i="76"/>
  <c r="AN707" i="76"/>
  <c r="AO707" i="76"/>
  <c r="AP707" i="76"/>
  <c r="AQ707" i="76"/>
  <c r="AR707" i="76"/>
  <c r="AS707" i="76"/>
  <c r="AT707" i="76"/>
  <c r="AU707" i="76"/>
  <c r="AV707" i="76"/>
  <c r="AW707" i="76"/>
  <c r="AX707" i="76"/>
  <c r="AY707" i="76"/>
  <c r="AZ707" i="76"/>
  <c r="BA707" i="76"/>
  <c r="BB707" i="76"/>
  <c r="BC707" i="76"/>
  <c r="BD707" i="76"/>
  <c r="BE707" i="76"/>
  <c r="BF707" i="76"/>
  <c r="BG707" i="76"/>
  <c r="BH707" i="76"/>
  <c r="BI707" i="76"/>
  <c r="BJ707" i="76"/>
  <c r="BK707" i="76"/>
  <c r="BM707" i="76"/>
  <c r="A708" i="76"/>
  <c r="B708" i="76"/>
  <c r="D708" i="76"/>
  <c r="G708" i="76"/>
  <c r="H708" i="76"/>
  <c r="J708" i="76"/>
  <c r="E708" i="76" s="1"/>
  <c r="K708" i="76"/>
  <c r="L708" i="76"/>
  <c r="P708" i="76"/>
  <c r="R708" i="76"/>
  <c r="U708" i="76"/>
  <c r="V708" i="76"/>
  <c r="AE708" i="76"/>
  <c r="AJ708" i="76"/>
  <c r="AK708" i="76"/>
  <c r="AL708" i="76"/>
  <c r="AM708" i="76"/>
  <c r="AN708" i="76"/>
  <c r="AO708" i="76"/>
  <c r="AP708" i="76"/>
  <c r="AQ708" i="76"/>
  <c r="AR708" i="76"/>
  <c r="AS708" i="76"/>
  <c r="AT708" i="76"/>
  <c r="AU708" i="76"/>
  <c r="AV708" i="76"/>
  <c r="AW708" i="76"/>
  <c r="AX708" i="76"/>
  <c r="AY708" i="76"/>
  <c r="AZ708" i="76"/>
  <c r="BA708" i="76"/>
  <c r="BB708" i="76"/>
  <c r="BC708" i="76"/>
  <c r="BD708" i="76"/>
  <c r="BE708" i="76"/>
  <c r="BF708" i="76"/>
  <c r="BG708" i="76"/>
  <c r="BH708" i="76"/>
  <c r="BI708" i="76"/>
  <c r="BJ708" i="76"/>
  <c r="BK708" i="76"/>
  <c r="BM708" i="76"/>
  <c r="A709" i="76"/>
  <c r="B709" i="76"/>
  <c r="D709" i="76"/>
  <c r="G709" i="76"/>
  <c r="H709" i="76"/>
  <c r="J709" i="76"/>
  <c r="K709" i="76"/>
  <c r="L709" i="76"/>
  <c r="P709" i="76"/>
  <c r="R709" i="76"/>
  <c r="U709" i="76"/>
  <c r="V709" i="76"/>
  <c r="AE709" i="76"/>
  <c r="AJ709" i="76"/>
  <c r="AK709" i="76"/>
  <c r="AL709" i="76"/>
  <c r="AM709" i="76"/>
  <c r="AN709" i="76"/>
  <c r="AO709" i="76"/>
  <c r="AP709" i="76"/>
  <c r="AQ709" i="76"/>
  <c r="AR709" i="76"/>
  <c r="AS709" i="76"/>
  <c r="AT709" i="76"/>
  <c r="AU709" i="76"/>
  <c r="AV709" i="76"/>
  <c r="AW709" i="76"/>
  <c r="AX709" i="76"/>
  <c r="AY709" i="76"/>
  <c r="AZ709" i="76"/>
  <c r="BA709" i="76"/>
  <c r="BB709" i="76"/>
  <c r="BC709" i="76"/>
  <c r="BD709" i="76"/>
  <c r="BE709" i="76"/>
  <c r="BF709" i="76"/>
  <c r="BG709" i="76"/>
  <c r="BH709" i="76"/>
  <c r="BI709" i="76"/>
  <c r="BJ709" i="76"/>
  <c r="BK709" i="76"/>
  <c r="BM709" i="76"/>
  <c r="A710" i="76"/>
  <c r="B710" i="76"/>
  <c r="D710" i="76"/>
  <c r="G710" i="76"/>
  <c r="H710" i="76"/>
  <c r="J710" i="76"/>
  <c r="F710" i="76" s="1"/>
  <c r="K710" i="76"/>
  <c r="L710" i="76"/>
  <c r="P710" i="76"/>
  <c r="R710" i="76"/>
  <c r="U710" i="76"/>
  <c r="V710" i="76"/>
  <c r="AE710" i="76"/>
  <c r="AJ710" i="76"/>
  <c r="AK710" i="76"/>
  <c r="AL710" i="76"/>
  <c r="AM710" i="76"/>
  <c r="AN710" i="76"/>
  <c r="AO710" i="76"/>
  <c r="AP710" i="76"/>
  <c r="AQ710" i="76"/>
  <c r="AR710" i="76"/>
  <c r="AS710" i="76"/>
  <c r="AT710" i="76"/>
  <c r="AU710" i="76"/>
  <c r="AV710" i="76"/>
  <c r="AW710" i="76"/>
  <c r="AX710" i="76"/>
  <c r="AY710" i="76"/>
  <c r="AZ710" i="76"/>
  <c r="BA710" i="76"/>
  <c r="BB710" i="76"/>
  <c r="BC710" i="76"/>
  <c r="BD710" i="76"/>
  <c r="BE710" i="76"/>
  <c r="BF710" i="76"/>
  <c r="BG710" i="76"/>
  <c r="BH710" i="76"/>
  <c r="BI710" i="76"/>
  <c r="BJ710" i="76"/>
  <c r="BK710" i="76"/>
  <c r="BM710" i="76"/>
  <c r="A711" i="76"/>
  <c r="B711" i="76"/>
  <c r="D711" i="76"/>
  <c r="G711" i="76"/>
  <c r="H711" i="76"/>
  <c r="J711" i="76"/>
  <c r="E711" i="76" s="1"/>
  <c r="K711" i="76"/>
  <c r="L711" i="76"/>
  <c r="P711" i="76"/>
  <c r="R711" i="76"/>
  <c r="U711" i="76"/>
  <c r="V711" i="76"/>
  <c r="AE711" i="76"/>
  <c r="AJ711" i="76"/>
  <c r="AK711" i="76"/>
  <c r="AL711" i="76"/>
  <c r="AM711" i="76"/>
  <c r="AN711" i="76"/>
  <c r="AO711" i="76"/>
  <c r="AP711" i="76"/>
  <c r="AQ711" i="76"/>
  <c r="AR711" i="76"/>
  <c r="AS711" i="76"/>
  <c r="AT711" i="76"/>
  <c r="AU711" i="76"/>
  <c r="AV711" i="76"/>
  <c r="AW711" i="76"/>
  <c r="AX711" i="76"/>
  <c r="AY711" i="76"/>
  <c r="AZ711" i="76"/>
  <c r="BA711" i="76"/>
  <c r="BB711" i="76"/>
  <c r="BC711" i="76"/>
  <c r="BD711" i="76"/>
  <c r="BE711" i="76"/>
  <c r="BF711" i="76"/>
  <c r="BG711" i="76"/>
  <c r="BH711" i="76"/>
  <c r="BI711" i="76"/>
  <c r="BJ711" i="76"/>
  <c r="BK711" i="76"/>
  <c r="BM711" i="76"/>
  <c r="A712" i="76"/>
  <c r="B712" i="76"/>
  <c r="D712" i="76"/>
  <c r="G712" i="76"/>
  <c r="H712" i="76"/>
  <c r="J712" i="76"/>
  <c r="K712" i="76"/>
  <c r="L712" i="76"/>
  <c r="P712" i="76"/>
  <c r="R712" i="76"/>
  <c r="U712" i="76"/>
  <c r="V712" i="76"/>
  <c r="AE712" i="76"/>
  <c r="AJ712" i="76"/>
  <c r="AK712" i="76"/>
  <c r="AL712" i="76"/>
  <c r="AM712" i="76"/>
  <c r="AN712" i="76"/>
  <c r="AO712" i="76"/>
  <c r="AP712" i="76"/>
  <c r="AQ712" i="76"/>
  <c r="AR712" i="76"/>
  <c r="AS712" i="76"/>
  <c r="AT712" i="76"/>
  <c r="AU712" i="76"/>
  <c r="AV712" i="76"/>
  <c r="AW712" i="76"/>
  <c r="AX712" i="76"/>
  <c r="AY712" i="76"/>
  <c r="AZ712" i="76"/>
  <c r="BA712" i="76"/>
  <c r="BB712" i="76"/>
  <c r="BC712" i="76"/>
  <c r="BD712" i="76"/>
  <c r="BE712" i="76"/>
  <c r="BF712" i="76"/>
  <c r="BG712" i="76"/>
  <c r="BH712" i="76"/>
  <c r="BI712" i="76"/>
  <c r="BJ712" i="76"/>
  <c r="BK712" i="76"/>
  <c r="BM712" i="76"/>
  <c r="A713" i="76"/>
  <c r="B713" i="76"/>
  <c r="D713" i="76"/>
  <c r="G713" i="76"/>
  <c r="H713" i="76"/>
  <c r="J713" i="76"/>
  <c r="F713" i="76" s="1"/>
  <c r="K713" i="76"/>
  <c r="L713" i="76"/>
  <c r="P713" i="76"/>
  <c r="R713" i="76"/>
  <c r="U713" i="76"/>
  <c r="V713" i="76"/>
  <c r="AE713" i="76"/>
  <c r="AJ713" i="76"/>
  <c r="AK713" i="76"/>
  <c r="AL713" i="76"/>
  <c r="AM713" i="76"/>
  <c r="AN713" i="76"/>
  <c r="AO713" i="76"/>
  <c r="AP713" i="76"/>
  <c r="AQ713" i="76"/>
  <c r="AR713" i="76"/>
  <c r="AS713" i="76"/>
  <c r="AT713" i="76"/>
  <c r="AU713" i="76"/>
  <c r="AV713" i="76"/>
  <c r="AW713" i="76"/>
  <c r="AX713" i="76"/>
  <c r="AY713" i="76"/>
  <c r="AZ713" i="76"/>
  <c r="BA713" i="76"/>
  <c r="BB713" i="76"/>
  <c r="BC713" i="76"/>
  <c r="BD713" i="76"/>
  <c r="BE713" i="76"/>
  <c r="BF713" i="76"/>
  <c r="BG713" i="76"/>
  <c r="BH713" i="76"/>
  <c r="BI713" i="76"/>
  <c r="BJ713" i="76"/>
  <c r="BK713" i="76"/>
  <c r="BM713" i="76"/>
  <c r="A714" i="76"/>
  <c r="B714" i="76"/>
  <c r="D714" i="76"/>
  <c r="G714" i="76"/>
  <c r="H714" i="76"/>
  <c r="J714" i="76"/>
  <c r="K714" i="76"/>
  <c r="L714" i="76"/>
  <c r="P714" i="76"/>
  <c r="R714" i="76"/>
  <c r="U714" i="76"/>
  <c r="V714" i="76"/>
  <c r="AE714" i="76"/>
  <c r="AJ714" i="76"/>
  <c r="AK714" i="76"/>
  <c r="AL714" i="76"/>
  <c r="AM714" i="76"/>
  <c r="AN714" i="76"/>
  <c r="AO714" i="76"/>
  <c r="AP714" i="76"/>
  <c r="AQ714" i="76"/>
  <c r="AR714" i="76"/>
  <c r="AS714" i="76"/>
  <c r="AT714" i="76"/>
  <c r="AU714" i="76"/>
  <c r="AV714" i="76"/>
  <c r="AW714" i="76"/>
  <c r="AX714" i="76"/>
  <c r="AY714" i="76"/>
  <c r="AZ714" i="76"/>
  <c r="BA714" i="76"/>
  <c r="BB714" i="76"/>
  <c r="BC714" i="76"/>
  <c r="BD714" i="76"/>
  <c r="BE714" i="76"/>
  <c r="BF714" i="76"/>
  <c r="BG714" i="76"/>
  <c r="BH714" i="76"/>
  <c r="BI714" i="76"/>
  <c r="BJ714" i="76"/>
  <c r="BK714" i="76"/>
  <c r="BM714" i="76"/>
  <c r="A715" i="76"/>
  <c r="B715" i="76"/>
  <c r="D715" i="76"/>
  <c r="G715" i="76"/>
  <c r="H715" i="76"/>
  <c r="J715" i="76"/>
  <c r="K715" i="76"/>
  <c r="L715" i="76"/>
  <c r="P715" i="76"/>
  <c r="R715" i="76"/>
  <c r="U715" i="76"/>
  <c r="V715" i="76"/>
  <c r="AE715" i="76"/>
  <c r="AJ715" i="76"/>
  <c r="AK715" i="76"/>
  <c r="AL715" i="76"/>
  <c r="AM715" i="76"/>
  <c r="AN715" i="76"/>
  <c r="AO715" i="76"/>
  <c r="AP715" i="76"/>
  <c r="AQ715" i="76"/>
  <c r="AR715" i="76"/>
  <c r="AS715" i="76"/>
  <c r="AT715" i="76"/>
  <c r="AU715" i="76"/>
  <c r="AV715" i="76"/>
  <c r="AW715" i="76"/>
  <c r="AX715" i="76"/>
  <c r="AY715" i="76"/>
  <c r="AZ715" i="76"/>
  <c r="BA715" i="76"/>
  <c r="BB715" i="76"/>
  <c r="BC715" i="76"/>
  <c r="BD715" i="76"/>
  <c r="BE715" i="76"/>
  <c r="BF715" i="76"/>
  <c r="BG715" i="76"/>
  <c r="BH715" i="76"/>
  <c r="BI715" i="76"/>
  <c r="BJ715" i="76"/>
  <c r="BK715" i="76"/>
  <c r="BM715" i="76"/>
  <c r="A716" i="76"/>
  <c r="B716" i="76"/>
  <c r="D716" i="76"/>
  <c r="G716" i="76"/>
  <c r="H716" i="76"/>
  <c r="J716" i="76"/>
  <c r="K716" i="76"/>
  <c r="L716" i="76"/>
  <c r="P716" i="76"/>
  <c r="R716" i="76"/>
  <c r="U716" i="76"/>
  <c r="V716" i="76"/>
  <c r="AE716" i="76"/>
  <c r="AJ716" i="76"/>
  <c r="AK716" i="76"/>
  <c r="AL716" i="76"/>
  <c r="AM716" i="76"/>
  <c r="AN716" i="76"/>
  <c r="AO716" i="76"/>
  <c r="AP716" i="76"/>
  <c r="AQ716" i="76"/>
  <c r="AR716" i="76"/>
  <c r="AS716" i="76"/>
  <c r="AT716" i="76"/>
  <c r="AU716" i="76"/>
  <c r="AV716" i="76"/>
  <c r="AW716" i="76"/>
  <c r="AX716" i="76"/>
  <c r="AY716" i="76"/>
  <c r="AZ716" i="76"/>
  <c r="BA716" i="76"/>
  <c r="BB716" i="76"/>
  <c r="BC716" i="76"/>
  <c r="BD716" i="76"/>
  <c r="BE716" i="76"/>
  <c r="BF716" i="76"/>
  <c r="BG716" i="76"/>
  <c r="BH716" i="76"/>
  <c r="BI716" i="76"/>
  <c r="BJ716" i="76"/>
  <c r="BK716" i="76"/>
  <c r="BM716" i="76"/>
  <c r="A717" i="76"/>
  <c r="B717" i="76"/>
  <c r="D717" i="76"/>
  <c r="G717" i="76"/>
  <c r="H717" i="76"/>
  <c r="J717" i="76"/>
  <c r="F717" i="76" s="1"/>
  <c r="K717" i="76"/>
  <c r="L717" i="76"/>
  <c r="P717" i="76"/>
  <c r="R717" i="76"/>
  <c r="U717" i="76"/>
  <c r="V717" i="76"/>
  <c r="AE717" i="76"/>
  <c r="AJ717" i="76"/>
  <c r="AK717" i="76"/>
  <c r="AL717" i="76"/>
  <c r="AM717" i="76"/>
  <c r="AN717" i="76"/>
  <c r="AO717" i="76"/>
  <c r="AP717" i="76"/>
  <c r="AQ717" i="76"/>
  <c r="AR717" i="76"/>
  <c r="AS717" i="76"/>
  <c r="AT717" i="76"/>
  <c r="AU717" i="76"/>
  <c r="AV717" i="76"/>
  <c r="AW717" i="76"/>
  <c r="AX717" i="76"/>
  <c r="AY717" i="76"/>
  <c r="AZ717" i="76"/>
  <c r="BA717" i="76"/>
  <c r="BB717" i="76"/>
  <c r="BC717" i="76"/>
  <c r="BD717" i="76"/>
  <c r="BE717" i="76"/>
  <c r="BF717" i="76"/>
  <c r="BG717" i="76"/>
  <c r="BH717" i="76"/>
  <c r="BI717" i="76"/>
  <c r="BJ717" i="76"/>
  <c r="BK717" i="76"/>
  <c r="BM717" i="76"/>
  <c r="A718" i="76"/>
  <c r="B718" i="76"/>
  <c r="D718" i="76"/>
  <c r="G718" i="76"/>
  <c r="H718" i="76"/>
  <c r="J718" i="76"/>
  <c r="K718" i="76"/>
  <c r="L718" i="76"/>
  <c r="P718" i="76"/>
  <c r="R718" i="76"/>
  <c r="U718" i="76"/>
  <c r="V718" i="76"/>
  <c r="AE718" i="76"/>
  <c r="AJ718" i="76"/>
  <c r="AK718" i="76"/>
  <c r="AL718" i="76"/>
  <c r="AM718" i="76"/>
  <c r="AN718" i="76"/>
  <c r="AO718" i="76"/>
  <c r="AP718" i="76"/>
  <c r="AQ718" i="76"/>
  <c r="AR718" i="76"/>
  <c r="AS718" i="76"/>
  <c r="AT718" i="76"/>
  <c r="AU718" i="76"/>
  <c r="AV718" i="76"/>
  <c r="AW718" i="76"/>
  <c r="AX718" i="76"/>
  <c r="AY718" i="76"/>
  <c r="AZ718" i="76"/>
  <c r="BA718" i="76"/>
  <c r="BB718" i="76"/>
  <c r="BC718" i="76"/>
  <c r="BD718" i="76"/>
  <c r="BE718" i="76"/>
  <c r="BF718" i="76"/>
  <c r="BG718" i="76"/>
  <c r="BH718" i="76"/>
  <c r="BI718" i="76"/>
  <c r="BJ718" i="76"/>
  <c r="BK718" i="76"/>
  <c r="BM718" i="76"/>
  <c r="A719" i="76"/>
  <c r="B719" i="76"/>
  <c r="D719" i="76"/>
  <c r="G719" i="76"/>
  <c r="H719" i="76"/>
  <c r="J719" i="76"/>
  <c r="K719" i="76"/>
  <c r="L719" i="76"/>
  <c r="P719" i="76"/>
  <c r="R719" i="76"/>
  <c r="U719" i="76"/>
  <c r="V719" i="76"/>
  <c r="AE719" i="76"/>
  <c r="AJ719" i="76"/>
  <c r="AK719" i="76"/>
  <c r="AL719" i="76"/>
  <c r="AM719" i="76"/>
  <c r="AN719" i="76"/>
  <c r="AO719" i="76"/>
  <c r="AP719" i="76"/>
  <c r="AQ719" i="76"/>
  <c r="AR719" i="76"/>
  <c r="AS719" i="76"/>
  <c r="AT719" i="76"/>
  <c r="AU719" i="76"/>
  <c r="AV719" i="76"/>
  <c r="AW719" i="76"/>
  <c r="AX719" i="76"/>
  <c r="AY719" i="76"/>
  <c r="AZ719" i="76"/>
  <c r="BA719" i="76"/>
  <c r="BB719" i="76"/>
  <c r="BC719" i="76"/>
  <c r="BD719" i="76"/>
  <c r="BE719" i="76"/>
  <c r="BF719" i="76"/>
  <c r="BG719" i="76"/>
  <c r="BH719" i="76"/>
  <c r="BI719" i="76"/>
  <c r="BJ719" i="76"/>
  <c r="BK719" i="76"/>
  <c r="BM719" i="76"/>
  <c r="A720" i="76"/>
  <c r="B720" i="76"/>
  <c r="D720" i="76"/>
  <c r="G720" i="76"/>
  <c r="H720" i="76"/>
  <c r="J720" i="76"/>
  <c r="F720" i="76" s="1"/>
  <c r="K720" i="76"/>
  <c r="L720" i="76"/>
  <c r="P720" i="76"/>
  <c r="R720" i="76"/>
  <c r="U720" i="76"/>
  <c r="V720" i="76"/>
  <c r="AE720" i="76"/>
  <c r="AJ720" i="76"/>
  <c r="AK720" i="76"/>
  <c r="AL720" i="76"/>
  <c r="AM720" i="76"/>
  <c r="AN720" i="76"/>
  <c r="AO720" i="76"/>
  <c r="AP720" i="76"/>
  <c r="AQ720" i="76"/>
  <c r="AR720" i="76"/>
  <c r="AS720" i="76"/>
  <c r="AT720" i="76"/>
  <c r="AU720" i="76"/>
  <c r="AV720" i="76"/>
  <c r="AW720" i="76"/>
  <c r="AX720" i="76"/>
  <c r="AY720" i="76"/>
  <c r="AZ720" i="76"/>
  <c r="BA720" i="76"/>
  <c r="BB720" i="76"/>
  <c r="BC720" i="76"/>
  <c r="BD720" i="76"/>
  <c r="BE720" i="76"/>
  <c r="BF720" i="76"/>
  <c r="BG720" i="76"/>
  <c r="BH720" i="76"/>
  <c r="BI720" i="76"/>
  <c r="BJ720" i="76"/>
  <c r="BK720" i="76"/>
  <c r="BM720" i="76"/>
  <c r="A721" i="76"/>
  <c r="B721" i="76"/>
  <c r="D721" i="76"/>
  <c r="G721" i="76"/>
  <c r="H721" i="76"/>
  <c r="J721" i="76"/>
  <c r="K721" i="76"/>
  <c r="L721" i="76"/>
  <c r="P721" i="76"/>
  <c r="R721" i="76"/>
  <c r="U721" i="76"/>
  <c r="V721" i="76"/>
  <c r="AE721" i="76"/>
  <c r="AJ721" i="76"/>
  <c r="AK721" i="76"/>
  <c r="AL721" i="76"/>
  <c r="AM721" i="76"/>
  <c r="AN721" i="76"/>
  <c r="AO721" i="76"/>
  <c r="AP721" i="76"/>
  <c r="AQ721" i="76"/>
  <c r="AR721" i="76"/>
  <c r="AS721" i="76"/>
  <c r="AT721" i="76"/>
  <c r="AU721" i="76"/>
  <c r="AV721" i="76"/>
  <c r="AW721" i="76"/>
  <c r="AX721" i="76"/>
  <c r="AY721" i="76"/>
  <c r="AZ721" i="76"/>
  <c r="BA721" i="76"/>
  <c r="BB721" i="76"/>
  <c r="BC721" i="76"/>
  <c r="BD721" i="76"/>
  <c r="BE721" i="76"/>
  <c r="BF721" i="76"/>
  <c r="BG721" i="76"/>
  <c r="BH721" i="76"/>
  <c r="BI721" i="76"/>
  <c r="BJ721" i="76"/>
  <c r="BK721" i="76"/>
  <c r="BM721" i="76"/>
  <c r="A722" i="76"/>
  <c r="B722" i="76"/>
  <c r="D722" i="76"/>
  <c r="G722" i="76"/>
  <c r="H722" i="76"/>
  <c r="J722" i="76"/>
  <c r="F722" i="76" s="1"/>
  <c r="K722" i="76"/>
  <c r="L722" i="76"/>
  <c r="P722" i="76"/>
  <c r="R722" i="76"/>
  <c r="U722" i="76"/>
  <c r="V722" i="76"/>
  <c r="AE722" i="76"/>
  <c r="AJ722" i="76"/>
  <c r="AK722" i="76"/>
  <c r="AL722" i="76"/>
  <c r="AM722" i="76"/>
  <c r="AN722" i="76"/>
  <c r="AO722" i="76"/>
  <c r="AP722" i="76"/>
  <c r="AQ722" i="76"/>
  <c r="AR722" i="76"/>
  <c r="AS722" i="76"/>
  <c r="AT722" i="76"/>
  <c r="AU722" i="76"/>
  <c r="AV722" i="76"/>
  <c r="AW722" i="76"/>
  <c r="AX722" i="76"/>
  <c r="AY722" i="76"/>
  <c r="AZ722" i="76"/>
  <c r="BA722" i="76"/>
  <c r="BB722" i="76"/>
  <c r="BC722" i="76"/>
  <c r="BD722" i="76"/>
  <c r="BE722" i="76"/>
  <c r="BF722" i="76"/>
  <c r="BG722" i="76"/>
  <c r="BH722" i="76"/>
  <c r="BI722" i="76"/>
  <c r="BJ722" i="76"/>
  <c r="BK722" i="76"/>
  <c r="BM722" i="76"/>
  <c r="A723" i="76"/>
  <c r="B723" i="76"/>
  <c r="D723" i="76"/>
  <c r="G723" i="76"/>
  <c r="H723" i="76"/>
  <c r="J723" i="76"/>
  <c r="E723" i="76" s="1"/>
  <c r="K723" i="76"/>
  <c r="L723" i="76"/>
  <c r="P723" i="76"/>
  <c r="R723" i="76"/>
  <c r="U723" i="76"/>
  <c r="V723" i="76"/>
  <c r="AE723" i="76"/>
  <c r="AJ723" i="76"/>
  <c r="AK723" i="76"/>
  <c r="AL723" i="76"/>
  <c r="AM723" i="76"/>
  <c r="AN723" i="76"/>
  <c r="AO723" i="76"/>
  <c r="AP723" i="76"/>
  <c r="AQ723" i="76"/>
  <c r="AR723" i="76"/>
  <c r="AS723" i="76"/>
  <c r="AT723" i="76"/>
  <c r="AU723" i="76"/>
  <c r="AV723" i="76"/>
  <c r="AW723" i="76"/>
  <c r="AX723" i="76"/>
  <c r="AY723" i="76"/>
  <c r="AZ723" i="76"/>
  <c r="BA723" i="76"/>
  <c r="BB723" i="76"/>
  <c r="BC723" i="76"/>
  <c r="BD723" i="76"/>
  <c r="BE723" i="76"/>
  <c r="BF723" i="76"/>
  <c r="BG723" i="76"/>
  <c r="BH723" i="76"/>
  <c r="BI723" i="76"/>
  <c r="BJ723" i="76"/>
  <c r="BK723" i="76"/>
  <c r="BM723" i="76"/>
  <c r="A724" i="76"/>
  <c r="B724" i="76"/>
  <c r="D724" i="76"/>
  <c r="G724" i="76"/>
  <c r="H724" i="76"/>
  <c r="J724" i="76"/>
  <c r="K724" i="76"/>
  <c r="L724" i="76"/>
  <c r="P724" i="76"/>
  <c r="R724" i="76"/>
  <c r="U724" i="76"/>
  <c r="V724" i="76"/>
  <c r="AE724" i="76"/>
  <c r="AJ724" i="76"/>
  <c r="AK724" i="76"/>
  <c r="AL724" i="76"/>
  <c r="AM724" i="76"/>
  <c r="AN724" i="76"/>
  <c r="AO724" i="76"/>
  <c r="AP724" i="76"/>
  <c r="AQ724" i="76"/>
  <c r="AR724" i="76"/>
  <c r="AS724" i="76"/>
  <c r="AT724" i="76"/>
  <c r="AU724" i="76"/>
  <c r="AV724" i="76"/>
  <c r="AW724" i="76"/>
  <c r="AX724" i="76"/>
  <c r="AY724" i="76"/>
  <c r="AZ724" i="76"/>
  <c r="BA724" i="76"/>
  <c r="BB724" i="76"/>
  <c r="BC724" i="76"/>
  <c r="BD724" i="76"/>
  <c r="BE724" i="76"/>
  <c r="BF724" i="76"/>
  <c r="BG724" i="76"/>
  <c r="BH724" i="76"/>
  <c r="BI724" i="76"/>
  <c r="BJ724" i="76"/>
  <c r="BK724" i="76"/>
  <c r="BM724" i="76"/>
  <c r="A725" i="76"/>
  <c r="B725" i="76"/>
  <c r="D725" i="76"/>
  <c r="G725" i="76"/>
  <c r="H725" i="76"/>
  <c r="J725" i="76"/>
  <c r="E725" i="76" s="1"/>
  <c r="K725" i="76"/>
  <c r="L725" i="76"/>
  <c r="P725" i="76"/>
  <c r="R725" i="76"/>
  <c r="U725" i="76"/>
  <c r="V725" i="76"/>
  <c r="AE725" i="76"/>
  <c r="AJ725" i="76"/>
  <c r="AK725" i="76"/>
  <c r="AL725" i="76"/>
  <c r="AM725" i="76"/>
  <c r="AN725" i="76"/>
  <c r="AO725" i="76"/>
  <c r="AP725" i="76"/>
  <c r="AQ725" i="76"/>
  <c r="AR725" i="76"/>
  <c r="AS725" i="76"/>
  <c r="AT725" i="76"/>
  <c r="AU725" i="76"/>
  <c r="AV725" i="76"/>
  <c r="AW725" i="76"/>
  <c r="AX725" i="76"/>
  <c r="AY725" i="76"/>
  <c r="AZ725" i="76"/>
  <c r="BA725" i="76"/>
  <c r="BB725" i="76"/>
  <c r="BC725" i="76"/>
  <c r="BD725" i="76"/>
  <c r="BE725" i="76"/>
  <c r="BF725" i="76"/>
  <c r="BG725" i="76"/>
  <c r="BH725" i="76"/>
  <c r="BI725" i="76"/>
  <c r="BJ725" i="76"/>
  <c r="BK725" i="76"/>
  <c r="BM725" i="76"/>
  <c r="A726" i="76"/>
  <c r="B726" i="76"/>
  <c r="D726" i="76"/>
  <c r="G726" i="76"/>
  <c r="H726" i="76"/>
  <c r="J726" i="76"/>
  <c r="E726" i="76" s="1"/>
  <c r="K726" i="76"/>
  <c r="L726" i="76"/>
  <c r="P726" i="76"/>
  <c r="R726" i="76"/>
  <c r="U726" i="76"/>
  <c r="V726" i="76"/>
  <c r="AE726" i="76"/>
  <c r="AJ726" i="76"/>
  <c r="AK726" i="76"/>
  <c r="AL726" i="76"/>
  <c r="AM726" i="76"/>
  <c r="AN726" i="76"/>
  <c r="AO726" i="76"/>
  <c r="AP726" i="76"/>
  <c r="AQ726" i="76"/>
  <c r="AR726" i="76"/>
  <c r="AS726" i="76"/>
  <c r="AT726" i="76"/>
  <c r="AU726" i="76"/>
  <c r="AV726" i="76"/>
  <c r="AW726" i="76"/>
  <c r="AX726" i="76"/>
  <c r="AY726" i="76"/>
  <c r="AZ726" i="76"/>
  <c r="BA726" i="76"/>
  <c r="BB726" i="76"/>
  <c r="BC726" i="76"/>
  <c r="BD726" i="76"/>
  <c r="BE726" i="76"/>
  <c r="BF726" i="76"/>
  <c r="BG726" i="76"/>
  <c r="BH726" i="76"/>
  <c r="BI726" i="76"/>
  <c r="BJ726" i="76"/>
  <c r="BK726" i="76"/>
  <c r="BM726" i="76"/>
  <c r="A727" i="76"/>
  <c r="B727" i="76"/>
  <c r="D727" i="76"/>
  <c r="G727" i="76"/>
  <c r="H727" i="76"/>
  <c r="J727" i="76"/>
  <c r="K727" i="76"/>
  <c r="L727" i="76"/>
  <c r="P727" i="76"/>
  <c r="R727" i="76"/>
  <c r="U727" i="76"/>
  <c r="V727" i="76"/>
  <c r="AE727" i="76"/>
  <c r="AJ727" i="76"/>
  <c r="AK727" i="76"/>
  <c r="AL727" i="76"/>
  <c r="AM727" i="76"/>
  <c r="AN727" i="76"/>
  <c r="AO727" i="76"/>
  <c r="AP727" i="76"/>
  <c r="AQ727" i="76"/>
  <c r="AR727" i="76"/>
  <c r="AS727" i="76"/>
  <c r="AT727" i="76"/>
  <c r="AU727" i="76"/>
  <c r="AV727" i="76"/>
  <c r="AW727" i="76"/>
  <c r="AX727" i="76"/>
  <c r="AY727" i="76"/>
  <c r="AZ727" i="76"/>
  <c r="BA727" i="76"/>
  <c r="BB727" i="76"/>
  <c r="BC727" i="76"/>
  <c r="BD727" i="76"/>
  <c r="BE727" i="76"/>
  <c r="BF727" i="76"/>
  <c r="BG727" i="76"/>
  <c r="BH727" i="76"/>
  <c r="BI727" i="76"/>
  <c r="BJ727" i="76"/>
  <c r="BK727" i="76"/>
  <c r="BM727" i="76"/>
  <c r="A728" i="76"/>
  <c r="B728" i="76"/>
  <c r="D728" i="76"/>
  <c r="G728" i="76"/>
  <c r="H728" i="76"/>
  <c r="J728" i="76"/>
  <c r="K728" i="76"/>
  <c r="L728" i="76"/>
  <c r="P728" i="76"/>
  <c r="R728" i="76"/>
  <c r="U728" i="76"/>
  <c r="V728" i="76"/>
  <c r="AE728" i="76"/>
  <c r="AJ728" i="76"/>
  <c r="AK728" i="76"/>
  <c r="AL728" i="76"/>
  <c r="AM728" i="76"/>
  <c r="AN728" i="76"/>
  <c r="AO728" i="76"/>
  <c r="AP728" i="76"/>
  <c r="AQ728" i="76"/>
  <c r="AR728" i="76"/>
  <c r="AS728" i="76"/>
  <c r="AT728" i="76"/>
  <c r="AU728" i="76"/>
  <c r="AV728" i="76"/>
  <c r="AW728" i="76"/>
  <c r="AX728" i="76"/>
  <c r="AY728" i="76"/>
  <c r="AZ728" i="76"/>
  <c r="BA728" i="76"/>
  <c r="BB728" i="76"/>
  <c r="BC728" i="76"/>
  <c r="BD728" i="76"/>
  <c r="BE728" i="76"/>
  <c r="BF728" i="76"/>
  <c r="BG728" i="76"/>
  <c r="BH728" i="76"/>
  <c r="BI728" i="76"/>
  <c r="BJ728" i="76"/>
  <c r="BK728" i="76"/>
  <c r="BM728" i="76"/>
  <c r="A729" i="76"/>
  <c r="B729" i="76"/>
  <c r="D729" i="76"/>
  <c r="G729" i="76"/>
  <c r="H729" i="76"/>
  <c r="J729" i="76"/>
  <c r="E729" i="76" s="1"/>
  <c r="K729" i="76"/>
  <c r="L729" i="76"/>
  <c r="P729" i="76"/>
  <c r="R729" i="76"/>
  <c r="U729" i="76"/>
  <c r="V729" i="76"/>
  <c r="AE729" i="76"/>
  <c r="AJ729" i="76"/>
  <c r="AK729" i="76"/>
  <c r="AL729" i="76"/>
  <c r="AM729" i="76"/>
  <c r="AN729" i="76"/>
  <c r="AO729" i="76"/>
  <c r="AP729" i="76"/>
  <c r="AQ729" i="76"/>
  <c r="AR729" i="76"/>
  <c r="AS729" i="76"/>
  <c r="AT729" i="76"/>
  <c r="AU729" i="76"/>
  <c r="AV729" i="76"/>
  <c r="AW729" i="76"/>
  <c r="AX729" i="76"/>
  <c r="AY729" i="76"/>
  <c r="AZ729" i="76"/>
  <c r="BA729" i="76"/>
  <c r="BB729" i="76"/>
  <c r="BC729" i="76"/>
  <c r="BD729" i="76"/>
  <c r="BE729" i="76"/>
  <c r="BF729" i="76"/>
  <c r="BG729" i="76"/>
  <c r="BH729" i="76"/>
  <c r="BI729" i="76"/>
  <c r="BJ729" i="76"/>
  <c r="BK729" i="76"/>
  <c r="BM729" i="76"/>
  <c r="A730" i="76"/>
  <c r="B730" i="76"/>
  <c r="D730" i="76"/>
  <c r="G730" i="76"/>
  <c r="H730" i="76"/>
  <c r="J730" i="76"/>
  <c r="K730" i="76"/>
  <c r="L730" i="76"/>
  <c r="P730" i="76"/>
  <c r="R730" i="76"/>
  <c r="U730" i="76"/>
  <c r="V730" i="76"/>
  <c r="AE730" i="76"/>
  <c r="AJ730" i="76"/>
  <c r="AK730" i="76"/>
  <c r="AL730" i="76"/>
  <c r="AM730" i="76"/>
  <c r="AN730" i="76"/>
  <c r="AO730" i="76"/>
  <c r="AP730" i="76"/>
  <c r="AQ730" i="76"/>
  <c r="AR730" i="76"/>
  <c r="AS730" i="76"/>
  <c r="AT730" i="76"/>
  <c r="AU730" i="76"/>
  <c r="AV730" i="76"/>
  <c r="AW730" i="76"/>
  <c r="AX730" i="76"/>
  <c r="AY730" i="76"/>
  <c r="AZ730" i="76"/>
  <c r="BA730" i="76"/>
  <c r="BB730" i="76"/>
  <c r="BC730" i="76"/>
  <c r="BD730" i="76"/>
  <c r="BE730" i="76"/>
  <c r="BF730" i="76"/>
  <c r="BG730" i="76"/>
  <c r="BH730" i="76"/>
  <c r="BI730" i="76"/>
  <c r="BJ730" i="76"/>
  <c r="BK730" i="76"/>
  <c r="BM730" i="76"/>
  <c r="A731" i="76"/>
  <c r="B731" i="76"/>
  <c r="D731" i="76"/>
  <c r="G731" i="76"/>
  <c r="H731" i="76"/>
  <c r="J731" i="76"/>
  <c r="F731" i="76" s="1"/>
  <c r="K731" i="76"/>
  <c r="L731" i="76"/>
  <c r="P731" i="76"/>
  <c r="R731" i="76"/>
  <c r="U731" i="76"/>
  <c r="V731" i="76"/>
  <c r="AE731" i="76"/>
  <c r="AJ731" i="76"/>
  <c r="AK731" i="76"/>
  <c r="AL731" i="76"/>
  <c r="AM731" i="76"/>
  <c r="AN731" i="76"/>
  <c r="AO731" i="76"/>
  <c r="AP731" i="76"/>
  <c r="AQ731" i="76"/>
  <c r="AR731" i="76"/>
  <c r="AS731" i="76"/>
  <c r="AT731" i="76"/>
  <c r="AU731" i="76"/>
  <c r="AV731" i="76"/>
  <c r="AW731" i="76"/>
  <c r="AX731" i="76"/>
  <c r="AY731" i="76"/>
  <c r="AZ731" i="76"/>
  <c r="BA731" i="76"/>
  <c r="BB731" i="76"/>
  <c r="BC731" i="76"/>
  <c r="BD731" i="76"/>
  <c r="BE731" i="76"/>
  <c r="BF731" i="76"/>
  <c r="BG731" i="76"/>
  <c r="BH731" i="76"/>
  <c r="BI731" i="76"/>
  <c r="BJ731" i="76"/>
  <c r="BK731" i="76"/>
  <c r="BM731" i="76"/>
  <c r="A732" i="76"/>
  <c r="B732" i="76"/>
  <c r="D732" i="76"/>
  <c r="G732" i="76"/>
  <c r="H732" i="76"/>
  <c r="J732" i="76"/>
  <c r="E732" i="76" s="1"/>
  <c r="K732" i="76"/>
  <c r="L732" i="76"/>
  <c r="P732" i="76"/>
  <c r="R732" i="76"/>
  <c r="U732" i="76"/>
  <c r="V732" i="76"/>
  <c r="AE732" i="76"/>
  <c r="AJ732" i="76"/>
  <c r="AK732" i="76"/>
  <c r="AL732" i="76"/>
  <c r="AM732" i="76"/>
  <c r="AN732" i="76"/>
  <c r="AO732" i="76"/>
  <c r="AP732" i="76"/>
  <c r="AQ732" i="76"/>
  <c r="AR732" i="76"/>
  <c r="AS732" i="76"/>
  <c r="AT732" i="76"/>
  <c r="AU732" i="76"/>
  <c r="AV732" i="76"/>
  <c r="AW732" i="76"/>
  <c r="AX732" i="76"/>
  <c r="AY732" i="76"/>
  <c r="AZ732" i="76"/>
  <c r="BA732" i="76"/>
  <c r="BB732" i="76"/>
  <c r="BC732" i="76"/>
  <c r="BD732" i="76"/>
  <c r="BE732" i="76"/>
  <c r="BF732" i="76"/>
  <c r="BG732" i="76"/>
  <c r="BH732" i="76"/>
  <c r="BI732" i="76"/>
  <c r="BJ732" i="76"/>
  <c r="BK732" i="76"/>
  <c r="BM732" i="76"/>
  <c r="A733" i="76"/>
  <c r="B733" i="76"/>
  <c r="D733" i="76"/>
  <c r="G733" i="76"/>
  <c r="H733" i="76"/>
  <c r="J733" i="76"/>
  <c r="K733" i="76"/>
  <c r="L733" i="76"/>
  <c r="P733" i="76"/>
  <c r="R733" i="76"/>
  <c r="U733" i="76"/>
  <c r="V733" i="76"/>
  <c r="AE733" i="76"/>
  <c r="AJ733" i="76"/>
  <c r="AK733" i="76"/>
  <c r="AL733" i="76"/>
  <c r="AM733" i="76"/>
  <c r="AN733" i="76"/>
  <c r="AO733" i="76"/>
  <c r="AP733" i="76"/>
  <c r="AQ733" i="76"/>
  <c r="AR733" i="76"/>
  <c r="AS733" i="76"/>
  <c r="AT733" i="76"/>
  <c r="AU733" i="76"/>
  <c r="AV733" i="76"/>
  <c r="AW733" i="76"/>
  <c r="AX733" i="76"/>
  <c r="AY733" i="76"/>
  <c r="AZ733" i="76"/>
  <c r="BA733" i="76"/>
  <c r="BB733" i="76"/>
  <c r="BC733" i="76"/>
  <c r="BD733" i="76"/>
  <c r="BE733" i="76"/>
  <c r="BF733" i="76"/>
  <c r="BG733" i="76"/>
  <c r="BH733" i="76"/>
  <c r="BI733" i="76"/>
  <c r="BJ733" i="76"/>
  <c r="BK733" i="76"/>
  <c r="BM733" i="76"/>
  <c r="A734" i="76"/>
  <c r="B734" i="76"/>
  <c r="D734" i="76"/>
  <c r="G734" i="76"/>
  <c r="H734" i="76"/>
  <c r="J734" i="76"/>
  <c r="E734" i="76" s="1"/>
  <c r="K734" i="76"/>
  <c r="L734" i="76"/>
  <c r="P734" i="76"/>
  <c r="R734" i="76"/>
  <c r="U734" i="76"/>
  <c r="V734" i="76"/>
  <c r="AE734" i="76"/>
  <c r="AJ734" i="76"/>
  <c r="AK734" i="76"/>
  <c r="AL734" i="76"/>
  <c r="AM734" i="76"/>
  <c r="AN734" i="76"/>
  <c r="AO734" i="76"/>
  <c r="AP734" i="76"/>
  <c r="AQ734" i="76"/>
  <c r="AR734" i="76"/>
  <c r="AS734" i="76"/>
  <c r="AT734" i="76"/>
  <c r="AU734" i="76"/>
  <c r="AV734" i="76"/>
  <c r="AW734" i="76"/>
  <c r="AX734" i="76"/>
  <c r="AY734" i="76"/>
  <c r="AZ734" i="76"/>
  <c r="BA734" i="76"/>
  <c r="BB734" i="76"/>
  <c r="BC734" i="76"/>
  <c r="BD734" i="76"/>
  <c r="BE734" i="76"/>
  <c r="BF734" i="76"/>
  <c r="BG734" i="76"/>
  <c r="BH734" i="76"/>
  <c r="BI734" i="76"/>
  <c r="BJ734" i="76"/>
  <c r="BK734" i="76"/>
  <c r="BM734" i="76"/>
  <c r="A735" i="76"/>
  <c r="B735" i="76"/>
  <c r="D735" i="76"/>
  <c r="G735" i="76"/>
  <c r="H735" i="76"/>
  <c r="J735" i="76"/>
  <c r="K735" i="76"/>
  <c r="L735" i="76"/>
  <c r="P735" i="76"/>
  <c r="R735" i="76"/>
  <c r="U735" i="76"/>
  <c r="V735" i="76"/>
  <c r="AE735" i="76"/>
  <c r="AJ735" i="76"/>
  <c r="AK735" i="76"/>
  <c r="AL735" i="76"/>
  <c r="AM735" i="76"/>
  <c r="AN735" i="76"/>
  <c r="AO735" i="76"/>
  <c r="AP735" i="76"/>
  <c r="AQ735" i="76"/>
  <c r="AR735" i="76"/>
  <c r="AS735" i="76"/>
  <c r="AT735" i="76"/>
  <c r="AU735" i="76"/>
  <c r="AV735" i="76"/>
  <c r="AW735" i="76"/>
  <c r="AX735" i="76"/>
  <c r="AY735" i="76"/>
  <c r="AZ735" i="76"/>
  <c r="BA735" i="76"/>
  <c r="BB735" i="76"/>
  <c r="BC735" i="76"/>
  <c r="BD735" i="76"/>
  <c r="BE735" i="76"/>
  <c r="BF735" i="76"/>
  <c r="BG735" i="76"/>
  <c r="BH735" i="76"/>
  <c r="BI735" i="76"/>
  <c r="BJ735" i="76"/>
  <c r="BK735" i="76"/>
  <c r="BM735" i="76"/>
  <c r="A736" i="76"/>
  <c r="B736" i="76"/>
  <c r="D736" i="76"/>
  <c r="G736" i="76"/>
  <c r="H736" i="76"/>
  <c r="J736" i="76"/>
  <c r="K736" i="76"/>
  <c r="L736" i="76"/>
  <c r="P736" i="76"/>
  <c r="R736" i="76"/>
  <c r="U736" i="76"/>
  <c r="V736" i="76"/>
  <c r="AE736" i="76"/>
  <c r="AJ736" i="76"/>
  <c r="AK736" i="76"/>
  <c r="AL736" i="76"/>
  <c r="AM736" i="76"/>
  <c r="AN736" i="76"/>
  <c r="AO736" i="76"/>
  <c r="AP736" i="76"/>
  <c r="AQ736" i="76"/>
  <c r="AR736" i="76"/>
  <c r="AS736" i="76"/>
  <c r="AT736" i="76"/>
  <c r="AU736" i="76"/>
  <c r="AV736" i="76"/>
  <c r="AW736" i="76"/>
  <c r="AX736" i="76"/>
  <c r="AY736" i="76"/>
  <c r="AZ736" i="76"/>
  <c r="BA736" i="76"/>
  <c r="BB736" i="76"/>
  <c r="BC736" i="76"/>
  <c r="BD736" i="76"/>
  <c r="BE736" i="76"/>
  <c r="BF736" i="76"/>
  <c r="BG736" i="76"/>
  <c r="BH736" i="76"/>
  <c r="BI736" i="76"/>
  <c r="BJ736" i="76"/>
  <c r="BK736" i="76"/>
  <c r="BM736" i="76"/>
  <c r="A737" i="76"/>
  <c r="B737" i="76"/>
  <c r="D737" i="76"/>
  <c r="G737" i="76"/>
  <c r="H737" i="76"/>
  <c r="J737" i="76"/>
  <c r="E737" i="76" s="1"/>
  <c r="K737" i="76"/>
  <c r="L737" i="76"/>
  <c r="P737" i="76"/>
  <c r="R737" i="76"/>
  <c r="U737" i="76"/>
  <c r="V737" i="76"/>
  <c r="AE737" i="76"/>
  <c r="AJ737" i="76"/>
  <c r="AK737" i="76"/>
  <c r="AL737" i="76"/>
  <c r="AM737" i="76"/>
  <c r="AN737" i="76"/>
  <c r="AO737" i="76"/>
  <c r="AP737" i="76"/>
  <c r="AQ737" i="76"/>
  <c r="AR737" i="76"/>
  <c r="AS737" i="76"/>
  <c r="AT737" i="76"/>
  <c r="AU737" i="76"/>
  <c r="AV737" i="76"/>
  <c r="AW737" i="76"/>
  <c r="AX737" i="76"/>
  <c r="AY737" i="76"/>
  <c r="AZ737" i="76"/>
  <c r="BA737" i="76"/>
  <c r="BB737" i="76"/>
  <c r="BC737" i="76"/>
  <c r="BD737" i="76"/>
  <c r="BE737" i="76"/>
  <c r="BF737" i="76"/>
  <c r="BG737" i="76"/>
  <c r="BH737" i="76"/>
  <c r="BI737" i="76"/>
  <c r="BJ737" i="76"/>
  <c r="BK737" i="76"/>
  <c r="BM737" i="76"/>
  <c r="A738" i="76"/>
  <c r="B738" i="76"/>
  <c r="D738" i="76"/>
  <c r="G738" i="76"/>
  <c r="H738" i="76"/>
  <c r="J738" i="76"/>
  <c r="E738" i="76" s="1"/>
  <c r="K738" i="76"/>
  <c r="L738" i="76"/>
  <c r="P738" i="76"/>
  <c r="R738" i="76"/>
  <c r="U738" i="76"/>
  <c r="V738" i="76"/>
  <c r="AE738" i="76"/>
  <c r="AJ738" i="76"/>
  <c r="AK738" i="76"/>
  <c r="AL738" i="76"/>
  <c r="AM738" i="76"/>
  <c r="AN738" i="76"/>
  <c r="AO738" i="76"/>
  <c r="AP738" i="76"/>
  <c r="AQ738" i="76"/>
  <c r="AR738" i="76"/>
  <c r="AS738" i="76"/>
  <c r="AT738" i="76"/>
  <c r="AU738" i="76"/>
  <c r="AV738" i="76"/>
  <c r="AW738" i="76"/>
  <c r="AX738" i="76"/>
  <c r="AY738" i="76"/>
  <c r="AZ738" i="76"/>
  <c r="BA738" i="76"/>
  <c r="BB738" i="76"/>
  <c r="BC738" i="76"/>
  <c r="BD738" i="76"/>
  <c r="BE738" i="76"/>
  <c r="BF738" i="76"/>
  <c r="BG738" i="76"/>
  <c r="BH738" i="76"/>
  <c r="BI738" i="76"/>
  <c r="BJ738" i="76"/>
  <c r="BK738" i="76"/>
  <c r="BM738" i="76"/>
  <c r="A739" i="76"/>
  <c r="B739" i="76"/>
  <c r="D739" i="76"/>
  <c r="G739" i="76"/>
  <c r="H739" i="76"/>
  <c r="J739" i="76"/>
  <c r="K739" i="76"/>
  <c r="L739" i="76"/>
  <c r="P739" i="76"/>
  <c r="R739" i="76"/>
  <c r="U739" i="76"/>
  <c r="V739" i="76"/>
  <c r="AE739" i="76"/>
  <c r="AJ739" i="76"/>
  <c r="AK739" i="76"/>
  <c r="AL739" i="76"/>
  <c r="AM739" i="76"/>
  <c r="AN739" i="76"/>
  <c r="AO739" i="76"/>
  <c r="AP739" i="76"/>
  <c r="AQ739" i="76"/>
  <c r="AR739" i="76"/>
  <c r="AS739" i="76"/>
  <c r="AT739" i="76"/>
  <c r="AU739" i="76"/>
  <c r="AV739" i="76"/>
  <c r="AW739" i="76"/>
  <c r="AX739" i="76"/>
  <c r="AY739" i="76"/>
  <c r="AZ739" i="76"/>
  <c r="BA739" i="76"/>
  <c r="BB739" i="76"/>
  <c r="BC739" i="76"/>
  <c r="BD739" i="76"/>
  <c r="BE739" i="76"/>
  <c r="BF739" i="76"/>
  <c r="BG739" i="76"/>
  <c r="BH739" i="76"/>
  <c r="BI739" i="76"/>
  <c r="BJ739" i="76"/>
  <c r="BK739" i="76"/>
  <c r="BM739" i="76"/>
  <c r="A740" i="76"/>
  <c r="B740" i="76"/>
  <c r="D740" i="76"/>
  <c r="G740" i="76"/>
  <c r="H740" i="76"/>
  <c r="J740" i="76"/>
  <c r="K740" i="76"/>
  <c r="L740" i="76"/>
  <c r="P740" i="76"/>
  <c r="R740" i="76"/>
  <c r="U740" i="76"/>
  <c r="V740" i="76"/>
  <c r="AE740" i="76"/>
  <c r="AJ740" i="76"/>
  <c r="AK740" i="76"/>
  <c r="AL740" i="76"/>
  <c r="AM740" i="76"/>
  <c r="AN740" i="76"/>
  <c r="AO740" i="76"/>
  <c r="AP740" i="76"/>
  <c r="AQ740" i="76"/>
  <c r="AR740" i="76"/>
  <c r="AS740" i="76"/>
  <c r="AT740" i="76"/>
  <c r="AU740" i="76"/>
  <c r="AV740" i="76"/>
  <c r="AW740" i="76"/>
  <c r="AX740" i="76"/>
  <c r="AY740" i="76"/>
  <c r="AZ740" i="76"/>
  <c r="BA740" i="76"/>
  <c r="BB740" i="76"/>
  <c r="BC740" i="76"/>
  <c r="BD740" i="76"/>
  <c r="BE740" i="76"/>
  <c r="BF740" i="76"/>
  <c r="BG740" i="76"/>
  <c r="BH740" i="76"/>
  <c r="BI740" i="76"/>
  <c r="BJ740" i="76"/>
  <c r="BK740" i="76"/>
  <c r="BM740" i="76"/>
  <c r="A741" i="76"/>
  <c r="B741" i="76"/>
  <c r="D741" i="76"/>
  <c r="G741" i="76"/>
  <c r="H741" i="76"/>
  <c r="J741" i="76"/>
  <c r="E741" i="76" s="1"/>
  <c r="K741" i="76"/>
  <c r="L741" i="76"/>
  <c r="P741" i="76"/>
  <c r="R741" i="76"/>
  <c r="U741" i="76"/>
  <c r="V741" i="76"/>
  <c r="AE741" i="76"/>
  <c r="AJ741" i="76"/>
  <c r="AK741" i="76"/>
  <c r="AL741" i="76"/>
  <c r="AM741" i="76"/>
  <c r="AN741" i="76"/>
  <c r="AO741" i="76"/>
  <c r="AP741" i="76"/>
  <c r="AQ741" i="76"/>
  <c r="AR741" i="76"/>
  <c r="AS741" i="76"/>
  <c r="AT741" i="76"/>
  <c r="AU741" i="76"/>
  <c r="AV741" i="76"/>
  <c r="AW741" i="76"/>
  <c r="AX741" i="76"/>
  <c r="AY741" i="76"/>
  <c r="AZ741" i="76"/>
  <c r="BA741" i="76"/>
  <c r="BB741" i="76"/>
  <c r="BC741" i="76"/>
  <c r="BD741" i="76"/>
  <c r="BE741" i="76"/>
  <c r="BF741" i="76"/>
  <c r="BG741" i="76"/>
  <c r="BH741" i="76"/>
  <c r="BI741" i="76"/>
  <c r="BJ741" i="76"/>
  <c r="BK741" i="76"/>
  <c r="BM741" i="76"/>
  <c r="A742" i="76"/>
  <c r="B742" i="76"/>
  <c r="D742" i="76"/>
  <c r="G742" i="76"/>
  <c r="H742" i="76"/>
  <c r="J742" i="76"/>
  <c r="K742" i="76"/>
  <c r="L742" i="76"/>
  <c r="P742" i="76"/>
  <c r="R742" i="76"/>
  <c r="U742" i="76"/>
  <c r="V742" i="76"/>
  <c r="AE742" i="76"/>
  <c r="AJ742" i="76"/>
  <c r="AK742" i="76"/>
  <c r="AL742" i="76"/>
  <c r="AM742" i="76"/>
  <c r="AN742" i="76"/>
  <c r="AO742" i="76"/>
  <c r="AP742" i="76"/>
  <c r="AQ742" i="76"/>
  <c r="AR742" i="76"/>
  <c r="AS742" i="76"/>
  <c r="AT742" i="76"/>
  <c r="AU742" i="76"/>
  <c r="AV742" i="76"/>
  <c r="AW742" i="76"/>
  <c r="AX742" i="76"/>
  <c r="AY742" i="76"/>
  <c r="AZ742" i="76"/>
  <c r="BA742" i="76"/>
  <c r="BB742" i="76"/>
  <c r="BC742" i="76"/>
  <c r="BD742" i="76"/>
  <c r="BE742" i="76"/>
  <c r="BF742" i="76"/>
  <c r="BG742" i="76"/>
  <c r="BH742" i="76"/>
  <c r="BI742" i="76"/>
  <c r="BJ742" i="76"/>
  <c r="BK742" i="76"/>
  <c r="BM742" i="76"/>
  <c r="A743" i="76"/>
  <c r="B743" i="76"/>
  <c r="D743" i="76"/>
  <c r="G743" i="76"/>
  <c r="H743" i="76"/>
  <c r="J743" i="76"/>
  <c r="E743" i="76" s="1"/>
  <c r="K743" i="76"/>
  <c r="L743" i="76"/>
  <c r="P743" i="76"/>
  <c r="R743" i="76"/>
  <c r="U743" i="76"/>
  <c r="V743" i="76"/>
  <c r="AE743" i="76"/>
  <c r="AJ743" i="76"/>
  <c r="AK743" i="76"/>
  <c r="AL743" i="76"/>
  <c r="AM743" i="76"/>
  <c r="AN743" i="76"/>
  <c r="AO743" i="76"/>
  <c r="AP743" i="76"/>
  <c r="AQ743" i="76"/>
  <c r="AR743" i="76"/>
  <c r="AS743" i="76"/>
  <c r="AT743" i="76"/>
  <c r="AU743" i="76"/>
  <c r="AV743" i="76"/>
  <c r="AW743" i="76"/>
  <c r="AX743" i="76"/>
  <c r="AY743" i="76"/>
  <c r="AZ743" i="76"/>
  <c r="BA743" i="76"/>
  <c r="BB743" i="76"/>
  <c r="BC743" i="76"/>
  <c r="BD743" i="76"/>
  <c r="BE743" i="76"/>
  <c r="BF743" i="76"/>
  <c r="BG743" i="76"/>
  <c r="BH743" i="76"/>
  <c r="BI743" i="76"/>
  <c r="BJ743" i="76"/>
  <c r="BK743" i="76"/>
  <c r="BM743" i="76"/>
  <c r="A744" i="76"/>
  <c r="B744" i="76"/>
  <c r="D744" i="76"/>
  <c r="G744" i="76"/>
  <c r="H744" i="76"/>
  <c r="J744" i="76"/>
  <c r="E744" i="76" s="1"/>
  <c r="K744" i="76"/>
  <c r="L744" i="76"/>
  <c r="P744" i="76"/>
  <c r="R744" i="76"/>
  <c r="U744" i="76"/>
  <c r="V744" i="76"/>
  <c r="AE744" i="76"/>
  <c r="AJ744" i="76"/>
  <c r="AK744" i="76"/>
  <c r="AL744" i="76"/>
  <c r="AM744" i="76"/>
  <c r="AN744" i="76"/>
  <c r="AO744" i="76"/>
  <c r="AP744" i="76"/>
  <c r="AQ744" i="76"/>
  <c r="AR744" i="76"/>
  <c r="AS744" i="76"/>
  <c r="AT744" i="76"/>
  <c r="AU744" i="76"/>
  <c r="AV744" i="76"/>
  <c r="AW744" i="76"/>
  <c r="AX744" i="76"/>
  <c r="AY744" i="76"/>
  <c r="AZ744" i="76"/>
  <c r="BA744" i="76"/>
  <c r="BB744" i="76"/>
  <c r="BC744" i="76"/>
  <c r="BD744" i="76"/>
  <c r="BE744" i="76"/>
  <c r="BF744" i="76"/>
  <c r="BG744" i="76"/>
  <c r="BH744" i="76"/>
  <c r="BI744" i="76"/>
  <c r="BJ744" i="76"/>
  <c r="BK744" i="76"/>
  <c r="BM744" i="76"/>
  <c r="A745" i="76"/>
  <c r="B745" i="76"/>
  <c r="D745" i="76"/>
  <c r="G745" i="76"/>
  <c r="H745" i="76"/>
  <c r="J745" i="76"/>
  <c r="K745" i="76"/>
  <c r="L745" i="76"/>
  <c r="P745" i="76"/>
  <c r="R745" i="76"/>
  <c r="U745" i="76"/>
  <c r="V745" i="76"/>
  <c r="AE745" i="76"/>
  <c r="AJ745" i="76"/>
  <c r="AK745" i="76"/>
  <c r="AL745" i="76"/>
  <c r="AM745" i="76"/>
  <c r="AN745" i="76"/>
  <c r="AO745" i="76"/>
  <c r="AP745" i="76"/>
  <c r="AQ745" i="76"/>
  <c r="AR745" i="76"/>
  <c r="AS745" i="76"/>
  <c r="AT745" i="76"/>
  <c r="AU745" i="76"/>
  <c r="AV745" i="76"/>
  <c r="AW745" i="76"/>
  <c r="AX745" i="76"/>
  <c r="AY745" i="76"/>
  <c r="AZ745" i="76"/>
  <c r="BA745" i="76"/>
  <c r="BB745" i="76"/>
  <c r="BC745" i="76"/>
  <c r="BD745" i="76"/>
  <c r="BE745" i="76"/>
  <c r="BF745" i="76"/>
  <c r="BG745" i="76"/>
  <c r="BH745" i="76"/>
  <c r="BI745" i="76"/>
  <c r="BJ745" i="76"/>
  <c r="BK745" i="76"/>
  <c r="BM745" i="76"/>
  <c r="A746" i="76"/>
  <c r="B746" i="76"/>
  <c r="D746" i="76"/>
  <c r="G746" i="76"/>
  <c r="H746" i="76"/>
  <c r="J746" i="76"/>
  <c r="E746" i="76" s="1"/>
  <c r="K746" i="76"/>
  <c r="L746" i="76"/>
  <c r="P746" i="76"/>
  <c r="R746" i="76"/>
  <c r="U746" i="76"/>
  <c r="V746" i="76"/>
  <c r="AE746" i="76"/>
  <c r="AJ746" i="76"/>
  <c r="AK746" i="76"/>
  <c r="AL746" i="76"/>
  <c r="AM746" i="76"/>
  <c r="AN746" i="76"/>
  <c r="AO746" i="76"/>
  <c r="AP746" i="76"/>
  <c r="AQ746" i="76"/>
  <c r="AR746" i="76"/>
  <c r="AS746" i="76"/>
  <c r="AT746" i="76"/>
  <c r="AU746" i="76"/>
  <c r="AV746" i="76"/>
  <c r="AW746" i="76"/>
  <c r="AX746" i="76"/>
  <c r="AY746" i="76"/>
  <c r="AZ746" i="76"/>
  <c r="BA746" i="76"/>
  <c r="BB746" i="76"/>
  <c r="BC746" i="76"/>
  <c r="BD746" i="76"/>
  <c r="BE746" i="76"/>
  <c r="BF746" i="76"/>
  <c r="BG746" i="76"/>
  <c r="BH746" i="76"/>
  <c r="BI746" i="76"/>
  <c r="BJ746" i="76"/>
  <c r="BK746" i="76"/>
  <c r="BM746" i="76"/>
  <c r="A747" i="76"/>
  <c r="B747" i="76"/>
  <c r="D747" i="76"/>
  <c r="G747" i="76"/>
  <c r="H747" i="76"/>
  <c r="J747" i="76"/>
  <c r="E747" i="76" s="1"/>
  <c r="K747" i="76"/>
  <c r="L747" i="76"/>
  <c r="P747" i="76"/>
  <c r="R747" i="76"/>
  <c r="U747" i="76"/>
  <c r="V747" i="76"/>
  <c r="AE747" i="76"/>
  <c r="AJ747" i="76"/>
  <c r="AK747" i="76"/>
  <c r="AL747" i="76"/>
  <c r="AM747" i="76"/>
  <c r="AN747" i="76"/>
  <c r="AO747" i="76"/>
  <c r="AP747" i="76"/>
  <c r="AQ747" i="76"/>
  <c r="AR747" i="76"/>
  <c r="AS747" i="76"/>
  <c r="AT747" i="76"/>
  <c r="AU747" i="76"/>
  <c r="AV747" i="76"/>
  <c r="AW747" i="76"/>
  <c r="AX747" i="76"/>
  <c r="AY747" i="76"/>
  <c r="AZ747" i="76"/>
  <c r="BA747" i="76"/>
  <c r="BB747" i="76"/>
  <c r="BC747" i="76"/>
  <c r="BD747" i="76"/>
  <c r="BE747" i="76"/>
  <c r="BF747" i="76"/>
  <c r="BG747" i="76"/>
  <c r="BH747" i="76"/>
  <c r="BI747" i="76"/>
  <c r="BJ747" i="76"/>
  <c r="BK747" i="76"/>
  <c r="BM747" i="76"/>
  <c r="A748" i="76"/>
  <c r="B748" i="76"/>
  <c r="D748" i="76"/>
  <c r="G748" i="76"/>
  <c r="H748" i="76"/>
  <c r="J748" i="76"/>
  <c r="K748" i="76"/>
  <c r="L748" i="76"/>
  <c r="P748" i="76"/>
  <c r="R748" i="76"/>
  <c r="U748" i="76"/>
  <c r="V748" i="76"/>
  <c r="AE748" i="76"/>
  <c r="AJ748" i="76"/>
  <c r="AK748" i="76"/>
  <c r="AL748" i="76"/>
  <c r="AM748" i="76"/>
  <c r="AN748" i="76"/>
  <c r="AO748" i="76"/>
  <c r="AP748" i="76"/>
  <c r="AQ748" i="76"/>
  <c r="AR748" i="76"/>
  <c r="AS748" i="76"/>
  <c r="AT748" i="76"/>
  <c r="AU748" i="76"/>
  <c r="AV748" i="76"/>
  <c r="AW748" i="76"/>
  <c r="AX748" i="76"/>
  <c r="AY748" i="76"/>
  <c r="AZ748" i="76"/>
  <c r="BA748" i="76"/>
  <c r="BB748" i="76"/>
  <c r="BC748" i="76"/>
  <c r="BD748" i="76"/>
  <c r="BE748" i="76"/>
  <c r="BF748" i="76"/>
  <c r="BG748" i="76"/>
  <c r="BH748" i="76"/>
  <c r="BI748" i="76"/>
  <c r="BJ748" i="76"/>
  <c r="BK748" i="76"/>
  <c r="BM748" i="76"/>
  <c r="A749" i="76"/>
  <c r="B749" i="76"/>
  <c r="D749" i="76"/>
  <c r="G749" i="76"/>
  <c r="H749" i="76"/>
  <c r="J749" i="76"/>
  <c r="K749" i="76"/>
  <c r="L749" i="76"/>
  <c r="P749" i="76"/>
  <c r="R749" i="76"/>
  <c r="U749" i="76"/>
  <c r="V749" i="76"/>
  <c r="AE749" i="76"/>
  <c r="AJ749" i="76"/>
  <c r="AK749" i="76"/>
  <c r="AL749" i="76"/>
  <c r="AM749" i="76"/>
  <c r="AN749" i="76"/>
  <c r="AO749" i="76"/>
  <c r="AP749" i="76"/>
  <c r="AQ749" i="76"/>
  <c r="AR749" i="76"/>
  <c r="AS749" i="76"/>
  <c r="AT749" i="76"/>
  <c r="AU749" i="76"/>
  <c r="AV749" i="76"/>
  <c r="AW749" i="76"/>
  <c r="AX749" i="76"/>
  <c r="AY749" i="76"/>
  <c r="AZ749" i="76"/>
  <c r="BA749" i="76"/>
  <c r="BB749" i="76"/>
  <c r="BC749" i="76"/>
  <c r="BD749" i="76"/>
  <c r="BE749" i="76"/>
  <c r="BF749" i="76"/>
  <c r="BG749" i="76"/>
  <c r="BH749" i="76"/>
  <c r="BI749" i="76"/>
  <c r="BJ749" i="76"/>
  <c r="BK749" i="76"/>
  <c r="BM749" i="76"/>
  <c r="A750" i="76"/>
  <c r="B750" i="76"/>
  <c r="D750" i="76"/>
  <c r="G750" i="76"/>
  <c r="H750" i="76"/>
  <c r="J750" i="76"/>
  <c r="E750" i="76" s="1"/>
  <c r="K750" i="76"/>
  <c r="L750" i="76"/>
  <c r="P750" i="76"/>
  <c r="R750" i="76"/>
  <c r="U750" i="76"/>
  <c r="V750" i="76"/>
  <c r="AE750" i="76"/>
  <c r="AJ750" i="76"/>
  <c r="AK750" i="76"/>
  <c r="AL750" i="76"/>
  <c r="AM750" i="76"/>
  <c r="AN750" i="76"/>
  <c r="AO750" i="76"/>
  <c r="AP750" i="76"/>
  <c r="AQ750" i="76"/>
  <c r="AR750" i="76"/>
  <c r="AS750" i="76"/>
  <c r="AT750" i="76"/>
  <c r="AU750" i="76"/>
  <c r="AV750" i="76"/>
  <c r="AW750" i="76"/>
  <c r="AX750" i="76"/>
  <c r="AY750" i="76"/>
  <c r="AZ750" i="76"/>
  <c r="BA750" i="76"/>
  <c r="BB750" i="76"/>
  <c r="BC750" i="76"/>
  <c r="BD750" i="76"/>
  <c r="BE750" i="76"/>
  <c r="BF750" i="76"/>
  <c r="BG750" i="76"/>
  <c r="BH750" i="76"/>
  <c r="BI750" i="76"/>
  <c r="BJ750" i="76"/>
  <c r="BK750" i="76"/>
  <c r="BM750" i="76"/>
  <c r="A751" i="76"/>
  <c r="B751" i="76"/>
  <c r="D751" i="76"/>
  <c r="G751" i="76"/>
  <c r="H751" i="76"/>
  <c r="J751" i="76"/>
  <c r="K751" i="76"/>
  <c r="L751" i="76"/>
  <c r="P751" i="76"/>
  <c r="R751" i="76"/>
  <c r="U751" i="76"/>
  <c r="V751" i="76"/>
  <c r="AE751" i="76"/>
  <c r="AJ751" i="76"/>
  <c r="AK751" i="76"/>
  <c r="AL751" i="76"/>
  <c r="AM751" i="76"/>
  <c r="AN751" i="76"/>
  <c r="AO751" i="76"/>
  <c r="AP751" i="76"/>
  <c r="AQ751" i="76"/>
  <c r="AR751" i="76"/>
  <c r="AS751" i="76"/>
  <c r="AT751" i="76"/>
  <c r="AU751" i="76"/>
  <c r="AV751" i="76"/>
  <c r="AW751" i="76"/>
  <c r="AX751" i="76"/>
  <c r="AY751" i="76"/>
  <c r="AZ751" i="76"/>
  <c r="BA751" i="76"/>
  <c r="BB751" i="76"/>
  <c r="BC751" i="76"/>
  <c r="BD751" i="76"/>
  <c r="BE751" i="76"/>
  <c r="BF751" i="76"/>
  <c r="BG751" i="76"/>
  <c r="BH751" i="76"/>
  <c r="BI751" i="76"/>
  <c r="BJ751" i="76"/>
  <c r="BK751" i="76"/>
  <c r="BM751" i="76"/>
  <c r="A752" i="76"/>
  <c r="B752" i="76"/>
  <c r="D752" i="76"/>
  <c r="G752" i="76"/>
  <c r="H752" i="76"/>
  <c r="J752" i="76"/>
  <c r="F752" i="76" s="1"/>
  <c r="K752" i="76"/>
  <c r="L752" i="76"/>
  <c r="P752" i="76"/>
  <c r="R752" i="76"/>
  <c r="U752" i="76"/>
  <c r="V752" i="76"/>
  <c r="AE752" i="76"/>
  <c r="AJ752" i="76"/>
  <c r="AK752" i="76"/>
  <c r="AL752" i="76"/>
  <c r="AM752" i="76"/>
  <c r="AN752" i="76"/>
  <c r="AO752" i="76"/>
  <c r="AP752" i="76"/>
  <c r="AQ752" i="76"/>
  <c r="AR752" i="76"/>
  <c r="AS752" i="76"/>
  <c r="AT752" i="76"/>
  <c r="AU752" i="76"/>
  <c r="AV752" i="76"/>
  <c r="AW752" i="76"/>
  <c r="AX752" i="76"/>
  <c r="AY752" i="76"/>
  <c r="AZ752" i="76"/>
  <c r="BA752" i="76"/>
  <c r="BB752" i="76"/>
  <c r="BC752" i="76"/>
  <c r="BD752" i="76"/>
  <c r="BE752" i="76"/>
  <c r="BF752" i="76"/>
  <c r="BG752" i="76"/>
  <c r="BH752" i="76"/>
  <c r="BI752" i="76"/>
  <c r="BJ752" i="76"/>
  <c r="BK752" i="76"/>
  <c r="BM752" i="76"/>
  <c r="A753" i="76"/>
  <c r="B753" i="76"/>
  <c r="D753" i="76"/>
  <c r="G753" i="76"/>
  <c r="H753" i="76"/>
  <c r="J753" i="76"/>
  <c r="F753" i="76" s="1"/>
  <c r="K753" i="76"/>
  <c r="L753" i="76"/>
  <c r="P753" i="76"/>
  <c r="R753" i="76"/>
  <c r="U753" i="76"/>
  <c r="V753" i="76"/>
  <c r="AE753" i="76"/>
  <c r="AJ753" i="76"/>
  <c r="AK753" i="76"/>
  <c r="AL753" i="76"/>
  <c r="AM753" i="76"/>
  <c r="AN753" i="76"/>
  <c r="AO753" i="76"/>
  <c r="AP753" i="76"/>
  <c r="AQ753" i="76"/>
  <c r="AR753" i="76"/>
  <c r="AS753" i="76"/>
  <c r="AT753" i="76"/>
  <c r="AU753" i="76"/>
  <c r="AV753" i="76"/>
  <c r="AW753" i="76"/>
  <c r="AX753" i="76"/>
  <c r="AY753" i="76"/>
  <c r="AZ753" i="76"/>
  <c r="BA753" i="76"/>
  <c r="BB753" i="76"/>
  <c r="BC753" i="76"/>
  <c r="BD753" i="76"/>
  <c r="BE753" i="76"/>
  <c r="BF753" i="76"/>
  <c r="BG753" i="76"/>
  <c r="BH753" i="76"/>
  <c r="BI753" i="76"/>
  <c r="BJ753" i="76"/>
  <c r="BK753" i="76"/>
  <c r="BM753" i="76"/>
  <c r="A754" i="76"/>
  <c r="B754" i="76"/>
  <c r="D754" i="76"/>
  <c r="G754" i="76"/>
  <c r="H754" i="76"/>
  <c r="J754" i="76"/>
  <c r="K754" i="76"/>
  <c r="L754" i="76"/>
  <c r="P754" i="76"/>
  <c r="R754" i="76"/>
  <c r="U754" i="76"/>
  <c r="V754" i="76"/>
  <c r="AE754" i="76"/>
  <c r="AJ754" i="76"/>
  <c r="AK754" i="76"/>
  <c r="AL754" i="76"/>
  <c r="AM754" i="76"/>
  <c r="AN754" i="76"/>
  <c r="AO754" i="76"/>
  <c r="AP754" i="76"/>
  <c r="AQ754" i="76"/>
  <c r="AR754" i="76"/>
  <c r="AS754" i="76"/>
  <c r="AT754" i="76"/>
  <c r="AU754" i="76"/>
  <c r="AV754" i="76"/>
  <c r="AW754" i="76"/>
  <c r="AX754" i="76"/>
  <c r="AY754" i="76"/>
  <c r="AZ754" i="76"/>
  <c r="BA754" i="76"/>
  <c r="BB754" i="76"/>
  <c r="BC754" i="76"/>
  <c r="BD754" i="76"/>
  <c r="BE754" i="76"/>
  <c r="BF754" i="76"/>
  <c r="BG754" i="76"/>
  <c r="BH754" i="76"/>
  <c r="BI754" i="76"/>
  <c r="BJ754" i="76"/>
  <c r="BK754" i="76"/>
  <c r="BM754" i="76"/>
  <c r="A755" i="76"/>
  <c r="B755" i="76"/>
  <c r="D755" i="76"/>
  <c r="G755" i="76"/>
  <c r="H755" i="76"/>
  <c r="J755" i="76"/>
  <c r="E755" i="76" s="1"/>
  <c r="K755" i="76"/>
  <c r="L755" i="76"/>
  <c r="P755" i="76"/>
  <c r="R755" i="76"/>
  <c r="U755" i="76"/>
  <c r="V755" i="76"/>
  <c r="AE755" i="76"/>
  <c r="AJ755" i="76"/>
  <c r="AK755" i="76"/>
  <c r="AL755" i="76"/>
  <c r="AM755" i="76"/>
  <c r="AN755" i="76"/>
  <c r="AO755" i="76"/>
  <c r="AP755" i="76"/>
  <c r="AQ755" i="76"/>
  <c r="AR755" i="76"/>
  <c r="AS755" i="76"/>
  <c r="AT755" i="76"/>
  <c r="AU755" i="76"/>
  <c r="AV755" i="76"/>
  <c r="AW755" i="76"/>
  <c r="AX755" i="76"/>
  <c r="AY755" i="76"/>
  <c r="AZ755" i="76"/>
  <c r="BA755" i="76"/>
  <c r="BB755" i="76"/>
  <c r="BC755" i="76"/>
  <c r="BD755" i="76"/>
  <c r="BE755" i="76"/>
  <c r="BF755" i="76"/>
  <c r="BG755" i="76"/>
  <c r="BH755" i="76"/>
  <c r="BI755" i="76"/>
  <c r="BJ755" i="76"/>
  <c r="BK755" i="76"/>
  <c r="BM755" i="76"/>
  <c r="A756" i="76"/>
  <c r="B756" i="76"/>
  <c r="D756" i="76"/>
  <c r="G756" i="76"/>
  <c r="H756" i="76"/>
  <c r="J756" i="76"/>
  <c r="E756" i="76" s="1"/>
  <c r="K756" i="76"/>
  <c r="L756" i="76"/>
  <c r="P756" i="76"/>
  <c r="R756" i="76"/>
  <c r="U756" i="76"/>
  <c r="V756" i="76"/>
  <c r="AE756" i="76"/>
  <c r="AJ756" i="76"/>
  <c r="AK756" i="76"/>
  <c r="AL756" i="76"/>
  <c r="AM756" i="76"/>
  <c r="AN756" i="76"/>
  <c r="AO756" i="76"/>
  <c r="AP756" i="76"/>
  <c r="AQ756" i="76"/>
  <c r="AR756" i="76"/>
  <c r="AS756" i="76"/>
  <c r="AT756" i="76"/>
  <c r="AU756" i="76"/>
  <c r="AV756" i="76"/>
  <c r="AW756" i="76"/>
  <c r="AX756" i="76"/>
  <c r="AY756" i="76"/>
  <c r="AZ756" i="76"/>
  <c r="BA756" i="76"/>
  <c r="BB756" i="76"/>
  <c r="BC756" i="76"/>
  <c r="BD756" i="76"/>
  <c r="BE756" i="76"/>
  <c r="BF756" i="76"/>
  <c r="BG756" i="76"/>
  <c r="BH756" i="76"/>
  <c r="BI756" i="76"/>
  <c r="BJ756" i="76"/>
  <c r="BK756" i="76"/>
  <c r="BM756" i="76"/>
  <c r="A757" i="76"/>
  <c r="B757" i="76"/>
  <c r="D757" i="76"/>
  <c r="G757" i="76"/>
  <c r="H757" i="76"/>
  <c r="J757" i="76"/>
  <c r="K757" i="76"/>
  <c r="L757" i="76"/>
  <c r="P757" i="76"/>
  <c r="R757" i="76"/>
  <c r="U757" i="76"/>
  <c r="V757" i="76"/>
  <c r="AE757" i="76"/>
  <c r="AJ757" i="76"/>
  <c r="AK757" i="76"/>
  <c r="AL757" i="76"/>
  <c r="AM757" i="76"/>
  <c r="AN757" i="76"/>
  <c r="AO757" i="76"/>
  <c r="AP757" i="76"/>
  <c r="AQ757" i="76"/>
  <c r="AR757" i="76"/>
  <c r="AS757" i="76"/>
  <c r="AT757" i="76"/>
  <c r="AU757" i="76"/>
  <c r="AV757" i="76"/>
  <c r="AW757" i="76"/>
  <c r="AX757" i="76"/>
  <c r="AY757" i="76"/>
  <c r="AZ757" i="76"/>
  <c r="BA757" i="76"/>
  <c r="BB757" i="76"/>
  <c r="BC757" i="76"/>
  <c r="BD757" i="76"/>
  <c r="BE757" i="76"/>
  <c r="BF757" i="76"/>
  <c r="BG757" i="76"/>
  <c r="BH757" i="76"/>
  <c r="BI757" i="76"/>
  <c r="BJ757" i="76"/>
  <c r="BK757" i="76"/>
  <c r="BM757" i="76"/>
  <c r="A758" i="76"/>
  <c r="B758" i="76"/>
  <c r="D758" i="76"/>
  <c r="G758" i="76"/>
  <c r="H758" i="76"/>
  <c r="J758" i="76"/>
  <c r="F758" i="76" s="1"/>
  <c r="K758" i="76"/>
  <c r="L758" i="76"/>
  <c r="P758" i="76"/>
  <c r="R758" i="76"/>
  <c r="U758" i="76"/>
  <c r="V758" i="76"/>
  <c r="AE758" i="76"/>
  <c r="AJ758" i="76"/>
  <c r="AK758" i="76"/>
  <c r="AL758" i="76"/>
  <c r="AM758" i="76"/>
  <c r="AN758" i="76"/>
  <c r="AO758" i="76"/>
  <c r="AP758" i="76"/>
  <c r="AQ758" i="76"/>
  <c r="AR758" i="76"/>
  <c r="AS758" i="76"/>
  <c r="AT758" i="76"/>
  <c r="AU758" i="76"/>
  <c r="AV758" i="76"/>
  <c r="AW758" i="76"/>
  <c r="AX758" i="76"/>
  <c r="AY758" i="76"/>
  <c r="AZ758" i="76"/>
  <c r="BA758" i="76"/>
  <c r="BB758" i="76"/>
  <c r="BC758" i="76"/>
  <c r="BD758" i="76"/>
  <c r="BE758" i="76"/>
  <c r="BF758" i="76"/>
  <c r="BG758" i="76"/>
  <c r="BH758" i="76"/>
  <c r="BI758" i="76"/>
  <c r="BJ758" i="76"/>
  <c r="BK758" i="76"/>
  <c r="BM758" i="76"/>
  <c r="A759" i="76"/>
  <c r="B759" i="76"/>
  <c r="D759" i="76"/>
  <c r="G759" i="76"/>
  <c r="H759" i="76"/>
  <c r="J759" i="76"/>
  <c r="F759" i="76" s="1"/>
  <c r="K759" i="76"/>
  <c r="L759" i="76"/>
  <c r="P759" i="76"/>
  <c r="R759" i="76"/>
  <c r="U759" i="76"/>
  <c r="V759" i="76"/>
  <c r="AE759" i="76"/>
  <c r="AJ759" i="76"/>
  <c r="AK759" i="76"/>
  <c r="AL759" i="76"/>
  <c r="AM759" i="76"/>
  <c r="AN759" i="76"/>
  <c r="AO759" i="76"/>
  <c r="AP759" i="76"/>
  <c r="AQ759" i="76"/>
  <c r="AR759" i="76"/>
  <c r="AS759" i="76"/>
  <c r="AT759" i="76"/>
  <c r="AU759" i="76"/>
  <c r="AV759" i="76"/>
  <c r="AW759" i="76"/>
  <c r="AX759" i="76"/>
  <c r="AY759" i="76"/>
  <c r="AZ759" i="76"/>
  <c r="BA759" i="76"/>
  <c r="BB759" i="76"/>
  <c r="BC759" i="76"/>
  <c r="BD759" i="76"/>
  <c r="BE759" i="76"/>
  <c r="BF759" i="76"/>
  <c r="BG759" i="76"/>
  <c r="BH759" i="76"/>
  <c r="BI759" i="76"/>
  <c r="BJ759" i="76"/>
  <c r="BK759" i="76"/>
  <c r="BM759" i="76"/>
  <c r="A760" i="76"/>
  <c r="B760" i="76"/>
  <c r="D760" i="76"/>
  <c r="G760" i="76"/>
  <c r="H760" i="76"/>
  <c r="J760" i="76"/>
  <c r="K760" i="76"/>
  <c r="L760" i="76"/>
  <c r="P760" i="76"/>
  <c r="R760" i="76"/>
  <c r="U760" i="76"/>
  <c r="V760" i="76"/>
  <c r="AE760" i="76"/>
  <c r="AJ760" i="76"/>
  <c r="AK760" i="76"/>
  <c r="AL760" i="76"/>
  <c r="AM760" i="76"/>
  <c r="AN760" i="76"/>
  <c r="AO760" i="76"/>
  <c r="AP760" i="76"/>
  <c r="AQ760" i="76"/>
  <c r="AR760" i="76"/>
  <c r="AS760" i="76"/>
  <c r="AT760" i="76"/>
  <c r="AU760" i="76"/>
  <c r="AV760" i="76"/>
  <c r="AW760" i="76"/>
  <c r="AX760" i="76"/>
  <c r="AY760" i="76"/>
  <c r="AZ760" i="76"/>
  <c r="BA760" i="76"/>
  <c r="BB760" i="76"/>
  <c r="BC760" i="76"/>
  <c r="BD760" i="76"/>
  <c r="BE760" i="76"/>
  <c r="BF760" i="76"/>
  <c r="BG760" i="76"/>
  <c r="BH760" i="76"/>
  <c r="BI760" i="76"/>
  <c r="BJ760" i="76"/>
  <c r="BK760" i="76"/>
  <c r="BM760" i="76"/>
  <c r="A761" i="76"/>
  <c r="B761" i="76"/>
  <c r="D761" i="76"/>
  <c r="G761" i="76"/>
  <c r="H761" i="76"/>
  <c r="J761" i="76"/>
  <c r="K761" i="76"/>
  <c r="L761" i="76"/>
  <c r="P761" i="76"/>
  <c r="R761" i="76"/>
  <c r="U761" i="76"/>
  <c r="V761" i="76"/>
  <c r="AE761" i="76"/>
  <c r="AJ761" i="76"/>
  <c r="AK761" i="76"/>
  <c r="AL761" i="76"/>
  <c r="AM761" i="76"/>
  <c r="AN761" i="76"/>
  <c r="AO761" i="76"/>
  <c r="AP761" i="76"/>
  <c r="AQ761" i="76"/>
  <c r="AR761" i="76"/>
  <c r="AS761" i="76"/>
  <c r="AT761" i="76"/>
  <c r="AU761" i="76"/>
  <c r="AV761" i="76"/>
  <c r="AW761" i="76"/>
  <c r="AX761" i="76"/>
  <c r="AY761" i="76"/>
  <c r="AZ761" i="76"/>
  <c r="BA761" i="76"/>
  <c r="BB761" i="76"/>
  <c r="BC761" i="76"/>
  <c r="BD761" i="76"/>
  <c r="BE761" i="76"/>
  <c r="BF761" i="76"/>
  <c r="BG761" i="76"/>
  <c r="BH761" i="76"/>
  <c r="BI761" i="76"/>
  <c r="BJ761" i="76"/>
  <c r="BK761" i="76"/>
  <c r="BM761" i="76"/>
  <c r="A762" i="76"/>
  <c r="B762" i="76"/>
  <c r="D762" i="76"/>
  <c r="G762" i="76"/>
  <c r="H762" i="76"/>
  <c r="J762" i="76"/>
  <c r="E762" i="76" s="1"/>
  <c r="K762" i="76"/>
  <c r="L762" i="76"/>
  <c r="P762" i="76"/>
  <c r="R762" i="76"/>
  <c r="U762" i="76"/>
  <c r="V762" i="76"/>
  <c r="AE762" i="76"/>
  <c r="AJ762" i="76"/>
  <c r="AK762" i="76"/>
  <c r="AL762" i="76"/>
  <c r="AM762" i="76"/>
  <c r="AN762" i="76"/>
  <c r="AO762" i="76"/>
  <c r="AP762" i="76"/>
  <c r="AQ762" i="76"/>
  <c r="AR762" i="76"/>
  <c r="AS762" i="76"/>
  <c r="AT762" i="76"/>
  <c r="AU762" i="76"/>
  <c r="AV762" i="76"/>
  <c r="AW762" i="76"/>
  <c r="AX762" i="76"/>
  <c r="AY762" i="76"/>
  <c r="AZ762" i="76"/>
  <c r="BA762" i="76"/>
  <c r="BB762" i="76"/>
  <c r="BC762" i="76"/>
  <c r="BD762" i="76"/>
  <c r="BE762" i="76"/>
  <c r="BF762" i="76"/>
  <c r="BG762" i="76"/>
  <c r="BH762" i="76"/>
  <c r="BI762" i="76"/>
  <c r="BJ762" i="76"/>
  <c r="BK762" i="76"/>
  <c r="BM762" i="76"/>
  <c r="A763" i="76"/>
  <c r="B763" i="76"/>
  <c r="D763" i="76"/>
  <c r="G763" i="76"/>
  <c r="H763" i="76"/>
  <c r="J763" i="76"/>
  <c r="K763" i="76"/>
  <c r="L763" i="76"/>
  <c r="P763" i="76"/>
  <c r="R763" i="76"/>
  <c r="U763" i="76"/>
  <c r="V763" i="76"/>
  <c r="AE763" i="76"/>
  <c r="AJ763" i="76"/>
  <c r="AK763" i="76"/>
  <c r="AL763" i="76"/>
  <c r="AM763" i="76"/>
  <c r="AN763" i="76"/>
  <c r="AO763" i="76"/>
  <c r="AP763" i="76"/>
  <c r="AQ763" i="76"/>
  <c r="AR763" i="76"/>
  <c r="AS763" i="76"/>
  <c r="AT763" i="76"/>
  <c r="AU763" i="76"/>
  <c r="AV763" i="76"/>
  <c r="AW763" i="76"/>
  <c r="AX763" i="76"/>
  <c r="AY763" i="76"/>
  <c r="AZ763" i="76"/>
  <c r="BA763" i="76"/>
  <c r="BB763" i="76"/>
  <c r="BC763" i="76"/>
  <c r="BD763" i="76"/>
  <c r="BE763" i="76"/>
  <c r="BF763" i="76"/>
  <c r="BG763" i="76"/>
  <c r="BH763" i="76"/>
  <c r="BI763" i="76"/>
  <c r="BJ763" i="76"/>
  <c r="BK763" i="76"/>
  <c r="BM763" i="76"/>
  <c r="A764" i="76"/>
  <c r="B764" i="76"/>
  <c r="D764" i="76"/>
  <c r="G764" i="76"/>
  <c r="H764" i="76"/>
  <c r="J764" i="76"/>
  <c r="E764" i="76" s="1"/>
  <c r="K764" i="76"/>
  <c r="L764" i="76"/>
  <c r="P764" i="76"/>
  <c r="R764" i="76"/>
  <c r="U764" i="76"/>
  <c r="V764" i="76"/>
  <c r="AE764" i="76"/>
  <c r="AJ764" i="76"/>
  <c r="AK764" i="76"/>
  <c r="AL764" i="76"/>
  <c r="AM764" i="76"/>
  <c r="AN764" i="76"/>
  <c r="AO764" i="76"/>
  <c r="AP764" i="76"/>
  <c r="AQ764" i="76"/>
  <c r="AR764" i="76"/>
  <c r="AS764" i="76"/>
  <c r="AT764" i="76"/>
  <c r="AU764" i="76"/>
  <c r="AV764" i="76"/>
  <c r="AW764" i="76"/>
  <c r="AX764" i="76"/>
  <c r="AY764" i="76"/>
  <c r="AZ764" i="76"/>
  <c r="BA764" i="76"/>
  <c r="BB764" i="76"/>
  <c r="BC764" i="76"/>
  <c r="BD764" i="76"/>
  <c r="BE764" i="76"/>
  <c r="BF764" i="76"/>
  <c r="BG764" i="76"/>
  <c r="BH764" i="76"/>
  <c r="BI764" i="76"/>
  <c r="BJ764" i="76"/>
  <c r="BK764" i="76"/>
  <c r="BM764" i="76"/>
  <c r="A765" i="76"/>
  <c r="B765" i="76"/>
  <c r="D765" i="76"/>
  <c r="G765" i="76"/>
  <c r="H765" i="76"/>
  <c r="J765" i="76"/>
  <c r="E765" i="76" s="1"/>
  <c r="K765" i="76"/>
  <c r="L765" i="76"/>
  <c r="P765" i="76"/>
  <c r="R765" i="76"/>
  <c r="U765" i="76"/>
  <c r="V765" i="76"/>
  <c r="AE765" i="76"/>
  <c r="AJ765" i="76"/>
  <c r="AK765" i="76"/>
  <c r="AL765" i="76"/>
  <c r="AM765" i="76"/>
  <c r="AN765" i="76"/>
  <c r="AO765" i="76"/>
  <c r="AP765" i="76"/>
  <c r="AQ765" i="76"/>
  <c r="AR765" i="76"/>
  <c r="AS765" i="76"/>
  <c r="AT765" i="76"/>
  <c r="AU765" i="76"/>
  <c r="AV765" i="76"/>
  <c r="AW765" i="76"/>
  <c r="AX765" i="76"/>
  <c r="AY765" i="76"/>
  <c r="AZ765" i="76"/>
  <c r="BA765" i="76"/>
  <c r="BB765" i="76"/>
  <c r="BC765" i="76"/>
  <c r="BD765" i="76"/>
  <c r="BE765" i="76"/>
  <c r="BF765" i="76"/>
  <c r="BG765" i="76"/>
  <c r="BH765" i="76"/>
  <c r="BI765" i="76"/>
  <c r="BJ765" i="76"/>
  <c r="BK765" i="76"/>
  <c r="BM765" i="76"/>
  <c r="A766" i="76"/>
  <c r="B766" i="76"/>
  <c r="D766" i="76"/>
  <c r="G766" i="76"/>
  <c r="H766" i="76"/>
  <c r="J766" i="76"/>
  <c r="K766" i="76"/>
  <c r="L766" i="76"/>
  <c r="P766" i="76"/>
  <c r="R766" i="76"/>
  <c r="U766" i="76"/>
  <c r="V766" i="76"/>
  <c r="AE766" i="76"/>
  <c r="AJ766" i="76"/>
  <c r="AK766" i="76"/>
  <c r="AL766" i="76"/>
  <c r="AM766" i="76"/>
  <c r="AN766" i="76"/>
  <c r="AO766" i="76"/>
  <c r="AP766" i="76"/>
  <c r="AQ766" i="76"/>
  <c r="AR766" i="76"/>
  <c r="AS766" i="76"/>
  <c r="AT766" i="76"/>
  <c r="AU766" i="76"/>
  <c r="AV766" i="76"/>
  <c r="AW766" i="76"/>
  <c r="AX766" i="76"/>
  <c r="AY766" i="76"/>
  <c r="AZ766" i="76"/>
  <c r="BA766" i="76"/>
  <c r="BB766" i="76"/>
  <c r="BC766" i="76"/>
  <c r="BD766" i="76"/>
  <c r="BE766" i="76"/>
  <c r="BF766" i="76"/>
  <c r="BG766" i="76"/>
  <c r="BH766" i="76"/>
  <c r="BI766" i="76"/>
  <c r="BJ766" i="76"/>
  <c r="BK766" i="76"/>
  <c r="BM766" i="76"/>
  <c r="A767" i="76"/>
  <c r="B767" i="76"/>
  <c r="D767" i="76"/>
  <c r="G767" i="76"/>
  <c r="H767" i="76"/>
  <c r="J767" i="76"/>
  <c r="E767" i="76" s="1"/>
  <c r="K767" i="76"/>
  <c r="L767" i="76"/>
  <c r="P767" i="76"/>
  <c r="R767" i="76"/>
  <c r="U767" i="76"/>
  <c r="V767" i="76"/>
  <c r="AE767" i="76"/>
  <c r="AJ767" i="76"/>
  <c r="AK767" i="76"/>
  <c r="AL767" i="76"/>
  <c r="AM767" i="76"/>
  <c r="AN767" i="76"/>
  <c r="AO767" i="76"/>
  <c r="AP767" i="76"/>
  <c r="AQ767" i="76"/>
  <c r="AR767" i="76"/>
  <c r="AS767" i="76"/>
  <c r="AT767" i="76"/>
  <c r="AU767" i="76"/>
  <c r="AV767" i="76"/>
  <c r="AW767" i="76"/>
  <c r="AX767" i="76"/>
  <c r="AY767" i="76"/>
  <c r="AZ767" i="76"/>
  <c r="BA767" i="76"/>
  <c r="BB767" i="76"/>
  <c r="BC767" i="76"/>
  <c r="BD767" i="76"/>
  <c r="BE767" i="76"/>
  <c r="BF767" i="76"/>
  <c r="BG767" i="76"/>
  <c r="BH767" i="76"/>
  <c r="BI767" i="76"/>
  <c r="BJ767" i="76"/>
  <c r="BK767" i="76"/>
  <c r="BM767" i="76"/>
  <c r="A768" i="76"/>
  <c r="B768" i="76"/>
  <c r="D768" i="76"/>
  <c r="G768" i="76"/>
  <c r="H768" i="76"/>
  <c r="J768" i="76"/>
  <c r="K768" i="76"/>
  <c r="L768" i="76"/>
  <c r="P768" i="76"/>
  <c r="R768" i="76"/>
  <c r="U768" i="76"/>
  <c r="V768" i="76"/>
  <c r="AE768" i="76"/>
  <c r="AJ768" i="76"/>
  <c r="AK768" i="76"/>
  <c r="AL768" i="76"/>
  <c r="AM768" i="76"/>
  <c r="AN768" i="76"/>
  <c r="AO768" i="76"/>
  <c r="AP768" i="76"/>
  <c r="AQ768" i="76"/>
  <c r="AR768" i="76"/>
  <c r="AS768" i="76"/>
  <c r="AT768" i="76"/>
  <c r="AU768" i="76"/>
  <c r="AV768" i="76"/>
  <c r="AW768" i="76"/>
  <c r="AX768" i="76"/>
  <c r="AY768" i="76"/>
  <c r="AZ768" i="76"/>
  <c r="BA768" i="76"/>
  <c r="BB768" i="76"/>
  <c r="BC768" i="76"/>
  <c r="BD768" i="76"/>
  <c r="BE768" i="76"/>
  <c r="BF768" i="76"/>
  <c r="BG768" i="76"/>
  <c r="BH768" i="76"/>
  <c r="BI768" i="76"/>
  <c r="BJ768" i="76"/>
  <c r="BK768" i="76"/>
  <c r="BM768" i="76"/>
  <c r="A769" i="76"/>
  <c r="B769" i="76"/>
  <c r="D769" i="76"/>
  <c r="G769" i="76"/>
  <c r="H769" i="76"/>
  <c r="J769" i="76"/>
  <c r="K769" i="76"/>
  <c r="L769" i="76"/>
  <c r="P769" i="76"/>
  <c r="R769" i="76"/>
  <c r="U769" i="76"/>
  <c r="V769" i="76"/>
  <c r="AE769" i="76"/>
  <c r="AJ769" i="76"/>
  <c r="AK769" i="76"/>
  <c r="AL769" i="76"/>
  <c r="AM769" i="76"/>
  <c r="AN769" i="76"/>
  <c r="AO769" i="76"/>
  <c r="AP769" i="76"/>
  <c r="AQ769" i="76"/>
  <c r="AR769" i="76"/>
  <c r="AS769" i="76"/>
  <c r="AT769" i="76"/>
  <c r="AU769" i="76"/>
  <c r="AV769" i="76"/>
  <c r="AW769" i="76"/>
  <c r="AX769" i="76"/>
  <c r="AY769" i="76"/>
  <c r="AZ769" i="76"/>
  <c r="BA769" i="76"/>
  <c r="BB769" i="76"/>
  <c r="BC769" i="76"/>
  <c r="BD769" i="76"/>
  <c r="BE769" i="76"/>
  <c r="BF769" i="76"/>
  <c r="BG769" i="76"/>
  <c r="BH769" i="76"/>
  <c r="BI769" i="76"/>
  <c r="BJ769" i="76"/>
  <c r="BK769" i="76"/>
  <c r="BM769" i="76"/>
  <c r="A770" i="76"/>
  <c r="B770" i="76"/>
  <c r="D770" i="76"/>
  <c r="G770" i="76"/>
  <c r="H770" i="76"/>
  <c r="J770" i="76"/>
  <c r="K770" i="76"/>
  <c r="L770" i="76"/>
  <c r="P770" i="76"/>
  <c r="R770" i="76"/>
  <c r="U770" i="76"/>
  <c r="V770" i="76"/>
  <c r="AE770" i="76"/>
  <c r="AJ770" i="76"/>
  <c r="AK770" i="76"/>
  <c r="AL770" i="76"/>
  <c r="AM770" i="76"/>
  <c r="AN770" i="76"/>
  <c r="AO770" i="76"/>
  <c r="AP770" i="76"/>
  <c r="AQ770" i="76"/>
  <c r="AR770" i="76"/>
  <c r="AS770" i="76"/>
  <c r="AT770" i="76"/>
  <c r="AU770" i="76"/>
  <c r="AV770" i="76"/>
  <c r="AW770" i="76"/>
  <c r="AX770" i="76"/>
  <c r="AY770" i="76"/>
  <c r="AZ770" i="76"/>
  <c r="BA770" i="76"/>
  <c r="BB770" i="76"/>
  <c r="BC770" i="76"/>
  <c r="BD770" i="76"/>
  <c r="BE770" i="76"/>
  <c r="BF770" i="76"/>
  <c r="BG770" i="76"/>
  <c r="BH770" i="76"/>
  <c r="BI770" i="76"/>
  <c r="BJ770" i="76"/>
  <c r="BK770" i="76"/>
  <c r="BM770" i="76"/>
  <c r="A771" i="76"/>
  <c r="B771" i="76"/>
  <c r="D771" i="76"/>
  <c r="G771" i="76"/>
  <c r="H771" i="76"/>
  <c r="J771" i="76"/>
  <c r="F771" i="76" s="1"/>
  <c r="K771" i="76"/>
  <c r="L771" i="76"/>
  <c r="P771" i="76"/>
  <c r="R771" i="76"/>
  <c r="U771" i="76"/>
  <c r="V771" i="76"/>
  <c r="AE771" i="76"/>
  <c r="AJ771" i="76"/>
  <c r="AK771" i="76"/>
  <c r="AL771" i="76"/>
  <c r="AM771" i="76"/>
  <c r="AN771" i="76"/>
  <c r="AO771" i="76"/>
  <c r="AP771" i="76"/>
  <c r="AQ771" i="76"/>
  <c r="AR771" i="76"/>
  <c r="AS771" i="76"/>
  <c r="AT771" i="76"/>
  <c r="AU771" i="76"/>
  <c r="AV771" i="76"/>
  <c r="AW771" i="76"/>
  <c r="AX771" i="76"/>
  <c r="AY771" i="76"/>
  <c r="AZ771" i="76"/>
  <c r="BA771" i="76"/>
  <c r="BB771" i="76"/>
  <c r="BC771" i="76"/>
  <c r="BD771" i="76"/>
  <c r="BE771" i="76"/>
  <c r="BF771" i="76"/>
  <c r="BG771" i="76"/>
  <c r="BH771" i="76"/>
  <c r="BI771" i="76"/>
  <c r="BJ771" i="76"/>
  <c r="BK771" i="76"/>
  <c r="BM771" i="76"/>
  <c r="A772" i="76"/>
  <c r="B772" i="76"/>
  <c r="D772" i="76"/>
  <c r="G772" i="76"/>
  <c r="H772" i="76"/>
  <c r="J772" i="76"/>
  <c r="K772" i="76"/>
  <c r="L772" i="76"/>
  <c r="P772" i="76"/>
  <c r="R772" i="76"/>
  <c r="U772" i="76"/>
  <c r="V772" i="76"/>
  <c r="AE772" i="76"/>
  <c r="AJ772" i="76"/>
  <c r="AK772" i="76"/>
  <c r="AL772" i="76"/>
  <c r="AM772" i="76"/>
  <c r="AN772" i="76"/>
  <c r="AO772" i="76"/>
  <c r="AP772" i="76"/>
  <c r="AQ772" i="76"/>
  <c r="AR772" i="76"/>
  <c r="AS772" i="76"/>
  <c r="AT772" i="76"/>
  <c r="AU772" i="76"/>
  <c r="AV772" i="76"/>
  <c r="AW772" i="76"/>
  <c r="AX772" i="76"/>
  <c r="AY772" i="76"/>
  <c r="AZ772" i="76"/>
  <c r="BA772" i="76"/>
  <c r="BB772" i="76"/>
  <c r="BC772" i="76"/>
  <c r="BD772" i="76"/>
  <c r="BE772" i="76"/>
  <c r="BF772" i="76"/>
  <c r="BG772" i="76"/>
  <c r="BH772" i="76"/>
  <c r="BI772" i="76"/>
  <c r="BJ772" i="76"/>
  <c r="BK772" i="76"/>
  <c r="BM772" i="76"/>
  <c r="A773" i="76"/>
  <c r="B773" i="76"/>
  <c r="D773" i="76"/>
  <c r="G773" i="76"/>
  <c r="H773" i="76"/>
  <c r="J773" i="76"/>
  <c r="K773" i="76"/>
  <c r="L773" i="76"/>
  <c r="P773" i="76"/>
  <c r="R773" i="76"/>
  <c r="U773" i="76"/>
  <c r="V773" i="76"/>
  <c r="AE773" i="76"/>
  <c r="AJ773" i="76"/>
  <c r="AK773" i="76"/>
  <c r="AL773" i="76"/>
  <c r="AM773" i="76"/>
  <c r="AN773" i="76"/>
  <c r="AO773" i="76"/>
  <c r="AP773" i="76"/>
  <c r="AQ773" i="76"/>
  <c r="AR773" i="76"/>
  <c r="AS773" i="76"/>
  <c r="AT773" i="76"/>
  <c r="AU773" i="76"/>
  <c r="AV773" i="76"/>
  <c r="AW773" i="76"/>
  <c r="AX773" i="76"/>
  <c r="AY773" i="76"/>
  <c r="AZ773" i="76"/>
  <c r="BA773" i="76"/>
  <c r="BB773" i="76"/>
  <c r="BC773" i="76"/>
  <c r="BD773" i="76"/>
  <c r="BE773" i="76"/>
  <c r="BF773" i="76"/>
  <c r="BG773" i="76"/>
  <c r="BH773" i="76"/>
  <c r="BI773" i="76"/>
  <c r="BJ773" i="76"/>
  <c r="BK773" i="76"/>
  <c r="BM773" i="76"/>
  <c r="A774" i="76"/>
  <c r="B774" i="76"/>
  <c r="D774" i="76"/>
  <c r="G774" i="76"/>
  <c r="H774" i="76"/>
  <c r="J774" i="76"/>
  <c r="F774" i="76" s="1"/>
  <c r="K774" i="76"/>
  <c r="L774" i="76"/>
  <c r="P774" i="76"/>
  <c r="R774" i="76"/>
  <c r="U774" i="76"/>
  <c r="V774" i="76"/>
  <c r="AE774" i="76"/>
  <c r="AJ774" i="76"/>
  <c r="AK774" i="76"/>
  <c r="AL774" i="76"/>
  <c r="AM774" i="76"/>
  <c r="AN774" i="76"/>
  <c r="AO774" i="76"/>
  <c r="AP774" i="76"/>
  <c r="AQ774" i="76"/>
  <c r="AR774" i="76"/>
  <c r="AS774" i="76"/>
  <c r="AT774" i="76"/>
  <c r="AU774" i="76"/>
  <c r="AV774" i="76"/>
  <c r="AW774" i="76"/>
  <c r="AX774" i="76"/>
  <c r="AY774" i="76"/>
  <c r="AZ774" i="76"/>
  <c r="BA774" i="76"/>
  <c r="BB774" i="76"/>
  <c r="BC774" i="76"/>
  <c r="BD774" i="76"/>
  <c r="BE774" i="76"/>
  <c r="BF774" i="76"/>
  <c r="BG774" i="76"/>
  <c r="BH774" i="76"/>
  <c r="BI774" i="76"/>
  <c r="BJ774" i="76"/>
  <c r="BK774" i="76"/>
  <c r="BM774" i="76"/>
  <c r="A775" i="76"/>
  <c r="B775" i="76"/>
  <c r="D775" i="76"/>
  <c r="G775" i="76"/>
  <c r="H775" i="76"/>
  <c r="J775" i="76"/>
  <c r="K775" i="76"/>
  <c r="L775" i="76"/>
  <c r="P775" i="76"/>
  <c r="R775" i="76"/>
  <c r="U775" i="76"/>
  <c r="V775" i="76"/>
  <c r="AE775" i="76"/>
  <c r="AJ775" i="76"/>
  <c r="AK775" i="76"/>
  <c r="AL775" i="76"/>
  <c r="AM775" i="76"/>
  <c r="AN775" i="76"/>
  <c r="AO775" i="76"/>
  <c r="AP775" i="76"/>
  <c r="AQ775" i="76"/>
  <c r="AR775" i="76"/>
  <c r="AS775" i="76"/>
  <c r="AT775" i="76"/>
  <c r="AU775" i="76"/>
  <c r="AV775" i="76"/>
  <c r="AW775" i="76"/>
  <c r="AX775" i="76"/>
  <c r="AY775" i="76"/>
  <c r="AZ775" i="76"/>
  <c r="BA775" i="76"/>
  <c r="BB775" i="76"/>
  <c r="BC775" i="76"/>
  <c r="BD775" i="76"/>
  <c r="BE775" i="76"/>
  <c r="BF775" i="76"/>
  <c r="BG775" i="76"/>
  <c r="BH775" i="76"/>
  <c r="BI775" i="76"/>
  <c r="BJ775" i="76"/>
  <c r="BK775" i="76"/>
  <c r="BM775" i="76"/>
  <c r="A776" i="76"/>
  <c r="B776" i="76"/>
  <c r="D776" i="76"/>
  <c r="G776" i="76"/>
  <c r="H776" i="76"/>
  <c r="J776" i="76"/>
  <c r="F776" i="76" s="1"/>
  <c r="K776" i="76"/>
  <c r="L776" i="76"/>
  <c r="P776" i="76"/>
  <c r="R776" i="76"/>
  <c r="U776" i="76"/>
  <c r="V776" i="76"/>
  <c r="AE776" i="76"/>
  <c r="AJ776" i="76"/>
  <c r="AK776" i="76"/>
  <c r="AL776" i="76"/>
  <c r="AM776" i="76"/>
  <c r="AN776" i="76"/>
  <c r="AO776" i="76"/>
  <c r="AP776" i="76"/>
  <c r="AQ776" i="76"/>
  <c r="AR776" i="76"/>
  <c r="AS776" i="76"/>
  <c r="AT776" i="76"/>
  <c r="AU776" i="76"/>
  <c r="AV776" i="76"/>
  <c r="AW776" i="76"/>
  <c r="AX776" i="76"/>
  <c r="AY776" i="76"/>
  <c r="AZ776" i="76"/>
  <c r="BA776" i="76"/>
  <c r="BB776" i="76"/>
  <c r="BC776" i="76"/>
  <c r="BD776" i="76"/>
  <c r="BE776" i="76"/>
  <c r="BF776" i="76"/>
  <c r="BG776" i="76"/>
  <c r="BH776" i="76"/>
  <c r="BI776" i="76"/>
  <c r="BJ776" i="76"/>
  <c r="BK776" i="76"/>
  <c r="BM776" i="76"/>
  <c r="A777" i="76"/>
  <c r="B777" i="76"/>
  <c r="D777" i="76"/>
  <c r="G777" i="76"/>
  <c r="H777" i="76"/>
  <c r="J777" i="76"/>
  <c r="E777" i="76" s="1"/>
  <c r="K777" i="76"/>
  <c r="L777" i="76"/>
  <c r="P777" i="76"/>
  <c r="R777" i="76"/>
  <c r="U777" i="76"/>
  <c r="V777" i="76"/>
  <c r="AE777" i="76"/>
  <c r="AJ777" i="76"/>
  <c r="AK777" i="76"/>
  <c r="AL777" i="76"/>
  <c r="AM777" i="76"/>
  <c r="AN777" i="76"/>
  <c r="AO777" i="76"/>
  <c r="AP777" i="76"/>
  <c r="AQ777" i="76"/>
  <c r="AR777" i="76"/>
  <c r="AS777" i="76"/>
  <c r="AT777" i="76"/>
  <c r="AU777" i="76"/>
  <c r="AV777" i="76"/>
  <c r="AW777" i="76"/>
  <c r="AX777" i="76"/>
  <c r="AY777" i="76"/>
  <c r="AZ777" i="76"/>
  <c r="BA777" i="76"/>
  <c r="BB777" i="76"/>
  <c r="BC777" i="76"/>
  <c r="BD777" i="76"/>
  <c r="BE777" i="76"/>
  <c r="BF777" i="76"/>
  <c r="BG777" i="76"/>
  <c r="BH777" i="76"/>
  <c r="BI777" i="76"/>
  <c r="BJ777" i="76"/>
  <c r="BK777" i="76"/>
  <c r="BM777" i="76"/>
  <c r="A778" i="76"/>
  <c r="B778" i="76"/>
  <c r="D778" i="76"/>
  <c r="G778" i="76"/>
  <c r="H778" i="76"/>
  <c r="J778" i="76"/>
  <c r="K778" i="76"/>
  <c r="L778" i="76"/>
  <c r="P778" i="76"/>
  <c r="R778" i="76"/>
  <c r="U778" i="76"/>
  <c r="V778" i="76"/>
  <c r="AE778" i="76"/>
  <c r="AJ778" i="76"/>
  <c r="AK778" i="76"/>
  <c r="AL778" i="76"/>
  <c r="AM778" i="76"/>
  <c r="AN778" i="76"/>
  <c r="AO778" i="76"/>
  <c r="AP778" i="76"/>
  <c r="AQ778" i="76"/>
  <c r="AR778" i="76"/>
  <c r="AS778" i="76"/>
  <c r="AT778" i="76"/>
  <c r="AU778" i="76"/>
  <c r="AV778" i="76"/>
  <c r="AW778" i="76"/>
  <c r="AX778" i="76"/>
  <c r="AY778" i="76"/>
  <c r="AZ778" i="76"/>
  <c r="BA778" i="76"/>
  <c r="BB778" i="76"/>
  <c r="BC778" i="76"/>
  <c r="BD778" i="76"/>
  <c r="BE778" i="76"/>
  <c r="BF778" i="76"/>
  <c r="BG778" i="76"/>
  <c r="BH778" i="76"/>
  <c r="BI778" i="76"/>
  <c r="BJ778" i="76"/>
  <c r="BK778" i="76"/>
  <c r="BM778" i="76"/>
  <c r="A779" i="76"/>
  <c r="B779" i="76"/>
  <c r="D779" i="76"/>
  <c r="G779" i="76"/>
  <c r="H779" i="76"/>
  <c r="J779" i="76"/>
  <c r="F779" i="76" s="1"/>
  <c r="K779" i="76"/>
  <c r="L779" i="76"/>
  <c r="P779" i="76"/>
  <c r="R779" i="76"/>
  <c r="U779" i="76"/>
  <c r="V779" i="76"/>
  <c r="AE779" i="76"/>
  <c r="AJ779" i="76"/>
  <c r="AK779" i="76"/>
  <c r="AL779" i="76"/>
  <c r="AM779" i="76"/>
  <c r="AN779" i="76"/>
  <c r="AO779" i="76"/>
  <c r="AP779" i="76"/>
  <c r="AQ779" i="76"/>
  <c r="AR779" i="76"/>
  <c r="AS779" i="76"/>
  <c r="AT779" i="76"/>
  <c r="AU779" i="76"/>
  <c r="AV779" i="76"/>
  <c r="AW779" i="76"/>
  <c r="AX779" i="76"/>
  <c r="AY779" i="76"/>
  <c r="AZ779" i="76"/>
  <c r="BA779" i="76"/>
  <c r="BB779" i="76"/>
  <c r="BC779" i="76"/>
  <c r="BD779" i="76"/>
  <c r="BE779" i="76"/>
  <c r="BF779" i="76"/>
  <c r="BG779" i="76"/>
  <c r="BH779" i="76"/>
  <c r="BI779" i="76"/>
  <c r="BJ779" i="76"/>
  <c r="BK779" i="76"/>
  <c r="BM779" i="76"/>
  <c r="A780" i="76"/>
  <c r="B780" i="76"/>
  <c r="D780" i="76"/>
  <c r="G780" i="76"/>
  <c r="H780" i="76"/>
  <c r="J780" i="76"/>
  <c r="E780" i="76" s="1"/>
  <c r="K780" i="76"/>
  <c r="L780" i="76"/>
  <c r="P780" i="76"/>
  <c r="R780" i="76"/>
  <c r="U780" i="76"/>
  <c r="V780" i="76"/>
  <c r="AE780" i="76"/>
  <c r="AJ780" i="76"/>
  <c r="AK780" i="76"/>
  <c r="AL780" i="76"/>
  <c r="AM780" i="76"/>
  <c r="AN780" i="76"/>
  <c r="AO780" i="76"/>
  <c r="AP780" i="76"/>
  <c r="AQ780" i="76"/>
  <c r="AR780" i="76"/>
  <c r="AS780" i="76"/>
  <c r="AT780" i="76"/>
  <c r="AU780" i="76"/>
  <c r="AV780" i="76"/>
  <c r="AW780" i="76"/>
  <c r="AX780" i="76"/>
  <c r="AY780" i="76"/>
  <c r="AZ780" i="76"/>
  <c r="BA780" i="76"/>
  <c r="BB780" i="76"/>
  <c r="BC780" i="76"/>
  <c r="BD780" i="76"/>
  <c r="BE780" i="76"/>
  <c r="BF780" i="76"/>
  <c r="BG780" i="76"/>
  <c r="BH780" i="76"/>
  <c r="BI780" i="76"/>
  <c r="BJ780" i="76"/>
  <c r="BK780" i="76"/>
  <c r="BM780" i="76"/>
  <c r="A781" i="76"/>
  <c r="B781" i="76"/>
  <c r="D781" i="76"/>
  <c r="G781" i="76"/>
  <c r="H781" i="76"/>
  <c r="J781" i="76"/>
  <c r="K781" i="76"/>
  <c r="L781" i="76"/>
  <c r="P781" i="76"/>
  <c r="R781" i="76"/>
  <c r="U781" i="76"/>
  <c r="V781" i="76"/>
  <c r="AE781" i="76"/>
  <c r="AJ781" i="76"/>
  <c r="AK781" i="76"/>
  <c r="AL781" i="76"/>
  <c r="AM781" i="76"/>
  <c r="AN781" i="76"/>
  <c r="AO781" i="76"/>
  <c r="AP781" i="76"/>
  <c r="AQ781" i="76"/>
  <c r="AR781" i="76"/>
  <c r="AS781" i="76"/>
  <c r="AT781" i="76"/>
  <c r="AU781" i="76"/>
  <c r="AV781" i="76"/>
  <c r="AW781" i="76"/>
  <c r="AX781" i="76"/>
  <c r="AY781" i="76"/>
  <c r="AZ781" i="76"/>
  <c r="BA781" i="76"/>
  <c r="BB781" i="76"/>
  <c r="BC781" i="76"/>
  <c r="BD781" i="76"/>
  <c r="BE781" i="76"/>
  <c r="BF781" i="76"/>
  <c r="BG781" i="76"/>
  <c r="BH781" i="76"/>
  <c r="BI781" i="76"/>
  <c r="BJ781" i="76"/>
  <c r="BK781" i="76"/>
  <c r="BM781" i="76"/>
  <c r="A782" i="76"/>
  <c r="B782" i="76"/>
  <c r="D782" i="76"/>
  <c r="G782" i="76"/>
  <c r="H782" i="76"/>
  <c r="J782" i="76"/>
  <c r="K782" i="76"/>
  <c r="L782" i="76"/>
  <c r="P782" i="76"/>
  <c r="R782" i="76"/>
  <c r="U782" i="76"/>
  <c r="V782" i="76"/>
  <c r="AE782" i="76"/>
  <c r="AJ782" i="76"/>
  <c r="AK782" i="76"/>
  <c r="AL782" i="76"/>
  <c r="AM782" i="76"/>
  <c r="AN782" i="76"/>
  <c r="AO782" i="76"/>
  <c r="AP782" i="76"/>
  <c r="AQ782" i="76"/>
  <c r="AR782" i="76"/>
  <c r="AS782" i="76"/>
  <c r="AT782" i="76"/>
  <c r="AU782" i="76"/>
  <c r="AV782" i="76"/>
  <c r="AW782" i="76"/>
  <c r="AX782" i="76"/>
  <c r="AY782" i="76"/>
  <c r="AZ782" i="76"/>
  <c r="BA782" i="76"/>
  <c r="BB782" i="76"/>
  <c r="BC782" i="76"/>
  <c r="BD782" i="76"/>
  <c r="BE782" i="76"/>
  <c r="BF782" i="76"/>
  <c r="BG782" i="76"/>
  <c r="BH782" i="76"/>
  <c r="BI782" i="76"/>
  <c r="BJ782" i="76"/>
  <c r="BK782" i="76"/>
  <c r="BM782" i="76"/>
  <c r="A783" i="76"/>
  <c r="B783" i="76"/>
  <c r="D783" i="76"/>
  <c r="G783" i="76"/>
  <c r="H783" i="76"/>
  <c r="J783" i="76"/>
  <c r="E783" i="76" s="1"/>
  <c r="K783" i="76"/>
  <c r="L783" i="76"/>
  <c r="P783" i="76"/>
  <c r="R783" i="76"/>
  <c r="U783" i="76"/>
  <c r="V783" i="76"/>
  <c r="AE783" i="76"/>
  <c r="AJ783" i="76"/>
  <c r="AK783" i="76"/>
  <c r="AL783" i="76"/>
  <c r="AM783" i="76"/>
  <c r="AN783" i="76"/>
  <c r="AO783" i="76"/>
  <c r="AP783" i="76"/>
  <c r="AQ783" i="76"/>
  <c r="AR783" i="76"/>
  <c r="AS783" i="76"/>
  <c r="AT783" i="76"/>
  <c r="AU783" i="76"/>
  <c r="AV783" i="76"/>
  <c r="AW783" i="76"/>
  <c r="AX783" i="76"/>
  <c r="AY783" i="76"/>
  <c r="AZ783" i="76"/>
  <c r="BA783" i="76"/>
  <c r="BB783" i="76"/>
  <c r="BC783" i="76"/>
  <c r="BD783" i="76"/>
  <c r="BE783" i="76"/>
  <c r="BF783" i="76"/>
  <c r="BG783" i="76"/>
  <c r="BH783" i="76"/>
  <c r="BI783" i="76"/>
  <c r="BJ783" i="76"/>
  <c r="BK783" i="76"/>
  <c r="BM783" i="76"/>
  <c r="A784" i="76"/>
  <c r="B784" i="76"/>
  <c r="D784" i="76"/>
  <c r="G784" i="76"/>
  <c r="H784" i="76"/>
  <c r="J784" i="76"/>
  <c r="E784" i="76" s="1"/>
  <c r="K784" i="76"/>
  <c r="L784" i="76"/>
  <c r="P784" i="76"/>
  <c r="R784" i="76"/>
  <c r="U784" i="76"/>
  <c r="V784" i="76"/>
  <c r="AE784" i="76"/>
  <c r="AJ784" i="76"/>
  <c r="AK784" i="76"/>
  <c r="AL784" i="76"/>
  <c r="AM784" i="76"/>
  <c r="AN784" i="76"/>
  <c r="AO784" i="76"/>
  <c r="AP784" i="76"/>
  <c r="AQ784" i="76"/>
  <c r="AR784" i="76"/>
  <c r="AS784" i="76"/>
  <c r="AT784" i="76"/>
  <c r="AU784" i="76"/>
  <c r="AV784" i="76"/>
  <c r="AW784" i="76"/>
  <c r="AX784" i="76"/>
  <c r="AY784" i="76"/>
  <c r="AZ784" i="76"/>
  <c r="BA784" i="76"/>
  <c r="BB784" i="76"/>
  <c r="BC784" i="76"/>
  <c r="BD784" i="76"/>
  <c r="BE784" i="76"/>
  <c r="BF784" i="76"/>
  <c r="BG784" i="76"/>
  <c r="BH784" i="76"/>
  <c r="BI784" i="76"/>
  <c r="BJ784" i="76"/>
  <c r="BK784" i="76"/>
  <c r="BM784" i="76"/>
  <c r="A785" i="76"/>
  <c r="B785" i="76"/>
  <c r="D785" i="76"/>
  <c r="G785" i="76"/>
  <c r="H785" i="76"/>
  <c r="J785" i="76"/>
  <c r="E785" i="76" s="1"/>
  <c r="K785" i="76"/>
  <c r="L785" i="76"/>
  <c r="P785" i="76"/>
  <c r="R785" i="76"/>
  <c r="U785" i="76"/>
  <c r="V785" i="76"/>
  <c r="AE785" i="76"/>
  <c r="AJ785" i="76"/>
  <c r="AK785" i="76"/>
  <c r="AL785" i="76"/>
  <c r="AM785" i="76"/>
  <c r="AN785" i="76"/>
  <c r="AO785" i="76"/>
  <c r="AP785" i="76"/>
  <c r="AQ785" i="76"/>
  <c r="AR785" i="76"/>
  <c r="AS785" i="76"/>
  <c r="AT785" i="76"/>
  <c r="AU785" i="76"/>
  <c r="AV785" i="76"/>
  <c r="AW785" i="76"/>
  <c r="AX785" i="76"/>
  <c r="AY785" i="76"/>
  <c r="AZ785" i="76"/>
  <c r="BA785" i="76"/>
  <c r="BB785" i="76"/>
  <c r="BC785" i="76"/>
  <c r="BD785" i="76"/>
  <c r="BE785" i="76"/>
  <c r="BF785" i="76"/>
  <c r="BG785" i="76"/>
  <c r="BH785" i="76"/>
  <c r="BI785" i="76"/>
  <c r="BJ785" i="76"/>
  <c r="BK785" i="76"/>
  <c r="BM785" i="76"/>
  <c r="A786" i="76"/>
  <c r="B786" i="76"/>
  <c r="D786" i="76"/>
  <c r="G786" i="76"/>
  <c r="H786" i="76"/>
  <c r="J786" i="76"/>
  <c r="E786" i="76" s="1"/>
  <c r="K786" i="76"/>
  <c r="L786" i="76"/>
  <c r="P786" i="76"/>
  <c r="R786" i="76"/>
  <c r="U786" i="76"/>
  <c r="V786" i="76"/>
  <c r="AE786" i="76"/>
  <c r="AJ786" i="76"/>
  <c r="AK786" i="76"/>
  <c r="AL786" i="76"/>
  <c r="AM786" i="76"/>
  <c r="AN786" i="76"/>
  <c r="AO786" i="76"/>
  <c r="AP786" i="76"/>
  <c r="AQ786" i="76"/>
  <c r="AR786" i="76"/>
  <c r="AS786" i="76"/>
  <c r="AT786" i="76"/>
  <c r="AU786" i="76"/>
  <c r="AV786" i="76"/>
  <c r="AW786" i="76"/>
  <c r="AX786" i="76"/>
  <c r="AY786" i="76"/>
  <c r="AZ786" i="76"/>
  <c r="BA786" i="76"/>
  <c r="BB786" i="76"/>
  <c r="BC786" i="76"/>
  <c r="BD786" i="76"/>
  <c r="BE786" i="76"/>
  <c r="BF786" i="76"/>
  <c r="BG786" i="76"/>
  <c r="BH786" i="76"/>
  <c r="BI786" i="76"/>
  <c r="BJ786" i="76"/>
  <c r="BK786" i="76"/>
  <c r="BM786" i="76"/>
  <c r="A787" i="76"/>
  <c r="B787" i="76"/>
  <c r="D787" i="76"/>
  <c r="G787" i="76"/>
  <c r="H787" i="76"/>
  <c r="J787" i="76"/>
  <c r="E787" i="76" s="1"/>
  <c r="K787" i="76"/>
  <c r="L787" i="76"/>
  <c r="P787" i="76"/>
  <c r="R787" i="76"/>
  <c r="U787" i="76"/>
  <c r="V787" i="76"/>
  <c r="AE787" i="76"/>
  <c r="AJ787" i="76"/>
  <c r="AK787" i="76"/>
  <c r="AL787" i="76"/>
  <c r="AM787" i="76"/>
  <c r="AN787" i="76"/>
  <c r="AO787" i="76"/>
  <c r="AP787" i="76"/>
  <c r="AQ787" i="76"/>
  <c r="AR787" i="76"/>
  <c r="AS787" i="76"/>
  <c r="AT787" i="76"/>
  <c r="AU787" i="76"/>
  <c r="AV787" i="76"/>
  <c r="AW787" i="76"/>
  <c r="AX787" i="76"/>
  <c r="AY787" i="76"/>
  <c r="AZ787" i="76"/>
  <c r="BA787" i="76"/>
  <c r="BB787" i="76"/>
  <c r="BC787" i="76"/>
  <c r="BD787" i="76"/>
  <c r="BE787" i="76"/>
  <c r="BF787" i="76"/>
  <c r="BG787" i="76"/>
  <c r="BH787" i="76"/>
  <c r="BI787" i="76"/>
  <c r="BJ787" i="76"/>
  <c r="BK787" i="76"/>
  <c r="BM787" i="76"/>
  <c r="A788" i="76"/>
  <c r="B788" i="76"/>
  <c r="D788" i="76"/>
  <c r="G788" i="76"/>
  <c r="H788" i="76"/>
  <c r="J788" i="76"/>
  <c r="E788" i="76" s="1"/>
  <c r="K788" i="76"/>
  <c r="L788" i="76"/>
  <c r="P788" i="76"/>
  <c r="R788" i="76"/>
  <c r="U788" i="76"/>
  <c r="V788" i="76"/>
  <c r="AE788" i="76"/>
  <c r="AJ788" i="76"/>
  <c r="AK788" i="76"/>
  <c r="AL788" i="76"/>
  <c r="AM788" i="76"/>
  <c r="AN788" i="76"/>
  <c r="AO788" i="76"/>
  <c r="AP788" i="76"/>
  <c r="AQ788" i="76"/>
  <c r="AR788" i="76"/>
  <c r="AS788" i="76"/>
  <c r="AT788" i="76"/>
  <c r="AU788" i="76"/>
  <c r="AV788" i="76"/>
  <c r="AW788" i="76"/>
  <c r="AX788" i="76"/>
  <c r="AY788" i="76"/>
  <c r="AZ788" i="76"/>
  <c r="BA788" i="76"/>
  <c r="BB788" i="76"/>
  <c r="BC788" i="76"/>
  <c r="BD788" i="76"/>
  <c r="BE788" i="76"/>
  <c r="BF788" i="76"/>
  <c r="BG788" i="76"/>
  <c r="BH788" i="76"/>
  <c r="BI788" i="76"/>
  <c r="BJ788" i="76"/>
  <c r="BK788" i="76"/>
  <c r="BM788" i="76"/>
  <c r="A789" i="76"/>
  <c r="B789" i="76"/>
  <c r="D789" i="76"/>
  <c r="G789" i="76"/>
  <c r="H789" i="76"/>
  <c r="J789" i="76"/>
  <c r="K789" i="76"/>
  <c r="L789" i="76"/>
  <c r="P789" i="76"/>
  <c r="R789" i="76"/>
  <c r="U789" i="76"/>
  <c r="V789" i="76"/>
  <c r="AE789" i="76"/>
  <c r="AJ789" i="76"/>
  <c r="AK789" i="76"/>
  <c r="AL789" i="76"/>
  <c r="AM789" i="76"/>
  <c r="AN789" i="76"/>
  <c r="AO789" i="76"/>
  <c r="AP789" i="76"/>
  <c r="AQ789" i="76"/>
  <c r="AR789" i="76"/>
  <c r="AS789" i="76"/>
  <c r="AT789" i="76"/>
  <c r="AU789" i="76"/>
  <c r="AV789" i="76"/>
  <c r="AW789" i="76"/>
  <c r="AX789" i="76"/>
  <c r="AY789" i="76"/>
  <c r="AZ789" i="76"/>
  <c r="BA789" i="76"/>
  <c r="BB789" i="76"/>
  <c r="BC789" i="76"/>
  <c r="BD789" i="76"/>
  <c r="BE789" i="76"/>
  <c r="BF789" i="76"/>
  <c r="BG789" i="76"/>
  <c r="BH789" i="76"/>
  <c r="BI789" i="76"/>
  <c r="BJ789" i="76"/>
  <c r="BK789" i="76"/>
  <c r="BM789" i="76"/>
  <c r="A790" i="76"/>
  <c r="B790" i="76"/>
  <c r="D790" i="76"/>
  <c r="G790" i="76"/>
  <c r="H790" i="76"/>
  <c r="J790" i="76"/>
  <c r="E790" i="76" s="1"/>
  <c r="K790" i="76"/>
  <c r="L790" i="76"/>
  <c r="P790" i="76"/>
  <c r="R790" i="76"/>
  <c r="U790" i="76"/>
  <c r="V790" i="76"/>
  <c r="AE790" i="76"/>
  <c r="AJ790" i="76"/>
  <c r="AK790" i="76"/>
  <c r="AL790" i="76"/>
  <c r="AM790" i="76"/>
  <c r="AN790" i="76"/>
  <c r="AO790" i="76"/>
  <c r="AP790" i="76"/>
  <c r="AQ790" i="76"/>
  <c r="AR790" i="76"/>
  <c r="AS790" i="76"/>
  <c r="AT790" i="76"/>
  <c r="AU790" i="76"/>
  <c r="AV790" i="76"/>
  <c r="AW790" i="76"/>
  <c r="AX790" i="76"/>
  <c r="AY790" i="76"/>
  <c r="AZ790" i="76"/>
  <c r="BA790" i="76"/>
  <c r="BB790" i="76"/>
  <c r="BC790" i="76"/>
  <c r="BD790" i="76"/>
  <c r="BE790" i="76"/>
  <c r="BF790" i="76"/>
  <c r="BG790" i="76"/>
  <c r="BH790" i="76"/>
  <c r="BI790" i="76"/>
  <c r="BJ790" i="76"/>
  <c r="BK790" i="76"/>
  <c r="BM790" i="76"/>
  <c r="A791" i="76"/>
  <c r="B791" i="76"/>
  <c r="D791" i="76"/>
  <c r="G791" i="76"/>
  <c r="H791" i="76"/>
  <c r="J791" i="76"/>
  <c r="E791" i="76" s="1"/>
  <c r="K791" i="76"/>
  <c r="L791" i="76"/>
  <c r="P791" i="76"/>
  <c r="R791" i="76"/>
  <c r="U791" i="76"/>
  <c r="V791" i="76"/>
  <c r="AE791" i="76"/>
  <c r="AJ791" i="76"/>
  <c r="AK791" i="76"/>
  <c r="AL791" i="76"/>
  <c r="AM791" i="76"/>
  <c r="AN791" i="76"/>
  <c r="AO791" i="76"/>
  <c r="AP791" i="76"/>
  <c r="AQ791" i="76"/>
  <c r="AR791" i="76"/>
  <c r="AS791" i="76"/>
  <c r="AT791" i="76"/>
  <c r="AU791" i="76"/>
  <c r="AV791" i="76"/>
  <c r="AW791" i="76"/>
  <c r="AX791" i="76"/>
  <c r="AY791" i="76"/>
  <c r="AZ791" i="76"/>
  <c r="BA791" i="76"/>
  <c r="BB791" i="76"/>
  <c r="BC791" i="76"/>
  <c r="BD791" i="76"/>
  <c r="BE791" i="76"/>
  <c r="BF791" i="76"/>
  <c r="BG791" i="76"/>
  <c r="BH791" i="76"/>
  <c r="BI791" i="76"/>
  <c r="BJ791" i="76"/>
  <c r="BK791" i="76"/>
  <c r="BM791" i="76"/>
  <c r="A792" i="76"/>
  <c r="B792" i="76"/>
  <c r="D792" i="76"/>
  <c r="G792" i="76"/>
  <c r="H792" i="76"/>
  <c r="J792" i="76"/>
  <c r="K792" i="76"/>
  <c r="L792" i="76"/>
  <c r="P792" i="76"/>
  <c r="R792" i="76"/>
  <c r="U792" i="76"/>
  <c r="V792" i="76"/>
  <c r="AE792" i="76"/>
  <c r="AJ792" i="76"/>
  <c r="AK792" i="76"/>
  <c r="AL792" i="76"/>
  <c r="AM792" i="76"/>
  <c r="AN792" i="76"/>
  <c r="AO792" i="76"/>
  <c r="AP792" i="76"/>
  <c r="AQ792" i="76"/>
  <c r="AR792" i="76"/>
  <c r="AS792" i="76"/>
  <c r="AT792" i="76"/>
  <c r="AU792" i="76"/>
  <c r="AV792" i="76"/>
  <c r="AW792" i="76"/>
  <c r="AX792" i="76"/>
  <c r="AY792" i="76"/>
  <c r="AZ792" i="76"/>
  <c r="BA792" i="76"/>
  <c r="BB792" i="76"/>
  <c r="BC792" i="76"/>
  <c r="BD792" i="76"/>
  <c r="BE792" i="76"/>
  <c r="BF792" i="76"/>
  <c r="BG792" i="76"/>
  <c r="BH792" i="76"/>
  <c r="BI792" i="76"/>
  <c r="BJ792" i="76"/>
  <c r="BK792" i="76"/>
  <c r="BM792" i="76"/>
  <c r="A793" i="76"/>
  <c r="B793" i="76"/>
  <c r="D793" i="76"/>
  <c r="G793" i="76"/>
  <c r="H793" i="76"/>
  <c r="J793" i="76"/>
  <c r="E793" i="76" s="1"/>
  <c r="K793" i="76"/>
  <c r="L793" i="76"/>
  <c r="P793" i="76"/>
  <c r="R793" i="76"/>
  <c r="U793" i="76"/>
  <c r="V793" i="76"/>
  <c r="AE793" i="76"/>
  <c r="AJ793" i="76"/>
  <c r="AK793" i="76"/>
  <c r="AL793" i="76"/>
  <c r="AM793" i="76"/>
  <c r="AN793" i="76"/>
  <c r="AO793" i="76"/>
  <c r="AP793" i="76"/>
  <c r="AQ793" i="76"/>
  <c r="AR793" i="76"/>
  <c r="AS793" i="76"/>
  <c r="AT793" i="76"/>
  <c r="AU793" i="76"/>
  <c r="AV793" i="76"/>
  <c r="AW793" i="76"/>
  <c r="AX793" i="76"/>
  <c r="AY793" i="76"/>
  <c r="AZ793" i="76"/>
  <c r="BA793" i="76"/>
  <c r="BB793" i="76"/>
  <c r="BC793" i="76"/>
  <c r="BD793" i="76"/>
  <c r="BE793" i="76"/>
  <c r="BF793" i="76"/>
  <c r="BG793" i="76"/>
  <c r="BH793" i="76"/>
  <c r="BI793" i="76"/>
  <c r="BJ793" i="76"/>
  <c r="BK793" i="76"/>
  <c r="BM793" i="76"/>
  <c r="A794" i="76"/>
  <c r="B794" i="76"/>
  <c r="D794" i="76"/>
  <c r="G794" i="76"/>
  <c r="H794" i="76"/>
  <c r="J794" i="76"/>
  <c r="K794" i="76"/>
  <c r="L794" i="76"/>
  <c r="P794" i="76"/>
  <c r="R794" i="76"/>
  <c r="U794" i="76"/>
  <c r="V794" i="76"/>
  <c r="AE794" i="76"/>
  <c r="AJ794" i="76"/>
  <c r="AK794" i="76"/>
  <c r="AL794" i="76"/>
  <c r="AM794" i="76"/>
  <c r="AN794" i="76"/>
  <c r="AO794" i="76"/>
  <c r="AP794" i="76"/>
  <c r="AQ794" i="76"/>
  <c r="AR794" i="76"/>
  <c r="AS794" i="76"/>
  <c r="AT794" i="76"/>
  <c r="AU794" i="76"/>
  <c r="AV794" i="76"/>
  <c r="AW794" i="76"/>
  <c r="AX794" i="76"/>
  <c r="AY794" i="76"/>
  <c r="AZ794" i="76"/>
  <c r="BA794" i="76"/>
  <c r="BB794" i="76"/>
  <c r="BC794" i="76"/>
  <c r="BD794" i="76"/>
  <c r="BE794" i="76"/>
  <c r="BF794" i="76"/>
  <c r="BG794" i="76"/>
  <c r="BH794" i="76"/>
  <c r="BI794" i="76"/>
  <c r="BJ794" i="76"/>
  <c r="BK794" i="76"/>
  <c r="BM794" i="76"/>
  <c r="A795" i="76"/>
  <c r="B795" i="76"/>
  <c r="D795" i="76"/>
  <c r="G795" i="76"/>
  <c r="H795" i="76"/>
  <c r="J795" i="76"/>
  <c r="F795" i="76" s="1"/>
  <c r="K795" i="76"/>
  <c r="L795" i="76"/>
  <c r="P795" i="76"/>
  <c r="R795" i="76"/>
  <c r="U795" i="76"/>
  <c r="V795" i="76"/>
  <c r="AE795" i="76"/>
  <c r="AJ795" i="76"/>
  <c r="AK795" i="76"/>
  <c r="AL795" i="76"/>
  <c r="AM795" i="76"/>
  <c r="AN795" i="76"/>
  <c r="AO795" i="76"/>
  <c r="AP795" i="76"/>
  <c r="AQ795" i="76"/>
  <c r="AR795" i="76"/>
  <c r="AS795" i="76"/>
  <c r="AT795" i="76"/>
  <c r="AU795" i="76"/>
  <c r="AV795" i="76"/>
  <c r="AW795" i="76"/>
  <c r="AX795" i="76"/>
  <c r="AY795" i="76"/>
  <c r="AZ795" i="76"/>
  <c r="BA795" i="76"/>
  <c r="BB795" i="76"/>
  <c r="BC795" i="76"/>
  <c r="BD795" i="76"/>
  <c r="BE795" i="76"/>
  <c r="BF795" i="76"/>
  <c r="BG795" i="76"/>
  <c r="BH795" i="76"/>
  <c r="BI795" i="76"/>
  <c r="BJ795" i="76"/>
  <c r="BK795" i="76"/>
  <c r="BM795" i="76"/>
  <c r="A796" i="76"/>
  <c r="B796" i="76"/>
  <c r="D796" i="76"/>
  <c r="G796" i="76"/>
  <c r="H796" i="76"/>
  <c r="J796" i="76"/>
  <c r="E796" i="76" s="1"/>
  <c r="K796" i="76"/>
  <c r="L796" i="76"/>
  <c r="P796" i="76"/>
  <c r="R796" i="76"/>
  <c r="U796" i="76"/>
  <c r="V796" i="76"/>
  <c r="AE796" i="76"/>
  <c r="AJ796" i="76"/>
  <c r="AK796" i="76"/>
  <c r="AL796" i="76"/>
  <c r="AM796" i="76"/>
  <c r="AN796" i="76"/>
  <c r="AO796" i="76"/>
  <c r="AP796" i="76"/>
  <c r="AQ796" i="76"/>
  <c r="AR796" i="76"/>
  <c r="AS796" i="76"/>
  <c r="AT796" i="76"/>
  <c r="AU796" i="76"/>
  <c r="AV796" i="76"/>
  <c r="AW796" i="76"/>
  <c r="AX796" i="76"/>
  <c r="AY796" i="76"/>
  <c r="AZ796" i="76"/>
  <c r="BA796" i="76"/>
  <c r="BB796" i="76"/>
  <c r="BC796" i="76"/>
  <c r="BD796" i="76"/>
  <c r="BE796" i="76"/>
  <c r="BF796" i="76"/>
  <c r="BG796" i="76"/>
  <c r="BH796" i="76"/>
  <c r="BI796" i="76"/>
  <c r="BJ796" i="76"/>
  <c r="BK796" i="76"/>
  <c r="BM796" i="76"/>
  <c r="A797" i="76"/>
  <c r="B797" i="76"/>
  <c r="D797" i="76"/>
  <c r="G797" i="76"/>
  <c r="H797" i="76"/>
  <c r="J797" i="76"/>
  <c r="K797" i="76"/>
  <c r="L797" i="76"/>
  <c r="P797" i="76"/>
  <c r="R797" i="76"/>
  <c r="U797" i="76"/>
  <c r="V797" i="76"/>
  <c r="AE797" i="76"/>
  <c r="AJ797" i="76"/>
  <c r="AK797" i="76"/>
  <c r="AL797" i="76"/>
  <c r="AM797" i="76"/>
  <c r="AN797" i="76"/>
  <c r="AO797" i="76"/>
  <c r="AP797" i="76"/>
  <c r="AQ797" i="76"/>
  <c r="AR797" i="76"/>
  <c r="AS797" i="76"/>
  <c r="AT797" i="76"/>
  <c r="AU797" i="76"/>
  <c r="AV797" i="76"/>
  <c r="AW797" i="76"/>
  <c r="AX797" i="76"/>
  <c r="AY797" i="76"/>
  <c r="AZ797" i="76"/>
  <c r="BA797" i="76"/>
  <c r="BB797" i="76"/>
  <c r="BC797" i="76"/>
  <c r="BD797" i="76"/>
  <c r="BE797" i="76"/>
  <c r="BF797" i="76"/>
  <c r="BG797" i="76"/>
  <c r="BH797" i="76"/>
  <c r="BI797" i="76"/>
  <c r="BJ797" i="76"/>
  <c r="BK797" i="76"/>
  <c r="BM797" i="76"/>
  <c r="A798" i="76"/>
  <c r="B798" i="76"/>
  <c r="D798" i="76"/>
  <c r="G798" i="76"/>
  <c r="H798" i="76"/>
  <c r="J798" i="76"/>
  <c r="F798" i="76" s="1"/>
  <c r="K798" i="76"/>
  <c r="L798" i="76"/>
  <c r="P798" i="76"/>
  <c r="R798" i="76"/>
  <c r="U798" i="76"/>
  <c r="V798" i="76"/>
  <c r="AE798" i="76"/>
  <c r="AJ798" i="76"/>
  <c r="AK798" i="76"/>
  <c r="AL798" i="76"/>
  <c r="AM798" i="76"/>
  <c r="AN798" i="76"/>
  <c r="AO798" i="76"/>
  <c r="AP798" i="76"/>
  <c r="AQ798" i="76"/>
  <c r="AR798" i="76"/>
  <c r="AS798" i="76"/>
  <c r="AT798" i="76"/>
  <c r="AU798" i="76"/>
  <c r="AV798" i="76"/>
  <c r="AW798" i="76"/>
  <c r="AX798" i="76"/>
  <c r="AY798" i="76"/>
  <c r="AZ798" i="76"/>
  <c r="BA798" i="76"/>
  <c r="BB798" i="76"/>
  <c r="BC798" i="76"/>
  <c r="BD798" i="76"/>
  <c r="BE798" i="76"/>
  <c r="BF798" i="76"/>
  <c r="BG798" i="76"/>
  <c r="BH798" i="76"/>
  <c r="BI798" i="76"/>
  <c r="BJ798" i="76"/>
  <c r="BK798" i="76"/>
  <c r="BM798" i="76"/>
  <c r="A799" i="76"/>
  <c r="B799" i="76"/>
  <c r="D799" i="76"/>
  <c r="G799" i="76"/>
  <c r="H799" i="76"/>
  <c r="J799" i="76"/>
  <c r="E799" i="76" s="1"/>
  <c r="K799" i="76"/>
  <c r="L799" i="76"/>
  <c r="P799" i="76"/>
  <c r="R799" i="76"/>
  <c r="U799" i="76"/>
  <c r="V799" i="76"/>
  <c r="AE799" i="76"/>
  <c r="AJ799" i="76"/>
  <c r="AK799" i="76"/>
  <c r="AL799" i="76"/>
  <c r="AM799" i="76"/>
  <c r="AN799" i="76"/>
  <c r="AO799" i="76"/>
  <c r="AP799" i="76"/>
  <c r="AQ799" i="76"/>
  <c r="AR799" i="76"/>
  <c r="AS799" i="76"/>
  <c r="AT799" i="76"/>
  <c r="AU799" i="76"/>
  <c r="AV799" i="76"/>
  <c r="AW799" i="76"/>
  <c r="AX799" i="76"/>
  <c r="AY799" i="76"/>
  <c r="AZ799" i="76"/>
  <c r="BA799" i="76"/>
  <c r="BB799" i="76"/>
  <c r="BC799" i="76"/>
  <c r="BD799" i="76"/>
  <c r="BE799" i="76"/>
  <c r="BF799" i="76"/>
  <c r="BG799" i="76"/>
  <c r="BH799" i="76"/>
  <c r="BI799" i="76"/>
  <c r="BJ799" i="76"/>
  <c r="BK799" i="76"/>
  <c r="BM799" i="76"/>
  <c r="A800" i="76"/>
  <c r="B800" i="76"/>
  <c r="D800" i="76"/>
  <c r="G800" i="76"/>
  <c r="H800" i="76"/>
  <c r="J800" i="76"/>
  <c r="E800" i="76" s="1"/>
  <c r="K800" i="76"/>
  <c r="L800" i="76"/>
  <c r="P800" i="76"/>
  <c r="R800" i="76"/>
  <c r="U800" i="76"/>
  <c r="V800" i="76"/>
  <c r="AE800" i="76"/>
  <c r="AJ800" i="76"/>
  <c r="AK800" i="76"/>
  <c r="AL800" i="76"/>
  <c r="AM800" i="76"/>
  <c r="AN800" i="76"/>
  <c r="AO800" i="76"/>
  <c r="AP800" i="76"/>
  <c r="AQ800" i="76"/>
  <c r="AR800" i="76"/>
  <c r="AS800" i="76"/>
  <c r="AT800" i="76"/>
  <c r="AU800" i="76"/>
  <c r="AV800" i="76"/>
  <c r="AW800" i="76"/>
  <c r="AX800" i="76"/>
  <c r="AY800" i="76"/>
  <c r="AZ800" i="76"/>
  <c r="BA800" i="76"/>
  <c r="BB800" i="76"/>
  <c r="BC800" i="76"/>
  <c r="BD800" i="76"/>
  <c r="BE800" i="76"/>
  <c r="BF800" i="76"/>
  <c r="BG800" i="76"/>
  <c r="BH800" i="76"/>
  <c r="BI800" i="76"/>
  <c r="BJ800" i="76"/>
  <c r="BK800" i="76"/>
  <c r="BM800" i="76"/>
  <c r="A801" i="76"/>
  <c r="B801" i="76"/>
  <c r="D801" i="76"/>
  <c r="G801" i="76"/>
  <c r="H801" i="76"/>
  <c r="J801" i="76"/>
  <c r="E801" i="76" s="1"/>
  <c r="K801" i="76"/>
  <c r="L801" i="76"/>
  <c r="P801" i="76"/>
  <c r="R801" i="76"/>
  <c r="U801" i="76"/>
  <c r="V801" i="76"/>
  <c r="AE801" i="76"/>
  <c r="AJ801" i="76"/>
  <c r="AK801" i="76"/>
  <c r="AL801" i="76"/>
  <c r="AM801" i="76"/>
  <c r="AN801" i="76"/>
  <c r="AO801" i="76"/>
  <c r="AP801" i="76"/>
  <c r="AQ801" i="76"/>
  <c r="AR801" i="76"/>
  <c r="AS801" i="76"/>
  <c r="AT801" i="76"/>
  <c r="AU801" i="76"/>
  <c r="AV801" i="76"/>
  <c r="AW801" i="76"/>
  <c r="AX801" i="76"/>
  <c r="AY801" i="76"/>
  <c r="AZ801" i="76"/>
  <c r="BA801" i="76"/>
  <c r="BB801" i="76"/>
  <c r="BC801" i="76"/>
  <c r="BD801" i="76"/>
  <c r="BE801" i="76"/>
  <c r="BF801" i="76"/>
  <c r="BG801" i="76"/>
  <c r="BH801" i="76"/>
  <c r="BI801" i="76"/>
  <c r="BJ801" i="76"/>
  <c r="BK801" i="76"/>
  <c r="BM801" i="76"/>
  <c r="AK8" i="76"/>
  <c r="AL8" i="76"/>
  <c r="AM8" i="76"/>
  <c r="AN8" i="76"/>
  <c r="AO8" i="76"/>
  <c r="AP8" i="76"/>
  <c r="AQ8" i="76"/>
  <c r="AR8" i="76"/>
  <c r="AS8" i="76"/>
  <c r="AT8" i="76"/>
  <c r="AU8" i="76"/>
  <c r="AV8" i="76"/>
  <c r="AW8" i="76"/>
  <c r="AX8" i="76"/>
  <c r="AY8" i="76"/>
  <c r="AZ8" i="76"/>
  <c r="BA8" i="76"/>
  <c r="BB8" i="76"/>
  <c r="BC8" i="76"/>
  <c r="BD8" i="76"/>
  <c r="BE8" i="76"/>
  <c r="BF8" i="76"/>
  <c r="BG8" i="76"/>
  <c r="BH8" i="76"/>
  <c r="BI8" i="76"/>
  <c r="BJ8" i="76"/>
  <c r="BK8" i="76"/>
  <c r="AJ8" i="76"/>
  <c r="BM8" i="76"/>
  <c r="AK4" i="76"/>
  <c r="AL4" i="76"/>
  <c r="AM4" i="76"/>
  <c r="AN4" i="76"/>
  <c r="AO4" i="76"/>
  <c r="AP4" i="76"/>
  <c r="AQ4" i="76"/>
  <c r="AR4" i="76"/>
  <c r="AS4" i="76"/>
  <c r="AT4" i="76"/>
  <c r="AU4" i="76"/>
  <c r="AV4" i="76"/>
  <c r="AW4" i="76"/>
  <c r="AX4" i="76"/>
  <c r="AY4" i="76"/>
  <c r="AZ4" i="76"/>
  <c r="BA4" i="76"/>
  <c r="BB4" i="76"/>
  <c r="BC4" i="76"/>
  <c r="BD4" i="76"/>
  <c r="BE4" i="76"/>
  <c r="BF4" i="76"/>
  <c r="BG4" i="76"/>
  <c r="BH4" i="76"/>
  <c r="BI4" i="76"/>
  <c r="BJ4" i="76"/>
  <c r="BK4" i="76"/>
  <c r="AJ4" i="76"/>
  <c r="AE8" i="76"/>
  <c r="V8" i="76"/>
  <c r="U8" i="76"/>
  <c r="R8" i="76"/>
  <c r="P8" i="76"/>
  <c r="B8" i="76"/>
  <c r="U145" i="1"/>
  <c r="J8" i="76"/>
  <c r="E8" i="76" s="1"/>
  <c r="K8" i="76"/>
  <c r="H8" i="76"/>
  <c r="G8" i="76"/>
  <c r="D8" i="76"/>
  <c r="A8" i="76"/>
  <c r="AH5" i="76"/>
  <c r="AC5" i="76"/>
  <c r="U210" i="1"/>
  <c r="L194" i="76" s="1"/>
  <c r="U209" i="1"/>
  <c r="L193" i="76" s="1"/>
  <c r="F510" i="76" l="1"/>
  <c r="E510" i="76"/>
  <c r="E549" i="76"/>
  <c r="F785" i="76"/>
  <c r="L231" i="76"/>
  <c r="E390" i="76"/>
  <c r="E631" i="76"/>
  <c r="F465" i="76"/>
  <c r="E758" i="76"/>
  <c r="E696" i="76"/>
  <c r="E323" i="76"/>
  <c r="E592" i="76"/>
  <c r="E252" i="76"/>
  <c r="E598" i="76"/>
  <c r="E717" i="76"/>
  <c r="F305" i="76"/>
  <c r="F603" i="76"/>
  <c r="F800" i="76"/>
  <c r="F732" i="76"/>
  <c r="F556" i="76"/>
  <c r="E486" i="76"/>
  <c r="E601" i="76"/>
  <c r="E419" i="76"/>
  <c r="E415" i="76"/>
  <c r="E722" i="76"/>
  <c r="E677" i="76"/>
  <c r="E771" i="76"/>
  <c r="F656" i="76"/>
  <c r="E328" i="76"/>
  <c r="E271" i="76"/>
  <c r="F326" i="76"/>
  <c r="F269" i="76"/>
  <c r="F743" i="76"/>
  <c r="E624" i="76"/>
  <c r="E554" i="76"/>
  <c r="F495" i="76"/>
  <c r="F606" i="76"/>
  <c r="F456" i="76"/>
  <c r="E237" i="76"/>
  <c r="F737" i="76"/>
  <c r="F573" i="76"/>
  <c r="E524" i="76"/>
  <c r="E365" i="76"/>
  <c r="F764" i="76"/>
  <c r="E698" i="76"/>
  <c r="E512" i="76"/>
  <c r="E493" i="76"/>
  <c r="F444" i="76"/>
  <c r="E361" i="76"/>
  <c r="E440" i="76"/>
  <c r="F565" i="76"/>
  <c r="F559" i="76"/>
  <c r="E280" i="76"/>
  <c r="E710" i="76"/>
  <c r="F540" i="76"/>
  <c r="F308" i="76"/>
  <c r="E289" i="76"/>
  <c r="F278" i="76"/>
  <c r="E776" i="76"/>
  <c r="F755" i="76"/>
  <c r="E731" i="76"/>
  <c r="F704" i="76"/>
  <c r="E615" i="76"/>
  <c r="E587" i="76"/>
  <c r="F568" i="76"/>
  <c r="E481" i="76"/>
  <c r="E385" i="76"/>
  <c r="F287" i="76"/>
  <c r="F767" i="76"/>
  <c r="E752" i="76"/>
  <c r="E599" i="76"/>
  <c r="E552" i="76"/>
  <c r="E403" i="76"/>
  <c r="E701" i="76"/>
  <c r="F498" i="76"/>
  <c r="E301" i="76"/>
  <c r="E282" i="76"/>
  <c r="E426" i="76"/>
  <c r="E236" i="76"/>
  <c r="E659" i="76"/>
  <c r="E634" i="76"/>
  <c r="E795" i="76"/>
  <c r="F668" i="76"/>
  <c r="F579" i="76"/>
  <c r="F526" i="76"/>
  <c r="E477" i="76"/>
  <c r="F410" i="76"/>
  <c r="F383" i="76"/>
  <c r="E360" i="76"/>
  <c r="E241" i="76"/>
  <c r="E349" i="76"/>
  <c r="E663" i="76"/>
  <c r="E397" i="76"/>
  <c r="E259" i="76"/>
  <c r="E640" i="76"/>
  <c r="E604" i="76"/>
  <c r="F519" i="76"/>
  <c r="F470" i="76"/>
  <c r="E310" i="76"/>
  <c r="F257" i="76"/>
  <c r="F449" i="76"/>
  <c r="F791" i="76"/>
  <c r="F689" i="76"/>
  <c r="F645" i="76"/>
  <c r="E507" i="76"/>
  <c r="E475" i="76"/>
  <c r="E460" i="76"/>
  <c r="F437" i="76"/>
  <c r="E379" i="76"/>
  <c r="E283" i="76"/>
  <c r="E262" i="76"/>
  <c r="F239" i="76"/>
  <c r="F627" i="76"/>
  <c r="E578" i="76"/>
  <c r="F750" i="76"/>
  <c r="E472" i="76"/>
  <c r="F428" i="76"/>
  <c r="E699" i="76"/>
  <c r="E542" i="76"/>
  <c r="E626" i="76"/>
  <c r="F490" i="76"/>
  <c r="E378" i="76"/>
  <c r="F347" i="76"/>
  <c r="E570" i="76"/>
  <c r="E329" i="76"/>
  <c r="F683" i="76"/>
  <c r="F392" i="76"/>
  <c r="E342" i="76"/>
  <c r="F296" i="76"/>
  <c r="F662" i="76"/>
  <c r="E662" i="76"/>
  <c r="F593" i="76"/>
  <c r="E593" i="76"/>
  <c r="F454" i="76"/>
  <c r="E454" i="76"/>
  <c r="E450" i="76"/>
  <c r="F450" i="76"/>
  <c r="F265" i="76"/>
  <c r="E265" i="76"/>
  <c r="F233" i="76"/>
  <c r="E233" i="76"/>
  <c r="E695" i="76"/>
  <c r="F695" i="76"/>
  <c r="F359" i="76"/>
  <c r="E359" i="76"/>
  <c r="E595" i="76"/>
  <c r="F595" i="76"/>
  <c r="F452" i="76"/>
  <c r="E452" i="76"/>
  <c r="F231" i="76"/>
  <c r="E231" i="76"/>
  <c r="E728" i="76"/>
  <c r="F728" i="76"/>
  <c r="F515" i="76"/>
  <c r="E515" i="76"/>
  <c r="E797" i="76"/>
  <c r="F797" i="76"/>
  <c r="F788" i="76"/>
  <c r="F746" i="76"/>
  <c r="F680" i="76"/>
  <c r="F496" i="76"/>
  <c r="F400" i="76"/>
  <c r="E400" i="76"/>
  <c r="E398" i="76"/>
  <c r="F398" i="76"/>
  <c r="F274" i="76"/>
  <c r="E274" i="76"/>
  <c r="E246" i="76"/>
  <c r="E779" i="76"/>
  <c r="E609" i="76"/>
  <c r="F543" i="76"/>
  <c r="E501" i="76"/>
  <c r="F501" i="76"/>
  <c r="F499" i="76"/>
  <c r="E499" i="76"/>
  <c r="F404" i="76"/>
  <c r="F786" i="76"/>
  <c r="E753" i="76"/>
  <c r="E716" i="76"/>
  <c r="F716" i="76"/>
  <c r="E714" i="76"/>
  <c r="F714" i="76"/>
  <c r="F678" i="76"/>
  <c r="E620" i="76"/>
  <c r="F520" i="76"/>
  <c r="E520" i="76"/>
  <c r="E442" i="76"/>
  <c r="E413" i="76"/>
  <c r="F413" i="76"/>
  <c r="E341" i="76"/>
  <c r="F341" i="76"/>
  <c r="E313" i="76"/>
  <c r="E253" i="76"/>
  <c r="F253" i="76"/>
  <c r="E660" i="76"/>
  <c r="F660" i="76"/>
  <c r="E263" i="76"/>
  <c r="F263" i="76"/>
  <c r="F735" i="76"/>
  <c r="E735" i="76"/>
  <c r="E532" i="76"/>
  <c r="F532" i="76"/>
  <c r="F336" i="76"/>
  <c r="E336" i="76"/>
  <c r="F334" i="76"/>
  <c r="E334" i="76"/>
  <c r="E567" i="76"/>
  <c r="F567" i="76"/>
  <c r="F487" i="76"/>
  <c r="E487" i="76"/>
  <c r="E713" i="76"/>
  <c r="E707" i="76"/>
  <c r="F707" i="76"/>
  <c r="F671" i="76"/>
  <c r="F576" i="76"/>
  <c r="E545" i="76"/>
  <c r="F461" i="76"/>
  <c r="F459" i="76"/>
  <c r="E459" i="76"/>
  <c r="E433" i="76"/>
  <c r="E408" i="76"/>
  <c r="F374" i="76"/>
  <c r="E272" i="76"/>
  <c r="F272" i="76"/>
  <c r="E773" i="76"/>
  <c r="F773" i="76"/>
  <c r="E740" i="76"/>
  <c r="F740" i="76"/>
  <c r="E665" i="76"/>
  <c r="F665" i="76"/>
  <c r="E372" i="76"/>
  <c r="F364" i="76"/>
  <c r="E364" i="76"/>
  <c r="F343" i="76"/>
  <c r="E343" i="76"/>
  <c r="E306" i="76"/>
  <c r="E302" i="76"/>
  <c r="F302" i="76"/>
  <c r="F789" i="76"/>
  <c r="E789" i="76"/>
  <c r="E782" i="76"/>
  <c r="F782" i="76"/>
  <c r="E749" i="76"/>
  <c r="F749" i="76"/>
  <c r="F681" i="76"/>
  <c r="E681" i="76"/>
  <c r="E674" i="76"/>
  <c r="F674" i="76"/>
  <c r="E650" i="76"/>
  <c r="E642" i="76"/>
  <c r="F642" i="76"/>
  <c r="F616" i="76"/>
  <c r="F614" i="76"/>
  <c r="E614" i="76"/>
  <c r="E612" i="76"/>
  <c r="F612" i="76"/>
  <c r="E581" i="76"/>
  <c r="E577" i="76"/>
  <c r="F577" i="76"/>
  <c r="F548" i="76"/>
  <c r="E548" i="76"/>
  <c r="E546" i="76"/>
  <c r="F546" i="76"/>
  <c r="E466" i="76"/>
  <c r="E462" i="76"/>
  <c r="F462" i="76"/>
  <c r="F436" i="76"/>
  <c r="E436" i="76"/>
  <c r="E434" i="76"/>
  <c r="F434" i="76"/>
  <c r="E377" i="76"/>
  <c r="F377" i="76"/>
  <c r="F311" i="76"/>
  <c r="F251" i="76"/>
  <c r="E251" i="76"/>
  <c r="F770" i="76"/>
  <c r="E770" i="76"/>
  <c r="E768" i="76"/>
  <c r="F768" i="76"/>
  <c r="F534" i="76"/>
  <c r="E534" i="76"/>
  <c r="E332" i="76"/>
  <c r="F332" i="76"/>
  <c r="F295" i="76"/>
  <c r="E295" i="76"/>
  <c r="E293" i="76"/>
  <c r="F293" i="76"/>
  <c r="F639" i="76"/>
  <c r="E639" i="76"/>
  <c r="E637" i="76"/>
  <c r="F637" i="76"/>
  <c r="E431" i="76"/>
  <c r="F431" i="76"/>
  <c r="F242" i="76"/>
  <c r="E242" i="76"/>
  <c r="F574" i="76"/>
  <c r="E574" i="76"/>
  <c r="F240" i="76"/>
  <c r="E240" i="76"/>
  <c r="F445" i="76"/>
  <c r="E445" i="76"/>
  <c r="E443" i="76"/>
  <c r="F443" i="76"/>
  <c r="E350" i="76"/>
  <c r="F350" i="76"/>
  <c r="E320" i="76"/>
  <c r="F320" i="76"/>
  <c r="E761" i="76"/>
  <c r="F761" i="76"/>
  <c r="F734" i="76"/>
  <c r="F725" i="76"/>
  <c r="F692" i="76"/>
  <c r="F653" i="76"/>
  <c r="E653" i="76"/>
  <c r="F632" i="76"/>
  <c r="E632" i="76"/>
  <c r="F584" i="76"/>
  <c r="E584" i="76"/>
  <c r="E582" i="76"/>
  <c r="F582" i="76"/>
  <c r="F531" i="76"/>
  <c r="F482" i="76"/>
  <c r="E482" i="76"/>
  <c r="E447" i="76"/>
  <c r="E388" i="76"/>
  <c r="F356" i="76"/>
  <c r="E331" i="76"/>
  <c r="E324" i="76"/>
  <c r="E292" i="76"/>
  <c r="F260" i="76"/>
  <c r="F258" i="76"/>
  <c r="E258" i="76"/>
  <c r="F607" i="76"/>
  <c r="E607" i="76"/>
  <c r="F338" i="76"/>
  <c r="F529" i="76"/>
  <c r="E529" i="76"/>
  <c r="F318" i="76"/>
  <c r="E318" i="76"/>
  <c r="E794" i="76"/>
  <c r="F794" i="76"/>
  <c r="E792" i="76"/>
  <c r="F792" i="76"/>
  <c r="E719" i="76"/>
  <c r="F719" i="76"/>
  <c r="E686" i="76"/>
  <c r="F686" i="76"/>
  <c r="E590" i="76"/>
  <c r="E566" i="76"/>
  <c r="E562" i="76"/>
  <c r="F562" i="76"/>
  <c r="F506" i="76"/>
  <c r="E506" i="76"/>
  <c r="E504" i="76"/>
  <c r="F504" i="76"/>
  <c r="E480" i="76"/>
  <c r="F480" i="76"/>
  <c r="F418" i="76"/>
  <c r="E418" i="76"/>
  <c r="E416" i="76"/>
  <c r="F416" i="76"/>
  <c r="F395" i="76"/>
  <c r="E395" i="76"/>
  <c r="F386" i="76"/>
  <c r="F382" i="76"/>
  <c r="E382" i="76"/>
  <c r="E354" i="76"/>
  <c r="F290" i="76"/>
  <c r="E518" i="76"/>
  <c r="E494" i="76"/>
  <c r="E478" i="76"/>
  <c r="F467" i="76"/>
  <c r="E409" i="76"/>
  <c r="F380" i="76"/>
  <c r="F362" i="76"/>
  <c r="E346" i="76"/>
  <c r="E325" i="76"/>
  <c r="E316" i="76"/>
  <c r="E277" i="76"/>
  <c r="E249" i="76"/>
  <c r="F651" i="76"/>
  <c r="F628" i="76"/>
  <c r="E617" i="76"/>
  <c r="F537" i="76"/>
  <c r="F516" i="76"/>
  <c r="E509" i="76"/>
  <c r="F502" i="76"/>
  <c r="E421" i="76"/>
  <c r="E355" i="76"/>
  <c r="F344" i="76"/>
  <c r="E307" i="76"/>
  <c r="E300" i="76"/>
  <c r="F284" i="76"/>
  <c r="F275" i="76"/>
  <c r="F254" i="76"/>
  <c r="E551" i="76"/>
  <c r="E523" i="76"/>
  <c r="F485" i="76"/>
  <c r="F455" i="76"/>
  <c r="E432" i="76"/>
  <c r="E414" i="76"/>
  <c r="E396" i="76"/>
  <c r="E367" i="76"/>
  <c r="E337" i="76"/>
  <c r="E298" i="76"/>
  <c r="E268" i="76"/>
  <c r="E245" i="76"/>
  <c r="E61" i="76"/>
  <c r="F19" i="76"/>
  <c r="F31" i="76"/>
  <c r="F50" i="76"/>
  <c r="F52" i="76"/>
  <c r="E118" i="76"/>
  <c r="E43" i="76"/>
  <c r="F59" i="76"/>
  <c r="F55" i="76"/>
  <c r="E77" i="76"/>
  <c r="F125" i="76"/>
  <c r="F181" i="76"/>
  <c r="F46" i="76"/>
  <c r="F194" i="76"/>
  <c r="F23" i="76"/>
  <c r="E79" i="76"/>
  <c r="E16" i="76"/>
  <c r="E25" i="76"/>
  <c r="F32" i="76"/>
  <c r="F146" i="76"/>
  <c r="E190" i="76"/>
  <c r="E34" i="76"/>
  <c r="F8" i="76"/>
  <c r="F161" i="76"/>
  <c r="E172" i="76"/>
  <c r="E148" i="76"/>
  <c r="F100" i="76"/>
  <c r="F9" i="76"/>
  <c r="F212" i="76"/>
  <c r="F115" i="76"/>
  <c r="E70" i="76"/>
  <c r="F218" i="76"/>
  <c r="F56" i="76"/>
  <c r="E113" i="76"/>
  <c r="E178" i="76"/>
  <c r="E145" i="76"/>
  <c r="F20" i="76"/>
  <c r="F215" i="76"/>
  <c r="E124" i="76"/>
  <c r="F49" i="76"/>
  <c r="E149" i="76"/>
  <c r="F10" i="76"/>
  <c r="F37" i="76"/>
  <c r="F62" i="76"/>
  <c r="F38" i="76"/>
  <c r="E227" i="76"/>
  <c r="E213" i="76"/>
  <c r="F28" i="76"/>
  <c r="F11" i="76"/>
  <c r="F221" i="76"/>
  <c r="E184" i="76"/>
  <c r="E103" i="76"/>
  <c r="F82" i="76"/>
  <c r="E64" i="76"/>
  <c r="F110" i="76"/>
  <c r="F182" i="76"/>
  <c r="E205" i="76"/>
  <c r="F137" i="76"/>
  <c r="F91" i="76"/>
  <c r="F13" i="76"/>
  <c r="F26" i="76"/>
  <c r="F41" i="76"/>
  <c r="F65" i="76"/>
  <c r="F47" i="76"/>
  <c r="F88" i="76"/>
  <c r="E136" i="76"/>
  <c r="F14" i="76"/>
  <c r="F68" i="76"/>
  <c r="F139" i="76"/>
  <c r="E139" i="76"/>
  <c r="E116" i="76"/>
  <c r="F116" i="76"/>
  <c r="F228" i="76"/>
  <c r="E228" i="76"/>
  <c r="E203" i="76"/>
  <c r="E109" i="76"/>
  <c r="E197" i="76"/>
  <c r="E80" i="76"/>
  <c r="F80" i="76"/>
  <c r="F187" i="76"/>
  <c r="E187" i="76"/>
  <c r="E195" i="76"/>
  <c r="F164" i="76"/>
  <c r="E17" i="76"/>
  <c r="E85" i="76"/>
  <c r="F73" i="76"/>
  <c r="E44" i="76"/>
  <c r="E210" i="76"/>
  <c r="E71" i="76"/>
  <c r="F71" i="76"/>
  <c r="E53" i="76"/>
  <c r="E35" i="76"/>
  <c r="E166" i="76"/>
  <c r="E160" i="76"/>
  <c r="E127" i="76"/>
  <c r="E175" i="76"/>
  <c r="E112" i="76"/>
  <c r="E83" i="76"/>
  <c r="F173" i="76"/>
  <c r="F140" i="76"/>
  <c r="F97" i="76"/>
  <c r="F222" i="76"/>
  <c r="E222" i="76"/>
  <c r="F154" i="76"/>
  <c r="E154" i="76"/>
  <c r="E133" i="76"/>
  <c r="E121" i="76"/>
  <c r="F94" i="76"/>
  <c r="E200" i="76"/>
  <c r="F200" i="76"/>
  <c r="E185" i="76"/>
  <c r="E76" i="76"/>
  <c r="F67" i="76"/>
  <c r="E58" i="76"/>
  <c r="E40" i="76"/>
  <c r="E22" i="76"/>
  <c r="E208" i="76"/>
  <c r="E142" i="76"/>
  <c r="E92" i="76"/>
  <c r="E163" i="76"/>
  <c r="F29" i="76"/>
  <c r="E223" i="76"/>
  <c r="E204" i="76"/>
  <c r="F130" i="76"/>
  <c r="E130" i="76"/>
  <c r="F106" i="76"/>
  <c r="F74" i="76"/>
  <c r="F209" i="76"/>
  <c r="E209" i="76"/>
  <c r="F95" i="76"/>
  <c r="F188" i="76"/>
  <c r="E169" i="76"/>
  <c r="E157" i="76"/>
  <c r="E151" i="76"/>
  <c r="E104" i="76"/>
  <c r="E335" i="76"/>
  <c r="F335" i="76"/>
  <c r="F321" i="76"/>
  <c r="E321" i="76"/>
  <c r="E72" i="76"/>
  <c r="E54" i="76"/>
  <c r="E36" i="76"/>
  <c r="E18" i="76"/>
  <c r="F363" i="76"/>
  <c r="E363" i="76"/>
  <c r="F358" i="76"/>
  <c r="E358" i="76"/>
  <c r="F463" i="76"/>
  <c r="E463" i="76"/>
  <c r="E766" i="76"/>
  <c r="F766" i="76"/>
  <c r="E610" i="76"/>
  <c r="F608" i="76"/>
  <c r="E608" i="76"/>
  <c r="E585" i="76"/>
  <c r="E553" i="76"/>
  <c r="F553" i="76"/>
  <c r="F535" i="76"/>
  <c r="F513" i="76"/>
  <c r="E511" i="76"/>
  <c r="F511" i="76"/>
  <c r="F508" i="76"/>
  <c r="E393" i="76"/>
  <c r="F375" i="76"/>
  <c r="E375" i="76"/>
  <c r="F368" i="76"/>
  <c r="E226" i="76"/>
  <c r="E167" i="76"/>
  <c r="E147" i="76"/>
  <c r="F147" i="76"/>
  <c r="E682" i="76"/>
  <c r="F682" i="76"/>
  <c r="E648" i="76"/>
  <c r="E643" i="76"/>
  <c r="F641" i="76"/>
  <c r="E641" i="76"/>
  <c r="E618" i="76"/>
  <c r="F613" i="76"/>
  <c r="E560" i="76"/>
  <c r="E558" i="76"/>
  <c r="F558" i="76"/>
  <c r="F555" i="76"/>
  <c r="F533" i="76"/>
  <c r="E533" i="76"/>
  <c r="E483" i="76"/>
  <c r="F476" i="76"/>
  <c r="E474" i="76"/>
  <c r="F474" i="76"/>
  <c r="E471" i="76"/>
  <c r="F469" i="76"/>
  <c r="E469" i="76"/>
  <c r="E464" i="76"/>
  <c r="F464" i="76"/>
  <c r="E389" i="76"/>
  <c r="F389" i="76"/>
  <c r="F373" i="76"/>
  <c r="E373" i="76"/>
  <c r="E285" i="76"/>
  <c r="F244" i="76"/>
  <c r="E244" i="76"/>
  <c r="E211" i="76"/>
  <c r="E176" i="76"/>
  <c r="F176" i="76"/>
  <c r="F345" i="76"/>
  <c r="E345" i="76"/>
  <c r="F340" i="76"/>
  <c r="E340" i="76"/>
  <c r="E75" i="76"/>
  <c r="F75" i="76"/>
  <c r="E57" i="76"/>
  <c r="E39" i="76"/>
  <c r="E21" i="76"/>
  <c r="F21" i="76"/>
  <c r="E751" i="76"/>
  <c r="F751" i="76"/>
  <c r="E733" i="76"/>
  <c r="F733" i="76"/>
  <c r="E715" i="76"/>
  <c r="F715" i="76"/>
  <c r="E679" i="76"/>
  <c r="F679" i="76"/>
  <c r="F605" i="76"/>
  <c r="E605" i="76"/>
  <c r="F575" i="76"/>
  <c r="E575" i="76"/>
  <c r="E557" i="76"/>
  <c r="F473" i="76"/>
  <c r="F468" i="76"/>
  <c r="F453" i="76"/>
  <c r="F451" i="76"/>
  <c r="E451" i="76"/>
  <c r="E448" i="76"/>
  <c r="E441" i="76"/>
  <c r="F439" i="76"/>
  <c r="E439" i="76"/>
  <c r="F384" i="76"/>
  <c r="E384" i="76"/>
  <c r="E111" i="76"/>
  <c r="F801" i="76"/>
  <c r="E798" i="76"/>
  <c r="F787" i="76"/>
  <c r="F756" i="76"/>
  <c r="F738" i="76"/>
  <c r="F684" i="76"/>
  <c r="F666" i="76"/>
  <c r="E625" i="76"/>
  <c r="E754" i="76"/>
  <c r="F754" i="76"/>
  <c r="E736" i="76"/>
  <c r="F736" i="76"/>
  <c r="E720" i="76"/>
  <c r="E718" i="76"/>
  <c r="F718" i="76"/>
  <c r="E702" i="76"/>
  <c r="E700" i="76"/>
  <c r="F700" i="76"/>
  <c r="E664" i="76"/>
  <c r="F664" i="76"/>
  <c r="E635" i="76"/>
  <c r="E633" i="76"/>
  <c r="F633" i="76"/>
  <c r="F793" i="76"/>
  <c r="F777" i="76"/>
  <c r="F741" i="76"/>
  <c r="F723" i="76"/>
  <c r="F705" i="76"/>
  <c r="F687" i="76"/>
  <c r="F669" i="76"/>
  <c r="E703" i="76"/>
  <c r="F703" i="76"/>
  <c r="E685" i="76"/>
  <c r="F685" i="76"/>
  <c r="E667" i="76"/>
  <c r="F667" i="76"/>
  <c r="F646" i="76"/>
  <c r="E638" i="76"/>
  <c r="E623" i="76"/>
  <c r="F611" i="76"/>
  <c r="E611" i="76"/>
  <c r="E600" i="76"/>
  <c r="F588" i="76"/>
  <c r="E586" i="76"/>
  <c r="F586" i="76"/>
  <c r="F538" i="76"/>
  <c r="E530" i="76"/>
  <c r="E528" i="76"/>
  <c r="F528" i="76"/>
  <c r="E488" i="76"/>
  <c r="E479" i="76"/>
  <c r="F479" i="76"/>
  <c r="F417" i="76"/>
  <c r="E417" i="76"/>
  <c r="F412" i="76"/>
  <c r="E412" i="76"/>
  <c r="E391" i="76"/>
  <c r="F309" i="76"/>
  <c r="E309" i="76"/>
  <c r="F304" i="76"/>
  <c r="E304" i="76"/>
  <c r="F288" i="76"/>
  <c r="E288" i="76"/>
  <c r="E281" i="76"/>
  <c r="F281" i="76"/>
  <c r="F572" i="76"/>
  <c r="E572" i="76"/>
  <c r="E492" i="76"/>
  <c r="F492" i="76"/>
  <c r="E597" i="76"/>
  <c r="F597" i="76"/>
  <c r="E550" i="76"/>
  <c r="F550" i="76"/>
  <c r="F784" i="76"/>
  <c r="E775" i="76"/>
  <c r="F775" i="76"/>
  <c r="E759" i="76"/>
  <c r="F762" i="76"/>
  <c r="F744" i="76"/>
  <c r="F726" i="76"/>
  <c r="F708" i="76"/>
  <c r="F690" i="76"/>
  <c r="F672" i="76"/>
  <c r="F654" i="76"/>
  <c r="F644" i="76"/>
  <c r="E644" i="76"/>
  <c r="F621" i="76"/>
  <c r="E619" i="76"/>
  <c r="F619" i="76"/>
  <c r="F536" i="76"/>
  <c r="E536" i="76"/>
  <c r="E514" i="76"/>
  <c r="F514" i="76"/>
  <c r="F399" i="76"/>
  <c r="E399" i="76"/>
  <c r="F394" i="76"/>
  <c r="E394" i="76"/>
  <c r="F497" i="76"/>
  <c r="E497" i="76"/>
  <c r="E694" i="76"/>
  <c r="F694" i="76"/>
  <c r="E658" i="76"/>
  <c r="F658" i="76"/>
  <c r="E602" i="76"/>
  <c r="E583" i="76"/>
  <c r="F583" i="76"/>
  <c r="F580" i="76"/>
  <c r="E527" i="76"/>
  <c r="E525" i="76"/>
  <c r="F525" i="76"/>
  <c r="E505" i="76"/>
  <c r="F503" i="76"/>
  <c r="E503" i="76"/>
  <c r="E458" i="76"/>
  <c r="E407" i="76"/>
  <c r="F407" i="76"/>
  <c r="E370" i="76"/>
  <c r="F366" i="76"/>
  <c r="E366" i="76"/>
  <c r="F352" i="76"/>
  <c r="E352" i="76"/>
  <c r="E299" i="76"/>
  <c r="F299" i="76"/>
  <c r="F276" i="76"/>
  <c r="E276" i="76"/>
  <c r="E193" i="76"/>
  <c r="E191" i="76"/>
  <c r="E90" i="76"/>
  <c r="F790" i="76"/>
  <c r="E774" i="76"/>
  <c r="E772" i="76"/>
  <c r="F772" i="76"/>
  <c r="E757" i="76"/>
  <c r="F757" i="76"/>
  <c r="E739" i="76"/>
  <c r="F739" i="76"/>
  <c r="E721" i="76"/>
  <c r="F721" i="76"/>
  <c r="F799" i="76"/>
  <c r="F780" i="76"/>
  <c r="E778" i="76"/>
  <c r="F778" i="76"/>
  <c r="E760" i="76"/>
  <c r="F760" i="76"/>
  <c r="E742" i="76"/>
  <c r="F742" i="76"/>
  <c r="E724" i="76"/>
  <c r="F724" i="76"/>
  <c r="E706" i="76"/>
  <c r="F706" i="76"/>
  <c r="E688" i="76"/>
  <c r="F688" i="76"/>
  <c r="E670" i="76"/>
  <c r="F670" i="76"/>
  <c r="F649" i="76"/>
  <c r="E563" i="76"/>
  <c r="E561" i="76"/>
  <c r="F561" i="76"/>
  <c r="F541" i="76"/>
  <c r="E521" i="76"/>
  <c r="F484" i="76"/>
  <c r="E484" i="76"/>
  <c r="E438" i="76"/>
  <c r="F438" i="76"/>
  <c r="F401" i="76"/>
  <c r="F330" i="76"/>
  <c r="E330" i="76"/>
  <c r="E314" i="76"/>
  <c r="F314" i="76"/>
  <c r="E564" i="76"/>
  <c r="F564" i="76"/>
  <c r="E522" i="76"/>
  <c r="F522" i="76"/>
  <c r="E730" i="76"/>
  <c r="F730" i="76"/>
  <c r="E712" i="76"/>
  <c r="F712" i="76"/>
  <c r="E676" i="76"/>
  <c r="F676" i="76"/>
  <c r="E630" i="76"/>
  <c r="F630" i="76"/>
  <c r="E769" i="76"/>
  <c r="F769" i="76"/>
  <c r="E661" i="76"/>
  <c r="F661" i="76"/>
  <c r="F783" i="76"/>
  <c r="F765" i="76"/>
  <c r="F747" i="76"/>
  <c r="F729" i="76"/>
  <c r="F711" i="76"/>
  <c r="F693" i="76"/>
  <c r="F675" i="76"/>
  <c r="F657" i="76"/>
  <c r="F647" i="76"/>
  <c r="E647" i="76"/>
  <c r="E636" i="76"/>
  <c r="E589" i="76"/>
  <c r="F589" i="76"/>
  <c r="F571" i="76"/>
  <c r="F539" i="76"/>
  <c r="E539" i="76"/>
  <c r="E491" i="76"/>
  <c r="E489" i="76"/>
  <c r="F489" i="76"/>
  <c r="E424" i="76"/>
  <c r="F420" i="76"/>
  <c r="E420" i="76"/>
  <c r="F406" i="76"/>
  <c r="E406" i="76"/>
  <c r="E353" i="76"/>
  <c r="F353" i="76"/>
  <c r="F312" i="76"/>
  <c r="E312" i="76"/>
  <c r="F427" i="76"/>
  <c r="E427" i="76"/>
  <c r="E748" i="76"/>
  <c r="F748" i="76"/>
  <c r="F500" i="76"/>
  <c r="E500" i="76"/>
  <c r="E446" i="76"/>
  <c r="F446" i="76"/>
  <c r="E697" i="76"/>
  <c r="F697" i="76"/>
  <c r="F796" i="76"/>
  <c r="E781" i="76"/>
  <c r="F781" i="76"/>
  <c r="E763" i="76"/>
  <c r="F763" i="76"/>
  <c r="E745" i="76"/>
  <c r="F745" i="76"/>
  <c r="E727" i="76"/>
  <c r="F727" i="76"/>
  <c r="E709" i="76"/>
  <c r="F709" i="76"/>
  <c r="E691" i="76"/>
  <c r="F691" i="76"/>
  <c r="E673" i="76"/>
  <c r="F673" i="76"/>
  <c r="E655" i="76"/>
  <c r="F655" i="76"/>
  <c r="F652" i="76"/>
  <c r="E629" i="76"/>
  <c r="E622" i="76"/>
  <c r="F622" i="76"/>
  <c r="E596" i="76"/>
  <c r="E594" i="76"/>
  <c r="F594" i="76"/>
  <c r="F591" i="76"/>
  <c r="F569" i="76"/>
  <c r="E569" i="76"/>
  <c r="E547" i="76"/>
  <c r="F547" i="76"/>
  <c r="F544" i="76"/>
  <c r="E517" i="76"/>
  <c r="F517" i="76"/>
  <c r="F429" i="76"/>
  <c r="E429" i="76"/>
  <c r="F422" i="76"/>
  <c r="E339" i="76"/>
  <c r="F291" i="76"/>
  <c r="E291" i="76"/>
  <c r="F286" i="76"/>
  <c r="E286" i="76"/>
  <c r="E143" i="76"/>
  <c r="F143" i="76"/>
  <c r="E123" i="76"/>
  <c r="F123" i="76"/>
  <c r="F261" i="76"/>
  <c r="E261" i="76"/>
  <c r="E256" i="76"/>
  <c r="F256" i="76"/>
  <c r="F247" i="76"/>
  <c r="E247" i="76"/>
  <c r="E229" i="76"/>
  <c r="E198" i="76"/>
  <c r="E174" i="76"/>
  <c r="F174" i="76"/>
  <c r="E152" i="76"/>
  <c r="E119" i="76"/>
  <c r="F119" i="76"/>
  <c r="E98" i="76"/>
  <c r="F98" i="76"/>
  <c r="E425" i="76"/>
  <c r="F425" i="76"/>
  <c r="E371" i="76"/>
  <c r="F371" i="76"/>
  <c r="E317" i="76"/>
  <c r="F317" i="76"/>
  <c r="E150" i="76"/>
  <c r="F150" i="76"/>
  <c r="E128" i="76"/>
  <c r="F128" i="76"/>
  <c r="F402" i="76"/>
  <c r="E402" i="76"/>
  <c r="F348" i="76"/>
  <c r="E348" i="76"/>
  <c r="E319" i="76"/>
  <c r="F294" i="76"/>
  <c r="E294" i="76"/>
  <c r="E266" i="76"/>
  <c r="F266" i="76"/>
  <c r="F216" i="76"/>
  <c r="E216" i="76"/>
  <c r="E183" i="76"/>
  <c r="F183" i="76"/>
  <c r="F457" i="76"/>
  <c r="E457" i="76"/>
  <c r="F435" i="76"/>
  <c r="E435" i="76"/>
  <c r="F430" i="76"/>
  <c r="E430" i="76"/>
  <c r="F381" i="76"/>
  <c r="E381" i="76"/>
  <c r="F376" i="76"/>
  <c r="E376" i="76"/>
  <c r="F327" i="76"/>
  <c r="E327" i="76"/>
  <c r="F322" i="76"/>
  <c r="E322" i="76"/>
  <c r="E273" i="76"/>
  <c r="F273" i="76"/>
  <c r="E411" i="76"/>
  <c r="E357" i="76"/>
  <c r="E303" i="76"/>
  <c r="E270" i="76"/>
  <c r="F270" i="76"/>
  <c r="E224" i="76"/>
  <c r="E171" i="76"/>
  <c r="F171" i="76"/>
  <c r="E138" i="76"/>
  <c r="F138" i="76"/>
  <c r="E264" i="76"/>
  <c r="F264" i="76"/>
  <c r="E179" i="76"/>
  <c r="F179" i="76"/>
  <c r="E93" i="76"/>
  <c r="F93" i="76"/>
  <c r="F234" i="76"/>
  <c r="E234" i="76"/>
  <c r="E201" i="76"/>
  <c r="E159" i="76"/>
  <c r="F159" i="76"/>
  <c r="E126" i="76"/>
  <c r="E186" i="76"/>
  <c r="E155" i="76"/>
  <c r="F155" i="76"/>
  <c r="E267" i="76"/>
  <c r="F267" i="76"/>
  <c r="F255" i="76"/>
  <c r="E255" i="76"/>
  <c r="E248" i="76"/>
  <c r="F248" i="76"/>
  <c r="F219" i="76"/>
  <c r="E219" i="76"/>
  <c r="E135" i="76"/>
  <c r="E101" i="76"/>
  <c r="F101" i="76"/>
  <c r="E423" i="76"/>
  <c r="E405" i="76"/>
  <c r="E387" i="76"/>
  <c r="E369" i="76"/>
  <c r="E351" i="76"/>
  <c r="E333" i="76"/>
  <c r="E315" i="76"/>
  <c r="E297" i="76"/>
  <c r="E279" i="76"/>
  <c r="E206" i="76"/>
  <c r="E162" i="76"/>
  <c r="F162" i="76"/>
  <c r="E131" i="76"/>
  <c r="F131" i="76"/>
  <c r="E108" i="76"/>
  <c r="E114" i="76"/>
  <c r="E96" i="76"/>
  <c r="F96" i="76"/>
  <c r="E78" i="76"/>
  <c r="F78" i="76"/>
  <c r="E60" i="76"/>
  <c r="E42" i="76"/>
  <c r="E24" i="76"/>
  <c r="E189" i="76"/>
  <c r="F189" i="76"/>
  <c r="E177" i="76"/>
  <c r="E165" i="76"/>
  <c r="F165" i="76"/>
  <c r="E153" i="76"/>
  <c r="F153" i="76"/>
  <c r="E141" i="76"/>
  <c r="F141" i="76"/>
  <c r="E129" i="76"/>
  <c r="F129" i="76"/>
  <c r="E117" i="76"/>
  <c r="F117" i="76"/>
  <c r="E99" i="76"/>
  <c r="F99" i="76"/>
  <c r="E81" i="76"/>
  <c r="F81" i="76"/>
  <c r="E63" i="76"/>
  <c r="E45" i="76"/>
  <c r="E27" i="76"/>
  <c r="E250" i="76"/>
  <c r="E232" i="76"/>
  <c r="E214" i="76"/>
  <c r="E196" i="76"/>
  <c r="F86" i="76"/>
  <c r="E102" i="76"/>
  <c r="E84" i="76"/>
  <c r="F84" i="76"/>
  <c r="E66" i="76"/>
  <c r="F66" i="76"/>
  <c r="E48" i="76"/>
  <c r="E30" i="76"/>
  <c r="E12" i="76"/>
  <c r="E235" i="76"/>
  <c r="F230" i="76"/>
  <c r="E217" i="76"/>
  <c r="E199" i="76"/>
  <c r="E192" i="76"/>
  <c r="F192" i="76"/>
  <c r="E180" i="76"/>
  <c r="F170" i="76"/>
  <c r="E168" i="76"/>
  <c r="F168" i="76"/>
  <c r="F158" i="76"/>
  <c r="E156" i="76"/>
  <c r="F156" i="76"/>
  <c r="E144" i="76"/>
  <c r="F144" i="76"/>
  <c r="F134" i="76"/>
  <c r="E132" i="76"/>
  <c r="F132" i="76"/>
  <c r="F122" i="76"/>
  <c r="E120" i="76"/>
  <c r="F120" i="76"/>
  <c r="F107" i="76"/>
  <c r="F89" i="76"/>
  <c r="E243" i="76"/>
  <c r="E225" i="76"/>
  <c r="E207" i="76"/>
  <c r="E105" i="76"/>
  <c r="F105" i="76"/>
  <c r="E87" i="76"/>
  <c r="F87" i="76"/>
  <c r="E69" i="76"/>
  <c r="E51" i="76"/>
  <c r="E33" i="76"/>
  <c r="E15" i="76"/>
  <c r="E238" i="76"/>
  <c r="E220" i="76"/>
  <c r="E202" i="76"/>
  <c r="U214" i="1"/>
  <c r="L198" i="76" s="1"/>
  <c r="U216" i="1"/>
  <c r="L200" i="76" s="1"/>
  <c r="U207" i="1"/>
  <c r="L191" i="76" s="1"/>
  <c r="U211" i="1" l="1"/>
  <c r="L195" i="76" s="1"/>
  <c r="U204" i="1"/>
  <c r="L188" i="76" s="1"/>
  <c r="U133" i="1"/>
  <c r="L70" i="76" l="1"/>
  <c r="U29" i="1"/>
  <c r="L69" i="76" s="1"/>
  <c r="L68" i="76"/>
  <c r="U73" i="1"/>
  <c r="L67" i="76" s="1"/>
  <c r="U72" i="1"/>
  <c r="L66" i="76" s="1"/>
  <c r="L65" i="76"/>
  <c r="L64" i="76"/>
  <c r="U154" i="1"/>
  <c r="L63" i="76" s="1"/>
  <c r="U68" i="1"/>
  <c r="L62" i="76" s="1"/>
  <c r="U78" i="1"/>
  <c r="U117" i="1"/>
  <c r="L60" i="76" s="1"/>
  <c r="U256" i="1"/>
  <c r="U55" i="1"/>
  <c r="U63" i="1"/>
  <c r="L57" i="76" s="1"/>
  <c r="L56" i="76"/>
  <c r="U61" i="1"/>
  <c r="L55" i="76" s="1"/>
  <c r="U16" i="1"/>
  <c r="L54" i="76" s="1"/>
  <c r="L53" i="76"/>
  <c r="U28" i="1"/>
  <c r="U33" i="1"/>
  <c r="L48" i="76"/>
  <c r="U53" i="1"/>
  <c r="L47" i="76" s="1"/>
  <c r="L46" i="76"/>
  <c r="U51" i="1"/>
  <c r="L45" i="76" s="1"/>
  <c r="U116" i="1"/>
  <c r="U49" i="1"/>
  <c r="L43" i="76" s="1"/>
  <c r="U48" i="1"/>
  <c r="L42" i="76" s="1"/>
  <c r="U47" i="1"/>
  <c r="L41" i="76" s="1"/>
  <c r="U46" i="1"/>
  <c r="L40" i="76" s="1"/>
  <c r="L39" i="76"/>
  <c r="U44" i="1"/>
  <c r="L38" i="76" s="1"/>
  <c r="U253" i="1"/>
  <c r="U177" i="1"/>
  <c r="U255" i="1"/>
  <c r="U39" i="1"/>
  <c r="L33" i="76" s="1"/>
  <c r="U166" i="1"/>
  <c r="L31" i="76"/>
  <c r="L30" i="76"/>
  <c r="U35" i="1"/>
  <c r="L29" i="76" s="1"/>
  <c r="U34" i="1"/>
  <c r="L28" i="76" s="1"/>
  <c r="L26" i="76"/>
  <c r="L25" i="76"/>
  <c r="U30" i="1"/>
  <c r="L24" i="76" s="1"/>
  <c r="U43" i="1"/>
  <c r="U42" i="1"/>
  <c r="U27" i="1"/>
  <c r="L21" i="76" s="1"/>
  <c r="L20" i="76"/>
  <c r="U24" i="1"/>
  <c r="L18" i="76" s="1"/>
  <c r="L17" i="76"/>
  <c r="U107" i="1"/>
  <c r="U21" i="1"/>
  <c r="L15" i="76" s="1"/>
  <c r="U20" i="1"/>
  <c r="L14" i="76" s="1"/>
  <c r="U186" i="1"/>
  <c r="U38" i="1"/>
  <c r="T67" i="75"/>
  <c r="T66" i="75"/>
  <c r="T65" i="75"/>
  <c r="T64" i="75"/>
  <c r="T63" i="75"/>
  <c r="T62" i="75"/>
  <c r="T61" i="75"/>
  <c r="T60" i="75"/>
  <c r="T59" i="75"/>
  <c r="T58" i="75"/>
  <c r="T57" i="75"/>
  <c r="T56" i="75"/>
  <c r="T55" i="75"/>
  <c r="T54" i="75"/>
  <c r="T53" i="75"/>
  <c r="T52" i="75"/>
  <c r="T51" i="75"/>
  <c r="T50" i="75"/>
  <c r="T49" i="75"/>
  <c r="T48" i="75"/>
  <c r="T47" i="75"/>
  <c r="T46" i="75"/>
  <c r="T45" i="75"/>
  <c r="T44" i="75"/>
  <c r="T43" i="75"/>
  <c r="T42" i="75"/>
  <c r="T41" i="75"/>
  <c r="T40" i="75"/>
  <c r="T39" i="75"/>
  <c r="T38" i="75"/>
  <c r="T37" i="75"/>
  <c r="T36" i="75"/>
  <c r="T35" i="75"/>
  <c r="T34" i="75"/>
  <c r="T33" i="75"/>
  <c r="T32" i="75"/>
  <c r="T31" i="75"/>
  <c r="T30" i="75"/>
  <c r="T29" i="75"/>
  <c r="T28" i="75"/>
  <c r="T27" i="75"/>
  <c r="T26" i="75"/>
  <c r="T25" i="75"/>
  <c r="T24" i="75"/>
  <c r="T23" i="75"/>
  <c r="T22" i="75"/>
  <c r="T21" i="75"/>
  <c r="T20" i="75"/>
  <c r="T19" i="75"/>
  <c r="T18" i="75"/>
  <c r="T17" i="75"/>
  <c r="T16" i="75"/>
  <c r="T15" i="75"/>
  <c r="T14" i="75"/>
  <c r="T13" i="75"/>
  <c r="T12" i="75"/>
  <c r="T11" i="75"/>
  <c r="T10" i="75"/>
  <c r="T9" i="75"/>
  <c r="T8" i="75"/>
  <c r="T7" i="75"/>
  <c r="T6" i="75"/>
  <c r="T5" i="75"/>
  <c r="T2" i="75"/>
  <c r="L10" i="76" l="1"/>
  <c r="L22" i="76"/>
  <c r="L49" i="76"/>
  <c r="L32" i="76"/>
  <c r="L36" i="76"/>
  <c r="L233" i="76"/>
  <c r="L13" i="76"/>
  <c r="L37" i="76"/>
  <c r="L230" i="76"/>
  <c r="L27" i="76"/>
  <c r="L102" i="76"/>
  <c r="L234" i="76"/>
  <c r="L23" i="76"/>
  <c r="L59" i="76"/>
  <c r="L235" i="76"/>
  <c r="L9" i="76"/>
  <c r="L229" i="76"/>
  <c r="U87" i="1"/>
  <c r="L82" i="76" s="1"/>
  <c r="U202" i="1"/>
  <c r="L186" i="76" s="1"/>
  <c r="L61" i="76" l="1"/>
  <c r="U213" i="1"/>
  <c r="L197" i="76" s="1"/>
  <c r="U208" i="1" l="1"/>
  <c r="L192" i="76" s="1"/>
  <c r="U185" i="1" l="1"/>
  <c r="L171" i="76" s="1"/>
  <c r="U180" i="1"/>
  <c r="L166" i="76" s="1"/>
  <c r="L228" i="76"/>
  <c r="L227" i="76"/>
  <c r="U244" i="1"/>
  <c r="L226" i="76" s="1"/>
  <c r="U243" i="1"/>
  <c r="L225" i="76" s="1"/>
  <c r="U242" i="1"/>
  <c r="L224" i="76" s="1"/>
  <c r="L223" i="76"/>
  <c r="U240" i="1"/>
  <c r="L222" i="76" s="1"/>
  <c r="T229" i="1"/>
  <c r="U229" i="1" s="1"/>
  <c r="L213" i="76" s="1"/>
  <c r="L214" i="76"/>
  <c r="U233" i="1"/>
  <c r="L216" i="76" s="1"/>
  <c r="U235" i="1"/>
  <c r="L218" i="76" s="1"/>
  <c r="T201" i="1"/>
  <c r="U201" i="1" s="1"/>
  <c r="L185" i="76" s="1"/>
  <c r="U239" i="1"/>
  <c r="L221" i="76" s="1"/>
  <c r="U238" i="1"/>
  <c r="L220" i="76" s="1"/>
  <c r="U237" i="1"/>
  <c r="L219" i="76" s="1"/>
  <c r="U234" i="1"/>
  <c r="L217" i="76" s="1"/>
  <c r="U228" i="1"/>
  <c r="L212" i="76" s="1"/>
  <c r="L211" i="76"/>
  <c r="U225" i="1"/>
  <c r="L209" i="76" s="1"/>
  <c r="U200" i="1"/>
  <c r="L184" i="76" s="1"/>
  <c r="U226" i="1"/>
  <c r="L210" i="76" s="1"/>
  <c r="U224" i="1"/>
  <c r="L208" i="76" s="1"/>
  <c r="U223" i="1"/>
  <c r="L207" i="76" s="1"/>
  <c r="U222" i="1"/>
  <c r="L206" i="76" s="1"/>
  <c r="U221" i="1"/>
  <c r="L205" i="76" s="1"/>
  <c r="U220" i="1"/>
  <c r="L204" i="76" s="1"/>
  <c r="U219" i="1"/>
  <c r="L203" i="76" s="1"/>
  <c r="U218" i="1"/>
  <c r="L202" i="76" s="1"/>
  <c r="U217" i="1"/>
  <c r="L201" i="76" s="1"/>
  <c r="U215" i="1"/>
  <c r="L199" i="76" s="1"/>
  <c r="U212" i="1"/>
  <c r="L196" i="76" s="1"/>
  <c r="U206" i="1"/>
  <c r="L190" i="76" s="1"/>
  <c r="U205" i="1"/>
  <c r="L189" i="76" s="1"/>
  <c r="U203" i="1"/>
  <c r="L187" i="76" s="1"/>
  <c r="U199" i="1"/>
  <c r="L183" i="76" s="1"/>
  <c r="L182" i="76"/>
  <c r="U197" i="1"/>
  <c r="L181" i="76" s="1"/>
  <c r="U196" i="1"/>
  <c r="L180" i="76" s="1"/>
  <c r="U195" i="1"/>
  <c r="L179" i="76" s="1"/>
  <c r="L178" i="76"/>
  <c r="U193" i="1"/>
  <c r="L177" i="76" s="1"/>
  <c r="U192" i="1"/>
  <c r="L176" i="76" s="1"/>
  <c r="U189" i="1"/>
  <c r="L175" i="76" s="1"/>
  <c r="U188" i="1"/>
  <c r="L174" i="76" s="1"/>
  <c r="U187" i="1"/>
  <c r="L173" i="76" s="1"/>
  <c r="U15" i="1" l="1"/>
  <c r="L172" i="76" l="1"/>
  <c r="L8" i="76"/>
  <c r="U184" i="1"/>
  <c r="L170" i="76" s="1"/>
  <c r="M17" i="1"/>
  <c r="M106" i="1"/>
  <c r="P101" i="76" s="1"/>
  <c r="U162" i="1"/>
  <c r="L150" i="76" s="1"/>
  <c r="P146" i="76" l="1"/>
  <c r="P11" i="76"/>
  <c r="U183" i="1"/>
  <c r="L169" i="76" s="1"/>
  <c r="U182" i="1"/>
  <c r="L168" i="76" s="1"/>
  <c r="U25" i="1"/>
  <c r="U148" i="1"/>
  <c r="L136" i="76" s="1"/>
  <c r="U160" i="1"/>
  <c r="L148" i="76" s="1"/>
  <c r="L142" i="76"/>
  <c r="U110" i="1"/>
  <c r="L105" i="76" s="1"/>
  <c r="U179" i="1"/>
  <c r="L165" i="76" s="1"/>
  <c r="U163" i="1"/>
  <c r="L163" i="76" s="1"/>
  <c r="U173" i="1"/>
  <c r="L159" i="76" s="1"/>
  <c r="U18" i="1"/>
  <c r="U129" i="1"/>
  <c r="L119" i="76" s="1"/>
  <c r="U112" i="1"/>
  <c r="L107" i="76" s="1"/>
  <c r="U167" i="1"/>
  <c r="L153" i="76" s="1"/>
  <c r="U97" i="1"/>
  <c r="L92" i="76" s="1"/>
  <c r="U93" i="1"/>
  <c r="U118" i="1"/>
  <c r="L112" i="76" s="1"/>
  <c r="U138" i="1"/>
  <c r="L110" i="76" s="1"/>
  <c r="U120" i="1"/>
  <c r="L121" i="76" s="1"/>
  <c r="U96" i="1"/>
  <c r="L91" i="76" s="1"/>
  <c r="U111" i="1"/>
  <c r="L106" i="76" s="1"/>
  <c r="U95" i="1"/>
  <c r="U156" i="1"/>
  <c r="L144" i="76" s="1"/>
  <c r="U127" i="1"/>
  <c r="L117" i="76" s="1"/>
  <c r="U155" i="1"/>
  <c r="L143" i="76" s="1"/>
  <c r="U57" i="1"/>
  <c r="U94" i="1"/>
  <c r="L89" i="76" s="1"/>
  <c r="U178" i="1"/>
  <c r="L164" i="76" s="1"/>
  <c r="L72" i="76"/>
  <c r="U41" i="1"/>
  <c r="U40" i="1"/>
  <c r="U56" i="1"/>
  <c r="L111" i="76"/>
  <c r="U159" i="1"/>
  <c r="L147" i="76" s="1"/>
  <c r="U50" i="1"/>
  <c r="U22" i="1"/>
  <c r="U106" i="1"/>
  <c r="L101" i="76" s="1"/>
  <c r="U136" i="1"/>
  <c r="L124" i="76" s="1"/>
  <c r="U17" i="1"/>
  <c r="U102" i="1"/>
  <c r="L97" i="76" s="1"/>
  <c r="U168" i="1"/>
  <c r="L154" i="76" s="1"/>
  <c r="U176" i="1"/>
  <c r="L162" i="76" s="1"/>
  <c r="U169" i="1"/>
  <c r="L155" i="76" s="1"/>
  <c r="U119" i="1"/>
  <c r="L113" i="76" s="1"/>
  <c r="L152" i="76"/>
  <c r="U90" i="1"/>
  <c r="L85" i="76" s="1"/>
  <c r="U100" i="1"/>
  <c r="L95" i="76" s="1"/>
  <c r="L76" i="76"/>
  <c r="L115" i="76" l="1"/>
  <c r="L145" i="76"/>
  <c r="L12" i="76"/>
  <c r="L133" i="76"/>
  <c r="L34" i="76"/>
  <c r="L126" i="76"/>
  <c r="L35" i="76"/>
  <c r="L109" i="76"/>
  <c r="L58" i="76"/>
  <c r="L114" i="76"/>
  <c r="L167" i="76"/>
  <c r="L19" i="76"/>
  <c r="L88" i="76"/>
  <c r="L52" i="76"/>
  <c r="L149" i="76"/>
  <c r="L44" i="76"/>
  <c r="L135" i="76"/>
  <c r="L50" i="76"/>
  <c r="L146" i="76"/>
  <c r="L11" i="76"/>
  <c r="L125" i="76"/>
  <c r="L51" i="76"/>
  <c r="L90" i="76"/>
  <c r="L151" i="76"/>
  <c r="L16" i="76"/>
  <c r="U98" i="1"/>
  <c r="L93" i="76" s="1"/>
  <c r="U153" i="1"/>
  <c r="L141" i="76" s="1"/>
  <c r="U174" i="1" l="1"/>
  <c r="L160" i="76" s="1"/>
  <c r="U172" i="1" l="1"/>
  <c r="L158" i="76" s="1"/>
  <c r="U171" i="1"/>
  <c r="L157" i="76" s="1"/>
  <c r="U170" i="1"/>
  <c r="L156" i="76" s="1"/>
  <c r="N176" i="1" l="1"/>
  <c r="R162" i="76" s="1"/>
  <c r="N99" i="1"/>
  <c r="R94" i="76" s="1"/>
  <c r="U99" i="1" l="1"/>
  <c r="L94" i="76" s="1"/>
  <c r="U101" i="1"/>
  <c r="L96" i="76" s="1"/>
  <c r="U103" i="1"/>
  <c r="L98" i="76" s="1"/>
  <c r="U105" i="1"/>
  <c r="L100" i="76" s="1"/>
  <c r="U126" i="1"/>
  <c r="L116" i="76" s="1"/>
  <c r="U135" i="1"/>
  <c r="L123" i="76" s="1"/>
  <c r="U108" i="1"/>
  <c r="L103" i="76" s="1"/>
  <c r="U109" i="1"/>
  <c r="L104" i="76" s="1"/>
  <c r="U114" i="1"/>
  <c r="L108" i="76" s="1"/>
  <c r="U128" i="1"/>
  <c r="L118" i="76" s="1"/>
  <c r="U130" i="1"/>
  <c r="L120" i="76" s="1"/>
  <c r="U134" i="1"/>
  <c r="L122" i="76" s="1"/>
  <c r="U139" i="1"/>
  <c r="L127" i="76" s="1"/>
  <c r="U140" i="1"/>
  <c r="L128" i="76" s="1"/>
  <c r="U141" i="1"/>
  <c r="L129" i="76" s="1"/>
  <c r="U142" i="1"/>
  <c r="L130" i="76" s="1"/>
  <c r="U143" i="1"/>
  <c r="L131" i="76" s="1"/>
  <c r="U144" i="1"/>
  <c r="L132" i="76" s="1"/>
  <c r="U146" i="1"/>
  <c r="L134" i="76" s="1"/>
  <c r="U149" i="1"/>
  <c r="L137" i="76" s="1"/>
  <c r="U150" i="1"/>
  <c r="L138" i="76" s="1"/>
  <c r="U175" i="1"/>
  <c r="L161" i="76" s="1"/>
  <c r="U151" i="1"/>
  <c r="L139" i="76" s="1"/>
  <c r="U152" i="1"/>
  <c r="L140" i="76" s="1"/>
  <c r="U92" i="1"/>
  <c r="L87" i="76" s="1"/>
  <c r="U91" i="1"/>
  <c r="L86" i="76" s="1"/>
  <c r="U83" i="1" l="1"/>
  <c r="L78" i="76" s="1"/>
  <c r="U85" i="1" l="1"/>
  <c r="L80" i="76" s="1"/>
  <c r="U86" i="1"/>
  <c r="L81" i="76" s="1"/>
  <c r="U77" i="1" l="1"/>
  <c r="L71" i="76" s="1"/>
  <c r="U104" i="1"/>
  <c r="L99" i="76" s="1"/>
  <c r="U79" i="1"/>
  <c r="L73" i="76" s="1"/>
  <c r="U80" i="1"/>
  <c r="L74" i="76" s="1"/>
  <c r="U81" i="1"/>
  <c r="L75" i="76" s="1"/>
  <c r="U82" i="1"/>
  <c r="L77" i="76" s="1"/>
  <c r="U84" i="1"/>
  <c r="L79" i="76" s="1"/>
  <c r="U88" i="1"/>
  <c r="L83" i="76" s="1"/>
  <c r="U89" i="1"/>
  <c r="L84" i="76" s="1"/>
  <c r="Q115" i="49" l="1"/>
  <c r="Q104" i="49"/>
  <c r="AA104" i="49"/>
  <c r="BQ96" i="49" s="1"/>
  <c r="K72" i="49"/>
  <c r="BA67" i="49" s="1"/>
  <c r="Y105" i="49" l="1"/>
  <c r="C39" i="49"/>
  <c r="C44" i="49"/>
  <c r="AP36" i="49" s="1"/>
  <c r="C34" i="49"/>
  <c r="C53" i="49"/>
  <c r="C47" i="49"/>
  <c r="C37" i="49"/>
  <c r="C50" i="49"/>
  <c r="C46" i="49"/>
  <c r="AP39" i="49" s="1"/>
  <c r="C42" i="49"/>
  <c r="AP37" i="49" s="1"/>
  <c r="C38" i="49"/>
  <c r="C40" i="49"/>
  <c r="C52" i="49"/>
  <c r="C55" i="49"/>
  <c r="C51" i="49"/>
  <c r="C48" i="49"/>
  <c r="C43" i="49"/>
  <c r="C36" i="49"/>
  <c r="C35" i="49"/>
  <c r="C54" i="49"/>
  <c r="C49" i="49"/>
  <c r="C45" i="49"/>
  <c r="C41" i="49"/>
  <c r="AP35" i="49" s="1"/>
  <c r="B34" i="49"/>
  <c r="B37" i="49"/>
  <c r="B36" i="49"/>
  <c r="B35" i="49"/>
  <c r="B41" i="49"/>
  <c r="AO35" i="49" s="1"/>
  <c r="B45" i="49"/>
  <c r="B49" i="49"/>
  <c r="B53" i="49"/>
  <c r="D35" i="49"/>
  <c r="D39" i="49"/>
  <c r="D43" i="49"/>
  <c r="D47" i="49"/>
  <c r="D51" i="49"/>
  <c r="D55" i="49"/>
  <c r="E37" i="49"/>
  <c r="E41" i="49"/>
  <c r="AR35" i="49" s="1"/>
  <c r="E45" i="49"/>
  <c r="E49" i="49"/>
  <c r="E53" i="49"/>
  <c r="F35" i="49"/>
  <c r="F39" i="49"/>
  <c r="F43" i="49"/>
  <c r="F47" i="49"/>
  <c r="F51" i="49"/>
  <c r="F55" i="49"/>
  <c r="G37" i="49"/>
  <c r="G41" i="49"/>
  <c r="AT35" i="49" s="1"/>
  <c r="G45" i="49"/>
  <c r="G49" i="49"/>
  <c r="G53" i="49"/>
  <c r="U35" i="49"/>
  <c r="U39" i="49"/>
  <c r="U43" i="49"/>
  <c r="U47" i="49"/>
  <c r="U51" i="49"/>
  <c r="U55" i="49"/>
  <c r="V37" i="49"/>
  <c r="V41" i="49"/>
  <c r="BI35" i="49" s="1"/>
  <c r="V45" i="49"/>
  <c r="V49" i="49"/>
  <c r="V53" i="49"/>
  <c r="W35" i="49"/>
  <c r="W39" i="49"/>
  <c r="W43" i="49"/>
  <c r="W47" i="49"/>
  <c r="W51" i="49"/>
  <c r="W55" i="49"/>
  <c r="X37" i="49"/>
  <c r="X41" i="49"/>
  <c r="BK35" i="49" s="1"/>
  <c r="X45" i="49"/>
  <c r="X49" i="49"/>
  <c r="X53" i="49"/>
  <c r="Y35" i="49"/>
  <c r="Y39" i="49"/>
  <c r="B38" i="49"/>
  <c r="B42" i="49"/>
  <c r="AO37" i="49" s="1"/>
  <c r="B46" i="49"/>
  <c r="AO39" i="49" s="1"/>
  <c r="B50" i="49"/>
  <c r="B54" i="49"/>
  <c r="D36" i="49"/>
  <c r="D40" i="49"/>
  <c r="D44" i="49"/>
  <c r="AQ36" i="49" s="1"/>
  <c r="D48" i="49"/>
  <c r="D52" i="49"/>
  <c r="E34" i="49"/>
  <c r="E38" i="49"/>
  <c r="E42" i="49"/>
  <c r="AR37" i="49" s="1"/>
  <c r="E46" i="49"/>
  <c r="AR39" i="49" s="1"/>
  <c r="E50" i="49"/>
  <c r="E54" i="49"/>
  <c r="F36" i="49"/>
  <c r="F40" i="49"/>
  <c r="F44" i="49"/>
  <c r="AS36" i="49" s="1"/>
  <c r="F48" i="49"/>
  <c r="F52" i="49"/>
  <c r="G34" i="49"/>
  <c r="G38" i="49"/>
  <c r="G42" i="49"/>
  <c r="AT37" i="49" s="1"/>
  <c r="G46" i="49"/>
  <c r="AT39" i="49" s="1"/>
  <c r="G50" i="49"/>
  <c r="G54" i="49"/>
  <c r="U36" i="49"/>
  <c r="U40" i="49"/>
  <c r="U44" i="49"/>
  <c r="BH36" i="49" s="1"/>
  <c r="U48" i="49"/>
  <c r="U52" i="49"/>
  <c r="V34" i="49"/>
  <c r="V38" i="49"/>
  <c r="V42" i="49"/>
  <c r="BI37" i="49" s="1"/>
  <c r="V46" i="49"/>
  <c r="BI39" i="49" s="1"/>
  <c r="V50" i="49"/>
  <c r="V54" i="49"/>
  <c r="W36" i="49"/>
  <c r="W40" i="49"/>
  <c r="W44" i="49"/>
  <c r="BJ36" i="49" s="1"/>
  <c r="W48" i="49"/>
  <c r="W52" i="49"/>
  <c r="X34" i="49"/>
  <c r="X38" i="49"/>
  <c r="X42" i="49"/>
  <c r="BK37" i="49" s="1"/>
  <c r="X46" i="49"/>
  <c r="BK39" i="49" s="1"/>
  <c r="X50" i="49"/>
  <c r="X54" i="49"/>
  <c r="Y36" i="49"/>
  <c r="Y40" i="49"/>
  <c r="Y44" i="49"/>
  <c r="BL36" i="49" s="1"/>
  <c r="Y48" i="49"/>
  <c r="Y52" i="49"/>
  <c r="Z34" i="49"/>
  <c r="Z38" i="49"/>
  <c r="Z42" i="49"/>
  <c r="BM37" i="49" s="1"/>
  <c r="Z46" i="49"/>
  <c r="BM39" i="49" s="1"/>
  <c r="Z50" i="49"/>
  <c r="Z54" i="49"/>
  <c r="B39" i="49"/>
  <c r="B43" i="49"/>
  <c r="B47" i="49"/>
  <c r="B51" i="49"/>
  <c r="B55" i="49"/>
  <c r="D37" i="49"/>
  <c r="D41" i="49"/>
  <c r="AQ35" i="49" s="1"/>
  <c r="D45" i="49"/>
  <c r="D49" i="49"/>
  <c r="D53" i="49"/>
  <c r="E35" i="49"/>
  <c r="E39" i="49"/>
  <c r="E43" i="49"/>
  <c r="E47" i="49"/>
  <c r="E51" i="49"/>
  <c r="E55" i="49"/>
  <c r="F37" i="49"/>
  <c r="F41" i="49"/>
  <c r="AS35" i="49" s="1"/>
  <c r="F45" i="49"/>
  <c r="F49" i="49"/>
  <c r="F53" i="49"/>
  <c r="G35" i="49"/>
  <c r="G39" i="49"/>
  <c r="G43" i="49"/>
  <c r="G47" i="49"/>
  <c r="G51" i="49"/>
  <c r="G55" i="49"/>
  <c r="B40" i="49"/>
  <c r="B44" i="49"/>
  <c r="AO36" i="49" s="1"/>
  <c r="B48" i="49"/>
  <c r="B52" i="49"/>
  <c r="D34" i="49"/>
  <c r="D38" i="49"/>
  <c r="D42" i="49"/>
  <c r="AQ37" i="49" s="1"/>
  <c r="U38" i="49"/>
  <c r="U50" i="49"/>
  <c r="V40" i="49"/>
  <c r="V52" i="49"/>
  <c r="W42" i="49"/>
  <c r="BJ37" i="49" s="1"/>
  <c r="W53" i="49"/>
  <c r="Y45" i="49"/>
  <c r="Z35" i="49"/>
  <c r="U41" i="49"/>
  <c r="BH35" i="49" s="1"/>
  <c r="U53" i="49"/>
  <c r="V43" i="49"/>
  <c r="V55" i="49"/>
  <c r="X40" i="49"/>
  <c r="X51" i="49"/>
  <c r="W45" i="49"/>
  <c r="Y38" i="49"/>
  <c r="Y51" i="49"/>
  <c r="Z41" i="49"/>
  <c r="BM35" i="49" s="1"/>
  <c r="Z53" i="49"/>
  <c r="X39" i="49"/>
  <c r="Z47" i="49"/>
  <c r="D46" i="49"/>
  <c r="AQ39" i="49" s="1"/>
  <c r="E36" i="49"/>
  <c r="E48" i="49"/>
  <c r="F38" i="49"/>
  <c r="F50" i="49"/>
  <c r="G40" i="49"/>
  <c r="G52" i="49"/>
  <c r="W54" i="49"/>
  <c r="X43" i="49"/>
  <c r="Y46" i="49"/>
  <c r="BL39" i="49" s="1"/>
  <c r="Z36" i="49"/>
  <c r="Z48" i="49"/>
  <c r="W34" i="49"/>
  <c r="X52" i="49"/>
  <c r="Z43" i="49"/>
  <c r="U42" i="49"/>
  <c r="BH37" i="49" s="1"/>
  <c r="U54" i="49"/>
  <c r="V44" i="49"/>
  <c r="BI36" i="49" s="1"/>
  <c r="Y41" i="49"/>
  <c r="BL35" i="49" s="1"/>
  <c r="Y53" i="49"/>
  <c r="Z55" i="49"/>
  <c r="Z52" i="49"/>
  <c r="U45" i="49"/>
  <c r="V35" i="49"/>
  <c r="V47" i="49"/>
  <c r="W37" i="49"/>
  <c r="W46" i="49"/>
  <c r="BJ39" i="49" s="1"/>
  <c r="X35" i="49"/>
  <c r="Y43" i="49"/>
  <c r="X44" i="49"/>
  <c r="BK36" i="49" s="1"/>
  <c r="X55" i="49"/>
  <c r="Y47" i="49"/>
  <c r="Z37" i="49"/>
  <c r="Z49" i="49"/>
  <c r="Z51" i="49"/>
  <c r="Y55" i="49"/>
  <c r="D50" i="49"/>
  <c r="E40" i="49"/>
  <c r="E52" i="49"/>
  <c r="F42" i="49"/>
  <c r="AS37" i="49" s="1"/>
  <c r="F54" i="49"/>
  <c r="G44" i="49"/>
  <c r="AT36" i="49" s="1"/>
  <c r="W49" i="49"/>
  <c r="Y42" i="49"/>
  <c r="BL37" i="49" s="1"/>
  <c r="Y54" i="49"/>
  <c r="Z44" i="49"/>
  <c r="BM36" i="49" s="1"/>
  <c r="Z45" i="49"/>
  <c r="U34" i="49"/>
  <c r="U46" i="49"/>
  <c r="BH39" i="49" s="1"/>
  <c r="V36" i="49"/>
  <c r="V48" i="49"/>
  <c r="W38" i="49"/>
  <c r="X36" i="49"/>
  <c r="X47" i="49"/>
  <c r="Y49" i="49"/>
  <c r="Z39" i="49"/>
  <c r="Y34" i="49"/>
  <c r="U37" i="49"/>
  <c r="U49" i="49"/>
  <c r="V39" i="49"/>
  <c r="V51" i="49"/>
  <c r="W41" i="49"/>
  <c r="BJ35" i="49" s="1"/>
  <c r="W50" i="49"/>
  <c r="D54" i="49"/>
  <c r="E44" i="49"/>
  <c r="AR36" i="49" s="1"/>
  <c r="F34" i="49"/>
  <c r="F46" i="49"/>
  <c r="AS39" i="49" s="1"/>
  <c r="G36" i="49"/>
  <c r="G48" i="49"/>
  <c r="X48" i="49"/>
  <c r="Y37" i="49"/>
  <c r="Y50" i="49"/>
  <c r="Z40" i="49"/>
  <c r="AA10" i="49"/>
  <c r="AB52" i="49"/>
  <c r="O48" i="49"/>
  <c r="O45" i="49"/>
  <c r="O42" i="49"/>
  <c r="O35" i="49"/>
  <c r="O53" i="49"/>
  <c r="O47" i="49"/>
  <c r="AB40" i="49"/>
  <c r="O37" i="49"/>
  <c r="AB43" i="49"/>
  <c r="O40" i="49"/>
  <c r="O55" i="49"/>
  <c r="O52" i="49"/>
  <c r="AB34" i="49"/>
  <c r="AB55" i="49"/>
  <c r="O51" i="49"/>
  <c r="O49" i="49"/>
  <c r="AB46" i="49"/>
  <c r="BR39" i="49" s="1"/>
  <c r="O43" i="49"/>
  <c r="AB36" i="49"/>
  <c r="O54" i="49"/>
  <c r="AB48" i="49"/>
  <c r="AB45" i="49"/>
  <c r="AB42" i="49"/>
  <c r="BR37" i="49" s="1"/>
  <c r="AB39" i="49"/>
  <c r="O36" i="49"/>
  <c r="O44" i="49"/>
  <c r="AB41" i="49"/>
  <c r="BR35" i="49" s="1"/>
  <c r="AB38" i="49"/>
  <c r="AB35" i="49"/>
  <c r="AB54" i="49"/>
  <c r="AB51" i="49"/>
  <c r="AB49" i="49"/>
  <c r="O46" i="49"/>
  <c r="O39" i="49"/>
  <c r="AB53" i="49"/>
  <c r="O50" i="49"/>
  <c r="AB47" i="49"/>
  <c r="AB44" i="49"/>
  <c r="BR36" i="49" s="1"/>
  <c r="O41" i="49"/>
  <c r="O38" i="49"/>
  <c r="AB50" i="49"/>
  <c r="AB37" i="49"/>
  <c r="O34" i="49"/>
  <c r="AA36" i="49"/>
  <c r="N36" i="49"/>
  <c r="AA35" i="49"/>
  <c r="N35" i="49"/>
  <c r="AA34" i="49"/>
  <c r="N34" i="49"/>
  <c r="N37" i="49"/>
  <c r="H35" i="49"/>
  <c r="H39" i="49"/>
  <c r="H43" i="49"/>
  <c r="H47" i="49"/>
  <c r="H51" i="49"/>
  <c r="H55" i="49"/>
  <c r="I37" i="49"/>
  <c r="I41" i="49"/>
  <c r="AY35" i="49" s="1"/>
  <c r="I45" i="49"/>
  <c r="I49" i="49"/>
  <c r="I53" i="49"/>
  <c r="J35" i="49"/>
  <c r="J39" i="49"/>
  <c r="AL55" i="49"/>
  <c r="N41" i="49"/>
  <c r="N45" i="49"/>
  <c r="N49" i="49"/>
  <c r="N53" i="49"/>
  <c r="P35" i="49"/>
  <c r="P39" i="49"/>
  <c r="P43" i="49"/>
  <c r="P47" i="49"/>
  <c r="P51" i="49"/>
  <c r="P55" i="49"/>
  <c r="Q37" i="49"/>
  <c r="Q41" i="49"/>
  <c r="Q45" i="49"/>
  <c r="Q49" i="49"/>
  <c r="Q53" i="49"/>
  <c r="R35" i="49"/>
  <c r="R39" i="49"/>
  <c r="R43" i="49"/>
  <c r="R47" i="49"/>
  <c r="R51" i="49"/>
  <c r="R55" i="49"/>
  <c r="S37" i="49"/>
  <c r="S41" i="49"/>
  <c r="S45" i="49"/>
  <c r="S49" i="49"/>
  <c r="S53" i="49"/>
  <c r="AA37" i="49"/>
  <c r="AA41" i="49"/>
  <c r="BQ35" i="49" s="1"/>
  <c r="AA45" i="49"/>
  <c r="AA49" i="49"/>
  <c r="AA53" i="49"/>
  <c r="AC35" i="49"/>
  <c r="AC39" i="49"/>
  <c r="AC43" i="49"/>
  <c r="AC47" i="49"/>
  <c r="AC51" i="49"/>
  <c r="AC55" i="49"/>
  <c r="AD37" i="49"/>
  <c r="AD41" i="49"/>
  <c r="BT35" i="49" s="1"/>
  <c r="AD45" i="49"/>
  <c r="AD49" i="49"/>
  <c r="AD53" i="49"/>
  <c r="AE35" i="49"/>
  <c r="AE39" i="49"/>
  <c r="AE43" i="49"/>
  <c r="AE47" i="49"/>
  <c r="AE51" i="49"/>
  <c r="AE55" i="49"/>
  <c r="AF37" i="49"/>
  <c r="AF41" i="49"/>
  <c r="BV35" i="49" s="1"/>
  <c r="AF45" i="49"/>
  <c r="AF49" i="49"/>
  <c r="AF53" i="49"/>
  <c r="AG35" i="49"/>
  <c r="AG39" i="49"/>
  <c r="AG43" i="49"/>
  <c r="AG47" i="49"/>
  <c r="AG51" i="49"/>
  <c r="AG55" i="49"/>
  <c r="AH37" i="49"/>
  <c r="AH41" i="49"/>
  <c r="AH45" i="49"/>
  <c r="AH49" i="49"/>
  <c r="AH53" i="49"/>
  <c r="AI35" i="49"/>
  <c r="AI39" i="49"/>
  <c r="AI43" i="49"/>
  <c r="AI47" i="49"/>
  <c r="AI51" i="49"/>
  <c r="AI55" i="49"/>
  <c r="AJ37" i="49"/>
  <c r="AJ41" i="49"/>
  <c r="AJ45" i="49"/>
  <c r="AJ49" i="49"/>
  <c r="AJ53" i="49"/>
  <c r="AK35" i="49"/>
  <c r="AK39" i="49"/>
  <c r="AK43" i="49"/>
  <c r="AK47" i="49"/>
  <c r="AK51" i="49"/>
  <c r="AK55" i="49"/>
  <c r="AL37" i="49"/>
  <c r="AL41" i="49"/>
  <c r="AL45" i="49"/>
  <c r="AL49" i="49"/>
  <c r="AL53" i="49"/>
  <c r="L52" i="49"/>
  <c r="M38" i="49"/>
  <c r="M50" i="49"/>
  <c r="H36" i="49"/>
  <c r="H40" i="49"/>
  <c r="H44" i="49"/>
  <c r="AX36" i="49" s="1"/>
  <c r="H48" i="49"/>
  <c r="H52" i="49"/>
  <c r="I34" i="49"/>
  <c r="I38" i="49"/>
  <c r="I42" i="49"/>
  <c r="AY37" i="49" s="1"/>
  <c r="I46" i="49"/>
  <c r="AY39" i="49" s="1"/>
  <c r="I50" i="49"/>
  <c r="I54" i="49"/>
  <c r="J36" i="49"/>
  <c r="J40" i="49"/>
  <c r="J44" i="49"/>
  <c r="AZ36" i="49" s="1"/>
  <c r="J48" i="49"/>
  <c r="J52" i="49"/>
  <c r="K34" i="49"/>
  <c r="K38" i="49"/>
  <c r="K42" i="49"/>
  <c r="BA37" i="49" s="1"/>
  <c r="K46" i="49"/>
  <c r="BA39" i="49" s="1"/>
  <c r="K50" i="49"/>
  <c r="K54" i="49"/>
  <c r="L36" i="49"/>
  <c r="L40" i="49"/>
  <c r="L44" i="49"/>
  <c r="BB36" i="49" s="1"/>
  <c r="L48" i="49"/>
  <c r="M34" i="49"/>
  <c r="M42" i="49"/>
  <c r="BC37" i="49" s="1"/>
  <c r="M46" i="49"/>
  <c r="BC39" i="49" s="1"/>
  <c r="M54" i="49"/>
  <c r="N38" i="49"/>
  <c r="N42" i="49"/>
  <c r="N46" i="49"/>
  <c r="N50" i="49"/>
  <c r="N54" i="49"/>
  <c r="P36" i="49"/>
  <c r="P40" i="49"/>
  <c r="P44" i="49"/>
  <c r="P48" i="49"/>
  <c r="P52" i="49"/>
  <c r="Q34" i="49"/>
  <c r="Q38" i="49"/>
  <c r="Q42" i="49"/>
  <c r="Q46" i="49"/>
  <c r="Q50" i="49"/>
  <c r="Q54" i="49"/>
  <c r="R36" i="49"/>
  <c r="R40" i="49"/>
  <c r="R44" i="49"/>
  <c r="R48" i="49"/>
  <c r="R52" i="49"/>
  <c r="S34" i="49"/>
  <c r="S38" i="49"/>
  <c r="S42" i="49"/>
  <c r="S46" i="49"/>
  <c r="S50" i="49"/>
  <c r="S54" i="49"/>
  <c r="AA38" i="49"/>
  <c r="AA42" i="49"/>
  <c r="BQ37" i="49" s="1"/>
  <c r="AA46" i="49"/>
  <c r="BQ39" i="49" s="1"/>
  <c r="AA50" i="49"/>
  <c r="AA54" i="49"/>
  <c r="AC36" i="49"/>
  <c r="AC40" i="49"/>
  <c r="AC44" i="49"/>
  <c r="BS36" i="49" s="1"/>
  <c r="AC48" i="49"/>
  <c r="AC52" i="49"/>
  <c r="AD34" i="49"/>
  <c r="AD38" i="49"/>
  <c r="AD42" i="49"/>
  <c r="BT37" i="49" s="1"/>
  <c r="AD46" i="49"/>
  <c r="BT39" i="49" s="1"/>
  <c r="AD50" i="49"/>
  <c r="AD54" i="49"/>
  <c r="AE36" i="49"/>
  <c r="AE40" i="49"/>
  <c r="AE44" i="49"/>
  <c r="BU36" i="49" s="1"/>
  <c r="AE48" i="49"/>
  <c r="AE52" i="49"/>
  <c r="AF34" i="49"/>
  <c r="AF38" i="49"/>
  <c r="AF42" i="49"/>
  <c r="BV37" i="49" s="1"/>
  <c r="AF46" i="49"/>
  <c r="BV39" i="49" s="1"/>
  <c r="AF50" i="49"/>
  <c r="AF54" i="49"/>
  <c r="AG36" i="49"/>
  <c r="AG40" i="49"/>
  <c r="AG44" i="49"/>
  <c r="AG48" i="49"/>
  <c r="AG52" i="49"/>
  <c r="AH34" i="49"/>
  <c r="AH38" i="49"/>
  <c r="AH42" i="49"/>
  <c r="AH46" i="49"/>
  <c r="AH50" i="49"/>
  <c r="AH54" i="49"/>
  <c r="AI36" i="49"/>
  <c r="AI40" i="49"/>
  <c r="AI44" i="49"/>
  <c r="AI48" i="49"/>
  <c r="AI52" i="49"/>
  <c r="AJ34" i="49"/>
  <c r="AJ38" i="49"/>
  <c r="AJ42" i="49"/>
  <c r="AJ46" i="49"/>
  <c r="AJ50" i="49"/>
  <c r="AJ54" i="49"/>
  <c r="AK36" i="49"/>
  <c r="AK40" i="49"/>
  <c r="AK44" i="49"/>
  <c r="AK48" i="49"/>
  <c r="AK52" i="49"/>
  <c r="AL34" i="49"/>
  <c r="AL38" i="49"/>
  <c r="AL42" i="49"/>
  <c r="AL46" i="49"/>
  <c r="AL50" i="49"/>
  <c r="AL54" i="49"/>
  <c r="H37" i="49"/>
  <c r="H41" i="49"/>
  <c r="AX35" i="49" s="1"/>
  <c r="H45" i="49"/>
  <c r="H49" i="49"/>
  <c r="H53" i="49"/>
  <c r="I35" i="49"/>
  <c r="I39" i="49"/>
  <c r="I43" i="49"/>
  <c r="I47" i="49"/>
  <c r="I51" i="49"/>
  <c r="I55" i="49"/>
  <c r="J37" i="49"/>
  <c r="J41" i="49"/>
  <c r="AZ35" i="49" s="1"/>
  <c r="J45" i="49"/>
  <c r="J49" i="49"/>
  <c r="J53" i="49"/>
  <c r="K35" i="49"/>
  <c r="K39" i="49"/>
  <c r="K43" i="49"/>
  <c r="K47" i="49"/>
  <c r="K51" i="49"/>
  <c r="K55" i="49"/>
  <c r="L37" i="49"/>
  <c r="L41" i="49"/>
  <c r="BB35" i="49" s="1"/>
  <c r="N39" i="49"/>
  <c r="N43" i="49"/>
  <c r="N47" i="49"/>
  <c r="N51" i="49"/>
  <c r="N55" i="49"/>
  <c r="P37" i="49"/>
  <c r="P41" i="49"/>
  <c r="P45" i="49"/>
  <c r="AA39" i="49"/>
  <c r="AA40" i="49"/>
  <c r="AA44" i="49"/>
  <c r="BQ36" i="49" s="1"/>
  <c r="AA48" i="49"/>
  <c r="AA52" i="49"/>
  <c r="AC34" i="49"/>
  <c r="AC38" i="49"/>
  <c r="AC42" i="49"/>
  <c r="BS37" i="49" s="1"/>
  <c r="AC46" i="49"/>
  <c r="BS39" i="49" s="1"/>
  <c r="AC50" i="49"/>
  <c r="AC54" i="49"/>
  <c r="AD36" i="49"/>
  <c r="AD40" i="49"/>
  <c r="AD44" i="49"/>
  <c r="BT36" i="49" s="1"/>
  <c r="AD48" i="49"/>
  <c r="AD52" i="49"/>
  <c r="AE34" i="49"/>
  <c r="AE38" i="49"/>
  <c r="AE42" i="49"/>
  <c r="BU37" i="49" s="1"/>
  <c r="AE46" i="49"/>
  <c r="BU39" i="49" s="1"/>
  <c r="AE50" i="49"/>
  <c r="AE54" i="49"/>
  <c r="AF36" i="49"/>
  <c r="AF40" i="49"/>
  <c r="AF44" i="49"/>
  <c r="BV36" i="49" s="1"/>
  <c r="AF48" i="49"/>
  <c r="AF52" i="49"/>
  <c r="AG34" i="49"/>
  <c r="AG38" i="49"/>
  <c r="AG42" i="49"/>
  <c r="AG46" i="49"/>
  <c r="AG50" i="49"/>
  <c r="AG54" i="49"/>
  <c r="AH36" i="49"/>
  <c r="AH40" i="49"/>
  <c r="AH44" i="49"/>
  <c r="AH48" i="49"/>
  <c r="AH52" i="49"/>
  <c r="AI34" i="49"/>
  <c r="AI38" i="49"/>
  <c r="AI42" i="49"/>
  <c r="AI46" i="49"/>
  <c r="AI50" i="49"/>
  <c r="AI54" i="49"/>
  <c r="AJ36" i="49"/>
  <c r="AJ40" i="49"/>
  <c r="AJ44" i="49"/>
  <c r="AJ48" i="49"/>
  <c r="AJ52" i="49"/>
  <c r="AK34" i="49"/>
  <c r="AK38" i="49"/>
  <c r="N40" i="49"/>
  <c r="P54" i="49"/>
  <c r="Q44" i="49"/>
  <c r="R34" i="49"/>
  <c r="R46" i="49"/>
  <c r="S36" i="49"/>
  <c r="S48" i="49"/>
  <c r="K40" i="49"/>
  <c r="K49" i="49"/>
  <c r="AK37" i="49"/>
  <c r="AK50" i="49"/>
  <c r="AA43" i="49"/>
  <c r="P42" i="49"/>
  <c r="Q35" i="49"/>
  <c r="Q47" i="49"/>
  <c r="R37" i="49"/>
  <c r="R49" i="49"/>
  <c r="S39" i="49"/>
  <c r="S51" i="49"/>
  <c r="J43" i="49"/>
  <c r="AI53" i="49"/>
  <c r="L38" i="49"/>
  <c r="AK45" i="49"/>
  <c r="L51" i="49"/>
  <c r="AL35" i="49"/>
  <c r="M41" i="49"/>
  <c r="BC35" i="49" s="1"/>
  <c r="AL47" i="49"/>
  <c r="M53" i="49"/>
  <c r="AL48" i="49"/>
  <c r="M37" i="49"/>
  <c r="AF35" i="49"/>
  <c r="L35" i="49"/>
  <c r="AL40" i="49"/>
  <c r="N44" i="49"/>
  <c r="AC45" i="49"/>
  <c r="AD35" i="49"/>
  <c r="AD47" i="49"/>
  <c r="AE37" i="49"/>
  <c r="AE49" i="49"/>
  <c r="AF39" i="49"/>
  <c r="AF51" i="49"/>
  <c r="AG41" i="49"/>
  <c r="AG53" i="49"/>
  <c r="AH43" i="49"/>
  <c r="AH55" i="49"/>
  <c r="J54" i="49"/>
  <c r="K41" i="49"/>
  <c r="BA35" i="49" s="1"/>
  <c r="AJ51" i="49"/>
  <c r="L46" i="49"/>
  <c r="BB39" i="49" s="1"/>
  <c r="M36" i="49"/>
  <c r="M48" i="49"/>
  <c r="AL36" i="49"/>
  <c r="AL43" i="49"/>
  <c r="AD55" i="49"/>
  <c r="AA47" i="49"/>
  <c r="H42" i="49"/>
  <c r="AX37" i="49" s="1"/>
  <c r="H54" i="49"/>
  <c r="I44" i="49"/>
  <c r="AY36" i="49" s="1"/>
  <c r="J34" i="49"/>
  <c r="AI45" i="49"/>
  <c r="K52" i="49"/>
  <c r="L39" i="49"/>
  <c r="L53" i="49"/>
  <c r="M43" i="49"/>
  <c r="M55" i="49"/>
  <c r="J55" i="49"/>
  <c r="AK46" i="49"/>
  <c r="M49" i="49"/>
  <c r="P38" i="49"/>
  <c r="K48" i="49"/>
  <c r="M47" i="49"/>
  <c r="N48" i="49"/>
  <c r="P46" i="49"/>
  <c r="Q36" i="49"/>
  <c r="Q48" i="49"/>
  <c r="R38" i="49"/>
  <c r="R50" i="49"/>
  <c r="S40" i="49"/>
  <c r="S52" i="49"/>
  <c r="J46" i="49"/>
  <c r="AZ39" i="49" s="1"/>
  <c r="AJ43" i="49"/>
  <c r="AC53" i="49"/>
  <c r="L50" i="49"/>
  <c r="AA51" i="49"/>
  <c r="P49" i="49"/>
  <c r="Q39" i="49"/>
  <c r="Q51" i="49"/>
  <c r="R41" i="49"/>
  <c r="R53" i="49"/>
  <c r="S43" i="49"/>
  <c r="S55" i="49"/>
  <c r="K44" i="49"/>
  <c r="BA36" i="49" s="1"/>
  <c r="K53" i="49"/>
  <c r="AK41" i="49"/>
  <c r="L47" i="49"/>
  <c r="AK53" i="49"/>
  <c r="AG37" i="49"/>
  <c r="N52" i="49"/>
  <c r="AC49" i="49"/>
  <c r="AD39" i="49"/>
  <c r="AD51" i="49"/>
  <c r="AE41" i="49"/>
  <c r="BU35" i="49" s="1"/>
  <c r="AE53" i="49"/>
  <c r="AF43" i="49"/>
  <c r="AF55" i="49"/>
  <c r="AG45" i="49"/>
  <c r="AH35" i="49"/>
  <c r="AH47" i="49"/>
  <c r="AI37" i="49"/>
  <c r="J47" i="49"/>
  <c r="AJ35" i="49"/>
  <c r="L42" i="49"/>
  <c r="BB37" i="49" s="1"/>
  <c r="L54" i="49"/>
  <c r="M44" i="49"/>
  <c r="BC36" i="49" s="1"/>
  <c r="L34" i="49"/>
  <c r="AK54" i="49"/>
  <c r="AK49" i="49"/>
  <c r="AL51" i="49"/>
  <c r="AG49" i="49"/>
  <c r="AH51" i="49"/>
  <c r="AA55" i="49"/>
  <c r="H34" i="49"/>
  <c r="H46" i="49"/>
  <c r="AX39" i="49" s="1"/>
  <c r="I36" i="49"/>
  <c r="I48" i="49"/>
  <c r="J38" i="49"/>
  <c r="K36" i="49"/>
  <c r="K45" i="49"/>
  <c r="AJ55" i="49"/>
  <c r="L49" i="49"/>
  <c r="M39" i="49"/>
  <c r="M51" i="49"/>
  <c r="AK42" i="49"/>
  <c r="AL44" i="49"/>
  <c r="L43" i="49"/>
  <c r="AL39" i="49"/>
  <c r="AF47" i="49"/>
  <c r="AH39" i="49"/>
  <c r="P34" i="49"/>
  <c r="P50" i="49"/>
  <c r="Q40" i="49"/>
  <c r="Q52" i="49"/>
  <c r="R42" i="49"/>
  <c r="R54" i="49"/>
  <c r="S44" i="49"/>
  <c r="AI49" i="49"/>
  <c r="M45" i="49"/>
  <c r="AE45" i="49"/>
  <c r="AI41" i="49"/>
  <c r="M40" i="49"/>
  <c r="AC37" i="49"/>
  <c r="P53" i="49"/>
  <c r="Q43" i="49"/>
  <c r="Q55" i="49"/>
  <c r="R45" i="49"/>
  <c r="S35" i="49"/>
  <c r="S47" i="49"/>
  <c r="J50" i="49"/>
  <c r="K37" i="49"/>
  <c r="AJ47" i="49"/>
  <c r="L55" i="49"/>
  <c r="AD43" i="49"/>
  <c r="M52" i="49"/>
  <c r="AC41" i="49"/>
  <c r="BS35" i="49" s="1"/>
  <c r="H38" i="49"/>
  <c r="H50" i="49"/>
  <c r="I40" i="49"/>
  <c r="I52" i="49"/>
  <c r="J42" i="49"/>
  <c r="AZ37" i="49" s="1"/>
  <c r="J51" i="49"/>
  <c r="AJ39" i="49"/>
  <c r="L45" i="49"/>
  <c r="M35" i="49"/>
  <c r="AL52" i="49"/>
  <c r="Q96" i="49"/>
  <c r="Q108" i="49"/>
  <c r="AD112" i="49"/>
  <c r="Q110" i="49"/>
  <c r="E111" i="49"/>
  <c r="C101" i="49"/>
  <c r="AP95" i="49" s="1"/>
  <c r="F105" i="49"/>
  <c r="H109" i="49"/>
  <c r="H113" i="49"/>
  <c r="AJ95" i="49"/>
  <c r="W113" i="49"/>
  <c r="AD107" i="49"/>
  <c r="C109" i="49"/>
  <c r="F113" i="49"/>
  <c r="I95" i="49"/>
  <c r="K100" i="49"/>
  <c r="AD111" i="49"/>
  <c r="C113" i="49"/>
  <c r="G95" i="49"/>
  <c r="I99" i="49"/>
  <c r="AJ108" i="49"/>
  <c r="F109" i="49"/>
  <c r="E105" i="49"/>
  <c r="AA95" i="49"/>
  <c r="D95" i="49"/>
  <c r="G99" i="49"/>
  <c r="I103" i="49"/>
  <c r="K113" i="49"/>
  <c r="E109" i="49"/>
  <c r="N97" i="49"/>
  <c r="D99" i="49"/>
  <c r="G103" i="49"/>
  <c r="I107" i="49"/>
  <c r="AK99" i="49"/>
  <c r="E103" i="49"/>
  <c r="Q113" i="49"/>
  <c r="AA99" i="49"/>
  <c r="D103" i="49"/>
  <c r="G107" i="49"/>
  <c r="I111" i="49"/>
  <c r="AK108" i="49"/>
  <c r="AD105" i="49"/>
  <c r="N101" i="49"/>
  <c r="D107" i="49"/>
  <c r="G111" i="49"/>
  <c r="I115" i="49"/>
  <c r="AK113" i="49"/>
  <c r="AD109" i="49"/>
  <c r="N105" i="49"/>
  <c r="D111" i="49"/>
  <c r="G115" i="49"/>
  <c r="J97" i="49"/>
  <c r="AL99" i="49"/>
  <c r="C105" i="49"/>
  <c r="E97" i="49"/>
  <c r="Q106" i="49"/>
  <c r="N109" i="49"/>
  <c r="D115" i="49"/>
  <c r="H97" i="49"/>
  <c r="J101" i="49"/>
  <c r="AZ95" i="49" s="1"/>
  <c r="AL111" i="49"/>
  <c r="N113" i="49"/>
  <c r="F97" i="49"/>
  <c r="H101" i="49"/>
  <c r="AX95" i="49" s="1"/>
  <c r="J105" i="49"/>
  <c r="AB69" i="49"/>
  <c r="AD114" i="49"/>
  <c r="C97" i="49"/>
  <c r="F101" i="49"/>
  <c r="AS95" i="49" s="1"/>
  <c r="H105" i="49"/>
  <c r="J109" i="49"/>
  <c r="AL65" i="49"/>
  <c r="E107" i="49"/>
  <c r="B97" i="49"/>
  <c r="B101" i="49"/>
  <c r="AO95" i="49" s="1"/>
  <c r="B105" i="49"/>
  <c r="B109" i="49"/>
  <c r="B113" i="49"/>
  <c r="AB96" i="49"/>
  <c r="AB100" i="49"/>
  <c r="AB104" i="49"/>
  <c r="BR96" i="49" s="1"/>
  <c r="AB108" i="49"/>
  <c r="AB112" i="49"/>
  <c r="AC94" i="49"/>
  <c r="AC98" i="49"/>
  <c r="AC102" i="49"/>
  <c r="BS97" i="49" s="1"/>
  <c r="AC106" i="49"/>
  <c r="BS99" i="49" s="1"/>
  <c r="AC110" i="49"/>
  <c r="AC114" i="49"/>
  <c r="AE96" i="49"/>
  <c r="AE100" i="49"/>
  <c r="AE104" i="49"/>
  <c r="BU96" i="49" s="1"/>
  <c r="AE108" i="49"/>
  <c r="AE112" i="49"/>
  <c r="AF94" i="49"/>
  <c r="AF98" i="49"/>
  <c r="AF102" i="49"/>
  <c r="BV97" i="49" s="1"/>
  <c r="AF106" i="49"/>
  <c r="BV99" i="49" s="1"/>
  <c r="AF110" i="49"/>
  <c r="AF114" i="49"/>
  <c r="AG96" i="49"/>
  <c r="AG100" i="49"/>
  <c r="AG104" i="49"/>
  <c r="AG108" i="49"/>
  <c r="AG112" i="49"/>
  <c r="AH94" i="49"/>
  <c r="AH98" i="49"/>
  <c r="AH102" i="49"/>
  <c r="AH106" i="49"/>
  <c r="AH110" i="49"/>
  <c r="AH114" i="49"/>
  <c r="AI96" i="49"/>
  <c r="AI100" i="49"/>
  <c r="AI104" i="49"/>
  <c r="AI108" i="49"/>
  <c r="J113" i="49"/>
  <c r="X95" i="49"/>
  <c r="AJ99" i="49"/>
  <c r="K104" i="49"/>
  <c r="BA96" i="49" s="1"/>
  <c r="X108" i="49"/>
  <c r="AJ112" i="49"/>
  <c r="L95" i="49"/>
  <c r="Y99" i="49"/>
  <c r="AK103" i="49"/>
  <c r="Y108" i="49"/>
  <c r="AK112" i="49"/>
  <c r="AL98" i="49"/>
  <c r="AL110" i="49"/>
  <c r="O72" i="49"/>
  <c r="J78" i="49"/>
  <c r="AJ65" i="49"/>
  <c r="V80" i="49"/>
  <c r="L74" i="49"/>
  <c r="BB66" i="49" s="1"/>
  <c r="Y95" i="49"/>
  <c r="E113" i="49"/>
  <c r="AA101" i="49"/>
  <c r="BQ95" i="49" s="1"/>
  <c r="O97" i="49"/>
  <c r="O109" i="49"/>
  <c r="P103" i="49"/>
  <c r="P111" i="49"/>
  <c r="P115" i="49"/>
  <c r="R97" i="49"/>
  <c r="R101" i="49"/>
  <c r="R105" i="49"/>
  <c r="R109" i="49"/>
  <c r="R113" i="49"/>
  <c r="S95" i="49"/>
  <c r="S99" i="49"/>
  <c r="S103" i="49"/>
  <c r="S107" i="49"/>
  <c r="S111" i="49"/>
  <c r="S115" i="49"/>
  <c r="U97" i="49"/>
  <c r="U101" i="49"/>
  <c r="BH95" i="49" s="1"/>
  <c r="U105" i="49"/>
  <c r="U109" i="49"/>
  <c r="U113" i="49"/>
  <c r="V95" i="49"/>
  <c r="V99" i="49"/>
  <c r="V103" i="49"/>
  <c r="V107" i="49"/>
  <c r="V111" i="49"/>
  <c r="V115" i="49"/>
  <c r="W97" i="49"/>
  <c r="W101" i="49"/>
  <c r="BJ95" i="49" s="1"/>
  <c r="W105" i="49"/>
  <c r="W109" i="49"/>
  <c r="AI113" i="49"/>
  <c r="K96" i="49"/>
  <c r="X100" i="49"/>
  <c r="AJ104" i="49"/>
  <c r="K109" i="49"/>
  <c r="X113" i="49"/>
  <c r="AK95" i="49"/>
  <c r="Y100" i="49"/>
  <c r="AK104" i="49"/>
  <c r="L109" i="49"/>
  <c r="L114" i="49"/>
  <c r="Z100" i="49"/>
  <c r="Z112" i="49"/>
  <c r="S76" i="49"/>
  <c r="B78" i="49"/>
  <c r="D70" i="49"/>
  <c r="F70" i="49"/>
  <c r="B84" i="49"/>
  <c r="Q112" i="49"/>
  <c r="AD115" i="49"/>
  <c r="AA113" i="49"/>
  <c r="O113" i="49"/>
  <c r="P107" i="49"/>
  <c r="E94" i="49"/>
  <c r="Q94" i="49"/>
  <c r="AD94" i="49"/>
  <c r="E95" i="49"/>
  <c r="Q95" i="49"/>
  <c r="B94" i="49"/>
  <c r="B98" i="49"/>
  <c r="B102" i="49"/>
  <c r="AO97" i="49" s="1"/>
  <c r="B106" i="49"/>
  <c r="AO99" i="49" s="1"/>
  <c r="B110" i="49"/>
  <c r="B114" i="49"/>
  <c r="AB97" i="49"/>
  <c r="AB101" i="49"/>
  <c r="BR95" i="49" s="1"/>
  <c r="AB105" i="49"/>
  <c r="AB109" i="49"/>
  <c r="AB113" i="49"/>
  <c r="AC95" i="49"/>
  <c r="AC99" i="49"/>
  <c r="AC103" i="49"/>
  <c r="AC107" i="49"/>
  <c r="AC111" i="49"/>
  <c r="AC115" i="49"/>
  <c r="AE97" i="49"/>
  <c r="AE101" i="49"/>
  <c r="BU95" i="49" s="1"/>
  <c r="AE105" i="49"/>
  <c r="AE109" i="49"/>
  <c r="AE113" i="49"/>
  <c r="AF95" i="49"/>
  <c r="AF99" i="49"/>
  <c r="AF103" i="49"/>
  <c r="AF107" i="49"/>
  <c r="AF111" i="49"/>
  <c r="AF115" i="49"/>
  <c r="AG97" i="49"/>
  <c r="AG101" i="49"/>
  <c r="AG105" i="49"/>
  <c r="AG109" i="49"/>
  <c r="AG113" i="49"/>
  <c r="AH95" i="49"/>
  <c r="AH99" i="49"/>
  <c r="AH103" i="49"/>
  <c r="AH107" i="49"/>
  <c r="AH111" i="49"/>
  <c r="AH115" i="49"/>
  <c r="AI97" i="49"/>
  <c r="AI101" i="49"/>
  <c r="AI105" i="49"/>
  <c r="AI109" i="49"/>
  <c r="J114" i="49"/>
  <c r="X96" i="49"/>
  <c r="AJ100" i="49"/>
  <c r="K105" i="49"/>
  <c r="X109" i="49"/>
  <c r="AJ113" i="49"/>
  <c r="Y96" i="49"/>
  <c r="AK100" i="49"/>
  <c r="L105" i="49"/>
  <c r="Y109" i="49"/>
  <c r="Y114" i="49"/>
  <c r="AL100" i="49"/>
  <c r="AL112" i="49"/>
  <c r="P80" i="49"/>
  <c r="Y67" i="49"/>
  <c r="AF73" i="49"/>
  <c r="J74" i="49"/>
  <c r="AZ66" i="49" s="1"/>
  <c r="G68" i="49"/>
  <c r="X104" i="49"/>
  <c r="BK96" i="49" s="1"/>
  <c r="G76" i="49"/>
  <c r="AT69" i="49" s="1"/>
  <c r="P78" i="49"/>
  <c r="E115" i="49"/>
  <c r="AA109" i="49"/>
  <c r="O105" i="49"/>
  <c r="P99" i="49"/>
  <c r="E96" i="49"/>
  <c r="Q97" i="49"/>
  <c r="AD98" i="49"/>
  <c r="N94" i="49"/>
  <c r="N98" i="49"/>
  <c r="N102" i="49"/>
  <c r="N106" i="49"/>
  <c r="N110" i="49"/>
  <c r="N114" i="49"/>
  <c r="C98" i="49"/>
  <c r="C102" i="49"/>
  <c r="AP97" i="49" s="1"/>
  <c r="C106" i="49"/>
  <c r="AP99" i="49" s="1"/>
  <c r="C110" i="49"/>
  <c r="C114" i="49"/>
  <c r="D96" i="49"/>
  <c r="D100" i="49"/>
  <c r="D104" i="49"/>
  <c r="AQ96" i="49" s="1"/>
  <c r="D108" i="49"/>
  <c r="D112" i="49"/>
  <c r="F94" i="49"/>
  <c r="F98" i="49"/>
  <c r="F102" i="49"/>
  <c r="AS97" i="49" s="1"/>
  <c r="F106" i="49"/>
  <c r="AS99" i="49" s="1"/>
  <c r="F110" i="49"/>
  <c r="F114" i="49"/>
  <c r="G96" i="49"/>
  <c r="G100" i="49"/>
  <c r="G104" i="49"/>
  <c r="AT96" i="49" s="1"/>
  <c r="G108" i="49"/>
  <c r="G112" i="49"/>
  <c r="H94" i="49"/>
  <c r="H98" i="49"/>
  <c r="H102" i="49"/>
  <c r="AX97" i="49" s="1"/>
  <c r="H106" i="49"/>
  <c r="AX99" i="49" s="1"/>
  <c r="H110" i="49"/>
  <c r="H114" i="49"/>
  <c r="I96" i="49"/>
  <c r="I100" i="49"/>
  <c r="I104" i="49"/>
  <c r="AY96" i="49" s="1"/>
  <c r="I108" i="49"/>
  <c r="I112" i="49"/>
  <c r="J94" i="49"/>
  <c r="J98" i="49"/>
  <c r="J102" i="49"/>
  <c r="AZ97" i="49" s="1"/>
  <c r="J106" i="49"/>
  <c r="AZ99" i="49" s="1"/>
  <c r="J110" i="49"/>
  <c r="W114" i="49"/>
  <c r="AJ96" i="49"/>
  <c r="K101" i="49"/>
  <c r="BA95" i="49" s="1"/>
  <c r="X105" i="49"/>
  <c r="AJ109" i="49"/>
  <c r="X114" i="49"/>
  <c r="AK96" i="49"/>
  <c r="L101" i="49"/>
  <c r="BB95" i="49" s="1"/>
  <c r="AK109" i="49"/>
  <c r="AK114" i="49"/>
  <c r="AL102" i="49"/>
  <c r="AL115" i="49"/>
  <c r="AF80" i="49"/>
  <c r="AK67" i="49"/>
  <c r="H74" i="49"/>
  <c r="AX66" i="49" s="1"/>
  <c r="N78" i="49"/>
  <c r="N5" i="49"/>
  <c r="Q114" i="49"/>
  <c r="AA105" i="49"/>
  <c r="O101" i="49"/>
  <c r="P95" i="49"/>
  <c r="V5" i="49"/>
  <c r="V83" i="49"/>
  <c r="V85" i="49"/>
  <c r="Z85" i="49"/>
  <c r="V81" i="49"/>
  <c r="W85" i="49"/>
  <c r="U85" i="49"/>
  <c r="V82" i="49"/>
  <c r="D81" i="49"/>
  <c r="D82" i="49"/>
  <c r="Y84" i="49"/>
  <c r="V84" i="49"/>
  <c r="C84" i="49"/>
  <c r="Z84" i="49"/>
  <c r="V79" i="49"/>
  <c r="Y85" i="49"/>
  <c r="G84" i="49"/>
  <c r="G85" i="49"/>
  <c r="C81" i="49"/>
  <c r="E75" i="49"/>
  <c r="X85" i="49"/>
  <c r="X83" i="49"/>
  <c r="G81" i="49"/>
  <c r="U83" i="49"/>
  <c r="G83" i="49"/>
  <c r="X84" i="49"/>
  <c r="F83" i="49"/>
  <c r="F84" i="49"/>
  <c r="W83" i="49"/>
  <c r="E82" i="49"/>
  <c r="F80" i="49"/>
  <c r="F76" i="49"/>
  <c r="AS69" i="49" s="1"/>
  <c r="Y70" i="49"/>
  <c r="Z73" i="49"/>
  <c r="V69" i="49"/>
  <c r="W71" i="49"/>
  <c r="BJ65" i="49" s="1"/>
  <c r="C85" i="49"/>
  <c r="X73" i="49"/>
  <c r="Y75" i="49"/>
  <c r="U71" i="49"/>
  <c r="BH65" i="49" s="1"/>
  <c r="Z77" i="49"/>
  <c r="V73" i="49"/>
  <c r="W75" i="49"/>
  <c r="X77" i="49"/>
  <c r="Y79" i="49"/>
  <c r="U75" i="49"/>
  <c r="V77" i="49"/>
  <c r="W67" i="49"/>
  <c r="C65" i="49"/>
  <c r="C82" i="49"/>
  <c r="Y81" i="49"/>
  <c r="E65" i="49"/>
  <c r="F67" i="49"/>
  <c r="G69" i="49"/>
  <c r="D67" i="49"/>
  <c r="E69" i="49"/>
  <c r="F71" i="49"/>
  <c r="AS65" i="49" s="1"/>
  <c r="X82" i="49"/>
  <c r="G73" i="49"/>
  <c r="C69" i="49"/>
  <c r="D71" i="49"/>
  <c r="AQ65" i="49" s="1"/>
  <c r="E73" i="49"/>
  <c r="W79" i="49"/>
  <c r="G65" i="49"/>
  <c r="U79" i="49"/>
  <c r="D75" i="49"/>
  <c r="X70" i="49"/>
  <c r="E77" i="49"/>
  <c r="F79" i="49"/>
  <c r="C77" i="49"/>
  <c r="Z64" i="49"/>
  <c r="D79" i="49"/>
  <c r="X81" i="49"/>
  <c r="X64" i="49"/>
  <c r="Z66" i="49"/>
  <c r="U81" i="49"/>
  <c r="V64" i="49"/>
  <c r="X66" i="49"/>
  <c r="Y68" i="49"/>
  <c r="F75" i="49"/>
  <c r="Z115" i="49"/>
  <c r="Z111" i="49"/>
  <c r="Z107" i="49"/>
  <c r="Z103" i="49"/>
  <c r="Z99" i="49"/>
  <c r="Z95" i="49"/>
  <c r="Y113" i="49"/>
  <c r="W82" i="49"/>
  <c r="Z79" i="49"/>
  <c r="X69" i="49"/>
  <c r="G66" i="49"/>
  <c r="Y72" i="49"/>
  <c r="BL67" i="49" s="1"/>
  <c r="U68" i="49"/>
  <c r="Z74" i="49"/>
  <c r="BM66" i="49" s="1"/>
  <c r="V70" i="49"/>
  <c r="F81" i="49"/>
  <c r="W72" i="49"/>
  <c r="BJ67" i="49" s="1"/>
  <c r="X74" i="49"/>
  <c r="BK66" i="49" s="1"/>
  <c r="Y76" i="49"/>
  <c r="BL69" i="49" s="1"/>
  <c r="U72" i="49"/>
  <c r="BH67" i="49" s="1"/>
  <c r="Z78" i="49"/>
  <c r="V74" i="49"/>
  <c r="BI66" i="49" s="1"/>
  <c r="W76" i="49"/>
  <c r="BJ69" i="49" s="1"/>
  <c r="X78" i="49"/>
  <c r="U76" i="49"/>
  <c r="BH69" i="49" s="1"/>
  <c r="G64" i="49"/>
  <c r="Z70" i="49"/>
  <c r="V66" i="49"/>
  <c r="U84" i="49"/>
  <c r="D74" i="49"/>
  <c r="AQ66" i="49" s="1"/>
  <c r="B85" i="49"/>
  <c r="E66" i="49"/>
  <c r="Y80" i="49"/>
  <c r="F68" i="49"/>
  <c r="B83" i="49"/>
  <c r="G70" i="49"/>
  <c r="C66" i="49"/>
  <c r="W80" i="49"/>
  <c r="D68" i="49"/>
  <c r="B81" i="49"/>
  <c r="E70" i="49"/>
  <c r="U80" i="49"/>
  <c r="F72" i="49"/>
  <c r="AS67" i="49" s="1"/>
  <c r="B79" i="49"/>
  <c r="G74" i="49"/>
  <c r="AT66" i="49" s="1"/>
  <c r="C70" i="49"/>
  <c r="D72" i="49"/>
  <c r="AQ67" i="49" s="1"/>
  <c r="B77" i="49"/>
  <c r="V78" i="49"/>
  <c r="D85" i="49"/>
  <c r="U78" i="49"/>
  <c r="E64" i="49"/>
  <c r="C74" i="49"/>
  <c r="AP66" i="49" s="1"/>
  <c r="W69" i="49"/>
  <c r="D76" i="49"/>
  <c r="AQ69" i="49" s="1"/>
  <c r="B73" i="49"/>
  <c r="E78" i="49"/>
  <c r="B71" i="49"/>
  <c r="AO65" i="49" s="1"/>
  <c r="C78" i="49"/>
  <c r="B69" i="49"/>
  <c r="Y65" i="49"/>
  <c r="E80" i="49"/>
  <c r="Z67" i="49"/>
  <c r="B67" i="49"/>
  <c r="W65" i="49"/>
  <c r="C80" i="49"/>
  <c r="X67" i="49"/>
  <c r="C64" i="49"/>
  <c r="E74" i="49"/>
  <c r="AR66" i="49" s="1"/>
  <c r="Z114" i="49"/>
  <c r="Z110" i="49"/>
  <c r="Z106" i="49"/>
  <c r="BM99" i="49" s="1"/>
  <c r="Z102" i="49"/>
  <c r="BM97" i="49" s="1"/>
  <c r="Z98" i="49"/>
  <c r="Z94" i="49"/>
  <c r="F85" i="49"/>
  <c r="W68" i="49"/>
  <c r="B75" i="49"/>
  <c r="G78" i="49"/>
  <c r="F65" i="49"/>
  <c r="X71" i="49"/>
  <c r="BK65" i="49" s="1"/>
  <c r="E85" i="49"/>
  <c r="Y73" i="49"/>
  <c r="U69" i="49"/>
  <c r="Z75" i="49"/>
  <c r="V71" i="49"/>
  <c r="BI65" i="49" s="1"/>
  <c r="W73" i="49"/>
  <c r="X75" i="49"/>
  <c r="Y77" i="49"/>
  <c r="U73" i="49"/>
  <c r="V75" i="49"/>
  <c r="D84" i="49"/>
  <c r="W77" i="49"/>
  <c r="X79" i="49"/>
  <c r="Y69" i="49"/>
  <c r="U65" i="49"/>
  <c r="F82" i="49"/>
  <c r="Y83" i="49"/>
  <c r="C73" i="49"/>
  <c r="B65" i="49"/>
  <c r="G67" i="49"/>
  <c r="C83" i="49"/>
  <c r="D65" i="49"/>
  <c r="E67" i="49"/>
  <c r="F69" i="49"/>
  <c r="G71" i="49"/>
  <c r="AT65" i="49" s="1"/>
  <c r="C67" i="49"/>
  <c r="Y82" i="49"/>
  <c r="D69" i="49"/>
  <c r="E71" i="49"/>
  <c r="AR65" i="49" s="1"/>
  <c r="F73" i="49"/>
  <c r="G75" i="49"/>
  <c r="C71" i="49"/>
  <c r="AP65" i="49" s="1"/>
  <c r="U77" i="49"/>
  <c r="W84" i="49"/>
  <c r="E83" i="49"/>
  <c r="F77" i="49"/>
  <c r="Z72" i="49"/>
  <c r="BM67" i="49" s="1"/>
  <c r="V68" i="49"/>
  <c r="G79" i="49"/>
  <c r="C75" i="49"/>
  <c r="D77" i="49"/>
  <c r="E79" i="49"/>
  <c r="Z81" i="49"/>
  <c r="Y64" i="49"/>
  <c r="C79" i="49"/>
  <c r="W81" i="49"/>
  <c r="W64" i="49"/>
  <c r="Y66" i="49"/>
  <c r="Z68" i="49"/>
  <c r="U64" i="49"/>
  <c r="W66" i="49"/>
  <c r="D73" i="49"/>
  <c r="Z113" i="49"/>
  <c r="Z109" i="49"/>
  <c r="Z105" i="49"/>
  <c r="Z101" i="49"/>
  <c r="BM95" i="49" s="1"/>
  <c r="E84" i="49"/>
  <c r="G77" i="49"/>
  <c r="V67" i="49"/>
  <c r="D64" i="49"/>
  <c r="W70" i="49"/>
  <c r="X72" i="49"/>
  <c r="BK67" i="49" s="1"/>
  <c r="Y74" i="49"/>
  <c r="BL66" i="49" s="1"/>
  <c r="U70" i="49"/>
  <c r="E81" i="49"/>
  <c r="Z76" i="49"/>
  <c r="BM69" i="49" s="1"/>
  <c r="V72" i="49"/>
  <c r="BI67" i="49" s="1"/>
  <c r="W74" i="49"/>
  <c r="BJ66" i="49" s="1"/>
  <c r="X76" i="49"/>
  <c r="BK69" i="49" s="1"/>
  <c r="Y78" i="49"/>
  <c r="U74" i="49"/>
  <c r="BH66" i="49" s="1"/>
  <c r="V76" i="49"/>
  <c r="BI69" i="49" s="1"/>
  <c r="W78" i="49"/>
  <c r="X68" i="49"/>
  <c r="U82" i="49"/>
  <c r="D83" i="49"/>
  <c r="Z82" i="49"/>
  <c r="Z83" i="49"/>
  <c r="U66" i="49"/>
  <c r="G82" i="49"/>
  <c r="Z71" i="49"/>
  <c r="BM65" i="49" s="1"/>
  <c r="E76" i="49"/>
  <c r="AR69" i="49" s="1"/>
  <c r="Y71" i="49"/>
  <c r="BL65" i="49" s="1"/>
  <c r="U67" i="49"/>
  <c r="B64" i="49"/>
  <c r="F78" i="49"/>
  <c r="C76" i="49"/>
  <c r="AP69" i="49" s="1"/>
  <c r="B72" i="49"/>
  <c r="AO67" i="49" s="1"/>
  <c r="D78" i="49"/>
  <c r="B70" i="49"/>
  <c r="Z65" i="49"/>
  <c r="G80" i="49"/>
  <c r="AD96" i="49"/>
  <c r="E98" i="49"/>
  <c r="Q99" i="49"/>
  <c r="S22" i="49"/>
  <c r="AL85" i="49"/>
  <c r="AH81" i="49"/>
  <c r="J83" i="49"/>
  <c r="AI85" i="49"/>
  <c r="AH82" i="49"/>
  <c r="I83" i="49"/>
  <c r="I85" i="49"/>
  <c r="M85" i="49"/>
  <c r="I81" i="49"/>
  <c r="AG82" i="49"/>
  <c r="J85" i="49"/>
  <c r="AG84" i="49"/>
  <c r="H85" i="49"/>
  <c r="AK84" i="49"/>
  <c r="AK85" i="49"/>
  <c r="AG81" i="49"/>
  <c r="H82" i="49"/>
  <c r="H84" i="49"/>
  <c r="S84" i="49"/>
  <c r="S85" i="49"/>
  <c r="O81" i="49"/>
  <c r="AC83" i="49"/>
  <c r="Q75" i="49"/>
  <c r="M71" i="49"/>
  <c r="BC65" i="49" s="1"/>
  <c r="I67" i="49"/>
  <c r="Q85" i="49"/>
  <c r="AE77" i="49"/>
  <c r="AA73" i="49"/>
  <c r="L84" i="49"/>
  <c r="AJ85" i="49"/>
  <c r="AF81" i="49"/>
  <c r="I84" i="49"/>
  <c r="AF83" i="49"/>
  <c r="P83" i="49"/>
  <c r="AA83" i="49"/>
  <c r="M84" i="49"/>
  <c r="I79" i="49"/>
  <c r="AK70" i="49"/>
  <c r="AG66" i="49"/>
  <c r="AJ83" i="49"/>
  <c r="L85" i="49"/>
  <c r="S81" i="49"/>
  <c r="AG83" i="49"/>
  <c r="AJ84" i="49"/>
  <c r="K85" i="49"/>
  <c r="R83" i="49"/>
  <c r="K83" i="49"/>
  <c r="AI84" i="49"/>
  <c r="AE80" i="49"/>
  <c r="H83" i="49"/>
  <c r="AE82" i="49"/>
  <c r="J82" i="49"/>
  <c r="AH83" i="49"/>
  <c r="AD79" i="49"/>
  <c r="AH85" i="49"/>
  <c r="AD81" i="49"/>
  <c r="Q82" i="49"/>
  <c r="AA80" i="49"/>
  <c r="O82" i="49"/>
  <c r="AK81" i="49"/>
  <c r="M81" i="49"/>
  <c r="AF65" i="49"/>
  <c r="M80" i="49"/>
  <c r="AC75" i="49"/>
  <c r="L71" i="49"/>
  <c r="BB65" i="49" s="1"/>
  <c r="H67" i="49"/>
  <c r="O85" i="49"/>
  <c r="AD77" i="49"/>
  <c r="Q65" i="49"/>
  <c r="AG79" i="49"/>
  <c r="AA75" i="49"/>
  <c r="R67" i="49"/>
  <c r="AB77" i="49"/>
  <c r="S69" i="49"/>
  <c r="O65" i="49"/>
  <c r="AE79" i="49"/>
  <c r="P67" i="49"/>
  <c r="AA84" i="49"/>
  <c r="Q69" i="49"/>
  <c r="M65" i="49"/>
  <c r="AB79" i="49"/>
  <c r="R71" i="49"/>
  <c r="N67" i="49"/>
  <c r="N84" i="49"/>
  <c r="S73" i="49"/>
  <c r="O69" i="49"/>
  <c r="K65" i="49"/>
  <c r="P71" i="49"/>
  <c r="L67" i="49"/>
  <c r="AL83" i="49"/>
  <c r="Q73" i="49"/>
  <c r="M69" i="49"/>
  <c r="I65" i="49"/>
  <c r="AK79" i="49"/>
  <c r="AE75" i="49"/>
  <c r="AA71" i="49"/>
  <c r="BQ65" i="49" s="1"/>
  <c r="M112" i="49"/>
  <c r="M108" i="49"/>
  <c r="M104" i="49"/>
  <c r="BC96" i="49" s="1"/>
  <c r="M100" i="49"/>
  <c r="M96" i="49"/>
  <c r="AH84" i="49"/>
  <c r="AC81" i="49"/>
  <c r="N80" i="49"/>
  <c r="AD80" i="49"/>
  <c r="AD75" i="49"/>
  <c r="L70" i="49"/>
  <c r="S65" i="49"/>
  <c r="AI79" i="49"/>
  <c r="P75" i="49"/>
  <c r="AJ70" i="49"/>
  <c r="AF66" i="49"/>
  <c r="M83" i="49"/>
  <c r="Q77" i="49"/>
  <c r="M73" i="49"/>
  <c r="I69" i="49"/>
  <c r="R79" i="49"/>
  <c r="N75" i="49"/>
  <c r="J71" i="49"/>
  <c r="AZ65" i="49" s="1"/>
  <c r="AK82" i="49"/>
  <c r="O77" i="49"/>
  <c r="K73" i="49"/>
  <c r="AL64" i="49"/>
  <c r="P79" i="49"/>
  <c r="L75" i="49"/>
  <c r="H71" i="49"/>
  <c r="AX65" i="49" s="1"/>
  <c r="AA82" i="49"/>
  <c r="M77" i="49"/>
  <c r="I73" i="49"/>
  <c r="AJ64" i="49"/>
  <c r="N79" i="49"/>
  <c r="J75" i="49"/>
  <c r="AL66" i="49"/>
  <c r="K77" i="49"/>
  <c r="AH64" i="49"/>
  <c r="L79" i="49"/>
  <c r="H75" i="49"/>
  <c r="AJ66" i="49"/>
  <c r="L82" i="49"/>
  <c r="I77" i="49"/>
  <c r="AK68" i="49"/>
  <c r="AF64" i="49"/>
  <c r="R75" i="49"/>
  <c r="AI82" i="49"/>
  <c r="AF82" i="49"/>
  <c r="P81" i="49"/>
  <c r="AL79" i="49"/>
  <c r="AA81" i="49"/>
  <c r="L81" i="49"/>
  <c r="O80" i="49"/>
  <c r="AC74" i="49"/>
  <c r="BS66" i="49" s="1"/>
  <c r="AJ69" i="49"/>
  <c r="S66" i="49"/>
  <c r="AJ81" i="49"/>
  <c r="AK72" i="49"/>
  <c r="AG68" i="49"/>
  <c r="AB64" i="49"/>
  <c r="AL74" i="49"/>
  <c r="AH70" i="49"/>
  <c r="AD66" i="49"/>
  <c r="AE81" i="49"/>
  <c r="AI72" i="49"/>
  <c r="AE68" i="49"/>
  <c r="AJ74" i="49"/>
  <c r="AF70" i="49"/>
  <c r="AB66" i="49"/>
  <c r="AK76" i="49"/>
  <c r="AG72" i="49"/>
  <c r="AC68" i="49"/>
  <c r="AL78" i="49"/>
  <c r="AH74" i="49"/>
  <c r="AD70" i="49"/>
  <c r="AI76" i="49"/>
  <c r="AE72" i="49"/>
  <c r="BU67" i="49" s="1"/>
  <c r="AA68" i="49"/>
  <c r="AJ78" i="49"/>
  <c r="AF74" i="49"/>
  <c r="BV66" i="49" s="1"/>
  <c r="AB70" i="49"/>
  <c r="Q81" i="49"/>
  <c r="AG76" i="49"/>
  <c r="AC72" i="49"/>
  <c r="BS67" i="49" s="1"/>
  <c r="S64" i="49"/>
  <c r="J79" i="49"/>
  <c r="AL70" i="49"/>
  <c r="AH66" i="49"/>
  <c r="S82" i="49"/>
  <c r="AF85" i="49"/>
  <c r="AC85" i="49"/>
  <c r="AA85" i="49"/>
  <c r="AJ79" i="49"/>
  <c r="P74" i="49"/>
  <c r="AD64" i="49"/>
  <c r="H79" i="49"/>
  <c r="AB74" i="49"/>
  <c r="BR66" i="49" s="1"/>
  <c r="K70" i="49"/>
  <c r="J81" i="49"/>
  <c r="AC76" i="49"/>
  <c r="BS69" i="49" s="1"/>
  <c r="O64" i="49"/>
  <c r="AD78" i="49"/>
  <c r="Q66" i="49"/>
  <c r="AA76" i="49"/>
  <c r="BQ69" i="49" s="1"/>
  <c r="R68" i="49"/>
  <c r="M64" i="49"/>
  <c r="AB78" i="49"/>
  <c r="S70" i="49"/>
  <c r="O66" i="49"/>
  <c r="AL80" i="49"/>
  <c r="P68" i="49"/>
  <c r="K64" i="49"/>
  <c r="Q70" i="49"/>
  <c r="M66" i="49"/>
  <c r="AJ80" i="49"/>
  <c r="R72" i="49"/>
  <c r="N68" i="49"/>
  <c r="I64" i="49"/>
  <c r="S74" i="49"/>
  <c r="O70" i="49"/>
  <c r="K66" i="49"/>
  <c r="AH80" i="49"/>
  <c r="P72" i="49"/>
  <c r="L68" i="49"/>
  <c r="AH78" i="49"/>
  <c r="AD74" i="49"/>
  <c r="BT66" i="49" s="1"/>
  <c r="M115" i="49"/>
  <c r="M111" i="49"/>
  <c r="M107" i="49"/>
  <c r="M103" i="49"/>
  <c r="M99" i="49"/>
  <c r="M95" i="49"/>
  <c r="L113" i="49"/>
  <c r="AG80" i="49"/>
  <c r="AE84" i="49"/>
  <c r="AE85" i="49"/>
  <c r="P85" i="49"/>
  <c r="N85" i="49"/>
  <c r="AG78" i="49"/>
  <c r="K69" i="49"/>
  <c r="Q64" i="49"/>
  <c r="AF78" i="49"/>
  <c r="O74" i="49"/>
  <c r="AI69" i="49"/>
  <c r="AE65" i="49"/>
  <c r="AB80" i="49"/>
  <c r="P76" i="49"/>
  <c r="L72" i="49"/>
  <c r="BB67" i="49" s="1"/>
  <c r="H68" i="49"/>
  <c r="Q78" i="49"/>
  <c r="M74" i="49"/>
  <c r="BC66" i="49" s="1"/>
  <c r="I70" i="49"/>
  <c r="N76" i="49"/>
  <c r="J72" i="49"/>
  <c r="AZ67" i="49" s="1"/>
  <c r="O78" i="49"/>
  <c r="K74" i="49"/>
  <c r="BA66" i="49" s="1"/>
  <c r="L76" i="49"/>
  <c r="BB69" i="49" s="1"/>
  <c r="H72" i="49"/>
  <c r="AX67" i="49" s="1"/>
  <c r="BD67" i="49" s="1"/>
  <c r="M78" i="49"/>
  <c r="I74" i="49"/>
  <c r="AY66" i="49" s="1"/>
  <c r="AK65" i="49"/>
  <c r="J76" i="49"/>
  <c r="AZ69" i="49" s="1"/>
  <c r="AL67" i="49"/>
  <c r="K78" i="49"/>
  <c r="AI65" i="49"/>
  <c r="Q80" i="49"/>
  <c r="H76" i="49"/>
  <c r="AX69" i="49" s="1"/>
  <c r="AJ67" i="49"/>
  <c r="Q74" i="49"/>
  <c r="M70" i="49"/>
  <c r="I66" i="49"/>
  <c r="AL114" i="49"/>
  <c r="K84" i="49"/>
  <c r="S83" i="49"/>
  <c r="R84" i="49"/>
  <c r="R85" i="49"/>
  <c r="AL84" i="49"/>
  <c r="AB73" i="49"/>
  <c r="AI68" i="49"/>
  <c r="S78" i="49"/>
  <c r="R65" i="49"/>
  <c r="L80" i="49"/>
  <c r="AJ71" i="49"/>
  <c r="AF67" i="49"/>
  <c r="AK73" i="49"/>
  <c r="AG69" i="49"/>
  <c r="AC65" i="49"/>
  <c r="J80" i="49"/>
  <c r="AL75" i="49"/>
  <c r="AH71" i="49"/>
  <c r="AD67" i="49"/>
  <c r="AI73" i="49"/>
  <c r="AE69" i="49"/>
  <c r="AA65" i="49"/>
  <c r="H80" i="49"/>
  <c r="AJ75" i="49"/>
  <c r="AF71" i="49"/>
  <c r="BV65" i="49" s="1"/>
  <c r="AB67" i="49"/>
  <c r="AK77" i="49"/>
  <c r="AG73" i="49"/>
  <c r="AC69" i="49"/>
  <c r="AH75" i="49"/>
  <c r="AD71" i="49"/>
  <c r="BT65" i="49" s="1"/>
  <c r="AI77" i="49"/>
  <c r="AE73" i="49"/>
  <c r="AA69" i="49"/>
  <c r="AF75" i="49"/>
  <c r="AB71" i="49"/>
  <c r="BR65" i="49" s="1"/>
  <c r="I78" i="49"/>
  <c r="AK69" i="49"/>
  <c r="AG65" i="49"/>
  <c r="AI83" i="49"/>
  <c r="R82" i="49"/>
  <c r="AD83" i="49"/>
  <c r="AB84" i="49"/>
  <c r="AK83" i="49"/>
  <c r="H78" i="49"/>
  <c r="O73" i="49"/>
  <c r="N73" i="49"/>
  <c r="J69" i="49"/>
  <c r="AH79" i="49"/>
  <c r="AB75" i="49"/>
  <c r="S67" i="49"/>
  <c r="AC77" i="49"/>
  <c r="P65" i="49"/>
  <c r="AF79" i="49"/>
  <c r="Q67" i="49"/>
  <c r="AC84" i="49"/>
  <c r="AA77" i="49"/>
  <c r="R69" i="49"/>
  <c r="N65" i="49"/>
  <c r="AC79" i="49"/>
  <c r="S71" i="49"/>
  <c r="O67" i="49"/>
  <c r="P84" i="49"/>
  <c r="P69" i="49"/>
  <c r="L65" i="49"/>
  <c r="AA79" i="49"/>
  <c r="Q71" i="49"/>
  <c r="M67" i="49"/>
  <c r="R73" i="49"/>
  <c r="N69" i="49"/>
  <c r="J65" i="49"/>
  <c r="S75" i="49"/>
  <c r="O71" i="49"/>
  <c r="K67" i="49"/>
  <c r="AD85" i="49"/>
  <c r="AG77" i="49"/>
  <c r="AC73" i="49"/>
  <c r="M114" i="49"/>
  <c r="M110" i="49"/>
  <c r="M106" i="49"/>
  <c r="BC99" i="49" s="1"/>
  <c r="M102" i="49"/>
  <c r="BC97" i="49" s="1"/>
  <c r="M98" i="49"/>
  <c r="M94" i="49"/>
  <c r="L112" i="49"/>
  <c r="L108" i="49"/>
  <c r="L104" i="49"/>
  <c r="BB96" i="49" s="1"/>
  <c r="L100" i="49"/>
  <c r="L96" i="49"/>
  <c r="K114" i="49"/>
  <c r="K110" i="49"/>
  <c r="K106" i="49"/>
  <c r="BA99" i="49" s="1"/>
  <c r="K102" i="49"/>
  <c r="BA97" i="49" s="1"/>
  <c r="K98" i="49"/>
  <c r="K94" i="49"/>
  <c r="J112" i="49"/>
  <c r="I82" i="49"/>
  <c r="Q83" i="49"/>
  <c r="AD84" i="49"/>
  <c r="O84" i="49"/>
  <c r="AF77" i="49"/>
  <c r="J68" i="49"/>
  <c r="R77" i="49"/>
  <c r="AL72" i="49"/>
  <c r="AH68" i="49"/>
  <c r="AC64" i="49"/>
  <c r="S79" i="49"/>
  <c r="O75" i="49"/>
  <c r="K71" i="49"/>
  <c r="BA65" i="49" s="1"/>
  <c r="P77" i="49"/>
  <c r="L73" i="49"/>
  <c r="H69" i="49"/>
  <c r="Q79" i="49"/>
  <c r="M75" i="49"/>
  <c r="I71" i="49"/>
  <c r="AY65" i="49" s="1"/>
  <c r="AJ82" i="49"/>
  <c r="N77" i="49"/>
  <c r="J73" i="49"/>
  <c r="AK64" i="49"/>
  <c r="O79" i="49"/>
  <c r="K75" i="49"/>
  <c r="L77" i="49"/>
  <c r="H73" i="49"/>
  <c r="AI64" i="49"/>
  <c r="M79" i="49"/>
  <c r="I75" i="49"/>
  <c r="AK66" i="49"/>
  <c r="N82" i="49"/>
  <c r="J77" i="49"/>
  <c r="AL68" i="49"/>
  <c r="AG64" i="49"/>
  <c r="K79" i="49"/>
  <c r="AI66" i="49"/>
  <c r="AB83" i="49"/>
  <c r="P73" i="49"/>
  <c r="L69" i="49"/>
  <c r="H65" i="49"/>
  <c r="AL113" i="49"/>
  <c r="AL109" i="49"/>
  <c r="AL105" i="49"/>
  <c r="AL101" i="49"/>
  <c r="AL97" i="49"/>
  <c r="AK115" i="49"/>
  <c r="AG85" i="49"/>
  <c r="Q84" i="49"/>
  <c r="N83" i="49"/>
  <c r="L83" i="49"/>
  <c r="S77" i="49"/>
  <c r="AA72" i="49"/>
  <c r="BQ67" i="49" s="1"/>
  <c r="AH67" i="49"/>
  <c r="O83" i="49"/>
  <c r="P64" i="49"/>
  <c r="AI70" i="49"/>
  <c r="AE66" i="49"/>
  <c r="AI81" i="49"/>
  <c r="AJ72" i="49"/>
  <c r="AF68" i="49"/>
  <c r="AA64" i="49"/>
  <c r="AK74" i="49"/>
  <c r="AG70" i="49"/>
  <c r="AC66" i="49"/>
  <c r="AL76" i="49"/>
  <c r="AH72" i="49"/>
  <c r="AD68" i="49"/>
  <c r="AI74" i="49"/>
  <c r="AE70" i="49"/>
  <c r="AA66" i="49"/>
  <c r="AJ76" i="49"/>
  <c r="AF72" i="49"/>
  <c r="BV67" i="49" s="1"/>
  <c r="AB68" i="49"/>
  <c r="AK78" i="49"/>
  <c r="AG74" i="49"/>
  <c r="AC70" i="49"/>
  <c r="R81" i="49"/>
  <c r="AH76" i="49"/>
  <c r="AD72" i="49"/>
  <c r="BT67" i="49" s="1"/>
  <c r="AI78" i="49"/>
  <c r="AE74" i="49"/>
  <c r="BU66" i="49" s="1"/>
  <c r="AA70" i="49"/>
  <c r="K82" i="49"/>
  <c r="H77" i="49"/>
  <c r="AJ68" i="49"/>
  <c r="AE64" i="49"/>
  <c r="J84" i="49"/>
  <c r="AF84" i="49"/>
  <c r="AC82" i="49"/>
  <c r="AL82" i="49"/>
  <c r="AB85" i="49"/>
  <c r="N72" i="49"/>
  <c r="AL81" i="49"/>
  <c r="AD76" i="49"/>
  <c r="BT69" i="49" s="1"/>
  <c r="M72" i="49"/>
  <c r="BC67" i="49" s="1"/>
  <c r="I68" i="49"/>
  <c r="AE78" i="49"/>
  <c r="AA74" i="49"/>
  <c r="BQ66" i="49" s="1"/>
  <c r="R66" i="49"/>
  <c r="H81" i="49"/>
  <c r="AB76" i="49"/>
  <c r="BR69" i="49" s="1"/>
  <c r="S68" i="49"/>
  <c r="N64" i="49"/>
  <c r="AC78" i="49"/>
  <c r="P66" i="49"/>
  <c r="Q68" i="49"/>
  <c r="L64" i="49"/>
  <c r="AA78" i="49"/>
  <c r="R70" i="49"/>
  <c r="N66" i="49"/>
  <c r="AK80" i="49"/>
  <c r="S72" i="49"/>
  <c r="O68" i="49"/>
  <c r="J64" i="49"/>
  <c r="P70" i="49"/>
  <c r="L66" i="49"/>
  <c r="AI80" i="49"/>
  <c r="Q72" i="49"/>
  <c r="M68" i="49"/>
  <c r="H64" i="49"/>
  <c r="R74" i="49"/>
  <c r="N70" i="49"/>
  <c r="J66" i="49"/>
  <c r="N81" i="49"/>
  <c r="AF76" i="49"/>
  <c r="BV69" i="49" s="1"/>
  <c r="AB72" i="49"/>
  <c r="BR67" i="49" s="1"/>
  <c r="R64" i="49"/>
  <c r="M113" i="49"/>
  <c r="M109" i="49"/>
  <c r="M105" i="49"/>
  <c r="M101" i="49"/>
  <c r="BC95" i="49" s="1"/>
  <c r="M97" i="49"/>
  <c r="AE83" i="49"/>
  <c r="P82" i="49"/>
  <c r="AE76" i="49"/>
  <c r="BU69" i="49" s="1"/>
  <c r="AL71" i="49"/>
  <c r="K81" i="49"/>
  <c r="Q76" i="49"/>
  <c r="AK71" i="49"/>
  <c r="AG67" i="49"/>
  <c r="R80" i="49"/>
  <c r="AD82" i="49"/>
  <c r="AB81" i="49"/>
  <c r="AB82" i="49"/>
  <c r="M82" i="49"/>
  <c r="R76" i="49"/>
  <c r="H66" i="49"/>
  <c r="AC80" i="49"/>
  <c r="AL73" i="49"/>
  <c r="AH69" i="49"/>
  <c r="AD65" i="49"/>
  <c r="K80" i="49"/>
  <c r="AI71" i="49"/>
  <c r="AE67" i="49"/>
  <c r="AJ73" i="49"/>
  <c r="AF69" i="49"/>
  <c r="AB65" i="49"/>
  <c r="I80" i="49"/>
  <c r="AK75" i="49"/>
  <c r="AG71" i="49"/>
  <c r="AC67" i="49"/>
  <c r="AL77" i="49"/>
  <c r="AH73" i="49"/>
  <c r="AD69" i="49"/>
  <c r="AI75" i="49"/>
  <c r="AE71" i="49"/>
  <c r="BU65" i="49" s="1"/>
  <c r="AA67" i="49"/>
  <c r="E100" i="49"/>
  <c r="AD100" i="49"/>
  <c r="Q101" i="49"/>
  <c r="E102" i="49"/>
  <c r="AR97" i="49" s="1"/>
  <c r="AD102" i="49"/>
  <c r="BT97" i="49" s="1"/>
  <c r="Q103" i="49"/>
  <c r="AA94" i="49"/>
  <c r="AA98" i="49"/>
  <c r="AA102" i="49"/>
  <c r="BQ97" i="49" s="1"/>
  <c r="AA106" i="49"/>
  <c r="BQ99" i="49" s="1"/>
  <c r="AA110" i="49"/>
  <c r="AA114" i="49"/>
  <c r="O98" i="49"/>
  <c r="O102" i="49"/>
  <c r="O106" i="49"/>
  <c r="O110" i="49"/>
  <c r="O114" i="49"/>
  <c r="P96" i="49"/>
  <c r="P100" i="49"/>
  <c r="P104" i="49"/>
  <c r="P108" i="49"/>
  <c r="P112" i="49"/>
  <c r="R94" i="49"/>
  <c r="R98" i="49"/>
  <c r="R102" i="49"/>
  <c r="R106" i="49"/>
  <c r="R110" i="49"/>
  <c r="R114" i="49"/>
  <c r="S96" i="49"/>
  <c r="S100" i="49"/>
  <c r="S104" i="49"/>
  <c r="S108" i="49"/>
  <c r="S112" i="49"/>
  <c r="U94" i="49"/>
  <c r="U98" i="49"/>
  <c r="U102" i="49"/>
  <c r="BH97" i="49" s="1"/>
  <c r="U106" i="49"/>
  <c r="BH99" i="49" s="1"/>
  <c r="U110" i="49"/>
  <c r="U114" i="49"/>
  <c r="V96" i="49"/>
  <c r="V100" i="49"/>
  <c r="V104" i="49"/>
  <c r="BI96" i="49" s="1"/>
  <c r="V108" i="49"/>
  <c r="V112" i="49"/>
  <c r="W94" i="49"/>
  <c r="W98" i="49"/>
  <c r="W102" i="49"/>
  <c r="BJ97" i="49" s="1"/>
  <c r="W106" i="49"/>
  <c r="BJ99" i="49" s="1"/>
  <c r="W110" i="49"/>
  <c r="AI114" i="49"/>
  <c r="K97" i="49"/>
  <c r="X101" i="49"/>
  <c r="BK95" i="49" s="1"/>
  <c r="AJ105" i="49"/>
  <c r="X110" i="49"/>
  <c r="AJ114" i="49"/>
  <c r="L97" i="49"/>
  <c r="Y101" i="49"/>
  <c r="BL95" i="49" s="1"/>
  <c r="AK105" i="49"/>
  <c r="L110" i="49"/>
  <c r="L115" i="49"/>
  <c r="AL103" i="49"/>
  <c r="B76" i="49"/>
  <c r="AO69" i="49" s="1"/>
  <c r="V65" i="49"/>
  <c r="AC71" i="49"/>
  <c r="BS65" i="49" s="1"/>
  <c r="AJ77" i="49"/>
  <c r="B82" i="49"/>
  <c r="O76" i="49"/>
  <c r="Y104" i="49"/>
  <c r="BL96" i="49" s="1"/>
  <c r="AA97" i="49"/>
  <c r="E104" i="49"/>
  <c r="AR96" i="49" s="1"/>
  <c r="AD104" i="49"/>
  <c r="BT96" i="49" s="1"/>
  <c r="BW96" i="49" s="1"/>
  <c r="Q105" i="49"/>
  <c r="E106" i="49"/>
  <c r="AR99" i="49" s="1"/>
  <c r="AD106" i="49"/>
  <c r="BT99" i="49" s="1"/>
  <c r="Q107" i="49"/>
  <c r="B95" i="49"/>
  <c r="B99" i="49"/>
  <c r="B103" i="49"/>
  <c r="B107" i="49"/>
  <c r="B111" i="49"/>
  <c r="B115" i="49"/>
  <c r="AB98" i="49"/>
  <c r="AB102" i="49"/>
  <c r="BR97" i="49" s="1"/>
  <c r="AB106" i="49"/>
  <c r="BR99" i="49" s="1"/>
  <c r="AB110" i="49"/>
  <c r="AB114" i="49"/>
  <c r="AC96" i="49"/>
  <c r="AC100" i="49"/>
  <c r="AC104" i="49"/>
  <c r="BS96" i="49" s="1"/>
  <c r="AC108" i="49"/>
  <c r="AC112" i="49"/>
  <c r="AE94" i="49"/>
  <c r="AE98" i="49"/>
  <c r="AE102" i="49"/>
  <c r="BU97" i="49" s="1"/>
  <c r="AE106" i="49"/>
  <c r="BU99" i="49" s="1"/>
  <c r="AE110" i="49"/>
  <c r="AE114" i="49"/>
  <c r="AF96" i="49"/>
  <c r="AF100" i="49"/>
  <c r="AF104" i="49"/>
  <c r="BV96" i="49" s="1"/>
  <c r="AF108" i="49"/>
  <c r="AF112" i="49"/>
  <c r="AG94" i="49"/>
  <c r="AG98" i="49"/>
  <c r="AG102" i="49"/>
  <c r="AG106" i="49"/>
  <c r="AG110" i="49"/>
  <c r="AG114" i="49"/>
  <c r="AH96" i="49"/>
  <c r="AH100" i="49"/>
  <c r="AH104" i="49"/>
  <c r="AH108" i="49"/>
  <c r="AH112" i="49"/>
  <c r="AI94" i="49"/>
  <c r="AI98" i="49"/>
  <c r="AI102" i="49"/>
  <c r="AI106" i="49"/>
  <c r="AI110" i="49"/>
  <c r="J115" i="49"/>
  <c r="X97" i="49"/>
  <c r="AJ101" i="49"/>
  <c r="X106" i="49"/>
  <c r="BK99" i="49" s="1"/>
  <c r="AJ110" i="49"/>
  <c r="K115" i="49"/>
  <c r="Y97" i="49"/>
  <c r="AK101" i="49"/>
  <c r="L106" i="49"/>
  <c r="BB99" i="49" s="1"/>
  <c r="Y110" i="49"/>
  <c r="Y115" i="49"/>
  <c r="Z104" i="49"/>
  <c r="BM96" i="49" s="1"/>
  <c r="F64" i="49"/>
  <c r="AH65" i="49"/>
  <c r="E72" i="49"/>
  <c r="AR67" i="49" s="1"/>
  <c r="L78" i="49"/>
  <c r="E68" i="49"/>
  <c r="Z80" i="49"/>
  <c r="B66" i="49"/>
  <c r="AD113" i="49"/>
  <c r="E108" i="49"/>
  <c r="AD108" i="49"/>
  <c r="Q109" i="49"/>
  <c r="E110" i="49"/>
  <c r="AD110" i="49"/>
  <c r="Q111" i="49"/>
  <c r="N95" i="49"/>
  <c r="N99" i="49"/>
  <c r="N103" i="49"/>
  <c r="N107" i="49"/>
  <c r="N111" i="49"/>
  <c r="N115" i="49"/>
  <c r="C99" i="49"/>
  <c r="C103" i="49"/>
  <c r="C107" i="49"/>
  <c r="C111" i="49"/>
  <c r="C115" i="49"/>
  <c r="D97" i="49"/>
  <c r="D101" i="49"/>
  <c r="AQ95" i="49" s="1"/>
  <c r="D105" i="49"/>
  <c r="D109" i="49"/>
  <c r="D113" i="49"/>
  <c r="F95" i="49"/>
  <c r="F99" i="49"/>
  <c r="F103" i="49"/>
  <c r="F107" i="49"/>
  <c r="F111" i="49"/>
  <c r="F115" i="49"/>
  <c r="G97" i="49"/>
  <c r="G101" i="49"/>
  <c r="AT95" i="49" s="1"/>
  <c r="G105" i="49"/>
  <c r="G109" i="49"/>
  <c r="G113" i="49"/>
  <c r="H95" i="49"/>
  <c r="H99" i="49"/>
  <c r="H103" i="49"/>
  <c r="H107" i="49"/>
  <c r="H111" i="49"/>
  <c r="H115" i="49"/>
  <c r="I97" i="49"/>
  <c r="I101" i="49"/>
  <c r="AY95" i="49" s="1"/>
  <c r="I105" i="49"/>
  <c r="I109" i="49"/>
  <c r="I113" i="49"/>
  <c r="J95" i="49"/>
  <c r="J99" i="49"/>
  <c r="J103" i="49"/>
  <c r="J107" i="49"/>
  <c r="J111" i="49"/>
  <c r="W115" i="49"/>
  <c r="AJ97" i="49"/>
  <c r="X102" i="49"/>
  <c r="BK97" i="49" s="1"/>
  <c r="AJ106" i="49"/>
  <c r="K111" i="49"/>
  <c r="X115" i="49"/>
  <c r="AK97" i="49"/>
  <c r="L102" i="49"/>
  <c r="BB97" i="49" s="1"/>
  <c r="Y106" i="49"/>
  <c r="BL99" i="49" s="1"/>
  <c r="AK110" i="49"/>
  <c r="AL94" i="49"/>
  <c r="AL104" i="49"/>
  <c r="J67" i="49"/>
  <c r="Z69" i="49"/>
  <c r="AG75" i="49"/>
  <c r="B68" i="49"/>
  <c r="I72" i="49"/>
  <c r="AY67" i="49" s="1"/>
  <c r="F66" i="49"/>
  <c r="AA103" i="49"/>
  <c r="AA111" i="49"/>
  <c r="AA115" i="49"/>
  <c r="O99" i="49"/>
  <c r="O103" i="49"/>
  <c r="O107" i="49"/>
  <c r="O111" i="49"/>
  <c r="O115" i="49"/>
  <c r="P97" i="49"/>
  <c r="P101" i="49"/>
  <c r="P105" i="49"/>
  <c r="P109" i="49"/>
  <c r="P113" i="49"/>
  <c r="R95" i="49"/>
  <c r="R99" i="49"/>
  <c r="R103" i="49"/>
  <c r="R107" i="49"/>
  <c r="R111" i="49"/>
  <c r="R115" i="49"/>
  <c r="S97" i="49"/>
  <c r="S101" i="49"/>
  <c r="S105" i="49"/>
  <c r="S109" i="49"/>
  <c r="S113" i="49"/>
  <c r="U95" i="49"/>
  <c r="U99" i="49"/>
  <c r="U103" i="49"/>
  <c r="U107" i="49"/>
  <c r="U111" i="49"/>
  <c r="U115" i="49"/>
  <c r="V97" i="49"/>
  <c r="V101" i="49"/>
  <c r="BI95" i="49" s="1"/>
  <c r="V105" i="49"/>
  <c r="V109" i="49"/>
  <c r="V113" i="49"/>
  <c r="W95" i="49"/>
  <c r="W99" i="49"/>
  <c r="W103" i="49"/>
  <c r="W107" i="49"/>
  <c r="W111" i="49"/>
  <c r="AI115" i="49"/>
  <c r="X98" i="49"/>
  <c r="AJ102" i="49"/>
  <c r="K107" i="49"/>
  <c r="X111" i="49"/>
  <c r="AJ115" i="49"/>
  <c r="L98" i="49"/>
  <c r="Y102" i="49"/>
  <c r="BL97" i="49" s="1"/>
  <c r="AK106" i="49"/>
  <c r="L111" i="49"/>
  <c r="AL95" i="49"/>
  <c r="AL106" i="49"/>
  <c r="AI67" i="49"/>
  <c r="AL69" i="49"/>
  <c r="I76" i="49"/>
  <c r="AY69" i="49" s="1"/>
  <c r="B80" i="49"/>
  <c r="M76" i="49"/>
  <c r="BC69" i="49" s="1"/>
  <c r="J70" i="49"/>
  <c r="E112" i="49"/>
  <c r="E114" i="49"/>
  <c r="AA107" i="49"/>
  <c r="C94" i="49"/>
  <c r="O94" i="49"/>
  <c r="AB94" i="49"/>
  <c r="C95" i="49"/>
  <c r="O95" i="49"/>
  <c r="AD95" i="49"/>
  <c r="B96" i="49"/>
  <c r="B100" i="49"/>
  <c r="B104" i="49"/>
  <c r="AO96" i="49" s="1"/>
  <c r="B108" i="49"/>
  <c r="B112" i="49"/>
  <c r="AB95" i="49"/>
  <c r="AB99" i="49"/>
  <c r="AB103" i="49"/>
  <c r="AB107" i="49"/>
  <c r="AB111" i="49"/>
  <c r="AB115" i="49"/>
  <c r="AC97" i="49"/>
  <c r="AC101" i="49"/>
  <c r="BS95" i="49" s="1"/>
  <c r="AC105" i="49"/>
  <c r="AC109" i="49"/>
  <c r="AC113" i="49"/>
  <c r="AE95" i="49"/>
  <c r="AE99" i="49"/>
  <c r="AE103" i="49"/>
  <c r="AE107" i="49"/>
  <c r="AE111" i="49"/>
  <c r="AE115" i="49"/>
  <c r="AF97" i="49"/>
  <c r="AF101" i="49"/>
  <c r="BV95" i="49" s="1"/>
  <c r="AF105" i="49"/>
  <c r="AF109" i="49"/>
  <c r="AF113" i="49"/>
  <c r="AG95" i="49"/>
  <c r="AG99" i="49"/>
  <c r="AG103" i="49"/>
  <c r="AG107" i="49"/>
  <c r="AG111" i="49"/>
  <c r="AG115" i="49"/>
  <c r="AH97" i="49"/>
  <c r="AH101" i="49"/>
  <c r="AH105" i="49"/>
  <c r="AH109" i="49"/>
  <c r="AH113" i="49"/>
  <c r="AI95" i="49"/>
  <c r="AI99" i="49"/>
  <c r="AI103" i="49"/>
  <c r="AI107" i="49"/>
  <c r="AI111" i="49"/>
  <c r="X94" i="49"/>
  <c r="AJ98" i="49"/>
  <c r="K103" i="49"/>
  <c r="X107" i="49"/>
  <c r="AJ111" i="49"/>
  <c r="L94" i="49"/>
  <c r="Y98" i="49"/>
  <c r="AK102" i="49"/>
  <c r="L107" i="49"/>
  <c r="Y111" i="49"/>
  <c r="Z96" i="49"/>
  <c r="AL107" i="49"/>
  <c r="K68" i="49"/>
  <c r="AD73" i="49"/>
  <c r="D80" i="49"/>
  <c r="C68" i="49"/>
  <c r="X80" i="49"/>
  <c r="N74" i="49"/>
  <c r="AD97" i="49"/>
  <c r="Q98" i="49"/>
  <c r="E99" i="49"/>
  <c r="AD99" i="49"/>
  <c r="N96" i="49"/>
  <c r="N100" i="49"/>
  <c r="N104" i="49"/>
  <c r="N108" i="49"/>
  <c r="N112" i="49"/>
  <c r="C96" i="49"/>
  <c r="C100" i="49"/>
  <c r="C104" i="49"/>
  <c r="AP96" i="49" s="1"/>
  <c r="C108" i="49"/>
  <c r="C112" i="49"/>
  <c r="D94" i="49"/>
  <c r="D98" i="49"/>
  <c r="D102" i="49"/>
  <c r="AQ97" i="49" s="1"/>
  <c r="D106" i="49"/>
  <c r="AQ99" i="49" s="1"/>
  <c r="D110" i="49"/>
  <c r="D114" i="49"/>
  <c r="F96" i="49"/>
  <c r="F100" i="49"/>
  <c r="F104" i="49"/>
  <c r="AS96" i="49" s="1"/>
  <c r="F108" i="49"/>
  <c r="F112" i="49"/>
  <c r="G94" i="49"/>
  <c r="G98" i="49"/>
  <c r="G102" i="49"/>
  <c r="AT97" i="49" s="1"/>
  <c r="G106" i="49"/>
  <c r="AT99" i="49" s="1"/>
  <c r="G110" i="49"/>
  <c r="G114" i="49"/>
  <c r="H96" i="49"/>
  <c r="H100" i="49"/>
  <c r="H104" i="49"/>
  <c r="AX96" i="49" s="1"/>
  <c r="H108" i="49"/>
  <c r="H112" i="49"/>
  <c r="I94" i="49"/>
  <c r="I98" i="49"/>
  <c r="I102" i="49"/>
  <c r="AY97" i="49" s="1"/>
  <c r="I106" i="49"/>
  <c r="AY99" i="49" s="1"/>
  <c r="I110" i="49"/>
  <c r="I114" i="49"/>
  <c r="J96" i="49"/>
  <c r="J100" i="49"/>
  <c r="J104" i="49"/>
  <c r="AZ96" i="49" s="1"/>
  <c r="J108" i="49"/>
  <c r="W112" i="49"/>
  <c r="AJ94" i="49"/>
  <c r="K99" i="49"/>
  <c r="X103" i="49"/>
  <c r="AJ107" i="49"/>
  <c r="K112" i="49"/>
  <c r="Y94" i="49"/>
  <c r="AK98" i="49"/>
  <c r="L103" i="49"/>
  <c r="Y107" i="49"/>
  <c r="AK111" i="49"/>
  <c r="AL96" i="49"/>
  <c r="Z108" i="49"/>
  <c r="N71" i="49"/>
  <c r="F74" i="49"/>
  <c r="AS66" i="49" s="1"/>
  <c r="S80" i="49"/>
  <c r="G72" i="49"/>
  <c r="AT67" i="49" s="1"/>
  <c r="D66" i="49"/>
  <c r="R78" i="49"/>
  <c r="Q100" i="49"/>
  <c r="E101" i="49"/>
  <c r="AR95" i="49" s="1"/>
  <c r="AD101" i="49"/>
  <c r="BT95" i="49" s="1"/>
  <c r="Q102" i="49"/>
  <c r="AD103" i="49"/>
  <c r="AA96" i="49"/>
  <c r="AA100" i="49"/>
  <c r="AA108" i="49"/>
  <c r="AA112" i="49"/>
  <c r="O96" i="49"/>
  <c r="O100" i="49"/>
  <c r="O104" i="49"/>
  <c r="O108" i="49"/>
  <c r="O112" i="49"/>
  <c r="P94" i="49"/>
  <c r="P98" i="49"/>
  <c r="P102" i="49"/>
  <c r="P106" i="49"/>
  <c r="P110" i="49"/>
  <c r="P114" i="49"/>
  <c r="R96" i="49"/>
  <c r="R100" i="49"/>
  <c r="R104" i="49"/>
  <c r="R108" i="49"/>
  <c r="R112" i="49"/>
  <c r="S94" i="49"/>
  <c r="S98" i="49"/>
  <c r="S102" i="49"/>
  <c r="S106" i="49"/>
  <c r="S110" i="49"/>
  <c r="S114" i="49"/>
  <c r="U96" i="49"/>
  <c r="U100" i="49"/>
  <c r="U104" i="49"/>
  <c r="BH96" i="49" s="1"/>
  <c r="U108" i="49"/>
  <c r="U112" i="49"/>
  <c r="V94" i="49"/>
  <c r="V98" i="49"/>
  <c r="V102" i="49"/>
  <c r="BI97" i="49" s="1"/>
  <c r="V106" i="49"/>
  <c r="BI99" i="49" s="1"/>
  <c r="V110" i="49"/>
  <c r="V114" i="49"/>
  <c r="W96" i="49"/>
  <c r="W100" i="49"/>
  <c r="W104" i="49"/>
  <c r="BJ96" i="49" s="1"/>
  <c r="W108" i="49"/>
  <c r="AI112" i="49"/>
  <c r="K95" i="49"/>
  <c r="X99" i="49"/>
  <c r="AJ103" i="49"/>
  <c r="K108" i="49"/>
  <c r="X112" i="49"/>
  <c r="AK94" i="49"/>
  <c r="L99" i="49"/>
  <c r="Y103" i="49"/>
  <c r="AK107" i="49"/>
  <c r="Y112" i="49"/>
  <c r="Z97" i="49"/>
  <c r="AL108" i="49"/>
  <c r="C72" i="49"/>
  <c r="AP67" i="49" s="1"/>
  <c r="AH77" i="49"/>
  <c r="X65" i="49"/>
  <c r="K76" i="49"/>
  <c r="BA69" i="49" s="1"/>
  <c r="H70" i="49"/>
  <c r="B74" i="49"/>
  <c r="AO66" i="49" s="1"/>
  <c r="U21" i="49"/>
  <c r="W4" i="49"/>
  <c r="BJ4" i="49" s="1"/>
  <c r="O11" i="49"/>
  <c r="N9" i="49"/>
  <c r="Y6" i="49"/>
  <c r="Y14" i="49"/>
  <c r="BL6" i="49" s="1"/>
  <c r="AF4" i="49"/>
  <c r="BV4" i="49" s="1"/>
  <c r="Z25" i="49"/>
  <c r="AA18" i="49"/>
  <c r="Z17" i="49"/>
  <c r="Z9" i="49"/>
  <c r="Y23" i="49"/>
  <c r="AL24" i="49"/>
  <c r="Y15" i="49"/>
  <c r="Z24" i="49"/>
  <c r="Y7" i="49"/>
  <c r="Z16" i="49"/>
  <c r="BM9" i="49" s="1"/>
  <c r="W25" i="49"/>
  <c r="Z8" i="49"/>
  <c r="W17" i="49"/>
  <c r="Y22" i="49"/>
  <c r="W9" i="49"/>
  <c r="AL8" i="49"/>
  <c r="AC9" i="49"/>
  <c r="AL25" i="49"/>
  <c r="AD12" i="49"/>
  <c r="BT7" i="49" s="1"/>
  <c r="AG9" i="49"/>
  <c r="AE5" i="49"/>
  <c r="AH6" i="49"/>
  <c r="O7" i="49"/>
  <c r="U25" i="49"/>
  <c r="U17" i="49"/>
  <c r="U9" i="49"/>
  <c r="S18" i="49"/>
  <c r="AF23" i="49"/>
  <c r="AF15" i="49"/>
  <c r="AF7" i="49"/>
  <c r="R10" i="49"/>
  <c r="AK20" i="49"/>
  <c r="AK12" i="49"/>
  <c r="O19" i="49"/>
  <c r="AI4" i="49"/>
  <c r="X18" i="49"/>
  <c r="X10" i="49"/>
  <c r="P20" i="49"/>
  <c r="W24" i="49"/>
  <c r="W16" i="49"/>
  <c r="BJ9" i="49" s="1"/>
  <c r="W8" i="49"/>
  <c r="O14" i="49"/>
  <c r="V22" i="49"/>
  <c r="V14" i="49"/>
  <c r="BI6" i="49" s="1"/>
  <c r="V6" i="49"/>
  <c r="N8" i="49"/>
  <c r="U20" i="49"/>
  <c r="U12" i="49"/>
  <c r="BH7" i="49" s="1"/>
  <c r="S21" i="49"/>
  <c r="AF24" i="49"/>
  <c r="AF16" i="49"/>
  <c r="BV9" i="49" s="1"/>
  <c r="AF8" i="49"/>
  <c r="R13" i="49"/>
  <c r="AK21" i="49"/>
  <c r="AK13" i="49"/>
  <c r="AK5" i="49"/>
  <c r="Q5" i="49"/>
  <c r="X19" i="49"/>
  <c r="X11" i="49"/>
  <c r="BK5" i="49" s="1"/>
  <c r="P21" i="49"/>
  <c r="AC24" i="49"/>
  <c r="AC16" i="49"/>
  <c r="BS9" i="49" s="1"/>
  <c r="AC8" i="49"/>
  <c r="O5" i="49"/>
  <c r="V19" i="49"/>
  <c r="V11" i="49"/>
  <c r="BI5" i="49" s="1"/>
  <c r="AC25" i="49"/>
  <c r="O9" i="49"/>
  <c r="S20" i="49"/>
  <c r="AJ18" i="49"/>
  <c r="AH14" i="49"/>
  <c r="AH19" i="49"/>
  <c r="N21" i="49"/>
  <c r="AA24" i="49"/>
  <c r="AA16" i="49"/>
  <c r="BQ9" i="49" s="1"/>
  <c r="AA8" i="49"/>
  <c r="S16" i="49"/>
  <c r="AL22" i="49"/>
  <c r="AL14" i="49"/>
  <c r="AL6" i="49"/>
  <c r="R8" i="49"/>
  <c r="Y20" i="49"/>
  <c r="Y12" i="49"/>
  <c r="BL7" i="49" s="1"/>
  <c r="Q24" i="49"/>
  <c r="AD25" i="49"/>
  <c r="AD17" i="49"/>
  <c r="AD9" i="49"/>
  <c r="P18" i="49"/>
  <c r="AC23" i="49"/>
  <c r="AC15" i="49"/>
  <c r="AC7" i="49"/>
  <c r="O12" i="49"/>
  <c r="AB21" i="49"/>
  <c r="AB13" i="49"/>
  <c r="AB5" i="49"/>
  <c r="N6" i="49"/>
  <c r="AA19" i="49"/>
  <c r="AA11" i="49"/>
  <c r="BQ5" i="49" s="1"/>
  <c r="S19" i="49"/>
  <c r="AL23" i="49"/>
  <c r="AL15" i="49"/>
  <c r="AL7" i="49"/>
  <c r="R11" i="49"/>
  <c r="Y21" i="49"/>
  <c r="Y13" i="49"/>
  <c r="Y5" i="49"/>
  <c r="AC4" i="49"/>
  <c r="BS4" i="49" s="1"/>
  <c r="AD18" i="49"/>
  <c r="AD10" i="49"/>
  <c r="P19" i="49"/>
  <c r="AI23" i="49"/>
  <c r="AI15" i="49"/>
  <c r="AI7" i="49"/>
  <c r="AE4" i="49"/>
  <c r="BU4" i="49" s="1"/>
  <c r="AB18" i="49"/>
  <c r="AB10" i="49"/>
  <c r="AL16" i="49"/>
  <c r="AC17" i="49"/>
  <c r="AL17" i="49"/>
  <c r="AI25" i="49"/>
  <c r="AJ10" i="49"/>
  <c r="AG20" i="49"/>
  <c r="P23" i="49"/>
  <c r="N23" i="49"/>
  <c r="N19" i="49"/>
  <c r="AG23" i="49"/>
  <c r="AG15" i="49"/>
  <c r="AG7" i="49"/>
  <c r="S14" i="49"/>
  <c r="Z22" i="49"/>
  <c r="Z14" i="49"/>
  <c r="BM6" i="49" s="1"/>
  <c r="Z6" i="49"/>
  <c r="R6" i="49"/>
  <c r="AE19" i="49"/>
  <c r="AE11" i="49"/>
  <c r="BU5" i="49" s="1"/>
  <c r="Q22" i="49"/>
  <c r="AJ24" i="49"/>
  <c r="AJ16" i="49"/>
  <c r="AJ8" i="49"/>
  <c r="P16" i="49"/>
  <c r="AI22" i="49"/>
  <c r="AI14" i="49"/>
  <c r="AI6" i="49"/>
  <c r="O10" i="49"/>
  <c r="AH20" i="49"/>
  <c r="AH12" i="49"/>
  <c r="O25" i="49"/>
  <c r="Z4" i="49"/>
  <c r="BM4" i="49" s="1"/>
  <c r="AG18" i="49"/>
  <c r="AG10" i="49"/>
  <c r="S17" i="49"/>
  <c r="Z23" i="49"/>
  <c r="Z15" i="49"/>
  <c r="Z7" i="49"/>
  <c r="R9" i="49"/>
  <c r="AE20" i="49"/>
  <c r="AE12" i="49"/>
  <c r="BU7" i="49" s="1"/>
  <c r="Q25" i="49"/>
  <c r="AJ25" i="49"/>
  <c r="AJ17" i="49"/>
  <c r="AJ9" i="49"/>
  <c r="P17" i="49"/>
  <c r="W23" i="49"/>
  <c r="W15" i="49"/>
  <c r="W7" i="49"/>
  <c r="AH25" i="49"/>
  <c r="AH17" i="49"/>
  <c r="AH9" i="49"/>
  <c r="Q6" i="49"/>
  <c r="AB15" i="49"/>
  <c r="AA5" i="49"/>
  <c r="P25" i="49"/>
  <c r="AG17" i="49"/>
  <c r="N10" i="49"/>
  <c r="AH11" i="49"/>
  <c r="N17" i="49"/>
  <c r="U23" i="49"/>
  <c r="U15" i="49"/>
  <c r="U7" i="49"/>
  <c r="S12" i="49"/>
  <c r="AF21" i="49"/>
  <c r="AF13" i="49"/>
  <c r="AF5" i="49"/>
  <c r="V4" i="49"/>
  <c r="BI4" i="49" s="1"/>
  <c r="AK18" i="49"/>
  <c r="AK10" i="49"/>
  <c r="Q20" i="49"/>
  <c r="X24" i="49"/>
  <c r="X16" i="49"/>
  <c r="BK9" i="49" s="1"/>
  <c r="X8" i="49"/>
  <c r="P14" i="49"/>
  <c r="W22" i="49"/>
  <c r="W14" i="49"/>
  <c r="BJ6" i="49" s="1"/>
  <c r="W6" i="49"/>
  <c r="O8" i="49"/>
  <c r="V20" i="49"/>
  <c r="V12" i="49"/>
  <c r="BI7" i="49" s="1"/>
  <c r="S4" i="49"/>
  <c r="AL4" i="49"/>
  <c r="U18" i="49"/>
  <c r="U10" i="49"/>
  <c r="S15" i="49"/>
  <c r="AF22" i="49"/>
  <c r="AF14" i="49"/>
  <c r="BV6" i="49" s="1"/>
  <c r="AF6" i="49"/>
  <c r="R7" i="49"/>
  <c r="AK19" i="49"/>
  <c r="AK11" i="49"/>
  <c r="Q23" i="49"/>
  <c r="X25" i="49"/>
  <c r="X17" i="49"/>
  <c r="X9" i="49"/>
  <c r="P15" i="49"/>
  <c r="AC22" i="49"/>
  <c r="AC14" i="49"/>
  <c r="BS6" i="49" s="1"/>
  <c r="AC6" i="49"/>
  <c r="V25" i="49"/>
  <c r="V17" i="49"/>
  <c r="V9" i="49"/>
  <c r="AB7" i="49"/>
  <c r="R17" i="49"/>
  <c r="AI17" i="49"/>
  <c r="AI8" i="49"/>
  <c r="AE22" i="49"/>
  <c r="AA14" i="49"/>
  <c r="BQ6" i="49" s="1"/>
  <c r="S10" i="49"/>
  <c r="AL20" i="49"/>
  <c r="AL12" i="49"/>
  <c r="O23" i="49"/>
  <c r="AH4" i="49"/>
  <c r="Y18" i="49"/>
  <c r="Y10" i="49"/>
  <c r="Q18" i="49"/>
  <c r="AD23" i="49"/>
  <c r="AD15" i="49"/>
  <c r="AD7" i="49"/>
  <c r="P12" i="49"/>
  <c r="AC21" i="49"/>
  <c r="AC13" i="49"/>
  <c r="AC5" i="49"/>
  <c r="O6" i="49"/>
  <c r="AB19" i="49"/>
  <c r="AB11" i="49"/>
  <c r="BR5" i="49" s="1"/>
  <c r="N24" i="49"/>
  <c r="AA25" i="49"/>
  <c r="AA17" i="49"/>
  <c r="AA9" i="49"/>
  <c r="S13" i="49"/>
  <c r="AL21" i="49"/>
  <c r="AL13" i="49"/>
  <c r="AL5" i="49"/>
  <c r="R5" i="49"/>
  <c r="Y19" i="49"/>
  <c r="Y11" i="49"/>
  <c r="BL5" i="49" s="1"/>
  <c r="Q21" i="49"/>
  <c r="AD24" i="49"/>
  <c r="AD16" i="49"/>
  <c r="BT9" i="49" s="1"/>
  <c r="AD8" i="49"/>
  <c r="P13" i="49"/>
  <c r="AI21" i="49"/>
  <c r="AI13" i="49"/>
  <c r="AI5" i="49"/>
  <c r="AB24" i="49"/>
  <c r="AB16" i="49"/>
  <c r="BR9" i="49" s="1"/>
  <c r="AB8" i="49"/>
  <c r="AD19" i="49"/>
  <c r="N12" i="49"/>
  <c r="AB12" i="49"/>
  <c r="BR7" i="49" s="1"/>
  <c r="R12" i="49"/>
  <c r="P22" i="49"/>
  <c r="AG12" i="49"/>
  <c r="AE6" i="49"/>
  <c r="AA6" i="49"/>
  <c r="N13" i="49"/>
  <c r="AG21" i="49"/>
  <c r="AG13" i="49"/>
  <c r="AG5" i="49"/>
  <c r="S8" i="49"/>
  <c r="Z20" i="49"/>
  <c r="Z12" i="49"/>
  <c r="BM7" i="49" s="1"/>
  <c r="R24" i="49"/>
  <c r="AE25" i="49"/>
  <c r="AE17" i="49"/>
  <c r="AE9" i="49"/>
  <c r="Q16" i="49"/>
  <c r="AJ22" i="49"/>
  <c r="AJ14" i="49"/>
  <c r="AJ6" i="49"/>
  <c r="P10" i="49"/>
  <c r="AI20" i="49"/>
  <c r="AI12" i="49"/>
  <c r="N4" i="49"/>
  <c r="Y4" i="49"/>
  <c r="BL4" i="49" s="1"/>
  <c r="AH18" i="49"/>
  <c r="AH10" i="49"/>
  <c r="N22" i="49"/>
  <c r="AG24" i="49"/>
  <c r="AG16" i="49"/>
  <c r="AG8" i="49"/>
  <c r="S11" i="49"/>
  <c r="Z21" i="49"/>
  <c r="Z13" i="49"/>
  <c r="Z5" i="49"/>
  <c r="AB4" i="49"/>
  <c r="BR4" i="49" s="1"/>
  <c r="AE18" i="49"/>
  <c r="AE10" i="49"/>
  <c r="Q19" i="49"/>
  <c r="AJ23" i="49"/>
  <c r="AJ15" i="49"/>
  <c r="AJ7" i="49"/>
  <c r="P11" i="49"/>
  <c r="W21" i="49"/>
  <c r="W13" i="49"/>
  <c r="W5" i="49"/>
  <c r="AH23" i="49"/>
  <c r="AH15" i="49"/>
  <c r="AH7" i="49"/>
  <c r="R14" i="49"/>
  <c r="AB23" i="49"/>
  <c r="AL9" i="49"/>
  <c r="AI9" i="49"/>
  <c r="AI24" i="49"/>
  <c r="Q7" i="49"/>
  <c r="N11" i="49"/>
  <c r="U13" i="49"/>
  <c r="U5" i="49"/>
  <c r="S6" i="49"/>
  <c r="AF19" i="49"/>
  <c r="AF11" i="49"/>
  <c r="BV5" i="49" s="1"/>
  <c r="R22" i="49"/>
  <c r="AK24" i="49"/>
  <c r="AK16" i="49"/>
  <c r="AK8" i="49"/>
  <c r="Q14" i="49"/>
  <c r="X22" i="49"/>
  <c r="X14" i="49"/>
  <c r="BK6" i="49" s="1"/>
  <c r="X6" i="49"/>
  <c r="P8" i="49"/>
  <c r="W20" i="49"/>
  <c r="W12" i="49"/>
  <c r="BJ7" i="49" s="1"/>
  <c r="R4" i="49"/>
  <c r="AK4" i="49"/>
  <c r="V18" i="49"/>
  <c r="V10" i="49"/>
  <c r="N20" i="49"/>
  <c r="U24" i="49"/>
  <c r="U16" i="49"/>
  <c r="BH9" i="49" s="1"/>
  <c r="U8" i="49"/>
  <c r="S9" i="49"/>
  <c r="AF20" i="49"/>
  <c r="AF12" i="49"/>
  <c r="BV7" i="49" s="1"/>
  <c r="R25" i="49"/>
  <c r="AK25" i="49"/>
  <c r="AK17" i="49"/>
  <c r="AK9" i="49"/>
  <c r="Q17" i="49"/>
  <c r="X23" i="49"/>
  <c r="X15" i="49"/>
  <c r="X7" i="49"/>
  <c r="P9" i="49"/>
  <c r="AC20" i="49"/>
  <c r="AC12" i="49"/>
  <c r="BS7" i="49" s="1"/>
  <c r="O21" i="49"/>
  <c r="V23" i="49"/>
  <c r="V15" i="49"/>
  <c r="V7" i="49"/>
  <c r="AD11" i="49"/>
  <c r="BT5" i="49" s="1"/>
  <c r="AA21" i="49"/>
  <c r="Q9" i="49"/>
  <c r="O17" i="49"/>
  <c r="AE13" i="49"/>
  <c r="AH22" i="49"/>
  <c r="R15" i="49"/>
  <c r="AJ11" i="49"/>
  <c r="N15" i="49"/>
  <c r="AA20" i="49"/>
  <c r="AA12" i="49"/>
  <c r="BQ7" i="49" s="1"/>
  <c r="S25" i="49"/>
  <c r="U4" i="49"/>
  <c r="BH4" i="49" s="1"/>
  <c r="AL18" i="49"/>
  <c r="AL10" i="49"/>
  <c r="R20" i="49"/>
  <c r="Y24" i="49"/>
  <c r="Y16" i="49"/>
  <c r="BL9" i="49" s="1"/>
  <c r="Y8" i="49"/>
  <c r="Q12" i="49"/>
  <c r="AD21" i="49"/>
  <c r="AD13" i="49"/>
  <c r="AD5" i="49"/>
  <c r="P6" i="49"/>
  <c r="AC19" i="49"/>
  <c r="AC11" i="49"/>
  <c r="BS5" i="49" s="1"/>
  <c r="O24" i="49"/>
  <c r="AB25" i="49"/>
  <c r="AB17" i="49"/>
  <c r="AB9" i="49"/>
  <c r="N18" i="49"/>
  <c r="AA23" i="49"/>
  <c r="AA15" i="49"/>
  <c r="AA7" i="49"/>
  <c r="S7" i="49"/>
  <c r="AL19" i="49"/>
  <c r="AL11" i="49"/>
  <c r="R23" i="49"/>
  <c r="Y25" i="49"/>
  <c r="Y17" i="49"/>
  <c r="Y9" i="49"/>
  <c r="Q15" i="49"/>
  <c r="AD22" i="49"/>
  <c r="AD14" i="49"/>
  <c r="BT6" i="49" s="1"/>
  <c r="AD6" i="49"/>
  <c r="P7" i="49"/>
  <c r="AI19" i="49"/>
  <c r="AI11" i="49"/>
  <c r="O15" i="49"/>
  <c r="AB22" i="49"/>
  <c r="AB14" i="49"/>
  <c r="BR6" i="49" s="1"/>
  <c r="AB6" i="49"/>
  <c r="O18" i="49"/>
  <c r="AB20" i="49"/>
  <c r="AE21" i="49"/>
  <c r="O16" i="49"/>
  <c r="S23" i="49"/>
  <c r="AJ19" i="49"/>
  <c r="AA22" i="49"/>
  <c r="N7" i="49"/>
  <c r="AG19" i="49"/>
  <c r="AG11" i="49"/>
  <c r="N25" i="49"/>
  <c r="AG4" i="49"/>
  <c r="Z18" i="49"/>
  <c r="Z10" i="49"/>
  <c r="R18" i="49"/>
  <c r="AE23" i="49"/>
  <c r="AE15" i="49"/>
  <c r="AE7" i="49"/>
  <c r="Q10" i="49"/>
  <c r="AJ20" i="49"/>
  <c r="AJ12" i="49"/>
  <c r="O4" i="49"/>
  <c r="X4" i="49"/>
  <c r="BK4" i="49" s="1"/>
  <c r="AI18" i="49"/>
  <c r="AI10" i="49"/>
  <c r="O22" i="49"/>
  <c r="AH24" i="49"/>
  <c r="AH16" i="49"/>
  <c r="AH8" i="49"/>
  <c r="N16" i="49"/>
  <c r="AG22" i="49"/>
  <c r="AG14" i="49"/>
  <c r="AG6" i="49"/>
  <c r="S5" i="49"/>
  <c r="Z19" i="49"/>
  <c r="Z11" i="49"/>
  <c r="BM5" i="49" s="1"/>
  <c r="R21" i="49"/>
  <c r="AE24" i="49"/>
  <c r="AE16" i="49"/>
  <c r="BU9" i="49" s="1"/>
  <c r="AE8" i="49"/>
  <c r="Q13" i="49"/>
  <c r="AJ21" i="49"/>
  <c r="AJ13" i="49"/>
  <c r="AJ5" i="49"/>
  <c r="P5" i="49"/>
  <c r="W19" i="49"/>
  <c r="W11" i="49"/>
  <c r="BJ5" i="49" s="1"/>
  <c r="O13" i="49"/>
  <c r="AH21" i="49"/>
  <c r="AH13" i="49"/>
  <c r="AH5" i="49"/>
  <c r="P24" i="49"/>
  <c r="AA13" i="49"/>
  <c r="AD20" i="49"/>
  <c r="AG25" i="49"/>
  <c r="AI16" i="49"/>
  <c r="AE14" i="49"/>
  <c r="BU6" i="49" s="1"/>
  <c r="U19" i="49"/>
  <c r="U11" i="49"/>
  <c r="BH5" i="49" s="1"/>
  <c r="S24" i="49"/>
  <c r="AF25" i="49"/>
  <c r="AF17" i="49"/>
  <c r="AF9" i="49"/>
  <c r="R16" i="49"/>
  <c r="AK22" i="49"/>
  <c r="AK14" i="49"/>
  <c r="AK6" i="49"/>
  <c r="Q8" i="49"/>
  <c r="X20" i="49"/>
  <c r="X12" i="49"/>
  <c r="BK7" i="49" s="1"/>
  <c r="P4" i="49"/>
  <c r="AJ4" i="49"/>
  <c r="W18" i="49"/>
  <c r="W10" i="49"/>
  <c r="O20" i="49"/>
  <c r="V24" i="49"/>
  <c r="V16" i="49"/>
  <c r="BI9" i="49" s="1"/>
  <c r="V8" i="49"/>
  <c r="N14" i="49"/>
  <c r="U22" i="49"/>
  <c r="U14" i="49"/>
  <c r="BH6" i="49" s="1"/>
  <c r="U6" i="49"/>
  <c r="AA4" i="49"/>
  <c r="BQ4" i="49" s="1"/>
  <c r="AF18" i="49"/>
  <c r="AF10" i="49"/>
  <c r="R19" i="49"/>
  <c r="AK23" i="49"/>
  <c r="AK15" i="49"/>
  <c r="AK7" i="49"/>
  <c r="Q11" i="49"/>
  <c r="X21" i="49"/>
  <c r="X13" i="49"/>
  <c r="X5" i="49"/>
  <c r="AD4" i="49"/>
  <c r="BT4" i="49" s="1"/>
  <c r="AC18" i="49"/>
  <c r="AC10" i="49"/>
  <c r="V21" i="49"/>
  <c r="V13" i="49"/>
  <c r="D13" i="49"/>
  <c r="G14" i="49"/>
  <c r="AT6" i="49" s="1"/>
  <c r="G16" i="49"/>
  <c r="AT9" i="49" s="1"/>
  <c r="G6" i="49"/>
  <c r="F6" i="49"/>
  <c r="D14" i="49"/>
  <c r="AQ6" i="49" s="1"/>
  <c r="G18" i="49"/>
  <c r="F7" i="49"/>
  <c r="E15" i="49"/>
  <c r="F24" i="49"/>
  <c r="F19" i="49"/>
  <c r="F22" i="49"/>
  <c r="B15" i="49"/>
  <c r="F23" i="49"/>
  <c r="F20" i="49"/>
  <c r="C23" i="49"/>
  <c r="F12" i="49"/>
  <c r="AS7" i="49" s="1"/>
  <c r="C14" i="49"/>
  <c r="AP6" i="49" s="1"/>
  <c r="F9" i="49"/>
  <c r="F10" i="49"/>
  <c r="B16" i="49"/>
  <c r="AO9" i="49" s="1"/>
  <c r="C11" i="49"/>
  <c r="AP5" i="49" s="1"/>
  <c r="G15" i="49"/>
  <c r="M22" i="49"/>
  <c r="I13" i="49"/>
  <c r="E16" i="49"/>
  <c r="AR9" i="49" s="1"/>
  <c r="B13" i="49"/>
  <c r="F5" i="49"/>
  <c r="G12" i="49"/>
  <c r="AT7" i="49" s="1"/>
  <c r="M18" i="49"/>
  <c r="L12" i="49"/>
  <c r="BB7" i="49" s="1"/>
  <c r="I9" i="49"/>
  <c r="E14" i="49"/>
  <c r="AR6" i="49" s="1"/>
  <c r="K22" i="49"/>
  <c r="F15" i="49"/>
  <c r="D12" i="49"/>
  <c r="AQ7" i="49" s="1"/>
  <c r="M17" i="49"/>
  <c r="I19" i="49"/>
  <c r="C12" i="49"/>
  <c r="AP7" i="49" s="1"/>
  <c r="L17" i="49"/>
  <c r="L16" i="49"/>
  <c r="BB9" i="49" s="1"/>
  <c r="B14" i="49"/>
  <c r="AO6" i="49" s="1"/>
  <c r="K21" i="49"/>
  <c r="F13" i="49"/>
  <c r="G13" i="49"/>
  <c r="M20" i="49"/>
  <c r="F21" i="49"/>
  <c r="E13" i="49"/>
  <c r="K20" i="49"/>
  <c r="F17" i="49"/>
  <c r="D11" i="49"/>
  <c r="AQ5" i="49" s="1"/>
  <c r="M15" i="49"/>
  <c r="I7" i="49"/>
  <c r="C9" i="49"/>
  <c r="L11" i="49"/>
  <c r="BB5" i="49" s="1"/>
  <c r="B11" i="49"/>
  <c r="AO5" i="49" s="1"/>
  <c r="K15" i="49"/>
  <c r="L21" i="49"/>
  <c r="K24" i="49"/>
  <c r="L15" i="49"/>
  <c r="I23" i="49"/>
  <c r="K19" i="49"/>
  <c r="I15" i="49"/>
  <c r="D10" i="49"/>
  <c r="M13" i="49"/>
  <c r="C10" i="49"/>
  <c r="L13" i="49"/>
  <c r="B12" i="49"/>
  <c r="AO7" i="49" s="1"/>
  <c r="K17" i="49"/>
  <c r="L24" i="49"/>
  <c r="G11" i="49"/>
  <c r="AT5" i="49" s="1"/>
  <c r="M16" i="49"/>
  <c r="BC9" i="49" s="1"/>
  <c r="M4" i="49"/>
  <c r="E11" i="49"/>
  <c r="AR5" i="49" s="1"/>
  <c r="K16" i="49"/>
  <c r="BA9" i="49" s="1"/>
  <c r="I11" i="49"/>
  <c r="AY5" i="49" s="1"/>
  <c r="D9" i="49"/>
  <c r="M11" i="49"/>
  <c r="BC5" i="49" s="1"/>
  <c r="C7" i="49"/>
  <c r="L7" i="49"/>
  <c r="B9" i="49"/>
  <c r="K11" i="49"/>
  <c r="BA5" i="49" s="1"/>
  <c r="K25" i="49"/>
  <c r="F18" i="49"/>
  <c r="L8" i="49"/>
  <c r="G10" i="49"/>
  <c r="M14" i="49"/>
  <c r="BC6" i="49" s="1"/>
  <c r="F16" i="49"/>
  <c r="AS9" i="49" s="1"/>
  <c r="I5" i="49"/>
  <c r="E12" i="49"/>
  <c r="AR7" i="49" s="1"/>
  <c r="K18" i="49"/>
  <c r="G8" i="49"/>
  <c r="M10" i="49"/>
  <c r="F14" i="49"/>
  <c r="AS6" i="49" s="1"/>
  <c r="L22" i="49"/>
  <c r="F11" i="49"/>
  <c r="AS5" i="49" s="1"/>
  <c r="E10" i="49"/>
  <c r="K14" i="49"/>
  <c r="BA6" i="49" s="1"/>
  <c r="D8" i="49"/>
  <c r="M9" i="49"/>
  <c r="C8" i="49"/>
  <c r="L9" i="49"/>
  <c r="B10" i="49"/>
  <c r="K13" i="49"/>
  <c r="G9" i="49"/>
  <c r="M12" i="49"/>
  <c r="BC7" i="49" s="1"/>
  <c r="E9" i="49"/>
  <c r="K12" i="49"/>
  <c r="BA7" i="49" s="1"/>
  <c r="D7" i="49"/>
  <c r="M7" i="49"/>
  <c r="C5" i="49"/>
  <c r="B7" i="49"/>
  <c r="K7" i="49"/>
  <c r="L18" i="49"/>
  <c r="L20" i="49"/>
  <c r="E8" i="49"/>
  <c r="K10" i="49"/>
  <c r="D6" i="49"/>
  <c r="M5" i="49"/>
  <c r="C6" i="49"/>
  <c r="L5" i="49"/>
  <c r="B8" i="49"/>
  <c r="K9" i="49"/>
  <c r="G7" i="49"/>
  <c r="M8" i="49"/>
  <c r="E7" i="49"/>
  <c r="K8" i="49"/>
  <c r="D5" i="49"/>
  <c r="B5" i="49"/>
  <c r="M6" i="49"/>
  <c r="E6" i="49"/>
  <c r="K6" i="49"/>
  <c r="H4" i="49"/>
  <c r="AX4" i="49" s="1"/>
  <c r="I4" i="49"/>
  <c r="B6" i="49"/>
  <c r="K5" i="49"/>
  <c r="G5" i="49"/>
  <c r="E5" i="49"/>
  <c r="I22" i="49"/>
  <c r="D25" i="49"/>
  <c r="K4" i="49"/>
  <c r="J25" i="49"/>
  <c r="F8" i="49"/>
  <c r="L10" i="49"/>
  <c r="Q4" i="49"/>
  <c r="J24" i="49"/>
  <c r="D4" i="49"/>
  <c r="AQ4" i="49" s="1"/>
  <c r="I24" i="49"/>
  <c r="F4" i="49"/>
  <c r="J4" i="49"/>
  <c r="C4" i="49"/>
  <c r="AP4" i="49" s="1"/>
  <c r="L4" i="49"/>
  <c r="J22" i="49"/>
  <c r="D23" i="49"/>
  <c r="I18" i="49"/>
  <c r="B25" i="49"/>
  <c r="H22" i="49"/>
  <c r="M21" i="49"/>
  <c r="M24" i="49"/>
  <c r="H25" i="49"/>
  <c r="D24" i="49"/>
  <c r="J20" i="49"/>
  <c r="C24" i="49"/>
  <c r="I20" i="49"/>
  <c r="G4" i="49"/>
  <c r="H24" i="49"/>
  <c r="G25" i="49"/>
  <c r="J23" i="49"/>
  <c r="E25" i="49"/>
  <c r="H23" i="49"/>
  <c r="J18" i="49"/>
  <c r="C21" i="49"/>
  <c r="I14" i="49"/>
  <c r="AY6" i="49" s="1"/>
  <c r="B23" i="49"/>
  <c r="H18" i="49"/>
  <c r="M19" i="49"/>
  <c r="L14" i="49"/>
  <c r="BB6" i="49" s="1"/>
  <c r="G22" i="49"/>
  <c r="J17" i="49"/>
  <c r="D22" i="49"/>
  <c r="J16" i="49"/>
  <c r="AZ9" i="49" s="1"/>
  <c r="C22" i="49"/>
  <c r="I16" i="49"/>
  <c r="AY9" i="49" s="1"/>
  <c r="B24" i="49"/>
  <c r="H20" i="49"/>
  <c r="G23" i="49"/>
  <c r="J19" i="49"/>
  <c r="E23" i="49"/>
  <c r="H19" i="49"/>
  <c r="D21" i="49"/>
  <c r="J14" i="49"/>
  <c r="AZ6" i="49" s="1"/>
  <c r="C19" i="49"/>
  <c r="I10" i="49"/>
  <c r="B21" i="49"/>
  <c r="H14" i="49"/>
  <c r="AX6" i="49" s="1"/>
  <c r="H5" i="49"/>
  <c r="J21" i="49"/>
  <c r="C25" i="49"/>
  <c r="L6" i="49"/>
  <c r="G24" i="49"/>
  <c r="E24" i="49"/>
  <c r="H21" i="49"/>
  <c r="G20" i="49"/>
  <c r="J13" i="49"/>
  <c r="E4" i="49"/>
  <c r="AR4" i="49" s="1"/>
  <c r="I25" i="49"/>
  <c r="E22" i="49"/>
  <c r="H17" i="49"/>
  <c r="D20" i="49"/>
  <c r="J12" i="49"/>
  <c r="AZ7" i="49" s="1"/>
  <c r="C20" i="49"/>
  <c r="I12" i="49"/>
  <c r="AY7" i="49" s="1"/>
  <c r="B22" i="49"/>
  <c r="H16" i="49"/>
  <c r="AX9" i="49" s="1"/>
  <c r="G21" i="49"/>
  <c r="J15" i="49"/>
  <c r="E21" i="49"/>
  <c r="H15" i="49"/>
  <c r="D19" i="49"/>
  <c r="J10" i="49"/>
  <c r="C17" i="49"/>
  <c r="I6" i="49"/>
  <c r="B19" i="49"/>
  <c r="H10" i="49"/>
  <c r="J9" i="49"/>
  <c r="I21" i="49"/>
  <c r="E20" i="49"/>
  <c r="H13" i="49"/>
  <c r="D18" i="49"/>
  <c r="J8" i="49"/>
  <c r="C18" i="49"/>
  <c r="I8" i="49"/>
  <c r="B20" i="49"/>
  <c r="H12" i="49"/>
  <c r="AX7" i="49" s="1"/>
  <c r="G19" i="49"/>
  <c r="J11" i="49"/>
  <c r="AZ5" i="49" s="1"/>
  <c r="E19" i="49"/>
  <c r="H11" i="49"/>
  <c r="AX5" i="49" s="1"/>
  <c r="D17" i="49"/>
  <c r="J6" i="49"/>
  <c r="C15" i="49"/>
  <c r="L23" i="49"/>
  <c r="B17" i="49"/>
  <c r="H6" i="49"/>
  <c r="J5" i="49"/>
  <c r="I17" i="49"/>
  <c r="E18" i="49"/>
  <c r="H9" i="49"/>
  <c r="D16" i="49"/>
  <c r="AQ9" i="49" s="1"/>
  <c r="M25" i="49"/>
  <c r="C16" i="49"/>
  <c r="AP9" i="49" s="1"/>
  <c r="L25" i="49"/>
  <c r="B18" i="49"/>
  <c r="H8" i="49"/>
  <c r="G17" i="49"/>
  <c r="J7" i="49"/>
  <c r="E17" i="49"/>
  <c r="H7" i="49"/>
  <c r="D15" i="49"/>
  <c r="M23" i="49"/>
  <c r="C13" i="49"/>
  <c r="L19" i="49"/>
  <c r="F25" i="49"/>
  <c r="K23" i="49"/>
  <c r="B4" i="49"/>
  <c r="AO4" i="49" s="1"/>
  <c r="AV69" i="49" l="1"/>
  <c r="BW66" i="49"/>
  <c r="BM100" i="49"/>
  <c r="AX100" i="49"/>
  <c r="BO95" i="49"/>
  <c r="BP39" i="49"/>
  <c r="AU4" i="49"/>
  <c r="AT40" i="49"/>
  <c r="AP100" i="49"/>
  <c r="AQ41" i="49"/>
  <c r="AZ100" i="49"/>
  <c r="BI40" i="49"/>
  <c r="BP7" i="49"/>
  <c r="AT101" i="49"/>
  <c r="AY40" i="49"/>
  <c r="BH10" i="49"/>
  <c r="BE66" i="49"/>
  <c r="BF96" i="49"/>
  <c r="AU66" i="49"/>
  <c r="BR102" i="49"/>
  <c r="BJ100" i="49"/>
  <c r="BE69" i="49"/>
  <c r="BX5" i="49"/>
  <c r="BN35" i="49"/>
  <c r="BI101" i="49"/>
  <c r="BF37" i="49"/>
  <c r="AQ102" i="49"/>
  <c r="AQ70" i="49"/>
  <c r="AR101" i="49"/>
  <c r="AW39" i="49"/>
  <c r="BF69" i="49"/>
  <c r="AR40" i="49"/>
  <c r="BT102" i="49"/>
  <c r="BN96" i="49"/>
  <c r="AR102" i="49"/>
  <c r="BE95" i="49"/>
  <c r="AO100" i="49"/>
  <c r="BE96" i="49"/>
  <c r="BP99" i="49"/>
  <c r="BY35" i="49"/>
  <c r="BF39" i="49"/>
  <c r="AY102" i="49"/>
  <c r="BN37" i="49"/>
  <c r="AZ102" i="49"/>
  <c r="BN39" i="49"/>
  <c r="AW37" i="49"/>
  <c r="BO36" i="49"/>
  <c r="BP35" i="49"/>
  <c r="BP9" i="49"/>
  <c r="BM42" i="49"/>
  <c r="BY69" i="49"/>
  <c r="BB102" i="49"/>
  <c r="BE67" i="49"/>
  <c r="BD95" i="49"/>
  <c r="AW35" i="49"/>
  <c r="BP37" i="49"/>
  <c r="BK40" i="49"/>
  <c r="AW9" i="49"/>
  <c r="BN5" i="49"/>
  <c r="BN66" i="49"/>
  <c r="BQ42" i="49"/>
  <c r="BJ41" i="49"/>
  <c r="AV67" i="49"/>
  <c r="AU69" i="49"/>
  <c r="BY39" i="49"/>
  <c r="BT101" i="49"/>
  <c r="BO99" i="49"/>
  <c r="BP97" i="49"/>
  <c r="BO67" i="49"/>
  <c r="AW69" i="49"/>
  <c r="BD39" i="49"/>
  <c r="BS41" i="49"/>
  <c r="BO9" i="49"/>
  <c r="BN6" i="49"/>
  <c r="BO97" i="49"/>
  <c r="BO4" i="49"/>
  <c r="BN67" i="49"/>
  <c r="BN65" i="49"/>
  <c r="AV97" i="49"/>
  <c r="BO69" i="49"/>
  <c r="BP96" i="49"/>
  <c r="AU96" i="49"/>
  <c r="BP66" i="49"/>
  <c r="AV65" i="49"/>
  <c r="BH71" i="49"/>
  <c r="BR41" i="49"/>
  <c r="BA40" i="49"/>
  <c r="BL70" i="49"/>
  <c r="BP6" i="49"/>
  <c r="BY65" i="49"/>
  <c r="AW99" i="49"/>
  <c r="AU9" i="49"/>
  <c r="BD37" i="49"/>
  <c r="BU41" i="49"/>
  <c r="AR100" i="49"/>
  <c r="BO7" i="49"/>
  <c r="BI42" i="49"/>
  <c r="BN95" i="49"/>
  <c r="AV7" i="49"/>
  <c r="AZ42" i="49"/>
  <c r="AW7" i="49"/>
  <c r="BN9" i="49"/>
  <c r="AW95" i="49"/>
  <c r="BN99" i="49"/>
  <c r="AW96" i="49"/>
  <c r="BE36" i="49"/>
  <c r="AU6" i="49"/>
  <c r="AW6" i="49"/>
  <c r="AW5" i="49"/>
  <c r="BO96" i="49"/>
  <c r="BP95" i="49"/>
  <c r="BN36" i="49"/>
  <c r="AV35" i="49"/>
  <c r="AW66" i="49"/>
  <c r="AU36" i="49"/>
  <c r="BP36" i="49"/>
  <c r="AV37" i="49"/>
  <c r="AV66" i="49"/>
  <c r="BP67" i="49"/>
  <c r="AW65" i="49"/>
  <c r="AU99" i="49"/>
  <c r="AV39" i="49"/>
  <c r="BN7" i="49"/>
  <c r="BP65" i="49"/>
  <c r="AU97" i="49"/>
  <c r="AV95" i="49"/>
  <c r="AU39" i="49"/>
  <c r="AV9" i="49"/>
  <c r="AW97" i="49"/>
  <c r="AU37" i="49"/>
  <c r="AV5" i="49"/>
  <c r="BO65" i="49"/>
  <c r="BP5" i="49"/>
  <c r="BN97" i="49"/>
  <c r="AU67" i="49"/>
  <c r="BN69" i="49"/>
  <c r="AU95" i="49"/>
  <c r="BO39" i="49"/>
  <c r="AU7" i="49"/>
  <c r="AU5" i="49"/>
  <c r="BO6" i="49"/>
  <c r="BO37" i="49"/>
  <c r="AU35" i="49"/>
  <c r="BN4" i="49"/>
  <c r="BP4" i="49"/>
  <c r="AW67" i="49"/>
  <c r="BP69" i="49"/>
  <c r="AV36" i="49"/>
  <c r="AV6" i="49"/>
  <c r="BO5" i="49"/>
  <c r="AV96" i="49"/>
  <c r="AU65" i="49"/>
  <c r="BO66" i="49"/>
  <c r="AV99" i="49"/>
  <c r="AW36" i="49"/>
  <c r="BO35" i="49"/>
  <c r="AO40" i="49"/>
  <c r="AS100" i="49"/>
  <c r="AQ101" i="49"/>
  <c r="BU102" i="49"/>
  <c r="AZ71" i="49"/>
  <c r="AY101" i="49"/>
  <c r="BT40" i="49"/>
  <c r="AS41" i="49"/>
  <c r="BV42" i="49"/>
  <c r="BI11" i="49"/>
  <c r="BW36" i="49"/>
  <c r="AZ41" i="49"/>
  <c r="BT42" i="49"/>
  <c r="BY37" i="49"/>
  <c r="BW39" i="49"/>
  <c r="BB100" i="49"/>
  <c r="BW35" i="49"/>
  <c r="AT102" i="49"/>
  <c r="AP40" i="49"/>
  <c r="AX41" i="49"/>
  <c r="BH41" i="49"/>
  <c r="BV40" i="49"/>
  <c r="AP42" i="49"/>
  <c r="BQ100" i="49"/>
  <c r="BC38" i="49"/>
  <c r="R57" i="49"/>
  <c r="BV41" i="49"/>
  <c r="AZ40" i="49"/>
  <c r="BH34" i="49"/>
  <c r="U57" i="49"/>
  <c r="BI38" i="49"/>
  <c r="Z57" i="49"/>
  <c r="BM34" i="49"/>
  <c r="AQ42" i="49"/>
  <c r="AO34" i="49"/>
  <c r="B57" i="49"/>
  <c r="BS34" i="49"/>
  <c r="AC57" i="49"/>
  <c r="BD35" i="49"/>
  <c r="BW37" i="49"/>
  <c r="BB40" i="49"/>
  <c r="AY41" i="49"/>
  <c r="BQ40" i="49"/>
  <c r="BM40" i="49"/>
  <c r="BM38" i="49"/>
  <c r="AQ40" i="49"/>
  <c r="AS42" i="49"/>
  <c r="H57" i="49"/>
  <c r="AX34" i="49"/>
  <c r="BC40" i="49"/>
  <c r="BU34" i="49"/>
  <c r="AE57" i="49"/>
  <c r="BF35" i="49"/>
  <c r="BA41" i="49"/>
  <c r="AX42" i="49"/>
  <c r="O57" i="49"/>
  <c r="BR42" i="49"/>
  <c r="BR40" i="49"/>
  <c r="AS40" i="49"/>
  <c r="AO41" i="49"/>
  <c r="BH42" i="49"/>
  <c r="AG57" i="49"/>
  <c r="BE39" i="49"/>
  <c r="Y57" i="49"/>
  <c r="BL34" i="49"/>
  <c r="BL41" i="49"/>
  <c r="AO42" i="49"/>
  <c r="BH40" i="49"/>
  <c r="AR41" i="49"/>
  <c r="BJ42" i="49"/>
  <c r="BC42" i="49"/>
  <c r="BT38" i="49"/>
  <c r="BB42" i="49"/>
  <c r="AI57" i="49"/>
  <c r="BT34" i="49"/>
  <c r="AD57" i="49"/>
  <c r="BE37" i="49"/>
  <c r="BR38" i="49"/>
  <c r="BX39" i="49"/>
  <c r="BL42" i="49"/>
  <c r="AR42" i="49"/>
  <c r="BJ40" i="49"/>
  <c r="AT41" i="49"/>
  <c r="AQ38" i="49"/>
  <c r="AP41" i="49"/>
  <c r="AZ34" i="49"/>
  <c r="J57" i="49"/>
  <c r="AK57" i="49"/>
  <c r="AY42" i="49"/>
  <c r="BV34" i="49"/>
  <c r="AF57" i="49"/>
  <c r="BS42" i="49"/>
  <c r="AT42" i="49"/>
  <c r="BL40" i="49"/>
  <c r="BI41" i="49"/>
  <c r="AS38" i="49"/>
  <c r="AP38" i="49"/>
  <c r="BA42" i="49"/>
  <c r="AH57" i="49"/>
  <c r="BC41" i="49"/>
  <c r="AY34" i="49"/>
  <c r="I57" i="49"/>
  <c r="BU42" i="49"/>
  <c r="AX38" i="49"/>
  <c r="BX35" i="49"/>
  <c r="AS34" i="49"/>
  <c r="F57" i="49"/>
  <c r="BK41" i="49"/>
  <c r="BH38" i="49"/>
  <c r="AJ57" i="49"/>
  <c r="BY36" i="49"/>
  <c r="Q57" i="49"/>
  <c r="BA34" i="49"/>
  <c r="K57" i="49"/>
  <c r="AZ38" i="49"/>
  <c r="BX36" i="49"/>
  <c r="BK42" i="49"/>
  <c r="BM41" i="49"/>
  <c r="BJ38" i="49"/>
  <c r="BB38" i="49"/>
  <c r="AL57" i="49"/>
  <c r="S57" i="49"/>
  <c r="N57" i="49"/>
  <c r="BR34" i="49"/>
  <c r="AB57" i="49"/>
  <c r="BK38" i="49"/>
  <c r="AR38" i="49"/>
  <c r="AR34" i="49"/>
  <c r="E57" i="49"/>
  <c r="BL38" i="49"/>
  <c r="C57" i="49"/>
  <c r="AP34" i="49"/>
  <c r="P57" i="49"/>
  <c r="L57" i="49"/>
  <c r="BB34" i="49"/>
  <c r="BV38" i="49"/>
  <c r="AY38" i="49"/>
  <c r="BS40" i="49"/>
  <c r="BC34" i="49"/>
  <c r="M57" i="49"/>
  <c r="BD36" i="49"/>
  <c r="BS38" i="49"/>
  <c r="BQ34" i="49"/>
  <c r="AA57" i="49"/>
  <c r="AT38" i="49"/>
  <c r="G57" i="49"/>
  <c r="AT34" i="49"/>
  <c r="AO38" i="49"/>
  <c r="BA38" i="49"/>
  <c r="BU40" i="49"/>
  <c r="BQ41" i="49"/>
  <c r="BF36" i="49"/>
  <c r="BU38" i="49"/>
  <c r="BX37" i="49"/>
  <c r="V57" i="49"/>
  <c r="BI34" i="49"/>
  <c r="BB41" i="49"/>
  <c r="BT41" i="49"/>
  <c r="AX40" i="49"/>
  <c r="BE35" i="49"/>
  <c r="BQ38" i="49"/>
  <c r="BJ34" i="49"/>
  <c r="W57" i="49"/>
  <c r="D57" i="49"/>
  <c r="AQ34" i="49"/>
  <c r="BK34" i="49"/>
  <c r="X57" i="49"/>
  <c r="BE65" i="49"/>
  <c r="BJ71" i="49"/>
  <c r="BQ71" i="49"/>
  <c r="BB72" i="49"/>
  <c r="BT70" i="49"/>
  <c r="BH100" i="49"/>
  <c r="AS70" i="49"/>
  <c r="BL10" i="49"/>
  <c r="BB70" i="49"/>
  <c r="BJ70" i="49"/>
  <c r="BV71" i="49"/>
  <c r="BU70" i="49"/>
  <c r="BF67" i="49"/>
  <c r="BQ70" i="49"/>
  <c r="BX7" i="49"/>
  <c r="BT11" i="49"/>
  <c r="BD96" i="49"/>
  <c r="AR71" i="49"/>
  <c r="BK68" i="49"/>
  <c r="AX72" i="49"/>
  <c r="BH11" i="49"/>
  <c r="BT100" i="49"/>
  <c r="AR72" i="49"/>
  <c r="AY71" i="49"/>
  <c r="BF95" i="49"/>
  <c r="AY70" i="49"/>
  <c r="AQ71" i="49"/>
  <c r="BE99" i="49"/>
  <c r="BM71" i="49"/>
  <c r="BD69" i="49"/>
  <c r="AO70" i="49"/>
  <c r="BQ10" i="49"/>
  <c r="AY98" i="49"/>
  <c r="BY97" i="49"/>
  <c r="AX71" i="49"/>
  <c r="AT98" i="49"/>
  <c r="BM101" i="49"/>
  <c r="BT10" i="49"/>
  <c r="BF65" i="49"/>
  <c r="BX95" i="49"/>
  <c r="BS70" i="49"/>
  <c r="BR10" i="49"/>
  <c r="AZ70" i="49"/>
  <c r="BI68" i="49"/>
  <c r="BU10" i="49"/>
  <c r="BR68" i="49"/>
  <c r="BI71" i="49"/>
  <c r="BR72" i="49"/>
  <c r="BU71" i="49"/>
  <c r="BW67" i="49"/>
  <c r="BC102" i="49"/>
  <c r="BW69" i="49"/>
  <c r="AY72" i="49"/>
  <c r="AT72" i="49"/>
  <c r="BU98" i="49"/>
  <c r="BJ72" i="49"/>
  <c r="BH72" i="49"/>
  <c r="AT68" i="49"/>
  <c r="AZ98" i="49"/>
  <c r="BM70" i="49"/>
  <c r="BQ98" i="49"/>
  <c r="AJ117" i="49"/>
  <c r="AQ98" i="49"/>
  <c r="BA72" i="49"/>
  <c r="AZ72" i="49"/>
  <c r="BQ72" i="49"/>
  <c r="BK100" i="49"/>
  <c r="AY94" i="49"/>
  <c r="I117" i="49"/>
  <c r="AO98" i="49"/>
  <c r="AX68" i="49"/>
  <c r="AY68" i="49"/>
  <c r="BJ64" i="49"/>
  <c r="W87" i="49"/>
  <c r="AR64" i="49"/>
  <c r="E87" i="49"/>
  <c r="BI64" i="49"/>
  <c r="V87" i="49"/>
  <c r="BD99" i="49"/>
  <c r="BL101" i="49"/>
  <c r="AO101" i="49"/>
  <c r="BB101" i="49"/>
  <c r="BV94" i="49"/>
  <c r="AF117" i="49"/>
  <c r="AK117" i="49"/>
  <c r="BS100" i="49"/>
  <c r="BI100" i="49"/>
  <c r="AI87" i="49"/>
  <c r="BS68" i="49"/>
  <c r="BC68" i="49"/>
  <c r="BT72" i="49"/>
  <c r="BH68" i="49"/>
  <c r="Z117" i="49"/>
  <c r="BM94" i="49"/>
  <c r="AO72" i="49"/>
  <c r="BF99" i="49"/>
  <c r="BD97" i="49"/>
  <c r="AH117" i="49"/>
  <c r="L117" i="49"/>
  <c r="BB94" i="49"/>
  <c r="BY95" i="49"/>
  <c r="BK102" i="49"/>
  <c r="BV100" i="49"/>
  <c r="BR101" i="49"/>
  <c r="BH101" i="49"/>
  <c r="BU64" i="49"/>
  <c r="AE87" i="49"/>
  <c r="BT71" i="49"/>
  <c r="BC70" i="49"/>
  <c r="BY66" i="49"/>
  <c r="BS72" i="49"/>
  <c r="BV72" i="49"/>
  <c r="BM68" i="49"/>
  <c r="BI70" i="49"/>
  <c r="AS72" i="49"/>
  <c r="AP71" i="49"/>
  <c r="BF97" i="49"/>
  <c r="AS94" i="49"/>
  <c r="F117" i="49"/>
  <c r="BS102" i="49"/>
  <c r="BK98" i="49"/>
  <c r="BX96" i="49"/>
  <c r="P117" i="49"/>
  <c r="BT98" i="49"/>
  <c r="BA102" i="49"/>
  <c r="BU101" i="49"/>
  <c r="BQ64" i="49"/>
  <c r="AA87" i="49"/>
  <c r="BA71" i="49"/>
  <c r="O87" i="49"/>
  <c r="BX67" i="49"/>
  <c r="BD65" i="49"/>
  <c r="BL64" i="49"/>
  <c r="Y87" i="49"/>
  <c r="AQ68" i="49"/>
  <c r="BL68" i="49"/>
  <c r="BM98" i="49"/>
  <c r="BK64" i="49"/>
  <c r="X87" i="49"/>
  <c r="AX94" i="49"/>
  <c r="H117" i="49"/>
  <c r="BV102" i="49"/>
  <c r="S117" i="49"/>
  <c r="BX99" i="49"/>
  <c r="AX64" i="49"/>
  <c r="H87" i="49"/>
  <c r="BX65" i="49"/>
  <c r="BA64" i="49"/>
  <c r="K87" i="49"/>
  <c r="BU72" i="49"/>
  <c r="BC100" i="49"/>
  <c r="BB71" i="49"/>
  <c r="BM72" i="49"/>
  <c r="AP70" i="49"/>
  <c r="AT64" i="49"/>
  <c r="G87" i="49"/>
  <c r="AR68" i="49"/>
  <c r="AS71" i="49"/>
  <c r="AP72" i="49"/>
  <c r="BL71" i="49"/>
  <c r="BI72" i="49"/>
  <c r="AZ94" i="49"/>
  <c r="J117" i="49"/>
  <c r="BL100" i="49"/>
  <c r="BI102" i="49"/>
  <c r="BR100" i="49"/>
  <c r="V117" i="49"/>
  <c r="BI94" i="49"/>
  <c r="AP98" i="49"/>
  <c r="AP102" i="49"/>
  <c r="AS64" i="49"/>
  <c r="F87" i="49"/>
  <c r="BX97" i="49"/>
  <c r="BQ101" i="49"/>
  <c r="L87" i="49"/>
  <c r="BB64" i="49"/>
  <c r="M117" i="49"/>
  <c r="BC94" i="49"/>
  <c r="AZ68" i="49"/>
  <c r="BV70" i="49"/>
  <c r="AQ64" i="49"/>
  <c r="D87" i="49"/>
  <c r="AS68" i="49"/>
  <c r="AO94" i="49"/>
  <c r="B117" i="49"/>
  <c r="AO71" i="49"/>
  <c r="BU100" i="49"/>
  <c r="BU11" i="49"/>
  <c r="BA98" i="49"/>
  <c r="BR94" i="49"/>
  <c r="AB117" i="49"/>
  <c r="BH102" i="49"/>
  <c r="AS102" i="49"/>
  <c r="R117" i="49"/>
  <c r="AG87" i="49"/>
  <c r="AK87" i="49"/>
  <c r="BA94" i="49"/>
  <c r="K117" i="49"/>
  <c r="BQ68" i="49"/>
  <c r="AH87" i="49"/>
  <c r="AL87" i="49"/>
  <c r="BA68" i="49"/>
  <c r="AO68" i="49"/>
  <c r="BM64" i="49"/>
  <c r="Z87" i="49"/>
  <c r="BK71" i="49"/>
  <c r="AT71" i="49"/>
  <c r="BK101" i="49"/>
  <c r="N117" i="49"/>
  <c r="BF66" i="49"/>
  <c r="BS98" i="49"/>
  <c r="BW95" i="49"/>
  <c r="BS101" i="49"/>
  <c r="BK94" i="49"/>
  <c r="X117" i="49"/>
  <c r="O117" i="49"/>
  <c r="BJ102" i="49"/>
  <c r="AX102" i="49"/>
  <c r="U117" i="49"/>
  <c r="BH94" i="49"/>
  <c r="BW99" i="49"/>
  <c r="BS64" i="49"/>
  <c r="AC87" i="49"/>
  <c r="BU68" i="49"/>
  <c r="BA70" i="49"/>
  <c r="BX66" i="49"/>
  <c r="S87" i="49"/>
  <c r="BV68" i="49"/>
  <c r="BH70" i="49"/>
  <c r="AT70" i="49"/>
  <c r="BM102" i="49"/>
  <c r="AQ100" i="49"/>
  <c r="BV98" i="49"/>
  <c r="AR98" i="49"/>
  <c r="BV101" i="49"/>
  <c r="Y117" i="49"/>
  <c r="BL94" i="49"/>
  <c r="AP94" i="49"/>
  <c r="C117" i="49"/>
  <c r="AE117" i="49"/>
  <c r="BU94" i="49"/>
  <c r="AO102" i="49"/>
  <c r="W117" i="49"/>
  <c r="BJ94" i="49"/>
  <c r="BW97" i="49"/>
  <c r="BS71" i="49"/>
  <c r="BC98" i="49"/>
  <c r="AX70" i="49"/>
  <c r="BY67" i="49"/>
  <c r="BR64" i="49"/>
  <c r="AB87" i="49"/>
  <c r="BC72" i="49"/>
  <c r="AO64" i="49"/>
  <c r="B87" i="49"/>
  <c r="BL72" i="49"/>
  <c r="AP64" i="49"/>
  <c r="C87" i="49"/>
  <c r="AT100" i="49"/>
  <c r="AP101" i="49"/>
  <c r="BT94" i="49"/>
  <c r="AD117" i="49"/>
  <c r="BI98" i="49"/>
  <c r="BL98" i="49"/>
  <c r="BY99" i="49"/>
  <c r="BR98" i="49"/>
  <c r="BQ102" i="49"/>
  <c r="AL117" i="49"/>
  <c r="AG117" i="49"/>
  <c r="BT68" i="49"/>
  <c r="R87" i="49"/>
  <c r="N87" i="49"/>
  <c r="P87" i="49"/>
  <c r="BR71" i="49"/>
  <c r="BT64" i="49"/>
  <c r="AD87" i="49"/>
  <c r="BW65" i="49"/>
  <c r="BC71" i="49"/>
  <c r="BH64" i="49"/>
  <c r="U87" i="49"/>
  <c r="AR70" i="49"/>
  <c r="BD66" i="49"/>
  <c r="AY100" i="49"/>
  <c r="AS101" i="49"/>
  <c r="Q117" i="49"/>
  <c r="BA100" i="49"/>
  <c r="BB98" i="49"/>
  <c r="BE97" i="49"/>
  <c r="AQ94" i="49"/>
  <c r="D117" i="49"/>
  <c r="BL102" i="49"/>
  <c r="BH98" i="49"/>
  <c r="AS98" i="49"/>
  <c r="AI117" i="49"/>
  <c r="BQ94" i="49"/>
  <c r="AA117" i="49"/>
  <c r="AZ64" i="49"/>
  <c r="J87" i="49"/>
  <c r="BC101" i="49"/>
  <c r="AY64" i="49"/>
  <c r="I87" i="49"/>
  <c r="BC64" i="49"/>
  <c r="M87" i="49"/>
  <c r="BK72" i="49"/>
  <c r="AQ72" i="49"/>
  <c r="AX101" i="49"/>
  <c r="AZ101" i="49"/>
  <c r="AR94" i="49"/>
  <c r="E117" i="49"/>
  <c r="AT94" i="49"/>
  <c r="G117" i="49"/>
  <c r="BJ98" i="49"/>
  <c r="AX98" i="49"/>
  <c r="BY96" i="49"/>
  <c r="BX69" i="49"/>
  <c r="BA101" i="49"/>
  <c r="BB68" i="49"/>
  <c r="Q87" i="49"/>
  <c r="BR70" i="49"/>
  <c r="BV64" i="49"/>
  <c r="AF87" i="49"/>
  <c r="AJ87" i="49"/>
  <c r="BJ68" i="49"/>
  <c r="BK70" i="49"/>
  <c r="AP68" i="49"/>
  <c r="BJ101" i="49"/>
  <c r="AC117" i="49"/>
  <c r="BS94" i="49"/>
  <c r="AH27" i="49"/>
  <c r="BM11" i="49"/>
  <c r="BW7" i="49"/>
  <c r="BS12" i="49"/>
  <c r="BJ12" i="49"/>
  <c r="BI12" i="49"/>
  <c r="BY5" i="49"/>
  <c r="BL12" i="49"/>
  <c r="BJ11" i="49"/>
  <c r="BH12" i="49"/>
  <c r="BT8" i="49"/>
  <c r="BY7" i="49"/>
  <c r="BY9" i="49"/>
  <c r="BK8" i="49"/>
  <c r="BK10" i="49"/>
  <c r="BM12" i="49"/>
  <c r="BI8" i="49"/>
  <c r="BK12" i="49"/>
  <c r="AO11" i="49"/>
  <c r="BA8" i="49"/>
  <c r="BY6" i="49"/>
  <c r="AR8" i="49"/>
  <c r="AZ8" i="49"/>
  <c r="AY8" i="49"/>
  <c r="BX4" i="49"/>
  <c r="BT12" i="49"/>
  <c r="BM8" i="49"/>
  <c r="BV8" i="49"/>
  <c r="BQ8" i="49"/>
  <c r="BW9" i="49"/>
  <c r="BH8" i="49"/>
  <c r="BJ8" i="49"/>
  <c r="BJ10" i="49"/>
  <c r="BW5" i="49"/>
  <c r="BQ11" i="49"/>
  <c r="BV11" i="49"/>
  <c r="BB8" i="49"/>
  <c r="BU12" i="49"/>
  <c r="BV10" i="49"/>
  <c r="BV12" i="49"/>
  <c r="BS11" i="49"/>
  <c r="BX9" i="49"/>
  <c r="BS8" i="49"/>
  <c r="BS10" i="49"/>
  <c r="BM10" i="49"/>
  <c r="BC8" i="49"/>
  <c r="BL11" i="49"/>
  <c r="BR11" i="49"/>
  <c r="BY4" i="49"/>
  <c r="BR8" i="49"/>
  <c r="AX8" i="49"/>
  <c r="BL8" i="49"/>
  <c r="AO8" i="49"/>
  <c r="BW4" i="49"/>
  <c r="BX6" i="49"/>
  <c r="AL27" i="49"/>
  <c r="BW6" i="49"/>
  <c r="BR12" i="49"/>
  <c r="BI10" i="49"/>
  <c r="BU8" i="49"/>
  <c r="BQ12" i="49"/>
  <c r="BK11" i="49"/>
  <c r="AO12" i="49"/>
  <c r="AK27" i="49"/>
  <c r="AI27" i="49"/>
  <c r="AO10" i="49"/>
  <c r="BF9" i="49"/>
  <c r="BE9" i="49"/>
  <c r="AC27" i="49"/>
  <c r="AB27" i="49"/>
  <c r="AD27" i="49"/>
  <c r="AA27" i="49"/>
  <c r="U27" i="49"/>
  <c r="AG27" i="49"/>
  <c r="V27" i="49"/>
  <c r="Z27" i="49"/>
  <c r="X27" i="49"/>
  <c r="AF27" i="49"/>
  <c r="Y27" i="49"/>
  <c r="AJ27" i="49"/>
  <c r="W27" i="49"/>
  <c r="AE27" i="49"/>
  <c r="AY11" i="49"/>
  <c r="AS11" i="49"/>
  <c r="BE7" i="49"/>
  <c r="AY12" i="49"/>
  <c r="AZ10" i="49"/>
  <c r="BF7" i="49"/>
  <c r="AT12" i="49"/>
  <c r="BC10" i="49"/>
  <c r="BC4" i="49"/>
  <c r="M27" i="49"/>
  <c r="BB4" i="49"/>
  <c r="L27" i="49"/>
  <c r="AZ11" i="49"/>
  <c r="AZ12" i="49"/>
  <c r="AP12" i="49"/>
  <c r="AY10" i="49"/>
  <c r="BB10" i="49"/>
  <c r="BB11" i="49"/>
  <c r="AQ8" i="49"/>
  <c r="BF6" i="49"/>
  <c r="R27" i="49"/>
  <c r="BF5" i="49"/>
  <c r="BE6" i="49"/>
  <c r="BC11" i="49"/>
  <c r="P27" i="49"/>
  <c r="AX11" i="49"/>
  <c r="BE5" i="49"/>
  <c r="AT11" i="49"/>
  <c r="AZ4" i="49"/>
  <c r="J27" i="49"/>
  <c r="AQ12" i="49"/>
  <c r="AQ11" i="49"/>
  <c r="AS12" i="49"/>
  <c r="AY4" i="49"/>
  <c r="I27" i="49"/>
  <c r="AP10" i="49"/>
  <c r="O27" i="49"/>
  <c r="AS10" i="49"/>
  <c r="BC12" i="49"/>
  <c r="AP8" i="49"/>
  <c r="F27" i="49"/>
  <c r="AS4" i="49"/>
  <c r="AV4" i="49" s="1"/>
  <c r="AT8" i="49"/>
  <c r="AT10" i="49"/>
  <c r="AQ10" i="49"/>
  <c r="AP11" i="49"/>
  <c r="S27" i="49"/>
  <c r="BB12" i="49"/>
  <c r="AT4" i="49"/>
  <c r="AW4" i="49" s="1"/>
  <c r="G27" i="49"/>
  <c r="AS8" i="49"/>
  <c r="AR10" i="49"/>
  <c r="Q27" i="49"/>
  <c r="K27" i="49"/>
  <c r="N27" i="49"/>
  <c r="C27" i="49"/>
  <c r="D27" i="49"/>
  <c r="BD9" i="49"/>
  <c r="AX10" i="49"/>
  <c r="AR11" i="49"/>
  <c r="BD7" i="49"/>
  <c r="BD6" i="49"/>
  <c r="BA11" i="49"/>
  <c r="BD5" i="49"/>
  <c r="BA12" i="49"/>
  <c r="H27" i="49"/>
  <c r="BA10" i="49"/>
  <c r="BA4" i="49"/>
  <c r="AX12" i="49"/>
  <c r="B27" i="49"/>
  <c r="AR12" i="49"/>
  <c r="E27" i="49"/>
  <c r="BP100" i="49" l="1"/>
  <c r="BD100" i="49"/>
  <c r="AW40" i="49"/>
  <c r="AV100" i="49"/>
  <c r="AW41" i="49"/>
  <c r="BO40" i="49"/>
  <c r="BF100" i="49"/>
  <c r="BE40" i="49"/>
  <c r="AW101" i="49"/>
  <c r="BN10" i="49"/>
  <c r="BX102" i="49"/>
  <c r="AW102" i="49"/>
  <c r="BO101" i="49"/>
  <c r="AU101" i="49"/>
  <c r="BW102" i="49"/>
  <c r="AW70" i="49"/>
  <c r="AU102" i="49"/>
  <c r="AU40" i="49"/>
  <c r="AU100" i="49"/>
  <c r="BY12" i="49"/>
  <c r="BE102" i="49"/>
  <c r="BF102" i="49"/>
  <c r="BW101" i="49"/>
  <c r="AO27" i="49"/>
  <c r="AP117" i="49"/>
  <c r="AP87" i="49"/>
  <c r="AO87" i="49"/>
  <c r="AO57" i="49"/>
  <c r="AP57" i="49"/>
  <c r="AP27" i="49"/>
  <c r="AO117" i="49"/>
  <c r="BN40" i="49"/>
  <c r="BP42" i="49"/>
  <c r="AU72" i="49"/>
  <c r="BP41" i="49"/>
  <c r="BW40" i="49"/>
  <c r="AW12" i="49"/>
  <c r="BP101" i="49"/>
  <c r="BN71" i="49"/>
  <c r="BW42" i="49"/>
  <c r="BY42" i="49"/>
  <c r="BP12" i="49"/>
  <c r="BE100" i="49"/>
  <c r="AW72" i="49"/>
  <c r="BO70" i="49"/>
  <c r="BF42" i="49"/>
  <c r="BO10" i="49"/>
  <c r="BD40" i="49"/>
  <c r="BP8" i="49"/>
  <c r="BX41" i="49"/>
  <c r="BO42" i="49"/>
  <c r="BF38" i="49"/>
  <c r="AV12" i="49"/>
  <c r="AW98" i="49"/>
  <c r="BO38" i="49"/>
  <c r="AV40" i="49"/>
  <c r="BN98" i="49"/>
  <c r="AV64" i="49"/>
  <c r="BP94" i="49"/>
  <c r="BN94" i="49"/>
  <c r="AU94" i="49"/>
  <c r="BO72" i="49"/>
  <c r="BO64" i="49"/>
  <c r="AU38" i="49"/>
  <c r="BN12" i="49"/>
  <c r="BF71" i="49"/>
  <c r="AW68" i="49"/>
  <c r="AV68" i="49"/>
  <c r="AW94" i="49"/>
  <c r="AU64" i="49"/>
  <c r="BN70" i="49"/>
  <c r="BP102" i="49"/>
  <c r="AW64" i="49"/>
  <c r="AV38" i="49"/>
  <c r="AV34" i="49"/>
  <c r="AW10" i="49"/>
  <c r="BP38" i="49"/>
  <c r="BN42" i="49"/>
  <c r="AV94" i="49"/>
  <c r="AU41" i="49"/>
  <c r="AV101" i="49"/>
  <c r="BP72" i="49"/>
  <c r="BO68" i="49"/>
  <c r="AV8" i="49"/>
  <c r="AU71" i="49"/>
  <c r="AU70" i="49"/>
  <c r="BP34" i="49"/>
  <c r="BY40" i="49"/>
  <c r="AU42" i="49"/>
  <c r="BN64" i="49"/>
  <c r="BN34" i="49"/>
  <c r="AV10" i="49"/>
  <c r="AV102" i="49"/>
  <c r="AV72" i="49"/>
  <c r="BO100" i="49"/>
  <c r="AW71" i="49"/>
  <c r="BP71" i="49"/>
  <c r="AV11" i="49"/>
  <c r="BP64" i="49"/>
  <c r="BO34" i="49"/>
  <c r="AW38" i="49"/>
  <c r="AW100" i="49"/>
  <c r="BN38" i="49"/>
  <c r="BN8" i="49"/>
  <c r="AU11" i="49"/>
  <c r="BP68" i="49"/>
  <c r="AU68" i="49"/>
  <c r="BO94" i="49"/>
  <c r="BW71" i="49"/>
  <c r="BO41" i="49"/>
  <c r="AW11" i="49"/>
  <c r="AU10" i="49"/>
  <c r="BO12" i="49"/>
  <c r="BO98" i="49"/>
  <c r="BO71" i="49"/>
  <c r="BP40" i="49"/>
  <c r="BN100" i="49"/>
  <c r="AV98" i="49"/>
  <c r="BN102" i="49"/>
  <c r="AW8" i="49"/>
  <c r="AU8" i="49"/>
  <c r="BO8" i="49"/>
  <c r="AV70" i="49"/>
  <c r="BE101" i="49"/>
  <c r="AU98" i="49"/>
  <c r="BP70" i="49"/>
  <c r="AW34" i="49"/>
  <c r="AU34" i="49"/>
  <c r="AV42" i="49"/>
  <c r="BP10" i="49"/>
  <c r="BP11" i="49"/>
  <c r="AV41" i="49"/>
  <c r="BP98" i="49"/>
  <c r="BO102" i="49"/>
  <c r="BN101" i="49"/>
  <c r="BN72" i="49"/>
  <c r="BN11" i="49"/>
  <c r="AW42" i="49"/>
  <c r="BO11" i="49"/>
  <c r="AU12" i="49"/>
  <c r="AV71" i="49"/>
  <c r="BN68" i="49"/>
  <c r="BN41" i="49"/>
  <c r="BF41" i="49"/>
  <c r="AD58" i="49"/>
  <c r="BW100" i="49"/>
  <c r="BY38" i="49"/>
  <c r="BM44" i="49"/>
  <c r="BE72" i="49"/>
  <c r="BV44" i="49"/>
  <c r="BD41" i="49"/>
  <c r="X58" i="49"/>
  <c r="AQ44" i="49"/>
  <c r="E58" i="49"/>
  <c r="BW41" i="49"/>
  <c r="BE38" i="49"/>
  <c r="BL44" i="49"/>
  <c r="BT44" i="49"/>
  <c r="BY41" i="49"/>
  <c r="BK44" i="49"/>
  <c r="B58" i="49"/>
  <c r="BD38" i="49"/>
  <c r="AR44" i="49"/>
  <c r="BX40" i="49"/>
  <c r="AO44" i="49"/>
  <c r="BX34" i="49"/>
  <c r="BR44" i="49"/>
  <c r="K58" i="49"/>
  <c r="BH44" i="49"/>
  <c r="BX42" i="49"/>
  <c r="AT44" i="49"/>
  <c r="BB44" i="49"/>
  <c r="N58" i="49"/>
  <c r="BA44" i="49"/>
  <c r="BX38" i="49"/>
  <c r="Q58" i="49"/>
  <c r="BE34" i="49"/>
  <c r="AY44" i="49"/>
  <c r="BD42" i="49"/>
  <c r="AJ58" i="49"/>
  <c r="BE41" i="49"/>
  <c r="U58" i="49"/>
  <c r="BW34" i="49"/>
  <c r="BQ44" i="49"/>
  <c r="BF34" i="49"/>
  <c r="AZ44" i="49"/>
  <c r="AP44" i="49"/>
  <c r="BE42" i="49"/>
  <c r="BU44" i="49"/>
  <c r="BF40" i="49"/>
  <c r="AG58" i="49"/>
  <c r="BJ44" i="49"/>
  <c r="BI44" i="49"/>
  <c r="BD34" i="49"/>
  <c r="AX44" i="49"/>
  <c r="AA58" i="49"/>
  <c r="BW38" i="49"/>
  <c r="BC44" i="49"/>
  <c r="AS44" i="49"/>
  <c r="H58" i="49"/>
  <c r="BY34" i="49"/>
  <c r="BS44" i="49"/>
  <c r="BX70" i="49"/>
  <c r="BW70" i="49"/>
  <c r="BY71" i="49"/>
  <c r="BE70" i="49"/>
  <c r="BW11" i="49"/>
  <c r="BE71" i="49"/>
  <c r="BD72" i="49"/>
  <c r="BW10" i="49"/>
  <c r="BX98" i="49"/>
  <c r="BU104" i="49"/>
  <c r="BF70" i="49"/>
  <c r="BX71" i="49"/>
  <c r="BF101" i="49"/>
  <c r="BY70" i="49"/>
  <c r="BE98" i="49"/>
  <c r="BD71" i="49"/>
  <c r="AJ118" i="49"/>
  <c r="Q118" i="49"/>
  <c r="BT104" i="49"/>
  <c r="BF98" i="49"/>
  <c r="N88" i="49"/>
  <c r="AP74" i="49"/>
  <c r="BD102" i="49"/>
  <c r="BW98" i="49"/>
  <c r="U118" i="49"/>
  <c r="U88" i="49"/>
  <c r="AQ104" i="49"/>
  <c r="BX10" i="49"/>
  <c r="BX11" i="49"/>
  <c r="BW72" i="49"/>
  <c r="BV74" i="49"/>
  <c r="N118" i="49"/>
  <c r="BD98" i="49"/>
  <c r="Q88" i="49"/>
  <c r="BF72" i="49"/>
  <c r="BX68" i="49"/>
  <c r="BX72" i="49"/>
  <c r="AR104" i="49"/>
  <c r="BD70" i="49"/>
  <c r="BK104" i="49"/>
  <c r="AJ88" i="49"/>
  <c r="BH74" i="49"/>
  <c r="BY68" i="49"/>
  <c r="BJ74" i="49"/>
  <c r="BX101" i="49"/>
  <c r="BF64" i="49"/>
  <c r="AZ74" i="49"/>
  <c r="B88" i="49"/>
  <c r="BX100" i="49"/>
  <c r="H88" i="49"/>
  <c r="X88" i="49"/>
  <c r="BY102" i="49"/>
  <c r="AO104" i="49"/>
  <c r="BK74" i="49"/>
  <c r="AD88" i="49"/>
  <c r="BW68" i="49"/>
  <c r="AT74" i="49"/>
  <c r="BI74" i="49"/>
  <c r="BT74" i="49"/>
  <c r="E88" i="49"/>
  <c r="X118" i="49"/>
  <c r="BU74" i="49"/>
  <c r="BD64" i="49"/>
  <c r="AX74" i="49"/>
  <c r="AT104" i="49"/>
  <c r="BR74" i="49"/>
  <c r="BX64" i="49"/>
  <c r="BS74" i="49"/>
  <c r="BY64" i="49"/>
  <c r="K118" i="49"/>
  <c r="BQ74" i="49"/>
  <c r="BW64" i="49"/>
  <c r="AR74" i="49"/>
  <c r="BA104" i="49"/>
  <c r="BC74" i="49"/>
  <c r="BH104" i="49"/>
  <c r="BF94" i="49"/>
  <c r="AZ104" i="49"/>
  <c r="BY100" i="49"/>
  <c r="AG88" i="49"/>
  <c r="BR104" i="49"/>
  <c r="BX94" i="49"/>
  <c r="BM104" i="49"/>
  <c r="AY74" i="49"/>
  <c r="BE68" i="49"/>
  <c r="BB74" i="49"/>
  <c r="BD101" i="49"/>
  <c r="BE64" i="49"/>
  <c r="BY101" i="49"/>
  <c r="AQ74" i="49"/>
  <c r="BV104" i="49"/>
  <c r="AD118" i="49"/>
  <c r="AA88" i="49"/>
  <c r="E118" i="49"/>
  <c r="AP104" i="49"/>
  <c r="AS74" i="49"/>
  <c r="AS104" i="49"/>
  <c r="BY72" i="49"/>
  <c r="AG118" i="49"/>
  <c r="BJ104" i="49"/>
  <c r="BL104" i="49"/>
  <c r="BY98" i="49"/>
  <c r="BM74" i="49"/>
  <c r="BL74" i="49"/>
  <c r="BD68" i="49"/>
  <c r="BS104" i="49"/>
  <c r="BY94" i="49"/>
  <c r="AO74" i="49"/>
  <c r="K88" i="49"/>
  <c r="BI104" i="49"/>
  <c r="H118" i="49"/>
  <c r="BB104" i="49"/>
  <c r="BF68" i="49"/>
  <c r="AY104" i="49"/>
  <c r="BE94" i="49"/>
  <c r="AA118" i="49"/>
  <c r="BA74" i="49"/>
  <c r="BQ104" i="49"/>
  <c r="BW94" i="49"/>
  <c r="B118" i="49"/>
  <c r="BC104" i="49"/>
  <c r="BD94" i="49"/>
  <c r="AX104" i="49"/>
  <c r="BH14" i="49"/>
  <c r="BW8" i="49"/>
  <c r="BI14" i="49"/>
  <c r="BS14" i="49"/>
  <c r="BK14" i="49"/>
  <c r="BT14" i="49"/>
  <c r="BJ14" i="49"/>
  <c r="BM14" i="49"/>
  <c r="BU14" i="49"/>
  <c r="BX12" i="49"/>
  <c r="BY11" i="49"/>
  <c r="BX8" i="49"/>
  <c r="BV14" i="49"/>
  <c r="BQ14" i="49"/>
  <c r="BR14" i="49"/>
  <c r="AG28" i="49"/>
  <c r="BW12" i="49"/>
  <c r="BY10" i="49"/>
  <c r="BL14" i="49"/>
  <c r="BY8" i="49"/>
  <c r="AJ28" i="49"/>
  <c r="AD28" i="49"/>
  <c r="U28" i="49"/>
  <c r="AA28" i="49"/>
  <c r="X28" i="49"/>
  <c r="BE11" i="49"/>
  <c r="BF10" i="49"/>
  <c r="BE12" i="49"/>
  <c r="N28" i="49"/>
  <c r="BF12" i="49"/>
  <c r="H28" i="49"/>
  <c r="E28" i="49"/>
  <c r="B28" i="49"/>
  <c r="K28" i="49"/>
  <c r="Q28" i="49"/>
  <c r="BF11" i="49"/>
  <c r="BE8" i="49"/>
  <c r="BE10" i="49"/>
  <c r="AP14" i="49"/>
  <c r="AQ14" i="49"/>
  <c r="BC14" i="49"/>
  <c r="AY14" i="49"/>
  <c r="BE4" i="49"/>
  <c r="BB14" i="49"/>
  <c r="BA14" i="49"/>
  <c r="AZ14" i="49"/>
  <c r="BF4" i="49"/>
  <c r="AS14" i="49"/>
  <c r="AX14" i="49"/>
  <c r="BD4" i="49"/>
  <c r="BF8" i="49"/>
  <c r="AT14" i="49"/>
  <c r="BD10" i="49"/>
  <c r="AR14" i="49"/>
  <c r="BD8" i="49"/>
  <c r="BD12" i="49"/>
  <c r="BD11" i="49"/>
  <c r="AO14" i="49"/>
  <c r="BN104" i="49" l="1"/>
  <c r="AV104" i="49"/>
  <c r="AW104" i="49"/>
  <c r="AU74" i="49"/>
  <c r="AW74" i="49"/>
  <c r="AU104" i="49"/>
  <c r="AV44" i="49"/>
  <c r="AW14" i="49"/>
  <c r="BP104" i="49"/>
  <c r="BN14" i="49"/>
  <c r="AV14" i="49"/>
  <c r="BO74" i="49"/>
  <c r="AV74" i="49"/>
  <c r="AU14" i="49"/>
  <c r="BP74" i="49"/>
  <c r="BP14" i="49"/>
  <c r="AU44" i="49"/>
  <c r="BP44" i="49"/>
  <c r="BO14" i="49"/>
  <c r="BO104" i="49"/>
  <c r="BN44" i="49"/>
  <c r="BN74" i="49"/>
  <c r="AW44" i="49"/>
  <c r="BO44" i="49"/>
  <c r="BY44" i="49"/>
  <c r="BT45" i="49"/>
  <c r="BE44" i="49"/>
  <c r="AR45" i="49"/>
  <c r="BK45" i="49"/>
  <c r="BW44" i="49"/>
  <c r="BD44" i="49"/>
  <c r="BH45" i="49"/>
  <c r="BX44" i="49"/>
  <c r="AO45" i="49"/>
  <c r="BA45" i="49"/>
  <c r="BF44" i="49"/>
  <c r="BQ45" i="49"/>
  <c r="AX45" i="49"/>
  <c r="BE104" i="49"/>
  <c r="BW104" i="49"/>
  <c r="BT105" i="49"/>
  <c r="BF104" i="49"/>
  <c r="BF74" i="49"/>
  <c r="BX74" i="49"/>
  <c r="BX104" i="49"/>
  <c r="BK75" i="49"/>
  <c r="BE74" i="49"/>
  <c r="BH75" i="49"/>
  <c r="AX105" i="49"/>
  <c r="AO105" i="49"/>
  <c r="BD104" i="49"/>
  <c r="BA75" i="49"/>
  <c r="AR105" i="49"/>
  <c r="AR75" i="49"/>
  <c r="BW74" i="49"/>
  <c r="BY104" i="49"/>
  <c r="BH105" i="49"/>
  <c r="BT75" i="49"/>
  <c r="BK105" i="49"/>
  <c r="BY74" i="49"/>
  <c r="AO75" i="49"/>
  <c r="BA105" i="49"/>
  <c r="BQ75" i="49"/>
  <c r="BQ105" i="49"/>
  <c r="AX75" i="49"/>
  <c r="BD74" i="49"/>
  <c r="BX14" i="49"/>
  <c r="BW14" i="49"/>
  <c r="BK15" i="49"/>
  <c r="BH15" i="49"/>
  <c r="BT15" i="49"/>
  <c r="BY14" i="49"/>
  <c r="BQ15" i="49"/>
  <c r="AX15" i="49"/>
  <c r="BA15" i="49"/>
  <c r="AO15" i="49"/>
  <c r="AR15" i="49"/>
  <c r="BE14" i="49"/>
  <c r="BF14" i="49"/>
  <c r="BD14" i="49"/>
  <c r="AU105" i="49" l="1"/>
  <c r="BN105" i="49"/>
  <c r="AU75" i="49"/>
  <c r="AU15" i="49"/>
  <c r="BN15" i="49"/>
  <c r="AU45" i="49"/>
  <c r="BN75" i="49"/>
  <c r="BN45" i="49"/>
  <c r="BW45" i="49"/>
  <c r="BD45" i="49"/>
  <c r="BD105" i="49"/>
  <c r="BW105" i="49"/>
  <c r="BD75" i="49"/>
  <c r="BW75" i="49"/>
  <c r="BW15" i="49"/>
  <c r="BD15" i="49"/>
  <c r="G101" i="17" l="1"/>
  <c r="E101" i="17" s="1"/>
  <c r="F101" i="17" s="1"/>
  <c r="G100" i="17"/>
  <c r="E100" i="17" s="1"/>
  <c r="F100" i="17" s="1"/>
  <c r="G99" i="17"/>
  <c r="E99" i="17" s="1"/>
  <c r="F99" i="17" s="1"/>
  <c r="G96" i="17"/>
  <c r="G97" i="17"/>
  <c r="E97" i="17" s="1"/>
  <c r="F97" i="17" s="1"/>
  <c r="G101" i="16"/>
  <c r="E101" i="16" s="1"/>
  <c r="F101" i="16" s="1"/>
  <c r="G100" i="16"/>
  <c r="G99" i="16"/>
  <c r="E98" i="16" s="1"/>
  <c r="G96" i="16"/>
  <c r="E96" i="16" s="1"/>
  <c r="F96" i="16" s="1"/>
  <c r="G97" i="16"/>
  <c r="E97" i="16" s="1"/>
  <c r="F97" i="16" s="1"/>
  <c r="G63" i="17"/>
  <c r="E63" i="17" s="1"/>
  <c r="F63" i="17" s="1"/>
  <c r="G62" i="17"/>
  <c r="E62" i="17" s="1"/>
  <c r="F62" i="17" s="1"/>
  <c r="G61" i="17"/>
  <c r="G58" i="17"/>
  <c r="G59" i="17"/>
  <c r="E59" i="17" s="1"/>
  <c r="F59" i="17" s="1"/>
  <c r="G63" i="16"/>
  <c r="E63" i="16" s="1"/>
  <c r="F63" i="16" s="1"/>
  <c r="G62" i="16"/>
  <c r="G61" i="16"/>
  <c r="E61" i="16" s="1"/>
  <c r="F61" i="16" s="1"/>
  <c r="G58" i="16"/>
  <c r="E58" i="16" s="1"/>
  <c r="F58" i="16" s="1"/>
  <c r="G59" i="16"/>
  <c r="E59" i="16" s="1"/>
  <c r="F59" i="16" s="1"/>
  <c r="G56" i="16"/>
  <c r="B59" i="19"/>
  <c r="Y57" i="13"/>
  <c r="Y56" i="13"/>
  <c r="Y41" i="13"/>
  <c r="Y40" i="13"/>
  <c r="V39" i="13"/>
  <c r="Y38" i="13"/>
  <c r="D38" i="13"/>
  <c r="D37" i="13"/>
  <c r="Y36" i="13"/>
  <c r="V36" i="13"/>
  <c r="D36" i="13"/>
  <c r="D35" i="13"/>
  <c r="V34" i="13"/>
  <c r="D34" i="13"/>
  <c r="R33" i="13"/>
  <c r="Q33" i="13"/>
  <c r="H33" i="13"/>
  <c r="G33" i="13"/>
  <c r="F33" i="13"/>
  <c r="E33" i="13"/>
  <c r="D33" i="13"/>
  <c r="C33" i="13"/>
  <c r="B33" i="13"/>
  <c r="R30" i="13"/>
  <c r="L30" i="13"/>
  <c r="H30" i="13"/>
  <c r="B30" i="13"/>
  <c r="R29" i="13"/>
  <c r="P29" i="13"/>
  <c r="P33" i="13" s="1"/>
  <c r="O29" i="13"/>
  <c r="O33" i="13" s="1"/>
  <c r="N29" i="13"/>
  <c r="N33" i="13" s="1"/>
  <c r="M29" i="13"/>
  <c r="M33" i="13" s="1"/>
  <c r="L29" i="13"/>
  <c r="L33" i="13" s="1"/>
  <c r="Z9" i="13"/>
  <c r="W9" i="13"/>
  <c r="Z8" i="13"/>
  <c r="Y35" i="13" s="1"/>
  <c r="Y8" i="13"/>
  <c r="Y9" i="13" s="1"/>
  <c r="X8" i="13"/>
  <c r="W57" i="13" s="1"/>
  <c r="W8" i="13"/>
  <c r="V57" i="13" s="1"/>
  <c r="Y5" i="13"/>
  <c r="X5" i="13"/>
  <c r="Z4" i="13"/>
  <c r="Z5" i="13" s="1"/>
  <c r="Y4" i="13"/>
  <c r="X4" i="13"/>
  <c r="W4" i="13"/>
  <c r="W5" i="13" s="1"/>
  <c r="L289" i="16"/>
  <c r="M289" i="16" s="1"/>
  <c r="E289" i="16"/>
  <c r="F289" i="16" s="1"/>
  <c r="E288" i="16"/>
  <c r="F288" i="16" s="1"/>
  <c r="A288" i="16"/>
  <c r="G287" i="16"/>
  <c r="E287" i="16" s="1"/>
  <c r="F287" i="16" s="1"/>
  <c r="M286" i="16"/>
  <c r="L286" i="16"/>
  <c r="G286" i="16"/>
  <c r="E286" i="16" s="1"/>
  <c r="F286" i="16" s="1"/>
  <c r="G285" i="16"/>
  <c r="D285" i="16" s="1"/>
  <c r="L284" i="16"/>
  <c r="M284" i="16" s="1"/>
  <c r="E284" i="16"/>
  <c r="F284" i="16" s="1"/>
  <c r="A284" i="16"/>
  <c r="L283" i="16"/>
  <c r="M283" i="16" s="1"/>
  <c r="G283" i="16"/>
  <c r="E282" i="16"/>
  <c r="F282" i="16" s="1"/>
  <c r="A282" i="16"/>
  <c r="M281" i="16"/>
  <c r="L281" i="16"/>
  <c r="G281" i="16"/>
  <c r="D281" i="16" s="1"/>
  <c r="C280" i="16"/>
  <c r="A280" i="16"/>
  <c r="I278" i="16"/>
  <c r="L252" i="16"/>
  <c r="M252" i="16" s="1"/>
  <c r="E252" i="16"/>
  <c r="F252" i="16" s="1"/>
  <c r="E251" i="16"/>
  <c r="F251" i="16" s="1"/>
  <c r="A251" i="16"/>
  <c r="G250" i="16"/>
  <c r="E250" i="16" s="1"/>
  <c r="F250" i="16" s="1"/>
  <c r="M249" i="16"/>
  <c r="L249" i="16"/>
  <c r="G249" i="16"/>
  <c r="D250" i="16" s="1"/>
  <c r="G248" i="16"/>
  <c r="D248" i="16" s="1"/>
  <c r="L247" i="16"/>
  <c r="M247" i="16" s="1"/>
  <c r="E247" i="16"/>
  <c r="F247" i="16" s="1"/>
  <c r="A247" i="16"/>
  <c r="L246" i="16"/>
  <c r="M246" i="16" s="1"/>
  <c r="G246" i="16"/>
  <c r="D246" i="16" s="1"/>
  <c r="E245" i="16"/>
  <c r="F245" i="16" s="1"/>
  <c r="A245" i="16"/>
  <c r="L244" i="16"/>
  <c r="M244" i="16" s="1"/>
  <c r="G244" i="16"/>
  <c r="D244" i="16" s="1"/>
  <c r="C243" i="16"/>
  <c r="A243" i="16"/>
  <c r="I241" i="16"/>
  <c r="L215" i="16"/>
  <c r="M215" i="16" s="1"/>
  <c r="E215" i="16"/>
  <c r="F215" i="16" s="1"/>
  <c r="E214" i="16"/>
  <c r="F214" i="16" s="1"/>
  <c r="A214" i="16"/>
  <c r="G213" i="16"/>
  <c r="E213" i="16" s="1"/>
  <c r="F213" i="16" s="1"/>
  <c r="L212" i="16"/>
  <c r="M212" i="16" s="1"/>
  <c r="G212" i="16"/>
  <c r="E212" i="16" s="1"/>
  <c r="F212" i="16" s="1"/>
  <c r="G211" i="16"/>
  <c r="D211" i="16" s="1"/>
  <c r="L210" i="16"/>
  <c r="M210" i="16" s="1"/>
  <c r="E210" i="16"/>
  <c r="F210" i="16" s="1"/>
  <c r="A210" i="16"/>
  <c r="M209" i="16"/>
  <c r="L209" i="16"/>
  <c r="G209" i="16"/>
  <c r="F208" i="16"/>
  <c r="E208" i="16"/>
  <c r="A208" i="16"/>
  <c r="L207" i="16"/>
  <c r="M207" i="16" s="1"/>
  <c r="G207" i="16"/>
  <c r="D207" i="16" s="1"/>
  <c r="C206" i="16"/>
  <c r="A206" i="16"/>
  <c r="I204" i="16"/>
  <c r="M177" i="16"/>
  <c r="L177" i="16"/>
  <c r="E177" i="16"/>
  <c r="F177" i="16" s="1"/>
  <c r="E176" i="16"/>
  <c r="F176" i="16" s="1"/>
  <c r="A176" i="16"/>
  <c r="G175" i="16"/>
  <c r="E175" i="16" s="1"/>
  <c r="F175" i="16" s="1"/>
  <c r="L174" i="16"/>
  <c r="M174" i="16" s="1"/>
  <c r="G174" i="16"/>
  <c r="D175" i="16" s="1"/>
  <c r="G173" i="16"/>
  <c r="D173" i="16" s="1"/>
  <c r="M172" i="16"/>
  <c r="L172" i="16"/>
  <c r="E172" i="16"/>
  <c r="F172" i="16" s="1"/>
  <c r="A172" i="16"/>
  <c r="M171" i="16"/>
  <c r="L171" i="16"/>
  <c r="G171" i="16"/>
  <c r="E170" i="16"/>
  <c r="F170" i="16" s="1"/>
  <c r="A170" i="16"/>
  <c r="L169" i="16"/>
  <c r="M169" i="16" s="1"/>
  <c r="G169" i="16"/>
  <c r="D169" i="16" s="1"/>
  <c r="C168" i="16"/>
  <c r="A168" i="16"/>
  <c r="I166" i="16"/>
  <c r="F140" i="16"/>
  <c r="E140" i="16"/>
  <c r="E139" i="16"/>
  <c r="F139" i="16" s="1"/>
  <c r="A139" i="16"/>
  <c r="G138" i="16"/>
  <c r="E138" i="16" s="1"/>
  <c r="F138" i="16" s="1"/>
  <c r="G137" i="16"/>
  <c r="G136" i="16"/>
  <c r="D137" i="16" s="1"/>
  <c r="E135" i="16"/>
  <c r="F135" i="16" s="1"/>
  <c r="A135" i="16"/>
  <c r="G134" i="16"/>
  <c r="E134" i="16" s="1"/>
  <c r="F134" i="16" s="1"/>
  <c r="G133" i="16"/>
  <c r="D133" i="16" s="1"/>
  <c r="E132" i="16"/>
  <c r="F132" i="16" s="1"/>
  <c r="A132" i="16"/>
  <c r="G131" i="16"/>
  <c r="E131" i="16" s="1"/>
  <c r="F131" i="16" s="1"/>
  <c r="C130" i="16"/>
  <c r="A130" i="16"/>
  <c r="I128" i="16"/>
  <c r="E95" i="16"/>
  <c r="F95" i="16" s="1"/>
  <c r="I93" i="16"/>
  <c r="I94" i="16" s="1"/>
  <c r="I95" i="16" s="1"/>
  <c r="I96" i="16" s="1"/>
  <c r="I97" i="16" s="1"/>
  <c r="I98" i="16" s="1"/>
  <c r="I99" i="16" s="1"/>
  <c r="I100" i="16" s="1"/>
  <c r="I101" i="16" s="1"/>
  <c r="I102" i="16" s="1"/>
  <c r="E65" i="16"/>
  <c r="F65" i="16" s="1"/>
  <c r="I57" i="16"/>
  <c r="I58" i="16" s="1"/>
  <c r="A57" i="16"/>
  <c r="I56" i="16"/>
  <c r="I55" i="16"/>
  <c r="A55" i="16"/>
  <c r="I54" i="16"/>
  <c r="E15" i="16"/>
  <c r="F15" i="16" s="1"/>
  <c r="C5" i="16"/>
  <c r="I3" i="16"/>
  <c r="I5" i="16" s="1"/>
  <c r="I6" i="16" s="1"/>
  <c r="I7" i="16" s="1"/>
  <c r="I8" i="16" s="1"/>
  <c r="I9" i="16" s="1"/>
  <c r="I10" i="16" s="1"/>
  <c r="I11" i="16" s="1"/>
  <c r="I12" i="16" s="1"/>
  <c r="I13" i="16" s="1"/>
  <c r="I14" i="16" s="1"/>
  <c r="I15" i="16" s="1"/>
  <c r="L213" i="17"/>
  <c r="M213" i="17" s="1"/>
  <c r="E213" i="17"/>
  <c r="F213" i="17" s="1"/>
  <c r="E212" i="17"/>
  <c r="F212" i="17" s="1"/>
  <c r="A212" i="17"/>
  <c r="G211" i="17"/>
  <c r="E211" i="17" s="1"/>
  <c r="F211" i="17" s="1"/>
  <c r="L210" i="17"/>
  <c r="M210" i="17" s="1"/>
  <c r="G210" i="17"/>
  <c r="E210" i="17" s="1"/>
  <c r="F210" i="17" s="1"/>
  <c r="G209" i="17"/>
  <c r="D210" i="17" s="1"/>
  <c r="L208" i="17"/>
  <c r="M208" i="17" s="1"/>
  <c r="E208" i="17"/>
  <c r="F208" i="17" s="1"/>
  <c r="A208" i="17"/>
  <c r="M207" i="17"/>
  <c r="L207" i="17"/>
  <c r="G207" i="17"/>
  <c r="D207" i="17" s="1"/>
  <c r="E206" i="17"/>
  <c r="F206" i="17" s="1"/>
  <c r="A206" i="17"/>
  <c r="M205" i="17"/>
  <c r="L205" i="17"/>
  <c r="G205" i="17"/>
  <c r="D205" i="17" s="1"/>
  <c r="C204" i="17"/>
  <c r="A204" i="17"/>
  <c r="I202" i="17"/>
  <c r="M176" i="17"/>
  <c r="L176" i="17"/>
  <c r="E176" i="17"/>
  <c r="F176" i="17" s="1"/>
  <c r="E175" i="17"/>
  <c r="F175" i="17" s="1"/>
  <c r="A175" i="17"/>
  <c r="G174" i="17"/>
  <c r="E174" i="17" s="1"/>
  <c r="F174" i="17" s="1"/>
  <c r="L173" i="17"/>
  <c r="M173" i="17" s="1"/>
  <c r="G173" i="17"/>
  <c r="D174" i="17" s="1"/>
  <c r="G172" i="17"/>
  <c r="L171" i="17"/>
  <c r="M171" i="17" s="1"/>
  <c r="E171" i="17"/>
  <c r="F171" i="17" s="1"/>
  <c r="A171" i="17"/>
  <c r="M170" i="17"/>
  <c r="L170" i="17"/>
  <c r="G170" i="17"/>
  <c r="E170" i="17" s="1"/>
  <c r="F170" i="17" s="1"/>
  <c r="E169" i="17"/>
  <c r="F169" i="17" s="1"/>
  <c r="A169" i="17"/>
  <c r="M168" i="17"/>
  <c r="L168" i="17"/>
  <c r="G168" i="17"/>
  <c r="C167" i="17"/>
  <c r="A167" i="17"/>
  <c r="I165" i="17"/>
  <c r="M139" i="17"/>
  <c r="L139" i="17"/>
  <c r="E139" i="17"/>
  <c r="F139" i="17" s="1"/>
  <c r="E138" i="17"/>
  <c r="F138" i="17" s="1"/>
  <c r="A138" i="17"/>
  <c r="G137" i="17"/>
  <c r="E137" i="17" s="1"/>
  <c r="F137" i="17" s="1"/>
  <c r="M136" i="17"/>
  <c r="L136" i="17"/>
  <c r="G136" i="17"/>
  <c r="E136" i="17" s="1"/>
  <c r="F136" i="17" s="1"/>
  <c r="G135" i="17"/>
  <c r="M134" i="17"/>
  <c r="L134" i="17"/>
  <c r="E134" i="17"/>
  <c r="F134" i="17" s="1"/>
  <c r="A134" i="17"/>
  <c r="M133" i="17"/>
  <c r="L133" i="17"/>
  <c r="G133" i="17"/>
  <c r="D133" i="17" s="1"/>
  <c r="F132" i="17"/>
  <c r="E132" i="17"/>
  <c r="A132" i="17"/>
  <c r="L131" i="17"/>
  <c r="M131" i="17" s="1"/>
  <c r="G131" i="17"/>
  <c r="C130" i="17"/>
  <c r="A130" i="17"/>
  <c r="I128" i="17"/>
  <c r="A102" i="17"/>
  <c r="A98" i="17"/>
  <c r="E95" i="17"/>
  <c r="F95" i="17" s="1"/>
  <c r="A95" i="17"/>
  <c r="C93" i="17"/>
  <c r="I93" i="17" s="1"/>
  <c r="I94" i="17" s="1"/>
  <c r="I95" i="17" s="1"/>
  <c r="I96" i="17" s="1"/>
  <c r="I97" i="17" s="1"/>
  <c r="I98" i="17" s="1"/>
  <c r="I99" i="17" s="1"/>
  <c r="I100" i="17" s="1"/>
  <c r="I101" i="17" s="1"/>
  <c r="I102" i="17" s="1"/>
  <c r="A93" i="17"/>
  <c r="E65" i="17"/>
  <c r="F65" i="17" s="1"/>
  <c r="A64" i="17"/>
  <c r="A60" i="17"/>
  <c r="I57" i="17"/>
  <c r="I58" i="17" s="1"/>
  <c r="A57" i="17"/>
  <c r="I56" i="17"/>
  <c r="I55" i="17"/>
  <c r="A55" i="17"/>
  <c r="I54" i="17"/>
  <c r="F15" i="17"/>
  <c r="E15" i="17"/>
  <c r="A14" i="17"/>
  <c r="A11" i="17"/>
  <c r="A7" i="17"/>
  <c r="C5" i="17"/>
  <c r="A5" i="17"/>
  <c r="I4" i="17"/>
  <c r="I3" i="17"/>
  <c r="L289" i="18"/>
  <c r="M289" i="18" s="1"/>
  <c r="E289" i="18"/>
  <c r="F289" i="18" s="1"/>
  <c r="E288" i="18"/>
  <c r="F288" i="18" s="1"/>
  <c r="A288" i="18"/>
  <c r="G287" i="18"/>
  <c r="E287" i="18" s="1"/>
  <c r="F287" i="18" s="1"/>
  <c r="L286" i="18"/>
  <c r="M286" i="18" s="1"/>
  <c r="G286" i="18"/>
  <c r="D287" i="18" s="1"/>
  <c r="G285" i="18"/>
  <c r="E285" i="18" s="1"/>
  <c r="F285" i="18" s="1"/>
  <c r="L284" i="18"/>
  <c r="M284" i="18" s="1"/>
  <c r="E284" i="18"/>
  <c r="F284" i="18" s="1"/>
  <c r="A284" i="18"/>
  <c r="M283" i="18"/>
  <c r="L283" i="18"/>
  <c r="G283" i="18"/>
  <c r="E283" i="18" s="1"/>
  <c r="F283" i="18" s="1"/>
  <c r="F282" i="18"/>
  <c r="E282" i="18"/>
  <c r="A282" i="18"/>
  <c r="L281" i="18"/>
  <c r="M281" i="18" s="1"/>
  <c r="G281" i="18"/>
  <c r="C280" i="18"/>
  <c r="A280" i="18"/>
  <c r="I278" i="18"/>
  <c r="M252" i="18"/>
  <c r="L252" i="18"/>
  <c r="E252" i="18"/>
  <c r="F252" i="18" s="1"/>
  <c r="E251" i="18"/>
  <c r="F251" i="18" s="1"/>
  <c r="A251" i="18"/>
  <c r="G250" i="18"/>
  <c r="E250" i="18" s="1"/>
  <c r="F250" i="18" s="1"/>
  <c r="L249" i="18"/>
  <c r="M249" i="18" s="1"/>
  <c r="G249" i="18"/>
  <c r="E249" i="18" s="1"/>
  <c r="F249" i="18" s="1"/>
  <c r="G248" i="18"/>
  <c r="L247" i="18"/>
  <c r="M247" i="18" s="1"/>
  <c r="E247" i="18"/>
  <c r="F247" i="18" s="1"/>
  <c r="A247" i="18"/>
  <c r="L246" i="18"/>
  <c r="M246" i="18" s="1"/>
  <c r="G246" i="18"/>
  <c r="E246" i="18" s="1"/>
  <c r="F246" i="18" s="1"/>
  <c r="F245" i="18"/>
  <c r="E245" i="18"/>
  <c r="A245" i="18"/>
  <c r="L244" i="18"/>
  <c r="M244" i="18" s="1"/>
  <c r="G244" i="18"/>
  <c r="E244" i="18" s="1"/>
  <c r="F244" i="18" s="1"/>
  <c r="C243" i="18"/>
  <c r="A243" i="18"/>
  <c r="I241" i="18"/>
  <c r="L215" i="18"/>
  <c r="M215" i="18" s="1"/>
  <c r="E215" i="18"/>
  <c r="F215" i="18" s="1"/>
  <c r="E214" i="18"/>
  <c r="F214" i="18" s="1"/>
  <c r="A214" i="18"/>
  <c r="G213" i="18"/>
  <c r="E213" i="18" s="1"/>
  <c r="F213" i="18" s="1"/>
  <c r="L212" i="18"/>
  <c r="M212" i="18" s="1"/>
  <c r="G212" i="18"/>
  <c r="E212" i="18" s="1"/>
  <c r="F212" i="18" s="1"/>
  <c r="G211" i="18"/>
  <c r="D211" i="18" s="1"/>
  <c r="M210" i="18"/>
  <c r="L210" i="18"/>
  <c r="E210" i="18"/>
  <c r="F210" i="18" s="1"/>
  <c r="A210" i="18"/>
  <c r="L209" i="18"/>
  <c r="M209" i="18" s="1"/>
  <c r="G209" i="18"/>
  <c r="D209" i="18" s="1"/>
  <c r="F208" i="18"/>
  <c r="E208" i="18"/>
  <c r="A208" i="18"/>
  <c r="L207" i="18"/>
  <c r="M207" i="18" s="1"/>
  <c r="G207" i="18"/>
  <c r="D207" i="18" s="1"/>
  <c r="C206" i="18"/>
  <c r="A206" i="18"/>
  <c r="I204" i="18"/>
  <c r="L177" i="18"/>
  <c r="M177" i="18" s="1"/>
  <c r="E177" i="18"/>
  <c r="F177" i="18" s="1"/>
  <c r="E176" i="18"/>
  <c r="F176" i="18" s="1"/>
  <c r="A176" i="18"/>
  <c r="G175" i="18"/>
  <c r="E175" i="18" s="1"/>
  <c r="F175" i="18" s="1"/>
  <c r="M174" i="18"/>
  <c r="L174" i="18"/>
  <c r="G174" i="18"/>
  <c r="D175" i="18" s="1"/>
  <c r="G173" i="18"/>
  <c r="D173" i="18" s="1"/>
  <c r="L172" i="18"/>
  <c r="M172" i="18" s="1"/>
  <c r="E172" i="18"/>
  <c r="F172" i="18" s="1"/>
  <c r="A172" i="18"/>
  <c r="M171" i="18"/>
  <c r="L171" i="18"/>
  <c r="G171" i="18"/>
  <c r="E171" i="18" s="1"/>
  <c r="F171" i="18" s="1"/>
  <c r="F170" i="18"/>
  <c r="E170" i="18"/>
  <c r="A170" i="18"/>
  <c r="M169" i="18"/>
  <c r="L169" i="18"/>
  <c r="G169" i="18"/>
  <c r="E169" i="18" s="1"/>
  <c r="F169" i="18" s="1"/>
  <c r="C168" i="18"/>
  <c r="A168" i="18"/>
  <c r="I166" i="18"/>
  <c r="E140" i="18"/>
  <c r="F140" i="18" s="1"/>
  <c r="E139" i="18"/>
  <c r="F139" i="18" s="1"/>
  <c r="A139" i="18"/>
  <c r="G138" i="18"/>
  <c r="E138" i="18" s="1"/>
  <c r="F138" i="18" s="1"/>
  <c r="G137" i="18"/>
  <c r="G136" i="18"/>
  <c r="D136" i="18" s="1"/>
  <c r="E135" i="18"/>
  <c r="F135" i="18" s="1"/>
  <c r="A135" i="18"/>
  <c r="G134" i="18"/>
  <c r="E134" i="18" s="1"/>
  <c r="F134" i="18" s="1"/>
  <c r="G133" i="18"/>
  <c r="E132" i="18"/>
  <c r="F132" i="18" s="1"/>
  <c r="A132" i="18"/>
  <c r="G131" i="18"/>
  <c r="D131" i="18" s="1"/>
  <c r="C130" i="18"/>
  <c r="A130" i="18"/>
  <c r="I128" i="18"/>
  <c r="F95" i="18"/>
  <c r="E95" i="18"/>
  <c r="C93" i="18"/>
  <c r="I93" i="18" s="1"/>
  <c r="I94" i="18" s="1"/>
  <c r="I95" i="18" s="1"/>
  <c r="I96" i="18" s="1"/>
  <c r="I97" i="18" s="1"/>
  <c r="I98" i="18" s="1"/>
  <c r="I99" i="18" s="1"/>
  <c r="I100" i="18" s="1"/>
  <c r="I101" i="18" s="1"/>
  <c r="I102" i="18" s="1"/>
  <c r="I91" i="18"/>
  <c r="F65" i="18"/>
  <c r="E65" i="18"/>
  <c r="A57" i="18"/>
  <c r="C55" i="18"/>
  <c r="I55" i="18" s="1"/>
  <c r="I56" i="18" s="1"/>
  <c r="I57" i="18" s="1"/>
  <c r="I58" i="18" s="1"/>
  <c r="A55" i="18"/>
  <c r="I54" i="18"/>
  <c r="I53" i="18"/>
  <c r="E15" i="18"/>
  <c r="F15" i="18" s="1"/>
  <c r="A7" i="18"/>
  <c r="C5" i="18"/>
  <c r="I5" i="18" s="1"/>
  <c r="I6" i="18" s="1"/>
  <c r="I7" i="18" s="1"/>
  <c r="I8" i="18" s="1"/>
  <c r="I9" i="18" s="1"/>
  <c r="I10" i="18" s="1"/>
  <c r="I11" i="18" s="1"/>
  <c r="I12" i="18" s="1"/>
  <c r="I13" i="18" s="1"/>
  <c r="I14" i="18" s="1"/>
  <c r="I15" i="18" s="1"/>
  <c r="A5" i="18"/>
  <c r="I4" i="18"/>
  <c r="C132" i="16" l="1"/>
  <c r="I60" i="16"/>
  <c r="I61" i="16" s="1"/>
  <c r="I62" i="16" s="1"/>
  <c r="I63" i="16" s="1"/>
  <c r="I64" i="16" s="1"/>
  <c r="I65" i="16" s="1"/>
  <c r="I59" i="16"/>
  <c r="I60" i="17"/>
  <c r="I61" i="17" s="1"/>
  <c r="I62" i="17" s="1"/>
  <c r="I63" i="17" s="1"/>
  <c r="I64" i="17" s="1"/>
  <c r="I65" i="17" s="1"/>
  <c r="I59" i="17"/>
  <c r="X38" i="13"/>
  <c r="X41" i="13"/>
  <c r="X57" i="13"/>
  <c r="W36" i="13"/>
  <c r="X36" i="13"/>
  <c r="V55" i="13"/>
  <c r="W34" i="13"/>
  <c r="W39" i="13"/>
  <c r="W55" i="13"/>
  <c r="X34" i="13"/>
  <c r="X39" i="13"/>
  <c r="X55" i="13"/>
  <c r="Y34" i="13"/>
  <c r="V37" i="13"/>
  <c r="Y39" i="13"/>
  <c r="Y55" i="13"/>
  <c r="W37" i="13"/>
  <c r="V40" i="13"/>
  <c r="V56" i="13"/>
  <c r="V35" i="13"/>
  <c r="X37" i="13"/>
  <c r="W40" i="13"/>
  <c r="W56" i="13"/>
  <c r="I5" i="17"/>
  <c r="I6" i="17" s="1"/>
  <c r="I7" i="17" s="1"/>
  <c r="I8" i="17" s="1"/>
  <c r="I9" i="17" s="1"/>
  <c r="I10" i="17" s="1"/>
  <c r="I11" i="17" s="1"/>
  <c r="I12" i="17" s="1"/>
  <c r="I13" i="17" s="1"/>
  <c r="I14" i="17" s="1"/>
  <c r="I15" i="17" s="1"/>
  <c r="W35" i="13"/>
  <c r="Y37" i="13"/>
  <c r="X40" i="13"/>
  <c r="X56" i="13"/>
  <c r="X35" i="13"/>
  <c r="I280" i="16"/>
  <c r="I281" i="16" s="1"/>
  <c r="I282" i="16" s="1"/>
  <c r="I283" i="16" s="1"/>
  <c r="I284" i="16" s="1"/>
  <c r="I285" i="16" s="1"/>
  <c r="I286" i="16" s="1"/>
  <c r="I287" i="16" s="1"/>
  <c r="I288" i="16" s="1"/>
  <c r="I289" i="16" s="1"/>
  <c r="X9" i="13"/>
  <c r="V38" i="13"/>
  <c r="V41" i="13"/>
  <c r="W38" i="13"/>
  <c r="W41" i="13"/>
  <c r="C135" i="16"/>
  <c r="C139" i="16" s="1"/>
  <c r="D286" i="16"/>
  <c r="I60" i="18"/>
  <c r="I61" i="18" s="1"/>
  <c r="I62" i="18" s="1"/>
  <c r="I63" i="18" s="1"/>
  <c r="I64" i="18" s="1"/>
  <c r="I65" i="18" s="1"/>
  <c r="I59" i="18"/>
  <c r="D136" i="16"/>
  <c r="E173" i="18"/>
  <c r="F173" i="18" s="1"/>
  <c r="C245" i="16"/>
  <c r="C247" i="16" s="1"/>
  <c r="C251" i="16" s="1"/>
  <c r="E244" i="16"/>
  <c r="F244" i="16" s="1"/>
  <c r="E285" i="16"/>
  <c r="F285" i="16" s="1"/>
  <c r="E136" i="16"/>
  <c r="F136" i="16" s="1"/>
  <c r="E131" i="18"/>
  <c r="F131" i="18" s="1"/>
  <c r="D169" i="18"/>
  <c r="E209" i="18"/>
  <c r="F209" i="18" s="1"/>
  <c r="D131" i="16"/>
  <c r="E174" i="18"/>
  <c r="F174" i="18" s="1"/>
  <c r="E207" i="18"/>
  <c r="F207" i="18" s="1"/>
  <c r="D283" i="18"/>
  <c r="D285" i="18"/>
  <c r="I167" i="17"/>
  <c r="I166" i="17" s="1"/>
  <c r="C206" i="17"/>
  <c r="C208" i="17" s="1"/>
  <c r="C212" i="17" s="1"/>
  <c r="D209" i="17"/>
  <c r="I168" i="16"/>
  <c r="I167" i="16" s="1"/>
  <c r="C208" i="16"/>
  <c r="C210" i="16" s="1"/>
  <c r="C214" i="16" s="1"/>
  <c r="D286" i="18"/>
  <c r="E173" i="17"/>
  <c r="F173" i="17" s="1"/>
  <c r="E205" i="17"/>
  <c r="F205" i="17" s="1"/>
  <c r="E209" i="17"/>
  <c r="F209" i="17" s="1"/>
  <c r="E207" i="16"/>
  <c r="F207" i="16" s="1"/>
  <c r="D246" i="18"/>
  <c r="E169" i="16"/>
  <c r="F169" i="16" s="1"/>
  <c r="E207" i="17"/>
  <c r="F207" i="17" s="1"/>
  <c r="I206" i="16"/>
  <c r="I207" i="16" s="1"/>
  <c r="I208" i="16" s="1"/>
  <c r="I209" i="16" s="1"/>
  <c r="I210" i="16" s="1"/>
  <c r="I211" i="16" s="1"/>
  <c r="I212" i="16" s="1"/>
  <c r="I213" i="16" s="1"/>
  <c r="I214" i="16" s="1"/>
  <c r="I215" i="16" s="1"/>
  <c r="E211" i="16"/>
  <c r="F211" i="16" s="1"/>
  <c r="E246" i="16"/>
  <c r="F246" i="16" s="1"/>
  <c r="E248" i="16"/>
  <c r="F248" i="16" s="1"/>
  <c r="E281" i="16"/>
  <c r="F281" i="16" s="1"/>
  <c r="I130" i="18"/>
  <c r="I131" i="18" s="1"/>
  <c r="I132" i="18" s="1"/>
  <c r="I133" i="18" s="1"/>
  <c r="I134" i="18" s="1"/>
  <c r="I168" i="18"/>
  <c r="I167" i="18" s="1"/>
  <c r="D170" i="17"/>
  <c r="I130" i="16"/>
  <c r="I129" i="16" s="1"/>
  <c r="D212" i="16"/>
  <c r="E249" i="16"/>
  <c r="F249" i="16" s="1"/>
  <c r="C282" i="16"/>
  <c r="C284" i="16" s="1"/>
  <c r="C288" i="16" s="1"/>
  <c r="D174" i="18"/>
  <c r="I243" i="18"/>
  <c r="I244" i="18" s="1"/>
  <c r="I245" i="18" s="1"/>
  <c r="I246" i="18" s="1"/>
  <c r="I247" i="18" s="1"/>
  <c r="I248" i="18" s="1"/>
  <c r="I249" i="18" s="1"/>
  <c r="I250" i="18" s="1"/>
  <c r="I251" i="18" s="1"/>
  <c r="I252" i="18" s="1"/>
  <c r="E286" i="18"/>
  <c r="F286" i="18" s="1"/>
  <c r="D137" i="17"/>
  <c r="E174" i="16"/>
  <c r="F174" i="16" s="1"/>
  <c r="I243" i="16"/>
  <c r="I242" i="16" s="1"/>
  <c r="C170" i="18"/>
  <c r="C172" i="18" s="1"/>
  <c r="C176" i="18" s="1"/>
  <c r="D171" i="18"/>
  <c r="D250" i="18"/>
  <c r="E281" i="18"/>
  <c r="F281" i="18" s="1"/>
  <c r="D281" i="18"/>
  <c r="E171" i="16"/>
  <c r="F171" i="16" s="1"/>
  <c r="D171" i="16"/>
  <c r="D134" i="18"/>
  <c r="E133" i="18"/>
  <c r="F133" i="18" s="1"/>
  <c r="D133" i="18"/>
  <c r="D213" i="18"/>
  <c r="D244" i="18"/>
  <c r="D209" i="16"/>
  <c r="E209" i="16"/>
  <c r="F209" i="16" s="1"/>
  <c r="D283" i="16"/>
  <c r="E283" i="16"/>
  <c r="F283" i="16" s="1"/>
  <c r="D138" i="18"/>
  <c r="E137" i="18"/>
  <c r="F137" i="18" s="1"/>
  <c r="C132" i="17"/>
  <c r="C134" i="17" s="1"/>
  <c r="C138" i="17" s="1"/>
  <c r="I130" i="17"/>
  <c r="E135" i="17"/>
  <c r="F135" i="17" s="1"/>
  <c r="D136" i="17"/>
  <c r="D135" i="17"/>
  <c r="D172" i="17"/>
  <c r="D173" i="17"/>
  <c r="E172" i="17"/>
  <c r="F172" i="17" s="1"/>
  <c r="D137" i="18"/>
  <c r="E136" i="18"/>
  <c r="F136" i="18" s="1"/>
  <c r="C208" i="18"/>
  <c r="C210" i="18" s="1"/>
  <c r="C214" i="18" s="1"/>
  <c r="I206" i="18"/>
  <c r="D212" i="18"/>
  <c r="E211" i="18"/>
  <c r="F211" i="18" s="1"/>
  <c r="C245" i="18"/>
  <c r="C247" i="18" s="1"/>
  <c r="C251" i="18" s="1"/>
  <c r="D249" i="18"/>
  <c r="E248" i="18"/>
  <c r="F248" i="18" s="1"/>
  <c r="D248" i="18"/>
  <c r="C282" i="18"/>
  <c r="C284" i="18" s="1"/>
  <c r="C288" i="18" s="1"/>
  <c r="I280" i="18"/>
  <c r="D131" i="17"/>
  <c r="E131" i="17"/>
  <c r="F131" i="17" s="1"/>
  <c r="C169" i="17"/>
  <c r="C171" i="17" s="1"/>
  <c r="C175" i="17" s="1"/>
  <c r="E168" i="17"/>
  <c r="F168" i="17" s="1"/>
  <c r="D168" i="17"/>
  <c r="C132" i="18"/>
  <c r="C135" i="18" s="1"/>
  <c r="C139" i="18" s="1"/>
  <c r="D211" i="17"/>
  <c r="D134" i="16"/>
  <c r="E133" i="16"/>
  <c r="F133" i="16" s="1"/>
  <c r="D138" i="16"/>
  <c r="E137" i="16"/>
  <c r="F137" i="16" s="1"/>
  <c r="C170" i="16"/>
  <c r="C172" i="16" s="1"/>
  <c r="C176" i="16" s="1"/>
  <c r="D174" i="16"/>
  <c r="E133" i="17"/>
  <c r="F133" i="17" s="1"/>
  <c r="I204" i="17"/>
  <c r="E173" i="16"/>
  <c r="F173" i="16" s="1"/>
  <c r="D213" i="16"/>
  <c r="D249" i="16"/>
  <c r="D287" i="16"/>
  <c r="G94" i="16"/>
  <c r="D94" i="16" s="1"/>
  <c r="G94" i="17"/>
  <c r="G56" i="17"/>
  <c r="E56" i="17" s="1"/>
  <c r="F56" i="17" s="1"/>
  <c r="G12" i="16"/>
  <c r="E12" i="16" s="1"/>
  <c r="F12" i="16" s="1"/>
  <c r="G56" i="18"/>
  <c r="G62" i="18"/>
  <c r="E62" i="18" s="1"/>
  <c r="F62" i="18" s="1"/>
  <c r="G13" i="16"/>
  <c r="E13" i="16" s="1"/>
  <c r="F13" i="16" s="1"/>
  <c r="G9" i="17"/>
  <c r="F9" i="17" s="1"/>
  <c r="G61" i="18"/>
  <c r="E61" i="18" s="1"/>
  <c r="F61" i="18" s="1"/>
  <c r="E98" i="17"/>
  <c r="G63" i="18"/>
  <c r="E63" i="18" s="1"/>
  <c r="F63" i="18" s="1"/>
  <c r="G96" i="18"/>
  <c r="E96" i="18" s="1"/>
  <c r="F96" i="18" s="1"/>
  <c r="C57" i="16"/>
  <c r="D58" i="16" s="1"/>
  <c r="D59" i="16" s="1"/>
  <c r="D56" i="16"/>
  <c r="E99" i="16"/>
  <c r="F99" i="16" s="1"/>
  <c r="G100" i="18"/>
  <c r="E100" i="18" s="1"/>
  <c r="F100" i="18" s="1"/>
  <c r="G12" i="17"/>
  <c r="E12" i="17" s="1"/>
  <c r="F12" i="17" s="1"/>
  <c r="G99" i="18"/>
  <c r="E98" i="18" s="1"/>
  <c r="E96" i="17"/>
  <c r="F96" i="17" s="1"/>
  <c r="E56" i="16"/>
  <c r="F56" i="16" s="1"/>
  <c r="E62" i="16"/>
  <c r="F62" i="16" s="1"/>
  <c r="E58" i="17"/>
  <c r="F58" i="17" s="1"/>
  <c r="E61" i="17"/>
  <c r="F61" i="17" s="1"/>
  <c r="E100" i="16"/>
  <c r="F100" i="16" s="1"/>
  <c r="G59" i="18"/>
  <c r="E59" i="18" s="1"/>
  <c r="F59" i="18" s="1"/>
  <c r="G10" i="17"/>
  <c r="G13" i="17"/>
  <c r="E13" i="17" s="1"/>
  <c r="F13" i="17" s="1"/>
  <c r="G8" i="17"/>
  <c r="G58" i="18"/>
  <c r="G97" i="18"/>
  <c r="E97" i="18" s="1"/>
  <c r="F97" i="18" s="1"/>
  <c r="G101" i="18"/>
  <c r="I169" i="16" l="1"/>
  <c r="I170" i="16" s="1"/>
  <c r="I171" i="16" s="1"/>
  <c r="I172" i="16" s="1"/>
  <c r="I173" i="16" s="1"/>
  <c r="I174" i="16" s="1"/>
  <c r="I175" i="16" s="1"/>
  <c r="I176" i="16" s="1"/>
  <c r="I177" i="16" s="1"/>
  <c r="I279" i="16"/>
  <c r="I129" i="18"/>
  <c r="I135" i="18"/>
  <c r="I136" i="18" s="1"/>
  <c r="I137" i="18" s="1"/>
  <c r="I138" i="18" s="1"/>
  <c r="I139" i="18" s="1"/>
  <c r="I140" i="18" s="1"/>
  <c r="I244" i="16"/>
  <c r="I245" i="16" s="1"/>
  <c r="I246" i="16" s="1"/>
  <c r="I247" i="16" s="1"/>
  <c r="I248" i="16" s="1"/>
  <c r="I249" i="16" s="1"/>
  <c r="I250" i="16" s="1"/>
  <c r="I251" i="16" s="1"/>
  <c r="I252" i="16" s="1"/>
  <c r="I205" i="16"/>
  <c r="I169" i="18"/>
  <c r="I170" i="18" s="1"/>
  <c r="I171" i="18" s="1"/>
  <c r="I172" i="18" s="1"/>
  <c r="I173" i="18" s="1"/>
  <c r="I174" i="18" s="1"/>
  <c r="I175" i="18" s="1"/>
  <c r="I176" i="18" s="1"/>
  <c r="I177" i="18" s="1"/>
  <c r="I168" i="17"/>
  <c r="I169" i="17" s="1"/>
  <c r="I170" i="17" s="1"/>
  <c r="I171" i="17" s="1"/>
  <c r="I172" i="17" s="1"/>
  <c r="I173" i="17" s="1"/>
  <c r="I174" i="17" s="1"/>
  <c r="I175" i="17" s="1"/>
  <c r="I176" i="17" s="1"/>
  <c r="I131" i="16"/>
  <c r="I132" i="16" s="1"/>
  <c r="I133" i="16" s="1"/>
  <c r="I134" i="16" s="1"/>
  <c r="I242" i="18"/>
  <c r="I205" i="17"/>
  <c r="I206" i="17" s="1"/>
  <c r="I207" i="17" s="1"/>
  <c r="I208" i="17" s="1"/>
  <c r="I209" i="17" s="1"/>
  <c r="I210" i="17" s="1"/>
  <c r="I211" i="17" s="1"/>
  <c r="I212" i="17" s="1"/>
  <c r="I213" i="17" s="1"/>
  <c r="I203" i="17"/>
  <c r="I279" i="18"/>
  <c r="I281" i="18"/>
  <c r="I282" i="18" s="1"/>
  <c r="I283" i="18" s="1"/>
  <c r="I284" i="18" s="1"/>
  <c r="I285" i="18" s="1"/>
  <c r="I286" i="18" s="1"/>
  <c r="I287" i="18" s="1"/>
  <c r="I288" i="18" s="1"/>
  <c r="I289" i="18" s="1"/>
  <c r="I207" i="18"/>
  <c r="I208" i="18" s="1"/>
  <c r="I209" i="18" s="1"/>
  <c r="I210" i="18" s="1"/>
  <c r="I211" i="18" s="1"/>
  <c r="I212" i="18" s="1"/>
  <c r="I213" i="18" s="1"/>
  <c r="I214" i="18" s="1"/>
  <c r="I215" i="18" s="1"/>
  <c r="I205" i="18"/>
  <c r="I131" i="17"/>
  <c r="I132" i="17" s="1"/>
  <c r="I133" i="17" s="1"/>
  <c r="I134" i="17" s="1"/>
  <c r="I135" i="17" s="1"/>
  <c r="I136" i="17" s="1"/>
  <c r="I137" i="17" s="1"/>
  <c r="I138" i="17" s="1"/>
  <c r="I139" i="17" s="1"/>
  <c r="I129" i="17"/>
  <c r="G94" i="18"/>
  <c r="D94" i="18" s="1"/>
  <c r="G6" i="16"/>
  <c r="E6" i="16" s="1"/>
  <c r="F6" i="16" s="1"/>
  <c r="C95" i="16"/>
  <c r="C98" i="16" s="1"/>
  <c r="G6" i="17"/>
  <c r="E6" i="17" s="1"/>
  <c r="F6" i="17" s="1"/>
  <c r="E94" i="16"/>
  <c r="F94" i="16" s="1"/>
  <c r="C57" i="17"/>
  <c r="D56" i="17"/>
  <c r="G12" i="18"/>
  <c r="E12" i="18" s="1"/>
  <c r="F12" i="18" s="1"/>
  <c r="C60" i="16"/>
  <c r="C64" i="16" s="1"/>
  <c r="D65" i="16" s="1"/>
  <c r="E99" i="18"/>
  <c r="F99" i="18" s="1"/>
  <c r="C57" i="18"/>
  <c r="C60" i="18" s="1"/>
  <c r="C64" i="18" s="1"/>
  <c r="D65" i="18" s="1"/>
  <c r="D56" i="18"/>
  <c r="E56" i="18"/>
  <c r="F56" i="18" s="1"/>
  <c r="D94" i="17"/>
  <c r="C95" i="17"/>
  <c r="E94" i="17"/>
  <c r="F94" i="17" s="1"/>
  <c r="G13" i="18"/>
  <c r="E13" i="18" s="1"/>
  <c r="F13" i="18" s="1"/>
  <c r="E101" i="18"/>
  <c r="F101" i="18" s="1"/>
  <c r="G9" i="18"/>
  <c r="G9" i="16"/>
  <c r="E58" i="18"/>
  <c r="F58" i="18" s="1"/>
  <c r="G10" i="18"/>
  <c r="E10" i="18" s="1"/>
  <c r="G10" i="16"/>
  <c r="E10" i="16" s="1"/>
  <c r="F10" i="16" s="1"/>
  <c r="E8" i="17"/>
  <c r="F8" i="17" s="1"/>
  <c r="E10" i="17"/>
  <c r="F10" i="17" s="1"/>
  <c r="G8" i="18"/>
  <c r="G8" i="16"/>
  <c r="I135" i="16" l="1"/>
  <c r="I136" i="16" s="1"/>
  <c r="I137" i="16" s="1"/>
  <c r="I138" i="16" s="1"/>
  <c r="I139" i="16" s="1"/>
  <c r="I140" i="16" s="1"/>
  <c r="C7" i="16"/>
  <c r="D8" i="16" s="1"/>
  <c r="D9" i="16" s="1"/>
  <c r="D10" i="16" s="1"/>
  <c r="C7" i="17"/>
  <c r="C11" i="17" s="1"/>
  <c r="C14" i="17" s="1"/>
  <c r="D15" i="17" s="1"/>
  <c r="C95" i="18"/>
  <c r="C98" i="18" s="1"/>
  <c r="D96" i="16"/>
  <c r="D97" i="16" s="1"/>
  <c r="G6" i="18"/>
  <c r="E6" i="18" s="1"/>
  <c r="F6" i="18" s="1"/>
  <c r="E94" i="18"/>
  <c r="F94" i="18" s="1"/>
  <c r="D6" i="16"/>
  <c r="D6" i="17"/>
  <c r="C60" i="17"/>
  <c r="D58" i="17"/>
  <c r="D59" i="17" s="1"/>
  <c r="D58" i="18"/>
  <c r="D59" i="18" s="1"/>
  <c r="D61" i="18"/>
  <c r="D62" i="18" s="1"/>
  <c r="D63" i="18" s="1"/>
  <c r="D61" i="16"/>
  <c r="D62" i="16" s="1"/>
  <c r="D63" i="16" s="1"/>
  <c r="C98" i="17"/>
  <c r="D96" i="17"/>
  <c r="D97" i="17" s="1"/>
  <c r="E9" i="18"/>
  <c r="F9" i="18" s="1"/>
  <c r="E8" i="16"/>
  <c r="F8" i="16" s="1"/>
  <c r="C102" i="16"/>
  <c r="D99" i="16"/>
  <c r="D100" i="16" s="1"/>
  <c r="D101" i="16" s="1"/>
  <c r="E8" i="18"/>
  <c r="F8" i="18" s="1"/>
  <c r="F9" i="16"/>
  <c r="D8" i="17" l="1"/>
  <c r="D9" i="17" s="1"/>
  <c r="D10" i="17" s="1"/>
  <c r="M30" i="13"/>
  <c r="D6" i="18"/>
  <c r="C11" i="16"/>
  <c r="D12" i="16" s="1"/>
  <c r="D13" i="16" s="1"/>
  <c r="D96" i="18"/>
  <c r="D97" i="18" s="1"/>
  <c r="D12" i="17"/>
  <c r="D13" i="17" s="1"/>
  <c r="C7" i="18"/>
  <c r="D8" i="18" s="1"/>
  <c r="D9" i="18" s="1"/>
  <c r="D10" i="18" s="1"/>
  <c r="C64" i="17"/>
  <c r="D65" i="17" s="1"/>
  <c r="D61" i="17"/>
  <c r="D62" i="17" s="1"/>
  <c r="D63" i="17" s="1"/>
  <c r="D99" i="17"/>
  <c r="D100" i="17" s="1"/>
  <c r="D101" i="17" s="1"/>
  <c r="C102" i="17"/>
  <c r="C102" i="18"/>
  <c r="D99" i="18"/>
  <c r="D100" i="18" s="1"/>
  <c r="D101" i="18" s="1"/>
  <c r="N30" i="13" l="1"/>
  <c r="O30" i="13" s="1"/>
  <c r="P30" i="13" s="1"/>
  <c r="Q30" i="13" s="1"/>
  <c r="C30" i="13"/>
  <c r="D30" i="13" s="1"/>
  <c r="E30" i="13" s="1"/>
  <c r="F30" i="13" s="1"/>
  <c r="G30" i="13" s="1"/>
  <c r="C14" i="16"/>
  <c r="D15" i="16" s="1"/>
  <c r="C11" i="18"/>
  <c r="C14" i="18" s="1"/>
  <c r="D15" i="18" s="1"/>
  <c r="D12" i="18" l="1"/>
  <c r="D13"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ANOUK DUBOIS - U076053</author>
    <author>MYRIAM LEGAY</author>
    <author>tc={9C824B75-0E7E-4A35-9A97-45D240795DFF}</author>
    <author>tc={7F306E6D-0554-42F2-B6D2-0A8867776663}</author>
    <author>tc={466959EA-6244-433D-819C-28303F9B24C2}</author>
    <author>tc={A8B2743D-6F8F-45CD-B28D-9981050BE470}</author>
  </authors>
  <commentList>
    <comment ref="D14" authorId="0" shapeId="0" xr:uid="{00000000-0006-0000-0000-000001000000}">
      <text>
        <r>
          <rPr>
            <b/>
            <sz val="9"/>
            <color indexed="81"/>
            <rFont val="Tahoma"/>
            <family val="2"/>
          </rPr>
          <t>ANOUK DUBOIS - U076053:</t>
        </r>
        <r>
          <rPr>
            <sz val="9"/>
            <color indexed="81"/>
            <rFont val="Tahoma"/>
            <family val="2"/>
          </rPr>
          <t xml:space="preserve">
le métier doit correspondre à ceux présents dans les onglets "synthèse global" et "prévisionnel".
Par défaut : BVH / SCEG / SOEE/ SPCS / ICDV_SIL / ADTH / DSEE / GMP </t>
        </r>
      </text>
    </comment>
    <comment ref="Q14" authorId="0" shapeId="0" xr:uid="{00000000-0006-0000-0000-000002000000}">
      <text>
        <r>
          <rPr>
            <b/>
            <sz val="9"/>
            <color indexed="81"/>
            <rFont val="Tahoma"/>
            <family val="2"/>
          </rPr>
          <t>ANOUK DUBOIS - U076053:</t>
        </r>
        <r>
          <rPr>
            <sz val="9"/>
            <color indexed="81"/>
            <rFont val="Tahoma"/>
            <family val="2"/>
          </rPr>
          <t xml:space="preserve">
</t>
        </r>
        <r>
          <rPr>
            <u/>
            <sz val="9"/>
            <color indexed="81"/>
            <rFont val="Tahoma"/>
            <family val="2"/>
          </rPr>
          <t>REF</t>
        </r>
        <r>
          <rPr>
            <sz val="9"/>
            <color indexed="81"/>
            <rFont val="Tahoma"/>
            <family val="2"/>
          </rPr>
          <t xml:space="preserve"> : si la piste est actée en Référence mais qu'elle n'a pas encore été reportée dans le bilan prévisionnel.
</t>
        </r>
        <r>
          <rPr>
            <u/>
            <sz val="9"/>
            <color indexed="81"/>
            <rFont val="Tahoma"/>
            <family val="2"/>
          </rPr>
          <t>BILAN</t>
        </r>
        <r>
          <rPr>
            <sz val="9"/>
            <color indexed="81"/>
            <rFont val="Tahoma"/>
            <family val="2"/>
          </rPr>
          <t xml:space="preserve"> : si la piste REF a été reportée dans le bilan prévisionnel 
</t>
        </r>
        <r>
          <rPr>
            <u/>
            <sz val="9"/>
            <color indexed="81"/>
            <rFont val="Tahoma"/>
            <family val="2"/>
          </rPr>
          <t xml:space="preserve">P1 </t>
        </r>
        <r>
          <rPr>
            <sz val="9"/>
            <color indexed="81"/>
            <rFont val="Tahoma"/>
            <family val="2"/>
          </rPr>
          <t xml:space="preserve">: piste sans enjeu PRF, facile techniquement, probable
</t>
        </r>
        <r>
          <rPr>
            <u/>
            <sz val="9"/>
            <color indexed="81"/>
            <rFont val="Tahoma"/>
            <family val="2"/>
          </rPr>
          <t>P2</t>
        </r>
        <r>
          <rPr>
            <sz val="9"/>
            <color indexed="81"/>
            <rFont val="Tahoma"/>
            <family val="2"/>
          </rPr>
          <t xml:space="preserve"> : piste à faible enjeu PRF ou plus difficile techniquement / moins probable
</t>
        </r>
        <r>
          <rPr>
            <u/>
            <sz val="9"/>
            <color indexed="81"/>
            <rFont val="Tahoma"/>
            <family val="2"/>
          </rPr>
          <t>P3</t>
        </r>
        <r>
          <rPr>
            <sz val="9"/>
            <color indexed="81"/>
            <rFont val="Tahoma"/>
            <family val="2"/>
          </rPr>
          <t xml:space="preserve"> : piste à fort enjeu PRF, ou difficile techniquement, peu probable
</t>
        </r>
        <r>
          <rPr>
            <u/>
            <sz val="9"/>
            <color indexed="81"/>
            <rFont val="Tahoma"/>
            <family val="2"/>
          </rPr>
          <t>ANNULE</t>
        </r>
        <r>
          <rPr>
            <sz val="9"/>
            <color indexed="81"/>
            <rFont val="Tahoma"/>
            <family val="2"/>
          </rPr>
          <t xml:space="preserve"> : piste supprimée
</t>
        </r>
        <r>
          <rPr>
            <u/>
            <sz val="9"/>
            <color indexed="81"/>
            <rFont val="Tahoma"/>
            <family val="2"/>
          </rPr>
          <t xml:space="preserve">ATT </t>
        </r>
        <r>
          <rPr>
            <sz val="9"/>
            <color indexed="81"/>
            <rFont val="Tahoma"/>
            <family val="2"/>
          </rPr>
          <t>: piste en attente de relecture avec le métier</t>
        </r>
      </text>
    </comment>
    <comment ref="M17" authorId="1" shapeId="0" xr:uid="{39D813E7-B765-40DA-98A6-CF30A7500012}">
      <text>
        <r>
          <rPr>
            <b/>
            <sz val="9"/>
            <color indexed="81"/>
            <rFont val="Tahoma"/>
            <family val="2"/>
          </rPr>
          <t>MYRIAM LEGAY:</t>
        </r>
        <r>
          <rPr>
            <sz val="9"/>
            <color indexed="81"/>
            <rFont val="Tahoma"/>
            <family val="2"/>
          </rPr>
          <t xml:space="preserve">
verdod tooling: +150
weldingshop: +200K€
</t>
        </r>
      </text>
    </comment>
    <comment ref="I57" authorId="1" shapeId="0" xr:uid="{EF40DDB4-A763-42DA-B31B-44EAD5DE4BAD}">
      <text>
        <r>
          <rPr>
            <b/>
            <sz val="9"/>
            <color indexed="81"/>
            <rFont val="Tahoma"/>
            <family val="2"/>
          </rPr>
          <t>MYRIAM LEGAY:</t>
        </r>
        <r>
          <rPr>
            <sz val="9"/>
            <color indexed="81"/>
            <rFont val="Tahoma"/>
            <family val="2"/>
          </rPr>
          <t xml:space="preserve">
stratégie embout:
Plusieures pièces dans le même outil
Donc même épaisseur de tôle et même matières
Donc coût outil à comparer au coût matière
et choix à faire….</t>
        </r>
      </text>
    </comment>
    <comment ref="L78" authorId="2" shapeId="0" xr:uid="{9C824B75-0E7E-4A35-9A97-45D240795DFF}">
      <text>
        <t>[Threaded comment]
Your version of Excel allows you to read this threaded comment; however, any edits to it will get removed if the file is opened in a newer version of Excel. Learn more: https://go.microsoft.com/fwlink/?linkid=870924
Comment:
     a remplacé SR par ML vu avec laurent</t>
      </text>
    </comment>
    <comment ref="M106" authorId="1" shapeId="0" xr:uid="{8ABEB97A-258E-4E81-8CF5-F1738534C838}">
      <text>
        <r>
          <rPr>
            <b/>
            <sz val="9"/>
            <color indexed="81"/>
            <rFont val="Tahoma"/>
            <family val="2"/>
          </rPr>
          <t>MYRIAM LEGAY:</t>
        </r>
        <r>
          <rPr>
            <sz val="9"/>
            <color indexed="81"/>
            <rFont val="Tahoma"/>
            <family val="2"/>
          </rPr>
          <t xml:space="preserve">
weldingshop:+450K€
stampingshop: +300K€
</t>
        </r>
      </text>
    </comment>
    <comment ref="N106" authorId="3" shapeId="0" xr:uid="{7F306E6D-0554-42F2-B6D2-0A8867776663}">
      <text>
        <t xml:space="preserve">[Threaded comment]
Your version of Excel allows you to read this threaded comment; however, any edits to it will get removed if the file is opened in a newer version of Excel. Learn more: https://go.microsoft.com/fwlink/?linkid=870924
Comment:
    P1H Acier 0,65 : 10,35 € 
P1H alu 1 : 15,98 € </t>
      </text>
    </comment>
    <comment ref="N184" authorId="4" shapeId="0" xr:uid="{466959EA-6244-433D-819C-28303F9B24C2}">
      <text>
        <t>[Threaded comment]
Your version of Excel allows you to read this threaded comment; however, any edits to it will get removed if the file is opened in a newer version of Excel. Learn more: https://go.microsoft.com/fwlink/?linkid=870924
Comment:
    Extra cost between 9 and 15 (Style)</t>
      </text>
    </comment>
    <comment ref="M240" authorId="1" shapeId="0" xr:uid="{6ACFFD09-8A13-4AFB-BC72-C7824187E3FB}">
      <text>
        <r>
          <rPr>
            <b/>
            <sz val="9"/>
            <color indexed="81"/>
            <rFont val="Tahoma"/>
            <family val="2"/>
          </rPr>
          <t>MYRIAM LEGAY:</t>
        </r>
        <r>
          <rPr>
            <sz val="9"/>
            <color indexed="81"/>
            <rFont val="Tahoma"/>
            <family val="2"/>
          </rPr>
          <t xml:space="preserve">
weldingshop:+450K€
stampingshop: +300K€
</t>
        </r>
      </text>
    </comment>
    <comment ref="N240" authorId="5" shapeId="0" xr:uid="{A8B2743D-6F8F-45CD-B28D-9981050BE470}">
      <text>
        <t xml:space="preserve">[Threaded comment]
Your version of Excel allows you to read this threaded comment; however, any edits to it will get removed if the file is opened in a newer version of Excel. Learn more: https://go.microsoft.com/fwlink/?linkid=870924
Comment:
    P1H Acier 0,65 : 10,35 € 
P1H alu 1 : 15,98 €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ANOUK DUBOIS - U076053</author>
  </authors>
  <commentList>
    <comment ref="D1" authorId="0" shapeId="0" xr:uid="{B5BEE51B-FAA6-4BE2-8D1E-AF83378BEF87}">
      <text>
        <r>
          <rPr>
            <b/>
            <sz val="9"/>
            <color indexed="81"/>
            <rFont val="Tahoma"/>
            <family val="2"/>
          </rPr>
          <t>ANOUK DUBOIS - U076053:</t>
        </r>
        <r>
          <rPr>
            <sz val="9"/>
            <color indexed="81"/>
            <rFont val="Tahoma"/>
            <family val="2"/>
          </rPr>
          <t xml:space="preserve">
le métier doit correspondre à ceux présents dans les onglets "synthèse global" et "prévisionnel".
Par défaut : BVH / SCEG / SOEE/ SPCS / ICDV_SIL / ADTH / DSEE / GMP </t>
        </r>
      </text>
    </comment>
    <comment ref="P1" authorId="0" shapeId="0" xr:uid="{F63A9F84-E1A8-4F64-BA66-1A15768E31C2}">
      <text>
        <r>
          <rPr>
            <b/>
            <sz val="9"/>
            <color indexed="81"/>
            <rFont val="Tahoma"/>
            <family val="2"/>
          </rPr>
          <t>ANOUK DUBOIS - U076053:</t>
        </r>
        <r>
          <rPr>
            <sz val="9"/>
            <color indexed="81"/>
            <rFont val="Tahoma"/>
            <family val="2"/>
          </rPr>
          <t xml:space="preserve">
</t>
        </r>
        <r>
          <rPr>
            <u/>
            <sz val="9"/>
            <color indexed="81"/>
            <rFont val="Tahoma"/>
            <family val="2"/>
          </rPr>
          <t>REF</t>
        </r>
        <r>
          <rPr>
            <sz val="9"/>
            <color indexed="81"/>
            <rFont val="Tahoma"/>
            <family val="2"/>
          </rPr>
          <t xml:space="preserve"> : si la piste est actée en Référence mais qu'elle n'a pas encore été reportée dans le bilan prévisionnel.
</t>
        </r>
        <r>
          <rPr>
            <u/>
            <sz val="9"/>
            <color indexed="81"/>
            <rFont val="Tahoma"/>
            <family val="2"/>
          </rPr>
          <t>BILAN</t>
        </r>
        <r>
          <rPr>
            <sz val="9"/>
            <color indexed="81"/>
            <rFont val="Tahoma"/>
            <family val="2"/>
          </rPr>
          <t xml:space="preserve"> : si la piste REF a été reportée dans le bilan prévisionnel 
</t>
        </r>
        <r>
          <rPr>
            <u/>
            <sz val="9"/>
            <color indexed="81"/>
            <rFont val="Tahoma"/>
            <family val="2"/>
          </rPr>
          <t xml:space="preserve">P1 </t>
        </r>
        <r>
          <rPr>
            <sz val="9"/>
            <color indexed="81"/>
            <rFont val="Tahoma"/>
            <family val="2"/>
          </rPr>
          <t xml:space="preserve">: piste sans enjeu PRF, facile techniquement, probable
</t>
        </r>
        <r>
          <rPr>
            <u/>
            <sz val="9"/>
            <color indexed="81"/>
            <rFont val="Tahoma"/>
            <family val="2"/>
          </rPr>
          <t>P2</t>
        </r>
        <r>
          <rPr>
            <sz val="9"/>
            <color indexed="81"/>
            <rFont val="Tahoma"/>
            <family val="2"/>
          </rPr>
          <t xml:space="preserve"> : piste à faible enjeu PRF ou plus difficile techniquement / moins probable
</t>
        </r>
        <r>
          <rPr>
            <u/>
            <sz val="9"/>
            <color indexed="81"/>
            <rFont val="Tahoma"/>
            <family val="2"/>
          </rPr>
          <t>P3</t>
        </r>
        <r>
          <rPr>
            <sz val="9"/>
            <color indexed="81"/>
            <rFont val="Tahoma"/>
            <family val="2"/>
          </rPr>
          <t xml:space="preserve"> : piste à fort enjeu PRF, ou difficile techniquement, peu probable
</t>
        </r>
        <r>
          <rPr>
            <u/>
            <sz val="9"/>
            <color indexed="81"/>
            <rFont val="Tahoma"/>
            <family val="2"/>
          </rPr>
          <t>ANNULE</t>
        </r>
        <r>
          <rPr>
            <sz val="9"/>
            <color indexed="81"/>
            <rFont val="Tahoma"/>
            <family val="2"/>
          </rPr>
          <t xml:space="preserve"> : piste supprimée
</t>
        </r>
        <r>
          <rPr>
            <u/>
            <sz val="9"/>
            <color indexed="81"/>
            <rFont val="Tahoma"/>
            <family val="2"/>
          </rPr>
          <t xml:space="preserve">ATT </t>
        </r>
        <r>
          <rPr>
            <sz val="9"/>
            <color indexed="81"/>
            <rFont val="Tahoma"/>
            <family val="2"/>
          </rPr>
          <t>: piste en attente de relecture avec le métier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ANOUK DUBOIS - U076053</author>
  </authors>
  <commentList>
    <comment ref="E18" authorId="0" shapeId="0" xr:uid="{00000000-0006-0000-0600-000001000000}">
      <text>
        <r>
          <rPr>
            <b/>
            <sz val="9"/>
            <color indexed="81"/>
            <rFont val="Tahoma"/>
            <family val="2"/>
          </rPr>
          <t>ANOUK DUBOIS - U076053:</t>
        </r>
        <r>
          <rPr>
            <sz val="9"/>
            <color indexed="81"/>
            <rFont val="Tahoma"/>
            <family val="2"/>
          </rPr>
          <t xml:space="preserve">
le métier doit correspondre à ceux présents dans les onglets "synthèse global" et "prévisionnel".
Par défaut : BVH / SCEG / SOEE/ SPCS / ICDV_SIL / ADTH / DSEE / GMP </t>
        </r>
      </text>
    </comment>
  </commentList>
</comments>
</file>

<file path=xl/sharedStrings.xml><?xml version="1.0" encoding="utf-8"?>
<sst xmlns="http://schemas.openxmlformats.org/spreadsheetml/2006/main" count="6153" uniqueCount="1895">
  <si>
    <t xml:space="preserve">SP1 portefolio </t>
  </si>
  <si>
    <t>http://docinfogroupe.inetpsa.com/ead/doc/ref.00987_24_00014/v.vc/fiche</t>
  </si>
  <si>
    <t>BCI_BODY</t>
  </si>
  <si>
    <t>TH</t>
  </si>
  <si>
    <t>IN PROGRESS</t>
  </si>
  <si>
    <t>BCI_DOORS</t>
  </si>
  <si>
    <t>PTF</t>
  </si>
  <si>
    <t>DECIDED</t>
  </si>
  <si>
    <t>BCI_FRSD</t>
  </si>
  <si>
    <t>PRS</t>
  </si>
  <si>
    <t>CANCELED</t>
  </si>
  <si>
    <t>BCI_EMC</t>
  </si>
  <si>
    <t>IN STATUS</t>
  </si>
  <si>
    <t>BCI_SEATS/TRIMS</t>
  </si>
  <si>
    <t>BCI_PDB/CONSOLE</t>
  </si>
  <si>
    <t>BCI_DOORS_INT</t>
  </si>
  <si>
    <t>BCI_CHASSIS</t>
  </si>
  <si>
    <t>SWX_EHE</t>
  </si>
  <si>
    <t>PRS_PHES</t>
  </si>
  <si>
    <t>PRS_PPM</t>
  </si>
  <si>
    <t>PRS_EDM</t>
  </si>
  <si>
    <t>PRS_BATT</t>
  </si>
  <si>
    <t>Topic Nr</t>
  </si>
  <si>
    <t>Creation Date</t>
  </si>
  <si>
    <t>Responsible</t>
  </si>
  <si>
    <t>Functions</t>
  </si>
  <si>
    <t>BVH / PWT / Tophat</t>
  </si>
  <si>
    <t xml:space="preserve">RESp </t>
  </si>
  <si>
    <t>Désignation : Ensemble / Piéces
FR</t>
  </si>
  <si>
    <t>Désignation : Ensemble / Piéces
ENG</t>
  </si>
  <si>
    <t>Description</t>
  </si>
  <si>
    <t>Comments BCI SPC_1</t>
  </si>
  <si>
    <t>Date</t>
  </si>
  <si>
    <t>Mass comments (changes, dates, …)</t>
  </si>
  <si>
    <t>Invest impact</t>
  </si>
  <si>
    <t>TPC Impact (€)</t>
  </si>
  <si>
    <t>Next steps</t>
  </si>
  <si>
    <t>Decision expected for ?</t>
  </si>
  <si>
    <t>COTATION (*)</t>
  </si>
  <si>
    <t>Priorization</t>
  </si>
  <si>
    <t>Confidence %</t>
  </si>
  <si>
    <t>Mass kg (*)</t>
  </si>
  <si>
    <t>Ponderated mass / Ratio (kg*%)</t>
  </si>
  <si>
    <t>O3H HR 63 FWD€</t>
  </si>
  <si>
    <t>O3H XR 80 FWD€</t>
  </si>
  <si>
    <t>O3H XR 80 AWD perfo €</t>
  </si>
  <si>
    <t>O3H MHEV FWD€</t>
  </si>
  <si>
    <t>O3H HEV FWD€</t>
  </si>
  <si>
    <t>O3W 63 kWhu LFP FWD€</t>
  </si>
  <si>
    <t>O3W 80 kWhu NMx FWD€</t>
  </si>
  <si>
    <t>O3W MHEV FWD€</t>
  </si>
  <si>
    <t>O3W HEV FWD€</t>
  </si>
  <si>
    <t>P3S HR 63 FWD€</t>
  </si>
  <si>
    <t>P3S XR 80 FWD€</t>
  </si>
  <si>
    <t>P3S XR 80 AWD perfo €</t>
  </si>
  <si>
    <t>P3S MHEV FWD€</t>
  </si>
  <si>
    <t>P3S HEV FWD€</t>
  </si>
  <si>
    <t>P3W 63 kWhu LFP FWD€</t>
  </si>
  <si>
    <t>P3W 80 kWhu NMx FWD€</t>
  </si>
  <si>
    <t>P3W MHEV FWD€</t>
  </si>
  <si>
    <t>P3W HEV FWD€</t>
  </si>
  <si>
    <t>P3U HR 63 FWD€</t>
  </si>
  <si>
    <t>P3U  XR 80 FWD€</t>
  </si>
  <si>
    <t>P3U XR 80 AWD perfo €</t>
  </si>
  <si>
    <t>P3U MHEV FWD€</t>
  </si>
  <si>
    <t>P3U HEV FWD€</t>
  </si>
  <si>
    <t>J1X SR FWD€</t>
  </si>
  <si>
    <t>J1X MHEV FWD€</t>
  </si>
  <si>
    <t>J1X MHEV AWD€</t>
  </si>
  <si>
    <t>J1X HEV FWD€</t>
  </si>
  <si>
    <t>J2U HR 63 FWD€</t>
  </si>
  <si>
    <t>J2U  XR 80 FWD€</t>
  </si>
  <si>
    <t>J2U MHEV FWD</t>
  </si>
  <si>
    <t>J2U HEV FWD</t>
  </si>
  <si>
    <t>J2U HEV AWD</t>
  </si>
  <si>
    <t>SPC_1</t>
  </si>
  <si>
    <t xml:space="preserve">BIW </t>
  </si>
  <si>
    <t>MICHAEL BORE</t>
  </si>
  <si>
    <t>activ spoiler</t>
  </si>
  <si>
    <t>06/10/2025 sujet à supprimer car pas d'active Spoiler sur le projet SPC_1</t>
  </si>
  <si>
    <t>o</t>
  </si>
  <si>
    <t>TBD</t>
  </si>
  <si>
    <t>301a</t>
  </si>
  <si>
    <t>20/06/2025</t>
  </si>
  <si>
    <t>SP1</t>
  </si>
  <si>
    <t>FRSD</t>
  </si>
  <si>
    <t>Sébastien Bonnefoi (P1H)/
Jean Michel Gabus P1X</t>
  </si>
  <si>
    <t>PC Av / Proj - MS</t>
  </si>
  <si>
    <t>style/brand</t>
  </si>
  <si>
    <t>P1HX : Nouvelle face_Av MS</t>
  </si>
  <si>
    <t>Stratégie projet</t>
  </si>
  <si>
    <t>20/06/2025 Retour frns : Proj MS+1,2kg / PC MS+1kg
28/05/2025 à 50% suite 1er retour frns du Proj / En attente info du PC
06/05/2025 passe à 75%
22/04/2025 RD _S16 : Choix Concept Proj (3 parts)_01353_25_00247
24/03/2025 Impact nvo Style_Feu déporté</t>
  </si>
  <si>
    <t>Pantographe capot</t>
  </si>
  <si>
    <t>hood Pantographe</t>
  </si>
  <si>
    <t>imposé par le style</t>
  </si>
  <si>
    <t xml:space="preserve">10/10/2025
référence projet col de cygne, mais demande PEDPRO de Pantographe
11/10/2024
QCTP Pantograh hood hinge =&gt;https://docinfogroupe.stellantis.com/ead/doc/ref.21007_24_00151/v.vc/fiche
</t>
  </si>
  <si>
    <t>PM</t>
  </si>
  <si>
    <t xml:space="preserve">Pare choc </t>
  </si>
  <si>
    <t xml:space="preserve">front &amp; rear bumper </t>
  </si>
  <si>
    <t xml:space="preserve">nouvelle politique GPC </t>
  </si>
  <si>
    <t xml:space="preserve">06/10/2025 Pas de PORO
</t>
  </si>
  <si>
    <t>(-6)</t>
  </si>
  <si>
    <t>INT - PDB/CONSOLE</t>
  </si>
  <si>
    <t>FREDERIC BRUNIER</t>
  </si>
  <si>
    <t>PdB/Console UPPER</t>
  </si>
  <si>
    <t>Dashboard/Upper console</t>
  </si>
  <si>
    <t>Chgt de matière (passage du TD 12 vierge au TD12 recyclé / passage du MD20 au TD28 green)</t>
  </si>
  <si>
    <t>CP P1H Sébastien Dupuis
24/06/2025 à confirmer avec Sébastien car attente panneau SYNC5 et MAJ de la masse</t>
  </si>
  <si>
    <t>05/06/2025 	Planche de Bord : +0.280 kg / Console UPPER : +0.147 kg et +0.260 kg</t>
  </si>
  <si>
    <t>01/04/2025</t>
  </si>
  <si>
    <t>Door panel</t>
  </si>
  <si>
    <t>Panneau de porte</t>
  </si>
  <si>
    <t>Suppression Textile Fabric</t>
  </si>
  <si>
    <t>CP P1H Sébastien Dupuis
23/06/25 LM : Vu avec Frédéric refusé par SP1 - A confirmer pour SPC</t>
  </si>
  <si>
    <t>01/04/2025 FOAM nécessaire pour process/frn. Et Risque d'ajout d'un tissu embossé sur Portes AV - Demande STYLE, TT niveau -(PTM/VSM)
15/11/2024 Suppression FOAM
14/03/2024 Line-up V9</t>
  </si>
  <si>
    <t>Pdb_suppression du foam sur les décors textiles</t>
  </si>
  <si>
    <t>suppression du foam sur les décors textiles</t>
  </si>
  <si>
    <t>01/04/2025 Idem Pano Porte
20/09/2024 Passage en PT/VSM CW40
05/09/2024 A revoir avec Guillaume
14/03/2024 Line-up V9</t>
  </si>
  <si>
    <t>FRANK BAILLON</t>
  </si>
  <si>
    <t xml:space="preserve">Doublure pied central </t>
  </si>
  <si>
    <t>B pillar inner</t>
  </si>
  <si>
    <t>stratégie embout
Mise en panoplie avec Seatbelt return fix reinforcer</t>
  </si>
  <si>
    <t xml:space="preserve">06/10/2025 a reboucler avec l'embout - Mickael
Ludovic DASNOIS
</t>
  </si>
  <si>
    <t>DTM PM-CM</t>
  </si>
  <si>
    <t>26/06/2025 a reboucler après hypothèse projet</t>
  </si>
  <si>
    <t>-350K€</t>
  </si>
  <si>
    <t>x</t>
  </si>
  <si>
    <t>Train ar ML : écran aero</t>
  </si>
  <si>
    <t xml:space="preserve">Rr axle ML </t>
  </si>
  <si>
    <t>Demande ajout écran aero sur bras train ML</t>
  </si>
  <si>
    <t>27/11/2025 : Présentation en VSM/PTM. Gain important en Aero, mais cout important (+3,5€). Besoin à confirmer après essai, pas en ref en ce moment. Nouvelle estimation à 0,5 kg
03/10/2025 : Aero demande des écrans sur les bras du ML. Demande à confirmer.</t>
  </si>
  <si>
    <t>11/06/2025</t>
  </si>
  <si>
    <t>DIW</t>
  </si>
  <si>
    <t>Filipe Goncalves (P1H)/
Cyrille P1X</t>
  </si>
  <si>
    <t>Rft Choc LAT Porte AV</t>
  </si>
  <si>
    <t>BIW/ DIW process</t>
  </si>
  <si>
    <t>Embout à chaud  PHS950 YS1500T =&gt; PHS1400-Y1800T  
et réduction épaisseur</t>
  </si>
  <si>
    <t>déjà intégré dans la BDD SP2 - ligne à supprimer</t>
  </si>
  <si>
    <t>02/07/2025 CANCELLED : Ep.mini déjà atteinte (chgt de matière possible mais aurait nécessité une dimintution d'épasisseur)
11/06/2025 A ré-évaluer
04/11/2024 Idem post Go-Calcul SYNC3
08/07/2024 Retour calcul SYNC3 (Go calcul Nov =&gt; 2025?)
Pièce en Embout à chaud</t>
  </si>
  <si>
    <t>Rear quarter GLASS</t>
  </si>
  <si>
    <t>Part addition for style</t>
  </si>
  <si>
    <t xml:space="preserve">06/10/2025 OK pour P3U et J2U
</t>
  </si>
  <si>
    <t>PM-CM</t>
  </si>
  <si>
    <t>690K€</t>
  </si>
  <si>
    <t>SWX/EE</t>
  </si>
  <si>
    <t>Goulotte faisceaux moteur</t>
  </si>
  <si>
    <t>ENGINE CABLE DUCT</t>
  </si>
  <si>
    <t>Optimisation</t>
  </si>
  <si>
    <t>25/09/2024 : Compté dans le périmètre TH.
18/07/2024 : issu GT EE scope du 15/07/2024</t>
  </si>
  <si>
    <t>25/09/2024</t>
  </si>
  <si>
    <t>ICDV</t>
  </si>
  <si>
    <t>Pneu</t>
  </si>
  <si>
    <t>Optim de masse 17" et 18"</t>
  </si>
  <si>
    <t>25/09/2024 reporté S40
02/09/2024 besoin anayse VDYN 
12/06/2024 New / attente retour frns</t>
  </si>
  <si>
    <t>08/04/2025</t>
  </si>
  <si>
    <t>Franck Baillon (SP1)/
Cyrille P1X</t>
  </si>
  <si>
    <t>Zone Auvent</t>
  </si>
  <si>
    <t>new part</t>
  </si>
  <si>
    <t>Ajout pièces</t>
  </si>
  <si>
    <t>???? Déjà sur SP2</t>
  </si>
  <si>
    <t>08/04/2025 Détail : Finition LAT D/G Grille Entrée Air / Grille Entrée Air / Deflect Eau / Etanchéité D/G Grille / Conduit Entrée Air
22/11/2024 Complétude de BOM</t>
  </si>
  <si>
    <t>06/06/2025</t>
  </si>
  <si>
    <t>PC Av/Ar</t>
  </si>
  <si>
    <t>Front/Rear bumper</t>
  </si>
  <si>
    <t>P1X</t>
  </si>
  <si>
    <t>traité en PORO dépend du style</t>
  </si>
  <si>
    <t>06/06/2025 PC P1X avec Air-Curtain</t>
  </si>
  <si>
    <t>Batterie 12V</t>
  </si>
  <si>
    <t xml:space="preserve">12V battery </t>
  </si>
  <si>
    <t>Retour fournisseur en fonction de niv equipement</t>
  </si>
  <si>
    <t>25/09/2024 : batterie EFR L2 sur niv1. La masse absolue dépend du fournisseur. 
24/06/2024 : Retour fournisseur</t>
  </si>
  <si>
    <t>09/07/2024</t>
  </si>
  <si>
    <t>PWT</t>
  </si>
  <si>
    <t>ANTOINE SAINT MARCOUX</t>
  </si>
  <si>
    <t>Batterie RR/SR/HR</t>
  </si>
  <si>
    <t>HR battery</t>
  </si>
  <si>
    <t>2 topics : Remove Fuse FO -0,3kg + Volume increase +1kg</t>
  </si>
  <si>
    <t>09/07/2024 New</t>
  </si>
  <si>
    <t>Batterie HR</t>
  </si>
  <si>
    <t>26/09/2025 Brackets : inc ds le STATUS
24/07/2025 2 sujets new : Bracket reinforct -2kg / Alu Busbar-3 (50%)
09/07/2024 New</t>
  </si>
  <si>
    <t>INT - SEATS/TRIMS</t>
  </si>
  <si>
    <t>HALIM</t>
  </si>
  <si>
    <t>Isolant Tapis</t>
  </si>
  <si>
    <t>Carpet insulation</t>
  </si>
  <si>
    <t>Insono Tapis pour le ThermalRunaway</t>
  </si>
  <si>
    <t>24/06/2025 à vérifier plus tard</t>
  </si>
  <si>
    <t>SFM</t>
  </si>
  <si>
    <t>08/04/2025 GT_calcul : Risque levé pour P1H-SR / Reste pour HR et XR
18/03/2025 Coord_STLAS : Pour P1h=7pièces =&gt; +1,5kg ; +4€ // Pour P1X +2pièces
19/11/2024 Risque SYNC3 (Estim 1,2*1,9 / 650gr/m²:GlassMAT™HTX isolation thermique et phonique des compartiments moteur)</t>
  </si>
  <si>
    <t>107b</t>
  </si>
  <si>
    <t>08/10/2024</t>
  </si>
  <si>
    <t>Cable mode3 (7kW)</t>
  </si>
  <si>
    <t>Passage en option/APV</t>
  </si>
  <si>
    <t>08/10/2024 : Proposition de mettre le cable en option lors de l'achat (forcée par défaut dans le cnfigurateur avec possibilité de le supprimer).
25/09/2024 : Interdit par la politique tech pour le passage APV (Julien Grand clerc / Alain Lefevre sollicités pour offi).
19/06/2024 : en cours sur SP1 et sur SP2
13/03/2024 ECMP &gt; APV</t>
  </si>
  <si>
    <t>188a</t>
  </si>
  <si>
    <t>28/05/2025</t>
  </si>
  <si>
    <t>Aile/Capot P1X</t>
  </si>
  <si>
    <t>Nvo STYLE</t>
  </si>
  <si>
    <t>28/05/2025 CHANTIER MASSE : Nvo Styl, en attente design
25/04/2024 : pas de modif style =&gt; A annuler pour P1H.
27/03/2024 New WS S14</t>
  </si>
  <si>
    <t>45b</t>
  </si>
  <si>
    <t>PHES</t>
  </si>
  <si>
    <t>Optimisation des supports PHES</t>
  </si>
  <si>
    <t xml:space="preserve">support optim </t>
  </si>
  <si>
    <t>STEP2 : Optimize thickness</t>
  </si>
  <si>
    <t>11/09/2024 : Travaux en cours</t>
  </si>
  <si>
    <t>45c</t>
  </si>
  <si>
    <t>SUPPORT MULTIFONCTION AR G BATTERIE TRACTION</t>
  </si>
  <si>
    <t xml:space="preserve">STEP2 : Optimize thickness
valeur initiale : 0,847 kg </t>
  </si>
  <si>
    <t>09/12/2025 : Proposition de créer une diversité entre les versions AWD et FWD pour tous les HR</t>
  </si>
  <si>
    <t>Portes</t>
  </si>
  <si>
    <t>Impact masse demande DIR pour diminuer la diversité (ép. : dizaine supérieure)</t>
  </si>
  <si>
    <t>06/02/2026LM
Pas concerné</t>
  </si>
  <si>
    <t>06/06/2025 Niveau de risk diminué à 25%, Final step : fin de SYNC3
04/11/2024 Décalage planning &gt; Post Go_Calcul 
12/07/2024 En attente des résultats SYNC3
21/03/2024 A valoriser suite aux résultats SYNC2 (voir avec RM)
14/03/2024 New / A décider avant engagement SYNC3</t>
  </si>
  <si>
    <t>93B</t>
  </si>
  <si>
    <t>BIW</t>
  </si>
  <si>
    <t>BIW : CHOC</t>
  </si>
  <si>
    <t>risk perfo</t>
  </si>
  <si>
    <t>Rft 3é voie</t>
  </si>
  <si>
    <t>Bilan Choc dira si on peut appliquer aussi</t>
  </si>
  <si>
    <t>08/04/2025 Scénario choc tt SP1 : Dbl Aile AV &amp; Rft Abv Cote HAB (+0,888kg)
03/09/2024 En attente travaux Base sur la 3ée voie … Synthèse idem P1H ! (0,5kg à 50%)
25/04/2024 : Suite choc frontal SYNC1 .Risque ajout raidisseu
13/03/2024 maj
01/02/2024 Ptf</t>
  </si>
  <si>
    <t>Doublure custode</t>
  </si>
  <si>
    <t>Lower quarter inner</t>
  </si>
  <si>
    <t>stratégie embout
Mise en panoplie avec Upper rear inner quarter</t>
  </si>
  <si>
    <t>-400K€</t>
  </si>
  <si>
    <t>Doublure panneau AR</t>
  </si>
  <si>
    <t>Rear Inner pannel</t>
  </si>
  <si>
    <t>stratégie embout
Mise en panoplie avec Closing</t>
  </si>
  <si>
    <t>-500K€</t>
  </si>
  <si>
    <t>Ins Passe de roue AR</t>
  </si>
  <si>
    <t>optim design</t>
  </si>
  <si>
    <t>Ins Passe de roue AR : New</t>
  </si>
  <si>
    <t>02/03/2026 LM 
Meeting CW10</t>
  </si>
  <si>
    <t>18/06/2024</t>
  </si>
  <si>
    <t>Garniture Raidisseur Pavillon</t>
  </si>
  <si>
    <t xml:space="preserve">Dossier RFQ (obj masse) =&gt; A verifier dans la BDD </t>
  </si>
  <si>
    <t>24/06/2025 à checker en RFQ avec les FNR</t>
  </si>
  <si>
    <t>18/06/2024 Dossier RFQ : Masses sup</t>
  </si>
  <si>
    <t>99c</t>
  </si>
  <si>
    <t>26/08/2024</t>
  </si>
  <si>
    <t>Ens PWT HR + 11kW</t>
  </si>
  <si>
    <t>HR Bat / FWD S EDM / IDCM 11kW</t>
  </si>
  <si>
    <t>26/08/2024 Status maj &gt; Ptf en Risque =&gt; Echéance C-sample : date ?
08/07/2024 Mass updated CW27 / maj en cours</t>
  </si>
  <si>
    <t>9b</t>
  </si>
  <si>
    <t>Optimisation des écrans sous caisse</t>
  </si>
  <si>
    <t xml:space="preserve">optim phase 2 </t>
  </si>
  <si>
    <t>Optimisation de dessin</t>
  </si>
  <si>
    <t>17/11/2025 : Config P1H figée.
17/07/2025 : Pas de casse d'écran (ecran ar cassé mais à priori non conforme). Attente retour QAU pour voir si déformation ok.
07/07/2025 : Ecran actuellement trop souple. Besoin d'essai de passage au gué pour etat des lieux (cette semaine). Voir avec JC si masse des ecrans dans la BOM est conforme de la techno Mussel.
20/11/2024 : Consultation en cours. Certains fournisseurs propose la techno Mussel : injecte de l'air dans la matière pour avoir de l'épaisseur sans masse (permet d'avoir de la raideur et de réduire le besoin de nervurage). Choix fournisseur début avril 2025.
23/10/2024 : Design avant essai 
23/09/2024 : Piste maximisée</t>
  </si>
  <si>
    <t>11/02/2025</t>
  </si>
  <si>
    <t>Actionneur volant direction filaire (SBW uniquement)</t>
  </si>
  <si>
    <t>Steer-by-wire steering wheel actuator (SBW only)</t>
  </si>
  <si>
    <t>Optimisation fournisseur</t>
  </si>
  <si>
    <t>11/02/2025 : Pb en collapse vu en simu qui risque d'augmenter la masse. Essai physique cette semaine à Turin. Existe une solution en simu qui resout le problème -&gt; à chiffrer S08 + passage en VSM/PTM S07 pour valider ECR chez le fournisseur
7/25/2024 : GT presta S30 : Convergence presque à la cible avec une estimation masse à 7.3 kg ald 8 kg en cible. Il reste des implementation à faire mais probablement pas à la hauteur des +0.7 d'écart.</t>
  </si>
  <si>
    <t>Optimisation reponse en frequence</t>
  </si>
  <si>
    <t>11/02/2025 : Solution fer à cheval choisie. Retour cette semaine pour la faisa.
03/10/2024 : Essai prévu S40 mais pb appro pièce.
28/08/2024 : Travail en cours sur la traverse PdB. Simu et essais en cours. Délai a voir avec Philippe Vannier et Olivier en GT Prestation.
7/25/2024 : GT presta S30 : Convergence presque à la cible avec une estimation masse à 7.3 kg ald 8 kg en cible. Il reste des implementation à faire mais probablement pas à la hauteur des +0.7 d'écart.</t>
  </si>
  <si>
    <t>Zone Brancard</t>
  </si>
  <si>
    <t>Side rail area</t>
  </si>
  <si>
    <t>11/02/2025 : Passage du sujet en VSM/PTM S07 pour décider.
03/12/2024 : GT conception : eval précise après calcul : estimation à +0,7 kg hors tablier (valable TT). Epaisseur tablier à passer en 0,9 ald 0,7 --&gt; +0,9 kg (impact seulement sur P1H, P1X déjà en 0,9).
20/11/2024 : Pb de choc après reception MaJ modèles de choc. Dessin en cours, calcul d'ici 2 ou 3 semaines.</t>
  </si>
  <si>
    <t>Damper</t>
  </si>
  <si>
    <t>TPC</t>
  </si>
  <si>
    <t>Remove sur Chiller, TMM, Compresseur.</t>
  </si>
  <si>
    <t>29/10/2025 : Essais  12/2025
11/09/2024 : Piste TPC. Gains suivant essai NVH à venir.</t>
  </si>
  <si>
    <t>01/09/024</t>
  </si>
  <si>
    <t>Montant de baie</t>
  </si>
  <si>
    <t>Windscreen pillar reinforcer</t>
  </si>
  <si>
    <t>stratégie embout
Mise en panoplie avec Roof Arch reinforcement</t>
  </si>
  <si>
    <t>Longeron</t>
  </si>
  <si>
    <t>SILL</t>
  </si>
  <si>
    <t>Reduction feuillure inf longeron</t>
  </si>
  <si>
    <t>11/02/2025 : A passer en RD suite accord de toutes les parties.
07/01/2025 : reduction de la hauteur de feuillure de 9mm (6mm sur TH) pour un gain de 0,540 kg (-0,35 kg sur PTF et -0,19 kg sur TH)</t>
  </si>
  <si>
    <t>Longeronnet AV</t>
  </si>
  <si>
    <t>Front sub-frame</t>
  </si>
  <si>
    <t>Besoin de raideur dyn</t>
  </si>
  <si>
    <t>11/02/2025 : Besoin de raideur dyn</t>
  </si>
  <si>
    <t>Optimasse phase 3 P1X</t>
  </si>
  <si>
    <t>Underbody  optimization</t>
  </si>
  <si>
    <t>07/11/2025 : hypothèse de reduction de 0,05mm sur les tôles entre 0,7 et 1,6.</t>
  </si>
  <si>
    <t>24/04/2025</t>
  </si>
  <si>
    <t>Traverse planche de bord</t>
  </si>
  <si>
    <t>Renforcement</t>
  </si>
  <si>
    <t>CP P1H Sébastien Dupuis
24/06/2025 à confirmer avec Sébastien</t>
  </si>
  <si>
    <t>24/04/2025 Tenue NVH / Vibration</t>
  </si>
  <si>
    <t>Inner Windscreen pillar</t>
  </si>
  <si>
    <t>stratégie embout
Mise en panoplie avec Inner Roof Arch</t>
  </si>
  <si>
    <t>-250K€</t>
  </si>
  <si>
    <t>Pavillon AR</t>
  </si>
  <si>
    <t>Rear roof reinforcer</t>
  </si>
  <si>
    <t>stratégie embout
Mise en panoplie avec Crossmenber</t>
  </si>
  <si>
    <t xml:space="preserve">feu AR T2 </t>
  </si>
  <si>
    <t>rear central lamp T2</t>
  </si>
  <si>
    <t>estimation entre 2 FNR</t>
  </si>
  <si>
    <t>13/03/2026 LM</t>
  </si>
  <si>
    <t>(-59,31)</t>
  </si>
  <si>
    <t>HVAC</t>
  </si>
  <si>
    <t>Augmentation des performances</t>
  </si>
  <si>
    <t>07/03/2025 : Décision d'ajout d'aillettes et augmentation du radiateur. Valeur reelle à avoir après convergence archi.</t>
  </si>
  <si>
    <t>Renfort Aile AV</t>
  </si>
  <si>
    <t>Front fender reinforcer</t>
  </si>
  <si>
    <r>
      <t xml:space="preserve">Removal - </t>
    </r>
    <r>
      <rPr>
        <i/>
        <sz val="10"/>
        <color theme="1"/>
        <rFont val="Calibri"/>
        <family val="2"/>
        <scheme val="minor"/>
      </rPr>
      <t>Wait SYNC1 simulation P1H</t>
    </r>
  </si>
  <si>
    <t>20/03/2026 a reboucler avec Cédric Choffel (DRE)
LM 29/09/25
Attente Style mais pas de Renfort à aujourd'hui à reboucler avec Junghee</t>
  </si>
  <si>
    <t>302a</t>
  </si>
  <si>
    <t>25/03/2025</t>
  </si>
  <si>
    <t>Appui cric</t>
  </si>
  <si>
    <t>Optim Longeron</t>
  </si>
  <si>
    <t>Si application SP1 ok SPC</t>
  </si>
  <si>
    <t xml:space="preserve">25/03/2025 Transfert PtF Appui cric au TH : Fermeture Av Longeron </t>
  </si>
  <si>
    <t>302c</t>
  </si>
  <si>
    <t>Battery housing HR</t>
  </si>
  <si>
    <t>Renfort vs choc lateral</t>
  </si>
  <si>
    <t>04/02/2026 : renforcement du bac batterie pour eviter les contacts avec les busbar en choc latéral.</t>
  </si>
  <si>
    <t>SYNC3+</t>
  </si>
  <si>
    <t>Addon ChoC FR</t>
  </si>
  <si>
    <t>A checker pour SPC</t>
  </si>
  <si>
    <t>01/07/2025 2Synthèse différente =&gt; CANCELLED
08/04/2025 Périmètre SYNC3+, add-ons au sujet 93B : : raidisseur inf pied avant, +0,341kg</t>
  </si>
  <si>
    <t>Pare-Boue AR</t>
  </si>
  <si>
    <t>Mudguards</t>
  </si>
  <si>
    <t>P1H : Pare-Boue AR - version textil au lieu d'injecté. Avec patch NVH</t>
  </si>
  <si>
    <t>24/03/2026 LM
point CW 15 pour retour</t>
  </si>
  <si>
    <t>500K€</t>
  </si>
  <si>
    <t>DECISION ?</t>
  </si>
  <si>
    <t>Aerofin</t>
  </si>
  <si>
    <t xml:space="preserve">Impact aerofin sur tolerie de volet suite choix de concept aerofin embarqué sur volet </t>
  </si>
  <si>
    <t>LM 31/01/2026
A abandonner car toit bi-ton
06/10/2025 
P3U Aerofin sur volet plastique
J2U pas d'Aerofin sur volet tôle
J1X sur volet tôle 
sujet à reboucler plus tard suvant le style, peu de gain masse</t>
  </si>
  <si>
    <t xml:space="preserve">enjoliveur noir si feu AR T2 supp </t>
  </si>
  <si>
    <t>black trim</t>
  </si>
  <si>
    <t>06/10/2025 Pas de PORO
et T2 tout type, donc ligne à supprimer</t>
  </si>
  <si>
    <t>CM poro signature</t>
  </si>
  <si>
    <t>(15)</t>
  </si>
  <si>
    <t xml:space="preserve">PTF </t>
  </si>
  <si>
    <t>Compsite rear floor</t>
  </si>
  <si>
    <t>Raw material Change</t>
  </si>
  <si>
    <t>Matetrial Change</t>
  </si>
  <si>
    <t>10/10/2025 a reboucler avec la base Nicolas Tessier</t>
  </si>
  <si>
    <t>03/06/2025</t>
  </si>
  <si>
    <t>Laurent  VILLA</t>
  </si>
  <si>
    <t>Garniture Volet….</t>
  </si>
  <si>
    <t>Tailgate trim...</t>
  </si>
  <si>
    <t>Optim idem P1H</t>
  </si>
  <si>
    <t>24/06/2025 Laurent reboucle avec Sébatien Carrier
sur SPC volet plastique donc pas de garniture latérale</t>
  </si>
  <si>
    <t>18/07/2025 Suite RD CW29(Volet Plastique) =&gt; Annulé
03/06/2025 CHANTIER : Garn inf revue maj à-0,2kg (ald-0,9kg) // Uniqut si volet ACIER !
28/05/2025 CHANTIER MASSE : Idem P1H (Garn Vole- 0,9kg / Lat -0,64kg / Sup -0,260kg)</t>
  </si>
  <si>
    <t>celui</t>
  </si>
  <si>
    <t>Herve robert</t>
  </si>
  <si>
    <t xml:space="preserve">longeron composite </t>
  </si>
  <si>
    <t>Composite side member reinforcement</t>
  </si>
  <si>
    <t>20/06/25 : - 7,2 kg / nouvelle ref =&gt; Side crash reinforcement (retour FNR CW25 2025 -7,2kg à -4,6kg)
14/03/2024 : Workshop mass</t>
  </si>
  <si>
    <t xml:space="preserve">TOOLING
</t>
  </si>
  <si>
    <t>106€+60€</t>
  </si>
  <si>
    <t>Aile avant Alu</t>
  </si>
  <si>
    <t>06/03/2026 LM : pas d'aile alu pour P3U - à supprimer
10/10/2025 a reboucler avec la base Benoit Allais</t>
  </si>
  <si>
    <t>800k€</t>
  </si>
  <si>
    <t>Hervet Lambin</t>
  </si>
  <si>
    <t>Portes Alu</t>
  </si>
  <si>
    <t>Door</t>
  </si>
  <si>
    <t>10/10/2025 refusé par le projet
ligne à supprimer</t>
  </si>
  <si>
    <t>317a</t>
  </si>
  <si>
    <t>P2P</t>
  </si>
  <si>
    <t>03/06/2025 CHANTIER MASSE :  Revoir la décli</t>
  </si>
  <si>
    <t>WS</t>
  </si>
  <si>
    <t>317b</t>
  </si>
  <si>
    <t>P2P (supports)</t>
  </si>
  <si>
    <t>Revoir la diversité</t>
  </si>
  <si>
    <t>03/06/2025 CHANTIER MASSE : Supprimer les supports du TT &gt; Impact sur la diversité des GLC</t>
  </si>
  <si>
    <t>Damien Demougeot/
Hervet Lambin</t>
  </si>
  <si>
    <t>Module de Porte AV et AR</t>
  </si>
  <si>
    <r>
      <rPr>
        <b/>
        <sz val="10"/>
        <rFont val="Calibri"/>
        <family val="2"/>
        <scheme val="minor"/>
      </rPr>
      <t xml:space="preserve">13/03/2026 LM en cours d'application
20/02/2026 LM - application non confirmé en CW 08_26
</t>
    </r>
    <r>
      <rPr>
        <sz val="10"/>
        <rFont val="Calibri"/>
        <family val="2"/>
        <scheme val="minor"/>
      </rPr>
      <t xml:space="preserve">06/02/2026 LM - Réunion pour validation de l'application en CW 07_26
24/10/2025 Après calcul par le métier, pas de gain masse sur cet item - sujet stain by
10/10/2025 à reboucler avec Herve Lambin </t>
    </r>
  </si>
  <si>
    <t>06/02/2026 LM
sujet déjà appliqué sur SPC_1
sujet à supprimer
10/10/2025 à reboucler avec Herve Lambin 
question à revérifier pour SPC-1</t>
  </si>
  <si>
    <t>Rft Choc LAT Porte D/G   AR</t>
  </si>
  <si>
    <t>Hot Stamping lat reinfor</t>
  </si>
  <si>
    <t>Embout à chaud</t>
  </si>
  <si>
    <t>SP2</t>
  </si>
  <si>
    <t>Pivot alu</t>
  </si>
  <si>
    <t>Longitudinal member</t>
  </si>
  <si>
    <t>Changement de matière</t>
  </si>
  <si>
    <t>14/03/2024 : Workshop mass</t>
  </si>
  <si>
    <t>Insono Coffre Rds</t>
  </si>
  <si>
    <t>Trunk soundproofing (Rds)</t>
  </si>
  <si>
    <t>TRUNK SOUNDPROOF</t>
  </si>
  <si>
    <t>02/03/2026 LM à Supprimer car non appliqué sur P3U
24/06/2025 à checker en RFQ avec les FNR</t>
  </si>
  <si>
    <t>06/06/2025 Que sur le ML !
23/05/2025 A supprimer TT</t>
  </si>
  <si>
    <t>Rear Crashbeam</t>
  </si>
  <si>
    <t>STEP 2 : Ecart concurrence. -3 kg</t>
  </si>
  <si>
    <t>Portes ALU</t>
  </si>
  <si>
    <t>Aluminum doors</t>
  </si>
  <si>
    <t>Pavillon ALU</t>
  </si>
  <si>
    <t xml:space="preserve">Alloy  roof </t>
  </si>
  <si>
    <t>97a</t>
  </si>
  <si>
    <t>SAC AR</t>
  </si>
  <si>
    <t>Rear Repair Beam</t>
  </si>
  <si>
    <t>Optimisation vs Choc_répa =&gt; voir classe d'assurance !</t>
  </si>
  <si>
    <t>97b</t>
  </si>
  <si>
    <t>Alloy =&gt; Plastic def</t>
  </si>
  <si>
    <t>Moteur elec (EDM)</t>
  </si>
  <si>
    <t>EDM</t>
  </si>
  <si>
    <t>EDM mass reduction portfolio under investigation for C sample :  -2,5kg potential at EDM side
Rotor/stator length reduction : around -2kg (20% confidence). Investigation started. : Go/No Go CW37
Housing optimisation : -0,5 Kg (20% confidence) balance between mass reduction, NVH and stiffness impact to optimize and evaluate :_x000B_Go/No Go CW34</t>
  </si>
  <si>
    <t>Battery 80kWhu</t>
  </si>
  <si>
    <t>80kWhu chemistry 577-&gt;615Wh/L</t>
  </si>
  <si>
    <t>techno BCI</t>
  </si>
  <si>
    <t>perimeter to be defined</t>
  </si>
  <si>
    <t>Front &amp; rear  Crashbeam</t>
  </si>
  <si>
    <t>STEP2 : change to alu</t>
  </si>
  <si>
    <t>Li-ON / L1 / AGS</t>
  </si>
  <si>
    <t>Aile ALU</t>
  </si>
  <si>
    <t>Fr Fender ALLOY</t>
  </si>
  <si>
    <t>Alloy ald Steel</t>
  </si>
  <si>
    <t>setp 3</t>
  </si>
  <si>
    <t>Volet</t>
  </si>
  <si>
    <t xml:space="preserve">Steel tailgate </t>
  </si>
  <si>
    <t>08/10/2024: BDD à jour
plastic</t>
  </si>
  <si>
    <t>PM CW30</t>
  </si>
  <si>
    <t xml:space="preserve">techno BCI </t>
  </si>
  <si>
    <t>emboutissage à chaud, colle, etc ..</t>
  </si>
  <si>
    <t>11/04/2024 : Workshop mass</t>
  </si>
  <si>
    <t>FREDERIC GUINGAND</t>
  </si>
  <si>
    <t>Triangle alu</t>
  </si>
  <si>
    <t>Doublon</t>
  </si>
  <si>
    <t>?</t>
  </si>
  <si>
    <t xml:space="preserve">Step1 </t>
  </si>
  <si>
    <t>Insono Tablier Habitacle</t>
  </si>
  <si>
    <t>Cabin firewall soundproofing</t>
  </si>
  <si>
    <t>Insono tablier habitacle (Spécifique FNR ADLER "Le MAPLITE", brevet). Masse à communiquée par Laurent. Attente RFQ). (-10% de masse &amp; -10% de TPC)</t>
  </si>
  <si>
    <t>Check avec le fournisseur</t>
  </si>
  <si>
    <t>Cable mode3</t>
  </si>
  <si>
    <t>to be removed to MOPAR</t>
  </si>
  <si>
    <t>23/07/24 : Mode 3 (11kW) 
14/03/2024 : Workshop mass</t>
  </si>
  <si>
    <t>Pavillon</t>
  </si>
  <si>
    <t>Headliner</t>
  </si>
  <si>
    <t>Pavillon sans interface poignées sur la version SERENITY LONG RANGE. Actuellement, les 4 poignées sont en référence sans diversité</t>
  </si>
  <si>
    <t>02/03/2026 LM à Supprimer car non appliqué sur P3U
24/06/2025 à vérifier plus tard
Proposition d'enlever 2 poignées selon la déclinaison.*
 A partager avec le produit si accord</t>
  </si>
  <si>
    <t>CM</t>
  </si>
  <si>
    <t>Enjoliveur passage de roue</t>
  </si>
  <si>
    <t>Wheel Cladding</t>
  </si>
  <si>
    <t>Remove Wheel claddings (like D41) : -0,5kg / part</t>
  </si>
  <si>
    <t>24/09/2024 LM - dossier chez le style
Préciser les voitures qui embarquent
QCDP rocker trim + warning same front mudguard</t>
  </si>
  <si>
    <t>-1638K€</t>
  </si>
  <si>
    <t>(-21.2)</t>
  </si>
  <si>
    <t>Raidisseur</t>
  </si>
  <si>
    <t>Stiffener</t>
  </si>
  <si>
    <t>Si Renfort choc lat en EMB à chaud : Suppression raidisseurs --&gt; Attente résultat SYNC1 SP1 pour confirmer si suppression possible sans passer les renfort choc lat en EMBOUT à chaud</t>
  </si>
  <si>
    <t>28/04/2025 lm : sujet appliqué BDD OK à passer à decided avec Stéphane
QCDP SP1 ok : -1,65kg</t>
  </si>
  <si>
    <t>preciser le sujet ?</t>
  </si>
  <si>
    <t>+224 K€</t>
  </si>
  <si>
    <t>IDCM</t>
  </si>
  <si>
    <t>Pour P1X_HR : Passage en 7kW</t>
  </si>
  <si>
    <t>+183€</t>
  </si>
  <si>
    <t>Supports Complémentaires</t>
  </si>
  <si>
    <t>Provision pour risques d'ajout de support</t>
  </si>
  <si>
    <t>19/06/2024 : L'etat actuel de l'architecture permet de dire qu'il n'y aura plus de support complémentaire.
23/10/2023 : Création de la piste</t>
  </si>
  <si>
    <t xml:space="preserve">Becquet </t>
  </si>
  <si>
    <t>remove spolier</t>
  </si>
  <si>
    <t>Remove spoiler (BDD : 4,23 Kg = masse P24 sans le CHMSL, Becquet C41 : 2,2 Kg masse PLM)</t>
  </si>
  <si>
    <t>Gain masse quand on passe d’un spoiler type P24 à un spoiler C41 "plus simple" (sans faisceaux….) --&gt; Déjà appliqué et passé en ref BDD le 02/07/2024</t>
  </si>
  <si>
    <t xml:space="preserve">24/09/2024 -LM- A passer en decided
A presicer : spolier en REF </t>
  </si>
  <si>
    <t>invest volet plastique</t>
  </si>
  <si>
    <t>Circuit d'eau</t>
  </si>
  <si>
    <t>Retours fournisseurs</t>
  </si>
  <si>
    <t>10/04/2024 : Fournisseur choisi. Bilan à faire.
14/02/2024 : Toujours pas choisi. Demande d'avoir 2 fournisseurs différents dont un typé plastique/caoutchouc pour gagner de la masse si opportunité de passer en plastique.
13/12/2023 : début des retours fournisseurs. Pb de choix des fournisseurs dans des pays qui ne maitrisent pas forcement les dernières tech moins lourdes.
23/10/2023 : Création de la piste</t>
  </si>
  <si>
    <t>Boite à gant</t>
  </si>
  <si>
    <t>Glove boxe</t>
  </si>
  <si>
    <t>Add requested by ADTH</t>
  </si>
  <si>
    <t>29 juillet 2024 : intergé dans la BDD O3H
Changement de la pondération de 75% à 100%</t>
  </si>
  <si>
    <t>RHD/LHD-FABRIC/PLASTIC</t>
  </si>
  <si>
    <t>230K€*4</t>
  </si>
  <si>
    <t>Convertisseur DCDC SBW</t>
  </si>
  <si>
    <t>Risque vis-à-vis du choix du fournisseu</t>
  </si>
  <si>
    <t>30/04/2024 : Choix repossé en mai. VMAX : 2,7 kg (seul fournisseur valable, le moins lourd mais irrecevable techniquement est à 1,65kg)  
10/04/2024 : Choix repoussé à mi avril
13/12/2023 : Plage de retour fournisseur allant jusqu'à 1,4 kg. Fin choix fournisseur fin fevrier.
22/11/2023 :  RFQ très tardive. Il existe actuellement un fournisseur avec un objet sur étagère -&gt; voir les retours fournisseurs.</t>
  </si>
  <si>
    <t>Disque avant 330 io 350 + Disque io Tambour</t>
  </si>
  <si>
    <t>Barre anti devers AR fixée sur caisse</t>
  </si>
  <si>
    <t>Gains de 1 kg y compris périmètre STR + traverse de train.</t>
  </si>
  <si>
    <t>10/06/2024 : RD S23 : décision d'annulation pour cause d'impossibilité de trouver un scénario de choc satisfaisant.
29/05/2024 : Pas de convergence sur le choc, contrainte planning. Retour sur BaD sur traverse très probable. Annulation à passer en décision.
10/04/2024 : Pas encore de solution pour conserver la BaD sur caisse.
3/13/2024 : risque de retour en arriere car nok choc.
06/02/2024 : à banquer</t>
  </si>
  <si>
    <t>Aile Alu</t>
  </si>
  <si>
    <t>Aluminum Fender</t>
  </si>
  <si>
    <t>28/04/2025 LM : Annulé
24/09/2024 - LM - ne sera pas appliqué à reboucler avec le projet 
http://docinfogroupe.inetpsa.com/ead/doc/ref.01364_22_00699/v.vc/fiche</t>
  </si>
  <si>
    <t>MAJ 12/04 : +5,81kg/ 4,3€/kg/SFT:+500 KE (by tophat)</t>
  </si>
  <si>
    <t>Step4</t>
  </si>
  <si>
    <t>11/09/2024</t>
  </si>
  <si>
    <t>Pdb_Eclairage - facade aérateur (alcove)</t>
  </si>
  <si>
    <t>Suppression Ambient lighting - sur Mainstream FAIT  VERIFIER DANS BDD</t>
  </si>
  <si>
    <t>16/02/2026 LM
SUJET SUPPRIMER</t>
  </si>
  <si>
    <t>11/09/2024 Supp eclair écran(228g+40g) = Inscrit au plan coût /Supp ALCOVE (200g) : STd bye
05/09/2024 A revoir avec Guillaume
05/09/2024 : Ne concerne que ALCOVE / Sous écran : pas de contrainte / Ss facade aérateur : uniqt Niv3
06/06/2024 Si TT= RAS/ Si MeG besoin de obturateur !
14/03/2024 dans l'alcove</t>
  </si>
  <si>
    <t>46a</t>
  </si>
  <si>
    <t>Battery 12V : downsizing L1</t>
  </si>
  <si>
    <t>STEP 2 : Ecart concurrence (SMARTCAR). -4 kg</t>
  </si>
  <si>
    <t>25/03/2024 : Revision du protocole Safety. Sans SBW
19/02/2024 : prise en compte STEP2</t>
  </si>
  <si>
    <t xml:space="preserve">L2 AGM --&gt; L1 AGM (n'existe pas dans le groupe) :entre  -10 et -15
(L2 EEF /EFR) = -0,7 kg / -20 vs L2AGM
</t>
  </si>
  <si>
    <t>46b</t>
  </si>
  <si>
    <t>Battery 12V : downsizing L0</t>
  </si>
  <si>
    <t>STEP 2 : Ecart concurrence (ATTO 3, Megane eTech, Toyota C-HR…), . -8 kg</t>
  </si>
  <si>
    <t/>
  </si>
  <si>
    <t xml:space="preserve">volet </t>
  </si>
  <si>
    <t xml:space="preserve">tailgate </t>
  </si>
  <si>
    <t xml:space="preserve">ajout tole ald vitre en haut du volet </t>
  </si>
  <si>
    <t>en bonne voie (si volet tole)</t>
  </si>
  <si>
    <t xml:space="preserve">SI ref tailgate en plastic erase line </t>
  </si>
  <si>
    <t>-(25,72)</t>
  </si>
  <si>
    <t>Garnitures</t>
  </si>
  <si>
    <t>Trims Int</t>
  </si>
  <si>
    <t>Suppression de la masse lourde du Poro Int Trims</t>
  </si>
  <si>
    <t>02/09/24 : Mise en BDD faite. Status à passer en DECIDED ald IN PROGRESS
insono plancher. Ref PORO. VALIDé</t>
  </si>
  <si>
    <t>SOLDE</t>
  </si>
  <si>
    <t>SOLDE ?</t>
  </si>
  <si>
    <t>32a</t>
  </si>
  <si>
    <t>Simple filtrage sur susmot</t>
  </si>
  <si>
    <t>Suppression double filtrage</t>
  </si>
  <si>
    <t xml:space="preserve">21/03/2024 : </t>
  </si>
  <si>
    <t>NICOLAS TESSIER</t>
  </si>
  <si>
    <t>risque choc</t>
  </si>
  <si>
    <t>Crach risk</t>
  </si>
  <si>
    <r>
      <rPr>
        <strike/>
        <sz val="10"/>
        <color rgb="FF000000"/>
        <rFont val="Calibri"/>
        <family val="2"/>
        <scheme val="minor"/>
      </rPr>
      <t>2,8 chov avant,</t>
    </r>
    <r>
      <rPr>
        <sz val="10"/>
        <color rgb="FF000000"/>
        <rFont val="Calibri"/>
        <family val="2"/>
        <scheme val="minor"/>
      </rPr>
      <t xml:space="preserve"> 2,2kg choc AR </t>
    </r>
  </si>
  <si>
    <t xml:space="preserve">Aluminum  roof </t>
  </si>
  <si>
    <t>25/04/2024 : piste non retenue par le Projet =&gt; passage à 0%
25/03/2024 : QCDP à faire par Franck / Impact STYLE
13/03/2024 To be checked : process/welding</t>
  </si>
  <si>
    <t>+15€</t>
  </si>
  <si>
    <t>15/11/2024</t>
  </si>
  <si>
    <t xml:space="preserve">PdB </t>
  </si>
  <si>
    <t xml:space="preserve">Retour calcul SYNC2&gt; SYNC3
Insono Lat AV Console +10/20g
Insono AR Console -50g 
Insono Lat CENT Console -100 g
</t>
  </si>
  <si>
    <t>CP P1H Sébastien Dupuis
24/06/2025 à confirmer sur la masser et changer car Sync 5 - attente calcul - Frédéric</t>
  </si>
  <si>
    <t>15/11/2024 Tjrs ouvert =&gt; calcul avec les SYNC3
05/09/2024 Retour calcul SYNC2 ok =&gt; Optim à étudier
06/06/2024 Besoin choix frns Fin Sept / En attente retour calcul SYNC2
14/03/2024 Selon process frn</t>
  </si>
  <si>
    <t>294b</t>
  </si>
  <si>
    <t>06/06/2025 A re-vérifer ! RISK ???
11/02/2025 : A passer en RD suite accord de toutes les parties.
07/01/2025 : reduction de la hauteur de feuillure de 9mm (6mm sur TH) pour un gain de 0,540 kg (-0,35 kg sur PTF et -0,19 kg sur TH)</t>
  </si>
  <si>
    <t>Extracteur Air</t>
  </si>
  <si>
    <t>Air extractor</t>
  </si>
  <si>
    <t>Air Extractor</t>
  </si>
  <si>
    <t>02/03/2026 LM à Supprimer car non appliqué sur P3U
21/07/2025 confirmé sur SPC
24/06/2025 Laurent reboucle avec Sébatien Carrier</t>
  </si>
  <si>
    <t>23/05/2025 A supprimer de P1X</t>
  </si>
  <si>
    <t xml:space="preserve">Capot </t>
  </si>
  <si>
    <t xml:space="preserve">Hood side reduction </t>
  </si>
  <si>
    <t xml:space="preserve">si ajout soft nose confimer </t>
  </si>
  <si>
    <t>08/10/2024: BDD à jour
Acté à 100%</t>
  </si>
  <si>
    <t>decided</t>
  </si>
  <si>
    <t>Aérateurs</t>
  </si>
  <si>
    <t>Air duct</t>
  </si>
  <si>
    <t>Suppression Air Vent &amp; Central Air duct sur la version BASE LONG RANGE</t>
  </si>
  <si>
    <t xml:space="preserve">30/09/2024 passage en réunion de décision proposition annulé -&gt; canceled
http://docinfogroupe.inetpsa.com/ead/doc/ref.01353_24_00772/v.vc/pj </t>
  </si>
  <si>
    <t>w43
PORO signature</t>
  </si>
  <si>
    <t>confirmer le sujet?</t>
  </si>
  <si>
    <t>50K€</t>
  </si>
  <si>
    <t>Capot</t>
  </si>
  <si>
    <t xml:space="preserve">Hood </t>
  </si>
  <si>
    <t>remove sound proof</t>
  </si>
  <si>
    <t>en EDG</t>
  </si>
  <si>
    <t>26/06/2025 à supprimer pour BEV</t>
  </si>
  <si>
    <t xml:space="preserve">Optim bas de pare brise </t>
  </si>
  <si>
    <t xml:space="preserve">06/03/2026 LM : Check avec Chadi
</t>
  </si>
  <si>
    <t>Renfort Pieb B milieu sup type CDPO</t>
  </si>
  <si>
    <t xml:space="preserve">A verifier dans la BDD </t>
  </si>
  <si>
    <t>Garnitures de volet</t>
  </si>
  <si>
    <t>Trims</t>
  </si>
  <si>
    <t>Injection du gaz dans le plastique (Micro Jet pour FORVIA, …).  Masse à communiquée par Laurent. Attente RFQ)
Gain Masse : environ 12% mais impacts : +5% de TPC, +25% Vendor Tooling</t>
  </si>
  <si>
    <t>20/04/2026 LM sujet à annuler
09/03/2026 LM à checker 
24/06/2025 à checker en RFQ avec les FNR</t>
  </si>
  <si>
    <t>20/04/2026</t>
  </si>
  <si>
    <t>Garniture support tablette</t>
  </si>
  <si>
    <t>suppression du Magic Handle A mettre dans la BDD L2 only</t>
  </si>
  <si>
    <t>TAPIS</t>
  </si>
  <si>
    <t>CARPET</t>
  </si>
  <si>
    <t>PASSAGE en Mono matière</t>
  </si>
  <si>
    <t>Réunion decision S13</t>
  </si>
  <si>
    <t>Choix fournisseur Amortisseur av</t>
  </si>
  <si>
    <t>26/04/2024 : ecart réduit à 1,8 kg
10/04/2024 : Entre 2,8 et 2,1 kg de plus avec Cijuan. Mais Pb avec KYB.
08/02/2024 : Choix achat à orienter vers le fournisseur le moins lourd</t>
  </si>
  <si>
    <t xml:space="preserve">Local optim </t>
  </si>
  <si>
    <t>Integrate holes &amp; flange optim</t>
  </si>
  <si>
    <t>Ens PWT HR</t>
  </si>
  <si>
    <t>14/03/2024 maj</t>
  </si>
  <si>
    <t>32b</t>
  </si>
  <si>
    <t>Double filtrage susmot</t>
  </si>
  <si>
    <t>Damper alu io steel</t>
  </si>
  <si>
    <t>21/03/2024 : Changement des masselotte du double filtrage. non compatible de la piste 32.</t>
  </si>
  <si>
    <t>104b</t>
  </si>
  <si>
    <t>KdPP</t>
  </si>
  <si>
    <t>Remove repair kit</t>
  </si>
  <si>
    <t>removal : application</t>
  </si>
  <si>
    <t>10/04/2024 : Pas d'opposition PTF.</t>
  </si>
  <si>
    <t>Console +  planche</t>
  </si>
  <si>
    <t>PORO Opti</t>
  </si>
  <si>
    <t>Suppr airvent moto
Suppr airvent entry</t>
  </si>
  <si>
    <t>Ajouter les lignes du PORO
48gr par mico moteur (x8)</t>
  </si>
  <si>
    <t>Assise Rg2 40/20/40 (P64)</t>
  </si>
  <si>
    <t>Assise Rg2 40/60</t>
  </si>
  <si>
    <t>20/04/2026 LM Appliqué en BDD
17/03/2026 LM - QCDP en cours
opportunité 40/60 (P1H)</t>
  </si>
  <si>
    <t>Assise Rg2 - Tissus</t>
  </si>
  <si>
    <t>Retour frns</t>
  </si>
  <si>
    <t>24/06/2025 siège reconduit SP1 avec tissus spécifique - risk SP1/SP2 enrichissement</t>
  </si>
  <si>
    <t>11/06/2025 Style non gélé , mais orientation en cours avec Tie down donc Potentiel a descendre a 25% [ald 50%]
18/11/2024 Maj suite SYNC3=-0,6kg*50% (ald-0,65kg*25%)
05/11/2024 Reporté 2025
25/09/2024 EN attente choirs frns =&gt; Fin Sept
11/07/2024 choix frns CW39</t>
  </si>
  <si>
    <t>107c</t>
  </si>
  <si>
    <t>remove</t>
  </si>
  <si>
    <t>Choix fournisseur Amortisseur ar</t>
  </si>
  <si>
    <t>10/04/2024 : Entre 2,8 et 2,1 kg de plus avec Cijuan. Mais Pb avec KYB.
08/02/2024 : Choix achat à orienter vers le fournisseur le moins lourd</t>
  </si>
  <si>
    <t>Console</t>
  </si>
  <si>
    <t>Console ENTRY (Cobra shape) --&gt; Acté d'être en console haute. Synthèse rideau (rolling curtain) instead of Butterfly (c'est la référence)</t>
  </si>
  <si>
    <t>30/09/2024 passage en réunion de décision proposition annulé -&gt; canceled
Seul Alfa demande une console EDG.
https://docinfogroupe.stellantis.com/ead/doc/ref.21007_24_00110/v.vc/fiche</t>
  </si>
  <si>
    <t>REF = Butterfly</t>
  </si>
  <si>
    <t>275K€</t>
  </si>
  <si>
    <t>27/06/2024</t>
  </si>
  <si>
    <t>Isabelle Moro phillipe BOILLAUT</t>
  </si>
  <si>
    <t xml:space="preserve">Faisceaux_LV   </t>
  </si>
  <si>
    <t>LV HARNESS</t>
  </si>
  <si>
    <t xml:space="preserve">Cross section optimization =&gt; A confirmer par Jerome </t>
  </si>
  <si>
    <t>27/06/2024 Estim à -0,3kg (-50%)
25/03/2024 A développer à l'aide des prochains plans faisceaux : X0
13/03/2024b New</t>
  </si>
  <si>
    <t>Poignée maintien</t>
  </si>
  <si>
    <t>Grab handle</t>
  </si>
  <si>
    <t>Grab handle removal (supports ferrés)</t>
  </si>
  <si>
    <t>LM 10/10/25
support poignée à supprimer si plus de poignée</t>
  </si>
  <si>
    <t>D-ring embedding</t>
  </si>
  <si>
    <t>Confirm "free space" to improve embedding
Increase usage structural adhesive
Investigate TWB</t>
  </si>
  <si>
    <t>29/04/2024 : opti design sans derive masse</t>
  </si>
  <si>
    <t>Front seat inertia</t>
  </si>
  <si>
    <t>Bench regarding doors flange -accessibility / bench</t>
  </si>
  <si>
    <t>29/04/2024 : pas applicable sur STLA-S</t>
  </si>
  <si>
    <t>Rank 2</t>
  </si>
  <si>
    <t xml:space="preserve">Share QCTP done in the past </t>
  </si>
  <si>
    <t>26/03/2024 : QCDP déjà fait, à revoir. Besoin de faire une pièce silhouette pour l'étanchéité.</t>
  </si>
  <si>
    <t>PHS --&gt; PHS1400Y1800T</t>
  </si>
  <si>
    <t>Confirm thickness available 
Share impacts regarding WS resistance</t>
  </si>
  <si>
    <t>26/03/2024 : possibilité d'appliquer un process permettant de diminuer les ep. Panier de pièce à fournir à Arcelor. A integrer dans OPTIMASS</t>
  </si>
  <si>
    <t>Cout plus elevé, mais reduit par la reduction de matiere</t>
  </si>
  <si>
    <t>PHS applications</t>
  </si>
  <si>
    <t>Macro stakes 
To integrate in optimization loops</t>
  </si>
  <si>
    <t>26/03/2024 : Optimass</t>
  </si>
  <si>
    <t>WSE density</t>
  </si>
  <si>
    <t>To integrate in optimization loops</t>
  </si>
  <si>
    <t>A priori transparent vs TPC car peu de marge.</t>
  </si>
  <si>
    <t>Assise Rg1 - Tissus</t>
  </si>
  <si>
    <t>11/06/2025 Style non gélé , mais orientation en cours avec Tie down donc Potentiel a descendre a 25% [ald50%]
18/11/2024 Maj suite SYNC3 =&gt;-0,8kg*50% (ald 25%*-0,2kg)
05/11/2024 Reporté 2025
25/09/2024 EN attente choirs frns =&gt; Fin Sept
11/07/2024 choix frns CW39</t>
  </si>
  <si>
    <t>174b</t>
  </si>
  <si>
    <t>Triangle B-Cross</t>
  </si>
  <si>
    <t>LCA ep 4,5 ald 5mm sur B-Cross</t>
  </si>
  <si>
    <t>26/04/2024 : acté
10/04/2024 : Design en cours. 
21/03/2024 : new</t>
  </si>
  <si>
    <t>05/11/2024</t>
  </si>
  <si>
    <t>Capot(Charniere)</t>
  </si>
  <si>
    <t>Optim / Rédution ep. Charnons mobiles</t>
  </si>
  <si>
    <t>05/11/2024 Confirmé : passage de 3.5 à 3 mm validé sur le charnon mobile / Gain -0.2 kg /véhicule. ce sera intégré dans les def post SYNC3, lors du restart (100% ald -75%)
07/10/2024 Suite au SYNC3, validation via GDM</t>
  </si>
  <si>
    <t>Tailgate Prius like / plactic</t>
  </si>
  <si>
    <t>Tige creuse</t>
  </si>
  <si>
    <t>Amortisseur avant tige creuse 22m</t>
  </si>
  <si>
    <t>10/04/2024 : Question à poser au fournisseur, quand il sera choisi.</t>
  </si>
  <si>
    <t>Skeleton 2 pièces</t>
  </si>
  <si>
    <t>Raidisseur sur le plancher (ski long) ep augmenté (1,6 ald 1,3) + changement de matière</t>
  </si>
  <si>
    <t>26/03/2024 : demande manufacturing</t>
  </si>
  <si>
    <t>197b</t>
  </si>
  <si>
    <t>Colle structurale</t>
  </si>
  <si>
    <t>Augmenter le taux de colle structurale</t>
  </si>
  <si>
    <t>03/04/2024 : peu de colle structurale utilisée. Démarche faite, mais montre peu de gain. Ressortir le dossier pour avoir la longueur totale vs retex.</t>
  </si>
  <si>
    <t>198b</t>
  </si>
  <si>
    <t>Point de soudure</t>
  </si>
  <si>
    <t>Qté</t>
  </si>
  <si>
    <t>27/03/2024 New WS S14</t>
  </si>
  <si>
    <t>175b</t>
  </si>
  <si>
    <t>Pivot B-Cross</t>
  </si>
  <si>
    <t>Optimisation entre sync3 et sync5</t>
  </si>
  <si>
    <t>Piéces communes P1HX</t>
  </si>
  <si>
    <t>Common parts P1HX</t>
  </si>
  <si>
    <t>Périmètre Masse : à re-partager</t>
  </si>
  <si>
    <t>A checker…...</t>
  </si>
  <si>
    <t>28/05/2025 CHANTIER MASSE : Périmètre Commune à re-partager avec Franck</t>
  </si>
  <si>
    <t>Door pannel</t>
  </si>
  <si>
    <t>Passage nouvelle matière avec la nouvelle politique GPC</t>
  </si>
  <si>
    <t xml:space="preserve">24/09/2024 -LM-invest-TPC voir valérie
BOM intégre cette politique matière
attente retour fournisseur </t>
  </si>
  <si>
    <t>w09/2025
door panel supplier award</t>
  </si>
  <si>
    <t>????</t>
  </si>
  <si>
    <t>intergration feu AR central (CHMSL) version compass</t>
  </si>
  <si>
    <t>to check with serkan and nicolas
+risk update at 0,2kg
0% car volet pastic</t>
  </si>
  <si>
    <t>Garniture Pano AV</t>
  </si>
  <si>
    <t>Front panel trim</t>
  </si>
  <si>
    <t>Périmètre Masse</t>
  </si>
  <si>
    <t>16/03/2026 lm ligne à supprimer</t>
  </si>
  <si>
    <t>28/05/2025 CHANTIER MASSE : Vérifier cohérence des masses</t>
  </si>
  <si>
    <t>Isabelle Moro</t>
  </si>
  <si>
    <t>HP AR</t>
  </si>
  <si>
    <t>Rear speaker</t>
  </si>
  <si>
    <t>A décliner selon le Lvl</t>
  </si>
  <si>
    <t>28/05/2025 CHANTIER MASSE : Créer une MeG</t>
  </si>
  <si>
    <t>Roof Arch Reinforcer</t>
  </si>
  <si>
    <t>Au titre du A-Line programme =&gt; risque d'ajouter une pièce : "Roof Arch Reinforcer" (attente résultat choc SP1 en Week10)</t>
  </si>
  <si>
    <t>24/09/2024 LM - ligne à Cancel - ne sera pas appliqué.
to pass to 100%</t>
  </si>
  <si>
    <t>CM+sync1</t>
  </si>
  <si>
    <t xml:space="preserve">risk out à confirmer avec le metier </t>
  </si>
  <si>
    <t>Raidisseur AV Capot</t>
  </si>
  <si>
    <t>Ajout raidisseur AV Capot</t>
  </si>
  <si>
    <t>24/09/2024 -LM- à supprimer car suppression du raidisseur car softnose
Not in ref projet</t>
  </si>
  <si>
    <t>sync1</t>
  </si>
  <si>
    <t>10/06/2025</t>
  </si>
  <si>
    <t>All</t>
  </si>
  <si>
    <t>all</t>
  </si>
  <si>
    <t>Pièces Communes P1HX</t>
  </si>
  <si>
    <t>P1HX</t>
  </si>
  <si>
    <t>CP P1H Sébastien Dupuis</t>
  </si>
  <si>
    <t>02/07/2025 Du périmètre commun (182kg) =&gt; n'est optimisable que ~52kg [passe à -1kg]
10/06/2025 Effort d'allégement sur les pièces communes P1HX (-2%)</t>
  </si>
  <si>
    <t xml:space="preserve">ajout soft nose </t>
  </si>
  <si>
    <t>08/10/2024: BDD à jour
Valable pour O3H.</t>
  </si>
  <si>
    <r>
      <rPr>
        <b/>
        <sz val="10"/>
        <color theme="1"/>
        <rFont val="Calibri"/>
        <family val="2"/>
        <scheme val="minor"/>
      </rPr>
      <t>16/02/2026 Lm Ligne à supprimer
24/06/2025 à confirmer au restart
24/09/2024 LM - supprimer ligne 130 et garder celle-ci</t>
    </r>
    <r>
      <rPr>
        <sz val="10"/>
        <color theme="1"/>
        <rFont val="Calibri"/>
        <family val="2"/>
        <scheme val="minor"/>
      </rPr>
      <t xml:space="preserve">
08/07 : passage en matière NAFI (recyclée - 20% de fibres de chanvre), gain CO2 … gain masse de 15% sur le perimètre concerné (IP, CONSOLE &amp; DP)
proposition de split en 2 avec DP ( voir Valérie)</t>
    </r>
  </si>
  <si>
    <t>W09/2025 door pannel supplier award
IP: Make
?????? Attente Valérie</t>
  </si>
  <si>
    <t>Door Panel</t>
  </si>
  <si>
    <t>Hugues laurant</t>
  </si>
  <si>
    <t xml:space="preserve">COE porte </t>
  </si>
  <si>
    <t>ROCKER handle</t>
  </si>
  <si>
    <t xml:space="preserve">OK BDD
</t>
  </si>
  <si>
    <t>20/03/2026 LM
vue avec Hugues, intégré dans la masse de la garniture de porte</t>
  </si>
  <si>
    <t xml:space="preserve">BIW  Renfort montant baie + renfort pied avant
</t>
  </si>
  <si>
    <t>Embout à chaud :PHS950 YS1500T =&gt; PHS1400-Y1800T  
et réduction épaisseur</t>
  </si>
  <si>
    <t>24/03/2026 LM
retour en Octobre</t>
  </si>
  <si>
    <t>08/04/2025 Relance SAF
05/11/2024 A revoir avec SAF
03/09/2024 Synthèse Métier en cours
11/07/2024 Uniqt Rf Montant Baie, Maj eval à -0,34kg*100% (vs-0,8*25%)</t>
  </si>
  <si>
    <t>86b</t>
  </si>
  <si>
    <t>03/09/2024</t>
  </si>
  <si>
    <t>Damien Demougeot/
Cyrille P1X</t>
  </si>
  <si>
    <t>Panneau AR_P1X : ep.0,85</t>
  </si>
  <si>
    <t>Panel AR_P1X: thickness 0.85</t>
  </si>
  <si>
    <t>Thickness reductions 0,9mm --&gt;0,85mm</t>
  </si>
  <si>
    <t>06/02/2026 LM
Epaisseur à 0.65 appliqué sur les portes
sujet à supprimer</t>
  </si>
  <si>
    <t>03/09/2024 Retour Métier sur hypothèse Ref 
13/03/2024 NVH constraint (P21:0,65)
CW10 ref</t>
  </si>
  <si>
    <t>187b</t>
  </si>
  <si>
    <t>Bras sup bicoquille sur MB</t>
  </si>
  <si>
    <t>10/04/2024 : besoin d'avoir une vision sur la décli des AWD sur SP1 / SP2,
03/04/2024 : gain estimé hors bras ar inf. Suppose d'abord l'annulation du AWD du périmètre.</t>
  </si>
  <si>
    <t>SUPPORT TUYAU REFRIGERATION ENTREE-SORTIE COMPRESSEUR</t>
  </si>
  <si>
    <t>Suppression et prise en compte du support par la facade plastique</t>
  </si>
  <si>
    <t xml:space="preserve">11/09/2024 : Décidé. Ajout sur la facade à quantifier -&gt; voir avec Arnaud S. Pour le gain réel.
19/06/2024 : En attente proposition du fournisseur de façade. Voir avec Peter Reghem
14/02/2024 : nouvelle piste. Application tout type
</t>
  </si>
  <si>
    <t>Enjo bas de caisse</t>
  </si>
  <si>
    <t xml:space="preserve">Rocker trim </t>
  </si>
  <si>
    <t>06/01/2026 LM
Non appliqué sur P3U - à supprimer
28/04/2025 : O3H non - P3X - oui
Valider pour Opel, Peugeot à confirmer Jérome
To validate in decision meeting</t>
  </si>
  <si>
    <t>CW27</t>
  </si>
  <si>
    <t>Lit Logo / T2</t>
  </si>
  <si>
    <t>Lit logo / T2 removal (only for upper conf)</t>
  </si>
  <si>
    <t>T2</t>
  </si>
  <si>
    <t>T2 new mass calculation (was 4.6kg in database adn is calculated 2.4)</t>
  </si>
  <si>
    <t>BDD to check and validate with cherkan synthesis =&gt; 3kg?</t>
  </si>
  <si>
    <t>CM-4CW</t>
  </si>
  <si>
    <t>Insono Coté Habitacle</t>
  </si>
  <si>
    <t>Inson COTE HAB MASSE mise à jour avec Retour FRN SP1</t>
  </si>
  <si>
    <t>Attente choix et techno du FNR.</t>
  </si>
  <si>
    <t>252b</t>
  </si>
  <si>
    <t>Passage Roue AR ML</t>
  </si>
  <si>
    <t>Optimisation raideur dynamique</t>
  </si>
  <si>
    <t>18/09/2024 : officialisé. A mettre dans le bilan
28/06/2024 : 1er resultats endurance Nok, mais atteignable avec moins de gain masse
11/06/2024 : Modification du concept des corps creux. Résultat chantier BCI S24.</t>
  </si>
  <si>
    <t>Risk to have a Rotating instead of Butterfly (c'est la référence)</t>
  </si>
  <si>
    <t>24/09/2024 Butterfly armrest on SP2
https://docinfogroupe.stellantis.com/ead/doc/ref.21007_24_00110/v.vc/fiche</t>
  </si>
  <si>
    <t>"5,5"</t>
  </si>
  <si>
    <t>197a</t>
  </si>
  <si>
    <t>Colle STRUC</t>
  </si>
  <si>
    <t>Structural glue</t>
  </si>
  <si>
    <t>18/04/2024 P1h forecast with optim process =&gt; Roof
27/03/2024 New WS S14</t>
  </si>
  <si>
    <t>Support multifonction</t>
  </si>
  <si>
    <t>Risque au dimensionnement</t>
  </si>
  <si>
    <t>10/04/2024 : design finalisé. Masse à récuperer
23/10/2023 : Création de la piste</t>
  </si>
  <si>
    <t>95e</t>
  </si>
  <si>
    <t>Coeff Num/Phys TH</t>
  </si>
  <si>
    <t>num/phys</t>
  </si>
  <si>
    <t>06/06/2025 A revoir si decision du volet Plastique
28/05/2025 CHANTIER MASSE : Masse P1X</t>
  </si>
  <si>
    <t>Train arrière MB : augmentation des raideurs dynamiques</t>
  </si>
  <si>
    <t>29/04/2024 : Resultat mauvais renforcement à faire, valeur masse inconnue
Voir les resultats de calcul</t>
  </si>
  <si>
    <t>19/06/2024 : en cours sur SP1 et sur SP2
13/03/2024 ECMP &gt; APV</t>
  </si>
  <si>
    <t>DIW : Body drama door hinge position</t>
  </si>
  <si>
    <t>Rear Door Hinge position</t>
  </si>
  <si>
    <t>door hinge lowered position</t>
  </si>
  <si>
    <t>28/04/0205 LM: BDD à jour passé à Decided Stéphane
26/03/2025 - Check MASS with Cyrille (Proposal 3)
Passed to 400Gr ald 750 Gr
24/09/2024 -LM- Invest / TPC en cours</t>
  </si>
  <si>
    <t>GO Sync1</t>
  </si>
  <si>
    <t>100K€</t>
  </si>
  <si>
    <t>calandre non  eclairée upper</t>
  </si>
  <si>
    <t>front visor w/o light</t>
  </si>
  <si>
    <t xml:space="preserve">remove lev1 </t>
  </si>
  <si>
    <t>LM - 23/01/26
sujet abandonné
LM 29/09/25
que pour JEEP ligne to PORO</t>
  </si>
  <si>
    <t>PM poro signature</t>
  </si>
  <si>
    <t>passage en REF post CM</t>
  </si>
  <si>
    <t>300K€ enjoliveur</t>
  </si>
  <si>
    <t>(-54,38)</t>
  </si>
  <si>
    <t xml:space="preserve">28/04/2025 LM : BDD ok à passer à Decided Stéphane
24/09/2024 -LM- Renfort choc lat  AR en embout à chaud (donc suppression raidisseur)
</t>
  </si>
  <si>
    <t>BIW :doublure montant baie
renfort montant de baie
doublure d'aile</t>
  </si>
  <si>
    <t>BIW doublure montant baie
renfort montant de baie
doublure d'aile</t>
  </si>
  <si>
    <t>BIW Embout à chaud</t>
  </si>
  <si>
    <t xml:space="preserve">28/04/2025 LM : BDD ok à passer à Decided Stéphane
24/09/2024 -LM-http://docinfogroupe.inetpsa.com/ead/doc/ref.01353_24_00772/v.vc/pj </t>
  </si>
  <si>
    <t>Plastic tailgaite lower spoiler addition</t>
  </si>
  <si>
    <t>Ajout pièce aéro</t>
  </si>
  <si>
    <t xml:space="preserve">08/10/2024: decision SP2 du 11/10/2024
Plastic spoiler QCTP =&gt;  
http://docinfogroupe.inetpsa.com/ead/doc/ref.01341_24_01373/v.vc/fiche
</t>
  </si>
  <si>
    <t>300K€</t>
  </si>
  <si>
    <t>Renfort accoudoir /COI nouveau Module</t>
  </si>
  <si>
    <t>armrest reinforcer/ door inner module / Inner Handle</t>
  </si>
  <si>
    <t>extended reinforcer</t>
  </si>
  <si>
    <t>10/04/2025 LM MAJ BDD
11/10/2024 Check SP1 designe</t>
  </si>
  <si>
    <t>150K€</t>
  </si>
  <si>
    <t>105b</t>
  </si>
  <si>
    <t>Optimass P1X</t>
  </si>
  <si>
    <t>optimass process</t>
  </si>
  <si>
    <t>SYNC2 -4%</t>
  </si>
  <si>
    <t>16/01/2026 Ré-évaluation [P1X specif=288kg=&gt;4%=-11,5kg à 50%=-5,8kg]
07/11/2025 Séance INIT S48 en GT Perfo
26/09/2025 sur estim 2% de BCI specif, ratio à 50% (RETEX P1H)
07/06/2024 Proposition cotation RT RAL -4%
22/03/2024 A définir pour les DFNU</t>
  </si>
  <si>
    <t>suppression park lock</t>
  </si>
  <si>
    <t>remove park lock</t>
  </si>
  <si>
    <t>GMP</t>
  </si>
  <si>
    <t xml:space="preserve"> batterie Li Ion </t>
  </si>
  <si>
    <t xml:space="preserve"> Li Ion battery</t>
  </si>
  <si>
    <t>PRS  eDCT 50kW</t>
  </si>
  <si>
    <t>Battery</t>
  </si>
  <si>
    <t>cancel  idea after meeting with Vincent mulot 3/3/25</t>
  </si>
  <si>
    <t>Casting fr rail</t>
  </si>
  <si>
    <t xml:space="preserve">Bilan fin mars </t>
  </si>
  <si>
    <t>Casting Rr rail</t>
  </si>
  <si>
    <t xml:space="preserve">battery 1,3kWhu </t>
  </si>
  <si>
    <t xml:space="preserve">battery 1,5kWhu </t>
  </si>
  <si>
    <t xml:space="preserve">vincent mulot pour chiffrage masse </t>
  </si>
  <si>
    <t xml:space="preserve">optim train AV </t>
  </si>
  <si>
    <t>fr axle optimization</t>
  </si>
  <si>
    <t xml:space="preserve">Train AVANT </t>
  </si>
  <si>
    <t xml:space="preserve">train AR </t>
  </si>
  <si>
    <t>Rr axle optimization</t>
  </si>
  <si>
    <t xml:space="preserve">Plus support etrier à prendre en compte. Masse ? </t>
  </si>
  <si>
    <t>frein AV</t>
  </si>
  <si>
    <t>FR brake downsizing</t>
  </si>
  <si>
    <t>ref base masse '302*26/60 idem C41 (+protector) 23/01/25</t>
  </si>
  <si>
    <t xml:space="preserve">suppression du bateur </t>
  </si>
  <si>
    <t xml:space="preserve"> Remove helmoltz resonator</t>
  </si>
  <si>
    <t>Train AR</t>
  </si>
  <si>
    <t xml:space="preserve">sur traverse deformable </t>
  </si>
  <si>
    <t xml:space="preserve">ajustement taille element porteur </t>
  </si>
  <si>
    <t>optimization wheel carriers</t>
  </si>
  <si>
    <t xml:space="preserve">train AV </t>
  </si>
  <si>
    <t>risque PPM braking  preparer QCDP</t>
  </si>
  <si>
    <t>205 55 R19 (C5 aircross) P54 =&gt; 91,6</t>
  </si>
  <si>
    <t xml:space="preserve">roue structurel P1X </t>
  </si>
  <si>
    <t xml:space="preserve">structural wheel </t>
  </si>
  <si>
    <t>Faire noueau bilan masse roue SP2 =&gt; CW11</t>
  </si>
  <si>
    <t xml:space="preserve">Support moteur </t>
  </si>
  <si>
    <t>engine mount</t>
  </si>
  <si>
    <t xml:space="preserve">adaptation </t>
  </si>
  <si>
    <t xml:space="preserve">Verifier passage support mot C41 mhev, retour metier =&gt; CW11 </t>
  </si>
  <si>
    <t xml:space="preserve">direction passage hight =&gt; mid </t>
  </si>
  <si>
    <t xml:space="preserve">steering hight =&gt; mid </t>
  </si>
  <si>
    <t>DAE</t>
  </si>
  <si>
    <t>nouveau passage CW11 pour banquer ?</t>
  </si>
  <si>
    <t xml:space="preserve">plancher AV AR + tunnel type C41 </t>
  </si>
  <si>
    <t xml:space="preserve">fr et Rr floor like C41 </t>
  </si>
  <si>
    <r>
      <t xml:space="preserve">traverse sous battery </t>
    </r>
    <r>
      <rPr>
        <sz val="10"/>
        <color rgb="FFFF0000"/>
        <rFont val="Calibri"/>
        <family val="2"/>
        <scheme val="minor"/>
      </rPr>
      <t xml:space="preserve">non cumulable avec la ligne 228 </t>
    </r>
  </si>
  <si>
    <t>Front floor : cross under cell to body</t>
  </si>
  <si>
    <t xml:space="preserve">brancard detarage ? Verif possibilité </t>
  </si>
  <si>
    <t>optimization Fr rail</t>
  </si>
  <si>
    <t>perte de gain à cause de l'allongement</t>
  </si>
  <si>
    <t>SAC AV remove inf</t>
  </si>
  <si>
    <t>remove low crash beam</t>
  </si>
  <si>
    <t>step2</t>
  </si>
  <si>
    <t>plancher  AV</t>
  </si>
  <si>
    <t>Front floor : specific design</t>
  </si>
  <si>
    <t xml:space="preserve">remove rr part fr floor </t>
  </si>
  <si>
    <t xml:space="preserve">reduction longeur plancher sur la partie AR de travers de train </t>
  </si>
  <si>
    <t xml:space="preserve">passage de roue AV </t>
  </si>
  <si>
    <t>Front unit</t>
  </si>
  <si>
    <t xml:space="preserve">passage de roue AR </t>
  </si>
  <si>
    <t xml:space="preserve">RR wheel arch </t>
  </si>
  <si>
    <t xml:space="preserve">longeronnet </t>
  </si>
  <si>
    <t>SMALL SIDE RAIL</t>
  </si>
  <si>
    <t>Attention repar AR doit etre idem BEV/xHEV</t>
  </si>
  <si>
    <t xml:space="preserve">tablier ? Suivant scenario choc -*5kg / C41  </t>
  </si>
  <si>
    <t xml:space="preserve">COWL PANEL like C41 </t>
  </si>
  <si>
    <t xml:space="preserve">longeron + renfort </t>
  </si>
  <si>
    <t>inner sill</t>
  </si>
  <si>
    <t>delta entre suppression renfort ( et ajout de deux renforts specifiques xHEV (0,3 par piece*4)</t>
  </si>
  <si>
    <t>roue de 18 " acier fluoformé</t>
  </si>
  <si>
    <t xml:space="preserve">Steel wheel 18" flowformed </t>
  </si>
  <si>
    <t>ep vitarge lat AR</t>
  </si>
  <si>
    <t>FIXED QUARTER LIGHT change thickness</t>
  </si>
  <si>
    <t>tirant sous caisse (type T76) pour revenir 0,92mrd (status 0,62mrd)</t>
  </si>
  <si>
    <t>underbody reinforcement like T76</t>
  </si>
  <si>
    <t xml:space="preserve">ep vitrage AV non feuilleté passage en 3,5 AV </t>
  </si>
  <si>
    <t>LAMINATED WINDSCREEN change thickness</t>
  </si>
  <si>
    <t xml:space="preserve">downsizing renfort porte AV </t>
  </si>
  <si>
    <t>downsizing REINFORCER door</t>
  </si>
  <si>
    <t xml:space="preserve">Niv 0 type P64 impact sur STALS </t>
  </si>
  <si>
    <t>Lev 0 =&gt; impact</t>
  </si>
  <si>
    <t xml:space="preserve">decli acoustique à faire type CMP et DPE P1H et P3S </t>
  </si>
  <si>
    <t>ACOUSTICS</t>
  </si>
  <si>
    <t>reservoir SP2 =45L SP1 40L</t>
  </si>
  <si>
    <t>Fuel tank =&gt; 45 L for SP2 &amp; 40 L for SP1</t>
  </si>
  <si>
    <t>SYLVAIN MAGDELAINE</t>
  </si>
  <si>
    <t xml:space="preserve">facade de refroidissement (cassette)  etude à faire </t>
  </si>
  <si>
    <t xml:space="preserve">FR face </t>
  </si>
  <si>
    <t>WILFRIED DESAUNAY</t>
  </si>
  <si>
    <t xml:space="preserve">fx HV en 400V blindé gain masse à determiner </t>
  </si>
  <si>
    <t>harness 400v =&gt; saving mass ?</t>
  </si>
  <si>
    <t xml:space="preserve">DCDC plus petit à iso puissance . </t>
  </si>
  <si>
    <t>DCDC smaller</t>
  </si>
  <si>
    <t>Scenario 1 : 1,3 kWh dérivée d’une batterie 2 kWh dédiée</t>
  </si>
  <si>
    <t>VINCENT MULOT</t>
  </si>
  <si>
    <t xml:space="preserve">EP6 atmo EDCT 50kW ? Vincent mulot </t>
  </si>
  <si>
    <t>EP6 atmo with EDVT 50 kw</t>
  </si>
  <si>
    <t>Cooling battery : air concept like competition (Toyota, kia)</t>
  </si>
  <si>
    <t xml:space="preserve">step 2 </t>
  </si>
  <si>
    <t xml:space="preserve">remove cooling dcdc </t>
  </si>
  <si>
    <t>change crash SMALL SIDE RAIL</t>
  </si>
  <si>
    <t xml:space="preserve">Process impact </t>
  </si>
  <si>
    <t>Step 3</t>
  </si>
  <si>
    <t>step3</t>
  </si>
  <si>
    <t xml:space="preserve">reinforcement BIW </t>
  </si>
  <si>
    <t>Dedicated central and rear units &amp; dash</t>
  </si>
  <si>
    <t>alu caliper</t>
  </si>
  <si>
    <t xml:space="preserve">Rear discs io edrums + park lock + EPB-FSE </t>
  </si>
  <si>
    <t xml:space="preserve">Triangle alu </t>
  </si>
  <si>
    <t>alu control arm</t>
  </si>
  <si>
    <t xml:space="preserve">poutre arrière de la Yaris Cross </t>
  </si>
  <si>
    <t xml:space="preserve">rear beam of Yaris Cross is in Steel </t>
  </si>
  <si>
    <t>Poutre répa arrière =&gt; 6,6kg sur P1X versus 3,1 sur P21 pour Hybride</t>
  </si>
  <si>
    <t>Wheel &amp; tire size (/!\ keep RRC A++)​</t>
  </si>
  <si>
    <t>Exhaust line outer under wheelbase</t>
  </si>
  <si>
    <t xml:space="preserve">Step2 </t>
  </si>
  <si>
    <t>LOTHAR LAMBERT</t>
  </si>
  <si>
    <t>level 0</t>
  </si>
  <si>
    <t xml:space="preserve">Step 4 </t>
  </si>
  <si>
    <t>step5</t>
  </si>
  <si>
    <t>prius like</t>
  </si>
  <si>
    <t>wheels 17"</t>
  </si>
  <si>
    <t xml:space="preserve">235/60R17 sur les MHEV de J1X (=&gt; J2U ? =&gt; P3U ?). =&gt; Adrien 4kg  </t>
  </si>
  <si>
    <t xml:space="preserve">Glazing perfo impact </t>
  </si>
  <si>
    <t xml:space="preserve">Rear wiper system </t>
  </si>
  <si>
    <t xml:space="preserve">PRS </t>
  </si>
  <si>
    <t>ALEXANDRE FARGE</t>
  </si>
  <si>
    <t xml:space="preserve">DCDC on battery </t>
  </si>
  <si>
    <t>Paul patenotte</t>
  </si>
  <si>
    <t>Nouvelle machine électrique. RFQ en cours mais nous espérons un gain d’environ 2 kg</t>
  </si>
  <si>
    <t>New gearbox</t>
  </si>
  <si>
    <t>BV</t>
  </si>
  <si>
    <t xml:space="preserve">Pompe à eau ELEC risque de passer en elec </t>
  </si>
  <si>
    <t xml:space="preserve">Water pomp elec RISK </t>
  </si>
  <si>
    <t xml:space="preserve">GMP </t>
  </si>
  <si>
    <t xml:space="preserve">EGR BP </t>
  </si>
  <si>
    <t xml:space="preserve">Ecart avec EGR BP AUSTRAL </t>
  </si>
  <si>
    <t>WACAC</t>
  </si>
  <si>
    <t xml:space="preserve">Ecart avec WACAC GSE T4 </t>
  </si>
  <si>
    <t>Damien Demougeot</t>
  </si>
  <si>
    <t>Porte AR : Renfort choc Lat</t>
  </si>
  <si>
    <r>
      <t xml:space="preserve">Renfort choc Lat AR de P1H, </t>
    </r>
    <r>
      <rPr>
        <b/>
        <sz val="10"/>
        <color rgb="FF000000"/>
        <rFont val="Calibri"/>
        <family val="2"/>
        <scheme val="minor"/>
      </rPr>
      <t>mais applicable que si le résultats calcul le permettent SAF
SI ne participe pas au choc lat et ne répond qu'au GS38</t>
    </r>
  </si>
  <si>
    <t>20/03/2026 LM déjà en BDD
27/02/2026 LM
Bilan Choc dira si on peut appliquer retour en Juillet 26</t>
  </si>
  <si>
    <t>11/06/2025 ECR engagé =&gt; Publi en cours ; Passe à 100% / -1kg [50% ; -0,8kg]
04/11/2024 Revoir résult Choc Lat
03/09/2024 : GT_Presta CW35 / En attente résultat Side Crash SYNC2</t>
  </si>
  <si>
    <t>96b</t>
  </si>
  <si>
    <t>07/06/2024</t>
  </si>
  <si>
    <t>DFNu -4%</t>
  </si>
  <si>
    <t>DFNu -4% (2,5% retex P1H)</t>
  </si>
  <si>
    <t>07/06/2024 Proposition cotation RT RAL -4%
22/03/2024 A définir pour les DFNU</t>
  </si>
  <si>
    <t>MECATRONIC</t>
  </si>
  <si>
    <t>HUGUES</t>
  </si>
  <si>
    <t xml:space="preserve">essuie vitre et lave vitre </t>
  </si>
  <si>
    <t>magic blade</t>
  </si>
  <si>
    <t>opportunités « magic blade » Valeo / Bosch avec un gain supplémentaire de 0,4kg pour le petit réservoir / de 0,8kg pour le réservoir grande capacité.</t>
  </si>
  <si>
    <t>Projecteurs - Dim</t>
  </si>
  <si>
    <t>Headlamp size reduction (Mainstream &amp; Upper)</t>
  </si>
  <si>
    <t>LM 10/10/25
pour P3U en attente du style</t>
  </si>
  <si>
    <t>95f</t>
  </si>
  <si>
    <t>Ratio RETEX Métier selon pièces</t>
  </si>
  <si>
    <t>28/05/2025 CHANTIER MASSE : Masse P1X</t>
  </si>
  <si>
    <t>AGS type A4U (D-CROSS)</t>
  </si>
  <si>
    <t xml:space="preserve">verifier la BDD </t>
  </si>
  <si>
    <t>20/03/2026 LM
check with Hugues OK BDD</t>
  </si>
  <si>
    <t>O</t>
  </si>
  <si>
    <t>95d</t>
  </si>
  <si>
    <t>-2,5% (BIW=110kg)</t>
  </si>
  <si>
    <t>Volet Composite</t>
  </si>
  <si>
    <t>Composite tailgate</t>
  </si>
  <si>
    <t>Chgt de matière</t>
  </si>
  <si>
    <t>déjà volet plastique pour SP2 et en BDD - ligne à supprimer</t>
  </si>
  <si>
    <t>28/05/2025 CHANTIER MASSE : Eval à -6kg/ 75%
16/05/2025 Volet P1X en Composite (volet + spoiler + aerofin + lighting T2)</t>
  </si>
  <si>
    <t>brancard AV</t>
  </si>
  <si>
    <t>Front side member</t>
  </si>
  <si>
    <t>passage roue AV</t>
  </si>
  <si>
    <t>Front wheel arch</t>
  </si>
  <si>
    <t>plancher AV</t>
  </si>
  <si>
    <t>Front floor panel</t>
  </si>
  <si>
    <t>longeron int Acier</t>
  </si>
  <si>
    <t>Inner steel longitudinal member</t>
  </si>
  <si>
    <t>plancher AR</t>
  </si>
  <si>
    <t>Rear floor panel</t>
  </si>
  <si>
    <t>longeronnet</t>
  </si>
  <si>
    <t>Rear longitudinal member</t>
  </si>
  <si>
    <t>PACK NVH Entry</t>
  </si>
  <si>
    <r>
      <rPr>
        <b/>
        <sz val="10"/>
        <color rgb="FF000000"/>
        <rFont val="Calibri"/>
        <family val="2"/>
        <scheme val="minor"/>
      </rPr>
      <t xml:space="preserve">insono extracteur d'air test Sem 11 decision sem 12 (140g) </t>
    </r>
    <r>
      <rPr>
        <sz val="10"/>
        <color rgb="FF000000"/>
        <rFont val="Calibri"/>
        <family val="2"/>
        <scheme val="minor"/>
      </rPr>
      <t>(uniquement LEV 2)</t>
    </r>
  </si>
  <si>
    <t>20/04/2026 LM Appliqué en BDD
16/03/2026 Essai en cours retout CW13</t>
  </si>
  <si>
    <t>insono passage de roue (propa faible  (280g)</t>
  </si>
  <si>
    <t>Optimisation concept intégéré avec lighting (fusion boitier de feu avec pièce d'étanchéité)</t>
  </si>
  <si>
    <t xml:space="preserve">06/03/2026 LM : Mise à jour du descriptif
</t>
  </si>
  <si>
    <t>New design</t>
  </si>
  <si>
    <t>Changement de concept volet coiffant : de complet cover à upper cover with lighting</t>
  </si>
  <si>
    <t>passage de volet coiffant à encastré</t>
  </si>
  <si>
    <t xml:space="preserve">supp risque </t>
  </si>
  <si>
    <t>Risk cancel</t>
  </si>
  <si>
    <t>Fuel tank =&gt; 40 (44, +1) et 45 (47, +0,5)  HEV préssurisé / non préssurisé MHEV (TPC ?). Goulotte métal. Voir le réservoir de CMP annoncé à 9,3kg avec une capacité de 44kg</t>
  </si>
  <si>
    <t>Roue 17"</t>
  </si>
  <si>
    <t xml:space="preserve">Wheel 17" </t>
  </si>
  <si>
    <t>17'' =&gt; 235/60R17 sur les MHEV de J1X (=&gt; J2U ? =&gt; P3U ?). =&gt; Adrien 4kg à confirmer</t>
  </si>
  <si>
    <t xml:space="preserve">Feu AV </t>
  </si>
  <si>
    <t xml:space="preserve">headlamp </t>
  </si>
  <si>
    <t>Headlamp P3U. Proposition de déclinaison entry =&gt; -5kg</t>
  </si>
  <si>
    <t>06/03/2026 LM : déjà appliqué en BDD</t>
  </si>
  <si>
    <t xml:space="preserve">DRL </t>
  </si>
  <si>
    <t>relimiter la taille des DRL en  (Y ext)</t>
  </si>
  <si>
    <t xml:space="preserve">Hugues laurant </t>
  </si>
  <si>
    <t xml:space="preserve">COI </t>
  </si>
  <si>
    <t>COI  XeV = -0,5kg</t>
  </si>
  <si>
    <t xml:space="preserve">Train  </t>
  </si>
  <si>
    <t xml:space="preserve">Axle </t>
  </si>
  <si>
    <t xml:space="preserve">update Nouveau point C Masse ? </t>
  </si>
  <si>
    <t xml:space="preserve">direction  </t>
  </si>
  <si>
    <t>antitheft steering</t>
  </si>
  <si>
    <t>antitheft steering masse ? Pour 20€ : UN braking topic</t>
  </si>
  <si>
    <t xml:space="preserve">DIW </t>
  </si>
  <si>
    <t xml:space="preserve">Lecheur </t>
  </si>
  <si>
    <t xml:space="preserve">Lecheur standard sur Jeep =&gt; masse ? </t>
  </si>
  <si>
    <t xml:space="preserve">Batterie 12V </t>
  </si>
  <si>
    <t>Batterie li-ion =&gt;  plomb + new packaging (11+3)</t>
  </si>
  <si>
    <t xml:space="preserve">optim tapis XHEV / BEV =-1kg / BEV </t>
  </si>
  <si>
    <t>Batterie li-ion =&gt;  balancing battery 20ha 
SAFETY ?  En partant de la version PLOMB</t>
  </si>
  <si>
    <t xml:space="preserve">Porte AV : Renfort </t>
  </si>
  <si>
    <t xml:space="preserve">renfort choc lat en embout à chaud </t>
  </si>
  <si>
    <t>13/03/2026 LM BDD à Jour
27/02/2026 LM
BDD à mettre à jour</t>
  </si>
  <si>
    <t>Embout à chaud autre politech ( ex renfort pavillion)</t>
  </si>
  <si>
    <t>24/03/2026 LM
point avec Mathieu Barbier</t>
  </si>
  <si>
    <t>Insono Console</t>
  </si>
  <si>
    <t>Insono Lat AV Console +10/20g</t>
  </si>
  <si>
    <t>16/03/2026 lm ligne à supprimer
repris dans la lihne 130</t>
  </si>
  <si>
    <t xml:space="preserve">Insono AR Console -50g </t>
  </si>
  <si>
    <t>Insono Lat CENT Console -100 g</t>
  </si>
  <si>
    <t>Maxence DHENIN</t>
  </si>
  <si>
    <t>Insono Collecteur</t>
  </si>
  <si>
    <t>Ins Collecteur AUVENT</t>
  </si>
  <si>
    <t xml:space="preserve">optim design Front unit </t>
  </si>
  <si>
    <t xml:space="preserve">optim liaison Brancard tunnel </t>
  </si>
  <si>
    <t xml:space="preserve">intergration dans semelle brancard  (renfort D/G travers tab+ liaison semelle </t>
  </si>
  <si>
    <t xml:space="preserve">Supp embout travs lat de tablier </t>
  </si>
  <si>
    <t xml:space="preserve">optim design Rr unit </t>
  </si>
  <si>
    <t xml:space="preserve">Torsion caisse ( optim eppaiseur sur CAD0) </t>
  </si>
  <si>
    <t xml:space="preserve">optim design side </t>
  </si>
  <si>
    <t>suppression des RAIDISSEUR INF PIED AV D/G </t>
  </si>
  <si>
    <t>optim design exhaust</t>
  </si>
  <si>
    <t>Echappement type clio 6</t>
  </si>
  <si>
    <t>cache chappe coffre</t>
  </si>
  <si>
    <t>2 Carter 40/20/40</t>
  </si>
  <si>
    <t xml:space="preserve">Fr disk 315 =&gt; 302 </t>
  </si>
  <si>
    <t>Gilles papet</t>
  </si>
  <si>
    <t xml:space="preserve">Batterie pack </t>
  </si>
  <si>
    <t xml:space="preserve">Houssing battery </t>
  </si>
  <si>
    <t>Steel =&gt; alu (idee STLA-M)</t>
  </si>
  <si>
    <t xml:space="preserve">Support EGR </t>
  </si>
  <si>
    <t xml:space="preserve">EGR support </t>
  </si>
  <si>
    <t xml:space="preserve">risk material (cast iron) </t>
  </si>
  <si>
    <t xml:space="preserve">Batterie HEV </t>
  </si>
  <si>
    <t xml:space="preserve">Risk HEV battey </t>
  </si>
  <si>
    <t xml:space="preserve">tris to deviation </t>
  </si>
  <si>
    <t xml:space="preserve">optim </t>
  </si>
  <si>
    <t xml:space="preserve">Tow hook renfort </t>
  </si>
  <si>
    <t xml:space="preserve">Tow hook reinforcement </t>
  </si>
  <si>
    <t xml:space="preserve">adaptation pour tow hook </t>
  </si>
  <si>
    <t>Renfort longeron ASS</t>
  </si>
  <si>
    <t>optimisation design renfort longeron HEV (plan masse CDPO)</t>
  </si>
  <si>
    <t>27/03/2026 LM
nouveau sujet</t>
  </si>
  <si>
    <t>Doublure d'aile avant</t>
  </si>
  <si>
    <t>Passage embout à chaud</t>
  </si>
  <si>
    <t>CAISSE en blanc</t>
  </si>
  <si>
    <t>Ajout colle structurale</t>
  </si>
  <si>
    <t>grille entrée d'air auvent</t>
  </si>
  <si>
    <t>réduction épaisseur</t>
  </si>
  <si>
    <t>Optimisation multi prestation</t>
  </si>
  <si>
    <t xml:space="preserve">optim design planche à talon </t>
  </si>
  <si>
    <t xml:space="preserve">optim design Heel Board </t>
  </si>
  <si>
    <t xml:space="preserve">planche à talon raboutage </t>
  </si>
  <si>
    <t xml:space="preserve">Ajouter JEEP </t>
  </si>
  <si>
    <t xml:space="preserve">Sujet 1 </t>
  </si>
  <si>
    <t xml:space="preserve">A mettre dans le PTF </t>
  </si>
  <si>
    <t>Volet P3U =&gt; 8 et 10kg d'impact masse du volet P3U vs. concept P1X remis aux dimensions P3U (Rodolphe).</t>
  </si>
  <si>
    <t xml:space="preserve">suppression du risk a voir avec adpatation </t>
  </si>
  <si>
    <t xml:space="preserve">dans le PTF </t>
  </si>
  <si>
    <t>Door module =&gt; -1,5kg, Marc Nespoulos</t>
  </si>
  <si>
    <t>Siège rang 2 =&gt; 40/20/40 P3U. 40/60. Masse 2,4.</t>
  </si>
  <si>
    <t>Magic handle si déclinaison. =&gt; 0,8</t>
  </si>
  <si>
    <t>Headlamp P3U. Proposition de déclinaison entry =&gt; -6kg</t>
  </si>
  <si>
    <r>
      <t xml:space="preserve">Poutre répa arrière =&gt; 6,6kg sur P1X versus 3,7kg sur une Yaris Cross, </t>
    </r>
    <r>
      <rPr>
        <b/>
        <sz val="11"/>
        <color theme="1"/>
        <rFont val="Calibri"/>
        <family val="2"/>
        <scheme val="minor"/>
      </rPr>
      <t>3,1 sur P21 p</t>
    </r>
    <r>
      <rPr>
        <sz val="11"/>
        <color theme="1"/>
        <rFont val="Calibri"/>
        <family val="2"/>
        <scheme val="minor"/>
      </rPr>
      <t>our Hybride</t>
    </r>
  </si>
  <si>
    <t>Brake disk ald eDrum =&gt; 1,5kg ? Avec ajout park lock</t>
  </si>
  <si>
    <t>COI XV = -0,5kg</t>
  </si>
  <si>
    <t xml:space="preserve">pivot alu </t>
  </si>
  <si>
    <t xml:space="preserve">A mettre dans le PTF risk </t>
  </si>
  <si>
    <t xml:space="preserve">Batterie plomb </t>
  </si>
  <si>
    <t xml:space="preserve">bilan à faire sur REF </t>
  </si>
  <si>
    <t>Réservoir liquide lave glace à 2,8l</t>
  </si>
  <si>
    <t>Volet plastique pour jeep</t>
  </si>
  <si>
    <t>Coffre entry peugeot ?</t>
  </si>
  <si>
    <t xml:space="preserve">Rear lamp T2 supp  jeep </t>
  </si>
  <si>
    <t xml:space="preserve">RISK </t>
  </si>
  <si>
    <t xml:space="preserve">P2P pour JEEP = 2kg </t>
  </si>
  <si>
    <t xml:space="preserve">Sujet 2 </t>
  </si>
  <si>
    <t xml:space="preserve">Niv 0  a evoquer </t>
  </si>
  <si>
    <t xml:space="preserve">Sujet 3 </t>
  </si>
  <si>
    <t>process -4%</t>
  </si>
  <si>
    <t xml:space="preserve">Sujet 4 </t>
  </si>
  <si>
    <t xml:space="preserve">recherche d'idée </t>
  </si>
  <si>
    <t>P3U HR FWD</t>
  </si>
  <si>
    <t>P3U MHEV FWD</t>
  </si>
  <si>
    <t>P3U HEV FWD</t>
  </si>
  <si>
    <t>Étiquettes de lignes</t>
  </si>
  <si>
    <t>Somme de Ponderated mass / Ratio (kg*%)</t>
  </si>
  <si>
    <t>Total général</t>
  </si>
  <si>
    <t>J1X SR FWD</t>
  </si>
  <si>
    <t>J1X MHEV FWD</t>
  </si>
  <si>
    <t>J1X HEV FWD</t>
  </si>
  <si>
    <t>J2U HR FWD</t>
  </si>
  <si>
    <t>Comments BCI SP2</t>
  </si>
  <si>
    <t>P3WMHEV FWD€</t>
  </si>
  <si>
    <t>O1X HR 63 FWD€</t>
  </si>
  <si>
    <t>O1X XR 80 FWD€</t>
  </si>
  <si>
    <t>O1X XR 80 AWD perfo €</t>
  </si>
  <si>
    <t>O1X MHEV FWD€</t>
  </si>
  <si>
    <t>P1H MHEV</t>
  </si>
  <si>
    <t>P1X MHEV</t>
  </si>
  <si>
    <t>N° du sujet</t>
  </si>
  <si>
    <t>Date de mise à jour</t>
  </si>
  <si>
    <t>Métier (*)</t>
  </si>
  <si>
    <t>PTF/PRS/TH</t>
  </si>
  <si>
    <t>FR Désignation : Ensemble / Piéces</t>
  </si>
  <si>
    <t>Typologie : Raw Mat/Style/Process….</t>
  </si>
  <si>
    <t xml:space="preserve">Commentaires masse
tracer les changements apportés, par date </t>
  </si>
  <si>
    <t>% confiance</t>
  </si>
  <si>
    <t>Masse kg (*)</t>
  </si>
  <si>
    <t>Calculs : Choc Fr&amp;Lat, R14 Rg2, NVH</t>
  </si>
  <si>
    <t>28/05/2025 CHANTIER MASSE : A construire</t>
  </si>
  <si>
    <t>Cross section optimization</t>
  </si>
  <si>
    <t>Retour calcul SYNC2&gt; SYNC3</t>
  </si>
  <si>
    <t>Pdb_Eclairage</t>
  </si>
  <si>
    <t>Suppression Ambient lighting - sur Mainstream</t>
  </si>
  <si>
    <t>Pedale frein</t>
  </si>
  <si>
    <t>Optimization apres award BATZ</t>
  </si>
  <si>
    <t>11/02/2025 : A suivre lors des offi en juin. Design en cours. Risque de ne pas avoir de gain voire une augmentation de masse. passage de la piste à 0.
27/11/2024 : ECR lancé. impact masse à venir S49.
03/10/2024 : Itérations en cours avec NVH
28/08/2024 : Convergence NVH en cours. Solution a 1,2 kg (vs 1,5 kg) en cours. A voir avec Philippe pour bilan.
28/06/2024 : Bilan prestation à présenter
10/04/2024 : Reste à converger avec ACV
21/03/2024 : LHD seulement</t>
  </si>
  <si>
    <t>11/06/2025 A ré-évaluer
04/11/2024 Idem post Go-Calcul SYNC3
08/07/2024 Retour calcul SYNC3 (Go calcul Nov =&gt; 2025?)
Pièce en Embout à chaud</t>
  </si>
  <si>
    <t>Insono</t>
  </si>
  <si>
    <t>Insono Lat AV Console +10/20g
Insono AR Console -50g
Insono Lat CENT Console -100g
Ins Collecteur AUVENT : New
Ins. DEFLECTEUR EXTRACTEUR AIR : Supp
Ins Passe de roue AR : New
CALE PAVILLON : New</t>
  </si>
  <si>
    <t>Dossier RFQ (obj masse)</t>
  </si>
  <si>
    <t>2 topics : Bracket reif +1kg / Aluminium busbars -0,6kg</t>
  </si>
  <si>
    <t xml:space="preserve">Porte AR : Rft </t>
  </si>
  <si>
    <t>Remplacement / rft allégé</t>
  </si>
  <si>
    <t>06/03/2025</t>
  </si>
  <si>
    <t>Optimisation des supports EHE</t>
  </si>
  <si>
    <t>06/03/2025 : Presentation en PTM/VSM d'un modèle en plastique de 0,28 kg --&gt; augmentation du gain à -0,57 kg
25/09/2024 : Fait parti du faisceau moteur</t>
  </si>
  <si>
    <t>status=0,9</t>
  </si>
  <si>
    <t>23/10/2024</t>
  </si>
  <si>
    <t>OPTIMASSE phase 2 : Opti dessin</t>
  </si>
  <si>
    <t>23/10/2024 : idem 9a.
23/07/2024 : Mise à jour suite présentation métier BCI (S.Choppard)
26/03/2024 : Examiner la BOM pour consolider le chiffre.
27/11/2023 : prise en compte PF</t>
  </si>
  <si>
    <t>11/09/2024 : Piste TPC. Gains suivant essai NVH à venir.</t>
  </si>
  <si>
    <t>Renfort acier av</t>
  </si>
  <si>
    <t>Pb due care</t>
  </si>
  <si>
    <t>11/02/2025 : Pb de tenue sur le fonctionnel S09</t>
  </si>
  <si>
    <t>20/11/2024</t>
  </si>
  <si>
    <t>20/11/2024 : Consultation en cours. Certains fournisseurs propose la techno Mussel : injecte de l'air dans la matière pour avoir de l'épaisseur sans masse (permet d'avoir de la raideur et de réduire le besoin de nervurage). Choix fournisseur début avril 2025.
23/10/2024 : Design avant essai 
23/09/2024 : Piste maximisée</t>
  </si>
  <si>
    <t>Assises AV :  Airbag Cent</t>
  </si>
  <si>
    <t>Safety 3*</t>
  </si>
  <si>
    <t>24/04/2025 RD S15_DEC032572
18/03/2025 PTM/VSM : 3* &gt; FCAB+1kg / Brin_Boucle+0,06kg / Nappe detec_Ar +0,25kg / Airbag Pass +0,06kg
14/02/2025 : Protocole NCAP, risk to 3* ?</t>
  </si>
  <si>
    <t>07/03/2025</t>
  </si>
  <si>
    <t>07/04/2025</t>
  </si>
  <si>
    <t>Appui cric et suppression cloisons av</t>
  </si>
  <si>
    <t>07/04/2025 : Calcul en cours avec renfort raccourci en cours. A priori ok pour SR mais pas sur en HR. A voir possibilité de réduire le renfort pour SR et ajouter un renfort spécifique HR si nok HR.
25/03/2025_Coord S13 : Transfert Appui cric au TH / Optim du longeron</t>
  </si>
  <si>
    <t>08/04/2025 Périmètre SYNC3+, add-ons au sujet 93B : : raidisseur inf pied avant, +0,341kg</t>
  </si>
  <si>
    <t>23/05/2025</t>
  </si>
  <si>
    <t>06/06/2025 Que sur le SR !
23/05/2025 A supprimer TT</t>
  </si>
  <si>
    <t>03/06/2025 CHANTIER : Garn inf revue maj à-0,2kg (ald-0,9kg) // Uniqut si volet ACIER !
28/05/2025 CHANTIER MASSE : Idem P1H (Garn Vole- 0,9kg / Lat -0,64kg / Sup -0,260kg)</t>
  </si>
  <si>
    <t>A passer en Option</t>
  </si>
  <si>
    <t>10/06/2025 Effort d'allégement sur les pièces communes P1HX (-2%)</t>
  </si>
  <si>
    <t>COMMON PART</t>
  </si>
  <si>
    <t>FREE COLUMN To be used from PPEs</t>
  </si>
  <si>
    <t>PROGRAM deployement</t>
  </si>
  <si>
    <t>UPDATE</t>
  </si>
  <si>
    <t>PROPOSAL</t>
  </si>
  <si>
    <t>Mass (kg)</t>
  </si>
  <si>
    <t>Costs</t>
  </si>
  <si>
    <t>IMPLEMENTATION CONFIDENCE</t>
  </si>
  <si>
    <t>TIMING</t>
  </si>
  <si>
    <t xml:space="preserve">SPC </t>
  </si>
  <si>
    <t>LAST UPDATE</t>
  </si>
  <si>
    <t xml:space="preserve">Cluster
(Idea origin) </t>
  </si>
  <si>
    <t xml:space="preserve">Num </t>
  </si>
  <si>
    <t>PTF/TH/PS</t>
  </si>
  <si>
    <t>System Description</t>
  </si>
  <si>
    <t>Subsystems
Description</t>
  </si>
  <si>
    <t>SFS/eBOM/DECOUPAGE</t>
  </si>
  <si>
    <t>Metafunction OWNER/ LEADER (SSTM - métier)</t>
  </si>
  <si>
    <t>PFDI VSM</t>
  </si>
  <si>
    <t>PART</t>
  </si>
  <si>
    <t>LIGHTWEIGHT ACTION</t>
  </si>
  <si>
    <t>STARTING abs Weight (kg)</t>
  </si>
  <si>
    <t>STARTING Material</t>
  </si>
  <si>
    <t>w/o Costs</t>
  </si>
  <si>
    <t>INV (k€)</t>
  </si>
  <si>
    <t>R&amp;D (k€)</t>
  </si>
  <si>
    <t>TPC (€)</t>
  </si>
  <si>
    <t>€/kg</t>
  </si>
  <si>
    <t>Process STATUS</t>
  </si>
  <si>
    <t>Implementation milestone
(from forecast to status)</t>
  </si>
  <si>
    <t>CONFIDENCE LEVEL
(SSTM &amp; VSM ASSESSMENT)</t>
  </si>
  <si>
    <t>FEASIBILITY (SSTM)</t>
  </si>
  <si>
    <t>COMPLEXITY</t>
  </si>
  <si>
    <t>PERFORMANCES</t>
  </si>
  <si>
    <t>PACKAGING</t>
  </si>
  <si>
    <t>COSTS</t>
  </si>
  <si>
    <t>ODM</t>
  </si>
  <si>
    <t>CAD 
RELEASE</t>
  </si>
  <si>
    <t>Action/ Notes</t>
  </si>
  <si>
    <t>OPENING DATE</t>
  </si>
  <si>
    <t>REVIEW for DECISION DATE</t>
  </si>
  <si>
    <t>Day to review</t>
  </si>
  <si>
    <t>LAST CALL MILESTONE</t>
  </si>
  <si>
    <t>Workshop</t>
  </si>
  <si>
    <t>A01</t>
  </si>
  <si>
    <t>Body</t>
  </si>
  <si>
    <t>Underbody</t>
  </si>
  <si>
    <t>5SCC/</t>
  </si>
  <si>
    <t>NAME XXX</t>
  </si>
  <si>
    <t>Mid Floor</t>
  </si>
  <si>
    <t>Thickness reductions 0,8mm --&gt;0,7mm</t>
  </si>
  <si>
    <t>Steel</t>
  </si>
  <si>
    <t>X</t>
  </si>
  <si>
    <t>New Proposal</t>
  </si>
  <si>
    <t>SHRM</t>
  </si>
  <si>
    <t>HIGH</t>
  </si>
  <si>
    <t>V</t>
  </si>
  <si>
    <t>G</t>
  </si>
  <si>
    <t>Multi</t>
  </si>
  <si>
    <t>A.SALESSE</t>
  </si>
  <si>
    <t>L.Perrugia</t>
  </si>
  <si>
    <t>Under investigation (IN BEST P)</t>
  </si>
  <si>
    <t>S37</t>
  </si>
  <si>
    <t>CHARLES HENRI BONFILS</t>
  </si>
  <si>
    <t>OLIVIER PETIT</t>
  </si>
  <si>
    <t>Cascading</t>
  </si>
  <si>
    <t>BASE+SIL</t>
  </si>
  <si>
    <t>-5 Kg à prendre sur batt LI/Ion</t>
  </si>
  <si>
    <t>MàV</t>
  </si>
  <si>
    <t>Dérive</t>
  </si>
  <si>
    <t>Gain</t>
  </si>
  <si>
    <t>modif</t>
  </si>
  <si>
    <t>pris en REF PF</t>
  </si>
  <si>
    <t>P1</t>
  </si>
  <si>
    <t>P2</t>
  </si>
  <si>
    <t>RISQUES</t>
  </si>
  <si>
    <t>P64€ EP6 ATN8 (Potentiel)</t>
  </si>
  <si>
    <t>P3</t>
  </si>
  <si>
    <t>RISQUES_P3</t>
  </si>
  <si>
    <t>P64€ EP6 ATN8 (Potentiel Max)</t>
  </si>
  <si>
    <t>ICDV Base+SIL</t>
  </si>
  <si>
    <t>Concept</t>
  </si>
  <si>
    <t>ICDV/BASE+SIL : P64€ EP6 ATN8 (Potentiel)</t>
  </si>
  <si>
    <t>ICDV/BASE+SIL : P64€ EP6 ATN8 (Potentiel Max)</t>
  </si>
  <si>
    <t>DCHM/BASE+SIL</t>
  </si>
  <si>
    <t>Objectif</t>
  </si>
  <si>
    <t>DCHM/BASE+SIL :P84 EP6FADTXd ATN8</t>
  </si>
  <si>
    <t>DCHM/BASE+SIL : P64€ EP6 ATN8 (Réf)</t>
  </si>
  <si>
    <t>DCHM/BASE+SIL : P64€ EP6 ATN8 (Potentiel)</t>
  </si>
  <si>
    <t>DCHM/BASE+SIL : P64€ EP6 ATN8 (Potentiel Max)</t>
  </si>
  <si>
    <t>SCEG (hors BVH)</t>
  </si>
  <si>
    <t>Risque_P3</t>
  </si>
  <si>
    <t>SOEE (hors BVH)</t>
  </si>
  <si>
    <t>Dérive DPE</t>
  </si>
  <si>
    <t>Gain DPE Days</t>
  </si>
  <si>
    <t>DPEDays</t>
  </si>
  <si>
    <t>TT DCHM</t>
  </si>
  <si>
    <t>SPCS (hors BVH)</t>
  </si>
  <si>
    <t>TOLERIE CAISSE</t>
  </si>
  <si>
    <t>P64 EP6 SIL</t>
  </si>
  <si>
    <t>ICDV/SIL</t>
  </si>
  <si>
    <t>DCHM/SIL</t>
  </si>
  <si>
    <t>EMP2V4</t>
  </si>
  <si>
    <t>w</t>
  </si>
  <si>
    <t>P84 ICE</t>
  </si>
  <si>
    <t>EMP2V4 REF</t>
  </si>
  <si>
    <t>EMP2V4 Potentiel</t>
  </si>
  <si>
    <t>EMP2V4 (Potentiel Max)</t>
  </si>
  <si>
    <t>ICDV/BASE</t>
  </si>
  <si>
    <t>ICDV/BASE : P64€ EP6 ATN8 (Potentiel)</t>
  </si>
  <si>
    <t>ICDV/BASE : P64€ EP6 ATN8 (Potentiel Max)</t>
  </si>
  <si>
    <t>DCHM/BASE</t>
  </si>
  <si>
    <t>DCHM/BASE :P84 EP6FADTXd ATN8</t>
  </si>
  <si>
    <t>DCHM/BASE : P64€ EP6 ATN8 (Réf)</t>
  </si>
  <si>
    <t>DCHM/BASE : P64€ EP6 ATN8 (Potentiel)</t>
  </si>
  <si>
    <t>DCHM/BASE : P64€ EP6 ATN8 (Potentiel Max)</t>
  </si>
  <si>
    <t>limite</t>
  </si>
  <si>
    <t>Tranche</t>
  </si>
  <si>
    <t>SEMAINE EN COURS</t>
  </si>
  <si>
    <t>VEHICULE</t>
  </si>
  <si>
    <t>REFERENCE</t>
  </si>
  <si>
    <t>Prévisionnel (REF+1/2Risk+P1)</t>
  </si>
  <si>
    <t>Potentiel (Prévi + P2)</t>
  </si>
  <si>
    <t>Potentiel (Prévi + P2 + P3)</t>
  </si>
  <si>
    <t>P4</t>
  </si>
  <si>
    <t>MDB</t>
  </si>
  <si>
    <t>Commentaire</t>
  </si>
  <si>
    <t>Limite -1%</t>
  </si>
  <si>
    <t>Limite +1%</t>
  </si>
  <si>
    <t>Limite +2%</t>
  </si>
  <si>
    <t>Limite 3%</t>
  </si>
  <si>
    <t>2018/S34</t>
  </si>
  <si>
    <t>2018/S35</t>
  </si>
  <si>
    <t>2018/S36</t>
  </si>
  <si>
    <t>roues alu forgées repassent en P2 et supprimées de REF</t>
  </si>
  <si>
    <t>2018/S37</t>
  </si>
  <si>
    <t>2018/S38</t>
  </si>
  <si>
    <t>2018/S39</t>
  </si>
  <si>
    <t>2018/S40</t>
  </si>
  <si>
    <t>2018/S41</t>
  </si>
  <si>
    <t>2018/S42</t>
  </si>
  <si>
    <t>2018/S43</t>
  </si>
  <si>
    <t>2018/S44</t>
  </si>
  <si>
    <t>Insérer au dessus</t>
  </si>
  <si>
    <t>Série</t>
  </si>
  <si>
    <t>Options</t>
  </si>
  <si>
    <t>IN BDD</t>
  </si>
  <si>
    <t>P64 MHEV ALLURE</t>
  </si>
  <si>
    <t>Opp TT</t>
  </si>
  <si>
    <t>Opp Av</t>
  </si>
  <si>
    <t>Opp Ar</t>
  </si>
  <si>
    <t>Risques TT</t>
  </si>
  <si>
    <t>Ris Av</t>
  </si>
  <si>
    <t>Ris Ar</t>
  </si>
  <si>
    <t>O+R TT</t>
  </si>
  <si>
    <t>O+R Av</t>
  </si>
  <si>
    <t>O+R Ar</t>
  </si>
  <si>
    <t>Base</t>
  </si>
  <si>
    <t>BD2E</t>
  </si>
  <si>
    <t>DCTC</t>
  </si>
  <si>
    <t>BD2E - BIW</t>
  </si>
  <si>
    <t>BD2E - Doors Eqt</t>
  </si>
  <si>
    <t>DSEE</t>
  </si>
  <si>
    <t>BD2E - Doors Sheet Metal</t>
  </si>
  <si>
    <t>BD2E - MDT</t>
  </si>
  <si>
    <t>MI2E</t>
  </si>
  <si>
    <t>BD2E BiW - Eqt</t>
  </si>
  <si>
    <t>SCEG</t>
  </si>
  <si>
    <t>SPCS</t>
  </si>
  <si>
    <t>SMMB</t>
  </si>
  <si>
    <t>eVMP</t>
  </si>
  <si>
    <t>MICV</t>
  </si>
  <si>
    <t>MIEE</t>
  </si>
  <si>
    <t>NVH</t>
  </si>
  <si>
    <t>Produit</t>
  </si>
  <si>
    <t>SGV</t>
  </si>
  <si>
    <t>SMMB - MdT</t>
  </si>
  <si>
    <t>SMMB/BD2E</t>
  </si>
  <si>
    <t>SPCS - MDT</t>
  </si>
  <si>
    <t>PTF Décidé</t>
  </si>
  <si>
    <t>PTF Total</t>
  </si>
  <si>
    <t>P64 PHEV GT Pack</t>
  </si>
  <si>
    <t>PTF Décide</t>
  </si>
  <si>
    <t>P64 BEV FWD GT Pack</t>
  </si>
  <si>
    <t>P64 BEV AWD GT Pack</t>
  </si>
  <si>
    <t>en ref :</t>
  </si>
  <si>
    <t>en REF BASE+SIL</t>
  </si>
  <si>
    <t>en REF BASE</t>
  </si>
  <si>
    <t>en REF SIL</t>
  </si>
  <si>
    <t>DCHM</t>
  </si>
  <si>
    <t>CMAG</t>
  </si>
  <si>
    <t>BVH GMP MDB MDT SIL</t>
  </si>
  <si>
    <t>Ensemble</t>
  </si>
  <si>
    <t>pédalier</t>
  </si>
  <si>
    <r>
      <rPr>
        <b/>
        <sz val="9"/>
        <color indexed="8"/>
        <rFont val="Arial"/>
        <family val="2"/>
      </rPr>
      <t xml:space="preserve">Pédalier : 
</t>
    </r>
    <r>
      <rPr>
        <sz val="9"/>
        <color indexed="8"/>
        <rFont val="Arial"/>
        <family val="2"/>
      </rPr>
      <t>Pédale de frein hybride en synthèse haute</t>
    </r>
  </si>
  <si>
    <t>Caisse</t>
  </si>
  <si>
    <t>Caisse : 
Remplacement IFF projeté PVC par du projeté Acrylique</t>
  </si>
  <si>
    <t>REF</t>
  </si>
  <si>
    <t>GMP et adapt</t>
  </si>
  <si>
    <t>passage de €6.3 à €7 des EP</t>
  </si>
  <si>
    <t>SIL</t>
  </si>
  <si>
    <t>Roue</t>
  </si>
  <si>
    <t>Roues : 
ROUES : roue alu forgées + inserts clippés</t>
  </si>
  <si>
    <r>
      <rPr>
        <b/>
        <sz val="9"/>
        <color indexed="8"/>
        <rFont val="Arial"/>
        <family val="2"/>
      </rPr>
      <t xml:space="preserve">Caisse : </t>
    </r>
    <r>
      <rPr>
        <sz val="9"/>
        <color indexed="8"/>
        <rFont val="Arial"/>
        <family val="2"/>
      </rPr>
      <t xml:space="preserve">
Remplacement IFF projeté PVC par du projeté Acrylique</t>
    </r>
  </si>
  <si>
    <t>Ecran sous caisse</t>
  </si>
  <si>
    <t>Ecran sous caisse :
Lissage sous caisse : Plancher Av + charge</t>
  </si>
  <si>
    <t>ESV</t>
  </si>
  <si>
    <r>
      <rPr>
        <b/>
        <sz val="9"/>
        <color indexed="8"/>
        <rFont val="Arial"/>
        <family val="2"/>
      </rPr>
      <t>Essui-vitre</t>
    </r>
    <r>
      <rPr>
        <sz val="9"/>
        <color indexed="8"/>
        <rFont val="Arial"/>
        <family val="2"/>
      </rPr>
      <t xml:space="preserve"> électronisé EN RUPTURE</t>
    </r>
  </si>
  <si>
    <t>CTR</t>
  </si>
  <si>
    <t>Batterie</t>
  </si>
  <si>
    <t>Batterie 12v : 
Passage de Pb à Lithium Ion</t>
  </si>
  <si>
    <r>
      <rPr>
        <b/>
        <sz val="9"/>
        <color indexed="8"/>
        <rFont val="Arial"/>
        <family val="2"/>
      </rPr>
      <t xml:space="preserve">Ecran sous caisse :
</t>
    </r>
    <r>
      <rPr>
        <sz val="9"/>
        <color indexed="8"/>
        <rFont val="Arial"/>
        <family val="2"/>
      </rPr>
      <t>Lissage sous caisse : Plancher Av + charge</t>
    </r>
  </si>
  <si>
    <t>Assise AR</t>
  </si>
  <si>
    <t>Assise Rg2  : assise mono pièce avec dossier 40/20/40</t>
  </si>
  <si>
    <t>CHOC -  MPDB - SAC</t>
  </si>
  <si>
    <r>
      <rPr>
        <b/>
        <sz val="9"/>
        <color indexed="8"/>
        <rFont val="Arial"/>
        <family val="2"/>
      </rPr>
      <t>SAC</t>
    </r>
    <r>
      <rPr>
        <sz val="9"/>
        <color indexed="8"/>
        <rFont val="Arial"/>
        <family val="2"/>
      </rPr>
      <t xml:space="preserve"> : MDB : Renfort Choc € (2020) : Barriere MPDB</t>
    </r>
  </si>
  <si>
    <t>Essui-vitre électronisé EN RUPTURE</t>
  </si>
  <si>
    <r>
      <rPr>
        <b/>
        <sz val="9"/>
        <color indexed="8"/>
        <rFont val="Arial"/>
        <family val="2"/>
      </rPr>
      <t xml:space="preserve"> Assise AR : (Programme €)
</t>
    </r>
    <r>
      <rPr>
        <sz val="9"/>
        <color indexed="8"/>
        <rFont val="Arial"/>
        <family val="2"/>
      </rPr>
      <t>Nappe detection occupant</t>
    </r>
  </si>
  <si>
    <t>Pédalier : 
Pédale de frein hybride en synthèse haute</t>
  </si>
  <si>
    <t>DAE : 
Synthèse optimisation</t>
  </si>
  <si>
    <t>CHOC - moy retenue NCAP 4* 2022</t>
  </si>
  <si>
    <r>
      <rPr>
        <b/>
        <sz val="9"/>
        <color indexed="8"/>
        <rFont val="Arial"/>
        <family val="2"/>
      </rPr>
      <t>Moyen de retenu : (Programme)</t>
    </r>
    <r>
      <rPr>
        <sz val="9"/>
        <color indexed="8"/>
        <rFont val="Arial"/>
        <family val="2"/>
      </rPr>
      <t xml:space="preserve">
Airbag rang2</t>
    </r>
  </si>
  <si>
    <t>MDT</t>
  </si>
  <si>
    <t>AIS</t>
  </si>
  <si>
    <t>AIS 2020 :
Audio Info &amp; Service</t>
  </si>
  <si>
    <t>PdB</t>
  </si>
  <si>
    <r>
      <rPr>
        <b/>
        <sz val="9"/>
        <color indexed="8"/>
        <rFont val="Arial"/>
        <family val="2"/>
      </rPr>
      <t>Traverse Planche de bord</t>
    </r>
    <r>
      <rPr>
        <sz val="9"/>
        <color indexed="8"/>
        <rFont val="Arial"/>
        <family val="2"/>
      </rPr>
      <t xml:space="preserve"> compatible VTH : Patte de fixation sur traverse</t>
    </r>
  </si>
  <si>
    <t xml:space="preserve"> Assise AR : (Programme €)
Nappe detection occupant</t>
  </si>
  <si>
    <t>SAC AV - CHOC</t>
  </si>
  <si>
    <t>Poutre basse alu : (Programme)
Ajout de renforts pour choc/ reparabilité</t>
  </si>
  <si>
    <t>Traverse Planche de bord compatible VTH : Patte de fixation sur traverse</t>
  </si>
  <si>
    <t>CHOC - AEMDB - STR</t>
  </si>
  <si>
    <t>MDB: Nouveau package choc lat barriere (sévérisation 2018-2020)</t>
  </si>
  <si>
    <t>SAC haut</t>
  </si>
  <si>
    <t>SAC haut : (Programme)
New protocole MPDB2020 + petit choc parking sans dommage</t>
  </si>
  <si>
    <t>CHOC - moy retenue NCAP 4* 2020</t>
  </si>
  <si>
    <t>SIL : Renfort Choc € (2020) : Moyen de retenu : Fare side rg1</t>
  </si>
  <si>
    <t>Moyen de retenu : (Programme)
Airbag rang2</t>
  </si>
  <si>
    <t>CHOC - moy retenue 4* NCAP 2020</t>
  </si>
  <si>
    <t>SIL : airbag genoux € conducteur</t>
  </si>
  <si>
    <t>Transmission</t>
  </si>
  <si>
    <t>Transmission : 
redimensionnement RZ20 ald RZ17,5</t>
  </si>
  <si>
    <t xml:space="preserve">Torsion de caisse  (44Hz/0,75mrad)
Renforcements base en écart d’EMP2V3, potentiel max du périmètre de référence EMP2V4 </t>
  </si>
  <si>
    <t>SIL : Renfort Choc €/CH (2018) : Moyen de retenu : Nappe detection occupant Ar</t>
  </si>
  <si>
    <t>train AR</t>
  </si>
  <si>
    <t>Train ar TD : 
nouveau Train Ar redimensionné</t>
  </si>
  <si>
    <t>Caisse - point Ua</t>
  </si>
  <si>
    <t>tenue point Ua
Renforts unit AR, en complément de ceux pris en compte pour la torsion lié à la tenue et la position point UA train défavorable.</t>
  </si>
  <si>
    <t>roue</t>
  </si>
  <si>
    <t>roues, ens monté : 17" alu P8 -&gt; 18" CDP alu pneu 740</t>
  </si>
  <si>
    <t>CHOC - moy retenue NCAP 4* 2020 - Assise av</t>
  </si>
  <si>
    <t>SIL : Renfort armature siège  pour implantation fare side</t>
  </si>
  <si>
    <t>SAC : MDB : Renfort Choc € (2020) : Barriere MPDB</t>
  </si>
  <si>
    <t>CHOC TH/MHEV Eur</t>
  </si>
  <si>
    <r>
      <rPr>
        <b/>
        <sz val="10"/>
        <color indexed="8"/>
        <rFont val="Arial"/>
        <family val="2"/>
      </rPr>
      <t>renfort choc Bloc avant</t>
    </r>
    <r>
      <rPr>
        <sz val="9"/>
        <color indexed="8"/>
        <rFont val="Arial"/>
        <family val="2"/>
      </rPr>
      <t xml:space="preserve"> sur ICE Europe, non diversifiable pour SMOL.</t>
    </r>
  </si>
  <si>
    <t>CHOC - caisse - TH + MHEV</t>
  </si>
  <si>
    <t>renfort mini sur TH et MHEV Europe</t>
  </si>
  <si>
    <t>CHOC -moy retenue NCAP 4* 2018</t>
  </si>
  <si>
    <t>SIL : Renfort Choc €/CH (2018) : Moyen de retenu : Airbag rang2</t>
  </si>
  <si>
    <t>SIL : airbag genoux €  passager</t>
  </si>
  <si>
    <t>CHOC - SMOL</t>
  </si>
  <si>
    <t>MDB : small over lap</t>
  </si>
  <si>
    <t>Morphing</t>
  </si>
  <si>
    <t xml:space="preserve">CHOC - BFD - STR </t>
  </si>
  <si>
    <t>MDB : Mise à jour choc 5* (Thermique + PHEV)</t>
  </si>
  <si>
    <t>Torsion de caisse  (44Hz/0,75mrad)
Complément renfort silhouette lié au concepts de référence RCC CDPO (fast/bi-corp ½) défavorables (inclinaison de volet) par rapport à P84 (Boxy)</t>
  </si>
  <si>
    <t>SIL : airbag genoux €</t>
  </si>
  <si>
    <t>SOEE : COE S3</t>
  </si>
  <si>
    <t>renfort choc frontal : 1,05 mm à 1,95 mm</t>
  </si>
  <si>
    <t>MDB/SIL : Nouveau package choc lat barriere (sévérisation 2018-2020)</t>
  </si>
  <si>
    <t>renfort charnière : Mono bloc (1.45 théorique, 1.75 sur D41) ald 2 pièces (1.75mm en ref)</t>
  </si>
  <si>
    <t>SOEE : COE S4</t>
  </si>
  <si>
    <t>renfort choc lat : Laminage flexible ald renfort en 1.3mm</t>
  </si>
  <si>
    <t>Sil caisse : SMOL</t>
  </si>
  <si>
    <t>sil ouvrant : SMOL</t>
  </si>
  <si>
    <r>
      <rPr>
        <b/>
        <sz val="9"/>
        <color indexed="8"/>
        <rFont val="Arial"/>
        <family val="2"/>
      </rPr>
      <t>AIS 2020 :</t>
    </r>
    <r>
      <rPr>
        <sz val="9"/>
        <color indexed="8"/>
        <rFont val="Arial"/>
        <family val="2"/>
      </rPr>
      <t xml:space="preserve">
Audio Info &amp; Service</t>
    </r>
  </si>
  <si>
    <t>CHOC - SMOL - berceau</t>
  </si>
  <si>
    <t>nouveau berceau cadre remplacant les prolonges</t>
  </si>
  <si>
    <t>NEA</t>
  </si>
  <si>
    <r>
      <rPr>
        <b/>
        <sz val="9"/>
        <color indexed="8"/>
        <rFont val="Arial"/>
        <family val="2"/>
      </rPr>
      <t xml:space="preserve">Architecture Electronique : </t>
    </r>
    <r>
      <rPr>
        <sz val="9"/>
        <color indexed="8"/>
        <rFont val="Arial"/>
        <family val="2"/>
      </rPr>
      <t xml:space="preserve">
NEA (New Electric Architecture)
NAE (Nouvelle Architecture electronique)</t>
    </r>
  </si>
  <si>
    <t>SIL : Mise à jour choc 5* (Thermique + PHEV)</t>
  </si>
  <si>
    <r>
      <rPr>
        <b/>
        <sz val="9"/>
        <color indexed="8"/>
        <rFont val="Arial"/>
        <family val="2"/>
      </rPr>
      <t xml:space="preserve">Batterie 12v : </t>
    </r>
    <r>
      <rPr>
        <sz val="9"/>
        <color indexed="8"/>
        <rFont val="Arial"/>
        <family val="2"/>
      </rPr>
      <t xml:space="preserve">
Passage de Pb à Lithium Ion</t>
    </r>
  </si>
  <si>
    <t>Architecture Electronique : 
NEA (New Electric Architecture)
NAE (Nouvelle Architecture electronique)</t>
  </si>
  <si>
    <r>
      <rPr>
        <b/>
        <sz val="9"/>
        <color indexed="8"/>
        <rFont val="Arial"/>
        <family val="2"/>
      </rPr>
      <t xml:space="preserve">Boitier BFR2 </t>
    </r>
    <r>
      <rPr>
        <sz val="9"/>
        <color indexed="8"/>
        <rFont val="Arial"/>
        <family val="2"/>
      </rPr>
      <t>: ajustement du périmètre (USB…) pour passer à un boitier à 6€ ald 42€ (IDB)sur niv 2</t>
    </r>
  </si>
  <si>
    <t>Boitier BFR2 : ajustement du périmètre (USB…) pour passer à un boitier à 6€ ald 42€ (IDB)sur niv 2</t>
  </si>
  <si>
    <r>
      <rPr>
        <b/>
        <sz val="9"/>
        <color indexed="8"/>
        <rFont val="Arial"/>
        <family val="2"/>
      </rPr>
      <t xml:space="preserve">Train ar TD : 
</t>
    </r>
    <r>
      <rPr>
        <sz val="9"/>
        <color indexed="8"/>
        <rFont val="Arial"/>
        <family val="2"/>
      </rPr>
      <t>nouveau Train Ar redimensionné</t>
    </r>
  </si>
  <si>
    <r>
      <rPr>
        <b/>
        <sz val="9"/>
        <color indexed="8"/>
        <rFont val="Arial"/>
        <family val="2"/>
      </rPr>
      <t xml:space="preserve">DAE : 
</t>
    </r>
    <r>
      <rPr>
        <sz val="9"/>
        <color indexed="8"/>
        <rFont val="Arial"/>
        <family val="2"/>
      </rPr>
      <t>Synthèse optimisation</t>
    </r>
  </si>
  <si>
    <r>
      <t xml:space="preserve">nouveau </t>
    </r>
    <r>
      <rPr>
        <b/>
        <sz val="9"/>
        <color indexed="8"/>
        <rFont val="Arial"/>
        <family val="2"/>
      </rPr>
      <t>berceau cadre</t>
    </r>
    <r>
      <rPr>
        <sz val="9"/>
        <color indexed="8"/>
        <rFont val="Arial"/>
        <family val="2"/>
      </rPr>
      <t xml:space="preserve"> remplacant les prolonges</t>
    </r>
  </si>
  <si>
    <r>
      <rPr>
        <b/>
        <sz val="9"/>
        <color indexed="8"/>
        <rFont val="Arial"/>
        <family val="2"/>
      </rPr>
      <t xml:space="preserve">Transmission : </t>
    </r>
    <r>
      <rPr>
        <sz val="9"/>
        <color indexed="8"/>
        <rFont val="Arial"/>
        <family val="2"/>
      </rPr>
      <t xml:space="preserve">
redimensionnement RZ20 ald RZ17,5</t>
    </r>
  </si>
  <si>
    <t>en RISQUE BASE+SIL</t>
  </si>
  <si>
    <t>Small overlap
partie MDB : en risque</t>
  </si>
  <si>
    <t>disque AR</t>
  </si>
  <si>
    <t>disque Arr : upsizing 320 sur EP6 180ch</t>
  </si>
  <si>
    <t>Pt Ua</t>
  </si>
  <si>
    <t>Pt Ua : implantation point Ua, tenue des efforts en torsion et passage des efforts dans cette zone.</t>
  </si>
  <si>
    <t>Disque AV</t>
  </si>
  <si>
    <t xml:space="preserve">Disque AV : risque de passage à 330x30 sur EP6 180ch </t>
  </si>
  <si>
    <t xml:space="preserve">Tablier </t>
  </si>
  <si>
    <t>Tablier 
Risque FBS: Renfort tablier pour FBS ( Futur Brake system)</t>
  </si>
  <si>
    <t>façade Refroidissement</t>
  </si>
  <si>
    <t>Dimensionnement Refroidissement</t>
  </si>
  <si>
    <t>PC</t>
  </si>
  <si>
    <t>Pare choc : 
Impact nouvelle identité Peugeot (retex P8, R8)</t>
  </si>
  <si>
    <t>Capot : 
Capot actif</t>
  </si>
  <si>
    <t>caisse</t>
  </si>
  <si>
    <t>Mise à prestation caisse :
Risque complémentaire suite à 1ere evaluations ECN0</t>
  </si>
  <si>
    <t>Plancher</t>
  </si>
  <si>
    <t xml:space="preserve">plancher de charge acier : </t>
  </si>
  <si>
    <t>assise AV</t>
  </si>
  <si>
    <t>Assise AV : 
Optimisation ++ Génération DPE (configuration avec réhausse conducteur / avec réhausse passager)</t>
  </si>
  <si>
    <t>Aile</t>
  </si>
  <si>
    <t>Aile : 
Basculer en aile acier FF280DP en 0,6mm</t>
  </si>
  <si>
    <t>Caisse : (Programme €)
Barriere mobile MPDB</t>
  </si>
  <si>
    <t>portes</t>
  </si>
  <si>
    <t>Portes : 
Retro drapeau ald retro gousset</t>
  </si>
  <si>
    <t>vis</t>
  </si>
  <si>
    <t>Vis M14 ald M12, av et arr</t>
  </si>
  <si>
    <t>roulements AR</t>
  </si>
  <si>
    <t>roulements arr :
Roulement Gen 3 redimensionné</t>
  </si>
  <si>
    <t>admission air</t>
  </si>
  <si>
    <t>impact batt li/ ion : impact sur admission d'air</t>
  </si>
  <si>
    <t xml:space="preserve"> Assise AV : (Programme €)
Nappe detection siège enfant (DRE)</t>
  </si>
  <si>
    <t>SIL : Renfort Choc €/CH (2018) : Moyen de retenu : Nappe detection siège enfant (DRE) Avant</t>
  </si>
  <si>
    <t>Disque AV : upsizing diam vis 14mm, donc diam de bol de disque +3mm.</t>
  </si>
  <si>
    <t>Disque arr : upsizing diam vis 14mm, donc diam de bol de disque +3mm.</t>
  </si>
  <si>
    <t>Obturateur tunnel</t>
  </si>
  <si>
    <t>suppression obturateur tunel sur BVA si diversité tunel BVA/BVM</t>
  </si>
  <si>
    <t>LOT</t>
  </si>
  <si>
    <t>ZTC</t>
  </si>
  <si>
    <t>Cluster_CAPE</t>
  </si>
  <si>
    <t>CODE MODULE</t>
  </si>
  <si>
    <t>Perimetre</t>
  </si>
  <si>
    <t>Cluster</t>
  </si>
  <si>
    <t>Jalon MDT / PORO</t>
  </si>
  <si>
    <t>METIER</t>
  </si>
  <si>
    <t>PROBABILITE</t>
  </si>
  <si>
    <t>COST_ENGINEER</t>
  </si>
  <si>
    <t>PIECES</t>
  </si>
  <si>
    <t>STATUT</t>
  </si>
  <si>
    <t>SOEE</t>
  </si>
  <si>
    <t>IACT</t>
  </si>
  <si>
    <t>ADTH</t>
  </si>
  <si>
    <t>AEE</t>
  </si>
  <si>
    <t>SILHOUETTE</t>
  </si>
  <si>
    <t>P01_Siège_AV</t>
  </si>
  <si>
    <t>S.LACUVE</t>
  </si>
  <si>
    <t>3ième FEU STOP</t>
  </si>
  <si>
    <t>AMO</t>
  </si>
  <si>
    <t>ACT01</t>
  </si>
  <si>
    <t>-</t>
  </si>
  <si>
    <t>P02_Siège_AR</t>
  </si>
  <si>
    <t>COMPLEMENTS</t>
  </si>
  <si>
    <t>P.MASSON</t>
  </si>
  <si>
    <t>AILE AR CUSTODE</t>
  </si>
  <si>
    <t>RE</t>
  </si>
  <si>
    <t>ASS</t>
  </si>
  <si>
    <t>DCHM INT</t>
  </si>
  <si>
    <t>ACT02</t>
  </si>
  <si>
    <t>P03_Planche</t>
  </si>
  <si>
    <t>J.ARIBAUD</t>
  </si>
  <si>
    <t>AILE AVANT</t>
  </si>
  <si>
    <t>SO</t>
  </si>
  <si>
    <t>ATR</t>
  </si>
  <si>
    <t>ACT03</t>
  </si>
  <si>
    <t>P04_Panneaux</t>
  </si>
  <si>
    <t>JM.RULQUIN</t>
  </si>
  <si>
    <t>Amortissants</t>
  </si>
  <si>
    <t>NC</t>
  </si>
  <si>
    <t>BVM</t>
  </si>
  <si>
    <t>ORGANES</t>
  </si>
  <si>
    <t>ACT04</t>
  </si>
  <si>
    <t>P05_Eclairage_AV</t>
  </si>
  <si>
    <t>V.FOREST</t>
  </si>
  <si>
    <t>ANTENNE</t>
  </si>
  <si>
    <t>C OSDA</t>
  </si>
  <si>
    <t>ZSP</t>
  </si>
  <si>
    <t>ACT05</t>
  </si>
  <si>
    <t>P06_FEUX</t>
  </si>
  <si>
    <t>Prev</t>
  </si>
  <si>
    <t>A.VERBOIS</t>
  </si>
  <si>
    <t>ANTIBROUILLARD</t>
  </si>
  <si>
    <t>CATA</t>
  </si>
  <si>
    <t>ACT06</t>
  </si>
  <si>
    <t>P07_PC_AV</t>
  </si>
  <si>
    <t>Refusé</t>
  </si>
  <si>
    <t>E.SAMPAIO</t>
  </si>
  <si>
    <t>ARCEAU CENTRAL PAVILLON</t>
  </si>
  <si>
    <t>CT</t>
  </si>
  <si>
    <t>ACT07</t>
  </si>
  <si>
    <t>P08_PC_AR</t>
  </si>
  <si>
    <t>N.GAGNEUX</t>
  </si>
  <si>
    <t>AUVENT</t>
  </si>
  <si>
    <t>DIR</t>
  </si>
  <si>
    <t>ACT08</t>
  </si>
  <si>
    <t>P09_Vitrage</t>
  </si>
  <si>
    <t>R.ECK</t>
  </si>
  <si>
    <t>AVERTISSEUR</t>
  </si>
  <si>
    <t>EEH</t>
  </si>
  <si>
    <t>ACT09</t>
  </si>
  <si>
    <t>P10_Enjoliveur</t>
  </si>
  <si>
    <t>VA</t>
  </si>
  <si>
    <t>P.SOETE</t>
  </si>
  <si>
    <t xml:space="preserve">AVERTISSEUR </t>
  </si>
  <si>
    <t>EXT</t>
  </si>
  <si>
    <t>DCHM EXT</t>
  </si>
  <si>
    <t>ACT10</t>
  </si>
  <si>
    <t>P11_Garn_Coffre</t>
  </si>
  <si>
    <t>PROJET</t>
  </si>
  <si>
    <t>AL. CHAGNOLEAU</t>
  </si>
  <si>
    <t>Avertisseur sonore</t>
  </si>
  <si>
    <t>FRN</t>
  </si>
  <si>
    <t>ACT11</t>
  </si>
  <si>
    <t>P12_Garn_Int</t>
  </si>
  <si>
    <t>S. MONICARD</t>
  </si>
  <si>
    <t>BAGUETTES</t>
  </si>
  <si>
    <t>HYD</t>
  </si>
  <si>
    <t>ACT12</t>
  </si>
  <si>
    <t>E. BREDELET</t>
  </si>
  <si>
    <t>BARRES DE TOIT</t>
  </si>
  <si>
    <t>INT</t>
  </si>
  <si>
    <t>ACT13</t>
  </si>
  <si>
    <t>P. DOROLLE</t>
  </si>
  <si>
    <t>BAVETTE</t>
  </si>
  <si>
    <t>LAS</t>
  </si>
  <si>
    <t>CECTR</t>
  </si>
  <si>
    <t>K. FDIL</t>
  </si>
  <si>
    <t>BECQUET</t>
  </si>
  <si>
    <t>MAT</t>
  </si>
  <si>
    <t>CEMDB</t>
  </si>
  <si>
    <t>R. CAVALIER</t>
  </si>
  <si>
    <t>BUTEE DE VOLET</t>
  </si>
  <si>
    <t>MOT</t>
  </si>
  <si>
    <t>CEMDT</t>
  </si>
  <si>
    <t>STD</t>
  </si>
  <si>
    <t>JC. DAMOUR</t>
  </si>
  <si>
    <t>BUTEES CAPOT</t>
  </si>
  <si>
    <t>OUV</t>
  </si>
  <si>
    <t>CPE01a</t>
  </si>
  <si>
    <t>C. VINCENT</t>
  </si>
  <si>
    <t>Caisse en blanc</t>
  </si>
  <si>
    <t>PDC 1</t>
  </si>
  <si>
    <t>CPE01b</t>
  </si>
  <si>
    <t>S. MORATIN</t>
  </si>
  <si>
    <t>CAISSE/ TOLES</t>
  </si>
  <si>
    <t>PDC 2</t>
  </si>
  <si>
    <t>DAPF</t>
  </si>
  <si>
    <t>CPE02</t>
  </si>
  <si>
    <t>M. HENRY</t>
  </si>
  <si>
    <t>CANULE</t>
  </si>
  <si>
    <t>Provisions</t>
  </si>
  <si>
    <t>CPE03</t>
  </si>
  <si>
    <t>H. GUILLOT</t>
  </si>
  <si>
    <t>CAPOT</t>
  </si>
  <si>
    <t>STR</t>
  </si>
  <si>
    <t>CPE04</t>
  </si>
  <si>
    <t>F. GAILLARD</t>
  </si>
  <si>
    <t>CDC , panneau porte , pavillon</t>
  </si>
  <si>
    <t>CPE08</t>
  </si>
  <si>
    <t>charnière capot</t>
  </si>
  <si>
    <t>CPE09</t>
  </si>
  <si>
    <t>CHARNIERES CAPOT</t>
  </si>
  <si>
    <t>CPE10</t>
  </si>
  <si>
    <t>CHARNIERES DE VOLET</t>
  </si>
  <si>
    <t>CPE14</t>
  </si>
  <si>
    <t>CHOC</t>
  </si>
  <si>
    <t>CPE15</t>
  </si>
  <si>
    <t>CLOISON ANTI RECYC</t>
  </si>
  <si>
    <t>CPE16</t>
  </si>
  <si>
    <t>Cloison brancard</t>
  </si>
  <si>
    <t>EE01</t>
  </si>
  <si>
    <t>COE</t>
  </si>
  <si>
    <t>EE02</t>
  </si>
  <si>
    <t>ADAS</t>
  </si>
  <si>
    <t xml:space="preserve">COE </t>
  </si>
  <si>
    <t>EE03</t>
  </si>
  <si>
    <t>COFFRE</t>
  </si>
  <si>
    <t>EE04</t>
  </si>
  <si>
    <t>COI</t>
  </si>
  <si>
    <t>EE05</t>
  </si>
  <si>
    <t>COLLAGE</t>
  </si>
  <si>
    <t>EE06</t>
  </si>
  <si>
    <t>COLLECTEUR AUVENT partie inf ass (K3A)</t>
  </si>
  <si>
    <t>EE07</t>
  </si>
  <si>
    <t>Commission FETE</t>
  </si>
  <si>
    <t>EE08</t>
  </si>
  <si>
    <t>CONSOLE</t>
  </si>
  <si>
    <t>EE09</t>
  </si>
  <si>
    <t>DRIVER</t>
  </si>
  <si>
    <t>COTE HABITACLE</t>
  </si>
  <si>
    <t>EE10</t>
  </si>
  <si>
    <t>COULISSE</t>
  </si>
  <si>
    <t>EE11</t>
  </si>
  <si>
    <t>CRASH CLIP</t>
  </si>
  <si>
    <t>EE12</t>
  </si>
  <si>
    <t>CREMONE/SERRURE INF/SUP</t>
  </si>
  <si>
    <t>GMP01</t>
  </si>
  <si>
    <t>CROCHET R11</t>
  </si>
  <si>
    <t>GMP02</t>
  </si>
  <si>
    <t>CUSTODE</t>
  </si>
  <si>
    <t>GMP03</t>
  </si>
  <si>
    <t xml:space="preserve">CUSTODE </t>
  </si>
  <si>
    <t>GMP04</t>
  </si>
  <si>
    <t>DECORS EXT</t>
  </si>
  <si>
    <t>GMP05</t>
  </si>
  <si>
    <t>DEFLECTEUR DE HAYON</t>
  </si>
  <si>
    <t>GMP06</t>
  </si>
  <si>
    <t>DEFLECTEUR RESERVOIR LONG G P87</t>
  </si>
  <si>
    <t>GMP07</t>
  </si>
  <si>
    <t>DEFLECTEURS AIR</t>
  </si>
  <si>
    <t>GMP08</t>
  </si>
  <si>
    <t>DIVERS</t>
  </si>
  <si>
    <t>GMP09</t>
  </si>
  <si>
    <t>DOSSIER ASSISE</t>
  </si>
  <si>
    <t>GMP10</t>
  </si>
  <si>
    <t>DOUBLURE AILE</t>
  </si>
  <si>
    <t>GMP11</t>
  </si>
  <si>
    <t>DOUBLURE AILE AR</t>
  </si>
  <si>
    <t>GMP12</t>
  </si>
  <si>
    <t>DOUBLURE AILE AV</t>
  </si>
  <si>
    <t>GMP13</t>
  </si>
  <si>
    <t>DOUBLURE D/G planche talon</t>
  </si>
  <si>
    <t>GMP14</t>
  </si>
  <si>
    <t>DRL</t>
  </si>
  <si>
    <t>GMP15</t>
  </si>
  <si>
    <t>Ebénisteries</t>
  </si>
  <si>
    <t>GMP16</t>
  </si>
  <si>
    <t>ECHAPPEMENT</t>
  </si>
  <si>
    <t>GMP16a</t>
  </si>
  <si>
    <t>ECLAIRAGE</t>
  </si>
  <si>
    <t>GMP16b</t>
  </si>
  <si>
    <t>EMBLEME</t>
  </si>
  <si>
    <t>GMP17</t>
  </si>
  <si>
    <t>EMBOUT</t>
  </si>
  <si>
    <t>GMP18</t>
  </si>
  <si>
    <t>Encours DA</t>
  </si>
  <si>
    <t>GMP19</t>
  </si>
  <si>
    <t>Enjoliveur</t>
  </si>
  <si>
    <t>GMP20</t>
  </si>
  <si>
    <t>ENJOLIVEUR CUSTODE</t>
  </si>
  <si>
    <t>GMP23</t>
  </si>
  <si>
    <t>Enjoliveur extérieur</t>
  </si>
  <si>
    <t>HAB01</t>
  </si>
  <si>
    <t>SEAT</t>
  </si>
  <si>
    <t>ENROULEUR AV</t>
  </si>
  <si>
    <t>HAB02</t>
  </si>
  <si>
    <t>ENTREE AIR PILOTEE</t>
  </si>
  <si>
    <t>HAB03</t>
  </si>
  <si>
    <t>EPP</t>
  </si>
  <si>
    <t>HAB04</t>
  </si>
  <si>
    <t>EPP LED</t>
  </si>
  <si>
    <t>HAB05</t>
  </si>
  <si>
    <t>EQUILIBREURS CAPOT</t>
  </si>
  <si>
    <t>HAB06</t>
  </si>
  <si>
    <t>EQUIPEMENTS EXTERIEURS</t>
  </si>
  <si>
    <t>HAB08</t>
  </si>
  <si>
    <t>Equipements extérieurs</t>
  </si>
  <si>
    <t>HAB09</t>
  </si>
  <si>
    <t>ESSUIE VITRE ARRIERE</t>
  </si>
  <si>
    <t>HAB10</t>
  </si>
  <si>
    <t>ESSUYAGE</t>
  </si>
  <si>
    <t>HAB11</t>
  </si>
  <si>
    <t>ETANCHEITE</t>
  </si>
  <si>
    <t>HAB13</t>
  </si>
  <si>
    <t>FACADE AVANT</t>
  </si>
  <si>
    <t>LAS01</t>
  </si>
  <si>
    <t>Faisceau lêve vitre</t>
  </si>
  <si>
    <t>LAS02</t>
  </si>
  <si>
    <t>FERMETURE TUNNEL</t>
  </si>
  <si>
    <t>LAS03</t>
  </si>
  <si>
    <t>FERRAGE</t>
  </si>
  <si>
    <t>LAS04</t>
  </si>
  <si>
    <t>FETE SCEG</t>
  </si>
  <si>
    <t>LAS05</t>
  </si>
  <si>
    <t>FETE SOEE</t>
  </si>
  <si>
    <t>LAS06</t>
  </si>
  <si>
    <t>FETE SPCS</t>
  </si>
  <si>
    <t>LAS07</t>
  </si>
  <si>
    <t>Feu</t>
  </si>
  <si>
    <t>LAS08</t>
  </si>
  <si>
    <t>FEUX AR</t>
  </si>
  <si>
    <t>LAS09</t>
  </si>
  <si>
    <t>FOND DE CABINE</t>
  </si>
  <si>
    <t>LAS10</t>
  </si>
  <si>
    <t>GACHE DE COFFRE</t>
  </si>
  <si>
    <t>LAS11</t>
  </si>
  <si>
    <t>GACHE DE VOLET</t>
  </si>
  <si>
    <t>LAS12</t>
  </si>
  <si>
    <t>Garnissage coffre</t>
  </si>
  <si>
    <t>LAS13</t>
  </si>
  <si>
    <t>Garnissages coffre</t>
  </si>
  <si>
    <t>P0102</t>
  </si>
  <si>
    <t>Garnissages habitacle</t>
  </si>
  <si>
    <t>P03</t>
  </si>
  <si>
    <t>GARNISSAGES INT</t>
  </si>
  <si>
    <t>P04</t>
  </si>
  <si>
    <t>GLISSIERE SIEGE</t>
  </si>
  <si>
    <t>P05</t>
  </si>
  <si>
    <t xml:space="preserve">GOUSSET SUP PIED AV </t>
  </si>
  <si>
    <t>P06</t>
  </si>
  <si>
    <t>GOUTTIERE AILE</t>
  </si>
  <si>
    <t>P07</t>
  </si>
  <si>
    <t xml:space="preserve">GOUTTIERE ENTRE VOLET </t>
  </si>
  <si>
    <t>P08</t>
  </si>
  <si>
    <t>INSERT STRUCTURAL</t>
  </si>
  <si>
    <t>P09</t>
  </si>
  <si>
    <t>INSERTS</t>
  </si>
  <si>
    <t>P10</t>
  </si>
  <si>
    <t>P11</t>
  </si>
  <si>
    <t>INSONO CAPOT</t>
  </si>
  <si>
    <t>P12</t>
  </si>
  <si>
    <t>Insono tablier</t>
  </si>
  <si>
    <t>INSONOS</t>
  </si>
  <si>
    <t>Insonos moteur</t>
  </si>
  <si>
    <t>Joint</t>
  </si>
  <si>
    <t>JOINT ETANCHEITE PORTE</t>
  </si>
  <si>
    <t>JOINT JET D'EAU</t>
  </si>
  <si>
    <t>JOINT TO</t>
  </si>
  <si>
    <t>K2B</t>
  </si>
  <si>
    <t>K2C</t>
  </si>
  <si>
    <t>K2E</t>
  </si>
  <si>
    <t>K3B</t>
  </si>
  <si>
    <t>K3B : Cloison AR brancard D</t>
  </si>
  <si>
    <t>K4B</t>
  </si>
  <si>
    <t>LECHEURS EXTERIEUR</t>
  </si>
  <si>
    <t>LEVE-VITRE</t>
  </si>
  <si>
    <t>LONGERON</t>
  </si>
  <si>
    <t>LONGERONNET</t>
  </si>
  <si>
    <t>LONGERONNET AR (K2C)</t>
  </si>
  <si>
    <t>LONGERONNET AV</t>
  </si>
  <si>
    <t>LUNETTE</t>
  </si>
  <si>
    <t>LUNETTE AR</t>
  </si>
  <si>
    <t>Mastic</t>
  </si>
  <si>
    <t>Mecanisme de porte</t>
  </si>
  <si>
    <t>Mecanisme de vitre</t>
  </si>
  <si>
    <t>MECANISME SEV</t>
  </si>
  <si>
    <t>Mécanisme SEV</t>
  </si>
  <si>
    <t>MECANISME SEV / Z6E</t>
  </si>
  <si>
    <t>MONOGRAMME</t>
  </si>
  <si>
    <t>MOTEUR LV</t>
  </si>
  <si>
    <t>obturateurs</t>
  </si>
  <si>
    <t>Optimisation CUM</t>
  </si>
  <si>
    <t>Pack aéro</t>
  </si>
  <si>
    <t>PADDING</t>
  </si>
  <si>
    <t>PANNEAU AR</t>
  </si>
  <si>
    <t>Panneau AR ASS</t>
  </si>
  <si>
    <t>PANNEAUX</t>
  </si>
  <si>
    <t>Pare choc</t>
  </si>
  <si>
    <t>PARE-BOUE</t>
  </si>
  <si>
    <t>PARE-BRISE</t>
  </si>
  <si>
    <t>PARE-CHOCS</t>
  </si>
  <si>
    <t>PARE-CHOCS AR</t>
  </si>
  <si>
    <t>PARE-CHOCS AV</t>
  </si>
  <si>
    <t>PATCH ACOUSTIQUE</t>
  </si>
  <si>
    <t>PAVILLON</t>
  </si>
  <si>
    <t>PEINTURE</t>
  </si>
  <si>
    <t>Pièces embouties</t>
  </si>
  <si>
    <t>PIED AVANT/MILIEU</t>
  </si>
  <si>
    <t>PIED CENTRAL</t>
  </si>
  <si>
    <t>PIED MILIEU</t>
  </si>
  <si>
    <t>Plafonnier</t>
  </si>
  <si>
    <t>PLANCHER</t>
  </si>
  <si>
    <t>PLANCHER AR</t>
  </si>
  <si>
    <t>PLANCHER ASSISE</t>
  </si>
  <si>
    <t>PLANCHER AV</t>
  </si>
  <si>
    <t>PLANCHER CHARGE</t>
  </si>
  <si>
    <t>PLANCHER COMPOSITE</t>
  </si>
  <si>
    <t>PLANCHE TALON ASS (K2C)</t>
  </si>
  <si>
    <t>PLC</t>
  </si>
  <si>
    <t>PORTE</t>
  </si>
  <si>
    <t>Portefeuille MDB</t>
  </si>
  <si>
    <t>PORTES</t>
  </si>
  <si>
    <t>PORTES AR</t>
  </si>
  <si>
    <t>PORTES AV</t>
  </si>
  <si>
    <t>PORTES BATTANTES</t>
  </si>
  <si>
    <t>POUTRE</t>
  </si>
  <si>
    <t>PROJECTEURS</t>
  </si>
  <si>
    <t>PROTECTION EXT</t>
  </si>
  <si>
    <t>PROTECTION PAVILLON</t>
  </si>
  <si>
    <t>PROTECTIONS</t>
  </si>
  <si>
    <t>R1A</t>
  </si>
  <si>
    <t>R1B</t>
  </si>
  <si>
    <t>RENF FIX SUP ENROUL</t>
  </si>
  <si>
    <t>RENF SUP PIED</t>
  </si>
  <si>
    <t>RENFORT AR PASSAGE DE ROUE</t>
  </si>
  <si>
    <t>RENFORT ARC PAVILLON</t>
  </si>
  <si>
    <t>RENFORT ARC PAVILLON ASS</t>
  </si>
  <si>
    <t>RENFORT CHOC FRONTAL PORTE</t>
  </si>
  <si>
    <t>Renfort gache de porte</t>
  </si>
  <si>
    <t>RENFORT LONGERON</t>
  </si>
  <si>
    <t>RENFORT PIED AV ASS</t>
  </si>
  <si>
    <t>RENFORT SERRURE PORTE</t>
  </si>
  <si>
    <t>REPETITEUR</t>
  </si>
  <si>
    <t>RETRO EXT</t>
  </si>
  <si>
    <t>RETRO INT</t>
  </si>
  <si>
    <t>RETROVISEUR</t>
  </si>
  <si>
    <t>SAC</t>
  </si>
  <si>
    <t>SAC AV</t>
  </si>
  <si>
    <t>SERRURE CAPOT</t>
  </si>
  <si>
    <t>SERRURE VOLET</t>
  </si>
  <si>
    <t>SERRURES</t>
  </si>
  <si>
    <t>SEUILS DE PORTES</t>
  </si>
  <si>
    <t>SOUBASSEMENT</t>
  </si>
  <si>
    <t>Sous ensemble</t>
  </si>
  <si>
    <t>STRUCTURE</t>
  </si>
  <si>
    <t>SUPPORT ENTRETOISE TRAIN AR</t>
  </si>
  <si>
    <t>SUPPORT FIXATION ENROULEUR</t>
  </si>
  <si>
    <t>TABLIER</t>
  </si>
  <si>
    <t>TIB</t>
  </si>
  <si>
    <t xml:space="preserve">TOIT OUVRANT </t>
  </si>
  <si>
    <t>Tole</t>
  </si>
  <si>
    <t>TRAPPE A CARBURANT</t>
  </si>
  <si>
    <t>TRAVERSE</t>
  </si>
  <si>
    <t>TRAVERSE AV ASSISE AV ASS</t>
  </si>
  <si>
    <t>TRAVERSE AV PAVILLON ASS</t>
  </si>
  <si>
    <t>TRAVERSE CLOISON</t>
  </si>
  <si>
    <t>TRAVERSE PAVILLON</t>
  </si>
  <si>
    <t>TUNNEL</t>
  </si>
  <si>
    <t>UNIT AR</t>
  </si>
  <si>
    <t>VISSERIE</t>
  </si>
  <si>
    <t>VITRES</t>
  </si>
  <si>
    <t>VOLET</t>
  </si>
  <si>
    <t>CLIMATISATION</t>
  </si>
  <si>
    <t>ASSISES - Accessoires</t>
  </si>
  <si>
    <t>Volant</t>
  </si>
  <si>
    <t>Pare-soleil</t>
  </si>
  <si>
    <t>POIGNEE DE MAINTIEN</t>
  </si>
  <si>
    <t>Airbags</t>
  </si>
  <si>
    <t>ASSISES - Armatures</t>
  </si>
  <si>
    <t>ASSISES - Coiffes</t>
  </si>
  <si>
    <t>ASSISES - Divers</t>
  </si>
  <si>
    <t>ASSISES - Mousses</t>
  </si>
  <si>
    <t>Ceintures</t>
  </si>
  <si>
    <t>ASSISES - JAT</t>
  </si>
  <si>
    <t>ASSISES - Pièces plastique</t>
  </si>
  <si>
    <t xml:space="preserve">Garnissages Habitacle </t>
  </si>
  <si>
    <t>Pdp</t>
  </si>
  <si>
    <t xml:space="preserve">PDB </t>
  </si>
  <si>
    <t>FETE en cours</t>
  </si>
  <si>
    <t>ASSISES</t>
  </si>
  <si>
    <t>ASSISES-ACCESSOIRES</t>
  </si>
  <si>
    <t>ASSISES-ARMATURES</t>
  </si>
  <si>
    <t>ASSISES-Divers</t>
  </si>
  <si>
    <t>ASSISES-MOUSSES</t>
  </si>
  <si>
    <t>Garniture pavillon</t>
  </si>
  <si>
    <t>Console pavillon</t>
  </si>
  <si>
    <t>Garnissage de coffre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</si>
</sst>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quot;€&quot;;[Red]\-#,##0\ &quot;€&quot;"/>
    <numFmt numFmtId="165" formatCode="#,##0.00\ &quot;€&quot;;[Red]\-#,##0.00\ &quot;€&quot;"/>
    <numFmt numFmtId="166" formatCode="0.0"/>
    <numFmt numFmtId="167" formatCode="0.0&quot;kg&quot;"/>
    <numFmt numFmtId="168" formatCode="0&quot;kg&quot;"/>
    <numFmt numFmtId="169" formatCode="0.000"/>
    <numFmt numFmtId="170" formatCode="[$-409]d\-mmm\-yy;@"/>
    <numFmt numFmtId="171" formatCode="&quot;€&quot;#,##0_);[Red]\(&quot;€&quot;#,##0\)"/>
    <numFmt numFmtId="172" formatCode="#,##0.0\ [$€-1];[Red]\-#,##0.0\ [$€-1]"/>
    <numFmt numFmtId="173" formatCode="0\ &quot;day&quot;"/>
  </numFmts>
  <fonts count="64">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0"/>
      <name val="Calibri"/>
      <family val="2"/>
      <scheme val="minor"/>
    </font>
    <font>
      <sz val="10"/>
      <name val="Arial"/>
      <family val="2"/>
    </font>
    <font>
      <b/>
      <sz val="12"/>
      <name val="Calibri"/>
      <family val="2"/>
      <scheme val="minor"/>
    </font>
    <font>
      <sz val="9"/>
      <name val="Arial"/>
      <family val="2"/>
    </font>
    <font>
      <sz val="9"/>
      <color theme="1"/>
      <name val="Arial"/>
      <family val="2"/>
    </font>
    <font>
      <b/>
      <sz val="9"/>
      <name val="Arial"/>
      <family val="2"/>
    </font>
    <font>
      <sz val="9"/>
      <color indexed="8"/>
      <name val="Arial"/>
      <family val="2"/>
    </font>
    <font>
      <b/>
      <sz val="9"/>
      <color indexed="8"/>
      <name val="Arial"/>
      <family val="2"/>
    </font>
    <font>
      <b/>
      <sz val="9"/>
      <color indexed="81"/>
      <name val="Tahoma"/>
      <family val="2"/>
    </font>
    <font>
      <sz val="9"/>
      <color indexed="81"/>
      <name val="Tahoma"/>
      <family val="2"/>
    </font>
    <font>
      <u/>
      <sz val="9"/>
      <color indexed="81"/>
      <name val="Tahoma"/>
      <family val="2"/>
    </font>
    <font>
      <sz val="10"/>
      <color theme="0"/>
      <name val="Arial"/>
      <family val="2"/>
    </font>
    <font>
      <sz val="8"/>
      <name val="Arial"/>
      <family val="2"/>
    </font>
    <font>
      <b/>
      <sz val="10"/>
      <name val="Arial"/>
      <family val="2"/>
    </font>
    <font>
      <b/>
      <sz val="10"/>
      <color rgb="FFFF0000"/>
      <name val="Arial"/>
      <family val="2"/>
    </font>
    <font>
      <b/>
      <sz val="16"/>
      <color rgb="FFFF0000"/>
      <name val="Arial"/>
      <family val="2"/>
    </font>
    <font>
      <sz val="10"/>
      <color rgb="FF0070C0"/>
      <name val="Arial"/>
      <family val="2"/>
    </font>
    <font>
      <sz val="10"/>
      <color theme="3" tint="0.39997558519241921"/>
      <name val="Arial"/>
      <family val="2"/>
    </font>
    <font>
      <b/>
      <sz val="10"/>
      <color theme="0"/>
      <name val="Arial"/>
      <family val="2"/>
    </font>
    <font>
      <b/>
      <sz val="10"/>
      <color indexed="8"/>
      <name val="Arial"/>
      <family val="2"/>
    </font>
    <font>
      <sz val="10"/>
      <color rgb="FF000000"/>
      <name val="Calibri"/>
      <family val="2"/>
      <scheme val="minor"/>
    </font>
    <font>
      <b/>
      <sz val="8"/>
      <color theme="1"/>
      <name val="Calibri"/>
      <family val="2"/>
      <scheme val="minor"/>
    </font>
    <font>
      <i/>
      <sz val="8"/>
      <color theme="1"/>
      <name val="Calibri"/>
      <family val="2"/>
      <scheme val="minor"/>
    </font>
    <font>
      <i/>
      <sz val="11"/>
      <color theme="1"/>
      <name val="Calibri"/>
      <family val="2"/>
      <scheme val="minor"/>
    </font>
    <font>
      <u/>
      <sz val="11"/>
      <color theme="10"/>
      <name val="Calibri"/>
      <family val="2"/>
      <scheme val="minor"/>
    </font>
    <font>
      <sz val="8"/>
      <name val="Calibri"/>
      <family val="2"/>
      <scheme val="minor"/>
    </font>
    <font>
      <b/>
      <sz val="10"/>
      <name val="Calibri"/>
      <family val="2"/>
      <scheme val="minor"/>
    </font>
    <font>
      <b/>
      <sz val="10"/>
      <color theme="0"/>
      <name val="Calibri"/>
      <family val="2"/>
      <scheme val="minor"/>
    </font>
    <font>
      <sz val="10"/>
      <color theme="0" tint="-0.34998626667073579"/>
      <name val="Calibri"/>
      <family val="2"/>
      <scheme val="minor"/>
    </font>
    <font>
      <i/>
      <sz val="10"/>
      <color theme="1"/>
      <name val="Calibri"/>
      <family val="2"/>
      <scheme val="minor"/>
    </font>
    <font>
      <sz val="10"/>
      <color rgb="FF000000"/>
      <name val="Calibri"/>
      <family val="2"/>
    </font>
    <font>
      <sz val="10"/>
      <color rgb="FFFF0000"/>
      <name val="Calibri"/>
      <family val="2"/>
      <scheme val="minor"/>
    </font>
    <font>
      <b/>
      <sz val="10"/>
      <color indexed="9"/>
      <name val="Calibri"/>
      <family val="2"/>
      <scheme val="minor"/>
    </font>
    <font>
      <b/>
      <sz val="14"/>
      <name val="Calibri"/>
      <family val="2"/>
      <scheme val="minor"/>
    </font>
    <font>
      <b/>
      <sz val="14"/>
      <color theme="0"/>
      <name val="Calibri"/>
      <family val="2"/>
      <scheme val="minor"/>
    </font>
    <font>
      <b/>
      <sz val="14"/>
      <color rgb="FFFF0000"/>
      <name val="Calibri"/>
      <family val="2"/>
      <scheme val="minor"/>
    </font>
    <font>
      <sz val="11"/>
      <color rgb="FF006100"/>
      <name val="Calibri"/>
      <family val="2"/>
      <scheme val="minor"/>
    </font>
    <font>
      <b/>
      <sz val="11"/>
      <color theme="0"/>
      <name val="Calibri"/>
      <family val="2"/>
      <scheme val="minor"/>
    </font>
    <font>
      <b/>
      <sz val="14"/>
      <color theme="1"/>
      <name val="Calibri"/>
      <family val="2"/>
      <scheme val="minor"/>
    </font>
    <font>
      <sz val="10"/>
      <color theme="0"/>
      <name val="Calibri"/>
      <family val="2"/>
      <scheme val="minor"/>
    </font>
    <font>
      <b/>
      <sz val="12"/>
      <color theme="1"/>
      <name val="Calibri"/>
      <family val="2"/>
      <scheme val="minor"/>
    </font>
    <font>
      <b/>
      <i/>
      <sz val="9"/>
      <color theme="1"/>
      <name val="Calibri"/>
      <family val="2"/>
      <scheme val="minor"/>
    </font>
    <font>
      <i/>
      <sz val="9"/>
      <color theme="1"/>
      <name val="Calibri"/>
      <family val="2"/>
      <scheme val="minor"/>
    </font>
    <font>
      <i/>
      <sz val="14"/>
      <color theme="1"/>
      <name val="Calibri"/>
      <family val="2"/>
      <scheme val="minor"/>
    </font>
    <font>
      <sz val="9"/>
      <color theme="1"/>
      <name val="Calibri"/>
      <family val="2"/>
      <scheme val="minor"/>
    </font>
    <font>
      <sz val="16"/>
      <color rgb="FF006100"/>
      <name val="Calibri"/>
      <family val="2"/>
    </font>
    <font>
      <b/>
      <sz val="12"/>
      <color rgb="FF000000"/>
      <name val="Calibri"/>
      <family val="2"/>
    </font>
    <font>
      <sz val="12"/>
      <name val="Calibri"/>
      <family val="2"/>
    </font>
    <font>
      <sz val="12"/>
      <color rgb="FF000000"/>
      <name val="Calibri"/>
      <family val="2"/>
    </font>
    <font>
      <sz val="10"/>
      <name val="Arial"/>
      <family val="2"/>
      <charset val="1"/>
    </font>
    <font>
      <sz val="16"/>
      <color rgb="FF006100"/>
      <name val="Calibri"/>
      <family val="2"/>
      <scheme val="minor"/>
    </font>
    <font>
      <sz val="7"/>
      <color rgb="FF242424"/>
      <name val="Inherit"/>
    </font>
    <font>
      <sz val="9"/>
      <color rgb="FF000000"/>
      <name val="Calibri"/>
      <family val="2"/>
    </font>
    <font>
      <sz val="11"/>
      <color rgb="FF000000"/>
      <name val="Calibri"/>
      <family val="2"/>
      <scheme val="minor"/>
    </font>
    <font>
      <sz val="18"/>
      <color theme="1"/>
      <name val="Calibri"/>
      <family val="2"/>
      <scheme val="minor"/>
    </font>
    <font>
      <sz val="11"/>
      <color rgb="FFFF0000"/>
      <name val="Calibri"/>
      <family val="2"/>
      <scheme val="minor"/>
    </font>
    <font>
      <b/>
      <sz val="10"/>
      <color rgb="FF000000"/>
      <name val="Calibri"/>
      <family val="2"/>
      <scheme val="minor"/>
    </font>
    <font>
      <strike/>
      <sz val="10"/>
      <color rgb="FF000000"/>
      <name val="Calibri"/>
      <family val="2"/>
      <scheme val="minor"/>
    </font>
  </fonts>
  <fills count="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99"/>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rgb="FF99FF33"/>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66FF66"/>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99CCFF"/>
        <bgColor indexed="64"/>
      </patternFill>
    </fill>
    <fill>
      <patternFill patternType="solid">
        <fgColor theme="5" tint="0.59999389629810485"/>
        <bgColor indexed="64"/>
      </patternFill>
    </fill>
    <fill>
      <patternFill patternType="solid">
        <fgColor rgb="FFFFFF00"/>
        <bgColor rgb="FF000000"/>
      </patternFill>
    </fill>
    <fill>
      <patternFill patternType="solid">
        <fgColor rgb="FF92D050"/>
        <bgColor rgb="FF000000"/>
      </patternFill>
    </fill>
    <fill>
      <patternFill patternType="solid">
        <fgColor indexed="65"/>
        <bgColor indexed="64"/>
      </patternFill>
    </fill>
    <fill>
      <patternFill patternType="solid">
        <fgColor theme="0" tint="-0.14999847407452621"/>
        <bgColor rgb="FF000000"/>
      </patternFill>
    </fill>
    <fill>
      <patternFill patternType="solid">
        <fgColor theme="1" tint="0.249977111117893"/>
        <bgColor indexed="64"/>
      </patternFill>
    </fill>
    <fill>
      <patternFill patternType="solid">
        <fgColor rgb="FFFFFF66"/>
        <bgColor indexed="64"/>
      </patternFill>
    </fill>
    <fill>
      <patternFill patternType="solid">
        <fgColor theme="2" tint="-0.499984740745262"/>
        <bgColor indexed="64"/>
      </patternFill>
    </fill>
    <fill>
      <patternFill patternType="solid">
        <fgColor theme="0" tint="-0.249977111117893"/>
        <bgColor rgb="FF000000"/>
      </patternFill>
    </fill>
    <fill>
      <patternFill patternType="solid">
        <fgColor rgb="FFFFC000"/>
        <bgColor rgb="FF000000"/>
      </patternFill>
    </fill>
    <fill>
      <patternFill patternType="solid">
        <fgColor rgb="FF0070C0"/>
        <bgColor indexed="64"/>
      </patternFill>
    </fill>
    <fill>
      <patternFill patternType="solid">
        <fgColor rgb="FFC6EFCE"/>
      </patternFill>
    </fill>
    <fill>
      <patternFill patternType="solid">
        <fgColor rgb="FF33CC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7030A0"/>
        <bgColor indexed="64"/>
      </patternFill>
    </fill>
    <fill>
      <patternFill patternType="solid">
        <fgColor theme="4"/>
        <bgColor indexed="64"/>
      </patternFill>
    </fill>
  </fills>
  <borders count="41">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auto="1"/>
      </bottom>
      <diagonal/>
    </border>
    <border>
      <left style="thin">
        <color indexed="64"/>
      </left>
      <right style="dotted">
        <color indexed="64"/>
      </right>
      <top style="thin">
        <color indexed="64"/>
      </top>
      <bottom/>
      <diagonal/>
    </border>
    <border>
      <left style="thin">
        <color indexed="64"/>
      </left>
      <right style="dotted">
        <color indexed="64"/>
      </right>
      <top/>
      <bottom/>
      <diagonal/>
    </border>
    <border>
      <left style="thin">
        <color indexed="64"/>
      </left>
      <right style="dotted">
        <color indexed="64"/>
      </right>
      <top/>
      <bottom style="thin">
        <color indexed="64"/>
      </bottom>
      <diagonal/>
    </border>
    <border>
      <left/>
      <right style="thin">
        <color indexed="9"/>
      </right>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s>
  <cellStyleXfs count="10">
    <xf numFmtId="0" fontId="0" fillId="0" borderId="0"/>
    <xf numFmtId="9" fontId="1"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30" fillId="0" borderId="0" applyNumberFormat="0" applyFill="0" applyBorder="0" applyAlignment="0" applyProtection="0"/>
    <xf numFmtId="0" fontId="42" fillId="38" borderId="0" applyNumberFormat="0" applyBorder="0" applyAlignment="0" applyProtection="0"/>
    <xf numFmtId="0" fontId="55" fillId="0" borderId="0"/>
    <xf numFmtId="0" fontId="30" fillId="0" borderId="0" applyNumberFormat="0" applyFill="0" applyBorder="0" applyAlignment="0" applyProtection="0"/>
  </cellStyleXfs>
  <cellXfs count="592">
    <xf numFmtId="0" fontId="0" fillId="0" borderId="0" xfId="0"/>
    <xf numFmtId="0" fontId="3" fillId="2" borderId="0" xfId="0" applyFont="1" applyFill="1" applyAlignment="1">
      <alignment vertical="center"/>
    </xf>
    <xf numFmtId="0" fontId="8" fillId="4" borderId="1" xfId="2" applyFont="1" applyFill="1" applyBorder="1" applyAlignment="1">
      <alignment horizontal="center" vertical="center" textRotation="90" wrapText="1"/>
    </xf>
    <xf numFmtId="0" fontId="8" fillId="4" borderId="1" xfId="2" applyFont="1" applyFill="1" applyBorder="1" applyAlignment="1">
      <alignment horizontal="center" vertical="center" wrapText="1"/>
    </xf>
    <xf numFmtId="0" fontId="8" fillId="6" borderId="1" xfId="2" applyFont="1" applyFill="1" applyBorder="1" applyAlignment="1">
      <alignment horizontal="center" vertical="center" textRotation="90" wrapText="1"/>
    </xf>
    <xf numFmtId="0" fontId="10" fillId="0" borderId="1" xfId="2" applyFont="1" applyBorder="1" applyAlignment="1">
      <alignment horizontal="center" vertical="center" wrapText="1"/>
    </xf>
    <xf numFmtId="0" fontId="9" fillId="2" borderId="1" xfId="2" applyFont="1" applyFill="1" applyBorder="1" applyAlignment="1">
      <alignment horizontal="center" vertical="center" wrapText="1"/>
    </xf>
    <xf numFmtId="0" fontId="11" fillId="2" borderId="1" xfId="2" quotePrefix="1" applyFont="1" applyFill="1" applyBorder="1" applyAlignment="1">
      <alignment horizontal="center" vertical="center" wrapText="1"/>
    </xf>
    <xf numFmtId="0" fontId="12" fillId="0" borderId="1" xfId="2" applyFont="1" applyBorder="1" applyAlignment="1">
      <alignment horizontal="left" vertical="center" wrapText="1"/>
    </xf>
    <xf numFmtId="167" fontId="11" fillId="0" borderId="1" xfId="2" applyNumberFormat="1" applyFont="1" applyBorder="1" applyAlignment="1">
      <alignment horizontal="center" vertical="center" wrapText="1"/>
    </xf>
    <xf numFmtId="0" fontId="3" fillId="2" borderId="1" xfId="0" applyFont="1" applyFill="1" applyBorder="1" applyAlignment="1">
      <alignment vertical="center"/>
    </xf>
    <xf numFmtId="0" fontId="11" fillId="8" borderId="1" xfId="2" quotePrefix="1" applyFont="1" applyFill="1" applyBorder="1" applyAlignment="1">
      <alignment horizontal="center" vertical="center" wrapText="1"/>
    </xf>
    <xf numFmtId="1" fontId="0" fillId="0" borderId="0" xfId="0" applyNumberFormat="1"/>
    <xf numFmtId="0" fontId="2" fillId="10" borderId="8" xfId="0" applyFont="1" applyFill="1" applyBorder="1"/>
    <xf numFmtId="0" fontId="2" fillId="10" borderId="2" xfId="0" applyFont="1" applyFill="1" applyBorder="1"/>
    <xf numFmtId="0" fontId="2" fillId="10" borderId="9" xfId="0" applyFont="1" applyFill="1" applyBorder="1"/>
    <xf numFmtId="0" fontId="0" fillId="0" borderId="10" xfId="0" applyBorder="1"/>
    <xf numFmtId="0" fontId="0" fillId="10" borderId="10" xfId="0"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9" fontId="0" fillId="0" borderId="16" xfId="1"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8" borderId="0" xfId="0" applyFill="1"/>
    <xf numFmtId="0" fontId="0" fillId="13" borderId="0" xfId="0" applyFill="1"/>
    <xf numFmtId="166" fontId="7" fillId="8" borderId="1" xfId="0" applyNumberFormat="1" applyFont="1" applyFill="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0" fillId="7" borderId="1" xfId="0" applyFill="1" applyBorder="1" applyAlignment="1">
      <alignment horizontal="center"/>
    </xf>
    <xf numFmtId="0" fontId="0" fillId="15" borderId="0" xfId="0" applyFill="1"/>
    <xf numFmtId="1" fontId="17" fillId="16" borderId="1" xfId="0" applyNumberFormat="1" applyFont="1" applyFill="1" applyBorder="1" applyAlignment="1">
      <alignment horizontal="center"/>
    </xf>
    <xf numFmtId="1" fontId="0" fillId="0" borderId="1" xfId="0" applyNumberFormat="1" applyBorder="1" applyAlignment="1">
      <alignment horizontal="center"/>
    </xf>
    <xf numFmtId="1" fontId="0" fillId="3" borderId="1" xfId="0" applyNumberFormat="1" applyFill="1" applyBorder="1" applyAlignment="1">
      <alignment horizontal="center"/>
    </xf>
    <xf numFmtId="1" fontId="0" fillId="7" borderId="1" xfId="0" applyNumberFormat="1" applyFill="1" applyBorder="1" applyAlignment="1">
      <alignment horizontal="center"/>
    </xf>
    <xf numFmtId="166" fontId="0" fillId="0" borderId="0" xfId="0" applyNumberFormat="1"/>
    <xf numFmtId="0" fontId="7" fillId="0" borderId="0" xfId="0" applyFont="1"/>
    <xf numFmtId="0" fontId="17" fillId="16" borderId="1" xfId="0" applyFont="1" applyFill="1" applyBorder="1" applyAlignment="1">
      <alignment horizontal="center"/>
    </xf>
    <xf numFmtId="166" fontId="0" fillId="15" borderId="0" xfId="0" applyNumberFormat="1" applyFill="1"/>
    <xf numFmtId="166" fontId="17" fillId="16" borderId="1" xfId="0" applyNumberFormat="1" applyFont="1" applyFill="1" applyBorder="1" applyAlignment="1">
      <alignment horizontal="center"/>
    </xf>
    <xf numFmtId="1" fontId="0" fillId="15" borderId="0" xfId="0" applyNumberFormat="1" applyFill="1"/>
    <xf numFmtId="1" fontId="7" fillId="8" borderId="1" xfId="0" applyNumberFormat="1" applyFont="1" applyFill="1" applyBorder="1" applyAlignment="1">
      <alignment horizontal="center"/>
    </xf>
    <xf numFmtId="0" fontId="0" fillId="17" borderId="1" xfId="0" applyFill="1" applyBorder="1" applyAlignment="1">
      <alignment horizontal="center"/>
    </xf>
    <xf numFmtId="1" fontId="0" fillId="8" borderId="0" xfId="0" applyNumberFormat="1" applyFill="1"/>
    <xf numFmtId="1" fontId="0" fillId="17" borderId="1" xfId="0" applyNumberFormat="1" applyFill="1" applyBorder="1" applyAlignment="1">
      <alignment horizontal="center"/>
    </xf>
    <xf numFmtId="0" fontId="18" fillId="10" borderId="1" xfId="0" applyFont="1" applyFill="1" applyBorder="1" applyAlignment="1">
      <alignment horizontal="center" vertical="center"/>
    </xf>
    <xf numFmtId="0" fontId="7" fillId="0" borderId="0" xfId="5"/>
    <xf numFmtId="0" fontId="7" fillId="0" borderId="1" xfId="5" applyBorder="1" applyAlignment="1">
      <alignment horizontal="center"/>
    </xf>
    <xf numFmtId="9" fontId="7" fillId="0" borderId="1" xfId="5" applyNumberFormat="1" applyBorder="1" applyAlignment="1">
      <alignment horizontal="center"/>
    </xf>
    <xf numFmtId="1" fontId="7" fillId="0" borderId="1" xfId="5" applyNumberFormat="1" applyBorder="1" applyAlignment="1">
      <alignment horizontal="center"/>
    </xf>
    <xf numFmtId="0" fontId="7" fillId="13" borderId="0" xfId="5" applyFill="1"/>
    <xf numFmtId="0" fontId="20" fillId="13" borderId="0" xfId="5" applyFont="1" applyFill="1" applyAlignment="1">
      <alignment horizontal="center" vertical="center"/>
    </xf>
    <xf numFmtId="0" fontId="7" fillId="0" borderId="4" xfId="5" applyBorder="1" applyAlignment="1">
      <alignment horizontal="center" vertical="center" wrapText="1"/>
    </xf>
    <xf numFmtId="0" fontId="7" fillId="9" borderId="4" xfId="5" applyFill="1" applyBorder="1" applyAlignment="1">
      <alignment horizontal="center" vertical="center" wrapText="1"/>
    </xf>
    <xf numFmtId="0" fontId="7" fillId="18" borderId="4" xfId="5" applyFill="1" applyBorder="1" applyAlignment="1">
      <alignment horizontal="center" vertical="center" wrapText="1"/>
    </xf>
    <xf numFmtId="0" fontId="7" fillId="5" borderId="4" xfId="5" applyFill="1" applyBorder="1" applyAlignment="1">
      <alignment horizontal="center" vertical="center" wrapText="1"/>
    </xf>
    <xf numFmtId="0" fontId="7" fillId="3" borderId="4" xfId="5" applyFill="1" applyBorder="1" applyAlignment="1">
      <alignment horizontal="center" vertical="center" wrapText="1"/>
    </xf>
    <xf numFmtId="0" fontId="19" fillId="12" borderId="4" xfId="5" applyFont="1" applyFill="1" applyBorder="1" applyAlignment="1">
      <alignment horizontal="center" vertical="center" wrapText="1"/>
    </xf>
    <xf numFmtId="0" fontId="21" fillId="13" borderId="0" xfId="5" applyFont="1" applyFill="1" applyAlignment="1">
      <alignment horizontal="center" vertical="center"/>
    </xf>
    <xf numFmtId="0" fontId="7" fillId="12" borderId="4" xfId="5" applyFill="1" applyBorder="1" applyAlignment="1">
      <alignment horizontal="center" vertical="center" wrapText="1"/>
    </xf>
    <xf numFmtId="14" fontId="7" fillId="0" borderId="1" xfId="5" applyNumberFormat="1" applyBorder="1" applyAlignment="1">
      <alignment horizontal="center" vertical="center"/>
    </xf>
    <xf numFmtId="1" fontId="19" fillId="8" borderId="1" xfId="5" applyNumberFormat="1" applyFont="1" applyFill="1" applyBorder="1" applyAlignment="1">
      <alignment horizontal="center"/>
    </xf>
    <xf numFmtId="0" fontId="7" fillId="0" borderId="1" xfId="5" applyBorder="1" applyAlignment="1">
      <alignment horizontal="center" vertical="center"/>
    </xf>
    <xf numFmtId="0" fontId="7" fillId="0" borderId="14" xfId="5" applyBorder="1"/>
    <xf numFmtId="0" fontId="7" fillId="13" borderId="0" xfId="5" applyFill="1" applyAlignment="1">
      <alignment horizontal="center" vertical="center" wrapText="1"/>
    </xf>
    <xf numFmtId="0" fontId="7" fillId="0" borderId="1" xfId="5" applyBorder="1" applyAlignment="1">
      <alignment horizontal="center" vertical="center" wrapText="1"/>
    </xf>
    <xf numFmtId="0" fontId="19" fillId="19" borderId="14" xfId="5" applyFont="1" applyFill="1" applyBorder="1" applyAlignment="1">
      <alignment horizontal="left"/>
    </xf>
    <xf numFmtId="1" fontId="7" fillId="0" borderId="1" xfId="5" applyNumberFormat="1" applyBorder="1" applyAlignment="1">
      <alignment horizontal="center" vertical="center"/>
    </xf>
    <xf numFmtId="168" fontId="7" fillId="0" borderId="1" xfId="5" applyNumberFormat="1" applyBorder="1" applyAlignment="1">
      <alignment horizontal="center" vertical="center"/>
    </xf>
    <xf numFmtId="168" fontId="7" fillId="0" borderId="0" xfId="5" applyNumberFormat="1" applyAlignment="1">
      <alignment horizontal="center" vertical="center"/>
    </xf>
    <xf numFmtId="168" fontId="7" fillId="13" borderId="0" xfId="5" applyNumberFormat="1" applyFill="1" applyAlignment="1">
      <alignment horizontal="center" vertical="center"/>
    </xf>
    <xf numFmtId="1" fontId="7" fillId="0" borderId="0" xfId="5" applyNumberFormat="1" applyAlignment="1">
      <alignment horizontal="center"/>
    </xf>
    <xf numFmtId="0" fontId="7" fillId="19" borderId="14" xfId="5" applyFill="1" applyBorder="1"/>
    <xf numFmtId="0" fontId="19" fillId="19" borderId="0" xfId="5" applyFont="1" applyFill="1"/>
    <xf numFmtId="1" fontId="22" fillId="0" borderId="1" xfId="5" applyNumberFormat="1" applyFont="1" applyBorder="1" applyAlignment="1">
      <alignment horizontal="center" vertical="center"/>
    </xf>
    <xf numFmtId="1" fontId="23" fillId="0" borderId="1" xfId="5" applyNumberFormat="1" applyFont="1" applyBorder="1" applyAlignment="1">
      <alignment horizontal="center" vertical="center"/>
    </xf>
    <xf numFmtId="0" fontId="24" fillId="20" borderId="0" xfId="5" applyFont="1" applyFill="1" applyAlignment="1">
      <alignment horizontal="left" vertical="center"/>
    </xf>
    <xf numFmtId="0" fontId="0" fillId="0" borderId="0" xfId="0" quotePrefix="1"/>
    <xf numFmtId="0" fontId="11" fillId="5" borderId="1" xfId="2" quotePrefix="1" applyFont="1" applyFill="1" applyBorder="1" applyAlignment="1">
      <alignment horizontal="center" vertical="center" wrapText="1"/>
    </xf>
    <xf numFmtId="0" fontId="11" fillId="14" borderId="1" xfId="2" quotePrefix="1" applyFont="1" applyFill="1" applyBorder="1" applyAlignment="1">
      <alignment horizontal="center" vertical="center" wrapText="1"/>
    </xf>
    <xf numFmtId="168" fontId="7" fillId="0" borderId="0" xfId="5" applyNumberFormat="1" applyAlignment="1">
      <alignment horizontal="center" vertical="center" wrapText="1"/>
    </xf>
    <xf numFmtId="167" fontId="0" fillId="0" borderId="0" xfId="0" applyNumberFormat="1"/>
    <xf numFmtId="0" fontId="0" fillId="6" borderId="0" xfId="0" applyFill="1"/>
    <xf numFmtId="0" fontId="2" fillId="6" borderId="0" xfId="0" applyFont="1" applyFill="1"/>
    <xf numFmtId="14" fontId="2" fillId="6" borderId="0" xfId="0" applyNumberFormat="1" applyFont="1" applyFill="1"/>
    <xf numFmtId="0" fontId="0" fillId="22" borderId="0" xfId="0" applyFill="1" applyAlignment="1">
      <alignment horizontal="left"/>
    </xf>
    <xf numFmtId="0" fontId="9" fillId="23" borderId="1" xfId="2" applyFont="1" applyFill="1" applyBorder="1" applyAlignment="1">
      <alignment horizontal="center" vertical="center" wrapText="1"/>
    </xf>
    <xf numFmtId="0" fontId="11" fillId="23" borderId="1" xfId="2" quotePrefix="1" applyFont="1" applyFill="1" applyBorder="1" applyAlignment="1">
      <alignment horizontal="center" vertical="center" wrapText="1"/>
    </xf>
    <xf numFmtId="0" fontId="12" fillId="23" borderId="1" xfId="2" applyFont="1" applyFill="1" applyBorder="1" applyAlignment="1">
      <alignment horizontal="left" vertical="center" wrapText="1"/>
    </xf>
    <xf numFmtId="167" fontId="11" fillId="23" borderId="1" xfId="2" applyNumberFormat="1" applyFont="1" applyFill="1" applyBorder="1" applyAlignment="1">
      <alignment horizontal="center" vertical="center" wrapText="1"/>
    </xf>
    <xf numFmtId="0" fontId="10" fillId="23" borderId="1" xfId="2" applyFont="1" applyFill="1" applyBorder="1" applyAlignment="1">
      <alignment horizontal="center" vertical="center" wrapText="1"/>
    </xf>
    <xf numFmtId="0" fontId="0" fillId="23" borderId="0" xfId="0" applyFill="1"/>
    <xf numFmtId="0" fontId="0" fillId="5" borderId="0" xfId="0" applyFill="1"/>
    <xf numFmtId="0" fontId="9" fillId="5" borderId="1" xfId="2" applyFont="1" applyFill="1" applyBorder="1" applyAlignment="1">
      <alignment horizontal="center" vertical="center" wrapText="1"/>
    </xf>
    <xf numFmtId="0" fontId="12" fillId="5" borderId="1" xfId="2" applyFont="1" applyFill="1" applyBorder="1" applyAlignment="1">
      <alignment horizontal="left" vertical="center" wrapText="1"/>
    </xf>
    <xf numFmtId="167" fontId="11" fillId="5" borderId="1" xfId="2" applyNumberFormat="1" applyFont="1" applyFill="1" applyBorder="1" applyAlignment="1">
      <alignment horizontal="center" vertical="center" wrapText="1"/>
    </xf>
    <xf numFmtId="0" fontId="10" fillId="5" borderId="1" xfId="2" applyFont="1" applyFill="1" applyBorder="1" applyAlignment="1">
      <alignment horizontal="center" vertical="center" wrapText="1"/>
    </xf>
    <xf numFmtId="0" fontId="11" fillId="23" borderId="4" xfId="2" quotePrefix="1" applyFont="1" applyFill="1" applyBorder="1" applyAlignment="1">
      <alignment horizontal="center" vertical="center" wrapText="1"/>
    </xf>
    <xf numFmtId="0" fontId="12" fillId="23" borderId="4" xfId="2" applyFont="1" applyFill="1" applyBorder="1" applyAlignment="1">
      <alignment horizontal="left" vertical="center" wrapText="1"/>
    </xf>
    <xf numFmtId="0" fontId="7" fillId="19" borderId="0" xfId="5" applyFill="1"/>
    <xf numFmtId="0" fontId="3" fillId="2" borderId="0" xfId="0" applyFont="1" applyFill="1" applyAlignment="1">
      <alignment vertical="center" wrapText="1" shrinkToFit="1"/>
    </xf>
    <xf numFmtId="2" fontId="3" fillId="0" borderId="0" xfId="0" applyNumberFormat="1" applyFont="1" applyAlignment="1">
      <alignment vertical="center"/>
    </xf>
    <xf numFmtId="0" fontId="3" fillId="2" borderId="0" xfId="0" applyFont="1" applyFill="1" applyAlignment="1">
      <alignment vertical="center" wrapText="1"/>
    </xf>
    <xf numFmtId="169" fontId="3" fillId="0" borderId="0" xfId="0" applyNumberFormat="1" applyFont="1" applyAlignment="1">
      <alignment vertical="center"/>
    </xf>
    <xf numFmtId="169" fontId="0" fillId="0" borderId="24" xfId="0" applyNumberFormat="1" applyBorder="1" applyAlignment="1">
      <alignment horizontal="center"/>
    </xf>
    <xf numFmtId="169" fontId="0" fillId="0" borderId="28" xfId="0" applyNumberFormat="1" applyBorder="1" applyAlignment="1">
      <alignment horizontal="center"/>
    </xf>
    <xf numFmtId="169" fontId="0" fillId="0" borderId="0" xfId="0" applyNumberFormat="1" applyAlignment="1">
      <alignment horizontal="center"/>
    </xf>
    <xf numFmtId="169" fontId="0" fillId="0" borderId="0" xfId="0" applyNumberFormat="1"/>
    <xf numFmtId="169" fontId="2" fillId="0" borderId="0" xfId="0" applyNumberFormat="1" applyFont="1" applyAlignment="1">
      <alignment horizontal="center"/>
    </xf>
    <xf numFmtId="169" fontId="0" fillId="0" borderId="7" xfId="0" applyNumberFormat="1" applyBorder="1" applyAlignment="1">
      <alignment horizontal="center"/>
    </xf>
    <xf numFmtId="169" fontId="5" fillId="0" borderId="7" xfId="0" applyNumberFormat="1" applyFont="1" applyBorder="1" applyAlignment="1">
      <alignment horizontal="center"/>
    </xf>
    <xf numFmtId="169" fontId="5" fillId="0" borderId="0" xfId="0" applyNumberFormat="1" applyFont="1" applyAlignment="1">
      <alignment horizontal="center"/>
    </xf>
    <xf numFmtId="169" fontId="0" fillId="0" borderId="22" xfId="0" applyNumberFormat="1" applyBorder="1" applyAlignment="1">
      <alignment horizontal="center"/>
    </xf>
    <xf numFmtId="169" fontId="5" fillId="0" borderId="3" xfId="0" applyNumberFormat="1" applyFont="1" applyBorder="1" applyAlignment="1">
      <alignment horizontal="center"/>
    </xf>
    <xf numFmtId="169" fontId="5" fillId="0" borderId="23" xfId="0" applyNumberFormat="1" applyFont="1" applyBorder="1" applyAlignment="1">
      <alignment horizontal="center"/>
    </xf>
    <xf numFmtId="169" fontId="5" fillId="0" borderId="5" xfId="0" applyNumberFormat="1" applyFont="1" applyBorder="1" applyAlignment="1">
      <alignment horizontal="center"/>
    </xf>
    <xf numFmtId="169" fontId="5" fillId="0" borderId="26" xfId="0" applyNumberFormat="1" applyFont="1" applyBorder="1" applyAlignment="1">
      <alignment horizontal="center"/>
    </xf>
    <xf numFmtId="169" fontId="5" fillId="0" borderId="6" xfId="0" applyNumberFormat="1" applyFont="1" applyBorder="1" applyAlignment="1">
      <alignment horizontal="center"/>
    </xf>
    <xf numFmtId="169" fontId="5" fillId="0" borderId="27" xfId="0" applyNumberFormat="1" applyFont="1" applyBorder="1" applyAlignment="1">
      <alignment horizontal="center"/>
    </xf>
    <xf numFmtId="169" fontId="5" fillId="0" borderId="29" xfId="0" applyNumberFormat="1" applyFont="1" applyBorder="1" applyAlignment="1">
      <alignment horizontal="center"/>
    </xf>
    <xf numFmtId="169" fontId="5" fillId="0" borderId="30" xfId="0" applyNumberFormat="1" applyFont="1" applyBorder="1" applyAlignment="1">
      <alignment horizontal="center"/>
    </xf>
    <xf numFmtId="169" fontId="5" fillId="0" borderId="31" xfId="0" applyNumberFormat="1" applyFont="1" applyBorder="1" applyAlignment="1">
      <alignment horizontal="center"/>
    </xf>
    <xf numFmtId="169" fontId="5" fillId="0" borderId="0" xfId="0" applyNumberFormat="1" applyFont="1"/>
    <xf numFmtId="169" fontId="0" fillId="0" borderId="3" xfId="0" applyNumberFormat="1" applyBorder="1" applyAlignment="1">
      <alignment horizontal="center"/>
    </xf>
    <xf numFmtId="0" fontId="5" fillId="0" borderId="0" xfId="0" applyFont="1"/>
    <xf numFmtId="169" fontId="28" fillId="0" borderId="0" xfId="0" applyNumberFormat="1" applyFont="1" applyAlignment="1">
      <alignment horizontal="center"/>
    </xf>
    <xf numFmtId="169" fontId="28" fillId="0" borderId="0" xfId="0" applyNumberFormat="1" applyFont="1"/>
    <xf numFmtId="0" fontId="28" fillId="0" borderId="0" xfId="0" applyFont="1"/>
    <xf numFmtId="0" fontId="2" fillId="0" borderId="0" xfId="0" applyFont="1" applyAlignment="1">
      <alignment horizontal="center" wrapText="1"/>
    </xf>
    <xf numFmtId="169" fontId="0" fillId="0" borderId="25" xfId="0" applyNumberFormat="1" applyBorder="1" applyAlignment="1">
      <alignment horizontal="center"/>
    </xf>
    <xf numFmtId="169" fontId="27" fillId="0" borderId="0" xfId="0" applyNumberFormat="1" applyFont="1" applyAlignment="1">
      <alignment horizontal="center"/>
    </xf>
    <xf numFmtId="0" fontId="29" fillId="0" borderId="0" xfId="0" applyFont="1"/>
    <xf numFmtId="169" fontId="0" fillId="0" borderId="32" xfId="0" applyNumberFormat="1" applyBorder="1" applyAlignment="1">
      <alignment horizontal="center"/>
    </xf>
    <xf numFmtId="169" fontId="0" fillId="0" borderId="33" xfId="0" applyNumberFormat="1" applyBorder="1" applyAlignment="1">
      <alignment horizontal="center"/>
    </xf>
    <xf numFmtId="169" fontId="0" fillId="0" borderId="34" xfId="0" applyNumberFormat="1" applyBorder="1" applyAlignment="1">
      <alignment horizontal="center"/>
    </xf>
    <xf numFmtId="169" fontId="0" fillId="7" borderId="28" xfId="0" applyNumberFormat="1" applyFill="1" applyBorder="1" applyAlignment="1">
      <alignment horizontal="center"/>
    </xf>
    <xf numFmtId="9" fontId="6" fillId="2" borderId="0" xfId="1" applyFont="1" applyFill="1" applyBorder="1" applyAlignment="1">
      <alignment vertical="center"/>
    </xf>
    <xf numFmtId="1" fontId="3" fillId="2" borderId="0" xfId="0" applyNumberFormat="1" applyFont="1" applyFill="1" applyAlignment="1">
      <alignment vertical="center"/>
    </xf>
    <xf numFmtId="0" fontId="26" fillId="25" borderId="1" xfId="0" applyFont="1" applyFill="1" applyBorder="1" applyAlignment="1">
      <alignment vertical="center" wrapText="1"/>
    </xf>
    <xf numFmtId="9" fontId="6" fillId="2" borderId="1" xfId="1" applyFont="1" applyFill="1" applyBorder="1" applyAlignment="1">
      <alignment vertical="center"/>
    </xf>
    <xf numFmtId="0" fontId="4" fillId="2" borderId="0" xfId="0" applyFont="1" applyFill="1" applyAlignment="1">
      <alignment horizontal="center" vertical="center" wrapText="1"/>
    </xf>
    <xf numFmtId="0" fontId="30" fillId="0" borderId="0" xfId="6"/>
    <xf numFmtId="0" fontId="3" fillId="2" borderId="0" xfId="0" applyFont="1" applyFill="1" applyAlignment="1">
      <alignment horizontal="left" vertical="center"/>
    </xf>
    <xf numFmtId="0" fontId="26" fillId="0" borderId="1" xfId="0" applyFont="1" applyBorder="1" applyAlignment="1">
      <alignment vertical="center" wrapText="1"/>
    </xf>
    <xf numFmtId="0" fontId="3" fillId="2" borderId="1" xfId="0" applyFont="1" applyFill="1" applyBorder="1" applyAlignment="1">
      <alignment vertical="center" wrapText="1" shrinkToFit="1"/>
    </xf>
    <xf numFmtId="1" fontId="3" fillId="2" borderId="1" xfId="0" applyNumberFormat="1" applyFont="1" applyFill="1" applyBorder="1" applyAlignment="1">
      <alignment vertical="center"/>
    </xf>
    <xf numFmtId="2" fontId="3" fillId="0" borderId="1" xfId="0" applyNumberFormat="1" applyFont="1" applyBorder="1" applyAlignment="1">
      <alignment vertical="center"/>
    </xf>
    <xf numFmtId="0" fontId="26" fillId="8" borderId="1" xfId="0" applyFont="1" applyFill="1" applyBorder="1" applyAlignment="1">
      <alignment vertical="center" wrapText="1"/>
    </xf>
    <xf numFmtId="49" fontId="26" fillId="0" borderId="1" xfId="0" applyNumberFormat="1" applyFont="1" applyBorder="1" applyAlignment="1">
      <alignment vertical="center" wrapText="1"/>
    </xf>
    <xf numFmtId="0" fontId="0" fillId="0" borderId="0" xfId="0" applyAlignment="1">
      <alignment horizontal="left"/>
    </xf>
    <xf numFmtId="0" fontId="3" fillId="2" borderId="0" xfId="0" applyFont="1" applyFill="1" applyAlignment="1">
      <alignment horizontal="left" vertical="center" wrapText="1" shrinkToFit="1"/>
    </xf>
    <xf numFmtId="2" fontId="26" fillId="0" borderId="1" xfId="0" applyNumberFormat="1" applyFont="1" applyBorder="1" applyAlignment="1">
      <alignment horizontal="center" vertical="center" wrapText="1"/>
    </xf>
    <xf numFmtId="2" fontId="26" fillId="8" borderId="1" xfId="0" applyNumberFormat="1" applyFont="1" applyFill="1" applyBorder="1" applyAlignment="1">
      <alignment horizontal="center" vertical="center" wrapText="1"/>
    </xf>
    <xf numFmtId="0" fontId="32" fillId="17" borderId="1" xfId="2" applyFont="1" applyFill="1" applyBorder="1" applyAlignment="1">
      <alignment horizontal="center" vertical="center" wrapText="1"/>
    </xf>
    <xf numFmtId="0" fontId="32" fillId="17" borderId="1" xfId="2" applyFont="1" applyFill="1" applyBorder="1" applyAlignment="1">
      <alignment horizontal="center" vertical="center" wrapText="1" shrinkToFit="1"/>
    </xf>
    <xf numFmtId="0" fontId="32" fillId="27" borderId="1" xfId="2" applyFont="1" applyFill="1" applyBorder="1" applyAlignment="1">
      <alignment horizontal="center" vertical="center" wrapText="1" shrinkToFit="1"/>
    </xf>
    <xf numFmtId="0" fontId="32" fillId="6" borderId="1" xfId="2" applyFont="1" applyFill="1" applyBorder="1" applyAlignment="1">
      <alignment horizontal="center" vertical="center" wrapText="1"/>
    </xf>
    <xf numFmtId="0" fontId="32" fillId="17" borderId="1" xfId="2" applyFont="1" applyFill="1" applyBorder="1" applyAlignment="1">
      <alignment horizontal="left" vertical="center" wrapText="1"/>
    </xf>
    <xf numFmtId="0" fontId="32" fillId="2" borderId="1" xfId="2" applyFont="1" applyFill="1" applyBorder="1" applyAlignment="1">
      <alignment horizontal="center" vertical="center" wrapText="1"/>
    </xf>
    <xf numFmtId="0" fontId="32" fillId="20" borderId="1" xfId="2" applyFont="1" applyFill="1" applyBorder="1" applyAlignment="1">
      <alignment horizontal="center" vertical="center" wrapText="1"/>
    </xf>
    <xf numFmtId="0" fontId="32" fillId="8" borderId="1" xfId="2" applyFont="1" applyFill="1" applyBorder="1" applyAlignment="1">
      <alignment horizontal="center" vertical="center" wrapText="1"/>
    </xf>
    <xf numFmtId="0" fontId="33" fillId="13" borderId="1" xfId="2" applyFont="1" applyFill="1" applyBorder="1" applyAlignment="1">
      <alignment horizontal="center" vertical="center" wrapText="1"/>
    </xf>
    <xf numFmtId="1" fontId="6" fillId="2" borderId="1" xfId="2" applyNumberFormat="1" applyFont="1" applyFill="1" applyBorder="1" applyAlignment="1">
      <alignment horizontal="center" vertical="center"/>
    </xf>
    <xf numFmtId="0" fontId="6" fillId="2" borderId="1" xfId="2" applyFont="1" applyFill="1" applyBorder="1" applyAlignment="1">
      <alignment horizontal="center" vertical="center" wrapText="1"/>
    </xf>
    <xf numFmtId="0" fontId="26" fillId="2" borderId="1" xfId="0" applyFont="1" applyFill="1" applyBorder="1" applyAlignment="1">
      <alignment vertical="center" wrapText="1"/>
    </xf>
    <xf numFmtId="0" fontId="26" fillId="2" borderId="1" xfId="0" applyFont="1" applyFill="1" applyBorder="1" applyAlignment="1">
      <alignment horizontal="left" vertical="center" wrapText="1"/>
    </xf>
    <xf numFmtId="9" fontId="6" fillId="2" borderId="1" xfId="1" applyFont="1" applyFill="1" applyBorder="1" applyAlignment="1">
      <alignment horizontal="center" vertical="center" wrapText="1"/>
    </xf>
    <xf numFmtId="2" fontId="34" fillId="12" borderId="1" xfId="0" applyNumberFormat="1" applyFont="1" applyFill="1" applyBorder="1" applyAlignment="1">
      <alignment horizontal="center" vertical="center" wrapText="1"/>
    </xf>
    <xf numFmtId="1" fontId="6" fillId="2" borderId="1" xfId="2" applyNumberFormat="1" applyFont="1" applyFill="1" applyBorder="1" applyAlignment="1">
      <alignment horizontal="center" vertical="center" wrapText="1"/>
    </xf>
    <xf numFmtId="0" fontId="26" fillId="2" borderId="1" xfId="0" quotePrefix="1" applyFont="1" applyFill="1" applyBorder="1" applyAlignment="1">
      <alignment horizontal="left" vertical="center" wrapText="1"/>
    </xf>
    <xf numFmtId="9" fontId="6" fillId="0" borderId="1" xfId="1" applyFont="1" applyFill="1" applyBorder="1" applyAlignment="1">
      <alignment horizontal="center" vertical="center" wrapText="1"/>
    </xf>
    <xf numFmtId="0" fontId="6" fillId="8" borderId="1" xfId="2" applyFont="1" applyFill="1" applyBorder="1" applyAlignment="1">
      <alignment horizontal="center" vertical="center" wrapText="1"/>
    </xf>
    <xf numFmtId="9" fontId="6" fillId="8" borderId="1" xfId="1"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9" fontId="6" fillId="0" borderId="1" xfId="1" applyFont="1" applyBorder="1" applyAlignment="1">
      <alignment horizontal="center" vertical="center" wrapText="1"/>
    </xf>
    <xf numFmtId="1" fontId="6" fillId="0" borderId="1" xfId="2" applyNumberFormat="1" applyFont="1" applyBorder="1" applyAlignment="1">
      <alignment horizontal="center" vertical="center"/>
    </xf>
    <xf numFmtId="0" fontId="26" fillId="2" borderId="1" xfId="0" quotePrefix="1" applyFont="1" applyFill="1" applyBorder="1" applyAlignment="1">
      <alignment vertical="center" wrapText="1"/>
    </xf>
    <xf numFmtId="1" fontId="6" fillId="8" borderId="1" xfId="2" applyNumberFormat="1" applyFont="1" applyFill="1" applyBorder="1" applyAlignment="1">
      <alignment horizontal="center" vertical="center"/>
    </xf>
    <xf numFmtId="0" fontId="26" fillId="0" borderId="1" xfId="0" applyFont="1" applyBorder="1" applyAlignment="1">
      <alignment horizontal="left" vertical="center" wrapText="1"/>
    </xf>
    <xf numFmtId="0" fontId="32" fillId="0" borderId="1" xfId="2" applyFont="1" applyBorder="1" applyAlignment="1">
      <alignment horizontal="center" vertical="center" wrapText="1"/>
    </xf>
    <xf numFmtId="0" fontId="6" fillId="2" borderId="1" xfId="2" applyFont="1" applyFill="1" applyBorder="1" applyAlignment="1">
      <alignment horizontal="left" vertical="center" wrapText="1"/>
    </xf>
    <xf numFmtId="0" fontId="26" fillId="26" borderId="1" xfId="0" applyFont="1" applyFill="1" applyBorder="1" applyAlignment="1">
      <alignment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6" fillId="8" borderId="1" xfId="2" quotePrefix="1" applyFont="1" applyFill="1" applyBorder="1" applyAlignment="1">
      <alignment horizontal="left" vertical="center" wrapText="1"/>
    </xf>
    <xf numFmtId="1" fontId="6" fillId="7" borderId="1" xfId="2" applyNumberFormat="1" applyFont="1" applyFill="1" applyBorder="1" applyAlignment="1">
      <alignment horizontal="center" vertical="center"/>
    </xf>
    <xf numFmtId="0" fontId="26" fillId="22" borderId="1" xfId="0" applyFont="1" applyFill="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6" fillId="17" borderId="1" xfId="2" applyFont="1" applyFill="1" applyBorder="1" applyAlignment="1">
      <alignment horizontal="center" vertical="center" wrapText="1"/>
    </xf>
    <xf numFmtId="0" fontId="26" fillId="28" borderId="1" xfId="0" applyFont="1" applyFill="1" applyBorder="1" applyAlignment="1">
      <alignment vertical="center" wrapText="1"/>
    </xf>
    <xf numFmtId="0" fontId="3" fillId="0" borderId="0" xfId="0" applyFont="1" applyAlignment="1">
      <alignment vertical="center"/>
    </xf>
    <xf numFmtId="0" fontId="4" fillId="0" borderId="0" xfId="0" applyFont="1" applyAlignment="1">
      <alignment horizontal="center" vertical="center"/>
    </xf>
    <xf numFmtId="0" fontId="26" fillId="25" borderId="4" xfId="0" applyFont="1" applyFill="1" applyBorder="1" applyAlignment="1">
      <alignment vertical="center" wrapText="1"/>
    </xf>
    <xf numFmtId="0" fontId="3" fillId="2" borderId="6" xfId="0" applyFont="1" applyFill="1" applyBorder="1" applyAlignment="1">
      <alignment vertical="center"/>
    </xf>
    <xf numFmtId="0" fontId="3" fillId="2" borderId="25" xfId="0" applyFont="1" applyFill="1" applyBorder="1" applyAlignment="1">
      <alignment vertical="center"/>
    </xf>
    <xf numFmtId="9" fontId="6" fillId="2" borderId="4" xfId="1" applyFont="1" applyFill="1" applyBorder="1" applyAlignment="1">
      <alignment vertical="center"/>
    </xf>
    <xf numFmtId="0" fontId="3"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169" fontId="3" fillId="0" borderId="1" xfId="0" applyNumberFormat="1" applyFont="1" applyBorder="1" applyAlignment="1">
      <alignment vertical="center"/>
    </xf>
    <xf numFmtId="1" fontId="6" fillId="8" borderId="1" xfId="2" applyNumberFormat="1" applyFont="1" applyFill="1" applyBorder="1" applyAlignment="1">
      <alignment horizontal="center" vertical="center" wrapText="1"/>
    </xf>
    <xf numFmtId="0" fontId="26" fillId="0" borderId="1" xfId="0" applyFont="1" applyBorder="1" applyAlignment="1">
      <alignment horizontal="center" vertical="center"/>
    </xf>
    <xf numFmtId="1" fontId="3" fillId="7" borderId="1" xfId="0" applyNumberFormat="1" applyFont="1" applyFill="1" applyBorder="1" applyAlignment="1">
      <alignment vertical="center"/>
    </xf>
    <xf numFmtId="0" fontId="6" fillId="7" borderId="1" xfId="2" applyFont="1" applyFill="1" applyBorder="1" applyAlignment="1">
      <alignment horizontal="center" vertical="center" wrapText="1"/>
    </xf>
    <xf numFmtId="0" fontId="26" fillId="7" borderId="1" xfId="0" applyFont="1" applyFill="1" applyBorder="1" applyAlignment="1">
      <alignment vertical="center" wrapText="1"/>
    </xf>
    <xf numFmtId="49" fontId="26" fillId="7" borderId="1" xfId="0" applyNumberFormat="1" applyFont="1" applyFill="1" applyBorder="1" applyAlignment="1">
      <alignment vertical="center" wrapText="1"/>
    </xf>
    <xf numFmtId="0" fontId="26" fillId="7" borderId="1" xfId="0" applyFont="1" applyFill="1" applyBorder="1" applyAlignment="1">
      <alignment horizontal="left" vertical="center" wrapText="1"/>
    </xf>
    <xf numFmtId="0" fontId="32" fillId="7" borderId="1" xfId="2" applyFont="1" applyFill="1" applyBorder="1" applyAlignment="1">
      <alignment horizontal="center" vertical="center" wrapText="1"/>
    </xf>
    <xf numFmtId="9" fontId="6" fillId="7" borderId="1" xfId="1" applyFont="1" applyFill="1" applyBorder="1" applyAlignment="1">
      <alignment horizontal="center" vertical="center" wrapText="1"/>
    </xf>
    <xf numFmtId="0" fontId="26" fillId="30" borderId="1" xfId="0" applyFont="1" applyFill="1" applyBorder="1" applyAlignment="1">
      <alignment vertical="center" wrapText="1"/>
    </xf>
    <xf numFmtId="9" fontId="6" fillId="30" borderId="1" xfId="1" applyFont="1" applyFill="1" applyBorder="1" applyAlignment="1">
      <alignment horizontal="center" vertical="center" wrapText="1"/>
    </xf>
    <xf numFmtId="0" fontId="3" fillId="30" borderId="1" xfId="0" applyFont="1" applyFill="1" applyBorder="1" applyAlignment="1">
      <alignment vertical="center" wrapText="1"/>
    </xf>
    <xf numFmtId="0" fontId="6" fillId="0" borderId="1" xfId="2" applyFont="1" applyBorder="1" applyAlignment="1">
      <alignment horizontal="center" vertical="center" wrapText="1"/>
    </xf>
    <xf numFmtId="0" fontId="3" fillId="0" borderId="1" xfId="0" applyFont="1" applyBorder="1" applyAlignment="1">
      <alignment vertical="center"/>
    </xf>
    <xf numFmtId="2" fontId="26" fillId="7" borderId="1" xfId="0" applyNumberFormat="1" applyFont="1" applyFill="1" applyBorder="1" applyAlignment="1">
      <alignment horizontal="center" vertical="center" wrapText="1"/>
    </xf>
    <xf numFmtId="0" fontId="26" fillId="29" borderId="1" xfId="0" applyFont="1" applyFill="1" applyBorder="1" applyAlignment="1">
      <alignment vertical="center" wrapText="1"/>
    </xf>
    <xf numFmtId="0" fontId="26" fillId="7" borderId="1" xfId="0" applyFont="1" applyFill="1" applyBorder="1" applyAlignment="1">
      <alignment horizontal="center" vertical="center"/>
    </xf>
    <xf numFmtId="0" fontId="26" fillId="7" borderId="1" xfId="0" applyFont="1" applyFill="1" applyBorder="1" applyAlignment="1">
      <alignment horizontal="center" vertical="center" wrapText="1"/>
    </xf>
    <xf numFmtId="2" fontId="34" fillId="7" borderId="1" xfId="0" applyNumberFormat="1" applyFont="1" applyFill="1" applyBorder="1" applyAlignment="1">
      <alignment horizontal="center" vertical="center" wrapText="1"/>
    </xf>
    <xf numFmtId="1" fontId="3" fillId="8" borderId="1" xfId="0" applyNumberFormat="1" applyFont="1" applyFill="1" applyBorder="1" applyAlignment="1">
      <alignment vertical="center"/>
    </xf>
    <xf numFmtId="0" fontId="26" fillId="8" borderId="1" xfId="0" applyFont="1" applyFill="1" applyBorder="1" applyAlignment="1">
      <alignment horizontal="left" vertical="center" wrapText="1"/>
    </xf>
    <xf numFmtId="2" fontId="34" fillId="8" borderId="1" xfId="0" applyNumberFormat="1" applyFont="1" applyFill="1" applyBorder="1" applyAlignment="1">
      <alignment horizontal="center" vertical="center" wrapText="1"/>
    </xf>
    <xf numFmtId="165" fontId="26" fillId="2" borderId="1" xfId="0" applyNumberFormat="1" applyFont="1" applyFill="1" applyBorder="1" applyAlignment="1">
      <alignment horizontal="left" vertical="center" wrapText="1"/>
    </xf>
    <xf numFmtId="0" fontId="30" fillId="0" borderId="1" xfId="6" applyFill="1" applyBorder="1" applyAlignment="1">
      <alignment vertical="center" wrapText="1"/>
    </xf>
    <xf numFmtId="0" fontId="26" fillId="8" borderId="1" xfId="0" applyFont="1" applyFill="1" applyBorder="1" applyAlignment="1">
      <alignment horizontal="center" vertical="center"/>
    </xf>
    <xf numFmtId="0" fontId="26" fillId="8" borderId="1" xfId="0" applyFont="1" applyFill="1" applyBorder="1" applyAlignment="1">
      <alignment horizontal="center" vertical="center" wrapText="1"/>
    </xf>
    <xf numFmtId="0" fontId="26" fillId="8" borderId="1" xfId="0" applyFont="1" applyFill="1" applyBorder="1" applyAlignment="1">
      <alignment horizontal="left" vertical="center"/>
    </xf>
    <xf numFmtId="1" fontId="3" fillId="9" borderId="1" xfId="0" applyNumberFormat="1" applyFont="1" applyFill="1" applyBorder="1" applyAlignment="1">
      <alignment vertical="center"/>
    </xf>
    <xf numFmtId="0" fontId="6" fillId="9" borderId="1" xfId="2" applyFont="1" applyFill="1" applyBorder="1" applyAlignment="1">
      <alignment horizontal="center" vertical="center" wrapText="1"/>
    </xf>
    <xf numFmtId="0" fontId="26" fillId="9" borderId="1" xfId="0" applyFont="1" applyFill="1" applyBorder="1" applyAlignment="1">
      <alignment vertical="center" wrapText="1"/>
    </xf>
    <xf numFmtId="0" fontId="26" fillId="31" borderId="1" xfId="0" applyFont="1" applyFill="1" applyBorder="1" applyAlignment="1">
      <alignment vertical="center" wrapText="1"/>
    </xf>
    <xf numFmtId="164" fontId="26" fillId="9" borderId="1" xfId="0" applyNumberFormat="1" applyFont="1" applyFill="1" applyBorder="1" applyAlignment="1">
      <alignment horizontal="left" vertical="center" wrapText="1"/>
    </xf>
    <xf numFmtId="0" fontId="32" fillId="9" borderId="1" xfId="2" applyFont="1" applyFill="1" applyBorder="1" applyAlignment="1">
      <alignment horizontal="center" vertical="center" wrapText="1"/>
    </xf>
    <xf numFmtId="9" fontId="6" fillId="9" borderId="1" xfId="1" applyFont="1" applyFill="1" applyBorder="1" applyAlignment="1">
      <alignment horizontal="center" vertical="center" wrapText="1"/>
    </xf>
    <xf numFmtId="2" fontId="26" fillId="9" borderId="1" xfId="0" applyNumberFormat="1" applyFont="1" applyFill="1" applyBorder="1" applyAlignment="1">
      <alignment horizontal="center" vertical="center" wrapText="1"/>
    </xf>
    <xf numFmtId="1" fontId="6" fillId="9" borderId="1" xfId="2" applyNumberFormat="1" applyFont="1" applyFill="1" applyBorder="1" applyAlignment="1">
      <alignment horizontal="center" vertical="center"/>
    </xf>
    <xf numFmtId="0" fontId="26" fillId="9" borderId="1" xfId="0" applyFont="1" applyFill="1" applyBorder="1" applyAlignment="1">
      <alignment horizontal="center" vertical="center"/>
    </xf>
    <xf numFmtId="0" fontId="26" fillId="9" borderId="1" xfId="0" applyFont="1" applyFill="1" applyBorder="1" applyAlignment="1">
      <alignment horizontal="center" vertical="center" wrapText="1"/>
    </xf>
    <xf numFmtId="0" fontId="26" fillId="9"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26" fillId="0" borderId="1" xfId="0" applyFont="1" applyBorder="1" applyAlignment="1">
      <alignment horizontal="left" vertical="top" wrapText="1"/>
    </xf>
    <xf numFmtId="164" fontId="26" fillId="0" borderId="1" xfId="0" applyNumberFormat="1" applyFont="1" applyBorder="1" applyAlignment="1">
      <alignment horizontal="left" vertical="center" wrapText="1"/>
    </xf>
    <xf numFmtId="14" fontId="32" fillId="17" borderId="1" xfId="2" applyNumberFormat="1" applyFont="1" applyFill="1" applyBorder="1" applyAlignment="1">
      <alignment horizontal="center" vertical="center" wrapText="1"/>
    </xf>
    <xf numFmtId="14" fontId="6" fillId="2" borderId="1" xfId="2" applyNumberFormat="1" applyFont="1" applyFill="1" applyBorder="1" applyAlignment="1">
      <alignment horizontal="center" vertical="center"/>
    </xf>
    <xf numFmtId="14" fontId="3" fillId="7" borderId="1" xfId="0" applyNumberFormat="1" applyFont="1" applyFill="1" applyBorder="1" applyAlignment="1">
      <alignment vertical="center"/>
    </xf>
    <xf numFmtId="14" fontId="6" fillId="0" borderId="1" xfId="2" applyNumberFormat="1" applyFont="1" applyBorder="1" applyAlignment="1">
      <alignment horizontal="center" vertical="center"/>
    </xf>
    <xf numFmtId="14" fontId="6" fillId="7" borderId="1" xfId="2" applyNumberFormat="1" applyFont="1" applyFill="1" applyBorder="1" applyAlignment="1">
      <alignment horizontal="center" vertical="center"/>
    </xf>
    <xf numFmtId="0" fontId="0" fillId="0" borderId="0" xfId="0" pivotButton="1"/>
    <xf numFmtId="14" fontId="6" fillId="8" borderId="1" xfId="2"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14" fontId="3" fillId="0" borderId="1" xfId="0" applyNumberFormat="1" applyFont="1" applyBorder="1" applyAlignment="1">
      <alignment horizontal="center" vertical="center"/>
    </xf>
    <xf numFmtId="14" fontId="3" fillId="2" borderId="0" xfId="0" applyNumberFormat="1" applyFont="1" applyFill="1" applyAlignment="1">
      <alignment horizontal="center" vertical="center"/>
    </xf>
    <xf numFmtId="0" fontId="38" fillId="32" borderId="35" xfId="0" applyFont="1" applyFill="1" applyBorder="1" applyAlignment="1">
      <alignment horizontal="center" vertical="center" wrapText="1"/>
    </xf>
    <xf numFmtId="0" fontId="32" fillId="33" borderId="1" xfId="2" applyFont="1" applyFill="1" applyBorder="1" applyAlignment="1">
      <alignment horizontal="center" vertical="center" wrapText="1"/>
    </xf>
    <xf numFmtId="0" fontId="32" fillId="5" borderId="1" xfId="2" applyFont="1" applyFill="1" applyBorder="1" applyAlignment="1">
      <alignment horizontal="center" vertical="center" wrapText="1"/>
    </xf>
    <xf numFmtId="0" fontId="33" fillId="34" borderId="1" xfId="2" applyFont="1" applyFill="1" applyBorder="1" applyAlignment="1">
      <alignment horizontal="center" vertical="center" wrapText="1"/>
    </xf>
    <xf numFmtId="1" fontId="6" fillId="26" borderId="1" xfId="2" applyNumberFormat="1" applyFont="1" applyFill="1" applyBorder="1" applyAlignment="1">
      <alignment horizontal="center" vertical="center"/>
    </xf>
    <xf numFmtId="14" fontId="6" fillId="26" borderId="1" xfId="2" applyNumberFormat="1" applyFont="1" applyFill="1" applyBorder="1" applyAlignment="1">
      <alignment horizontal="center" vertical="center"/>
    </xf>
    <xf numFmtId="0" fontId="6" fillId="26" borderId="1" xfId="2" applyFont="1" applyFill="1" applyBorder="1" applyAlignment="1">
      <alignment horizontal="center" vertical="center" wrapText="1"/>
    </xf>
    <xf numFmtId="0" fontId="30" fillId="26" borderId="1" xfId="6" applyFill="1" applyBorder="1" applyAlignment="1">
      <alignment vertical="center" wrapText="1"/>
    </xf>
    <xf numFmtId="0" fontId="26" fillId="26" borderId="1" xfId="0" applyFont="1" applyFill="1" applyBorder="1" applyAlignment="1">
      <alignment horizontal="left" vertical="center" wrapText="1"/>
    </xf>
    <xf numFmtId="0" fontId="32" fillId="26" borderId="1" xfId="2" applyFont="1" applyFill="1" applyBorder="1" applyAlignment="1">
      <alignment horizontal="center" vertical="center" wrapText="1"/>
    </xf>
    <xf numFmtId="9" fontId="6" fillId="26" borderId="1" xfId="1" applyFont="1" applyFill="1" applyBorder="1" applyAlignment="1">
      <alignment horizontal="center" vertical="center" wrapText="1"/>
    </xf>
    <xf numFmtId="2" fontId="26" fillId="26" borderId="1" xfId="0" applyNumberFormat="1" applyFont="1" applyFill="1" applyBorder="1" applyAlignment="1">
      <alignment horizontal="center" vertical="center" wrapText="1"/>
    </xf>
    <xf numFmtId="2" fontId="34" fillId="26" borderId="1" xfId="0" applyNumberFormat="1" applyFont="1" applyFill="1" applyBorder="1" applyAlignment="1">
      <alignment horizontal="center" vertical="center" wrapText="1"/>
    </xf>
    <xf numFmtId="1" fontId="6" fillId="26" borderId="1" xfId="2" applyNumberFormat="1" applyFont="1" applyFill="1" applyBorder="1" applyAlignment="1">
      <alignment horizontal="center" vertical="center" wrapText="1"/>
    </xf>
    <xf numFmtId="0" fontId="3" fillId="26" borderId="0" xfId="0" applyFont="1" applyFill="1" applyAlignment="1">
      <alignment vertical="center"/>
    </xf>
    <xf numFmtId="1" fontId="6" fillId="3" borderId="1" xfId="2" applyNumberFormat="1" applyFont="1" applyFill="1" applyBorder="1" applyAlignment="1">
      <alignment horizontal="center" vertical="center"/>
    </xf>
    <xf numFmtId="14" fontId="6" fillId="3" borderId="1" xfId="2" applyNumberFormat="1" applyFont="1" applyFill="1" applyBorder="1" applyAlignment="1">
      <alignment horizontal="center" vertical="center"/>
    </xf>
    <xf numFmtId="0" fontId="6" fillId="3" borderId="1" xfId="2" applyFont="1" applyFill="1" applyBorder="1" applyAlignment="1">
      <alignment horizontal="center" vertical="center" wrapText="1"/>
    </xf>
    <xf numFmtId="0" fontId="26" fillId="3" borderId="1" xfId="0" applyFont="1" applyFill="1" applyBorder="1" applyAlignment="1">
      <alignment wrapText="1"/>
    </xf>
    <xf numFmtId="0" fontId="26" fillId="3" borderId="1" xfId="0" applyFont="1" applyFill="1" applyBorder="1" applyAlignment="1">
      <alignment vertical="center" wrapText="1"/>
    </xf>
    <xf numFmtId="0" fontId="30" fillId="3" borderId="1" xfId="6" applyFill="1" applyBorder="1" applyAlignment="1">
      <alignment vertical="center" wrapText="1"/>
    </xf>
    <xf numFmtId="0" fontId="26" fillId="3" borderId="1" xfId="0" applyFont="1" applyFill="1" applyBorder="1" applyAlignment="1">
      <alignment horizontal="left" vertical="center" wrapText="1"/>
    </xf>
    <xf numFmtId="0" fontId="32" fillId="3" borderId="1" xfId="2" applyFont="1" applyFill="1" applyBorder="1" applyAlignment="1">
      <alignment horizontal="center" vertical="center" wrapText="1"/>
    </xf>
    <xf numFmtId="9" fontId="6" fillId="3" borderId="1" xfId="1" applyFont="1" applyFill="1" applyBorder="1" applyAlignment="1">
      <alignment horizontal="center" vertical="center" wrapText="1"/>
    </xf>
    <xf numFmtId="2" fontId="26" fillId="3" borderId="1" xfId="0" applyNumberFormat="1" applyFont="1" applyFill="1" applyBorder="1" applyAlignment="1">
      <alignment horizontal="center" vertical="center" wrapText="1"/>
    </xf>
    <xf numFmtId="2" fontId="34" fillId="3" borderId="1" xfId="0" applyNumberFormat="1" applyFont="1" applyFill="1" applyBorder="1" applyAlignment="1">
      <alignment horizontal="center" vertical="center" wrapText="1"/>
    </xf>
    <xf numFmtId="1" fontId="6" fillId="3" borderId="1" xfId="2" applyNumberFormat="1" applyFont="1" applyFill="1" applyBorder="1" applyAlignment="1">
      <alignment horizontal="center" vertical="center" wrapText="1"/>
    </xf>
    <xf numFmtId="0" fontId="3" fillId="3" borderId="0" xfId="0" applyFont="1" applyFill="1" applyAlignment="1">
      <alignment vertical="center"/>
    </xf>
    <xf numFmtId="0" fontId="30" fillId="8" borderId="1" xfId="6" applyFill="1" applyBorder="1" applyAlignment="1">
      <alignment vertical="center" wrapText="1"/>
    </xf>
    <xf numFmtId="1" fontId="6" fillId="5" borderId="1" xfId="2" applyNumberFormat="1" applyFont="1" applyFill="1" applyBorder="1" applyAlignment="1">
      <alignment horizontal="center" vertical="center"/>
    </xf>
    <xf numFmtId="14" fontId="6" fillId="5" borderId="1" xfId="2" applyNumberFormat="1" applyFont="1" applyFill="1" applyBorder="1" applyAlignment="1">
      <alignment horizontal="center" vertical="center"/>
    </xf>
    <xf numFmtId="0" fontId="6" fillId="5" borderId="1" xfId="2" applyFont="1" applyFill="1" applyBorder="1" applyAlignment="1">
      <alignment horizontal="center" vertical="center" wrapText="1"/>
    </xf>
    <xf numFmtId="0" fontId="30" fillId="5" borderId="1" xfId="6" applyFill="1" applyBorder="1" applyAlignment="1">
      <alignment vertical="center" wrapText="1"/>
    </xf>
    <xf numFmtId="0" fontId="26" fillId="5" borderId="1" xfId="0" applyFont="1" applyFill="1" applyBorder="1" applyAlignment="1">
      <alignment vertical="center" wrapText="1"/>
    </xf>
    <xf numFmtId="9" fontId="6" fillId="5" borderId="1" xfId="1" applyFont="1" applyFill="1" applyBorder="1" applyAlignment="1">
      <alignment horizontal="center" vertical="center" wrapText="1"/>
    </xf>
    <xf numFmtId="2" fontId="26" fillId="5" borderId="1" xfId="0" applyNumberFormat="1" applyFont="1" applyFill="1" applyBorder="1" applyAlignment="1">
      <alignment horizontal="center" vertical="center" wrapText="1"/>
    </xf>
    <xf numFmtId="2" fontId="34" fillId="5" borderId="1" xfId="0" applyNumberFormat="1" applyFont="1" applyFill="1" applyBorder="1" applyAlignment="1">
      <alignment horizontal="center" vertical="center" wrapText="1"/>
    </xf>
    <xf numFmtId="1" fontId="6" fillId="5" borderId="1" xfId="2" applyNumberFormat="1" applyFont="1" applyFill="1" applyBorder="1" applyAlignment="1">
      <alignment horizontal="center" vertical="center" wrapText="1"/>
    </xf>
    <xf numFmtId="2" fontId="26" fillId="8" borderId="1" xfId="0" quotePrefix="1" applyNumberFormat="1" applyFont="1" applyFill="1" applyBorder="1" applyAlignment="1">
      <alignment horizontal="center" vertical="center" wrapText="1"/>
    </xf>
    <xf numFmtId="1" fontId="9" fillId="2" borderId="1" xfId="2" applyNumberFormat="1" applyFont="1" applyFill="1" applyBorder="1" applyAlignment="1">
      <alignment horizontal="center" vertical="center"/>
    </xf>
    <xf numFmtId="1" fontId="9" fillId="7" borderId="1" xfId="2" applyNumberFormat="1" applyFont="1" applyFill="1" applyBorder="1" applyAlignment="1">
      <alignment horizontal="center" vertical="center"/>
    </xf>
    <xf numFmtId="1" fontId="9" fillId="0" borderId="1" xfId="2" applyNumberFormat="1" applyFont="1" applyBorder="1" applyAlignment="1">
      <alignment horizontal="center" vertical="center"/>
    </xf>
    <xf numFmtId="2" fontId="36" fillId="0" borderId="1" xfId="0" applyNumberFormat="1" applyFont="1" applyBorder="1" applyAlignment="1">
      <alignment horizontal="center" vertical="center" wrapText="1"/>
    </xf>
    <xf numFmtId="1" fontId="6" fillId="17" borderId="1" xfId="2" applyNumberFormat="1" applyFont="1" applyFill="1" applyBorder="1" applyAlignment="1">
      <alignment horizontal="center" vertical="center"/>
    </xf>
    <xf numFmtId="14" fontId="26" fillId="17" borderId="1" xfId="0" applyNumberFormat="1" applyFont="1" applyFill="1" applyBorder="1" applyAlignment="1">
      <alignment vertical="center" wrapText="1"/>
    </xf>
    <xf numFmtId="0" fontId="26" fillId="35" borderId="1" xfId="0" applyFont="1" applyFill="1" applyBorder="1" applyAlignment="1">
      <alignment vertical="center" wrapText="1"/>
    </xf>
    <xf numFmtId="0" fontId="26" fillId="17" borderId="1" xfId="0" applyFont="1" applyFill="1" applyBorder="1" applyAlignment="1">
      <alignment vertical="center" wrapText="1"/>
    </xf>
    <xf numFmtId="0" fontId="6" fillId="17" borderId="1" xfId="2" applyFont="1" applyFill="1" applyBorder="1" applyAlignment="1">
      <alignment horizontal="left" vertical="center" wrapText="1"/>
    </xf>
    <xf numFmtId="9" fontId="6" fillId="17" borderId="1" xfId="1" applyFont="1" applyFill="1" applyBorder="1" applyAlignment="1">
      <alignment horizontal="center" vertical="center" wrapText="1"/>
    </xf>
    <xf numFmtId="2" fontId="26" fillId="17" borderId="1" xfId="0" applyNumberFormat="1" applyFont="1" applyFill="1" applyBorder="1" applyAlignment="1">
      <alignment horizontal="center" vertical="center" wrapText="1"/>
    </xf>
    <xf numFmtId="2" fontId="34" fillId="17" borderId="1" xfId="0" applyNumberFormat="1" applyFont="1" applyFill="1" applyBorder="1" applyAlignment="1">
      <alignment horizontal="center" vertical="center" wrapText="1"/>
    </xf>
    <xf numFmtId="1" fontId="6" fillId="17" borderId="1" xfId="2" applyNumberFormat="1" applyFont="1" applyFill="1" applyBorder="1" applyAlignment="1">
      <alignment horizontal="center" vertical="center" wrapText="1"/>
    </xf>
    <xf numFmtId="14" fontId="3" fillId="7" borderId="1" xfId="0" applyNumberFormat="1" applyFont="1" applyFill="1" applyBorder="1" applyAlignment="1">
      <alignment horizontal="center" vertical="center"/>
    </xf>
    <xf numFmtId="0" fontId="26" fillId="7" borderId="1" xfId="0" quotePrefix="1" applyFont="1" applyFill="1" applyBorder="1" applyAlignment="1">
      <alignment vertical="center" wrapText="1"/>
    </xf>
    <xf numFmtId="1" fontId="6" fillId="7" borderId="1" xfId="2" applyNumberFormat="1" applyFont="1" applyFill="1" applyBorder="1" applyAlignment="1">
      <alignment horizontal="center" vertical="center" wrapText="1"/>
    </xf>
    <xf numFmtId="0" fontId="26" fillId="25" borderId="1" xfId="0" applyFont="1" applyFill="1" applyBorder="1" applyAlignment="1">
      <alignment horizontal="center" wrapText="1"/>
    </xf>
    <xf numFmtId="0" fontId="3" fillId="2" borderId="0" xfId="0" applyFont="1" applyFill="1" applyAlignment="1">
      <alignment horizontal="center"/>
    </xf>
    <xf numFmtId="1" fontId="3" fillId="5" borderId="1" xfId="0" applyNumberFormat="1" applyFont="1" applyFill="1" applyBorder="1" applyAlignment="1">
      <alignment vertical="center"/>
    </xf>
    <xf numFmtId="14" fontId="3" fillId="5" borderId="1" xfId="0" applyNumberFormat="1" applyFont="1" applyFill="1" applyBorder="1" applyAlignment="1">
      <alignment horizontal="center" vertical="center"/>
    </xf>
    <xf numFmtId="0" fontId="26" fillId="0" borderId="1" xfId="0" applyFont="1" applyBorder="1" applyAlignment="1">
      <alignment horizontal="left" vertical="center"/>
    </xf>
    <xf numFmtId="0" fontId="26" fillId="36" borderId="1" xfId="0" applyFont="1" applyFill="1" applyBorder="1" applyAlignment="1">
      <alignment vertical="center" wrapText="1"/>
    </xf>
    <xf numFmtId="0" fontId="26" fillId="5" borderId="1" xfId="0" applyFont="1" applyFill="1" applyBorder="1" applyAlignment="1">
      <alignment horizontal="center" vertical="center"/>
    </xf>
    <xf numFmtId="1" fontId="6" fillId="2" borderId="1" xfId="2" applyNumberFormat="1" applyFont="1" applyFill="1" applyBorder="1" applyAlignment="1">
      <alignment horizontal="left" vertical="center"/>
    </xf>
    <xf numFmtId="14" fontId="6" fillId="2" borderId="1" xfId="2" applyNumberFormat="1" applyFont="1" applyFill="1" applyBorder="1" applyAlignment="1">
      <alignment horizontal="left" vertical="center"/>
    </xf>
    <xf numFmtId="0" fontId="3" fillId="0" borderId="1" xfId="0" applyFont="1" applyBorder="1" applyAlignment="1">
      <alignment horizontal="left" vertical="center" wrapText="1" shrinkToFit="1"/>
    </xf>
    <xf numFmtId="0" fontId="32" fillId="2" borderId="1" xfId="2" applyFont="1" applyFill="1" applyBorder="1" applyAlignment="1">
      <alignment horizontal="left" vertical="center" wrapText="1"/>
    </xf>
    <xf numFmtId="0" fontId="32" fillId="0" borderId="1" xfId="2" applyFont="1" applyBorder="1" applyAlignment="1">
      <alignment horizontal="left" vertical="center" wrapText="1"/>
    </xf>
    <xf numFmtId="9" fontId="6" fillId="0" borderId="1" xfId="1" applyFont="1" applyFill="1" applyBorder="1" applyAlignment="1">
      <alignment horizontal="left" vertical="center" wrapText="1"/>
    </xf>
    <xf numFmtId="2" fontId="34" fillId="12" borderId="1" xfId="0" applyNumberFormat="1" applyFont="1" applyFill="1" applyBorder="1" applyAlignment="1">
      <alignment horizontal="left" vertical="center" wrapText="1"/>
    </xf>
    <xf numFmtId="1" fontId="3" fillId="0" borderId="1" xfId="0" applyNumberFormat="1" applyFont="1" applyBorder="1" applyAlignment="1">
      <alignment vertical="center"/>
    </xf>
    <xf numFmtId="0" fontId="26" fillId="0" borderId="1" xfId="0" quotePrefix="1" applyFont="1" applyBorder="1" applyAlignment="1">
      <alignment horizontal="left" vertical="center" wrapText="1"/>
    </xf>
    <xf numFmtId="2" fontId="34" fillId="0" borderId="1" xfId="0" applyNumberFormat="1" applyFont="1" applyBorder="1" applyAlignment="1">
      <alignment horizontal="center" vertical="center" wrapText="1"/>
    </xf>
    <xf numFmtId="1" fontId="6" fillId="0" borderId="1" xfId="2" applyNumberFormat="1" applyFont="1" applyBorder="1" applyAlignment="1">
      <alignment horizontal="center" vertical="center" wrapText="1"/>
    </xf>
    <xf numFmtId="0" fontId="26" fillId="3" borderId="1" xfId="0" applyFont="1" applyFill="1" applyBorder="1" applyAlignment="1">
      <alignment horizontal="center" vertical="center" wrapText="1"/>
    </xf>
    <xf numFmtId="14" fontId="26" fillId="3" borderId="1" xfId="0" applyNumberFormat="1" applyFont="1" applyFill="1" applyBorder="1" applyAlignment="1">
      <alignment vertical="center" wrapText="1"/>
    </xf>
    <xf numFmtId="2" fontId="36" fillId="3" borderId="1" xfId="0" applyNumberFormat="1" applyFont="1" applyFill="1" applyBorder="1" applyAlignment="1">
      <alignment horizontal="center" vertical="center" wrapText="1"/>
    </xf>
    <xf numFmtId="0" fontId="3" fillId="3" borderId="1" xfId="0" applyFont="1" applyFill="1" applyBorder="1" applyAlignment="1">
      <alignment vertical="center"/>
    </xf>
    <xf numFmtId="0" fontId="8" fillId="4" borderId="1" xfId="2" applyFont="1" applyFill="1" applyBorder="1" applyAlignment="1">
      <alignment horizontal="center" vertical="top" textRotation="90" wrapText="1"/>
    </xf>
    <xf numFmtId="1" fontId="9" fillId="8" borderId="1" xfId="2" applyNumberFormat="1" applyFont="1" applyFill="1" applyBorder="1" applyAlignment="1">
      <alignment horizontal="center" vertical="center"/>
    </xf>
    <xf numFmtId="14" fontId="9" fillId="2" borderId="1" xfId="2" applyNumberFormat="1" applyFont="1" applyFill="1" applyBorder="1" applyAlignment="1">
      <alignment horizontal="center" vertical="center"/>
    </xf>
    <xf numFmtId="9" fontId="8" fillId="5" borderId="0" xfId="1" applyFont="1" applyFill="1" applyBorder="1" applyAlignment="1">
      <alignment horizontal="center" vertical="top" textRotation="90" wrapText="1"/>
    </xf>
    <xf numFmtId="9" fontId="9" fillId="2" borderId="1" xfId="1" applyFont="1" applyFill="1" applyBorder="1" applyAlignment="1">
      <alignment horizontal="center" vertical="center" wrapText="1"/>
    </xf>
    <xf numFmtId="9" fontId="9" fillId="8" borderId="1" xfId="1" applyFont="1" applyFill="1" applyBorder="1" applyAlignment="1">
      <alignment horizontal="center" vertical="center" wrapText="1"/>
    </xf>
    <xf numFmtId="9" fontId="9" fillId="0" borderId="1" xfId="1" applyFont="1" applyBorder="1" applyAlignment="1">
      <alignment horizontal="center" vertical="center" wrapText="1"/>
    </xf>
    <xf numFmtId="9" fontId="9" fillId="0" borderId="1" xfId="1" applyFont="1" applyFill="1" applyBorder="1" applyAlignment="1">
      <alignment horizontal="center" vertical="center" wrapText="1"/>
    </xf>
    <xf numFmtId="9" fontId="36" fillId="0" borderId="1" xfId="0" applyNumberFormat="1" applyFont="1" applyBorder="1" applyAlignment="1">
      <alignment horizontal="center" vertical="center" wrapText="1"/>
    </xf>
    <xf numFmtId="0" fontId="39" fillId="8" borderId="1" xfId="2" applyFont="1" applyFill="1" applyBorder="1" applyAlignment="1">
      <alignment horizontal="center" vertical="center" wrapText="1"/>
    </xf>
    <xf numFmtId="0" fontId="40" fillId="13" borderId="1" xfId="2" applyFont="1" applyFill="1" applyBorder="1" applyAlignment="1">
      <alignment horizontal="center" vertical="center" wrapText="1"/>
    </xf>
    <xf numFmtId="0" fontId="41" fillId="13" borderId="1" xfId="2" applyFont="1" applyFill="1" applyBorder="1" applyAlignment="1">
      <alignment horizontal="center" vertical="center" wrapText="1"/>
    </xf>
    <xf numFmtId="0" fontId="3" fillId="26" borderId="1" xfId="0" applyFont="1" applyFill="1" applyBorder="1" applyAlignment="1">
      <alignment vertical="center"/>
    </xf>
    <xf numFmtId="49" fontId="26" fillId="30" borderId="1" xfId="0" applyNumberFormat="1" applyFont="1" applyFill="1" applyBorder="1" applyAlignment="1">
      <alignment vertical="center" wrapText="1"/>
    </xf>
    <xf numFmtId="2" fontId="34" fillId="9" borderId="1" xfId="0" applyNumberFormat="1" applyFont="1" applyFill="1" applyBorder="1" applyAlignment="1">
      <alignment horizontal="center" vertical="center" wrapText="1"/>
    </xf>
    <xf numFmtId="1" fontId="6" fillId="9" borderId="1" xfId="2" applyNumberFormat="1" applyFont="1" applyFill="1" applyBorder="1" applyAlignment="1">
      <alignment horizontal="center" vertical="center" wrapText="1"/>
    </xf>
    <xf numFmtId="0" fontId="3" fillId="9" borderId="0" xfId="0" applyFont="1" applyFill="1" applyAlignment="1">
      <alignment vertical="center"/>
    </xf>
    <xf numFmtId="0" fontId="43" fillId="11" borderId="0" xfId="0" applyFont="1" applyFill="1" applyAlignment="1">
      <alignment horizontal="center" vertical="center"/>
    </xf>
    <xf numFmtId="0" fontId="0" fillId="13" borderId="0" xfId="0" applyFill="1" applyAlignment="1">
      <alignment vertical="center"/>
    </xf>
    <xf numFmtId="0" fontId="2" fillId="8" borderId="0" xfId="0" applyFont="1" applyFill="1" applyAlignment="1">
      <alignment vertical="center"/>
    </xf>
    <xf numFmtId="0" fontId="0" fillId="0" borderId="0" xfId="0" applyAlignment="1">
      <alignment vertical="center"/>
    </xf>
    <xf numFmtId="0" fontId="0" fillId="2" borderId="0" xfId="0" applyFill="1" applyAlignment="1">
      <alignment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0" fillId="13" borderId="0" xfId="0" applyFill="1" applyAlignment="1">
      <alignment horizontal="center" vertical="center"/>
    </xf>
    <xf numFmtId="0" fontId="40" fillId="37" borderId="9" xfId="0" applyFont="1" applyFill="1" applyBorder="1" applyAlignment="1">
      <alignment horizontal="center" vertical="center"/>
    </xf>
    <xf numFmtId="0" fontId="45" fillId="37" borderId="27" xfId="0" applyFont="1" applyFill="1" applyBorder="1" applyAlignment="1">
      <alignment horizontal="center" vertical="center" textRotation="90" wrapText="1"/>
    </xf>
    <xf numFmtId="0" fontId="46" fillId="40" borderId="1" xfId="0" applyFont="1" applyFill="1" applyBorder="1" applyAlignment="1">
      <alignment horizontal="center" vertical="center" wrapText="1"/>
    </xf>
    <xf numFmtId="0" fontId="46" fillId="40" borderId="1" xfId="0" applyFont="1" applyFill="1" applyBorder="1" applyAlignment="1">
      <alignment horizontal="center" vertical="center"/>
    </xf>
    <xf numFmtId="0" fontId="46" fillId="40" borderId="1" xfId="0" applyFont="1" applyFill="1" applyBorder="1" applyAlignment="1">
      <alignment horizontal="center" vertical="center" textRotation="90"/>
    </xf>
    <xf numFmtId="0" fontId="4" fillId="40" borderId="1" xfId="0" applyFont="1" applyFill="1" applyBorder="1" applyAlignment="1">
      <alignment horizontal="center" vertical="center" textRotation="90"/>
    </xf>
    <xf numFmtId="0" fontId="46" fillId="40" borderId="1" xfId="0" applyFont="1" applyFill="1" applyBorder="1" applyAlignment="1">
      <alignment vertical="center"/>
    </xf>
    <xf numFmtId="0" fontId="2" fillId="41" borderId="1" xfId="0" applyFont="1" applyFill="1" applyBorder="1" applyAlignment="1">
      <alignment horizontal="center" vertical="center" textRotation="90"/>
    </xf>
    <xf numFmtId="0" fontId="2" fillId="7" borderId="1" xfId="0" applyFont="1" applyFill="1" applyBorder="1" applyAlignment="1">
      <alignment horizontal="center" vertical="center" textRotation="90"/>
    </xf>
    <xf numFmtId="0" fontId="4" fillId="14" borderId="1" xfId="0" applyFont="1" applyFill="1" applyBorder="1" applyAlignment="1">
      <alignment horizontal="center" vertical="center" textRotation="90" wrapText="1"/>
    </xf>
    <xf numFmtId="0" fontId="2" fillId="14" borderId="1" xfId="0" applyFont="1" applyFill="1" applyBorder="1" applyAlignment="1">
      <alignment horizontal="center" vertical="center" textRotation="90" wrapText="1"/>
    </xf>
    <xf numFmtId="0" fontId="47" fillId="42" borderId="1" xfId="0" applyFont="1" applyFill="1" applyBorder="1" applyAlignment="1">
      <alignment horizontal="center" vertical="center" textRotation="90" wrapText="1"/>
    </xf>
    <xf numFmtId="0" fontId="48" fillId="5" borderId="37" xfId="0" applyFont="1" applyFill="1" applyBorder="1" applyAlignment="1">
      <alignment horizontal="center" vertical="center" textRotation="90" wrapText="1"/>
    </xf>
    <xf numFmtId="0" fontId="29" fillId="5" borderId="37" xfId="0" applyFont="1" applyFill="1" applyBorder="1" applyAlignment="1">
      <alignment horizontal="center" vertical="center" textRotation="90" wrapText="1"/>
    </xf>
    <xf numFmtId="0" fontId="35" fillId="17" borderId="37" xfId="0" applyFont="1" applyFill="1" applyBorder="1" applyAlignment="1">
      <alignment horizontal="center" vertical="center" textRotation="90" wrapText="1"/>
    </xf>
    <xf numFmtId="0" fontId="35" fillId="17" borderId="37" xfId="0" applyFont="1" applyFill="1" applyBorder="1" applyAlignment="1">
      <alignment horizontal="center" vertical="center" textRotation="90"/>
    </xf>
    <xf numFmtId="0" fontId="50" fillId="43" borderId="1" xfId="0" applyFont="1" applyFill="1" applyBorder="1" applyAlignment="1">
      <alignment horizontal="center" vertical="center" textRotation="90" wrapText="1"/>
    </xf>
    <xf numFmtId="0" fontId="50" fillId="6" borderId="1" xfId="0" applyFont="1" applyFill="1" applyBorder="1" applyAlignment="1">
      <alignment horizontal="center" vertical="center" textRotation="90" wrapText="1"/>
    </xf>
    <xf numFmtId="0" fontId="0" fillId="0" borderId="1" xfId="0" applyBorder="1" applyAlignment="1">
      <alignment horizontal="center" vertical="center" textRotation="90"/>
    </xf>
    <xf numFmtId="0" fontId="0" fillId="13" borderId="1" xfId="0" applyFill="1" applyBorder="1" applyAlignment="1">
      <alignment horizontal="center" vertical="center" textRotation="90"/>
    </xf>
    <xf numFmtId="0" fontId="0" fillId="0" borderId="1" xfId="0" applyBorder="1" applyAlignment="1">
      <alignment horizontal="center" vertical="center"/>
    </xf>
    <xf numFmtId="170" fontId="6" fillId="2" borderId="23" xfId="7" applyNumberFormat="1" applyFont="1" applyFill="1" applyBorder="1" applyAlignment="1">
      <alignment horizontal="center" vertical="center"/>
    </xf>
    <xf numFmtId="0" fontId="3" fillId="40" borderId="1" xfId="0" applyFont="1" applyFill="1" applyBorder="1" applyAlignment="1">
      <alignment horizontal="center" vertical="center"/>
    </xf>
    <xf numFmtId="0" fontId="0" fillId="0" borderId="1" xfId="0" applyBorder="1" applyAlignment="1">
      <alignment vertical="center"/>
    </xf>
    <xf numFmtId="2" fontId="0" fillId="0" borderId="1" xfId="0" applyNumberFormat="1" applyBorder="1" applyAlignment="1">
      <alignment horizontal="center" vertical="center"/>
    </xf>
    <xf numFmtId="171" fontId="0" fillId="0" borderId="1" xfId="0" applyNumberFormat="1" applyBorder="1" applyAlignment="1">
      <alignment horizontal="center" vertical="center"/>
    </xf>
    <xf numFmtId="0" fontId="0" fillId="13" borderId="1" xfId="0" applyFill="1" applyBorder="1" applyAlignment="1">
      <alignment horizontal="center" vertical="center"/>
    </xf>
    <xf numFmtId="171" fontId="0" fillId="2" borderId="1" xfId="0" applyNumberFormat="1" applyFill="1" applyBorder="1" applyAlignment="1">
      <alignment horizontal="center" vertical="center"/>
    </xf>
    <xf numFmtId="0" fontId="3" fillId="40" borderId="1" xfId="0" applyFont="1" applyFill="1" applyBorder="1" applyAlignment="1">
      <alignment vertical="center"/>
    </xf>
    <xf numFmtId="0" fontId="3" fillId="0" borderId="0" xfId="0" applyFont="1" applyAlignment="1">
      <alignment horizontal="center" vertical="center"/>
    </xf>
    <xf numFmtId="0" fontId="0" fillId="0" borderId="0" xfId="0" applyAlignment="1">
      <alignment horizontal="center" vertical="center"/>
    </xf>
    <xf numFmtId="170" fontId="6" fillId="13" borderId="23" xfId="7" applyNumberFormat="1" applyFont="1" applyFill="1" applyBorder="1" applyAlignment="1">
      <alignment horizontal="center" vertical="center"/>
    </xf>
    <xf numFmtId="0" fontId="3" fillId="13" borderId="1" xfId="0" applyFont="1" applyFill="1" applyBorder="1" applyAlignment="1">
      <alignment vertical="center"/>
    </xf>
    <xf numFmtId="0" fontId="3" fillId="13" borderId="1" xfId="0" applyFont="1" applyFill="1" applyBorder="1" applyAlignment="1">
      <alignment horizontal="center" vertical="center"/>
    </xf>
    <xf numFmtId="0" fontId="0" fillId="13" borderId="1" xfId="0" applyFill="1" applyBorder="1" applyAlignment="1">
      <alignment vertical="center"/>
    </xf>
    <xf numFmtId="2" fontId="0" fillId="13" borderId="1" xfId="0" applyNumberFormat="1" applyFill="1" applyBorder="1" applyAlignment="1">
      <alignment horizontal="center" vertical="center"/>
    </xf>
    <xf numFmtId="171" fontId="0" fillId="13" borderId="1" xfId="0" applyNumberFormat="1" applyFill="1" applyBorder="1" applyAlignment="1">
      <alignment horizontal="center" vertical="center"/>
    </xf>
    <xf numFmtId="9" fontId="0" fillId="0" borderId="1" xfId="1" applyFont="1" applyBorder="1" applyAlignment="1">
      <alignment horizontal="center" vertical="center"/>
    </xf>
    <xf numFmtId="171" fontId="0" fillId="0" borderId="1" xfId="0" applyNumberFormat="1" applyBorder="1" applyAlignment="1">
      <alignment horizontal="center" vertical="center" wrapText="1"/>
    </xf>
    <xf numFmtId="0" fontId="39" fillId="24" borderId="1" xfId="2" applyFont="1" applyFill="1" applyBorder="1" applyAlignment="1">
      <alignment horizontal="center" vertical="center" wrapText="1"/>
    </xf>
    <xf numFmtId="0" fontId="40" fillId="24" borderId="1" xfId="2" applyFont="1" applyFill="1" applyBorder="1" applyAlignment="1">
      <alignment horizontal="center" vertical="center" wrapText="1"/>
    </xf>
    <xf numFmtId="1" fontId="0" fillId="0" borderId="1" xfId="0" applyNumberFormat="1" applyBorder="1" applyAlignment="1">
      <alignment horizontal="center" vertical="center"/>
    </xf>
    <xf numFmtId="0" fontId="0" fillId="0" borderId="1" xfId="0" applyBorder="1" applyAlignment="1">
      <alignment vertical="center" wrapText="1"/>
    </xf>
    <xf numFmtId="0" fontId="0" fillId="2" borderId="0" xfId="0" applyFill="1" applyAlignment="1">
      <alignment vertical="center" wrapText="1"/>
    </xf>
    <xf numFmtId="0" fontId="0" fillId="0" borderId="0" xfId="0" applyAlignment="1">
      <alignment vertical="center" wrapText="1"/>
    </xf>
    <xf numFmtId="0" fontId="49" fillId="5" borderId="24" xfId="0" applyFont="1" applyFill="1" applyBorder="1" applyAlignment="1">
      <alignment horizontal="left" vertical="center" wrapText="1"/>
    </xf>
    <xf numFmtId="0" fontId="0" fillId="0" borderId="1" xfId="0" applyBorder="1" applyAlignment="1">
      <alignment horizontal="center" vertical="center" wrapText="1"/>
    </xf>
    <xf numFmtId="170" fontId="6" fillId="17" borderId="23" xfId="7" applyNumberFormat="1" applyFont="1" applyFill="1" applyBorder="1" applyAlignment="1">
      <alignment horizontal="center" vertical="center"/>
    </xf>
    <xf numFmtId="0" fontId="3" fillId="17" borderId="1" xfId="0" applyFont="1" applyFill="1" applyBorder="1" applyAlignment="1">
      <alignment horizontal="center" vertical="center"/>
    </xf>
    <xf numFmtId="0" fontId="30" fillId="17" borderId="1" xfId="6"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vertical="center"/>
    </xf>
    <xf numFmtId="2" fontId="0" fillId="17" borderId="1" xfId="0" applyNumberFormat="1" applyFill="1" applyBorder="1" applyAlignment="1">
      <alignment horizontal="center" vertical="center"/>
    </xf>
    <xf numFmtId="171" fontId="0" fillId="17" borderId="1" xfId="0" applyNumberFormat="1" applyFill="1" applyBorder="1" applyAlignment="1">
      <alignment horizontal="center" vertical="center"/>
    </xf>
    <xf numFmtId="166" fontId="51" fillId="17" borderId="1" xfId="0" applyNumberFormat="1" applyFont="1" applyFill="1" applyBorder="1" applyAlignment="1">
      <alignment horizontal="center" vertical="center" wrapText="1"/>
    </xf>
    <xf numFmtId="0" fontId="0" fillId="17" borderId="38" xfId="0" applyFill="1" applyBorder="1" applyAlignment="1">
      <alignment horizontal="center" vertical="center"/>
    </xf>
    <xf numFmtId="0" fontId="52" fillId="17" borderId="1" xfId="0" applyFont="1" applyFill="1" applyBorder="1" applyAlignment="1">
      <alignment horizontal="center" vertical="center" wrapText="1" readingOrder="1"/>
    </xf>
    <xf numFmtId="172" fontId="53" fillId="17" borderId="1" xfId="0" applyNumberFormat="1" applyFont="1" applyFill="1" applyBorder="1" applyAlignment="1">
      <alignment horizontal="center" vertical="center" wrapText="1"/>
    </xf>
    <xf numFmtId="0" fontId="54" fillId="17" borderId="1" xfId="0" applyFont="1" applyFill="1" applyBorder="1" applyAlignment="1">
      <alignment horizontal="center" vertical="center" wrapText="1" readingOrder="1"/>
    </xf>
    <xf numFmtId="170" fontId="6" fillId="17" borderId="1" xfId="7" applyNumberFormat="1" applyFont="1" applyFill="1" applyBorder="1" applyAlignment="1">
      <alignment horizontal="center" vertical="center"/>
    </xf>
    <xf numFmtId="173" fontId="20" fillId="17" borderId="1" xfId="8" applyNumberFormat="1" applyFont="1" applyFill="1" applyBorder="1" applyAlignment="1">
      <alignment horizontal="center" vertical="center"/>
    </xf>
    <xf numFmtId="0" fontId="56" fillId="17" borderId="1" xfId="7" applyFont="1" applyFill="1" applyBorder="1" applyAlignment="1">
      <alignment horizontal="center" vertical="center" wrapText="1"/>
    </xf>
    <xf numFmtId="0" fontId="0" fillId="17" borderId="0" xfId="0" applyFill="1" applyAlignment="1">
      <alignment vertical="center"/>
    </xf>
    <xf numFmtId="49" fontId="0" fillId="17" borderId="1" xfId="0" applyNumberFormat="1" applyFill="1" applyBorder="1" applyAlignment="1">
      <alignment horizontal="center" vertical="center"/>
    </xf>
    <xf numFmtId="0" fontId="26" fillId="2" borderId="37" xfId="0" applyFont="1" applyFill="1" applyBorder="1" applyAlignment="1">
      <alignment vertical="center" wrapText="1"/>
    </xf>
    <xf numFmtId="0" fontId="26" fillId="0" borderId="37" xfId="0" applyFont="1" applyBorder="1" applyAlignment="1">
      <alignment vertical="center" wrapText="1"/>
    </xf>
    <xf numFmtId="0" fontId="0" fillId="0" borderId="1" xfId="0" applyBorder="1" applyAlignment="1">
      <alignment horizontal="left" vertical="center"/>
    </xf>
    <xf numFmtId="14" fontId="6" fillId="9" borderId="1" xfId="2" applyNumberFormat="1" applyFont="1" applyFill="1" applyBorder="1" applyAlignment="1">
      <alignment horizontal="center" vertical="center"/>
    </xf>
    <xf numFmtId="0" fontId="26" fillId="31" borderId="1" xfId="0" applyFont="1" applyFill="1" applyBorder="1" applyAlignment="1">
      <alignment horizontal="center" vertical="center" wrapText="1"/>
    </xf>
    <xf numFmtId="0" fontId="26" fillId="9" borderId="1" xfId="0" quotePrefix="1" applyFont="1" applyFill="1" applyBorder="1" applyAlignment="1">
      <alignment horizontal="left" vertical="center" wrapText="1"/>
    </xf>
    <xf numFmtId="1" fontId="6" fillId="40" borderId="1" xfId="2" applyNumberFormat="1" applyFont="1" applyFill="1" applyBorder="1" applyAlignment="1">
      <alignment horizontal="center" vertical="center"/>
    </xf>
    <xf numFmtId="14" fontId="6" fillId="40" borderId="1" xfId="2" applyNumberFormat="1" applyFont="1" applyFill="1" applyBorder="1" applyAlignment="1">
      <alignment horizontal="center" vertical="center"/>
    </xf>
    <xf numFmtId="0" fontId="6" fillId="40" borderId="1" xfId="2" applyFont="1" applyFill="1" applyBorder="1" applyAlignment="1">
      <alignment horizontal="center" vertical="center" wrapText="1"/>
    </xf>
    <xf numFmtId="0" fontId="26" fillId="40" borderId="1" xfId="0" applyFont="1" applyFill="1" applyBorder="1" applyAlignment="1">
      <alignment horizontal="center" vertical="center" wrapText="1"/>
    </xf>
    <xf numFmtId="0" fontId="3" fillId="40" borderId="1" xfId="0" applyFont="1" applyFill="1" applyBorder="1" applyAlignment="1">
      <alignment horizontal="center" vertical="center" wrapText="1" shrinkToFit="1"/>
    </xf>
    <xf numFmtId="0" fontId="32" fillId="40" borderId="1" xfId="2" applyFont="1" applyFill="1" applyBorder="1" applyAlignment="1">
      <alignment horizontal="center" vertical="center" wrapText="1"/>
    </xf>
    <xf numFmtId="9" fontId="6" fillId="40" borderId="1" xfId="1" applyFont="1" applyFill="1" applyBorder="1" applyAlignment="1">
      <alignment horizontal="center" vertical="center" wrapText="1"/>
    </xf>
    <xf numFmtId="2" fontId="26" fillId="40" borderId="1" xfId="0" applyNumberFormat="1" applyFont="1" applyFill="1" applyBorder="1" applyAlignment="1">
      <alignment horizontal="center" vertical="center" wrapText="1"/>
    </xf>
    <xf numFmtId="2" fontId="34" fillId="40" borderId="1" xfId="0" applyNumberFormat="1" applyFont="1" applyFill="1" applyBorder="1" applyAlignment="1">
      <alignment horizontal="center" vertical="center" wrapText="1"/>
    </xf>
    <xf numFmtId="1" fontId="6" fillId="40" borderId="1" xfId="2" applyNumberFormat="1" applyFont="1" applyFill="1" applyBorder="1" applyAlignment="1">
      <alignment horizontal="center" vertical="center" wrapText="1"/>
    </xf>
    <xf numFmtId="0" fontId="3" fillId="40" borderId="1" xfId="0" applyFont="1" applyFill="1" applyBorder="1" applyAlignment="1">
      <alignment horizontal="center" vertical="center" wrapText="1"/>
    </xf>
    <xf numFmtId="0" fontId="26" fillId="9" borderId="1" xfId="0" applyFont="1" applyFill="1" applyBorder="1" applyAlignment="1">
      <alignment horizontal="left" vertical="center"/>
    </xf>
    <xf numFmtId="14" fontId="6" fillId="17" borderId="1" xfId="2" applyNumberFormat="1" applyFont="1" applyFill="1" applyBorder="1" applyAlignment="1">
      <alignment horizontal="center" vertical="center"/>
    </xf>
    <xf numFmtId="0" fontId="26" fillId="17" borderId="1" xfId="0" applyFont="1" applyFill="1" applyBorder="1" applyAlignment="1">
      <alignment horizontal="left" vertical="center" wrapText="1"/>
    </xf>
    <xf numFmtId="0" fontId="26" fillId="17" borderId="1" xfId="0" applyFont="1" applyFill="1" applyBorder="1" applyAlignment="1">
      <alignment horizontal="center" vertical="center" wrapText="1"/>
    </xf>
    <xf numFmtId="0" fontId="3" fillId="17" borderId="1" xfId="0" applyFont="1" applyFill="1" applyBorder="1" applyAlignment="1">
      <alignment horizontal="center" vertical="center" wrapText="1" shrinkToFit="1"/>
    </xf>
    <xf numFmtId="0" fontId="26" fillId="26" borderId="1" xfId="0" applyFont="1" applyFill="1" applyBorder="1" applyAlignment="1">
      <alignment horizontal="center" vertical="center" wrapText="1"/>
    </xf>
    <xf numFmtId="0" fontId="26" fillId="40" borderId="1" xfId="0" applyFont="1" applyFill="1" applyBorder="1" applyAlignment="1">
      <alignment horizontal="left" vertical="center" wrapText="1"/>
    </xf>
    <xf numFmtId="0" fontId="0" fillId="0" borderId="0" xfId="0" applyAlignment="1">
      <alignment horizontal="left" indent="1"/>
    </xf>
    <xf numFmtId="2" fontId="26" fillId="11" borderId="1" xfId="0" applyNumberFormat="1" applyFont="1" applyFill="1" applyBorder="1" applyAlignment="1">
      <alignment horizontal="center" vertical="center" wrapText="1"/>
    </xf>
    <xf numFmtId="0" fontId="26" fillId="11" borderId="1" xfId="0" applyFont="1" applyFill="1" applyBorder="1" applyAlignment="1">
      <alignment vertical="center" wrapText="1"/>
    </xf>
    <xf numFmtId="0" fontId="3" fillId="11" borderId="1" xfId="0" applyFont="1" applyFill="1" applyBorder="1" applyAlignment="1">
      <alignment horizontal="center" vertical="center" wrapText="1" shrinkToFit="1"/>
    </xf>
    <xf numFmtId="0" fontId="26" fillId="11" borderId="1" xfId="0" applyFont="1" applyFill="1" applyBorder="1" applyAlignment="1">
      <alignment horizontal="center" vertical="center" wrapText="1"/>
    </xf>
    <xf numFmtId="0" fontId="3" fillId="8" borderId="1" xfId="0" applyFont="1" applyFill="1" applyBorder="1" applyAlignment="1">
      <alignment horizontal="left" vertical="center" wrapText="1" shrinkToFit="1"/>
    </xf>
    <xf numFmtId="0" fontId="2" fillId="0" borderId="0" xfId="0" applyFont="1"/>
    <xf numFmtId="0" fontId="61" fillId="0" borderId="0" xfId="0" applyFont="1"/>
    <xf numFmtId="0" fontId="0" fillId="8" borderId="0" xfId="0" applyFill="1" applyAlignment="1">
      <alignment vertical="center"/>
    </xf>
    <xf numFmtId="0" fontId="41" fillId="8" borderId="1" xfId="2" applyFont="1" applyFill="1" applyBorder="1" applyAlignment="1">
      <alignment horizontal="center" vertical="center" wrapText="1"/>
    </xf>
    <xf numFmtId="0" fontId="39" fillId="44" borderId="1" xfId="2" applyFont="1" applyFill="1" applyBorder="1" applyAlignment="1">
      <alignment horizontal="center" vertical="center" wrapText="1"/>
    </xf>
    <xf numFmtId="0" fontId="0" fillId="33" borderId="0" xfId="0" applyFill="1"/>
    <xf numFmtId="0" fontId="26" fillId="0" borderId="1" xfId="0" applyFont="1" applyBorder="1" applyAlignment="1">
      <alignment horizontal="center" vertical="center" wrapText="1"/>
    </xf>
    <xf numFmtId="1" fontId="3" fillId="0" borderId="1" xfId="0" applyNumberFormat="1" applyFont="1" applyBorder="1" applyAlignment="1">
      <alignment horizontal="center" vertical="center"/>
    </xf>
    <xf numFmtId="0" fontId="26" fillId="0" borderId="37" xfId="0" applyFont="1" applyBorder="1" applyAlignment="1">
      <alignment horizontal="center" vertical="center" wrapText="1"/>
    </xf>
    <xf numFmtId="0" fontId="30" fillId="0" borderId="1" xfId="6" applyFill="1" applyBorder="1" applyAlignment="1">
      <alignment horizontal="center" vertical="center" wrapText="1"/>
    </xf>
    <xf numFmtId="1" fontId="3" fillId="0" borderId="0" xfId="0" applyNumberFormat="1" applyFont="1" applyAlignment="1">
      <alignment horizontal="center" vertical="center"/>
    </xf>
    <xf numFmtId="0" fontId="26" fillId="25" borderId="1" xfId="0" applyFont="1" applyFill="1" applyBorder="1" applyAlignment="1">
      <alignment horizontal="center" vertical="center" wrapText="1"/>
    </xf>
    <xf numFmtId="0" fontId="0" fillId="3" borderId="0" xfId="0" applyFill="1" applyAlignment="1">
      <alignment horizontal="left" vertical="center"/>
    </xf>
    <xf numFmtId="9" fontId="6" fillId="2" borderId="1" xfId="1" applyFont="1" applyFill="1" applyBorder="1" applyAlignment="1">
      <alignment horizontal="center" vertical="center"/>
    </xf>
    <xf numFmtId="0" fontId="3" fillId="2" borderId="1" xfId="0" applyFont="1" applyFill="1" applyBorder="1" applyAlignment="1">
      <alignment horizontal="left" vertical="center" wrapText="1" shrinkToFit="1"/>
    </xf>
    <xf numFmtId="0" fontId="3" fillId="0" borderId="1" xfId="0" applyFont="1" applyBorder="1" applyAlignment="1">
      <alignment horizontal="center" vertical="center" wrapText="1" shrinkToFit="1"/>
    </xf>
    <xf numFmtId="0" fontId="26" fillId="0" borderId="37" xfId="0" applyFont="1" applyBorder="1" applyAlignment="1">
      <alignment horizontal="left" vertical="center" wrapText="1"/>
    </xf>
    <xf numFmtId="0" fontId="3" fillId="2" borderId="0" xfId="0" applyFont="1" applyFill="1" applyAlignment="1">
      <alignment horizontal="left" vertical="top" wrapText="1" shrinkToFit="1"/>
    </xf>
    <xf numFmtId="0" fontId="4" fillId="2" borderId="0" xfId="0" applyFont="1" applyFill="1" applyAlignment="1">
      <alignment wrapText="1"/>
    </xf>
    <xf numFmtId="0" fontId="6" fillId="0" borderId="1" xfId="2" applyFont="1" applyBorder="1" applyAlignment="1">
      <alignment horizontal="left" vertical="center" wrapText="1"/>
    </xf>
    <xf numFmtId="0" fontId="39" fillId="44" borderId="22" xfId="2" applyFont="1" applyFill="1" applyBorder="1" applyAlignment="1">
      <alignment horizontal="center" vertical="center" wrapText="1"/>
    </xf>
    <xf numFmtId="1" fontId="6" fillId="17" borderId="22" xfId="2" applyNumberFormat="1" applyFont="1" applyFill="1" applyBorder="1" applyAlignment="1">
      <alignment horizontal="center" vertical="center" wrapText="1"/>
    </xf>
    <xf numFmtId="1" fontId="6" fillId="2" borderId="22" xfId="2" applyNumberFormat="1" applyFont="1" applyFill="1" applyBorder="1" applyAlignment="1">
      <alignment horizontal="center" vertical="center" wrapText="1"/>
    </xf>
    <xf numFmtId="1" fontId="6" fillId="9" borderId="22" xfId="2" applyNumberFormat="1" applyFont="1" applyFill="1" applyBorder="1" applyAlignment="1">
      <alignment horizontal="center" vertical="center" wrapText="1"/>
    </xf>
    <xf numFmtId="1" fontId="6" fillId="0" borderId="22" xfId="2" applyNumberFormat="1" applyFont="1" applyBorder="1" applyAlignment="1">
      <alignment horizontal="center" vertical="center" wrapText="1"/>
    </xf>
    <xf numFmtId="1" fontId="6" fillId="3" borderId="22" xfId="2" applyNumberFormat="1" applyFont="1" applyFill="1" applyBorder="1" applyAlignment="1">
      <alignment horizontal="center" vertical="center" wrapText="1"/>
    </xf>
    <xf numFmtId="1" fontId="6" fillId="40" borderId="22" xfId="2" applyNumberFormat="1" applyFont="1" applyFill="1" applyBorder="1" applyAlignment="1">
      <alignment horizontal="center" vertical="center" wrapText="1"/>
    </xf>
    <xf numFmtId="1" fontId="6" fillId="26" borderId="22" xfId="2" applyNumberFormat="1" applyFont="1" applyFill="1" applyBorder="1" applyAlignment="1">
      <alignment horizontal="center" vertical="center" wrapText="1"/>
    </xf>
    <xf numFmtId="1" fontId="6" fillId="7" borderId="22" xfId="2" applyNumberFormat="1" applyFont="1" applyFill="1" applyBorder="1" applyAlignment="1">
      <alignment horizontal="center" vertical="center" wrapText="1"/>
    </xf>
    <xf numFmtId="2" fontId="3" fillId="0" borderId="22" xfId="0" applyNumberFormat="1" applyFont="1" applyBorder="1" applyAlignment="1">
      <alignment vertical="center"/>
    </xf>
    <xf numFmtId="1" fontId="6" fillId="5" borderId="22" xfId="2" applyNumberFormat="1" applyFont="1" applyFill="1" applyBorder="1" applyAlignment="1">
      <alignment horizontal="center" vertical="center" wrapText="1"/>
    </xf>
    <xf numFmtId="1" fontId="6" fillId="8" borderId="22" xfId="2" applyNumberFormat="1" applyFont="1" applyFill="1" applyBorder="1" applyAlignment="1">
      <alignment horizontal="center" vertical="center" wrapText="1"/>
    </xf>
    <xf numFmtId="1" fontId="3" fillId="0" borderId="0" xfId="0" applyNumberFormat="1" applyFont="1" applyAlignment="1">
      <alignment vertical="center"/>
    </xf>
    <xf numFmtId="14" fontId="3" fillId="0" borderId="0" xfId="0" applyNumberFormat="1" applyFont="1" applyAlignment="1">
      <alignment horizontal="center" vertical="center"/>
    </xf>
    <xf numFmtId="0" fontId="6" fillId="0" borderId="0" xfId="2" applyFont="1" applyAlignment="1">
      <alignment horizontal="center" vertical="center" wrapText="1"/>
    </xf>
    <xf numFmtId="0" fontId="26" fillId="0" borderId="0" xfId="0" applyFont="1" applyAlignment="1">
      <alignment vertical="center" wrapText="1"/>
    </xf>
    <xf numFmtId="49" fontId="26" fillId="0" borderId="0" xfId="0" applyNumberFormat="1" applyFont="1" applyAlignment="1">
      <alignment wrapText="1"/>
    </xf>
    <xf numFmtId="0" fontId="26" fillId="0" borderId="0" xfId="0" applyFont="1" applyAlignment="1">
      <alignment horizontal="left" vertical="center" wrapText="1"/>
    </xf>
    <xf numFmtId="0" fontId="32" fillId="0" borderId="0" xfId="2" applyFont="1" applyAlignment="1">
      <alignment horizontal="center" vertical="center" wrapText="1"/>
    </xf>
    <xf numFmtId="9" fontId="6" fillId="0" borderId="0" xfId="1" applyFont="1" applyFill="1" applyBorder="1" applyAlignment="1">
      <alignment horizontal="center" vertical="center" wrapText="1"/>
    </xf>
    <xf numFmtId="2" fontId="26" fillId="0" borderId="0" xfId="0" applyNumberFormat="1" applyFont="1" applyAlignment="1">
      <alignment horizontal="center" vertical="center" wrapText="1"/>
    </xf>
    <xf numFmtId="2" fontId="34" fillId="0" borderId="0" xfId="0" applyNumberFormat="1" applyFont="1" applyAlignment="1">
      <alignment horizontal="center" vertical="center" wrapText="1"/>
    </xf>
    <xf numFmtId="1" fontId="6" fillId="0" borderId="0" xfId="2" applyNumberFormat="1" applyFont="1" applyAlignment="1">
      <alignment horizontal="center" vertical="center"/>
    </xf>
    <xf numFmtId="0" fontId="26" fillId="0" borderId="0" xfId="0" applyFont="1" applyAlignment="1">
      <alignment horizontal="center" wrapText="1"/>
    </xf>
    <xf numFmtId="0" fontId="6" fillId="0" borderId="0" xfId="2" applyFont="1" applyAlignment="1">
      <alignment horizontal="left" vertical="center" wrapText="1"/>
    </xf>
    <xf numFmtId="0" fontId="3" fillId="0" borderId="0" xfId="0" applyFont="1" applyAlignment="1">
      <alignment horizontal="left" vertical="center"/>
    </xf>
    <xf numFmtId="2" fontId="3" fillId="0" borderId="0" xfId="0" applyNumberFormat="1" applyFont="1" applyAlignment="1">
      <alignment horizontal="center" vertical="center"/>
    </xf>
    <xf numFmtId="2" fontId="3" fillId="0" borderId="1" xfId="0" applyNumberFormat="1" applyFont="1" applyBorder="1" applyAlignment="1">
      <alignment horizontal="center" vertical="center"/>
    </xf>
    <xf numFmtId="0" fontId="3" fillId="2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8" borderId="1" xfId="0" applyFont="1" applyFill="1" applyBorder="1" applyAlignment="1">
      <alignment horizontal="center" vertical="center"/>
    </xf>
    <xf numFmtId="16" fontId="26" fillId="2" borderId="1" xfId="0" applyNumberFormat="1" applyFont="1" applyFill="1" applyBorder="1" applyAlignment="1">
      <alignment vertical="center" wrapText="1"/>
    </xf>
    <xf numFmtId="49" fontId="26" fillId="30" borderId="1" xfId="0" applyNumberFormat="1" applyFont="1" applyFill="1" applyBorder="1" applyAlignment="1">
      <alignment horizontal="left" vertical="center" wrapText="1"/>
    </xf>
    <xf numFmtId="14" fontId="36" fillId="2" borderId="1" xfId="0" applyNumberFormat="1" applyFont="1" applyFill="1" applyBorder="1" applyAlignment="1">
      <alignment vertical="center" wrapText="1"/>
    </xf>
    <xf numFmtId="0" fontId="58" fillId="2" borderId="1" xfId="0" applyFont="1" applyFill="1" applyBorder="1" applyAlignment="1">
      <alignment vertical="center" wrapText="1"/>
    </xf>
    <xf numFmtId="0" fontId="36" fillId="0" borderId="1" xfId="0" applyFont="1" applyBorder="1" applyAlignment="1">
      <alignment vertical="center" wrapText="1"/>
    </xf>
    <xf numFmtId="14" fontId="26" fillId="0" borderId="1" xfId="0" applyNumberFormat="1" applyFont="1" applyBorder="1" applyAlignment="1">
      <alignment vertical="center" wrapText="1"/>
    </xf>
    <xf numFmtId="0" fontId="36" fillId="3" borderId="1" xfId="0" applyFont="1" applyFill="1" applyBorder="1" applyAlignment="1">
      <alignment vertical="center" wrapText="1"/>
    </xf>
    <xf numFmtId="14" fontId="26" fillId="2" borderId="1" xfId="0" applyNumberFormat="1" applyFont="1" applyFill="1" applyBorder="1" applyAlignment="1">
      <alignment horizontal="left" vertical="center" wrapText="1"/>
    </xf>
    <xf numFmtId="0" fontId="36" fillId="2" borderId="1" xfId="0" applyFont="1" applyFill="1" applyBorder="1" applyAlignment="1">
      <alignment vertical="center" wrapText="1"/>
    </xf>
    <xf numFmtId="49" fontId="26" fillId="0" borderId="1" xfId="0" applyNumberFormat="1" applyFont="1" applyBorder="1" applyAlignment="1">
      <alignment horizontal="left" vertical="center" wrapText="1"/>
    </xf>
    <xf numFmtId="16" fontId="26" fillId="0" borderId="1" xfId="0" applyNumberFormat="1" applyFont="1" applyBorder="1" applyAlignment="1">
      <alignment vertical="center" wrapText="1"/>
    </xf>
    <xf numFmtId="16" fontId="26" fillId="9" borderId="1" xfId="0" applyNumberFormat="1" applyFont="1" applyFill="1" applyBorder="1" applyAlignment="1">
      <alignment vertical="center" wrapText="1"/>
    </xf>
    <xf numFmtId="49" fontId="26" fillId="9" borderId="1" xfId="0" applyNumberFormat="1" applyFont="1" applyFill="1" applyBorder="1" applyAlignment="1">
      <alignment vertical="center" wrapText="1"/>
    </xf>
    <xf numFmtId="0" fontId="6" fillId="0" borderId="1" xfId="0" applyFont="1" applyBorder="1" applyAlignment="1">
      <alignment horizontal="left" vertical="center" wrapText="1" shrinkToFit="1"/>
    </xf>
    <xf numFmtId="49" fontId="26" fillId="8" borderId="1" xfId="0" applyNumberFormat="1" applyFont="1" applyFill="1" applyBorder="1" applyAlignment="1">
      <alignment horizontal="left" vertical="center" wrapText="1"/>
    </xf>
    <xf numFmtId="16" fontId="37" fillId="7" borderId="1" xfId="0" applyNumberFormat="1" applyFont="1" applyFill="1" applyBorder="1" applyAlignment="1">
      <alignment vertical="center" wrapText="1"/>
    </xf>
    <xf numFmtId="0" fontId="3" fillId="7" borderId="1" xfId="0" applyFont="1" applyFill="1" applyBorder="1" applyAlignment="1">
      <alignment vertical="center" wrapText="1"/>
    </xf>
    <xf numFmtId="16" fontId="26" fillId="7" borderId="1" xfId="0" applyNumberFormat="1" applyFont="1" applyFill="1" applyBorder="1" applyAlignment="1">
      <alignment vertical="center" wrapText="1"/>
    </xf>
    <xf numFmtId="16" fontId="37" fillId="2" borderId="1" xfId="0" applyNumberFormat="1" applyFont="1" applyFill="1" applyBorder="1" applyAlignment="1">
      <alignment vertical="center" wrapText="1"/>
    </xf>
    <xf numFmtId="0" fontId="3" fillId="9" borderId="1" xfId="0" applyFont="1" applyFill="1" applyBorder="1" applyAlignment="1">
      <alignment vertical="center" wrapText="1"/>
    </xf>
    <xf numFmtId="16" fontId="37" fillId="9" borderId="1" xfId="0" applyNumberFormat="1" applyFont="1" applyFill="1" applyBorder="1" applyAlignment="1">
      <alignment vertical="center" wrapText="1"/>
    </xf>
    <xf numFmtId="49" fontId="26" fillId="5" borderId="1" xfId="0" applyNumberFormat="1" applyFont="1" applyFill="1" applyBorder="1" applyAlignment="1">
      <alignment vertical="center" wrapText="1"/>
    </xf>
    <xf numFmtId="16" fontId="26" fillId="5" borderId="1" xfId="0" applyNumberFormat="1" applyFont="1" applyFill="1" applyBorder="1" applyAlignment="1">
      <alignment vertical="center" wrapText="1"/>
    </xf>
    <xf numFmtId="49" fontId="26" fillId="3" borderId="1" xfId="0" applyNumberFormat="1" applyFont="1" applyFill="1" applyBorder="1" applyAlignment="1">
      <alignment vertical="center" wrapText="1"/>
    </xf>
    <xf numFmtId="0" fontId="26"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8" borderId="1" xfId="0" applyFont="1" applyFill="1" applyBorder="1" applyAlignment="1">
      <alignment vertical="center" wrapText="1"/>
    </xf>
    <xf numFmtId="16" fontId="26" fillId="8" borderId="1" xfId="0" applyNumberFormat="1" applyFont="1" applyFill="1" applyBorder="1" applyAlignment="1">
      <alignment vertical="center" wrapText="1"/>
    </xf>
    <xf numFmtId="49" fontId="26" fillId="8" borderId="1" xfId="0" applyNumberFormat="1" applyFont="1" applyFill="1" applyBorder="1" applyAlignment="1">
      <alignment vertical="center" wrapText="1"/>
    </xf>
    <xf numFmtId="0" fontId="59" fillId="8" borderId="1" xfId="0" applyFont="1" applyFill="1" applyBorder="1" applyAlignment="1">
      <alignment vertical="center" wrapText="1"/>
    </xf>
    <xf numFmtId="0" fontId="57" fillId="0" borderId="1" xfId="0" applyFont="1" applyBorder="1" applyAlignment="1">
      <alignment vertical="center" wrapText="1"/>
    </xf>
    <xf numFmtId="0" fontId="26" fillId="22" borderId="1" xfId="0" applyFont="1" applyFill="1" applyBorder="1" applyAlignment="1">
      <alignment horizontal="left" vertical="center" wrapText="1"/>
    </xf>
    <xf numFmtId="0" fontId="26" fillId="8" borderId="1" xfId="0" quotePrefix="1" applyFont="1" applyFill="1" applyBorder="1" applyAlignment="1">
      <alignment vertical="center" wrapText="1"/>
    </xf>
    <xf numFmtId="0" fontId="26" fillId="8" borderId="37" xfId="0" applyFont="1" applyFill="1" applyBorder="1" applyAlignment="1">
      <alignment vertical="center" wrapText="1"/>
    </xf>
    <xf numFmtId="0" fontId="6" fillId="8" borderId="1" xfId="2" applyFont="1" applyFill="1" applyBorder="1" applyAlignment="1">
      <alignment horizontal="left" vertical="center" wrapText="1"/>
    </xf>
    <xf numFmtId="0" fontId="6" fillId="45" borderId="1" xfId="2" applyFont="1" applyFill="1" applyBorder="1" applyAlignment="1">
      <alignment horizontal="center" vertical="center" wrapText="1"/>
    </xf>
    <xf numFmtId="0" fontId="26" fillId="45" borderId="1" xfId="0" applyFont="1" applyFill="1" applyBorder="1" applyAlignment="1">
      <alignment horizontal="left" vertical="center" wrapText="1"/>
    </xf>
    <xf numFmtId="0" fontId="32" fillId="45" borderId="1" xfId="2" applyFont="1" applyFill="1" applyBorder="1" applyAlignment="1">
      <alignment horizontal="center" vertical="center" wrapText="1"/>
    </xf>
    <xf numFmtId="0" fontId="26" fillId="45" borderId="37" xfId="0" applyFont="1" applyFill="1" applyBorder="1" applyAlignment="1">
      <alignment horizontal="left" vertical="center" wrapText="1"/>
    </xf>
    <xf numFmtId="49" fontId="26" fillId="45" borderId="1" xfId="0" applyNumberFormat="1" applyFont="1" applyFill="1" applyBorder="1" applyAlignment="1">
      <alignment vertical="center" wrapText="1"/>
    </xf>
    <xf numFmtId="0" fontId="26" fillId="45" borderId="1" xfId="0" applyFont="1" applyFill="1" applyBorder="1" applyAlignment="1">
      <alignment vertical="center" wrapText="1"/>
    </xf>
    <xf numFmtId="0" fontId="6" fillId="45" borderId="1" xfId="2" applyFont="1" applyFill="1" applyBorder="1" applyAlignment="1">
      <alignment horizontal="left" vertical="center" wrapText="1"/>
    </xf>
    <xf numFmtId="9" fontId="6" fillId="45" borderId="1" xfId="1" applyFont="1" applyFill="1" applyBorder="1" applyAlignment="1">
      <alignment horizontal="center" vertical="center" wrapText="1"/>
    </xf>
    <xf numFmtId="0" fontId="30" fillId="0" borderId="1" xfId="6" applyBorder="1" applyAlignment="1">
      <alignment horizontal="center" vertical="center" wrapText="1"/>
    </xf>
    <xf numFmtId="49" fontId="26" fillId="0" borderId="1" xfId="0" applyNumberFormat="1" applyFont="1" applyBorder="1" applyAlignment="1">
      <alignment horizontal="center" vertical="center" wrapText="1"/>
    </xf>
    <xf numFmtId="16" fontId="26" fillId="0" borderId="1" xfId="0" applyNumberFormat="1" applyFont="1" applyBorder="1" applyAlignment="1">
      <alignment horizontal="center" vertical="center" wrapText="1"/>
    </xf>
    <xf numFmtId="0" fontId="26" fillId="0" borderId="1" xfId="0" quotePrefix="1" applyFont="1" applyBorder="1" applyAlignment="1">
      <alignment horizontal="center" vertical="center" wrapText="1"/>
    </xf>
    <xf numFmtId="14" fontId="26" fillId="0" borderId="1" xfId="0" applyNumberFormat="1" applyFont="1" applyBorder="1" applyAlignment="1">
      <alignment horizontal="left" vertical="center" wrapText="1"/>
    </xf>
    <xf numFmtId="0" fontId="30" fillId="26" borderId="1" xfId="9" applyFill="1" applyBorder="1" applyAlignment="1">
      <alignment vertical="center" wrapText="1"/>
    </xf>
    <xf numFmtId="0" fontId="26" fillId="41" borderId="1" xfId="0" applyFont="1" applyFill="1" applyBorder="1" applyAlignment="1">
      <alignment vertical="center" wrapText="1"/>
    </xf>
    <xf numFmtId="0" fontId="26" fillId="41"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shrinkToFit="1"/>
    </xf>
    <xf numFmtId="0" fontId="60" fillId="0" borderId="0" xfId="0" applyFont="1" applyAlignment="1">
      <alignment horizontal="center" vertical="center"/>
    </xf>
    <xf numFmtId="0" fontId="0" fillId="0" borderId="0" xfId="0" applyAlignment="1">
      <alignment horizontal="center" vertical="center"/>
    </xf>
    <xf numFmtId="0" fontId="0" fillId="27" borderId="8" xfId="0" applyFill="1" applyBorder="1" applyAlignment="1">
      <alignment horizontal="center" vertical="center"/>
    </xf>
    <xf numFmtId="0" fontId="0" fillId="27" borderId="2" xfId="0" applyFill="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43" fillId="11" borderId="0" xfId="0" applyFont="1" applyFill="1" applyAlignment="1">
      <alignment horizontal="center" vertical="center"/>
    </xf>
    <xf numFmtId="0" fontId="43" fillId="11" borderId="0" xfId="0" applyFont="1" applyFill="1" applyAlignment="1">
      <alignment horizontal="center" vertical="center" wrapText="1"/>
    </xf>
    <xf numFmtId="0" fontId="40" fillId="39" borderId="4" xfId="0" applyFont="1" applyFill="1" applyBorder="1" applyAlignment="1">
      <alignment horizontal="center" vertical="center"/>
    </xf>
    <xf numFmtId="0" fontId="40" fillId="11" borderId="3" xfId="0" applyFont="1" applyFill="1" applyBorder="1" applyAlignment="1">
      <alignment horizontal="center" vertical="center"/>
    </xf>
    <xf numFmtId="0" fontId="40" fillId="3" borderId="5" xfId="0" applyFont="1" applyFill="1" applyBorder="1" applyAlignment="1">
      <alignment horizontal="center" vertical="center"/>
    </xf>
    <xf numFmtId="0" fontId="40" fillId="3" borderId="5" xfId="0" applyFont="1" applyFill="1" applyBorder="1" applyAlignment="1">
      <alignment horizontal="center" vertical="center" wrapText="1"/>
    </xf>
    <xf numFmtId="0" fontId="44" fillId="5" borderId="1" xfId="0" applyFont="1" applyFill="1" applyBorder="1" applyAlignment="1">
      <alignment horizontal="center" vertical="center"/>
    </xf>
    <xf numFmtId="0" fontId="40" fillId="6" borderId="24" xfId="0" applyFont="1" applyFill="1" applyBorder="1" applyAlignment="1">
      <alignment horizontal="center" vertical="center"/>
    </xf>
    <xf numFmtId="0" fontId="40" fillId="6" borderId="7" xfId="0" applyFont="1" applyFill="1" applyBorder="1" applyAlignment="1">
      <alignment horizontal="center" vertical="center"/>
    </xf>
    <xf numFmtId="0" fontId="40" fillId="6" borderId="36" xfId="0" applyFont="1" applyFill="1" applyBorder="1" applyAlignment="1">
      <alignment horizontal="center" vertical="center"/>
    </xf>
    <xf numFmtId="0" fontId="19" fillId="0" borderId="1" xfId="5" applyFont="1" applyBorder="1" applyAlignment="1">
      <alignment horizontal="center" vertical="center"/>
    </xf>
    <xf numFmtId="0" fontId="24" fillId="20" borderId="22" xfId="5" applyFont="1" applyFill="1" applyBorder="1" applyAlignment="1">
      <alignment horizontal="left" vertical="center"/>
    </xf>
    <xf numFmtId="0" fontId="24" fillId="20" borderId="3" xfId="5" applyFont="1" applyFill="1" applyBorder="1" applyAlignment="1">
      <alignment horizontal="left" vertical="center"/>
    </xf>
    <xf numFmtId="0" fontId="24" fillId="20" borderId="23" xfId="5" applyFont="1" applyFill="1" applyBorder="1" applyAlignment="1">
      <alignment horizontal="left" vertical="center"/>
    </xf>
    <xf numFmtId="169" fontId="0" fillId="21" borderId="7" xfId="0" applyNumberFormat="1" applyFill="1" applyBorder="1" applyAlignment="1">
      <alignment horizontal="center"/>
    </xf>
    <xf numFmtId="169" fontId="0" fillId="24" borderId="7" xfId="0" applyNumberFormat="1" applyFill="1" applyBorder="1" applyAlignment="1">
      <alignment horizontal="center"/>
    </xf>
    <xf numFmtId="169" fontId="0" fillId="0" borderId="22" xfId="0" applyNumberFormat="1" applyBorder="1" applyAlignment="1">
      <alignment horizontal="center"/>
    </xf>
    <xf numFmtId="169" fontId="0" fillId="0" borderId="3" xfId="0" applyNumberFormat="1" applyBorder="1" applyAlignment="1">
      <alignment horizontal="center"/>
    </xf>
    <xf numFmtId="169" fontId="0" fillId="0" borderId="23" xfId="0" applyNumberFormat="1" applyBorder="1" applyAlignment="1">
      <alignment horizontal="center"/>
    </xf>
    <xf numFmtId="169" fontId="0" fillId="7" borderId="22" xfId="0" applyNumberFormat="1" applyFill="1" applyBorder="1" applyAlignment="1">
      <alignment horizontal="center"/>
    </xf>
    <xf numFmtId="169" fontId="0" fillId="7" borderId="3" xfId="0" applyNumberFormat="1" applyFill="1" applyBorder="1" applyAlignment="1">
      <alignment horizontal="center"/>
    </xf>
    <xf numFmtId="169" fontId="0" fillId="7" borderId="23" xfId="0" applyNumberFormat="1" applyFill="1" applyBorder="1" applyAlignment="1">
      <alignment horizontal="center"/>
    </xf>
    <xf numFmtId="169" fontId="0" fillId="11" borderId="22" xfId="0" applyNumberFormat="1" applyFill="1" applyBorder="1" applyAlignment="1">
      <alignment horizontal="center"/>
    </xf>
    <xf numFmtId="169" fontId="0" fillId="11" borderId="3" xfId="0" applyNumberFormat="1" applyFill="1" applyBorder="1" applyAlignment="1">
      <alignment horizontal="center"/>
    </xf>
    <xf numFmtId="169" fontId="0" fillId="11" borderId="23" xfId="0" applyNumberFormat="1" applyFill="1" applyBorder="1" applyAlignment="1">
      <alignment horizontal="center"/>
    </xf>
  </cellXfs>
  <cellStyles count="10">
    <cellStyle name="Hyperlink" xfId="9" xr:uid="{00000000-000B-0000-0000-000008000000}"/>
    <cellStyle name="Lien hypertexte" xfId="6" builtinId="8"/>
    <cellStyle name="Normal" xfId="0" builtinId="0"/>
    <cellStyle name="Normal 10 8" xfId="5" xr:uid="{00000000-0005-0000-0000-000001000000}"/>
    <cellStyle name="Normal 11" xfId="2" xr:uid="{00000000-0005-0000-0000-000002000000}"/>
    <cellStyle name="Normal 3" xfId="3" xr:uid="{00000000-0005-0000-0000-000003000000}"/>
    <cellStyle name="Normale 2" xfId="8" xr:uid="{2F7840CC-D516-4244-874D-61EFBCB49E43}"/>
    <cellStyle name="Pourcentage" xfId="1" builtinId="5"/>
    <cellStyle name="Pourcentage 10" xfId="4" xr:uid="{00000000-0005-0000-0000-000005000000}"/>
    <cellStyle name="Satisfaisant" xfId="7" builtinId="26"/>
  </cellStyles>
  <dxfs count="55">
    <dxf>
      <font>
        <condense val="0"/>
        <extend val="0"/>
        <color indexed="9"/>
      </font>
    </dxf>
    <dxf>
      <font>
        <condense val="0"/>
        <extend val="0"/>
        <color indexed="9"/>
      </font>
    </dxf>
    <dxf>
      <font>
        <condense val="0"/>
        <extend val="0"/>
        <color indexed="9"/>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ill>
        <patternFill>
          <bgColor theme="5" tint="0.39994506668294322"/>
        </patternFill>
      </fill>
    </dxf>
    <dxf>
      <fill>
        <patternFill>
          <bgColor rgb="FFFFFF00"/>
        </patternFill>
      </fill>
    </dxf>
    <dxf>
      <fill>
        <patternFill>
          <bgColor rgb="FF00B050"/>
        </patternFill>
      </fill>
    </dxf>
    <dxf>
      <fill>
        <patternFill>
          <bgColor rgb="FFFF0000"/>
        </patternFill>
      </fill>
    </dxf>
    <dxf>
      <fill>
        <patternFill>
          <bgColor indexed="29"/>
        </patternFill>
      </fill>
    </dxf>
    <dxf>
      <fill>
        <patternFill>
          <bgColor indexed="43"/>
        </patternFill>
      </fill>
    </dxf>
    <dxf>
      <fill>
        <patternFill>
          <bgColor indexed="42"/>
        </patternFill>
      </fill>
    </dxf>
    <dxf>
      <font>
        <color theme="0"/>
      </font>
      <fill>
        <patternFill>
          <bgColor theme="1" tint="0.24994659260841701"/>
        </patternFill>
      </fill>
    </dxf>
    <dxf>
      <font>
        <color theme="0"/>
      </font>
      <fill>
        <patternFill>
          <bgColor rgb="FF009900"/>
        </patternFill>
      </fill>
    </dxf>
    <dxf>
      <fill>
        <patternFill>
          <bgColor theme="5" tint="0.39994506668294322"/>
        </patternFill>
      </fill>
    </dxf>
    <dxf>
      <fill>
        <patternFill>
          <bgColor rgb="FFFFFF00"/>
        </patternFill>
      </fill>
    </dxf>
    <dxf>
      <fill>
        <patternFill>
          <bgColor rgb="FF00B050"/>
        </patternFill>
      </fill>
    </dxf>
    <dxf>
      <fill>
        <patternFill>
          <bgColor rgb="FFFF0000"/>
        </patternFill>
      </fill>
    </dxf>
    <dxf>
      <fill>
        <patternFill>
          <bgColor rgb="FFFFFFCC"/>
        </patternFill>
      </fill>
    </dxf>
    <dxf>
      <font>
        <color auto="1"/>
      </font>
      <fill>
        <patternFill>
          <bgColor rgb="FFFFFF00"/>
        </patternFill>
      </fill>
    </dxf>
    <dxf>
      <fill>
        <patternFill>
          <bgColor theme="9" tint="0.59996337778862885"/>
        </patternFill>
      </fill>
    </dxf>
    <dxf>
      <font>
        <color theme="0"/>
      </font>
      <fill>
        <patternFill>
          <bgColor theme="9" tint="-0.24994659260841701"/>
        </patternFill>
      </fill>
    </dxf>
    <dxf>
      <font>
        <color theme="0"/>
      </font>
      <fill>
        <patternFill>
          <bgColor theme="1"/>
        </patternFill>
      </fill>
    </dxf>
    <dxf>
      <font>
        <color theme="0"/>
      </font>
      <fill>
        <patternFill>
          <bgColor theme="1"/>
        </patternFill>
      </fill>
    </dxf>
    <dxf>
      <fill>
        <patternFill>
          <bgColor rgb="FF92D050"/>
        </patternFill>
      </fill>
    </dxf>
    <dxf>
      <font>
        <color rgb="FF9C0006"/>
      </font>
      <fill>
        <patternFill>
          <bgColor rgb="FFFFC7CE"/>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color auto="1"/>
      </font>
      <fill>
        <patternFill>
          <bgColor rgb="FF92D050"/>
        </patternFill>
      </fill>
    </dxf>
    <dxf>
      <font>
        <color theme="0"/>
      </font>
      <fill>
        <patternFill>
          <bgColor rgb="FFFF0000"/>
        </patternFill>
      </fill>
    </dxf>
    <dxf>
      <font>
        <color auto="1"/>
      </font>
      <fill>
        <patternFill>
          <bgColor rgb="FF92D050"/>
        </patternFill>
      </fill>
    </dxf>
    <dxf>
      <font>
        <color theme="0"/>
      </font>
      <fill>
        <patternFill>
          <bgColor rgb="FFFF0000"/>
        </patternFill>
      </fill>
    </dxf>
    <dxf>
      <font>
        <color theme="0"/>
      </font>
      <fill>
        <patternFill>
          <bgColor rgb="FFFF0000"/>
        </patternFill>
      </fill>
    </dxf>
    <dxf>
      <font>
        <color auto="1"/>
      </font>
      <fill>
        <patternFill>
          <bgColor rgb="FF92D050"/>
        </patternFill>
      </fill>
    </dxf>
  </dxfs>
  <tableStyles count="0" defaultTableStyle="TableStyleMedium2" defaultPivotStyle="PivotStyleLight16"/>
  <colors>
    <mruColors>
      <color rgb="FF99CCFF"/>
      <color rgb="FFFFFF66"/>
      <color rgb="FFFF99FF"/>
      <color rgb="FFFFFF00"/>
      <color rgb="FFFF6600"/>
      <color rgb="FF66FF66"/>
      <color rgb="FFFFFFFF"/>
      <color rgb="FFE016C3"/>
      <color rgb="FFF7AFED"/>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theme" Target="theme/theme1.xml"/><Relationship Id="rId27" Type="http://schemas.openxmlformats.org/officeDocument/2006/relationships/customXml" Target="../customXml/item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2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11510000649792E-2"/>
          <c:y val="3.7534814585562307E-2"/>
          <c:w val="0.9272988385142471"/>
          <c:h val="0.70884744535614186"/>
        </c:manualLayout>
      </c:layout>
      <c:barChart>
        <c:barDir val="col"/>
        <c:grouping val="stacked"/>
        <c:varyColors val="0"/>
        <c:ser>
          <c:idx val="0"/>
          <c:order val="0"/>
          <c:tx>
            <c:strRef>
              <c:f>'casc P64 EP6 BASE+SIL'!$C$54</c:f>
              <c:strCache>
                <c:ptCount val="1"/>
                <c:pt idx="0">
                  <c:v>MàV</c:v>
                </c:pt>
              </c:strCache>
            </c:strRef>
          </c:tx>
          <c:invertIfNegative val="0"/>
          <c:dLbls>
            <c:dLbl>
              <c:idx val="0"/>
              <c:layout>
                <c:manualLayout>
                  <c:x val="3.5850550578031445E-4"/>
                  <c:y val="-0.34741458289947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08-4CEB-91F0-4B23F6C097B9}"/>
                </c:ext>
              </c:extLst>
            </c:dLbl>
            <c:dLbl>
              <c:idx val="2"/>
              <c:layout>
                <c:manualLayout>
                  <c:x val="1.3532515862535153E-3"/>
                  <c:y val="-0.29908426366916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08-4CEB-91F0-4B23F6C097B9}"/>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08-4CEB-91F0-4B23F6C097B9}"/>
                </c:ext>
              </c:extLst>
            </c:dLbl>
            <c:dLbl>
              <c:idx val="5"/>
              <c:layout>
                <c:manualLayout>
                  <c:x val="1.3550654533957818E-3"/>
                  <c:y val="-0.33498872443277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08-4CEB-91F0-4B23F6C097B9}"/>
                </c:ext>
              </c:extLst>
            </c:dLbl>
            <c:dLbl>
              <c:idx val="6"/>
              <c:layout>
                <c:manualLayout>
                  <c:x val="4.0651963601874945E-3"/>
                  <c:y val="-0.33235654456430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08-4CEB-91F0-4B23F6C097B9}"/>
                </c:ext>
              </c:extLst>
            </c:dLbl>
            <c:dLbl>
              <c:idx val="7"/>
              <c:layout>
                <c:manualLayout>
                  <c:x val="1.5449880130056408E-3"/>
                  <c:y val="-0.349846799494866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08-4CEB-91F0-4B23F6C097B9}"/>
                </c:ext>
              </c:extLst>
            </c:dLbl>
            <c:dLbl>
              <c:idx val="8"/>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08-4CEB-91F0-4B23F6C097B9}"/>
                </c:ext>
              </c:extLst>
            </c:dLbl>
            <c:dLbl>
              <c:idx val="9"/>
              <c:layout>
                <c:manualLayout>
                  <c:x val="1.3406612143242016E-3"/>
                  <c:y val="-0.32152838260108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08-4CEB-91F0-4B23F6C097B9}"/>
                </c:ext>
              </c:extLst>
            </c:dLbl>
            <c:dLbl>
              <c:idx val="10"/>
              <c:layout>
                <c:manualLayout>
                  <c:x val="0"/>
                  <c:y val="-9.8901432927771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08-4CEB-91F0-4B23F6C097B9}"/>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08-4CEB-91F0-4B23F6C097B9}"/>
                </c:ext>
              </c:extLst>
            </c:dLbl>
            <c:dLbl>
              <c:idx val="12"/>
              <c:layout>
                <c:manualLayout>
                  <c:x val="0"/>
                  <c:y val="-0.191048915100004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108-4CEB-91F0-4B23F6C097B9}"/>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BASE+SIL'!$A$55:$A$65</c:f>
              <c:strCache>
                <c:ptCount val="10"/>
                <c:pt idx="0">
                  <c:v>ICDV Base+SIL :P84 EP6FADTXd ATN8</c:v>
                </c:pt>
                <c:pt idx="1">
                  <c:v>Concept</c:v>
                </c:pt>
                <c:pt idx="2">
                  <c:v>ICDV Base+SIL : P64€ EP6 ATN8 (Réf)</c:v>
                </c:pt>
                <c:pt idx="3">
                  <c:v>P1</c:v>
                </c:pt>
                <c:pt idx="4">
                  <c:v>RISQUES</c:v>
                </c:pt>
                <c:pt idx="5">
                  <c:v>ICDV/BASE+SIL : P64€ EP6 ATN8 (Potentiel)</c:v>
                </c:pt>
                <c:pt idx="6">
                  <c:v>P2</c:v>
                </c:pt>
                <c:pt idx="7">
                  <c:v>P3</c:v>
                </c:pt>
                <c:pt idx="8">
                  <c:v>RISQUES_P3</c:v>
                </c:pt>
                <c:pt idx="9">
                  <c:v>ICDV/BASE+SIL : P64€ EP6 ATN8 (Potentiel Max)</c:v>
                </c:pt>
              </c:strCache>
            </c:strRef>
          </c:cat>
          <c:val>
            <c:numRef>
              <c:f>'casc P64 EP6 BASE+SIL'!$C$55:$C$65</c:f>
              <c:numCache>
                <c:formatCode>General</c:formatCode>
                <c:ptCount val="11"/>
                <c:pt idx="0" formatCode="0">
                  <c:v>0</c:v>
                </c:pt>
                <c:pt idx="2" formatCode="0">
                  <c:v>0</c:v>
                </c:pt>
                <c:pt idx="5" formatCode="0">
                  <c:v>0</c:v>
                </c:pt>
                <c:pt idx="9" formatCode="0">
                  <c:v>0</c:v>
                </c:pt>
              </c:numCache>
            </c:numRef>
          </c:val>
          <c:extLst>
            <c:ext xmlns:c16="http://schemas.microsoft.com/office/drawing/2014/chart" uri="{C3380CC4-5D6E-409C-BE32-E72D297353CC}">
              <c16:uniqueId val="{0000000B-5108-4CEB-91F0-4B23F6C097B9}"/>
            </c:ext>
          </c:extLst>
        </c:ser>
        <c:ser>
          <c:idx val="1"/>
          <c:order val="1"/>
          <c:tx>
            <c:strRef>
              <c:f>'casc P64 EP6 BASE'!#REF!</c:f>
              <c:strCache>
                <c:ptCount val="1"/>
                <c:pt idx="0">
                  <c:v>#REF!</c:v>
                </c:pt>
              </c:strCache>
            </c:strRef>
          </c:tx>
          <c:spPr>
            <a:noFill/>
          </c:spPr>
          <c:invertIfNegative val="0"/>
          <c:cat>
            <c:strRef>
              <c:f>'casc P64 EP6 BASE+SIL'!$A$55:$A$65</c:f>
              <c:strCache>
                <c:ptCount val="10"/>
                <c:pt idx="0">
                  <c:v>ICDV Base+SIL :P84 EP6FADTXd ATN8</c:v>
                </c:pt>
                <c:pt idx="1">
                  <c:v>Concept</c:v>
                </c:pt>
                <c:pt idx="2">
                  <c:v>ICDV Base+SIL : P64€ EP6 ATN8 (Réf)</c:v>
                </c:pt>
                <c:pt idx="3">
                  <c:v>P1</c:v>
                </c:pt>
                <c:pt idx="4">
                  <c:v>RISQUES</c:v>
                </c:pt>
                <c:pt idx="5">
                  <c:v>ICDV/BASE+SIL : P64€ EP6 ATN8 (Potentiel)</c:v>
                </c:pt>
                <c:pt idx="6">
                  <c:v>P2</c:v>
                </c:pt>
                <c:pt idx="7">
                  <c:v>P3</c:v>
                </c:pt>
                <c:pt idx="8">
                  <c:v>RISQUES_P3</c:v>
                </c:pt>
                <c:pt idx="9">
                  <c:v>ICDV/BASE+SIL : P64€ EP6 ATN8 (Potentiel Max)</c:v>
                </c:pt>
              </c:strCache>
            </c:strRef>
          </c:cat>
          <c:val>
            <c:numRef>
              <c:f>'casc P64 EP6 BASE+SIL'!$D$55:$D$65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0C-5108-4CEB-91F0-4B23F6C097B9}"/>
            </c:ext>
          </c:extLst>
        </c:ser>
        <c:ser>
          <c:idx val="2"/>
          <c:order val="2"/>
          <c:tx>
            <c:strRef>
              <c:f>'casc P64 EP6 BASE'!#REF!</c:f>
              <c:strCache>
                <c:ptCount val="1"/>
                <c:pt idx="0">
                  <c:v>#REF!</c:v>
                </c:pt>
              </c:strCache>
            </c:strRef>
          </c:tx>
          <c:spPr>
            <a:solidFill>
              <a:srgbClr val="FF0000"/>
            </a:solidFill>
          </c:spPr>
          <c:invertIfNegative val="0"/>
          <c:dPt>
            <c:idx val="1"/>
            <c:invertIfNegative val="0"/>
            <c:bubble3D val="0"/>
            <c:spPr>
              <a:solidFill>
                <a:schemeClr val="bg1">
                  <a:lumMod val="75000"/>
                </a:schemeClr>
              </a:solidFill>
            </c:spPr>
            <c:extLst>
              <c:ext xmlns:c16="http://schemas.microsoft.com/office/drawing/2014/chart" uri="{C3380CC4-5D6E-409C-BE32-E72D297353CC}">
                <c16:uniqueId val="{0000000E-5108-4CEB-91F0-4B23F6C097B9}"/>
              </c:ext>
            </c:extLst>
          </c:dPt>
          <c:dLbls>
            <c:dLbl>
              <c:idx val="3"/>
              <c:delete val="1"/>
              <c:extLst>
                <c:ext xmlns:c15="http://schemas.microsoft.com/office/drawing/2012/chart" uri="{CE6537A1-D6FC-4f65-9D91-7224C49458BB}"/>
                <c:ext xmlns:c16="http://schemas.microsoft.com/office/drawing/2014/chart" uri="{C3380CC4-5D6E-409C-BE32-E72D297353CC}">
                  <c16:uniqueId val="{0000000F-5108-4CEB-91F0-4B23F6C097B9}"/>
                </c:ext>
              </c:extLst>
            </c:dLbl>
            <c:dLbl>
              <c:idx val="6"/>
              <c:delete val="1"/>
              <c:extLst>
                <c:ext xmlns:c15="http://schemas.microsoft.com/office/drawing/2012/chart" uri="{CE6537A1-D6FC-4f65-9D91-7224C49458BB}"/>
                <c:ext xmlns:c16="http://schemas.microsoft.com/office/drawing/2014/chart" uri="{C3380CC4-5D6E-409C-BE32-E72D297353CC}">
                  <c16:uniqueId val="{00000010-5108-4CEB-91F0-4B23F6C097B9}"/>
                </c:ext>
              </c:extLst>
            </c:dLbl>
            <c:dLbl>
              <c:idx val="7"/>
              <c:delete val="1"/>
              <c:extLst>
                <c:ext xmlns:c15="http://schemas.microsoft.com/office/drawing/2012/chart" uri="{CE6537A1-D6FC-4f65-9D91-7224C49458BB}"/>
                <c:ext xmlns:c16="http://schemas.microsoft.com/office/drawing/2014/chart" uri="{C3380CC4-5D6E-409C-BE32-E72D297353CC}">
                  <c16:uniqueId val="{00000011-5108-4CEB-91F0-4B23F6C097B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BASE+SIL'!$A$55:$A$65</c:f>
              <c:strCache>
                <c:ptCount val="10"/>
                <c:pt idx="0">
                  <c:v>ICDV Base+SIL :P84 EP6FADTXd ATN8</c:v>
                </c:pt>
                <c:pt idx="1">
                  <c:v>Concept</c:v>
                </c:pt>
                <c:pt idx="2">
                  <c:v>ICDV Base+SIL : P64€ EP6 ATN8 (Réf)</c:v>
                </c:pt>
                <c:pt idx="3">
                  <c:v>P1</c:v>
                </c:pt>
                <c:pt idx="4">
                  <c:v>RISQUES</c:v>
                </c:pt>
                <c:pt idx="5">
                  <c:v>ICDV/BASE+SIL : P64€ EP6 ATN8 (Potentiel)</c:v>
                </c:pt>
                <c:pt idx="6">
                  <c:v>P2</c:v>
                </c:pt>
                <c:pt idx="7">
                  <c:v>P3</c:v>
                </c:pt>
                <c:pt idx="8">
                  <c:v>RISQUES_P3</c:v>
                </c:pt>
                <c:pt idx="9">
                  <c:v>ICDV/BASE+SIL : P64€ EP6 ATN8 (Potentiel Max)</c:v>
                </c:pt>
              </c:strCache>
            </c:strRef>
          </c:cat>
          <c:val>
            <c:numRef>
              <c:f>'casc P64 EP6 BASE+SIL'!$E$55:$E$65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12-5108-4CEB-91F0-4B23F6C097B9}"/>
            </c:ext>
          </c:extLst>
        </c:ser>
        <c:ser>
          <c:idx val="3"/>
          <c:order val="3"/>
          <c:tx>
            <c:strRef>
              <c:f>'casc P64 EP6 BASE+SIL'!$F$54</c:f>
              <c:strCache>
                <c:ptCount val="1"/>
                <c:pt idx="0">
                  <c:v>Gain</c:v>
                </c:pt>
              </c:strCache>
            </c:strRef>
          </c:tx>
          <c:spPr>
            <a:solidFill>
              <a:srgbClr val="92D050"/>
            </a:solidFill>
          </c:spPr>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14-5108-4CEB-91F0-4B23F6C097B9}"/>
              </c:ext>
            </c:extLst>
          </c:dPt>
          <c:dPt>
            <c:idx val="2"/>
            <c:invertIfNegative val="0"/>
            <c:bubble3D val="0"/>
            <c:extLst>
              <c:ext xmlns:c16="http://schemas.microsoft.com/office/drawing/2014/chart" uri="{C3380CC4-5D6E-409C-BE32-E72D297353CC}">
                <c16:uniqueId val="{00000015-5108-4CEB-91F0-4B23F6C097B9}"/>
              </c:ext>
            </c:extLst>
          </c:dPt>
          <c:dPt>
            <c:idx val="3"/>
            <c:invertIfNegative val="0"/>
            <c:bubble3D val="0"/>
            <c:spPr>
              <a:solidFill>
                <a:srgbClr val="33CC33"/>
              </a:solidFill>
            </c:spPr>
            <c:extLst>
              <c:ext xmlns:c16="http://schemas.microsoft.com/office/drawing/2014/chart" uri="{C3380CC4-5D6E-409C-BE32-E72D297353CC}">
                <c16:uniqueId val="{00000017-5108-4CEB-91F0-4B23F6C097B9}"/>
              </c:ext>
            </c:extLst>
          </c:dPt>
          <c:dPt>
            <c:idx val="4"/>
            <c:invertIfNegative val="0"/>
            <c:bubble3D val="0"/>
            <c:extLst>
              <c:ext xmlns:c16="http://schemas.microsoft.com/office/drawing/2014/chart" uri="{C3380CC4-5D6E-409C-BE32-E72D297353CC}">
                <c16:uniqueId val="{00000018-5108-4CEB-91F0-4B23F6C097B9}"/>
              </c:ext>
            </c:extLst>
          </c:dPt>
          <c:dPt>
            <c:idx val="5"/>
            <c:invertIfNegative val="0"/>
            <c:bubble3D val="0"/>
            <c:spPr>
              <a:solidFill>
                <a:srgbClr val="FFC000"/>
              </a:solidFill>
            </c:spPr>
            <c:extLst>
              <c:ext xmlns:c16="http://schemas.microsoft.com/office/drawing/2014/chart" uri="{C3380CC4-5D6E-409C-BE32-E72D297353CC}">
                <c16:uniqueId val="{0000001A-5108-4CEB-91F0-4B23F6C097B9}"/>
              </c:ext>
            </c:extLst>
          </c:dPt>
          <c:dPt>
            <c:idx val="6"/>
            <c:invertIfNegative val="0"/>
            <c:bubble3D val="0"/>
            <c:spPr>
              <a:solidFill>
                <a:srgbClr val="33CC33"/>
              </a:solidFill>
            </c:spPr>
            <c:extLst>
              <c:ext xmlns:c16="http://schemas.microsoft.com/office/drawing/2014/chart" uri="{C3380CC4-5D6E-409C-BE32-E72D297353CC}">
                <c16:uniqueId val="{0000001C-5108-4CEB-91F0-4B23F6C097B9}"/>
              </c:ext>
            </c:extLst>
          </c:dPt>
          <c:dPt>
            <c:idx val="7"/>
            <c:invertIfNegative val="0"/>
            <c:bubble3D val="0"/>
            <c:spPr>
              <a:solidFill>
                <a:srgbClr val="33CC33"/>
              </a:solidFill>
            </c:spPr>
            <c:extLst>
              <c:ext xmlns:c16="http://schemas.microsoft.com/office/drawing/2014/chart" uri="{C3380CC4-5D6E-409C-BE32-E72D297353CC}">
                <c16:uniqueId val="{0000001E-5108-4CEB-91F0-4B23F6C097B9}"/>
              </c:ext>
            </c:extLst>
          </c:dPt>
          <c:dPt>
            <c:idx val="8"/>
            <c:invertIfNegative val="0"/>
            <c:bubble3D val="0"/>
            <c:spPr>
              <a:solidFill>
                <a:srgbClr val="FF0000"/>
              </a:solidFill>
            </c:spPr>
            <c:extLst>
              <c:ext xmlns:c16="http://schemas.microsoft.com/office/drawing/2014/chart" uri="{C3380CC4-5D6E-409C-BE32-E72D297353CC}">
                <c16:uniqueId val="{00000020-5108-4CEB-91F0-4B23F6C097B9}"/>
              </c:ext>
            </c:extLst>
          </c:dPt>
          <c:dPt>
            <c:idx val="9"/>
            <c:invertIfNegative val="0"/>
            <c:bubble3D val="0"/>
            <c:spPr>
              <a:solidFill>
                <a:schemeClr val="accent2">
                  <a:lumMod val="40000"/>
                  <a:lumOff val="60000"/>
                </a:schemeClr>
              </a:solidFill>
            </c:spPr>
            <c:extLst>
              <c:ext xmlns:c16="http://schemas.microsoft.com/office/drawing/2014/chart" uri="{C3380CC4-5D6E-409C-BE32-E72D297353CC}">
                <c16:uniqueId val="{00000022-5108-4CEB-91F0-4B23F6C097B9}"/>
              </c:ext>
            </c:extLst>
          </c:dPt>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24-5108-4CEB-91F0-4B23F6C097B9}"/>
              </c:ext>
            </c:extLst>
          </c:dPt>
          <c:dPt>
            <c:idx val="11"/>
            <c:invertIfNegative val="0"/>
            <c:bubble3D val="0"/>
            <c:spPr>
              <a:solidFill>
                <a:srgbClr val="D05E00"/>
              </a:solidFill>
            </c:spPr>
            <c:extLst>
              <c:ext xmlns:c16="http://schemas.microsoft.com/office/drawing/2014/chart" uri="{C3380CC4-5D6E-409C-BE32-E72D297353CC}">
                <c16:uniqueId val="{00000026-5108-4CEB-91F0-4B23F6C097B9}"/>
              </c:ext>
            </c:extLst>
          </c:dPt>
          <c:dLbls>
            <c:dLbl>
              <c:idx val="1"/>
              <c:delete val="1"/>
              <c:extLst>
                <c:ext xmlns:c15="http://schemas.microsoft.com/office/drawing/2012/chart" uri="{CE6537A1-D6FC-4f65-9D91-7224C49458BB}"/>
                <c:ext xmlns:c16="http://schemas.microsoft.com/office/drawing/2014/chart" uri="{C3380CC4-5D6E-409C-BE32-E72D297353CC}">
                  <c16:uniqueId val="{00000014-5108-4CEB-91F0-4B23F6C097B9}"/>
                </c:ext>
              </c:extLst>
            </c:dLbl>
            <c:dLbl>
              <c:idx val="2"/>
              <c:delete val="1"/>
              <c:extLst>
                <c:ext xmlns:c15="http://schemas.microsoft.com/office/drawing/2012/chart" uri="{CE6537A1-D6FC-4f65-9D91-7224C49458BB}"/>
                <c:ext xmlns:c16="http://schemas.microsoft.com/office/drawing/2014/chart" uri="{C3380CC4-5D6E-409C-BE32-E72D297353CC}">
                  <c16:uniqueId val="{00000015-5108-4CEB-91F0-4B23F6C097B9}"/>
                </c:ext>
              </c:extLst>
            </c:dLbl>
            <c:dLbl>
              <c:idx val="3"/>
              <c:layout>
                <c:manualLayout>
                  <c:x val="-4.0651963601874945E-3"/>
                  <c:y val="-5.7426638474189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108-4CEB-91F0-4B23F6C097B9}"/>
                </c:ext>
              </c:extLst>
            </c:dLbl>
            <c:dLbl>
              <c:idx val="4"/>
              <c:delete val="1"/>
              <c:extLst>
                <c:ext xmlns:c15="http://schemas.microsoft.com/office/drawing/2012/chart" uri="{CE6537A1-D6FC-4f65-9D91-7224C49458BB}"/>
                <c:ext xmlns:c16="http://schemas.microsoft.com/office/drawing/2014/chart" uri="{C3380CC4-5D6E-409C-BE32-E72D297353CC}">
                  <c16:uniqueId val="{00000018-5108-4CEB-91F0-4B23F6C097B9}"/>
                </c:ext>
              </c:extLst>
            </c:dLbl>
            <c:dLbl>
              <c:idx val="6"/>
              <c:layout>
                <c:manualLayout>
                  <c:x val="2.7091706241867946E-3"/>
                  <c:y val="-8.157798153153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108-4CEB-91F0-4B23F6C097B9}"/>
                </c:ext>
              </c:extLst>
            </c:dLbl>
            <c:dLbl>
              <c:idx val="7"/>
              <c:layout>
                <c:manualLayout>
                  <c:x val="0"/>
                  <c:y val="-5.4236269670068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5108-4CEB-91F0-4B23F6C097B9}"/>
                </c:ext>
              </c:extLst>
            </c:dLbl>
            <c:dLbl>
              <c:idx val="8"/>
              <c:delete val="1"/>
              <c:extLst>
                <c:ext xmlns:c15="http://schemas.microsoft.com/office/drawing/2012/chart" uri="{CE6537A1-D6FC-4f65-9D91-7224C49458BB}"/>
                <c:ext xmlns:c16="http://schemas.microsoft.com/office/drawing/2014/chart" uri="{C3380CC4-5D6E-409C-BE32-E72D297353CC}">
                  <c16:uniqueId val="{00000020-5108-4CEB-91F0-4B23F6C097B9}"/>
                </c:ext>
              </c:extLst>
            </c:dLbl>
            <c:dLbl>
              <c:idx val="9"/>
              <c:delete val="1"/>
              <c:extLst>
                <c:ext xmlns:c15="http://schemas.microsoft.com/office/drawing/2012/chart" uri="{CE6537A1-D6FC-4f65-9D91-7224C49458BB}"/>
                <c:ext xmlns:c16="http://schemas.microsoft.com/office/drawing/2014/chart" uri="{C3380CC4-5D6E-409C-BE32-E72D297353CC}">
                  <c16:uniqueId val="{00000022-5108-4CEB-91F0-4B23F6C097B9}"/>
                </c:ext>
              </c:extLst>
            </c:dLbl>
            <c:dLbl>
              <c:idx val="10"/>
              <c:delete val="1"/>
              <c:extLst>
                <c:ext xmlns:c15="http://schemas.microsoft.com/office/drawing/2012/chart" uri="{CE6537A1-D6FC-4f65-9D91-7224C49458BB}"/>
                <c:ext xmlns:c16="http://schemas.microsoft.com/office/drawing/2014/chart" uri="{C3380CC4-5D6E-409C-BE32-E72D297353CC}">
                  <c16:uniqueId val="{00000024-5108-4CEB-91F0-4B23F6C097B9}"/>
                </c:ext>
              </c:extLst>
            </c:dLbl>
            <c:dLbl>
              <c:idx val="11"/>
              <c:delete val="1"/>
              <c:extLst>
                <c:ext xmlns:c15="http://schemas.microsoft.com/office/drawing/2012/chart" uri="{CE6537A1-D6FC-4f65-9D91-7224C49458BB}"/>
                <c:ext xmlns:c16="http://schemas.microsoft.com/office/drawing/2014/chart" uri="{C3380CC4-5D6E-409C-BE32-E72D297353CC}">
                  <c16:uniqueId val="{00000026-5108-4CEB-91F0-4B23F6C097B9}"/>
                </c:ext>
              </c:extLst>
            </c:dLbl>
            <c:dLbl>
              <c:idx val="12"/>
              <c:delete val="1"/>
              <c:extLst>
                <c:ext xmlns:c15="http://schemas.microsoft.com/office/drawing/2012/chart" uri="{CE6537A1-D6FC-4f65-9D91-7224C49458BB}"/>
                <c:ext xmlns:c16="http://schemas.microsoft.com/office/drawing/2014/chart" uri="{C3380CC4-5D6E-409C-BE32-E72D297353CC}">
                  <c16:uniqueId val="{00000027-5108-4CEB-91F0-4B23F6C097B9}"/>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BASE+SIL'!$A$55:$A$65</c:f>
              <c:strCache>
                <c:ptCount val="10"/>
                <c:pt idx="0">
                  <c:v>ICDV Base+SIL :P84 EP6FADTXd ATN8</c:v>
                </c:pt>
                <c:pt idx="1">
                  <c:v>Concept</c:v>
                </c:pt>
                <c:pt idx="2">
                  <c:v>ICDV Base+SIL : P64€ EP6 ATN8 (Réf)</c:v>
                </c:pt>
                <c:pt idx="3">
                  <c:v>P1</c:v>
                </c:pt>
                <c:pt idx="4">
                  <c:v>RISQUES</c:v>
                </c:pt>
                <c:pt idx="5">
                  <c:v>ICDV/BASE+SIL : P64€ EP6 ATN8 (Potentiel)</c:v>
                </c:pt>
                <c:pt idx="6">
                  <c:v>P2</c:v>
                </c:pt>
                <c:pt idx="7">
                  <c:v>P3</c:v>
                </c:pt>
                <c:pt idx="8">
                  <c:v>RISQUES_P3</c:v>
                </c:pt>
                <c:pt idx="9">
                  <c:v>ICDV/BASE+SIL : P64€ EP6 ATN8 (Potentiel Max)</c:v>
                </c:pt>
              </c:strCache>
            </c:strRef>
          </c:cat>
          <c:val>
            <c:numRef>
              <c:f>'casc P64 EP6 BASE+SIL'!$F$55:$F$65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28-5108-4CEB-91F0-4B23F6C097B9}"/>
            </c:ext>
          </c:extLst>
        </c:ser>
        <c:ser>
          <c:idx val="5"/>
          <c:order val="5"/>
          <c:tx>
            <c:strRef>
              <c:f>'casc P64 EP6 BASE'!#REF!</c:f>
              <c:strCache>
                <c:ptCount val="1"/>
                <c:pt idx="0">
                  <c:v>#REF!</c:v>
                </c:pt>
              </c:strCache>
            </c:strRef>
          </c:tx>
          <c:invertIfNegative val="0"/>
          <c:cat>
            <c:strRef>
              <c:f>'casc P64 EP6 BASE+SIL'!$A$55:$A$65</c:f>
              <c:strCache>
                <c:ptCount val="10"/>
                <c:pt idx="0">
                  <c:v>ICDV Base+SIL :P84 EP6FADTXd ATN8</c:v>
                </c:pt>
                <c:pt idx="1">
                  <c:v>Concept</c:v>
                </c:pt>
                <c:pt idx="2">
                  <c:v>ICDV Base+SIL : P64€ EP6 ATN8 (Réf)</c:v>
                </c:pt>
                <c:pt idx="3">
                  <c:v>P1</c:v>
                </c:pt>
                <c:pt idx="4">
                  <c:v>RISQUES</c:v>
                </c:pt>
                <c:pt idx="5">
                  <c:v>ICDV/BASE+SIL : P64€ EP6 ATN8 (Potentiel)</c:v>
                </c:pt>
                <c:pt idx="6">
                  <c:v>P2</c:v>
                </c:pt>
                <c:pt idx="7">
                  <c:v>P3</c:v>
                </c:pt>
                <c:pt idx="8">
                  <c:v>RISQUES_P3</c:v>
                </c:pt>
                <c:pt idx="9">
                  <c:v>ICDV/BASE+SIL : P64€ EP6 ATN8 (Potentiel Max)</c:v>
                </c:pt>
              </c:strCache>
            </c:strRef>
          </c:cat>
          <c:val>
            <c:numRef>
              <c:f>'casc P64 EP6 BASE'!#REF!</c:f>
              <c:numCache>
                <c:formatCode>General</c:formatCode>
                <c:ptCount val="1"/>
                <c:pt idx="0">
                  <c:v>1</c:v>
                </c:pt>
              </c:numCache>
            </c:numRef>
          </c:val>
          <c:extLst>
            <c:ext xmlns:c16="http://schemas.microsoft.com/office/drawing/2014/chart" uri="{C3380CC4-5D6E-409C-BE32-E72D297353CC}">
              <c16:uniqueId val="{00000029-5108-4CEB-91F0-4B23F6C097B9}"/>
            </c:ext>
          </c:extLst>
        </c:ser>
        <c:dLbls>
          <c:showLegendKey val="0"/>
          <c:showVal val="0"/>
          <c:showCatName val="0"/>
          <c:showSerName val="0"/>
          <c:showPercent val="0"/>
          <c:showBubbleSize val="0"/>
        </c:dLbls>
        <c:gapWidth val="150"/>
        <c:overlap val="100"/>
        <c:axId val="147868672"/>
        <c:axId val="147882752"/>
      </c:barChart>
      <c:scatterChart>
        <c:scatterStyle val="lineMarker"/>
        <c:varyColors val="0"/>
        <c:ser>
          <c:idx val="4"/>
          <c:order val="4"/>
          <c:tx>
            <c:strRef>
              <c:f>'casc P64 EP6 BASE+SIL'!$I$54</c:f>
              <c:strCache>
                <c:ptCount val="1"/>
                <c:pt idx="0">
                  <c:v>Objectif</c:v>
                </c:pt>
              </c:strCache>
            </c:strRef>
          </c:tx>
          <c:spPr>
            <a:ln>
              <a:solidFill>
                <a:sysClr val="windowText" lastClr="000000"/>
              </a:solidFill>
              <a:prstDash val="dash"/>
            </a:ln>
          </c:spPr>
          <c:marker>
            <c:symbol val="none"/>
          </c:marker>
          <c:yVal>
            <c:numRef>
              <c:f>'casc P64 EP6 BASE+SIL'!$I$55:$I$65</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2A-5108-4CEB-91F0-4B23F6C097B9}"/>
            </c:ext>
          </c:extLst>
        </c:ser>
        <c:ser>
          <c:idx val="7"/>
          <c:order val="6"/>
          <c:tx>
            <c:strRef>
              <c:f>'casc P64 EP6 BASE+SIL'!$J$54</c:f>
              <c:strCache>
                <c:ptCount val="1"/>
              </c:strCache>
            </c:strRef>
          </c:tx>
          <c:spPr>
            <a:ln>
              <a:solidFill>
                <a:sysClr val="windowText" lastClr="000000"/>
              </a:solidFill>
              <a:prstDash val="dash"/>
            </a:ln>
          </c:spPr>
          <c:marker>
            <c:symbol val="none"/>
          </c:marker>
          <c:dLbls>
            <c:dLbl>
              <c:idx val="5"/>
              <c:layout>
                <c:manualLayout>
                  <c:x val="-7.9948861750354053E-2"/>
                  <c:y val="2.5696965554825139E-2"/>
                </c:manualLayout>
              </c:layout>
              <c:numFmt formatCode="0&quot;kg&quot;" sourceLinked="0"/>
              <c:spPr/>
              <c:txPr>
                <a:bodyPr/>
                <a:lstStyle/>
                <a:p>
                  <a:pPr>
                    <a:defRPr sz="1100" b="1"/>
                  </a:pPr>
                  <a:endParaRPr lang="fr-FR"/>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B-5108-4CEB-91F0-4B23F6C097B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BASE+SIL'!$J$55:$J$65</c:f>
              <c:numCache>
                <c:formatCode>General</c:formatCode>
                <c:ptCount val="11"/>
              </c:numCache>
            </c:numRef>
          </c:yVal>
          <c:smooth val="0"/>
          <c:extLst>
            <c:ext xmlns:c16="http://schemas.microsoft.com/office/drawing/2014/chart" uri="{C3380CC4-5D6E-409C-BE32-E72D297353CC}">
              <c16:uniqueId val="{0000002C-5108-4CEB-91F0-4B23F6C097B9}"/>
            </c:ext>
          </c:extLst>
        </c:ser>
        <c:dLbls>
          <c:showLegendKey val="0"/>
          <c:showVal val="0"/>
          <c:showCatName val="0"/>
          <c:showSerName val="0"/>
          <c:showPercent val="0"/>
          <c:showBubbleSize val="0"/>
        </c:dLbls>
        <c:axId val="147868672"/>
        <c:axId val="147882752"/>
      </c:scatterChart>
      <c:catAx>
        <c:axId val="147868672"/>
        <c:scaling>
          <c:orientation val="minMax"/>
        </c:scaling>
        <c:delete val="0"/>
        <c:axPos val="b"/>
        <c:numFmt formatCode="General" sourceLinked="0"/>
        <c:majorTickMark val="out"/>
        <c:minorTickMark val="none"/>
        <c:tickLblPos val="nextTo"/>
        <c:txPr>
          <a:bodyPr/>
          <a:lstStyle/>
          <a:p>
            <a:pPr>
              <a:defRPr sz="1100" b="1"/>
            </a:pPr>
            <a:endParaRPr lang="fr-FR"/>
          </a:p>
        </c:txPr>
        <c:crossAx val="147882752"/>
        <c:crosses val="autoZero"/>
        <c:auto val="1"/>
        <c:lblAlgn val="ctr"/>
        <c:lblOffset val="100"/>
        <c:noMultiLvlLbl val="0"/>
      </c:catAx>
      <c:valAx>
        <c:axId val="147882752"/>
        <c:scaling>
          <c:orientation val="minMax"/>
          <c:min val="50"/>
        </c:scaling>
        <c:delete val="0"/>
        <c:axPos val="l"/>
        <c:numFmt formatCode="0" sourceLinked="0"/>
        <c:majorTickMark val="out"/>
        <c:minorTickMark val="none"/>
        <c:tickLblPos val="nextTo"/>
        <c:txPr>
          <a:bodyPr/>
          <a:lstStyle/>
          <a:p>
            <a:pPr>
              <a:defRPr sz="1600" b="1"/>
            </a:pPr>
            <a:endParaRPr lang="fr-FR"/>
          </a:p>
        </c:txPr>
        <c:crossAx val="14786867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BASE+SIL'!$C$92</c:f>
              <c:strCache>
                <c:ptCount val="1"/>
                <c:pt idx="0">
                  <c:v>MàV</c:v>
                </c:pt>
              </c:strCache>
            </c:strRef>
          </c:tx>
          <c:invertIfNegative val="0"/>
          <c:dLbls>
            <c:dLbl>
              <c:idx val="0"/>
              <c:layout>
                <c:manualLayout>
                  <c:x val="3.5847418093694849E-4"/>
                  <c:y val="-0.32239247426935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22-47AD-B24F-8E9A236220ED}"/>
                </c:ext>
              </c:extLst>
            </c:dLbl>
            <c:dLbl>
              <c:idx val="2"/>
              <c:layout>
                <c:manualLayout>
                  <c:x val="5.3936821873064242E-3"/>
                  <c:y val="-0.35518635303078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22-47AD-B24F-8E9A236220ED}"/>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22-47AD-B24F-8E9A236220ED}"/>
                </c:ext>
              </c:extLst>
            </c:dLbl>
            <c:dLbl>
              <c:idx val="5"/>
              <c:layout>
                <c:manualLayout>
                  <c:x val="1.348925066044221E-3"/>
                  <c:y val="-0.34563000343470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22-47AD-B24F-8E9A236220ED}"/>
                </c:ext>
              </c:extLst>
            </c:dLbl>
            <c:dLbl>
              <c:idx val="6"/>
              <c:layout>
                <c:manualLayout>
                  <c:x val="-1.15210946388832E-3"/>
                  <c:y val="-0.3317363188204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22-47AD-B24F-8E9A236220ED}"/>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22-47AD-B24F-8E9A236220ED}"/>
                </c:ext>
              </c:extLst>
            </c:dLbl>
            <c:dLbl>
              <c:idx val="8"/>
              <c:layout>
                <c:manualLayout>
                  <c:x val="2.6957761360046511E-3"/>
                  <c:y val="-0.1747715294136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22-47AD-B24F-8E9A236220ED}"/>
                </c:ext>
              </c:extLst>
            </c:dLbl>
            <c:dLbl>
              <c:idx val="9"/>
              <c:layout>
                <c:manualLayout>
                  <c:x val="1.3150426175349212E-3"/>
                  <c:y val="-0.34046747465655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22-47AD-B24F-8E9A236220ED}"/>
                </c:ext>
              </c:extLst>
            </c:dLbl>
            <c:dLbl>
              <c:idx val="10"/>
              <c:layout>
                <c:manualLayout>
                  <c:x val="0"/>
                  <c:y val="-0.373148154053175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22-47AD-B24F-8E9A236220ED}"/>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22-47AD-B24F-8E9A236220ED}"/>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22-47AD-B24F-8E9A236220ED}"/>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BASE+SIL'!$A$93:$A$102</c:f>
              <c:strCache>
                <c:ptCount val="10"/>
                <c:pt idx="0">
                  <c:v>DCHM/BASE+SIL :P84 EP6FADTXd ATN8</c:v>
                </c:pt>
                <c:pt idx="1">
                  <c:v>Concept</c:v>
                </c:pt>
                <c:pt idx="2">
                  <c:v>DCHM/BASE+SIL : P64€ EP6 ATN8 (Réf)</c:v>
                </c:pt>
                <c:pt idx="3">
                  <c:v>P1</c:v>
                </c:pt>
                <c:pt idx="4">
                  <c:v>RISQUES</c:v>
                </c:pt>
                <c:pt idx="5">
                  <c:v>DCHM/BASE+SIL : P64€ EP6 ATN8 (Potentiel)</c:v>
                </c:pt>
                <c:pt idx="6">
                  <c:v>P2</c:v>
                </c:pt>
                <c:pt idx="7">
                  <c:v>P3</c:v>
                </c:pt>
                <c:pt idx="8">
                  <c:v>RISQUES_P3</c:v>
                </c:pt>
                <c:pt idx="9">
                  <c:v>DCHM/BASE+SIL : P64€ EP6 ATN8 (Potentiel Max)</c:v>
                </c:pt>
              </c:strCache>
            </c:strRef>
          </c:cat>
          <c:val>
            <c:numRef>
              <c:f>'casc P64 EP6 BASE+SIL'!$C$93:$C$102</c:f>
              <c:numCache>
                <c:formatCode>General</c:formatCode>
                <c:ptCount val="10"/>
                <c:pt idx="0" formatCode="0">
                  <c:v>0</c:v>
                </c:pt>
                <c:pt idx="2" formatCode="0">
                  <c:v>0</c:v>
                </c:pt>
                <c:pt idx="5" formatCode="0.0">
                  <c:v>0</c:v>
                </c:pt>
                <c:pt idx="9" formatCode="0.0">
                  <c:v>0</c:v>
                </c:pt>
              </c:numCache>
            </c:numRef>
          </c:val>
          <c:extLst>
            <c:ext xmlns:c16="http://schemas.microsoft.com/office/drawing/2014/chart" uri="{C3380CC4-5D6E-409C-BE32-E72D297353CC}">
              <c16:uniqueId val="{0000000B-1222-47AD-B24F-8E9A236220ED}"/>
            </c:ext>
          </c:extLst>
        </c:ser>
        <c:ser>
          <c:idx val="1"/>
          <c:order val="1"/>
          <c:tx>
            <c:strRef>
              <c:f>'casc P64 EP6 BASE+SIL'!$D$92</c:f>
              <c:strCache>
                <c:ptCount val="1"/>
              </c:strCache>
            </c:strRef>
          </c:tx>
          <c:spPr>
            <a:noFill/>
          </c:spPr>
          <c:invertIfNegative val="0"/>
          <c:cat>
            <c:strRef>
              <c:f>'casc P64 EP6 BASE+SIL'!$A$93:$A$102</c:f>
              <c:strCache>
                <c:ptCount val="10"/>
                <c:pt idx="0">
                  <c:v>DCHM/BASE+SIL :P84 EP6FADTXd ATN8</c:v>
                </c:pt>
                <c:pt idx="1">
                  <c:v>Concept</c:v>
                </c:pt>
                <c:pt idx="2">
                  <c:v>DCHM/BASE+SIL : P64€ EP6 ATN8 (Réf)</c:v>
                </c:pt>
                <c:pt idx="3">
                  <c:v>P1</c:v>
                </c:pt>
                <c:pt idx="4">
                  <c:v>RISQUES</c:v>
                </c:pt>
                <c:pt idx="5">
                  <c:v>DCHM/BASE+SIL : P64€ EP6 ATN8 (Potentiel)</c:v>
                </c:pt>
                <c:pt idx="6">
                  <c:v>P2</c:v>
                </c:pt>
                <c:pt idx="7">
                  <c:v>P3</c:v>
                </c:pt>
                <c:pt idx="8">
                  <c:v>RISQUES_P3</c:v>
                </c:pt>
                <c:pt idx="9">
                  <c:v>DCHM/BASE+SIL : P64€ EP6 ATN8 (Potentiel Max)</c:v>
                </c:pt>
              </c:strCache>
            </c:strRef>
          </c:cat>
          <c:val>
            <c:numRef>
              <c:f>'casc P64 EP6 BASE+SIL'!$D$93:$D$102</c:f>
              <c:numCache>
                <c:formatCode>0</c:formatCode>
                <c:ptCount val="10"/>
                <c:pt idx="1">
                  <c:v>0</c:v>
                </c:pt>
                <c:pt idx="3">
                  <c:v>0</c:v>
                </c:pt>
                <c:pt idx="4">
                  <c:v>0</c:v>
                </c:pt>
                <c:pt idx="6">
                  <c:v>0</c:v>
                </c:pt>
                <c:pt idx="7">
                  <c:v>0</c:v>
                </c:pt>
                <c:pt idx="8">
                  <c:v>0</c:v>
                </c:pt>
              </c:numCache>
            </c:numRef>
          </c:val>
          <c:extLst>
            <c:ext xmlns:c16="http://schemas.microsoft.com/office/drawing/2014/chart" uri="{C3380CC4-5D6E-409C-BE32-E72D297353CC}">
              <c16:uniqueId val="{0000000C-1222-47AD-B24F-8E9A236220ED}"/>
            </c:ext>
          </c:extLst>
        </c:ser>
        <c:ser>
          <c:idx val="2"/>
          <c:order val="2"/>
          <c:tx>
            <c:strRef>
              <c:f>'casc P64 EP6 BASE+SIL'!$E$92</c:f>
              <c:strCache>
                <c:ptCount val="1"/>
                <c:pt idx="0">
                  <c:v>Dérive</c:v>
                </c:pt>
              </c:strCache>
            </c:strRef>
          </c:tx>
          <c:spPr>
            <a:solidFill>
              <a:schemeClr val="bg1">
                <a:lumMod val="65000"/>
              </a:schemeClr>
            </a:solidFill>
          </c:spPr>
          <c:invertIfNegative val="0"/>
          <c:dPt>
            <c:idx val="4"/>
            <c:invertIfNegative val="0"/>
            <c:bubble3D val="0"/>
            <c:spPr>
              <a:solidFill>
                <a:srgbClr val="FF0000"/>
              </a:solidFill>
            </c:spPr>
            <c:extLst>
              <c:ext xmlns:c16="http://schemas.microsoft.com/office/drawing/2014/chart" uri="{C3380CC4-5D6E-409C-BE32-E72D297353CC}">
                <c16:uniqueId val="{0000000E-1222-47AD-B24F-8E9A236220ED}"/>
              </c:ext>
            </c:extLst>
          </c:dPt>
          <c:dLbls>
            <c:dLbl>
              <c:idx val="1"/>
              <c:layout>
                <c:manualLayout>
                  <c:x val="-1.3486064223278325E-3"/>
                  <c:y val="-6.308939971082915E-2"/>
                </c:manualLayout>
              </c:layout>
              <c:numFmt formatCode="\+0.0&quot;kg&quot;" sourceLinked="0"/>
              <c:spPr/>
              <c:txPr>
                <a:bodyPr/>
                <a:lstStyle/>
                <a:p>
                  <a:pPr>
                    <a:defRPr sz="1400" b="1"/>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222-47AD-B24F-8E9A236220ED}"/>
                </c:ext>
              </c:extLst>
            </c:dLbl>
            <c:dLbl>
              <c:idx val="4"/>
              <c:layout>
                <c:manualLayout>
                  <c:x val="0"/>
                  <c:y val="-0.10200163637880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22-47AD-B24F-8E9A236220ED}"/>
                </c:ext>
              </c:extLst>
            </c:dLbl>
            <c:dLbl>
              <c:idx val="8"/>
              <c:layout>
                <c:manualLayout>
                  <c:x val="0"/>
                  <c:y val="-9.5456446259683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22-47AD-B24F-8E9A236220ED}"/>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222-47AD-B24F-8E9A236220ED}"/>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BASE+SIL'!$A$93:$A$102</c:f>
              <c:strCache>
                <c:ptCount val="10"/>
                <c:pt idx="0">
                  <c:v>DCHM/BASE+SIL :P84 EP6FADTXd ATN8</c:v>
                </c:pt>
                <c:pt idx="1">
                  <c:v>Concept</c:v>
                </c:pt>
                <c:pt idx="2">
                  <c:v>DCHM/BASE+SIL : P64€ EP6 ATN8 (Réf)</c:v>
                </c:pt>
                <c:pt idx="3">
                  <c:v>P1</c:v>
                </c:pt>
                <c:pt idx="4">
                  <c:v>RISQUES</c:v>
                </c:pt>
                <c:pt idx="5">
                  <c:v>DCHM/BASE+SIL : P64€ EP6 ATN8 (Potentiel)</c:v>
                </c:pt>
                <c:pt idx="6">
                  <c:v>P2</c:v>
                </c:pt>
                <c:pt idx="7">
                  <c:v>P3</c:v>
                </c:pt>
                <c:pt idx="8">
                  <c:v>RISQUES_P3</c:v>
                </c:pt>
                <c:pt idx="9">
                  <c:v>DCHM/BASE+SIL : P64€ EP6 ATN8 (Potentiel Max)</c:v>
                </c:pt>
              </c:strCache>
            </c:strRef>
          </c:cat>
          <c:val>
            <c:numRef>
              <c:f>'casc P64 EP6 BASE+SIL'!$E$93:$E$102</c:f>
              <c:numCache>
                <c:formatCode>0</c:formatCode>
                <c:ptCount val="10"/>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2-1222-47AD-B24F-8E9A236220ED}"/>
            </c:ext>
          </c:extLst>
        </c:ser>
        <c:ser>
          <c:idx val="3"/>
          <c:order val="3"/>
          <c:tx>
            <c:strRef>
              <c:f>'casc P64 EP6 BASE+SIL'!$F$92</c:f>
              <c:strCache>
                <c:ptCount val="1"/>
                <c:pt idx="0">
                  <c:v>Gain</c:v>
                </c:pt>
              </c:strCache>
            </c:strRef>
          </c:tx>
          <c:spPr>
            <a:solidFill>
              <a:srgbClr val="92D050"/>
            </a:solidFill>
          </c:spPr>
          <c:invertIfNegative val="0"/>
          <c:dPt>
            <c:idx val="1"/>
            <c:invertIfNegative val="0"/>
            <c:bubble3D val="0"/>
            <c:extLst>
              <c:ext xmlns:c16="http://schemas.microsoft.com/office/drawing/2014/chart" uri="{C3380CC4-5D6E-409C-BE32-E72D297353CC}">
                <c16:uniqueId val="{00000013-1222-47AD-B24F-8E9A236220ED}"/>
              </c:ext>
            </c:extLst>
          </c:dPt>
          <c:dPt>
            <c:idx val="2"/>
            <c:invertIfNegative val="0"/>
            <c:bubble3D val="0"/>
            <c:extLst>
              <c:ext xmlns:c16="http://schemas.microsoft.com/office/drawing/2014/chart" uri="{C3380CC4-5D6E-409C-BE32-E72D297353CC}">
                <c16:uniqueId val="{00000014-1222-47AD-B24F-8E9A236220ED}"/>
              </c:ext>
            </c:extLst>
          </c:dPt>
          <c:dPt>
            <c:idx val="3"/>
            <c:invertIfNegative val="0"/>
            <c:bubble3D val="0"/>
            <c:extLst>
              <c:ext xmlns:c16="http://schemas.microsoft.com/office/drawing/2014/chart" uri="{C3380CC4-5D6E-409C-BE32-E72D297353CC}">
                <c16:uniqueId val="{00000015-1222-47AD-B24F-8E9A236220ED}"/>
              </c:ext>
            </c:extLst>
          </c:dPt>
          <c:dPt>
            <c:idx val="4"/>
            <c:invertIfNegative val="0"/>
            <c:bubble3D val="0"/>
            <c:extLst>
              <c:ext xmlns:c16="http://schemas.microsoft.com/office/drawing/2014/chart" uri="{C3380CC4-5D6E-409C-BE32-E72D297353CC}">
                <c16:uniqueId val="{00000016-1222-47AD-B24F-8E9A236220ED}"/>
              </c:ext>
            </c:extLst>
          </c:dPt>
          <c:dPt>
            <c:idx val="5"/>
            <c:invertIfNegative val="0"/>
            <c:bubble3D val="0"/>
            <c:extLst>
              <c:ext xmlns:c16="http://schemas.microsoft.com/office/drawing/2014/chart" uri="{C3380CC4-5D6E-409C-BE32-E72D297353CC}">
                <c16:uniqueId val="{00000017-1222-47AD-B24F-8E9A236220ED}"/>
              </c:ext>
            </c:extLst>
          </c:dPt>
          <c:dPt>
            <c:idx val="6"/>
            <c:invertIfNegative val="0"/>
            <c:bubble3D val="0"/>
            <c:extLst>
              <c:ext xmlns:c16="http://schemas.microsoft.com/office/drawing/2014/chart" uri="{C3380CC4-5D6E-409C-BE32-E72D297353CC}">
                <c16:uniqueId val="{00000018-1222-47AD-B24F-8E9A236220ED}"/>
              </c:ext>
            </c:extLst>
          </c:dPt>
          <c:dPt>
            <c:idx val="7"/>
            <c:invertIfNegative val="0"/>
            <c:bubble3D val="0"/>
            <c:extLst>
              <c:ext xmlns:c16="http://schemas.microsoft.com/office/drawing/2014/chart" uri="{C3380CC4-5D6E-409C-BE32-E72D297353CC}">
                <c16:uniqueId val="{00000019-1222-47AD-B24F-8E9A236220ED}"/>
              </c:ext>
            </c:extLst>
          </c:dPt>
          <c:dPt>
            <c:idx val="8"/>
            <c:invertIfNegative val="0"/>
            <c:bubble3D val="0"/>
            <c:extLst>
              <c:ext xmlns:c16="http://schemas.microsoft.com/office/drawing/2014/chart" uri="{C3380CC4-5D6E-409C-BE32-E72D297353CC}">
                <c16:uniqueId val="{0000001A-1222-47AD-B24F-8E9A236220ED}"/>
              </c:ext>
            </c:extLst>
          </c:dPt>
          <c:dPt>
            <c:idx val="9"/>
            <c:invertIfNegative val="0"/>
            <c:bubble3D val="0"/>
            <c:extLst>
              <c:ext xmlns:c16="http://schemas.microsoft.com/office/drawing/2014/chart" uri="{C3380CC4-5D6E-409C-BE32-E72D297353CC}">
                <c16:uniqueId val="{0000001B-1222-47AD-B24F-8E9A236220ED}"/>
              </c:ext>
            </c:extLst>
          </c:dPt>
          <c:dPt>
            <c:idx val="10"/>
            <c:invertIfNegative val="0"/>
            <c:bubble3D val="0"/>
            <c:extLst>
              <c:ext xmlns:c16="http://schemas.microsoft.com/office/drawing/2014/chart" uri="{C3380CC4-5D6E-409C-BE32-E72D297353CC}">
                <c16:uniqueId val="{0000001C-1222-47AD-B24F-8E9A236220ED}"/>
              </c:ext>
            </c:extLst>
          </c:dPt>
          <c:dPt>
            <c:idx val="11"/>
            <c:invertIfNegative val="0"/>
            <c:bubble3D val="0"/>
            <c:extLst>
              <c:ext xmlns:c16="http://schemas.microsoft.com/office/drawing/2014/chart" uri="{C3380CC4-5D6E-409C-BE32-E72D297353CC}">
                <c16:uniqueId val="{0000001D-1222-47AD-B24F-8E9A236220ED}"/>
              </c:ext>
            </c:extLst>
          </c:dPt>
          <c:dLbls>
            <c:dLbl>
              <c:idx val="1"/>
              <c:delete val="1"/>
              <c:extLst>
                <c:ext xmlns:c15="http://schemas.microsoft.com/office/drawing/2012/chart" uri="{CE6537A1-D6FC-4f65-9D91-7224C49458BB}"/>
                <c:ext xmlns:c16="http://schemas.microsoft.com/office/drawing/2014/chart" uri="{C3380CC4-5D6E-409C-BE32-E72D297353CC}">
                  <c16:uniqueId val="{00000013-1222-47AD-B24F-8E9A236220ED}"/>
                </c:ext>
              </c:extLst>
            </c:dLbl>
            <c:dLbl>
              <c:idx val="2"/>
              <c:delete val="1"/>
              <c:extLst>
                <c:ext xmlns:c15="http://schemas.microsoft.com/office/drawing/2012/chart" uri="{CE6537A1-D6FC-4f65-9D91-7224C49458BB}"/>
                <c:ext xmlns:c16="http://schemas.microsoft.com/office/drawing/2014/chart" uri="{C3380CC4-5D6E-409C-BE32-E72D297353CC}">
                  <c16:uniqueId val="{00000014-1222-47AD-B24F-8E9A236220ED}"/>
                </c:ext>
              </c:extLst>
            </c:dLbl>
            <c:dLbl>
              <c:idx val="3"/>
              <c:layout>
                <c:manualLayout>
                  <c:x val="0"/>
                  <c:y val="-7.5678633442338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222-47AD-B24F-8E9A236220ED}"/>
                </c:ext>
              </c:extLst>
            </c:dLbl>
            <c:dLbl>
              <c:idx val="4"/>
              <c:delete val="1"/>
              <c:extLst>
                <c:ext xmlns:c15="http://schemas.microsoft.com/office/drawing/2012/chart" uri="{CE6537A1-D6FC-4f65-9D91-7224C49458BB}"/>
                <c:ext xmlns:c16="http://schemas.microsoft.com/office/drawing/2014/chart" uri="{C3380CC4-5D6E-409C-BE32-E72D297353CC}">
                  <c16:uniqueId val="{00000016-1222-47AD-B24F-8E9A236220ED}"/>
                </c:ext>
              </c:extLst>
            </c:dLbl>
            <c:dLbl>
              <c:idx val="6"/>
              <c:layout>
                <c:manualLayout>
                  <c:x val="-9.5593114926411593E-7"/>
                  <c:y val="-3.3935438553016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1222-47AD-B24F-8E9A236220ED}"/>
                </c:ext>
              </c:extLst>
            </c:dLbl>
            <c:dLbl>
              <c:idx val="7"/>
              <c:layout>
                <c:manualLayout>
                  <c:x val="0"/>
                  <c:y val="-8.67785875088031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222-47AD-B24F-8E9A236220ED}"/>
                </c:ext>
              </c:extLst>
            </c:dLbl>
            <c:dLbl>
              <c:idx val="8"/>
              <c:delete val="1"/>
              <c:extLst>
                <c:ext xmlns:c15="http://schemas.microsoft.com/office/drawing/2012/chart" uri="{CE6537A1-D6FC-4f65-9D91-7224C49458BB}"/>
                <c:ext xmlns:c16="http://schemas.microsoft.com/office/drawing/2014/chart" uri="{C3380CC4-5D6E-409C-BE32-E72D297353CC}">
                  <c16:uniqueId val="{0000001A-1222-47AD-B24F-8E9A236220ED}"/>
                </c:ext>
              </c:extLst>
            </c:dLbl>
            <c:dLbl>
              <c:idx val="9"/>
              <c:delete val="1"/>
              <c:extLst>
                <c:ext xmlns:c15="http://schemas.microsoft.com/office/drawing/2012/chart" uri="{CE6537A1-D6FC-4f65-9D91-7224C49458BB}"/>
                <c:ext xmlns:c16="http://schemas.microsoft.com/office/drawing/2014/chart" uri="{C3380CC4-5D6E-409C-BE32-E72D297353CC}">
                  <c16:uniqueId val="{0000001B-1222-47AD-B24F-8E9A236220ED}"/>
                </c:ext>
              </c:extLst>
            </c:dLbl>
            <c:dLbl>
              <c:idx val="11"/>
              <c:delete val="1"/>
              <c:extLst>
                <c:ext xmlns:c15="http://schemas.microsoft.com/office/drawing/2012/chart" uri="{CE6537A1-D6FC-4f65-9D91-7224C49458BB}"/>
                <c:ext xmlns:c16="http://schemas.microsoft.com/office/drawing/2014/chart" uri="{C3380CC4-5D6E-409C-BE32-E72D297353CC}">
                  <c16:uniqueId val="{0000001D-1222-47AD-B24F-8E9A236220ED}"/>
                </c:ext>
              </c:extLst>
            </c:dLbl>
            <c:dLbl>
              <c:idx val="12"/>
              <c:delete val="1"/>
              <c:extLst>
                <c:ext xmlns:c15="http://schemas.microsoft.com/office/drawing/2012/chart" uri="{CE6537A1-D6FC-4f65-9D91-7224C49458BB}"/>
                <c:ext xmlns:c16="http://schemas.microsoft.com/office/drawing/2014/chart" uri="{C3380CC4-5D6E-409C-BE32-E72D297353CC}">
                  <c16:uniqueId val="{0000001E-1222-47AD-B24F-8E9A236220ED}"/>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BASE+SIL'!$A$93:$A$102</c:f>
              <c:strCache>
                <c:ptCount val="10"/>
                <c:pt idx="0">
                  <c:v>DCHM/BASE+SIL :P84 EP6FADTXd ATN8</c:v>
                </c:pt>
                <c:pt idx="1">
                  <c:v>Concept</c:v>
                </c:pt>
                <c:pt idx="2">
                  <c:v>DCHM/BASE+SIL : P64€ EP6 ATN8 (Réf)</c:v>
                </c:pt>
                <c:pt idx="3">
                  <c:v>P1</c:v>
                </c:pt>
                <c:pt idx="4">
                  <c:v>RISQUES</c:v>
                </c:pt>
                <c:pt idx="5">
                  <c:v>DCHM/BASE+SIL : P64€ EP6 ATN8 (Potentiel)</c:v>
                </c:pt>
                <c:pt idx="6">
                  <c:v>P2</c:v>
                </c:pt>
                <c:pt idx="7">
                  <c:v>P3</c:v>
                </c:pt>
                <c:pt idx="8">
                  <c:v>RISQUES_P3</c:v>
                </c:pt>
                <c:pt idx="9">
                  <c:v>DCHM/BASE+SIL : P64€ EP6 ATN8 (Potentiel Max)</c:v>
                </c:pt>
              </c:strCache>
            </c:strRef>
          </c:cat>
          <c:val>
            <c:numRef>
              <c:f>'casc P64 EP6 BASE+SIL'!$F$93:$F$102</c:f>
              <c:numCache>
                <c:formatCode>0</c:formatCode>
                <c:ptCount val="10"/>
                <c:pt idx="1">
                  <c:v>0</c:v>
                </c:pt>
                <c:pt idx="2">
                  <c:v>0</c:v>
                </c:pt>
                <c:pt idx="3">
                  <c:v>0</c:v>
                </c:pt>
                <c:pt idx="4">
                  <c:v>0</c:v>
                </c:pt>
                <c:pt idx="6">
                  <c:v>0</c:v>
                </c:pt>
                <c:pt idx="7">
                  <c:v>0</c:v>
                </c:pt>
                <c:pt idx="8">
                  <c:v>0</c:v>
                </c:pt>
              </c:numCache>
            </c:numRef>
          </c:val>
          <c:extLst>
            <c:ext xmlns:c16="http://schemas.microsoft.com/office/drawing/2014/chart" uri="{C3380CC4-5D6E-409C-BE32-E72D297353CC}">
              <c16:uniqueId val="{0000001F-1222-47AD-B24F-8E9A236220ED}"/>
            </c:ext>
          </c:extLst>
        </c:ser>
        <c:dLbls>
          <c:showLegendKey val="0"/>
          <c:showVal val="0"/>
          <c:showCatName val="0"/>
          <c:showSerName val="0"/>
          <c:showPercent val="0"/>
          <c:showBubbleSize val="0"/>
        </c:dLbls>
        <c:gapWidth val="150"/>
        <c:overlap val="100"/>
        <c:axId val="150277504"/>
        <c:axId val="150312064"/>
      </c:barChart>
      <c:scatterChart>
        <c:scatterStyle val="lineMarker"/>
        <c:varyColors val="0"/>
        <c:ser>
          <c:idx val="4"/>
          <c:order val="4"/>
          <c:tx>
            <c:strRef>
              <c:f>'casc P64 EP6 BASE+SIL'!$I$92</c:f>
              <c:strCache>
                <c:ptCount val="1"/>
                <c:pt idx="0">
                  <c:v>Objectif</c:v>
                </c:pt>
              </c:strCache>
            </c:strRef>
          </c:tx>
          <c:spPr>
            <a:ln>
              <a:solidFill>
                <a:sysClr val="windowText" lastClr="000000"/>
              </a:solidFill>
              <a:prstDash val="dash"/>
            </a:ln>
          </c:spPr>
          <c:marker>
            <c:symbol val="none"/>
          </c:marker>
          <c:yVal>
            <c:numRef>
              <c:f>'casc P64 EP6 BASE+SIL'!$I$93:$I$102</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20-1222-47AD-B24F-8E9A236220ED}"/>
            </c:ext>
          </c:extLst>
        </c:ser>
        <c:dLbls>
          <c:showLegendKey val="0"/>
          <c:showVal val="0"/>
          <c:showCatName val="0"/>
          <c:showSerName val="0"/>
          <c:showPercent val="0"/>
          <c:showBubbleSize val="0"/>
        </c:dLbls>
        <c:axId val="150277504"/>
        <c:axId val="150312064"/>
      </c:scatterChart>
      <c:catAx>
        <c:axId val="150277504"/>
        <c:scaling>
          <c:orientation val="minMax"/>
        </c:scaling>
        <c:delete val="0"/>
        <c:axPos val="b"/>
        <c:numFmt formatCode="General" sourceLinked="0"/>
        <c:majorTickMark val="out"/>
        <c:minorTickMark val="none"/>
        <c:tickLblPos val="nextTo"/>
        <c:txPr>
          <a:bodyPr/>
          <a:lstStyle/>
          <a:p>
            <a:pPr>
              <a:defRPr sz="1000" b="1"/>
            </a:pPr>
            <a:endParaRPr lang="fr-FR"/>
          </a:p>
        </c:txPr>
        <c:crossAx val="150312064"/>
        <c:crosses val="autoZero"/>
        <c:auto val="1"/>
        <c:lblAlgn val="ctr"/>
        <c:lblOffset val="100"/>
        <c:noMultiLvlLbl val="0"/>
      </c:catAx>
      <c:valAx>
        <c:axId val="150312064"/>
        <c:scaling>
          <c:orientation val="minMax"/>
          <c:min val="600"/>
        </c:scaling>
        <c:delete val="0"/>
        <c:axPos val="l"/>
        <c:numFmt formatCode="0" sourceLinked="0"/>
        <c:majorTickMark val="out"/>
        <c:minorTickMark val="none"/>
        <c:tickLblPos val="nextTo"/>
        <c:txPr>
          <a:bodyPr/>
          <a:lstStyle/>
          <a:p>
            <a:pPr>
              <a:defRPr sz="1600" b="1"/>
            </a:pPr>
            <a:endParaRPr lang="fr-FR"/>
          </a:p>
        </c:txPr>
        <c:crossAx val="150277504"/>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BASE+SIL'!$C$167</c:f>
              <c:strCache>
                <c:ptCount val="1"/>
                <c:pt idx="0">
                  <c:v>MàV</c:v>
                </c:pt>
              </c:strCache>
            </c:strRef>
          </c:tx>
          <c:invertIfNegative val="0"/>
          <c:dLbls>
            <c:dLbl>
              <c:idx val="0"/>
              <c:layout>
                <c:manualLayout>
                  <c:x val="-9.9045088510727256E-4"/>
                  <c:y val="-0.30792937635121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10-42F2-A5DC-D9F26360D742}"/>
                </c:ext>
              </c:extLst>
            </c:dLbl>
            <c:dLbl>
              <c:idx val="2"/>
              <c:layout>
                <c:manualLayout>
                  <c:x val="1.3469069891737611E-3"/>
                  <c:y val="-0.30311920052550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10-42F2-A5DC-D9F26360D742}"/>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10-42F2-A5DC-D9F26360D742}"/>
                </c:ext>
              </c:extLst>
            </c:dLbl>
            <c:dLbl>
              <c:idx val="4"/>
              <c:layout>
                <c:manualLayout>
                  <c:x val="0"/>
                  <c:y val="-0.274798860444543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10-42F2-A5DC-D9F26360D742}"/>
                </c:ext>
              </c:extLst>
            </c:dLbl>
            <c:dLbl>
              <c:idx val="5"/>
              <c:layout>
                <c:manualLayout>
                  <c:x val="2.6978501320884421E-3"/>
                  <c:y val="-0.29934809009667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10-42F2-A5DC-D9F26360D742}"/>
                </c:ext>
              </c:extLst>
            </c:dLbl>
            <c:dLbl>
              <c:idx val="6"/>
              <c:layout>
                <c:manualLayout>
                  <c:x val="-3.8499595959767619E-3"/>
                  <c:y val="-0.32305846006955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10-42F2-A5DC-D9F26360D742}"/>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10-42F2-A5DC-D9F26360D742}"/>
                </c:ext>
              </c:extLst>
            </c:dLbl>
            <c:dLbl>
              <c:idx val="8"/>
              <c:layout>
                <c:manualLayout>
                  <c:x val="2.6957258406457535E-3"/>
                  <c:y val="-0.26155020722088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10-42F2-A5DC-D9F26360D742}"/>
                </c:ext>
              </c:extLst>
            </c:dLbl>
            <c:dLbl>
              <c:idx val="9"/>
              <c:layout>
                <c:manualLayout>
                  <c:x val="-3.3882448509398646E-5"/>
                  <c:y val="-0.25658150673137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910-42F2-A5DC-D9F26360D742}"/>
                </c:ext>
              </c:extLst>
            </c:dLbl>
            <c:dLbl>
              <c:idx val="10"/>
              <c:layout>
                <c:manualLayout>
                  <c:x val="4.0467751981326629E-3"/>
                  <c:y val="-0.38182578503873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910-42F2-A5DC-D9F26360D742}"/>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10-42F2-A5DC-D9F26360D742}"/>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10-42F2-A5DC-D9F26360D742}"/>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BASE+SIL'!$A$168:$A$177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BASE+SIL'!$C$168:$C$177</c:f>
              <c:numCache>
                <c:formatCode>General</c:formatCode>
                <c:ptCount val="10"/>
                <c:pt idx="0" formatCode="0">
                  <c:v>181.09970000000001</c:v>
                </c:pt>
                <c:pt idx="2" formatCode="0.0">
                  <c:v>0</c:v>
                </c:pt>
                <c:pt idx="4" formatCode="0.0">
                  <c:v>0</c:v>
                </c:pt>
                <c:pt idx="8" formatCode="0">
                  <c:v>0</c:v>
                </c:pt>
              </c:numCache>
            </c:numRef>
          </c:val>
          <c:extLst>
            <c:ext xmlns:c16="http://schemas.microsoft.com/office/drawing/2014/chart" uri="{C3380CC4-5D6E-409C-BE32-E72D297353CC}">
              <c16:uniqueId val="{0000000C-3910-42F2-A5DC-D9F26360D742}"/>
            </c:ext>
          </c:extLst>
        </c:ser>
        <c:ser>
          <c:idx val="1"/>
          <c:order val="1"/>
          <c:tx>
            <c:strRef>
              <c:f>'casc P64 EP6 BASE+SIL'!$D$92</c:f>
              <c:strCache>
                <c:ptCount val="1"/>
              </c:strCache>
            </c:strRef>
          </c:tx>
          <c:spPr>
            <a:noFill/>
          </c:spPr>
          <c:invertIfNegative val="0"/>
          <c:cat>
            <c:strRef>
              <c:f>'casc P64 EP6 BASE+SIL'!$A$168:$A$177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BASE+SIL'!$D$168:$D$177</c:f>
              <c:numCache>
                <c:formatCode>0</c:formatCode>
                <c:ptCount val="10"/>
                <c:pt idx="1">
                  <c:v>0</c:v>
                </c:pt>
                <c:pt idx="3">
                  <c:v>0</c:v>
                </c:pt>
                <c:pt idx="5">
                  <c:v>0</c:v>
                </c:pt>
                <c:pt idx="6">
                  <c:v>0</c:v>
                </c:pt>
                <c:pt idx="7">
                  <c:v>0</c:v>
                </c:pt>
              </c:numCache>
            </c:numRef>
          </c:val>
          <c:extLst>
            <c:ext xmlns:c16="http://schemas.microsoft.com/office/drawing/2014/chart" uri="{C3380CC4-5D6E-409C-BE32-E72D297353CC}">
              <c16:uniqueId val="{0000000D-3910-42F2-A5DC-D9F26360D742}"/>
            </c:ext>
          </c:extLst>
        </c:ser>
        <c:ser>
          <c:idx val="2"/>
          <c:order val="2"/>
          <c:tx>
            <c:strRef>
              <c:f>'casc P64 EP6 BASE+SIL'!$E$167</c:f>
              <c:strCache>
                <c:ptCount val="1"/>
                <c:pt idx="0">
                  <c:v>Dérive</c:v>
                </c:pt>
              </c:strCache>
            </c:strRef>
          </c:tx>
          <c:spPr>
            <a:solidFill>
              <a:schemeClr val="bg1">
                <a:lumMod val="65000"/>
              </a:schemeClr>
            </a:solidFill>
          </c:spPr>
          <c:invertIfNegative val="0"/>
          <c:dLbls>
            <c:dLbl>
              <c:idx val="1"/>
              <c:layout>
                <c:manualLayout>
                  <c:x val="-1.3486064223278325E-3"/>
                  <c:y val="-1.9700105956427582E-2"/>
                </c:manualLayout>
              </c:layout>
              <c:numFmt formatCode="\+0.0&quot;kg&quot;" sourceLinked="0"/>
              <c:spPr/>
              <c:txPr>
                <a:bodyPr/>
                <a:lstStyle/>
                <a:p>
                  <a:pPr>
                    <a:defRPr sz="1400" b="1"/>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10-42F2-A5DC-D9F26360D742}"/>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10-42F2-A5DC-D9F26360D742}"/>
                </c:ext>
              </c:extLst>
            </c:dLbl>
            <c:dLbl>
              <c:idx val="7"/>
              <c:layout>
                <c:manualLayout>
                  <c:x val="-1.348925066044221E-3"/>
                  <c:y val="-5.2067152505281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10-42F2-A5DC-D9F26360D742}"/>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'casc P64 EP6 BASE+SIL'!$A$168:$A$177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BASE+SIL'!$E$168:$E$177</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1-3910-42F2-A5DC-D9F26360D742}"/>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3-3910-42F2-A5DC-D9F26360D742}"/>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5-3910-42F2-A5DC-D9F26360D742}"/>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7-3910-42F2-A5DC-D9F26360D742}"/>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9-3910-42F2-A5DC-D9F26360D742}"/>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B-3910-42F2-A5DC-D9F26360D742}"/>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D-3910-42F2-A5DC-D9F26360D742}"/>
              </c:ext>
            </c:extLst>
          </c:dPt>
          <c:cat>
            <c:strRef>
              <c:f>'casc P64 EP6 BASE+SIL'!$A$168:$A$177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BASE+SIL'!$M$93:$M$102</c:f>
              <c:numCache>
                <c:formatCode>General</c:formatCode>
                <c:ptCount val="10"/>
              </c:numCache>
            </c:numRef>
          </c:val>
          <c:extLst>
            <c:ext xmlns:c16="http://schemas.microsoft.com/office/drawing/2014/chart" uri="{C3380CC4-5D6E-409C-BE32-E72D297353CC}">
              <c16:uniqueId val="{0000001E-3910-42F2-A5DC-D9F26360D742}"/>
            </c:ext>
          </c:extLst>
        </c:ser>
        <c:ser>
          <c:idx val="3"/>
          <c:order val="4"/>
          <c:tx>
            <c:strRef>
              <c:f>'casc P64 EP6 BASE+SIL'!$F$167</c:f>
              <c:strCache>
                <c:ptCount val="1"/>
                <c:pt idx="0">
                  <c:v>Gain</c:v>
                </c:pt>
              </c:strCache>
            </c:strRef>
          </c:tx>
          <c:spPr>
            <a:solidFill>
              <a:srgbClr val="FF0000"/>
            </a:solidFill>
          </c:spPr>
          <c:invertIfNegative val="0"/>
          <c:dPt>
            <c:idx val="1"/>
            <c:invertIfNegative val="0"/>
            <c:bubble3D val="0"/>
            <c:extLst>
              <c:ext xmlns:c16="http://schemas.microsoft.com/office/drawing/2014/chart" uri="{C3380CC4-5D6E-409C-BE32-E72D297353CC}">
                <c16:uniqueId val="{0000001F-3910-42F2-A5DC-D9F26360D742}"/>
              </c:ext>
            </c:extLst>
          </c:dPt>
          <c:dPt>
            <c:idx val="2"/>
            <c:invertIfNegative val="0"/>
            <c:bubble3D val="0"/>
            <c:extLst>
              <c:ext xmlns:c16="http://schemas.microsoft.com/office/drawing/2014/chart" uri="{C3380CC4-5D6E-409C-BE32-E72D297353CC}">
                <c16:uniqueId val="{00000020-3910-42F2-A5DC-D9F26360D742}"/>
              </c:ext>
            </c:extLst>
          </c:dPt>
          <c:dPt>
            <c:idx val="3"/>
            <c:invertIfNegative val="0"/>
            <c:bubble3D val="0"/>
            <c:extLst>
              <c:ext xmlns:c16="http://schemas.microsoft.com/office/drawing/2014/chart" uri="{C3380CC4-5D6E-409C-BE32-E72D297353CC}">
                <c16:uniqueId val="{00000021-3910-42F2-A5DC-D9F26360D742}"/>
              </c:ext>
            </c:extLst>
          </c:dPt>
          <c:dPt>
            <c:idx val="4"/>
            <c:invertIfNegative val="0"/>
            <c:bubble3D val="0"/>
            <c:extLst>
              <c:ext xmlns:c16="http://schemas.microsoft.com/office/drawing/2014/chart" uri="{C3380CC4-5D6E-409C-BE32-E72D297353CC}">
                <c16:uniqueId val="{00000022-3910-42F2-A5DC-D9F26360D742}"/>
              </c:ext>
            </c:extLst>
          </c:dPt>
          <c:dPt>
            <c:idx val="5"/>
            <c:invertIfNegative val="0"/>
            <c:bubble3D val="0"/>
            <c:spPr>
              <a:solidFill>
                <a:srgbClr val="FFC000"/>
              </a:solidFill>
            </c:spPr>
            <c:extLst>
              <c:ext xmlns:c16="http://schemas.microsoft.com/office/drawing/2014/chart" uri="{C3380CC4-5D6E-409C-BE32-E72D297353CC}">
                <c16:uniqueId val="{00000024-3910-42F2-A5DC-D9F26360D742}"/>
              </c:ext>
            </c:extLst>
          </c:dPt>
          <c:dPt>
            <c:idx val="6"/>
            <c:invertIfNegative val="0"/>
            <c:bubble3D val="0"/>
            <c:extLst>
              <c:ext xmlns:c16="http://schemas.microsoft.com/office/drawing/2014/chart" uri="{C3380CC4-5D6E-409C-BE32-E72D297353CC}">
                <c16:uniqueId val="{00000025-3910-42F2-A5DC-D9F26360D742}"/>
              </c:ext>
            </c:extLst>
          </c:dPt>
          <c:dPt>
            <c:idx val="7"/>
            <c:invertIfNegative val="0"/>
            <c:bubble3D val="0"/>
            <c:extLst>
              <c:ext xmlns:c16="http://schemas.microsoft.com/office/drawing/2014/chart" uri="{C3380CC4-5D6E-409C-BE32-E72D297353CC}">
                <c16:uniqueId val="{00000026-3910-42F2-A5DC-D9F26360D742}"/>
              </c:ext>
            </c:extLst>
          </c:dPt>
          <c:dPt>
            <c:idx val="8"/>
            <c:invertIfNegative val="0"/>
            <c:bubble3D val="0"/>
            <c:extLst>
              <c:ext xmlns:c16="http://schemas.microsoft.com/office/drawing/2014/chart" uri="{C3380CC4-5D6E-409C-BE32-E72D297353CC}">
                <c16:uniqueId val="{00000027-3910-42F2-A5DC-D9F26360D742}"/>
              </c:ext>
            </c:extLst>
          </c:dPt>
          <c:dPt>
            <c:idx val="9"/>
            <c:invertIfNegative val="0"/>
            <c:bubble3D val="0"/>
            <c:extLst>
              <c:ext xmlns:c16="http://schemas.microsoft.com/office/drawing/2014/chart" uri="{C3380CC4-5D6E-409C-BE32-E72D297353CC}">
                <c16:uniqueId val="{00000028-3910-42F2-A5DC-D9F26360D742}"/>
              </c:ext>
            </c:extLst>
          </c:dPt>
          <c:dPt>
            <c:idx val="10"/>
            <c:invertIfNegative val="0"/>
            <c:bubble3D val="0"/>
            <c:extLst>
              <c:ext xmlns:c16="http://schemas.microsoft.com/office/drawing/2014/chart" uri="{C3380CC4-5D6E-409C-BE32-E72D297353CC}">
                <c16:uniqueId val="{00000029-3910-42F2-A5DC-D9F26360D742}"/>
              </c:ext>
            </c:extLst>
          </c:dPt>
          <c:dPt>
            <c:idx val="11"/>
            <c:invertIfNegative val="0"/>
            <c:bubble3D val="0"/>
            <c:extLst>
              <c:ext xmlns:c16="http://schemas.microsoft.com/office/drawing/2014/chart" uri="{C3380CC4-5D6E-409C-BE32-E72D297353CC}">
                <c16:uniqueId val="{0000002A-3910-42F2-A5DC-D9F26360D742}"/>
              </c:ext>
            </c:extLst>
          </c:dPt>
          <c:dLbls>
            <c:dLbl>
              <c:idx val="1"/>
              <c:delete val="1"/>
              <c:extLst>
                <c:ext xmlns:c15="http://schemas.microsoft.com/office/drawing/2012/chart" uri="{CE6537A1-D6FC-4f65-9D91-7224C49458BB}"/>
                <c:ext xmlns:c16="http://schemas.microsoft.com/office/drawing/2014/chart" uri="{C3380CC4-5D6E-409C-BE32-E72D297353CC}">
                  <c16:uniqueId val="{0000001F-3910-42F2-A5DC-D9F26360D742}"/>
                </c:ext>
              </c:extLst>
            </c:dLbl>
            <c:dLbl>
              <c:idx val="2"/>
              <c:delete val="1"/>
              <c:extLst>
                <c:ext xmlns:c15="http://schemas.microsoft.com/office/drawing/2012/chart" uri="{CE6537A1-D6FC-4f65-9D91-7224C49458BB}"/>
                <c:ext xmlns:c16="http://schemas.microsoft.com/office/drawing/2014/chart" uri="{C3380CC4-5D6E-409C-BE32-E72D297353CC}">
                  <c16:uniqueId val="{00000020-3910-42F2-A5DC-D9F26360D742}"/>
                </c:ext>
              </c:extLst>
            </c:dLbl>
            <c:dLbl>
              <c:idx val="3"/>
              <c:delete val="1"/>
              <c:extLst>
                <c:ext xmlns:c15="http://schemas.microsoft.com/office/drawing/2012/chart" uri="{CE6537A1-D6FC-4f65-9D91-7224C49458BB}"/>
                <c:ext xmlns:c16="http://schemas.microsoft.com/office/drawing/2014/chart" uri="{C3380CC4-5D6E-409C-BE32-E72D297353CC}">
                  <c16:uniqueId val="{00000021-3910-42F2-A5DC-D9F26360D742}"/>
                </c:ext>
              </c:extLst>
            </c:dLbl>
            <c:dLbl>
              <c:idx val="4"/>
              <c:delete val="1"/>
              <c:extLst>
                <c:ext xmlns:c15="http://schemas.microsoft.com/office/drawing/2012/chart" uri="{CE6537A1-D6FC-4f65-9D91-7224C49458BB}"/>
                <c:ext xmlns:c16="http://schemas.microsoft.com/office/drawing/2014/chart" uri="{C3380CC4-5D6E-409C-BE32-E72D297353CC}">
                  <c16:uniqueId val="{00000022-3910-42F2-A5DC-D9F26360D742}"/>
                </c:ext>
              </c:extLst>
            </c:dLbl>
            <c:dLbl>
              <c:idx val="5"/>
              <c:layout>
                <c:manualLayout>
                  <c:x val="0"/>
                  <c:y val="-4.9174532921655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3910-42F2-A5DC-D9F26360D742}"/>
                </c:ext>
              </c:extLst>
            </c:dLbl>
            <c:dLbl>
              <c:idx val="6"/>
              <c:layout>
                <c:manualLayout>
                  <c:x val="-9.5593114926411593E-7"/>
                  <c:y val="-4.83985364711498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910-42F2-A5DC-D9F26360D742}"/>
                </c:ext>
              </c:extLst>
            </c:dLbl>
            <c:dLbl>
              <c:idx val="7"/>
              <c:delete val="1"/>
              <c:extLst>
                <c:ext xmlns:c15="http://schemas.microsoft.com/office/drawing/2012/chart" uri="{CE6537A1-D6FC-4f65-9D91-7224C49458BB}"/>
                <c:ext xmlns:c16="http://schemas.microsoft.com/office/drawing/2014/chart" uri="{C3380CC4-5D6E-409C-BE32-E72D297353CC}">
                  <c16:uniqueId val="{00000026-3910-42F2-A5DC-D9F26360D742}"/>
                </c:ext>
              </c:extLst>
            </c:dLbl>
            <c:dLbl>
              <c:idx val="8"/>
              <c:delete val="1"/>
              <c:extLst>
                <c:ext xmlns:c15="http://schemas.microsoft.com/office/drawing/2012/chart" uri="{CE6537A1-D6FC-4f65-9D91-7224C49458BB}"/>
                <c:ext xmlns:c16="http://schemas.microsoft.com/office/drawing/2014/chart" uri="{C3380CC4-5D6E-409C-BE32-E72D297353CC}">
                  <c16:uniqueId val="{00000027-3910-42F2-A5DC-D9F26360D742}"/>
                </c:ext>
              </c:extLst>
            </c:dLbl>
            <c:dLbl>
              <c:idx val="9"/>
              <c:delete val="1"/>
              <c:extLst>
                <c:ext xmlns:c15="http://schemas.microsoft.com/office/drawing/2012/chart" uri="{CE6537A1-D6FC-4f65-9D91-7224C49458BB}"/>
                <c:ext xmlns:c16="http://schemas.microsoft.com/office/drawing/2014/chart" uri="{C3380CC4-5D6E-409C-BE32-E72D297353CC}">
                  <c16:uniqueId val="{00000028-3910-42F2-A5DC-D9F26360D742}"/>
                </c:ext>
              </c:extLst>
            </c:dLbl>
            <c:dLbl>
              <c:idx val="10"/>
              <c:delete val="1"/>
              <c:extLst>
                <c:ext xmlns:c15="http://schemas.microsoft.com/office/drawing/2012/chart" uri="{CE6537A1-D6FC-4f65-9D91-7224C49458BB}"/>
                <c:ext xmlns:c16="http://schemas.microsoft.com/office/drawing/2014/chart" uri="{C3380CC4-5D6E-409C-BE32-E72D297353CC}">
                  <c16:uniqueId val="{00000029-3910-42F2-A5DC-D9F26360D742}"/>
                </c:ext>
              </c:extLst>
            </c:dLbl>
            <c:dLbl>
              <c:idx val="11"/>
              <c:delete val="1"/>
              <c:extLst>
                <c:ext xmlns:c15="http://schemas.microsoft.com/office/drawing/2012/chart" uri="{CE6537A1-D6FC-4f65-9D91-7224C49458BB}"/>
                <c:ext xmlns:c16="http://schemas.microsoft.com/office/drawing/2014/chart" uri="{C3380CC4-5D6E-409C-BE32-E72D297353CC}">
                  <c16:uniqueId val="{0000002A-3910-42F2-A5DC-D9F26360D742}"/>
                </c:ext>
              </c:extLst>
            </c:dLbl>
            <c:dLbl>
              <c:idx val="12"/>
              <c:delete val="1"/>
              <c:extLst>
                <c:ext xmlns:c15="http://schemas.microsoft.com/office/drawing/2012/chart" uri="{CE6537A1-D6FC-4f65-9D91-7224C49458BB}"/>
                <c:ext xmlns:c16="http://schemas.microsoft.com/office/drawing/2014/chart" uri="{C3380CC4-5D6E-409C-BE32-E72D297353CC}">
                  <c16:uniqueId val="{0000002B-3910-42F2-A5DC-D9F26360D742}"/>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BASE+SIL'!$A$168:$A$177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BASE+SIL'!$F$168:$F$177</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C-3910-42F2-A5DC-D9F26360D742}"/>
            </c:ext>
          </c:extLst>
        </c:ser>
        <c:ser>
          <c:idx val="5"/>
          <c:order val="6"/>
          <c:tx>
            <c:strRef>
              <c:f>'casc P64 EP6 BASE+SIL'!$L$92</c:f>
              <c:strCache>
                <c:ptCount val="1"/>
              </c:strCache>
            </c:strRef>
          </c:tx>
          <c:spPr>
            <a:noFill/>
            <a:ln>
              <a:solidFill>
                <a:sysClr val="windowText" lastClr="000000"/>
              </a:solidFill>
            </a:ln>
          </c:spPr>
          <c:invertIfNegative val="0"/>
          <c:cat>
            <c:strRef>
              <c:f>'casc P64 EP6 BASE+SIL'!$A$168:$A$177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BASE+SIL'!$L$93:$L$102</c:f>
              <c:numCache>
                <c:formatCode>General</c:formatCode>
                <c:ptCount val="10"/>
              </c:numCache>
            </c:numRef>
          </c:val>
          <c:extLst>
            <c:ext xmlns:c16="http://schemas.microsoft.com/office/drawing/2014/chart" uri="{C3380CC4-5D6E-409C-BE32-E72D297353CC}">
              <c16:uniqueId val="{0000002D-3910-42F2-A5DC-D9F26360D742}"/>
            </c:ext>
          </c:extLst>
        </c:ser>
        <c:dLbls>
          <c:showLegendKey val="0"/>
          <c:showVal val="0"/>
          <c:showCatName val="0"/>
          <c:showSerName val="0"/>
          <c:showPercent val="0"/>
          <c:showBubbleSize val="0"/>
        </c:dLbls>
        <c:gapWidth val="150"/>
        <c:overlap val="100"/>
        <c:axId val="153289856"/>
        <c:axId val="153291392"/>
      </c:barChart>
      <c:scatterChart>
        <c:scatterStyle val="lineMarker"/>
        <c:varyColors val="0"/>
        <c:ser>
          <c:idx val="4"/>
          <c:order val="5"/>
          <c:tx>
            <c:strRef>
              <c:f>'casc P64 EP6 BASE+SIL'!$I$167</c:f>
              <c:strCache>
                <c:ptCount val="1"/>
                <c:pt idx="0">
                  <c:v>#REF!</c:v>
                </c:pt>
              </c:strCache>
            </c:strRef>
          </c:tx>
          <c:spPr>
            <a:ln>
              <a:solidFill>
                <a:sysClr val="windowText" lastClr="000000"/>
              </a:solidFill>
              <a:prstDash val="dash"/>
            </a:ln>
          </c:spPr>
          <c:marker>
            <c:symbol val="none"/>
          </c:marker>
          <c:dLbls>
            <c:dLbl>
              <c:idx val="6"/>
              <c:layout>
                <c:manualLayout>
                  <c:x val="-0.12275218101002411"/>
                  <c:y val="5.7852163907213872E-2"/>
                </c:manualLayout>
              </c:layout>
              <c:spPr/>
              <c:txPr>
                <a:bodyPr/>
                <a:lstStyle/>
                <a:p>
                  <a:pPr>
                    <a:defRPr sz="16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E-3910-42F2-A5DC-D9F26360D742}"/>
                </c:ext>
              </c:extLst>
            </c:dLbl>
            <c:spPr>
              <a:noFill/>
              <a:ln>
                <a:noFill/>
              </a:ln>
              <a:effectLst/>
            </c:spPr>
            <c:txPr>
              <a:bodyPr wrap="square" lIns="38100" tIns="19050" rIns="38100" bIns="19050" anchor="ctr">
                <a:spAutoFit/>
              </a:bodyPr>
              <a:lstStyle/>
              <a:p>
                <a:pPr>
                  <a:defRPr sz="1600">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BASE+SIL'!$I$168:$I$177</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2F-3910-42F2-A5DC-D9F26360D742}"/>
            </c:ext>
          </c:extLst>
        </c:ser>
        <c:dLbls>
          <c:showLegendKey val="0"/>
          <c:showVal val="0"/>
          <c:showCatName val="0"/>
          <c:showSerName val="0"/>
          <c:showPercent val="0"/>
          <c:showBubbleSize val="0"/>
        </c:dLbls>
        <c:axId val="153289856"/>
        <c:axId val="153291392"/>
      </c:scatterChart>
      <c:catAx>
        <c:axId val="153289856"/>
        <c:scaling>
          <c:orientation val="minMax"/>
        </c:scaling>
        <c:delete val="0"/>
        <c:axPos val="b"/>
        <c:numFmt formatCode="General" sourceLinked="0"/>
        <c:majorTickMark val="out"/>
        <c:minorTickMark val="none"/>
        <c:tickLblPos val="nextTo"/>
        <c:txPr>
          <a:bodyPr/>
          <a:lstStyle/>
          <a:p>
            <a:pPr>
              <a:defRPr sz="1000" b="1"/>
            </a:pPr>
            <a:endParaRPr lang="fr-FR"/>
          </a:p>
        </c:txPr>
        <c:crossAx val="153291392"/>
        <c:crosses val="autoZero"/>
        <c:auto val="1"/>
        <c:lblAlgn val="ctr"/>
        <c:lblOffset val="100"/>
        <c:noMultiLvlLbl val="0"/>
      </c:catAx>
      <c:valAx>
        <c:axId val="153291392"/>
        <c:scaling>
          <c:orientation val="minMax"/>
          <c:max val="210"/>
          <c:min val="160"/>
        </c:scaling>
        <c:delete val="0"/>
        <c:axPos val="l"/>
        <c:numFmt formatCode="0" sourceLinked="0"/>
        <c:majorTickMark val="out"/>
        <c:minorTickMark val="none"/>
        <c:tickLblPos val="nextTo"/>
        <c:txPr>
          <a:bodyPr/>
          <a:lstStyle/>
          <a:p>
            <a:pPr>
              <a:defRPr sz="1600" b="1"/>
            </a:pPr>
            <a:endParaRPr lang="fr-FR"/>
          </a:p>
        </c:txPr>
        <c:crossAx val="15328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3925567377001401E-2"/>
          <c:y val="4.9462200522766966E-2"/>
          <c:w val="0.9272988385142471"/>
          <c:h val="0.89208564326364848"/>
        </c:manualLayout>
      </c:layout>
      <c:barChart>
        <c:barDir val="col"/>
        <c:grouping val="stacked"/>
        <c:varyColors val="0"/>
        <c:ser>
          <c:idx val="0"/>
          <c:order val="0"/>
          <c:tx>
            <c:strRef>
              <c:f>'casc P64 EP6 BASE'!#REF!</c:f>
              <c:strCache>
                <c:ptCount val="1"/>
                <c:pt idx="0">
                  <c:v>#REF!</c:v>
                </c:pt>
              </c:strCache>
            </c:strRef>
          </c:tx>
          <c:invertIfNegative val="0"/>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0-B91D-4158-9CBE-06FD7A8A2239}"/>
            </c:ext>
          </c:extLst>
        </c:ser>
        <c:ser>
          <c:idx val="1"/>
          <c:order val="1"/>
          <c:tx>
            <c:strRef>
              <c:f>'casc P64 EP6 BASE+SIL'!$D$92</c:f>
              <c:strCache>
                <c:ptCount val="1"/>
              </c:strCache>
            </c:strRef>
          </c:tx>
          <c:invertIfNegative val="0"/>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1-B91D-4158-9CBE-06FD7A8A2239}"/>
            </c:ext>
          </c:extLst>
        </c:ser>
        <c:ser>
          <c:idx val="2"/>
          <c:order val="2"/>
          <c:tx>
            <c:strRef>
              <c:f>'casc P64 EP6 BASE'!#REF!</c:f>
              <c:strCache>
                <c:ptCount val="1"/>
                <c:pt idx="0">
                  <c:v>#REF!</c:v>
                </c:pt>
              </c:strCache>
            </c:strRef>
          </c:tx>
          <c:invertIfNegative val="0"/>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2-B91D-4158-9CBE-06FD7A8A2239}"/>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04-B91D-4158-9CBE-06FD7A8A2239}"/>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06-B91D-4158-9CBE-06FD7A8A2239}"/>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08-B91D-4158-9CBE-06FD7A8A2239}"/>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0A-B91D-4158-9CBE-06FD7A8A2239}"/>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0C-B91D-4158-9CBE-06FD7A8A2239}"/>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0E-B91D-4158-9CBE-06FD7A8A2239}"/>
              </c:ext>
            </c:extLst>
          </c:dPt>
          <c:val>
            <c:numRef>
              <c:f>'casc P64 EP6 BASE+SIL'!$M$93:$M$102</c:f>
              <c:numCache>
                <c:formatCode>General</c:formatCode>
                <c:ptCount val="10"/>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F-B91D-4158-9CBE-06FD7A8A2239}"/>
            </c:ext>
          </c:extLst>
        </c:ser>
        <c:ser>
          <c:idx val="3"/>
          <c:order val="4"/>
          <c:tx>
            <c:strRef>
              <c:f>'casc P64 EP6 BASE'!#REF!</c:f>
              <c:strCache>
                <c:ptCount val="1"/>
                <c:pt idx="0">
                  <c:v>#REF!</c:v>
                </c:pt>
              </c:strCache>
            </c:strRef>
          </c:tx>
          <c:invertIfNegative val="0"/>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11-B91D-4158-9CBE-06FD7A8A2239}"/>
              </c:ext>
            </c:extLst>
          </c:dPt>
          <c:dPt>
            <c:idx val="11"/>
            <c:invertIfNegative val="0"/>
            <c:bubble3D val="0"/>
            <c:spPr>
              <a:solidFill>
                <a:schemeClr val="bg1">
                  <a:lumMod val="85000"/>
                </a:schemeClr>
              </a:solidFill>
            </c:spPr>
            <c:extLst>
              <c:ext xmlns:c16="http://schemas.microsoft.com/office/drawing/2014/chart" uri="{C3380CC4-5D6E-409C-BE32-E72D297353CC}">
                <c16:uniqueId val="{00000013-B91D-4158-9CBE-06FD7A8A2239}"/>
              </c:ext>
            </c:extLst>
          </c:dPt>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14-B91D-4158-9CBE-06FD7A8A2239}"/>
            </c:ext>
          </c:extLst>
        </c:ser>
        <c:ser>
          <c:idx val="5"/>
          <c:order val="6"/>
          <c:tx>
            <c:strRef>
              <c:f>'casc P64 EP6 BASE+SIL'!$L$92</c:f>
              <c:strCache>
                <c:ptCount val="1"/>
              </c:strCache>
            </c:strRef>
          </c:tx>
          <c:spPr>
            <a:noFill/>
            <a:ln>
              <a:solidFill>
                <a:sysClr val="windowText" lastClr="000000"/>
              </a:solidFill>
            </a:ln>
          </c:spPr>
          <c:invertIfNegative val="0"/>
          <c:val>
            <c:numRef>
              <c:f>'casc P64 EP6 BASE+SIL'!$L$93:$L$102</c:f>
              <c:numCache>
                <c:formatCode>General</c:formatCode>
                <c:ptCount val="10"/>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15-B91D-4158-9CBE-06FD7A8A2239}"/>
            </c:ext>
          </c:extLst>
        </c:ser>
        <c:dLbls>
          <c:showLegendKey val="0"/>
          <c:showVal val="0"/>
          <c:showCatName val="0"/>
          <c:showSerName val="0"/>
          <c:showPercent val="0"/>
          <c:showBubbleSize val="0"/>
        </c:dLbls>
        <c:gapWidth val="150"/>
        <c:overlap val="100"/>
        <c:axId val="153910656"/>
        <c:axId val="154088576"/>
      </c:barChart>
      <c:scatterChart>
        <c:scatterStyle val="lineMarker"/>
        <c:varyColors val="0"/>
        <c:ser>
          <c:idx val="4"/>
          <c:order val="5"/>
          <c:tx>
            <c:strRef>
              <c:f>'casc P64 EP6 BASE'!#REF!</c:f>
              <c:strCache>
                <c:ptCount val="1"/>
                <c:pt idx="0">
                  <c:v>#REF!</c:v>
                </c:pt>
              </c:strCache>
            </c:strRef>
          </c:tx>
          <c:marker>
            <c:symbol val="none"/>
          </c:marker>
          <c:yVal>
            <c:numRef>
              <c:f>'casc P64 EP6 BASE'!#REF!</c:f>
              <c:numCache>
                <c:formatCode>General</c:formatCode>
                <c:ptCount val="1"/>
                <c:pt idx="0">
                  <c:v>1</c:v>
                </c:pt>
              </c:numCache>
            </c:numRef>
          </c:yVal>
          <c:smooth val="0"/>
          <c:extLst>
            <c:ext xmlns:c16="http://schemas.microsoft.com/office/drawing/2014/chart" uri="{C3380CC4-5D6E-409C-BE32-E72D297353CC}">
              <c16:uniqueId val="{00000016-B91D-4158-9CBE-06FD7A8A2239}"/>
            </c:ext>
          </c:extLst>
        </c:ser>
        <c:dLbls>
          <c:showLegendKey val="0"/>
          <c:showVal val="0"/>
          <c:showCatName val="0"/>
          <c:showSerName val="0"/>
          <c:showPercent val="0"/>
          <c:showBubbleSize val="0"/>
        </c:dLbls>
        <c:axId val="153910656"/>
        <c:axId val="154088576"/>
      </c:scatterChart>
      <c:catAx>
        <c:axId val="153910656"/>
        <c:scaling>
          <c:orientation val="minMax"/>
        </c:scaling>
        <c:delete val="0"/>
        <c:axPos val="b"/>
        <c:numFmt formatCode="General" sourceLinked="0"/>
        <c:majorTickMark val="out"/>
        <c:minorTickMark val="none"/>
        <c:tickLblPos val="nextTo"/>
        <c:txPr>
          <a:bodyPr/>
          <a:lstStyle/>
          <a:p>
            <a:pPr>
              <a:defRPr sz="1000" b="1"/>
            </a:pPr>
            <a:endParaRPr lang="fr-FR"/>
          </a:p>
        </c:txPr>
        <c:crossAx val="154088576"/>
        <c:crosses val="autoZero"/>
        <c:auto val="1"/>
        <c:lblAlgn val="ctr"/>
        <c:lblOffset val="100"/>
        <c:noMultiLvlLbl val="0"/>
      </c:catAx>
      <c:valAx>
        <c:axId val="154088576"/>
        <c:scaling>
          <c:orientation val="minMax"/>
          <c:max val="95"/>
          <c:min val="80"/>
        </c:scaling>
        <c:delete val="0"/>
        <c:axPos val="l"/>
        <c:numFmt formatCode="0" sourceLinked="0"/>
        <c:majorTickMark val="out"/>
        <c:minorTickMark val="none"/>
        <c:tickLblPos val="nextTo"/>
        <c:txPr>
          <a:bodyPr/>
          <a:lstStyle/>
          <a:p>
            <a:pPr>
              <a:defRPr sz="1600" b="1"/>
            </a:pPr>
            <a:endParaRPr lang="fr-FR"/>
          </a:p>
        </c:txPr>
        <c:crossAx val="153910656"/>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BASE+SIL'!$C$129</c:f>
              <c:strCache>
                <c:ptCount val="1"/>
                <c:pt idx="0">
                  <c:v>MàV</c:v>
                </c:pt>
              </c:strCache>
            </c:strRef>
          </c:tx>
          <c:invertIfNegative val="0"/>
          <c:dLbls>
            <c:dLbl>
              <c:idx val="0"/>
              <c:layout>
                <c:manualLayout>
                  <c:x val="3.5847418093694849E-4"/>
                  <c:y val="-0.36578176802375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A8-4B48-A8A2-0646D8E2BB8C}"/>
                </c:ext>
              </c:extLst>
            </c:dLbl>
            <c:dLbl>
              <c:idx val="2"/>
              <c:layout>
                <c:manualLayout>
                  <c:x val="1.3469069891737611E-3"/>
                  <c:y val="-0.39568302720155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A8-4B48-A8A2-0646D8E2BB8C}"/>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A8-4B48-A8A2-0646D8E2BB8C}"/>
                </c:ext>
              </c:extLst>
            </c:dLbl>
            <c:dLbl>
              <c:idx val="5"/>
              <c:layout>
                <c:manualLayout>
                  <c:x val="0"/>
                  <c:y val="-0.38182578503873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A8-4B48-A8A2-0646D8E2BB8C}"/>
                </c:ext>
              </c:extLst>
            </c:dLbl>
            <c:dLbl>
              <c:idx val="6"/>
              <c:layout>
                <c:manualLayout>
                  <c:x val="1.348925066044221E-3"/>
                  <c:y val="-0.35430786218558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A8-4B48-A8A2-0646D8E2BB8C}"/>
                </c:ext>
              </c:extLst>
            </c:dLbl>
            <c:dLbl>
              <c:idx val="7"/>
              <c:layout>
                <c:manualLayout>
                  <c:x val="-1.15210946388832E-3"/>
                  <c:y val="-0.3317363188204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A8-4B48-A8A2-0646D8E2BB8C}"/>
                </c:ext>
              </c:extLst>
            </c:dLbl>
            <c:dLbl>
              <c:idx val="8"/>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A8-4B48-A8A2-0646D8E2BB8C}"/>
                </c:ext>
              </c:extLst>
            </c:dLbl>
            <c:dLbl>
              <c:idx val="9"/>
              <c:layout>
                <c:manualLayout>
                  <c:x val="2.6957258406457535E-3"/>
                  <c:y val="-0.34254355556243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A8-4B48-A8A2-0646D8E2BB8C}"/>
                </c:ext>
              </c:extLst>
            </c:dLbl>
            <c:dLbl>
              <c:idx val="10"/>
              <c:layout>
                <c:manualLayout>
                  <c:x val="-3.3882448509299726E-5"/>
                  <c:y val="-0.21319221297697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AA8-4B48-A8A2-0646D8E2BB8C}"/>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AA8-4B48-A8A2-0646D8E2BB8C}"/>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A8-4B48-A8A2-0646D8E2BB8C}"/>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BASE+SIL'!$A$130:$A$140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BASE+SIL'!$C$130:$C$140</c:f>
              <c:numCache>
                <c:formatCode>General</c:formatCode>
                <c:ptCount val="11"/>
                <c:pt idx="0" formatCode="0">
                  <c:v>158.00650000000005</c:v>
                </c:pt>
                <c:pt idx="2" formatCode="0.0">
                  <c:v>0</c:v>
                </c:pt>
                <c:pt idx="5" formatCode="0.0">
                  <c:v>0</c:v>
                </c:pt>
                <c:pt idx="9" formatCode="0">
                  <c:v>0</c:v>
                </c:pt>
              </c:numCache>
            </c:numRef>
          </c:val>
          <c:extLst>
            <c:ext xmlns:c16="http://schemas.microsoft.com/office/drawing/2014/chart" uri="{C3380CC4-5D6E-409C-BE32-E72D297353CC}">
              <c16:uniqueId val="{0000000B-CAA8-4B48-A8A2-0646D8E2BB8C}"/>
            </c:ext>
          </c:extLst>
        </c:ser>
        <c:ser>
          <c:idx val="1"/>
          <c:order val="1"/>
          <c:tx>
            <c:strRef>
              <c:f>'casc P64 EP6 BASE+SIL'!$D$92</c:f>
              <c:strCache>
                <c:ptCount val="1"/>
              </c:strCache>
            </c:strRef>
          </c:tx>
          <c:spPr>
            <a:noFill/>
          </c:spPr>
          <c:invertIfNegative val="0"/>
          <c:cat>
            <c:strRef>
              <c:f>'casc P64 EP6 BASE+SIL'!$A$130:$A$140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BASE+SIL'!$D$130:$D$140</c:f>
              <c:numCache>
                <c:formatCode>0</c:formatCode>
                <c:ptCount val="11"/>
                <c:pt idx="1">
                  <c:v>0</c:v>
                </c:pt>
                <c:pt idx="3">
                  <c:v>0</c:v>
                </c:pt>
                <c:pt idx="4">
                  <c:v>0</c:v>
                </c:pt>
                <c:pt idx="6">
                  <c:v>0</c:v>
                </c:pt>
                <c:pt idx="7">
                  <c:v>0</c:v>
                </c:pt>
                <c:pt idx="8">
                  <c:v>0</c:v>
                </c:pt>
              </c:numCache>
            </c:numRef>
          </c:val>
          <c:extLst>
            <c:ext xmlns:c16="http://schemas.microsoft.com/office/drawing/2014/chart" uri="{C3380CC4-5D6E-409C-BE32-E72D297353CC}">
              <c16:uniqueId val="{0000000C-CAA8-4B48-A8A2-0646D8E2BB8C}"/>
            </c:ext>
          </c:extLst>
        </c:ser>
        <c:ser>
          <c:idx val="2"/>
          <c:order val="2"/>
          <c:tx>
            <c:strRef>
              <c:f>'casc P64 EP6 BASE+SIL'!$E$129</c:f>
              <c:strCache>
                <c:ptCount val="1"/>
                <c:pt idx="0">
                  <c:v>Dérive</c:v>
                </c:pt>
              </c:strCache>
            </c:strRef>
          </c:tx>
          <c:spPr>
            <a:solidFill>
              <a:schemeClr val="bg1">
                <a:lumMod val="65000"/>
              </a:schemeClr>
            </a:solidFill>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AA8-4B48-A8A2-0646D8E2BB8C}"/>
                </c:ext>
              </c:extLst>
            </c:dLbl>
            <c:dLbl>
              <c:idx val="3"/>
              <c:numFmt formatCode="\+0.0&quot;kg&quot;" sourceLinked="0"/>
              <c:spPr/>
              <c:txPr>
                <a:bodyPr/>
                <a:lstStyle/>
                <a:p>
                  <a:pPr>
                    <a:defRPr sz="1400" b="1"/>
                  </a:pPr>
                  <a:endParaRPr lang="fr-FR"/>
                </a:p>
              </c:txPr>
              <c:showLegendKey val="0"/>
              <c:showVal val="0"/>
              <c:showCatName val="0"/>
              <c:showSerName val="0"/>
              <c:showPercent val="0"/>
              <c:showBubbleSize val="0"/>
              <c:extLst>
                <c:ext xmlns:c16="http://schemas.microsoft.com/office/drawing/2014/chart" uri="{C3380CC4-5D6E-409C-BE32-E72D297353CC}">
                  <c16:uniqueId val="{0000000E-CAA8-4B48-A8A2-0646D8E2BB8C}"/>
                </c:ext>
              </c:extLst>
            </c:dLbl>
            <c:dLbl>
              <c:idx val="8"/>
              <c:layout>
                <c:manualLayout>
                  <c:x val="-9.8920028777295926E-17"/>
                  <c:y val="3.1818815419894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AA8-4B48-A8A2-0646D8E2BB8C}"/>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AA8-4B48-A8A2-0646D8E2BB8C}"/>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BASE+SIL'!$A$130:$A$140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BASE+SIL'!$E$130:$E$140</c:f>
              <c:numCache>
                <c:formatCode>0</c:formatCode>
                <c:ptCount val="11"/>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1-CAA8-4B48-A8A2-0646D8E2BB8C}"/>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3-CAA8-4B48-A8A2-0646D8E2BB8C}"/>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5-CAA8-4B48-A8A2-0646D8E2BB8C}"/>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7-CAA8-4B48-A8A2-0646D8E2BB8C}"/>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9-CAA8-4B48-A8A2-0646D8E2BB8C}"/>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B-CAA8-4B48-A8A2-0646D8E2BB8C}"/>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D-CAA8-4B48-A8A2-0646D8E2BB8C}"/>
              </c:ext>
            </c:extLst>
          </c:dPt>
          <c:cat>
            <c:strRef>
              <c:f>'casc P64 EP6 BASE+SIL'!$A$130:$A$140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BASE+SIL'!$M$93:$M$102</c:f>
              <c:numCache>
                <c:formatCode>General</c:formatCode>
                <c:ptCount val="10"/>
              </c:numCache>
            </c:numRef>
          </c:val>
          <c:extLst>
            <c:ext xmlns:c16="http://schemas.microsoft.com/office/drawing/2014/chart" uri="{C3380CC4-5D6E-409C-BE32-E72D297353CC}">
              <c16:uniqueId val="{0000001E-CAA8-4B48-A8A2-0646D8E2BB8C}"/>
            </c:ext>
          </c:extLst>
        </c:ser>
        <c:ser>
          <c:idx val="3"/>
          <c:order val="4"/>
          <c:tx>
            <c:strRef>
              <c:f>'casc P64 EP6 BASE+SIL'!$F$129</c:f>
              <c:strCache>
                <c:ptCount val="1"/>
                <c:pt idx="0">
                  <c:v>Gain</c:v>
                </c:pt>
              </c:strCache>
            </c:strRef>
          </c:tx>
          <c:spPr>
            <a:solidFill>
              <a:srgbClr val="92D050"/>
            </a:solidFill>
          </c:spPr>
          <c:invertIfNegative val="0"/>
          <c:dPt>
            <c:idx val="1"/>
            <c:invertIfNegative val="0"/>
            <c:bubble3D val="0"/>
            <c:extLst>
              <c:ext xmlns:c16="http://schemas.microsoft.com/office/drawing/2014/chart" uri="{C3380CC4-5D6E-409C-BE32-E72D297353CC}">
                <c16:uniqueId val="{0000001F-CAA8-4B48-A8A2-0646D8E2BB8C}"/>
              </c:ext>
            </c:extLst>
          </c:dPt>
          <c:dPt>
            <c:idx val="2"/>
            <c:invertIfNegative val="0"/>
            <c:bubble3D val="0"/>
            <c:extLst>
              <c:ext xmlns:c16="http://schemas.microsoft.com/office/drawing/2014/chart" uri="{C3380CC4-5D6E-409C-BE32-E72D297353CC}">
                <c16:uniqueId val="{00000020-CAA8-4B48-A8A2-0646D8E2BB8C}"/>
              </c:ext>
            </c:extLst>
          </c:dPt>
          <c:dPt>
            <c:idx val="3"/>
            <c:invertIfNegative val="0"/>
            <c:bubble3D val="0"/>
            <c:extLst>
              <c:ext xmlns:c16="http://schemas.microsoft.com/office/drawing/2014/chart" uri="{C3380CC4-5D6E-409C-BE32-E72D297353CC}">
                <c16:uniqueId val="{00000021-CAA8-4B48-A8A2-0646D8E2BB8C}"/>
              </c:ext>
            </c:extLst>
          </c:dPt>
          <c:dPt>
            <c:idx val="5"/>
            <c:invertIfNegative val="0"/>
            <c:bubble3D val="0"/>
            <c:extLst>
              <c:ext xmlns:c16="http://schemas.microsoft.com/office/drawing/2014/chart" uri="{C3380CC4-5D6E-409C-BE32-E72D297353CC}">
                <c16:uniqueId val="{00000022-CAA8-4B48-A8A2-0646D8E2BB8C}"/>
              </c:ext>
            </c:extLst>
          </c:dPt>
          <c:dPt>
            <c:idx val="6"/>
            <c:invertIfNegative val="0"/>
            <c:bubble3D val="0"/>
            <c:spPr>
              <a:solidFill>
                <a:srgbClr val="FFC000"/>
              </a:solidFill>
            </c:spPr>
            <c:extLst>
              <c:ext xmlns:c16="http://schemas.microsoft.com/office/drawing/2014/chart" uri="{C3380CC4-5D6E-409C-BE32-E72D297353CC}">
                <c16:uniqueId val="{00000024-CAA8-4B48-A8A2-0646D8E2BB8C}"/>
              </c:ext>
            </c:extLst>
          </c:dPt>
          <c:dPt>
            <c:idx val="7"/>
            <c:invertIfNegative val="0"/>
            <c:bubble3D val="0"/>
            <c:spPr>
              <a:solidFill>
                <a:srgbClr val="FF0000"/>
              </a:solidFill>
            </c:spPr>
            <c:extLst>
              <c:ext xmlns:c16="http://schemas.microsoft.com/office/drawing/2014/chart" uri="{C3380CC4-5D6E-409C-BE32-E72D297353CC}">
                <c16:uniqueId val="{00000026-CAA8-4B48-A8A2-0646D8E2BB8C}"/>
              </c:ext>
            </c:extLst>
          </c:dPt>
          <c:dPt>
            <c:idx val="8"/>
            <c:invertIfNegative val="0"/>
            <c:bubble3D val="0"/>
            <c:spPr>
              <a:solidFill>
                <a:srgbClr val="FF0000"/>
              </a:solidFill>
            </c:spPr>
            <c:extLst>
              <c:ext xmlns:c16="http://schemas.microsoft.com/office/drawing/2014/chart" uri="{C3380CC4-5D6E-409C-BE32-E72D297353CC}">
                <c16:uniqueId val="{00000028-CAA8-4B48-A8A2-0646D8E2BB8C}"/>
              </c:ext>
            </c:extLst>
          </c:dPt>
          <c:dPt>
            <c:idx val="9"/>
            <c:invertIfNegative val="0"/>
            <c:bubble3D val="0"/>
            <c:spPr>
              <a:solidFill>
                <a:srgbClr val="FF0000"/>
              </a:solidFill>
            </c:spPr>
            <c:extLst>
              <c:ext xmlns:c16="http://schemas.microsoft.com/office/drawing/2014/chart" uri="{C3380CC4-5D6E-409C-BE32-E72D297353CC}">
                <c16:uniqueId val="{0000002A-CAA8-4B48-A8A2-0646D8E2BB8C}"/>
              </c:ext>
            </c:extLst>
          </c:dPt>
          <c:dPt>
            <c:idx val="10"/>
            <c:invertIfNegative val="0"/>
            <c:bubble3D val="0"/>
            <c:spPr>
              <a:solidFill>
                <a:schemeClr val="accent2">
                  <a:lumMod val="40000"/>
                  <a:lumOff val="60000"/>
                </a:schemeClr>
              </a:solidFill>
            </c:spPr>
            <c:extLst>
              <c:ext xmlns:c16="http://schemas.microsoft.com/office/drawing/2014/chart" uri="{C3380CC4-5D6E-409C-BE32-E72D297353CC}">
                <c16:uniqueId val="{0000002C-CAA8-4B48-A8A2-0646D8E2BB8C}"/>
              </c:ext>
            </c:extLst>
          </c:dPt>
          <c:dPt>
            <c:idx val="11"/>
            <c:invertIfNegative val="0"/>
            <c:bubble3D val="0"/>
            <c:spPr>
              <a:solidFill>
                <a:schemeClr val="bg1">
                  <a:lumMod val="85000"/>
                </a:schemeClr>
              </a:solidFill>
            </c:spPr>
            <c:extLst>
              <c:ext xmlns:c16="http://schemas.microsoft.com/office/drawing/2014/chart" uri="{C3380CC4-5D6E-409C-BE32-E72D297353CC}">
                <c16:uniqueId val="{0000002E-CAA8-4B48-A8A2-0646D8E2BB8C}"/>
              </c:ext>
            </c:extLst>
          </c:dPt>
          <c:dLbls>
            <c:dLbl>
              <c:idx val="1"/>
              <c:delete val="1"/>
              <c:extLst>
                <c:ext xmlns:c15="http://schemas.microsoft.com/office/drawing/2012/chart" uri="{CE6537A1-D6FC-4f65-9D91-7224C49458BB}"/>
                <c:ext xmlns:c16="http://schemas.microsoft.com/office/drawing/2014/chart" uri="{C3380CC4-5D6E-409C-BE32-E72D297353CC}">
                  <c16:uniqueId val="{0000001F-CAA8-4B48-A8A2-0646D8E2BB8C}"/>
                </c:ext>
              </c:extLst>
            </c:dLbl>
            <c:dLbl>
              <c:idx val="2"/>
              <c:delete val="1"/>
              <c:extLst>
                <c:ext xmlns:c15="http://schemas.microsoft.com/office/drawing/2012/chart" uri="{CE6537A1-D6FC-4f65-9D91-7224C49458BB}"/>
                <c:ext xmlns:c16="http://schemas.microsoft.com/office/drawing/2014/chart" uri="{C3380CC4-5D6E-409C-BE32-E72D297353CC}">
                  <c16:uniqueId val="{00000020-CAA8-4B48-A8A2-0646D8E2BB8C}"/>
                </c:ext>
              </c:extLst>
            </c:dLbl>
            <c:dLbl>
              <c:idx val="5"/>
              <c:delete val="1"/>
              <c:extLst>
                <c:ext xmlns:c15="http://schemas.microsoft.com/office/drawing/2012/chart" uri="{CE6537A1-D6FC-4f65-9D91-7224C49458BB}"/>
                <c:ext xmlns:c16="http://schemas.microsoft.com/office/drawing/2014/chart" uri="{C3380CC4-5D6E-409C-BE32-E72D297353CC}">
                  <c16:uniqueId val="{00000022-CAA8-4B48-A8A2-0646D8E2BB8C}"/>
                </c:ext>
              </c:extLst>
            </c:dLbl>
            <c:dLbl>
              <c:idx val="7"/>
              <c:layout>
                <c:manualLayout>
                  <c:x val="-9.5593114916519604E-7"/>
                  <c:y val="-3.9720677720269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CAA8-4B48-A8A2-0646D8E2BB8C}"/>
                </c:ext>
              </c:extLst>
            </c:dLbl>
            <c:dLbl>
              <c:idx val="8"/>
              <c:delete val="1"/>
              <c:extLst>
                <c:ext xmlns:c15="http://schemas.microsoft.com/office/drawing/2012/chart" uri="{CE6537A1-D6FC-4f65-9D91-7224C49458BB}"/>
                <c:ext xmlns:c16="http://schemas.microsoft.com/office/drawing/2014/chart" uri="{C3380CC4-5D6E-409C-BE32-E72D297353CC}">
                  <c16:uniqueId val="{00000028-CAA8-4B48-A8A2-0646D8E2BB8C}"/>
                </c:ext>
              </c:extLst>
            </c:dLbl>
            <c:dLbl>
              <c:idx val="9"/>
              <c:delete val="1"/>
              <c:extLst>
                <c:ext xmlns:c15="http://schemas.microsoft.com/office/drawing/2012/chart" uri="{CE6537A1-D6FC-4f65-9D91-7224C49458BB}"/>
                <c:ext xmlns:c16="http://schemas.microsoft.com/office/drawing/2014/chart" uri="{C3380CC4-5D6E-409C-BE32-E72D297353CC}">
                  <c16:uniqueId val="{0000002A-CAA8-4B48-A8A2-0646D8E2BB8C}"/>
                </c:ext>
              </c:extLst>
            </c:dLbl>
            <c:dLbl>
              <c:idx val="10"/>
              <c:delete val="1"/>
              <c:extLst>
                <c:ext xmlns:c15="http://schemas.microsoft.com/office/drawing/2012/chart" uri="{CE6537A1-D6FC-4f65-9D91-7224C49458BB}"/>
                <c:ext xmlns:c16="http://schemas.microsoft.com/office/drawing/2014/chart" uri="{C3380CC4-5D6E-409C-BE32-E72D297353CC}">
                  <c16:uniqueId val="{0000002C-CAA8-4B48-A8A2-0646D8E2BB8C}"/>
                </c:ext>
              </c:extLst>
            </c:dLbl>
            <c:dLbl>
              <c:idx val="12"/>
              <c:delete val="1"/>
              <c:extLst>
                <c:ext xmlns:c15="http://schemas.microsoft.com/office/drawing/2012/chart" uri="{CE6537A1-D6FC-4f65-9D91-7224C49458BB}"/>
                <c:ext xmlns:c16="http://schemas.microsoft.com/office/drawing/2014/chart" uri="{C3380CC4-5D6E-409C-BE32-E72D297353CC}">
                  <c16:uniqueId val="{0000002F-CAA8-4B48-A8A2-0646D8E2BB8C}"/>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BASE+SIL'!$A$130:$A$140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BASE+SIL'!$F$130:$F$140</c:f>
              <c:numCache>
                <c:formatCode>0</c:formatCode>
                <c:ptCount val="11"/>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30-CAA8-4B48-A8A2-0646D8E2BB8C}"/>
            </c:ext>
          </c:extLst>
        </c:ser>
        <c:ser>
          <c:idx val="5"/>
          <c:order val="6"/>
          <c:tx>
            <c:strRef>
              <c:f>'casc P64 EP6 BASE+SIL'!$L$92</c:f>
              <c:strCache>
                <c:ptCount val="1"/>
              </c:strCache>
            </c:strRef>
          </c:tx>
          <c:spPr>
            <a:noFill/>
            <a:ln>
              <a:solidFill>
                <a:sysClr val="windowText" lastClr="000000"/>
              </a:solidFill>
            </a:ln>
          </c:spPr>
          <c:invertIfNegative val="0"/>
          <c:cat>
            <c:strRef>
              <c:f>'casc P64 EP6 BASE+SIL'!$A$130:$A$140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BASE+SIL'!$L$93:$L$102</c:f>
              <c:numCache>
                <c:formatCode>General</c:formatCode>
                <c:ptCount val="10"/>
              </c:numCache>
            </c:numRef>
          </c:val>
          <c:extLst>
            <c:ext xmlns:c16="http://schemas.microsoft.com/office/drawing/2014/chart" uri="{C3380CC4-5D6E-409C-BE32-E72D297353CC}">
              <c16:uniqueId val="{00000031-CAA8-4B48-A8A2-0646D8E2BB8C}"/>
            </c:ext>
          </c:extLst>
        </c:ser>
        <c:dLbls>
          <c:showLegendKey val="0"/>
          <c:showVal val="0"/>
          <c:showCatName val="0"/>
          <c:showSerName val="0"/>
          <c:showPercent val="0"/>
          <c:showBubbleSize val="0"/>
        </c:dLbls>
        <c:gapWidth val="150"/>
        <c:overlap val="100"/>
        <c:axId val="152332544"/>
        <c:axId val="152363008"/>
      </c:barChart>
      <c:scatterChart>
        <c:scatterStyle val="lineMarker"/>
        <c:varyColors val="0"/>
        <c:ser>
          <c:idx val="4"/>
          <c:order val="5"/>
          <c:tx>
            <c:strRef>
              <c:f>'casc P64 EP6 BASE+SIL'!$I$129</c:f>
              <c:strCache>
                <c:ptCount val="1"/>
                <c:pt idx="0">
                  <c:v>Objectif 160 kg</c:v>
                </c:pt>
              </c:strCache>
            </c:strRef>
          </c:tx>
          <c:spPr>
            <a:ln>
              <a:solidFill>
                <a:sysClr val="windowText" lastClr="000000"/>
              </a:solidFill>
              <a:prstDash val="dash"/>
            </a:ln>
          </c:spPr>
          <c:marker>
            <c:symbol val="none"/>
          </c:marker>
          <c:dLbls>
            <c:dLbl>
              <c:idx val="6"/>
              <c:layout>
                <c:manualLayout>
                  <c:x val="-8.498227916078592E-2"/>
                  <c:y val="4.9174532921655106E-2"/>
                </c:manualLayout>
              </c:layout>
              <c:spPr/>
              <c:txPr>
                <a:bodyPr/>
                <a:lstStyle/>
                <a:p>
                  <a:pPr>
                    <a:defRPr sz="14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2-CAA8-4B48-A8A2-0646D8E2BB8C}"/>
                </c:ext>
              </c:extLst>
            </c:dLbl>
            <c:spPr>
              <a:noFill/>
              <a:ln>
                <a:noFill/>
              </a:ln>
              <a:effectLst/>
            </c:spPr>
            <c:txPr>
              <a:bodyPr wrap="square" lIns="38100" tIns="19050" rIns="38100" bIns="19050" anchor="ctr">
                <a:spAutoFit/>
              </a:bodyPr>
              <a:lstStyle/>
              <a:p>
                <a:pPr>
                  <a:defRPr>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BASE+SIL'!$I$130:$I$140</c:f>
              <c:numCache>
                <c:formatCode>0</c:formatCode>
                <c:ptCount val="11"/>
                <c:pt idx="0">
                  <c:v>159.50650000000005</c:v>
                </c:pt>
                <c:pt idx="1">
                  <c:v>159.50650000000005</c:v>
                </c:pt>
                <c:pt idx="2">
                  <c:v>159.50650000000005</c:v>
                </c:pt>
                <c:pt idx="3">
                  <c:v>159.50650000000005</c:v>
                </c:pt>
                <c:pt idx="4">
                  <c:v>159.50650000000005</c:v>
                </c:pt>
                <c:pt idx="5">
                  <c:v>159.50650000000005</c:v>
                </c:pt>
                <c:pt idx="6">
                  <c:v>159.50650000000005</c:v>
                </c:pt>
                <c:pt idx="7">
                  <c:v>159.50650000000005</c:v>
                </c:pt>
                <c:pt idx="8">
                  <c:v>159.50650000000005</c:v>
                </c:pt>
                <c:pt idx="9">
                  <c:v>159.50650000000005</c:v>
                </c:pt>
                <c:pt idx="10">
                  <c:v>159.50650000000005</c:v>
                </c:pt>
              </c:numCache>
            </c:numRef>
          </c:yVal>
          <c:smooth val="0"/>
          <c:extLst>
            <c:ext xmlns:c16="http://schemas.microsoft.com/office/drawing/2014/chart" uri="{C3380CC4-5D6E-409C-BE32-E72D297353CC}">
              <c16:uniqueId val="{00000033-CAA8-4B48-A8A2-0646D8E2BB8C}"/>
            </c:ext>
          </c:extLst>
        </c:ser>
        <c:dLbls>
          <c:showLegendKey val="0"/>
          <c:showVal val="0"/>
          <c:showCatName val="0"/>
          <c:showSerName val="0"/>
          <c:showPercent val="0"/>
          <c:showBubbleSize val="0"/>
        </c:dLbls>
        <c:axId val="152332544"/>
        <c:axId val="152363008"/>
      </c:scatterChart>
      <c:catAx>
        <c:axId val="152332544"/>
        <c:scaling>
          <c:orientation val="minMax"/>
        </c:scaling>
        <c:delete val="0"/>
        <c:axPos val="b"/>
        <c:numFmt formatCode="General" sourceLinked="0"/>
        <c:majorTickMark val="out"/>
        <c:minorTickMark val="none"/>
        <c:tickLblPos val="nextTo"/>
        <c:txPr>
          <a:bodyPr/>
          <a:lstStyle/>
          <a:p>
            <a:pPr>
              <a:defRPr sz="1000" b="1"/>
            </a:pPr>
            <a:endParaRPr lang="fr-FR"/>
          </a:p>
        </c:txPr>
        <c:crossAx val="152363008"/>
        <c:crosses val="autoZero"/>
        <c:auto val="1"/>
        <c:lblAlgn val="ctr"/>
        <c:lblOffset val="100"/>
        <c:noMultiLvlLbl val="0"/>
      </c:catAx>
      <c:valAx>
        <c:axId val="152363008"/>
        <c:scaling>
          <c:orientation val="minMax"/>
          <c:min val="130"/>
        </c:scaling>
        <c:delete val="0"/>
        <c:axPos val="l"/>
        <c:numFmt formatCode="0" sourceLinked="0"/>
        <c:majorTickMark val="out"/>
        <c:minorTickMark val="none"/>
        <c:tickLblPos val="nextTo"/>
        <c:txPr>
          <a:bodyPr/>
          <a:lstStyle/>
          <a:p>
            <a:pPr>
              <a:defRPr sz="1600" b="1"/>
            </a:pPr>
            <a:endParaRPr lang="fr-FR"/>
          </a:p>
        </c:txPr>
        <c:crossAx val="152332544"/>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11510000649792E-2"/>
          <c:y val="3.7534814585562307E-2"/>
          <c:w val="0.9272988385142471"/>
          <c:h val="0.89208564326364848"/>
        </c:manualLayout>
      </c:layout>
      <c:barChart>
        <c:barDir val="col"/>
        <c:grouping val="stacked"/>
        <c:varyColors val="0"/>
        <c:ser>
          <c:idx val="0"/>
          <c:order val="0"/>
          <c:tx>
            <c:strRef>
              <c:f>'casc P64 EP6 BASE+SIL'!$C$4</c:f>
              <c:strCache>
                <c:ptCount val="1"/>
                <c:pt idx="0">
                  <c:v>MàV</c:v>
                </c:pt>
              </c:strCache>
            </c:strRef>
          </c:tx>
          <c:invertIfNegative val="0"/>
          <c:dLbls>
            <c:dLbl>
              <c:idx val="0"/>
              <c:layout>
                <c:manualLayout>
                  <c:x val="0"/>
                  <c:y val="-0.242468029113245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257-408F-995A-EB15D4D87427}"/>
                </c:ext>
              </c:extLst>
            </c:dLbl>
            <c:dLbl>
              <c:idx val="2"/>
              <c:layout>
                <c:manualLayout>
                  <c:x val="-4.9685159323980171E-17"/>
                  <c:y val="-0.37646351888635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257-408F-995A-EB15D4D87427}"/>
                </c:ext>
              </c:extLst>
            </c:dLbl>
            <c:dLbl>
              <c:idx val="9"/>
              <c:layout>
                <c:manualLayout>
                  <c:x val="-2.7101309067916629E-3"/>
                  <c:y val="-0.16589917781432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257-408F-995A-EB15D4D8742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BASE+SIL'!$A$5:$A$14</c:f>
              <c:strCache>
                <c:ptCount val="10"/>
                <c:pt idx="0">
                  <c:v>BASE+SIL :P84 EP6FADTXd ATN8</c:v>
                </c:pt>
                <c:pt idx="1">
                  <c:v>pris en REF PF</c:v>
                </c:pt>
                <c:pt idx="2">
                  <c:v>BASE+SIL : P64€ EP6 ATN8 (Réf)</c:v>
                </c:pt>
                <c:pt idx="3">
                  <c:v>P1</c:v>
                </c:pt>
                <c:pt idx="4">
                  <c:v>P2</c:v>
                </c:pt>
                <c:pt idx="5">
                  <c:v>RISQUES</c:v>
                </c:pt>
                <c:pt idx="6">
                  <c:v>P64€ EP6 ATN8 (Potentiel)</c:v>
                </c:pt>
                <c:pt idx="7">
                  <c:v>P3</c:v>
                </c:pt>
                <c:pt idx="8">
                  <c:v>RISQUES_P3</c:v>
                </c:pt>
                <c:pt idx="9">
                  <c:v>P64€ EP6 ATN8 (Potentiel Max)</c:v>
                </c:pt>
              </c:strCache>
            </c:strRef>
          </c:cat>
          <c:val>
            <c:numRef>
              <c:f>'casc P64 EP6 BASE+SIL'!$C$5:$C$14</c:f>
              <c:numCache>
                <c:formatCode>General</c:formatCode>
                <c:ptCount val="10"/>
                <c:pt idx="0" formatCode="0">
                  <c:v>0</c:v>
                </c:pt>
                <c:pt idx="2" formatCode="0">
                  <c:v>0</c:v>
                </c:pt>
                <c:pt idx="6" formatCode="0">
                  <c:v>0</c:v>
                </c:pt>
                <c:pt idx="9" formatCode="0">
                  <c:v>0</c:v>
                </c:pt>
              </c:numCache>
            </c:numRef>
          </c:val>
          <c:extLst>
            <c:ext xmlns:c16="http://schemas.microsoft.com/office/drawing/2014/chart" uri="{C3380CC4-5D6E-409C-BE32-E72D297353CC}">
              <c16:uniqueId val="{00000000-8257-408F-995A-EB15D4D87427}"/>
            </c:ext>
          </c:extLst>
        </c:ser>
        <c:ser>
          <c:idx val="1"/>
          <c:order val="1"/>
          <c:tx>
            <c:strRef>
              <c:f>'casc P64 EP6 BASE+SIL'!$D$4</c:f>
              <c:strCache>
                <c:ptCount val="1"/>
              </c:strCache>
            </c:strRef>
          </c:tx>
          <c:spPr>
            <a:noFill/>
          </c:spPr>
          <c:invertIfNegative val="0"/>
          <c:cat>
            <c:strRef>
              <c:f>'casc P64 EP6 BASE+SIL'!$A$5:$A$14</c:f>
              <c:strCache>
                <c:ptCount val="10"/>
                <c:pt idx="0">
                  <c:v>BASE+SIL :P84 EP6FADTXd ATN8</c:v>
                </c:pt>
                <c:pt idx="1">
                  <c:v>pris en REF PF</c:v>
                </c:pt>
                <c:pt idx="2">
                  <c:v>BASE+SIL : P64€ EP6 ATN8 (Réf)</c:v>
                </c:pt>
                <c:pt idx="3">
                  <c:v>P1</c:v>
                </c:pt>
                <c:pt idx="4">
                  <c:v>P2</c:v>
                </c:pt>
                <c:pt idx="5">
                  <c:v>RISQUES</c:v>
                </c:pt>
                <c:pt idx="6">
                  <c:v>P64€ EP6 ATN8 (Potentiel)</c:v>
                </c:pt>
                <c:pt idx="7">
                  <c:v>P3</c:v>
                </c:pt>
                <c:pt idx="8">
                  <c:v>RISQUES_P3</c:v>
                </c:pt>
                <c:pt idx="9">
                  <c:v>P64€ EP6 ATN8 (Potentiel Max)</c:v>
                </c:pt>
              </c:strCache>
            </c:strRef>
          </c:cat>
          <c:val>
            <c:numRef>
              <c:f>'casc P64 EP6 BASE+SIL'!$D$5:$D$14</c:f>
              <c:numCache>
                <c:formatCode>0</c:formatCode>
                <c:ptCount val="10"/>
                <c:pt idx="1">
                  <c:v>0</c:v>
                </c:pt>
                <c:pt idx="3">
                  <c:v>0</c:v>
                </c:pt>
                <c:pt idx="4">
                  <c:v>0</c:v>
                </c:pt>
                <c:pt idx="5">
                  <c:v>0</c:v>
                </c:pt>
                <c:pt idx="7">
                  <c:v>0</c:v>
                </c:pt>
                <c:pt idx="8">
                  <c:v>0</c:v>
                </c:pt>
              </c:numCache>
            </c:numRef>
          </c:val>
          <c:extLst>
            <c:ext xmlns:c16="http://schemas.microsoft.com/office/drawing/2014/chart" uri="{C3380CC4-5D6E-409C-BE32-E72D297353CC}">
              <c16:uniqueId val="{00000001-8257-408F-995A-EB15D4D87427}"/>
            </c:ext>
          </c:extLst>
        </c:ser>
        <c:ser>
          <c:idx val="2"/>
          <c:order val="2"/>
          <c:tx>
            <c:strRef>
              <c:f>'casc P64 EP6 BASE+SIL'!$E$4</c:f>
              <c:strCache>
                <c:ptCount val="1"/>
                <c:pt idx="0">
                  <c:v>Dérive</c:v>
                </c:pt>
              </c:strCache>
            </c:strRef>
          </c:tx>
          <c:spPr>
            <a:solidFill>
              <a:srgbClr val="FF0000"/>
            </a:solidFill>
          </c:spPr>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03-8257-408F-995A-EB15D4D87427}"/>
              </c:ext>
            </c:extLst>
          </c:dPt>
          <c:dLbls>
            <c:dLbl>
              <c:idx val="1"/>
              <c:layout>
                <c:manualLayout>
                  <c:x val="0"/>
                  <c:y val="-0.146756964989596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57-408F-995A-EB15D4D87427}"/>
                </c:ext>
              </c:extLst>
            </c:dLbl>
            <c:dLbl>
              <c:idx val="3"/>
              <c:delete val="1"/>
              <c:extLst>
                <c:ext xmlns:c15="http://schemas.microsoft.com/office/drawing/2012/chart" uri="{CE6537A1-D6FC-4f65-9D91-7224C49458BB}"/>
                <c:ext xmlns:c16="http://schemas.microsoft.com/office/drawing/2014/chart" uri="{C3380CC4-5D6E-409C-BE32-E72D297353CC}">
                  <c16:uniqueId val="{00000006-8257-408F-995A-EB15D4D87427}"/>
                </c:ext>
              </c:extLst>
            </c:dLbl>
            <c:dLbl>
              <c:idx val="4"/>
              <c:delete val="1"/>
              <c:extLst>
                <c:ext xmlns:c15="http://schemas.microsoft.com/office/drawing/2012/chart" uri="{CE6537A1-D6FC-4f65-9D91-7224C49458BB}"/>
                <c:ext xmlns:c16="http://schemas.microsoft.com/office/drawing/2014/chart" uri="{C3380CC4-5D6E-409C-BE32-E72D297353CC}">
                  <c16:uniqueId val="{00000005-8257-408F-995A-EB15D4D87427}"/>
                </c:ext>
              </c:extLst>
            </c:dLbl>
            <c:dLbl>
              <c:idx val="7"/>
              <c:delete val="1"/>
              <c:extLst>
                <c:ext xmlns:c15="http://schemas.microsoft.com/office/drawing/2012/chart" uri="{CE6537A1-D6FC-4f65-9D91-7224C49458BB}"/>
                <c:ext xmlns:c16="http://schemas.microsoft.com/office/drawing/2014/chart" uri="{C3380CC4-5D6E-409C-BE32-E72D297353CC}">
                  <c16:uniqueId val="{00000008-8257-408F-995A-EB15D4D87427}"/>
                </c:ext>
              </c:extLst>
            </c:dLbl>
            <c:dLbl>
              <c:idx val="8"/>
              <c:layout>
                <c:manualLayout>
                  <c:x val="-9.9370318647960341E-17"/>
                  <c:y val="-6.69977448865548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22-486F-AB83-8A16AA5C3FAB}"/>
                </c:ext>
              </c:extLst>
            </c:dLbl>
            <c:spPr>
              <a:noFill/>
              <a:ln>
                <a:noFill/>
              </a:ln>
              <a:effectLst/>
            </c:spPr>
            <c:txPr>
              <a:bodyPr wrap="square" lIns="38100" tIns="19050" rIns="38100" bIns="19050" anchor="ctr">
                <a:spAutoFit/>
              </a:bodyPr>
              <a:lstStyle/>
              <a:p>
                <a:pPr>
                  <a:defRPr sz="12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BASE+SIL'!$A$5:$A$14</c:f>
              <c:strCache>
                <c:ptCount val="10"/>
                <c:pt idx="0">
                  <c:v>BASE+SIL :P84 EP6FADTXd ATN8</c:v>
                </c:pt>
                <c:pt idx="1">
                  <c:v>pris en REF PF</c:v>
                </c:pt>
                <c:pt idx="2">
                  <c:v>BASE+SIL : P64€ EP6 ATN8 (Réf)</c:v>
                </c:pt>
                <c:pt idx="3">
                  <c:v>P1</c:v>
                </c:pt>
                <c:pt idx="4">
                  <c:v>P2</c:v>
                </c:pt>
                <c:pt idx="5">
                  <c:v>RISQUES</c:v>
                </c:pt>
                <c:pt idx="6">
                  <c:v>P64€ EP6 ATN8 (Potentiel)</c:v>
                </c:pt>
                <c:pt idx="7">
                  <c:v>P3</c:v>
                </c:pt>
                <c:pt idx="8">
                  <c:v>RISQUES_P3</c:v>
                </c:pt>
                <c:pt idx="9">
                  <c:v>P64€ EP6 ATN8 (Potentiel Max)</c:v>
                </c:pt>
              </c:strCache>
            </c:strRef>
          </c:cat>
          <c:val>
            <c:numRef>
              <c:f>'casc P64 EP6 BASE+SIL'!$E$5:$E$15</c:f>
              <c:numCache>
                <c:formatCode>0</c:formatCode>
                <c:ptCount val="11"/>
                <c:pt idx="1">
                  <c:v>0</c:v>
                </c:pt>
                <c:pt idx="3">
                  <c:v>0</c:v>
                </c:pt>
                <c:pt idx="4">
                  <c:v>0</c:v>
                </c:pt>
                <c:pt idx="5">
                  <c:v>0</c:v>
                </c:pt>
                <c:pt idx="7">
                  <c:v>0</c:v>
                </c:pt>
                <c:pt idx="8">
                  <c:v>0</c:v>
                </c:pt>
                <c:pt idx="10">
                  <c:v>0</c:v>
                </c:pt>
              </c:numCache>
            </c:numRef>
          </c:val>
          <c:extLst>
            <c:ext xmlns:c16="http://schemas.microsoft.com/office/drawing/2014/chart" uri="{C3380CC4-5D6E-409C-BE32-E72D297353CC}">
              <c16:uniqueId val="{00000009-8257-408F-995A-EB15D4D87427}"/>
            </c:ext>
          </c:extLst>
        </c:ser>
        <c:ser>
          <c:idx val="3"/>
          <c:order val="3"/>
          <c:tx>
            <c:strRef>
              <c:f>'casc P64 EP6 BASE+SIL'!$F$4</c:f>
              <c:strCache>
                <c:ptCount val="1"/>
                <c:pt idx="0">
                  <c:v>Gain</c:v>
                </c:pt>
              </c:strCache>
            </c:strRef>
          </c:tx>
          <c:spPr>
            <a:solidFill>
              <a:srgbClr val="92D050"/>
            </a:solidFill>
          </c:spPr>
          <c:invertIfNegative val="0"/>
          <c:dPt>
            <c:idx val="9"/>
            <c:invertIfNegative val="0"/>
            <c:bubble3D val="0"/>
            <c:extLst>
              <c:ext xmlns:c16="http://schemas.microsoft.com/office/drawing/2014/chart" uri="{C3380CC4-5D6E-409C-BE32-E72D297353CC}">
                <c16:uniqueId val="{00000002-ECCA-4985-AB2F-483FE0DBBE61}"/>
              </c:ext>
            </c:extLst>
          </c:dPt>
          <c:dLbls>
            <c:dLbl>
              <c:idx val="3"/>
              <c:layout>
                <c:manualLayout>
                  <c:x val="0"/>
                  <c:y val="-9.25206953195280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257-408F-995A-EB15D4D87427}"/>
                </c:ext>
              </c:extLst>
            </c:dLbl>
            <c:dLbl>
              <c:idx val="4"/>
              <c:layout>
                <c:manualLayout>
                  <c:x val="0"/>
                  <c:y val="-0.11166290814425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CA-4985-AB2F-483FE0DBBE61}"/>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257-408F-995A-EB15D4D8742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BASE+SIL'!$A$5:$A$14</c:f>
              <c:strCache>
                <c:ptCount val="10"/>
                <c:pt idx="0">
                  <c:v>BASE+SIL :P84 EP6FADTXd ATN8</c:v>
                </c:pt>
                <c:pt idx="1">
                  <c:v>pris en REF PF</c:v>
                </c:pt>
                <c:pt idx="2">
                  <c:v>BASE+SIL : P64€ EP6 ATN8 (Réf)</c:v>
                </c:pt>
                <c:pt idx="3">
                  <c:v>P1</c:v>
                </c:pt>
                <c:pt idx="4">
                  <c:v>P2</c:v>
                </c:pt>
                <c:pt idx="5">
                  <c:v>RISQUES</c:v>
                </c:pt>
                <c:pt idx="6">
                  <c:v>P64€ EP6 ATN8 (Potentiel)</c:v>
                </c:pt>
                <c:pt idx="7">
                  <c:v>P3</c:v>
                </c:pt>
                <c:pt idx="8">
                  <c:v>RISQUES_P3</c:v>
                </c:pt>
                <c:pt idx="9">
                  <c:v>P64€ EP6 ATN8 (Potentiel Max)</c:v>
                </c:pt>
              </c:strCache>
            </c:strRef>
          </c:cat>
          <c:val>
            <c:numRef>
              <c:f>'casc P64 EP6 BASE+SIL'!$F$5:$F$14</c:f>
              <c:numCache>
                <c:formatCode>0</c:formatCode>
                <c:ptCount val="10"/>
                <c:pt idx="1">
                  <c:v>0</c:v>
                </c:pt>
                <c:pt idx="3">
                  <c:v>0</c:v>
                </c:pt>
                <c:pt idx="4">
                  <c:v>0</c:v>
                </c:pt>
                <c:pt idx="7">
                  <c:v>0</c:v>
                </c:pt>
                <c:pt idx="8">
                  <c:v>0</c:v>
                </c:pt>
              </c:numCache>
            </c:numRef>
          </c:val>
          <c:extLst>
            <c:ext xmlns:c16="http://schemas.microsoft.com/office/drawing/2014/chart" uri="{C3380CC4-5D6E-409C-BE32-E72D297353CC}">
              <c16:uniqueId val="{0000000E-8257-408F-995A-EB15D4D87427}"/>
            </c:ext>
          </c:extLst>
        </c:ser>
        <c:ser>
          <c:idx val="5"/>
          <c:order val="5"/>
          <c:tx>
            <c:strRef>
              <c:f>'casc P64 EP6 BASE'!#REF!</c:f>
              <c:strCache>
                <c:ptCount val="1"/>
                <c:pt idx="0">
                  <c:v>#REF!</c:v>
                </c:pt>
              </c:strCache>
            </c:strRef>
          </c:tx>
          <c:invertIfNegative val="0"/>
          <c:cat>
            <c:strRef>
              <c:f>'casc P64 EP6 BASE+SIL'!$A$5:$A$14</c:f>
              <c:strCache>
                <c:ptCount val="10"/>
                <c:pt idx="0">
                  <c:v>BASE+SIL :P84 EP6FADTXd ATN8</c:v>
                </c:pt>
                <c:pt idx="1">
                  <c:v>pris en REF PF</c:v>
                </c:pt>
                <c:pt idx="2">
                  <c:v>BASE+SIL : P64€ EP6 ATN8 (Réf)</c:v>
                </c:pt>
                <c:pt idx="3">
                  <c:v>P1</c:v>
                </c:pt>
                <c:pt idx="4">
                  <c:v>P2</c:v>
                </c:pt>
                <c:pt idx="5">
                  <c:v>RISQUES</c:v>
                </c:pt>
                <c:pt idx="6">
                  <c:v>P64€ EP6 ATN8 (Potentiel)</c:v>
                </c:pt>
                <c:pt idx="7">
                  <c:v>P3</c:v>
                </c:pt>
                <c:pt idx="8">
                  <c:v>RISQUES_P3</c:v>
                </c:pt>
                <c:pt idx="9">
                  <c:v>P64€ EP6 ATN8 (Potentiel Max)</c:v>
                </c:pt>
              </c:strCache>
            </c:strRef>
          </c:cat>
          <c:val>
            <c:numRef>
              <c:f>'casc P64 EP6 BASE'!#REF!</c:f>
              <c:numCache>
                <c:formatCode>General</c:formatCode>
                <c:ptCount val="1"/>
                <c:pt idx="0">
                  <c:v>1</c:v>
                </c:pt>
              </c:numCache>
            </c:numRef>
          </c:val>
          <c:extLst>
            <c:ext xmlns:c16="http://schemas.microsoft.com/office/drawing/2014/chart" uri="{C3380CC4-5D6E-409C-BE32-E72D297353CC}">
              <c16:uniqueId val="{0000000F-8257-408F-995A-EB15D4D87427}"/>
            </c:ext>
          </c:extLst>
        </c:ser>
        <c:dLbls>
          <c:showLegendKey val="0"/>
          <c:showVal val="0"/>
          <c:showCatName val="0"/>
          <c:showSerName val="0"/>
          <c:showPercent val="0"/>
          <c:showBubbleSize val="0"/>
        </c:dLbls>
        <c:gapWidth val="150"/>
        <c:overlap val="100"/>
        <c:axId val="147868672"/>
        <c:axId val="147882752"/>
      </c:barChart>
      <c:scatterChart>
        <c:scatterStyle val="lineMarker"/>
        <c:varyColors val="0"/>
        <c:ser>
          <c:idx val="4"/>
          <c:order val="4"/>
          <c:tx>
            <c:strRef>
              <c:f>'casc P64 EP6 BASE+SIL'!$I$4</c:f>
              <c:strCache>
                <c:ptCount val="1"/>
                <c:pt idx="0">
                  <c:v>Objectif</c:v>
                </c:pt>
              </c:strCache>
            </c:strRef>
          </c:tx>
          <c:spPr>
            <a:ln>
              <a:prstDash val="dash"/>
            </a:ln>
          </c:spPr>
          <c:marker>
            <c:symbol val="none"/>
          </c:marker>
          <c:yVal>
            <c:numRef>
              <c:f>'casc P64 EP6 BASE+SIL'!$I$5:$I$14</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10-8257-408F-995A-EB15D4D87427}"/>
            </c:ext>
          </c:extLst>
        </c:ser>
        <c:ser>
          <c:idx val="7"/>
          <c:order val="6"/>
          <c:tx>
            <c:strRef>
              <c:f>'casc P64 EP6 BASE+SIL'!$J$54</c:f>
              <c:strCache>
                <c:ptCount val="1"/>
              </c:strCache>
            </c:strRef>
          </c:tx>
          <c:marker>
            <c:symbol val="none"/>
          </c:marker>
          <c:dLbls>
            <c:dLbl>
              <c:idx val="5"/>
              <c:layout>
                <c:manualLayout>
                  <c:x val="-7.9948861750354053E-2"/>
                  <c:y val="2.5696965554825139E-2"/>
                </c:manualLayout>
              </c:layout>
              <c:numFmt formatCode="0&quot;kg&quot;" sourceLinked="0"/>
              <c:spPr/>
              <c:txPr>
                <a:bodyPr/>
                <a:lstStyle/>
                <a:p>
                  <a:pPr>
                    <a:defRPr sz="1100" b="1"/>
                  </a:pPr>
                  <a:endParaRPr lang="fr-FR"/>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8257-408F-995A-EB15D4D8742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BASE+SIL'!$J$55:$J$65</c:f>
              <c:numCache>
                <c:formatCode>General</c:formatCode>
                <c:ptCount val="11"/>
              </c:numCache>
            </c:numRef>
          </c:yVal>
          <c:smooth val="0"/>
          <c:extLst>
            <c:ext xmlns:c16="http://schemas.microsoft.com/office/drawing/2014/chart" uri="{C3380CC4-5D6E-409C-BE32-E72D297353CC}">
              <c16:uniqueId val="{00000012-8257-408F-995A-EB15D4D87427}"/>
            </c:ext>
          </c:extLst>
        </c:ser>
        <c:dLbls>
          <c:showLegendKey val="0"/>
          <c:showVal val="0"/>
          <c:showCatName val="0"/>
          <c:showSerName val="0"/>
          <c:showPercent val="0"/>
          <c:showBubbleSize val="0"/>
        </c:dLbls>
        <c:axId val="147868672"/>
        <c:axId val="147882752"/>
      </c:scatterChart>
      <c:catAx>
        <c:axId val="147868672"/>
        <c:scaling>
          <c:orientation val="minMax"/>
        </c:scaling>
        <c:delete val="0"/>
        <c:axPos val="b"/>
        <c:numFmt formatCode="General" sourceLinked="0"/>
        <c:majorTickMark val="out"/>
        <c:minorTickMark val="none"/>
        <c:tickLblPos val="nextTo"/>
        <c:txPr>
          <a:bodyPr/>
          <a:lstStyle/>
          <a:p>
            <a:pPr>
              <a:defRPr sz="1100" b="1"/>
            </a:pPr>
            <a:endParaRPr lang="fr-FR"/>
          </a:p>
        </c:txPr>
        <c:crossAx val="147882752"/>
        <c:crosses val="autoZero"/>
        <c:auto val="1"/>
        <c:lblAlgn val="ctr"/>
        <c:lblOffset val="100"/>
        <c:noMultiLvlLbl val="0"/>
      </c:catAx>
      <c:valAx>
        <c:axId val="147882752"/>
        <c:scaling>
          <c:orientation val="minMax"/>
          <c:min val="1300"/>
        </c:scaling>
        <c:delete val="0"/>
        <c:axPos val="l"/>
        <c:numFmt formatCode="0" sourceLinked="0"/>
        <c:majorTickMark val="out"/>
        <c:minorTickMark val="none"/>
        <c:tickLblPos val="nextTo"/>
        <c:txPr>
          <a:bodyPr/>
          <a:lstStyle/>
          <a:p>
            <a:pPr>
              <a:defRPr sz="1600" b="1"/>
            </a:pPr>
            <a:endParaRPr lang="fr-FR"/>
          </a:p>
        </c:txPr>
        <c:crossAx val="147868672"/>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11510000649792E-2"/>
          <c:y val="3.7534814585562307E-2"/>
          <c:w val="0.9272988385142471"/>
          <c:h val="0.89208564326364848"/>
        </c:manualLayout>
      </c:layout>
      <c:barChart>
        <c:barDir val="col"/>
        <c:grouping val="stacked"/>
        <c:varyColors val="0"/>
        <c:ser>
          <c:idx val="0"/>
          <c:order val="0"/>
          <c:tx>
            <c:strRef>
              <c:f>'casc P64 EP6 SIL'!$C$54</c:f>
              <c:strCache>
                <c:ptCount val="1"/>
                <c:pt idx="0">
                  <c:v>MàV</c:v>
                </c:pt>
              </c:strCache>
            </c:strRef>
          </c:tx>
          <c:invertIfNegative val="0"/>
          <c:dLbls>
            <c:dLbl>
              <c:idx val="0"/>
              <c:layout>
                <c:manualLayout>
                  <c:x val="3.5850550578031445E-4"/>
                  <c:y val="-0.34741458289947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F8-405A-9E44-4B8483334192}"/>
                </c:ext>
              </c:extLst>
            </c:dLbl>
            <c:dLbl>
              <c:idx val="2"/>
              <c:layout>
                <c:manualLayout>
                  <c:x val="1.3532515862535153E-3"/>
                  <c:y val="-0.29908426366916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F8-405A-9E44-4B8483334192}"/>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05A-9E44-4B8483334192}"/>
                </c:ext>
              </c:extLst>
            </c:dLbl>
            <c:dLbl>
              <c:idx val="5"/>
              <c:layout>
                <c:manualLayout>
                  <c:x val="1.3550654533957818E-3"/>
                  <c:y val="-0.33498872443277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F8-405A-9E44-4B8483334192}"/>
                </c:ext>
              </c:extLst>
            </c:dLbl>
            <c:dLbl>
              <c:idx val="6"/>
              <c:layout>
                <c:manualLayout>
                  <c:x val="4.0651963601874945E-3"/>
                  <c:y val="-0.33235654456430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F8-405A-9E44-4B8483334192}"/>
                </c:ext>
              </c:extLst>
            </c:dLbl>
            <c:dLbl>
              <c:idx val="7"/>
              <c:layout>
                <c:manualLayout>
                  <c:x val="1.5449880130056408E-3"/>
                  <c:y val="-0.349846799494866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F8-405A-9E44-4B8483334192}"/>
                </c:ext>
              </c:extLst>
            </c:dLbl>
            <c:dLbl>
              <c:idx val="8"/>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F8-405A-9E44-4B8483334192}"/>
                </c:ext>
              </c:extLst>
            </c:dLbl>
            <c:dLbl>
              <c:idx val="9"/>
              <c:layout>
                <c:manualLayout>
                  <c:x val="1.3406612143242016E-3"/>
                  <c:y val="-0.32152838260108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F8-405A-9E44-4B8483334192}"/>
                </c:ext>
              </c:extLst>
            </c:dLbl>
            <c:dLbl>
              <c:idx val="10"/>
              <c:layout>
                <c:manualLayout>
                  <c:x val="0"/>
                  <c:y val="-9.8901432927771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F8-405A-9E44-4B8483334192}"/>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F8-405A-9E44-4B8483334192}"/>
                </c:ext>
              </c:extLst>
            </c:dLbl>
            <c:dLbl>
              <c:idx val="12"/>
              <c:layout>
                <c:manualLayout>
                  <c:x val="0"/>
                  <c:y val="-0.191048915100004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F8-405A-9E44-4B8483334192}"/>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SIL'!$A$55:$A$65</c:f>
              <c:strCache>
                <c:ptCount val="10"/>
                <c:pt idx="0">
                  <c:v>ICDV/SIL :P84 EP6FADTXd ATN8</c:v>
                </c:pt>
                <c:pt idx="1">
                  <c:v>Concept</c:v>
                </c:pt>
                <c:pt idx="2">
                  <c:v>ICDV/SIL : P64€ EP6 ATN8 (Réf)</c:v>
                </c:pt>
                <c:pt idx="3">
                  <c:v>P1</c:v>
                </c:pt>
                <c:pt idx="4">
                  <c:v>RISQUES</c:v>
                </c:pt>
                <c:pt idx="5">
                  <c:v>ICDV/SIL : P64€ EP6 ATN8 (Potentiel)</c:v>
                </c:pt>
                <c:pt idx="6">
                  <c:v>P2</c:v>
                </c:pt>
                <c:pt idx="7">
                  <c:v>P3</c:v>
                </c:pt>
                <c:pt idx="8">
                  <c:v>RISQUES_P3</c:v>
                </c:pt>
                <c:pt idx="9">
                  <c:v>ICDV/SIL : P64€ EP6 ATN8 (Potentiel Max)</c:v>
                </c:pt>
              </c:strCache>
            </c:strRef>
          </c:cat>
          <c:val>
            <c:numRef>
              <c:f>'casc P64 EP6 SIL'!$C$55:$C$65</c:f>
              <c:numCache>
                <c:formatCode>General</c:formatCode>
                <c:ptCount val="11"/>
                <c:pt idx="0" formatCode="0">
                  <c:v>98</c:v>
                </c:pt>
                <c:pt idx="2" formatCode="0">
                  <c:v>0</c:v>
                </c:pt>
                <c:pt idx="5" formatCode="0">
                  <c:v>0</c:v>
                </c:pt>
                <c:pt idx="9" formatCode="0">
                  <c:v>0</c:v>
                </c:pt>
              </c:numCache>
            </c:numRef>
          </c:val>
          <c:extLst>
            <c:ext xmlns:c16="http://schemas.microsoft.com/office/drawing/2014/chart" uri="{C3380CC4-5D6E-409C-BE32-E72D297353CC}">
              <c16:uniqueId val="{0000000B-92F8-405A-9E44-4B8483334192}"/>
            </c:ext>
          </c:extLst>
        </c:ser>
        <c:ser>
          <c:idx val="1"/>
          <c:order val="1"/>
          <c:tx>
            <c:strRef>
              <c:f>'casc P64 EP6 SIL'!$D$218</c:f>
              <c:strCache>
                <c:ptCount val="1"/>
              </c:strCache>
            </c:strRef>
          </c:tx>
          <c:spPr>
            <a:noFill/>
          </c:spPr>
          <c:invertIfNegative val="0"/>
          <c:cat>
            <c:strRef>
              <c:f>'casc P64 EP6 SIL'!$A$55:$A$65</c:f>
              <c:strCache>
                <c:ptCount val="10"/>
                <c:pt idx="0">
                  <c:v>ICDV/SIL :P84 EP6FADTXd ATN8</c:v>
                </c:pt>
                <c:pt idx="1">
                  <c:v>Concept</c:v>
                </c:pt>
                <c:pt idx="2">
                  <c:v>ICDV/SIL : P64€ EP6 ATN8 (Réf)</c:v>
                </c:pt>
                <c:pt idx="3">
                  <c:v>P1</c:v>
                </c:pt>
                <c:pt idx="4">
                  <c:v>RISQUES</c:v>
                </c:pt>
                <c:pt idx="5">
                  <c:v>ICDV/SIL : P64€ EP6 ATN8 (Potentiel)</c:v>
                </c:pt>
                <c:pt idx="6">
                  <c:v>P2</c:v>
                </c:pt>
                <c:pt idx="7">
                  <c:v>P3</c:v>
                </c:pt>
                <c:pt idx="8">
                  <c:v>RISQUES_P3</c:v>
                </c:pt>
                <c:pt idx="9">
                  <c:v>ICDV/SIL : P64€ EP6 ATN8 (Potentiel Max)</c:v>
                </c:pt>
              </c:strCache>
            </c:strRef>
          </c:cat>
          <c:val>
            <c:numRef>
              <c:f>'casc P64 EP6 SIL'!$D$55:$D$65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0C-92F8-405A-9E44-4B8483334192}"/>
            </c:ext>
          </c:extLst>
        </c:ser>
        <c:ser>
          <c:idx val="2"/>
          <c:order val="2"/>
          <c:tx>
            <c:strRef>
              <c:f>'casc P64 EP6 SIL'!$E$218</c:f>
              <c:strCache>
                <c:ptCount val="1"/>
              </c:strCache>
            </c:strRef>
          </c:tx>
          <c:spPr>
            <a:solidFill>
              <a:srgbClr val="FF0000"/>
            </a:solidFill>
          </c:spPr>
          <c:invertIfNegative val="0"/>
          <c:dPt>
            <c:idx val="1"/>
            <c:invertIfNegative val="0"/>
            <c:bubble3D val="0"/>
            <c:spPr>
              <a:solidFill>
                <a:schemeClr val="bg1">
                  <a:lumMod val="75000"/>
                </a:schemeClr>
              </a:solidFill>
            </c:spPr>
            <c:extLst>
              <c:ext xmlns:c16="http://schemas.microsoft.com/office/drawing/2014/chart" uri="{C3380CC4-5D6E-409C-BE32-E72D297353CC}">
                <c16:uniqueId val="{0000000E-92F8-405A-9E44-4B8483334192}"/>
              </c:ext>
            </c:extLst>
          </c:dPt>
          <c:dLbls>
            <c:dLbl>
              <c:idx val="6"/>
              <c:delete val="1"/>
              <c:extLst>
                <c:ext xmlns:c15="http://schemas.microsoft.com/office/drawing/2012/chart" uri="{CE6537A1-D6FC-4f65-9D91-7224C49458BB}"/>
                <c:ext xmlns:c16="http://schemas.microsoft.com/office/drawing/2014/chart" uri="{C3380CC4-5D6E-409C-BE32-E72D297353CC}">
                  <c16:uniqueId val="{00000016-702B-466E-8FD5-C9167D722878}"/>
                </c:ext>
              </c:extLst>
            </c:dLbl>
            <c:dLbl>
              <c:idx val="7"/>
              <c:delete val="1"/>
              <c:extLst>
                <c:ext xmlns:c15="http://schemas.microsoft.com/office/drawing/2012/chart" uri="{CE6537A1-D6FC-4f65-9D91-7224C49458BB}"/>
                <c:ext xmlns:c16="http://schemas.microsoft.com/office/drawing/2014/chart" uri="{C3380CC4-5D6E-409C-BE32-E72D297353CC}">
                  <c16:uniqueId val="{00000017-702B-466E-8FD5-C9167D7228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SIL'!$A$55:$A$65</c:f>
              <c:strCache>
                <c:ptCount val="10"/>
                <c:pt idx="0">
                  <c:v>ICDV/SIL :P84 EP6FADTXd ATN8</c:v>
                </c:pt>
                <c:pt idx="1">
                  <c:v>Concept</c:v>
                </c:pt>
                <c:pt idx="2">
                  <c:v>ICDV/SIL : P64€ EP6 ATN8 (Réf)</c:v>
                </c:pt>
                <c:pt idx="3">
                  <c:v>P1</c:v>
                </c:pt>
                <c:pt idx="4">
                  <c:v>RISQUES</c:v>
                </c:pt>
                <c:pt idx="5">
                  <c:v>ICDV/SIL : P64€ EP6 ATN8 (Potentiel)</c:v>
                </c:pt>
                <c:pt idx="6">
                  <c:v>P2</c:v>
                </c:pt>
                <c:pt idx="7">
                  <c:v>P3</c:v>
                </c:pt>
                <c:pt idx="8">
                  <c:v>RISQUES_P3</c:v>
                </c:pt>
                <c:pt idx="9">
                  <c:v>ICDV/SIL : P64€ EP6 ATN8 (Potentiel Max)</c:v>
                </c:pt>
              </c:strCache>
            </c:strRef>
          </c:cat>
          <c:val>
            <c:numRef>
              <c:f>'casc P64 EP6 SIL'!$E$55:$E$65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0F-92F8-405A-9E44-4B8483334192}"/>
            </c:ext>
          </c:extLst>
        </c:ser>
        <c:ser>
          <c:idx val="3"/>
          <c:order val="3"/>
          <c:tx>
            <c:strRef>
              <c:f>'casc P64 EP6 SIL'!$F$54</c:f>
              <c:strCache>
                <c:ptCount val="1"/>
                <c:pt idx="0">
                  <c:v>Gain</c:v>
                </c:pt>
              </c:strCache>
            </c:strRef>
          </c:tx>
          <c:spPr>
            <a:solidFill>
              <a:srgbClr val="92D050"/>
            </a:solidFill>
          </c:spPr>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11-92F8-405A-9E44-4B8483334192}"/>
              </c:ext>
            </c:extLst>
          </c:dPt>
          <c:dPt>
            <c:idx val="2"/>
            <c:invertIfNegative val="0"/>
            <c:bubble3D val="0"/>
            <c:extLst>
              <c:ext xmlns:c16="http://schemas.microsoft.com/office/drawing/2014/chart" uri="{C3380CC4-5D6E-409C-BE32-E72D297353CC}">
                <c16:uniqueId val="{00000012-92F8-405A-9E44-4B8483334192}"/>
              </c:ext>
            </c:extLst>
          </c:dPt>
          <c:dPt>
            <c:idx val="3"/>
            <c:invertIfNegative val="0"/>
            <c:bubble3D val="0"/>
            <c:spPr>
              <a:solidFill>
                <a:srgbClr val="33CC33"/>
              </a:solidFill>
            </c:spPr>
            <c:extLst>
              <c:ext xmlns:c16="http://schemas.microsoft.com/office/drawing/2014/chart" uri="{C3380CC4-5D6E-409C-BE32-E72D297353CC}">
                <c16:uniqueId val="{00000014-92F8-405A-9E44-4B8483334192}"/>
              </c:ext>
            </c:extLst>
          </c:dPt>
          <c:dPt>
            <c:idx val="4"/>
            <c:invertIfNegative val="0"/>
            <c:bubble3D val="0"/>
            <c:extLst>
              <c:ext xmlns:c16="http://schemas.microsoft.com/office/drawing/2014/chart" uri="{C3380CC4-5D6E-409C-BE32-E72D297353CC}">
                <c16:uniqueId val="{00000015-92F8-405A-9E44-4B8483334192}"/>
              </c:ext>
            </c:extLst>
          </c:dPt>
          <c:dPt>
            <c:idx val="5"/>
            <c:invertIfNegative val="0"/>
            <c:bubble3D val="0"/>
            <c:spPr>
              <a:solidFill>
                <a:srgbClr val="FFC000"/>
              </a:solidFill>
            </c:spPr>
            <c:extLst>
              <c:ext xmlns:c16="http://schemas.microsoft.com/office/drawing/2014/chart" uri="{C3380CC4-5D6E-409C-BE32-E72D297353CC}">
                <c16:uniqueId val="{00000017-92F8-405A-9E44-4B8483334192}"/>
              </c:ext>
            </c:extLst>
          </c:dPt>
          <c:dPt>
            <c:idx val="6"/>
            <c:invertIfNegative val="0"/>
            <c:bubble3D val="0"/>
            <c:spPr>
              <a:solidFill>
                <a:srgbClr val="33CC33"/>
              </a:solidFill>
            </c:spPr>
            <c:extLst>
              <c:ext xmlns:c16="http://schemas.microsoft.com/office/drawing/2014/chart" uri="{C3380CC4-5D6E-409C-BE32-E72D297353CC}">
                <c16:uniqueId val="{00000019-92F8-405A-9E44-4B8483334192}"/>
              </c:ext>
            </c:extLst>
          </c:dPt>
          <c:dPt>
            <c:idx val="7"/>
            <c:invertIfNegative val="0"/>
            <c:bubble3D val="0"/>
            <c:spPr>
              <a:solidFill>
                <a:srgbClr val="33CC33"/>
              </a:solidFill>
            </c:spPr>
            <c:extLst>
              <c:ext xmlns:c16="http://schemas.microsoft.com/office/drawing/2014/chart" uri="{C3380CC4-5D6E-409C-BE32-E72D297353CC}">
                <c16:uniqueId val="{0000001B-92F8-405A-9E44-4B8483334192}"/>
              </c:ext>
            </c:extLst>
          </c:dPt>
          <c:dPt>
            <c:idx val="8"/>
            <c:invertIfNegative val="0"/>
            <c:bubble3D val="0"/>
            <c:spPr>
              <a:solidFill>
                <a:srgbClr val="FF0000"/>
              </a:solidFill>
            </c:spPr>
            <c:extLst>
              <c:ext xmlns:c16="http://schemas.microsoft.com/office/drawing/2014/chart" uri="{C3380CC4-5D6E-409C-BE32-E72D297353CC}">
                <c16:uniqueId val="{0000001D-92F8-405A-9E44-4B8483334192}"/>
              </c:ext>
            </c:extLst>
          </c:dPt>
          <c:dPt>
            <c:idx val="9"/>
            <c:invertIfNegative val="0"/>
            <c:bubble3D val="0"/>
            <c:spPr>
              <a:solidFill>
                <a:schemeClr val="accent2">
                  <a:lumMod val="40000"/>
                  <a:lumOff val="60000"/>
                </a:schemeClr>
              </a:solidFill>
            </c:spPr>
            <c:extLst>
              <c:ext xmlns:c16="http://schemas.microsoft.com/office/drawing/2014/chart" uri="{C3380CC4-5D6E-409C-BE32-E72D297353CC}">
                <c16:uniqueId val="{0000001F-92F8-405A-9E44-4B8483334192}"/>
              </c:ext>
            </c:extLst>
          </c:dPt>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21-92F8-405A-9E44-4B8483334192}"/>
              </c:ext>
            </c:extLst>
          </c:dPt>
          <c:dPt>
            <c:idx val="11"/>
            <c:invertIfNegative val="0"/>
            <c:bubble3D val="0"/>
            <c:spPr>
              <a:solidFill>
                <a:srgbClr val="D05E00"/>
              </a:solidFill>
            </c:spPr>
            <c:extLst>
              <c:ext xmlns:c16="http://schemas.microsoft.com/office/drawing/2014/chart" uri="{C3380CC4-5D6E-409C-BE32-E72D297353CC}">
                <c16:uniqueId val="{00000023-92F8-405A-9E44-4B8483334192}"/>
              </c:ext>
            </c:extLst>
          </c:dPt>
          <c:dLbls>
            <c:dLbl>
              <c:idx val="1"/>
              <c:delete val="1"/>
              <c:extLst>
                <c:ext xmlns:c15="http://schemas.microsoft.com/office/drawing/2012/chart" uri="{CE6537A1-D6FC-4f65-9D91-7224C49458BB}"/>
                <c:ext xmlns:c16="http://schemas.microsoft.com/office/drawing/2014/chart" uri="{C3380CC4-5D6E-409C-BE32-E72D297353CC}">
                  <c16:uniqueId val="{00000011-92F8-405A-9E44-4B8483334192}"/>
                </c:ext>
              </c:extLst>
            </c:dLbl>
            <c:dLbl>
              <c:idx val="2"/>
              <c:delete val="1"/>
              <c:extLst>
                <c:ext xmlns:c15="http://schemas.microsoft.com/office/drawing/2012/chart" uri="{CE6537A1-D6FC-4f65-9D91-7224C49458BB}"/>
                <c:ext xmlns:c16="http://schemas.microsoft.com/office/drawing/2014/chart" uri="{C3380CC4-5D6E-409C-BE32-E72D297353CC}">
                  <c16:uniqueId val="{00000012-92F8-405A-9E44-4B8483334192}"/>
                </c:ext>
              </c:extLst>
            </c:dLbl>
            <c:dLbl>
              <c:idx val="3"/>
              <c:delete val="1"/>
              <c:extLst>
                <c:ext xmlns:c15="http://schemas.microsoft.com/office/drawing/2012/chart" uri="{CE6537A1-D6FC-4f65-9D91-7224C49458BB}"/>
                <c:ext xmlns:c16="http://schemas.microsoft.com/office/drawing/2014/chart" uri="{C3380CC4-5D6E-409C-BE32-E72D297353CC}">
                  <c16:uniqueId val="{00000014-92F8-405A-9E44-4B8483334192}"/>
                </c:ext>
              </c:extLst>
            </c:dLbl>
            <c:dLbl>
              <c:idx val="4"/>
              <c:delete val="1"/>
              <c:extLst>
                <c:ext xmlns:c15="http://schemas.microsoft.com/office/drawing/2012/chart" uri="{CE6537A1-D6FC-4f65-9D91-7224C49458BB}"/>
                <c:ext xmlns:c16="http://schemas.microsoft.com/office/drawing/2014/chart" uri="{C3380CC4-5D6E-409C-BE32-E72D297353CC}">
                  <c16:uniqueId val="{00000015-92F8-405A-9E44-4B8483334192}"/>
                </c:ext>
              </c:extLst>
            </c:dLbl>
            <c:dLbl>
              <c:idx val="6"/>
              <c:layout>
                <c:manualLayout>
                  <c:x val="2.7091706241867946E-3"/>
                  <c:y val="-8.157798153153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92F8-405A-9E44-4B8483334192}"/>
                </c:ext>
              </c:extLst>
            </c:dLbl>
            <c:dLbl>
              <c:idx val="7"/>
              <c:layout>
                <c:manualLayout>
                  <c:x val="4.0651963601874945E-3"/>
                  <c:y val="-5.7426638474189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92F8-405A-9E44-4B8483334192}"/>
                </c:ext>
              </c:extLst>
            </c:dLbl>
            <c:dLbl>
              <c:idx val="8"/>
              <c:delete val="1"/>
              <c:extLst>
                <c:ext xmlns:c15="http://schemas.microsoft.com/office/drawing/2012/chart" uri="{CE6537A1-D6FC-4f65-9D91-7224C49458BB}"/>
                <c:ext xmlns:c16="http://schemas.microsoft.com/office/drawing/2014/chart" uri="{C3380CC4-5D6E-409C-BE32-E72D297353CC}">
                  <c16:uniqueId val="{0000001D-92F8-405A-9E44-4B8483334192}"/>
                </c:ext>
              </c:extLst>
            </c:dLbl>
            <c:dLbl>
              <c:idx val="9"/>
              <c:delete val="1"/>
              <c:extLst>
                <c:ext xmlns:c15="http://schemas.microsoft.com/office/drawing/2012/chart" uri="{CE6537A1-D6FC-4f65-9D91-7224C49458BB}"/>
                <c:ext xmlns:c16="http://schemas.microsoft.com/office/drawing/2014/chart" uri="{C3380CC4-5D6E-409C-BE32-E72D297353CC}">
                  <c16:uniqueId val="{0000001F-92F8-405A-9E44-4B8483334192}"/>
                </c:ext>
              </c:extLst>
            </c:dLbl>
            <c:dLbl>
              <c:idx val="10"/>
              <c:delete val="1"/>
              <c:extLst>
                <c:ext xmlns:c15="http://schemas.microsoft.com/office/drawing/2012/chart" uri="{CE6537A1-D6FC-4f65-9D91-7224C49458BB}"/>
                <c:ext xmlns:c16="http://schemas.microsoft.com/office/drawing/2014/chart" uri="{C3380CC4-5D6E-409C-BE32-E72D297353CC}">
                  <c16:uniqueId val="{00000021-92F8-405A-9E44-4B8483334192}"/>
                </c:ext>
              </c:extLst>
            </c:dLbl>
            <c:dLbl>
              <c:idx val="11"/>
              <c:delete val="1"/>
              <c:extLst>
                <c:ext xmlns:c15="http://schemas.microsoft.com/office/drawing/2012/chart" uri="{CE6537A1-D6FC-4f65-9D91-7224C49458BB}"/>
                <c:ext xmlns:c16="http://schemas.microsoft.com/office/drawing/2014/chart" uri="{C3380CC4-5D6E-409C-BE32-E72D297353CC}">
                  <c16:uniqueId val="{00000023-92F8-405A-9E44-4B8483334192}"/>
                </c:ext>
              </c:extLst>
            </c:dLbl>
            <c:dLbl>
              <c:idx val="12"/>
              <c:delete val="1"/>
              <c:extLst>
                <c:ext xmlns:c15="http://schemas.microsoft.com/office/drawing/2012/chart" uri="{CE6537A1-D6FC-4f65-9D91-7224C49458BB}"/>
                <c:ext xmlns:c16="http://schemas.microsoft.com/office/drawing/2014/chart" uri="{C3380CC4-5D6E-409C-BE32-E72D297353CC}">
                  <c16:uniqueId val="{00000024-92F8-405A-9E44-4B8483334192}"/>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SIL'!$A$55:$A$65</c:f>
              <c:strCache>
                <c:ptCount val="10"/>
                <c:pt idx="0">
                  <c:v>ICDV/SIL :P84 EP6FADTXd ATN8</c:v>
                </c:pt>
                <c:pt idx="1">
                  <c:v>Concept</c:v>
                </c:pt>
                <c:pt idx="2">
                  <c:v>ICDV/SIL : P64€ EP6 ATN8 (Réf)</c:v>
                </c:pt>
                <c:pt idx="3">
                  <c:v>P1</c:v>
                </c:pt>
                <c:pt idx="4">
                  <c:v>RISQUES</c:v>
                </c:pt>
                <c:pt idx="5">
                  <c:v>ICDV/SIL : P64€ EP6 ATN8 (Potentiel)</c:v>
                </c:pt>
                <c:pt idx="6">
                  <c:v>P2</c:v>
                </c:pt>
                <c:pt idx="7">
                  <c:v>P3</c:v>
                </c:pt>
                <c:pt idx="8">
                  <c:v>RISQUES_P3</c:v>
                </c:pt>
                <c:pt idx="9">
                  <c:v>ICDV/SIL : P64€ EP6 ATN8 (Potentiel Max)</c:v>
                </c:pt>
              </c:strCache>
            </c:strRef>
          </c:cat>
          <c:val>
            <c:numRef>
              <c:f>'casc P64 EP6 SIL'!$F$55:$F$65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25-92F8-405A-9E44-4B8483334192}"/>
            </c:ext>
          </c:extLst>
        </c:ser>
        <c:ser>
          <c:idx val="5"/>
          <c:order val="5"/>
          <c:tx>
            <c:strRef>
              <c:f>'casc P64 EP6 SIL'!$L$218</c:f>
              <c:strCache>
                <c:ptCount val="1"/>
              </c:strCache>
            </c:strRef>
          </c:tx>
          <c:spPr>
            <a:noFill/>
            <a:ln>
              <a:solidFill>
                <a:sysClr val="windowText" lastClr="000000"/>
              </a:solid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6-92F8-405A-9E44-4B8483334192}"/>
                </c:ext>
              </c:extLst>
            </c:dLbl>
            <c:dLbl>
              <c:idx val="1"/>
              <c:delete val="1"/>
              <c:extLst>
                <c:ext xmlns:c15="http://schemas.microsoft.com/office/drawing/2012/chart" uri="{CE6537A1-D6FC-4f65-9D91-7224C49458BB}"/>
                <c:ext xmlns:c16="http://schemas.microsoft.com/office/drawing/2014/chart" uri="{C3380CC4-5D6E-409C-BE32-E72D297353CC}">
                  <c16:uniqueId val="{00000027-92F8-405A-9E44-4B8483334192}"/>
                </c:ext>
              </c:extLst>
            </c:dLbl>
            <c:dLbl>
              <c:idx val="2"/>
              <c:delete val="1"/>
              <c:extLst>
                <c:ext xmlns:c15="http://schemas.microsoft.com/office/drawing/2012/chart" uri="{CE6537A1-D6FC-4f65-9D91-7224C49458BB}"/>
                <c:ext xmlns:c16="http://schemas.microsoft.com/office/drawing/2014/chart" uri="{C3380CC4-5D6E-409C-BE32-E72D297353CC}">
                  <c16:uniqueId val="{00000028-92F8-405A-9E44-4B8483334192}"/>
                </c:ext>
              </c:extLst>
            </c:dLbl>
            <c:dLbl>
              <c:idx val="3"/>
              <c:delete val="1"/>
              <c:extLst>
                <c:ext xmlns:c15="http://schemas.microsoft.com/office/drawing/2012/chart" uri="{CE6537A1-D6FC-4f65-9D91-7224C49458BB}"/>
                <c:ext xmlns:c16="http://schemas.microsoft.com/office/drawing/2014/chart" uri="{C3380CC4-5D6E-409C-BE32-E72D297353CC}">
                  <c16:uniqueId val="{00000029-92F8-405A-9E44-4B8483334192}"/>
                </c:ext>
              </c:extLst>
            </c:dLbl>
            <c:dLbl>
              <c:idx val="4"/>
              <c:delete val="1"/>
              <c:extLst>
                <c:ext xmlns:c15="http://schemas.microsoft.com/office/drawing/2012/chart" uri="{CE6537A1-D6FC-4f65-9D91-7224C49458BB}"/>
                <c:ext xmlns:c16="http://schemas.microsoft.com/office/drawing/2014/chart" uri="{C3380CC4-5D6E-409C-BE32-E72D297353CC}">
                  <c16:uniqueId val="{0000002A-92F8-405A-9E44-4B8483334192}"/>
                </c:ext>
              </c:extLst>
            </c:dLbl>
            <c:dLbl>
              <c:idx val="6"/>
              <c:delete val="1"/>
              <c:extLst>
                <c:ext xmlns:c15="http://schemas.microsoft.com/office/drawing/2012/chart" uri="{CE6537A1-D6FC-4f65-9D91-7224C49458BB}"/>
                <c:ext xmlns:c16="http://schemas.microsoft.com/office/drawing/2014/chart" uri="{C3380CC4-5D6E-409C-BE32-E72D297353CC}">
                  <c16:uniqueId val="{0000002B-92F8-405A-9E44-4B8483334192}"/>
                </c:ext>
              </c:extLst>
            </c:dLbl>
            <c:dLbl>
              <c:idx val="7"/>
              <c:delete val="1"/>
              <c:extLst>
                <c:ext xmlns:c15="http://schemas.microsoft.com/office/drawing/2012/chart" uri="{CE6537A1-D6FC-4f65-9D91-7224C49458BB}"/>
                <c:ext xmlns:c16="http://schemas.microsoft.com/office/drawing/2014/chart" uri="{C3380CC4-5D6E-409C-BE32-E72D297353CC}">
                  <c16:uniqueId val="{0000002C-92F8-405A-9E44-4B8483334192}"/>
                </c:ext>
              </c:extLst>
            </c:dLbl>
            <c:dLbl>
              <c:idx val="8"/>
              <c:delete val="1"/>
              <c:extLst>
                <c:ext xmlns:c15="http://schemas.microsoft.com/office/drawing/2012/chart" uri="{CE6537A1-D6FC-4f65-9D91-7224C49458BB}"/>
                <c:ext xmlns:c16="http://schemas.microsoft.com/office/drawing/2014/chart" uri="{C3380CC4-5D6E-409C-BE32-E72D297353CC}">
                  <c16:uniqueId val="{0000002D-92F8-405A-9E44-4B8483334192}"/>
                </c:ext>
              </c:extLst>
            </c:dLbl>
            <c:dLbl>
              <c:idx val="9"/>
              <c:delete val="1"/>
              <c:extLst>
                <c:ext xmlns:c15="http://schemas.microsoft.com/office/drawing/2012/chart" uri="{CE6537A1-D6FC-4f65-9D91-7224C49458BB}"/>
                <c:ext xmlns:c16="http://schemas.microsoft.com/office/drawing/2014/chart" uri="{C3380CC4-5D6E-409C-BE32-E72D297353CC}">
                  <c16:uniqueId val="{0000002E-92F8-405A-9E44-4B8483334192}"/>
                </c:ext>
              </c:extLst>
            </c:dLbl>
            <c:dLbl>
              <c:idx val="10"/>
              <c:delete val="1"/>
              <c:extLst>
                <c:ext xmlns:c15="http://schemas.microsoft.com/office/drawing/2012/chart" uri="{CE6537A1-D6FC-4f65-9D91-7224C49458BB}"/>
                <c:ext xmlns:c16="http://schemas.microsoft.com/office/drawing/2014/chart" uri="{C3380CC4-5D6E-409C-BE32-E72D297353CC}">
                  <c16:uniqueId val="{0000002F-92F8-405A-9E44-4B8483334192}"/>
                </c:ext>
              </c:extLst>
            </c:dLbl>
            <c:numFmt formatCode="\+0&quot;kg&quot;" sourceLinked="0"/>
            <c:spPr>
              <a:noFill/>
              <a:ln>
                <a:noFill/>
              </a:ln>
              <a:effectLst/>
            </c:spPr>
            <c:txPr>
              <a:bodyPr/>
              <a:lstStyle/>
              <a:p>
                <a:pPr>
                  <a:defRPr sz="1400" b="1">
                    <a:solidFill>
                      <a:srgbClr val="FF0000"/>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SIL'!$A$55:$A$65</c:f>
              <c:strCache>
                <c:ptCount val="10"/>
                <c:pt idx="0">
                  <c:v>ICDV/SIL :P84 EP6FADTXd ATN8</c:v>
                </c:pt>
                <c:pt idx="1">
                  <c:v>Concept</c:v>
                </c:pt>
                <c:pt idx="2">
                  <c:v>ICDV/SIL : P64€ EP6 ATN8 (Réf)</c:v>
                </c:pt>
                <c:pt idx="3">
                  <c:v>P1</c:v>
                </c:pt>
                <c:pt idx="4">
                  <c:v>RISQUES</c:v>
                </c:pt>
                <c:pt idx="5">
                  <c:v>ICDV/SIL : P64€ EP6 ATN8 (Potentiel)</c:v>
                </c:pt>
                <c:pt idx="6">
                  <c:v>P2</c:v>
                </c:pt>
                <c:pt idx="7">
                  <c:v>P3</c:v>
                </c:pt>
                <c:pt idx="8">
                  <c:v>RISQUES_P3</c:v>
                </c:pt>
                <c:pt idx="9">
                  <c:v>ICDV/SIL : P64€ EP6 ATN8 (Potentiel Max)</c:v>
                </c:pt>
              </c:strCache>
            </c:strRef>
          </c:cat>
          <c:val>
            <c:numRef>
              <c:f>'casc P64 EP6 SIL'!$L$219:$L$230</c:f>
              <c:numCache>
                <c:formatCode>General</c:formatCode>
                <c:ptCount val="12"/>
              </c:numCache>
            </c:numRef>
          </c:val>
          <c:extLst>
            <c:ext xmlns:c16="http://schemas.microsoft.com/office/drawing/2014/chart" uri="{C3380CC4-5D6E-409C-BE32-E72D297353CC}">
              <c16:uniqueId val="{00000030-92F8-405A-9E44-4B8483334192}"/>
            </c:ext>
          </c:extLst>
        </c:ser>
        <c:dLbls>
          <c:showLegendKey val="0"/>
          <c:showVal val="0"/>
          <c:showCatName val="0"/>
          <c:showSerName val="0"/>
          <c:showPercent val="0"/>
          <c:showBubbleSize val="0"/>
        </c:dLbls>
        <c:gapWidth val="150"/>
        <c:overlap val="100"/>
        <c:axId val="147868672"/>
        <c:axId val="147882752"/>
      </c:barChart>
      <c:scatterChart>
        <c:scatterStyle val="lineMarker"/>
        <c:varyColors val="0"/>
        <c:ser>
          <c:idx val="4"/>
          <c:order val="4"/>
          <c:tx>
            <c:strRef>
              <c:f>'casc P64 EP6 SIL'!$I$54</c:f>
              <c:strCache>
                <c:ptCount val="1"/>
                <c:pt idx="0">
                  <c:v>Objectif</c:v>
                </c:pt>
              </c:strCache>
            </c:strRef>
          </c:tx>
          <c:spPr>
            <a:ln>
              <a:solidFill>
                <a:sysClr val="windowText" lastClr="000000"/>
              </a:solidFill>
              <a:prstDash val="dash"/>
            </a:ln>
          </c:spPr>
          <c:marker>
            <c:symbol val="none"/>
          </c:marker>
          <c:yVal>
            <c:numRef>
              <c:f>'casc P64 EP6 SIL'!$I$55:$I$65</c:f>
              <c:numCache>
                <c:formatCode>0</c:formatCode>
                <c:ptCount val="11"/>
                <c:pt idx="0">
                  <c:v>88</c:v>
                </c:pt>
                <c:pt idx="1">
                  <c:v>88</c:v>
                </c:pt>
                <c:pt idx="2">
                  <c:v>88</c:v>
                </c:pt>
                <c:pt idx="3">
                  <c:v>88</c:v>
                </c:pt>
                <c:pt idx="4">
                  <c:v>88</c:v>
                </c:pt>
                <c:pt idx="5">
                  <c:v>88</c:v>
                </c:pt>
                <c:pt idx="6">
                  <c:v>88</c:v>
                </c:pt>
                <c:pt idx="7">
                  <c:v>88</c:v>
                </c:pt>
                <c:pt idx="8">
                  <c:v>88</c:v>
                </c:pt>
                <c:pt idx="9">
                  <c:v>88</c:v>
                </c:pt>
                <c:pt idx="10">
                  <c:v>88</c:v>
                </c:pt>
              </c:numCache>
            </c:numRef>
          </c:yVal>
          <c:smooth val="0"/>
          <c:extLst>
            <c:ext xmlns:c16="http://schemas.microsoft.com/office/drawing/2014/chart" uri="{C3380CC4-5D6E-409C-BE32-E72D297353CC}">
              <c16:uniqueId val="{00000032-92F8-405A-9E44-4B8483334192}"/>
            </c:ext>
          </c:extLst>
        </c:ser>
        <c:ser>
          <c:idx val="7"/>
          <c:order val="6"/>
          <c:tx>
            <c:strRef>
              <c:f>'casc P64 EP6 SIL'!$J$54</c:f>
              <c:strCache>
                <c:ptCount val="1"/>
              </c:strCache>
            </c:strRef>
          </c:tx>
          <c:spPr>
            <a:ln>
              <a:solidFill>
                <a:sysClr val="windowText" lastClr="000000"/>
              </a:solidFill>
              <a:prstDash val="dash"/>
            </a:ln>
          </c:spPr>
          <c:marker>
            <c:symbol val="none"/>
          </c:marker>
          <c:dLbls>
            <c:dLbl>
              <c:idx val="5"/>
              <c:layout>
                <c:manualLayout>
                  <c:x val="-7.9948861750354053E-2"/>
                  <c:y val="2.5696965554825139E-2"/>
                </c:manualLayout>
              </c:layout>
              <c:numFmt formatCode="0&quot;kg&quot;" sourceLinked="0"/>
              <c:spPr/>
              <c:txPr>
                <a:bodyPr/>
                <a:lstStyle/>
                <a:p>
                  <a:pPr>
                    <a:defRPr sz="1100" b="1"/>
                  </a:pPr>
                  <a:endParaRPr lang="fr-FR"/>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3-92F8-405A-9E44-4B848333419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SIL'!$J$55:$J$65</c:f>
              <c:numCache>
                <c:formatCode>General</c:formatCode>
                <c:ptCount val="11"/>
              </c:numCache>
            </c:numRef>
          </c:yVal>
          <c:smooth val="0"/>
          <c:extLst>
            <c:ext xmlns:c16="http://schemas.microsoft.com/office/drawing/2014/chart" uri="{C3380CC4-5D6E-409C-BE32-E72D297353CC}">
              <c16:uniqueId val="{00000034-92F8-405A-9E44-4B8483334192}"/>
            </c:ext>
          </c:extLst>
        </c:ser>
        <c:dLbls>
          <c:showLegendKey val="0"/>
          <c:showVal val="0"/>
          <c:showCatName val="0"/>
          <c:showSerName val="0"/>
          <c:showPercent val="0"/>
          <c:showBubbleSize val="0"/>
        </c:dLbls>
        <c:axId val="147868672"/>
        <c:axId val="147882752"/>
      </c:scatterChart>
      <c:catAx>
        <c:axId val="147868672"/>
        <c:scaling>
          <c:orientation val="minMax"/>
        </c:scaling>
        <c:delete val="0"/>
        <c:axPos val="b"/>
        <c:numFmt formatCode="General" sourceLinked="0"/>
        <c:majorTickMark val="out"/>
        <c:minorTickMark val="none"/>
        <c:tickLblPos val="nextTo"/>
        <c:txPr>
          <a:bodyPr/>
          <a:lstStyle/>
          <a:p>
            <a:pPr>
              <a:defRPr sz="1100" b="1"/>
            </a:pPr>
            <a:endParaRPr lang="fr-FR"/>
          </a:p>
        </c:txPr>
        <c:crossAx val="147882752"/>
        <c:crosses val="autoZero"/>
        <c:auto val="1"/>
        <c:lblAlgn val="ctr"/>
        <c:lblOffset val="100"/>
        <c:noMultiLvlLbl val="0"/>
      </c:catAx>
      <c:valAx>
        <c:axId val="147882752"/>
        <c:scaling>
          <c:orientation val="minMax"/>
        </c:scaling>
        <c:delete val="0"/>
        <c:axPos val="l"/>
        <c:numFmt formatCode="0" sourceLinked="0"/>
        <c:majorTickMark val="out"/>
        <c:minorTickMark val="none"/>
        <c:tickLblPos val="nextTo"/>
        <c:txPr>
          <a:bodyPr/>
          <a:lstStyle/>
          <a:p>
            <a:pPr>
              <a:defRPr sz="1600" b="1"/>
            </a:pPr>
            <a:endParaRPr lang="fr-FR"/>
          </a:p>
        </c:txPr>
        <c:crossAx val="147868672"/>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SIL'!$C$92</c:f>
              <c:strCache>
                <c:ptCount val="1"/>
                <c:pt idx="0">
                  <c:v>MàV</c:v>
                </c:pt>
              </c:strCache>
            </c:strRef>
          </c:tx>
          <c:invertIfNegative val="0"/>
          <c:dLbls>
            <c:dLbl>
              <c:idx val="0"/>
              <c:layout>
                <c:manualLayout>
                  <c:x val="3.5847418093694849E-4"/>
                  <c:y val="-0.32239247426935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0A-4165-AD42-B025A24A729D}"/>
                </c:ext>
              </c:extLst>
            </c:dLbl>
            <c:dLbl>
              <c:idx val="2"/>
              <c:layout>
                <c:manualLayout>
                  <c:x val="5.3936821873064242E-3"/>
                  <c:y val="-0.35518635303078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0A-4165-AD42-B025A24A729D}"/>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0A-4165-AD42-B025A24A729D}"/>
                </c:ext>
              </c:extLst>
            </c:dLbl>
            <c:dLbl>
              <c:idx val="5"/>
              <c:layout>
                <c:manualLayout>
                  <c:x val="1.348925066044221E-3"/>
                  <c:y val="-0.34563000343470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0A-4165-AD42-B025A24A729D}"/>
                </c:ext>
              </c:extLst>
            </c:dLbl>
            <c:dLbl>
              <c:idx val="6"/>
              <c:layout>
                <c:manualLayout>
                  <c:x val="-1.15210946388832E-3"/>
                  <c:y val="-0.3317363188204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0A-4165-AD42-B025A24A729D}"/>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0A-4165-AD42-B025A24A729D}"/>
                </c:ext>
              </c:extLst>
            </c:dLbl>
            <c:dLbl>
              <c:idx val="8"/>
              <c:layout>
                <c:manualLayout>
                  <c:x val="2.6957761360046511E-3"/>
                  <c:y val="-0.1747715294136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20A-4165-AD42-B025A24A729D}"/>
                </c:ext>
              </c:extLst>
            </c:dLbl>
            <c:dLbl>
              <c:idx val="9"/>
              <c:layout>
                <c:manualLayout>
                  <c:x val="1.3150426175349212E-3"/>
                  <c:y val="-0.34046747465655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0A-4165-AD42-B025A24A729D}"/>
                </c:ext>
              </c:extLst>
            </c:dLbl>
            <c:dLbl>
              <c:idx val="10"/>
              <c:layout>
                <c:manualLayout>
                  <c:x val="0"/>
                  <c:y val="-0.373148154053175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0A-4165-AD42-B025A24A729D}"/>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20A-4165-AD42-B025A24A729D}"/>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20A-4165-AD42-B025A24A729D}"/>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SIL'!$A$93:$A$102</c:f>
              <c:strCache>
                <c:ptCount val="10"/>
                <c:pt idx="0">
                  <c:v>DCHM/SIL :P84 EP6FADTXd ATN8</c:v>
                </c:pt>
                <c:pt idx="1">
                  <c:v>Concept</c:v>
                </c:pt>
                <c:pt idx="2">
                  <c:v>DCHM/SIL : P64€ EP6 ATN8 (Réf)</c:v>
                </c:pt>
                <c:pt idx="3">
                  <c:v>P1</c:v>
                </c:pt>
                <c:pt idx="4">
                  <c:v>RISQUES</c:v>
                </c:pt>
                <c:pt idx="5">
                  <c:v>DCHM/SIL : P64€ EP6 ATN8 (Potentiel)</c:v>
                </c:pt>
                <c:pt idx="6">
                  <c:v>P2</c:v>
                </c:pt>
                <c:pt idx="7">
                  <c:v>P3</c:v>
                </c:pt>
                <c:pt idx="8">
                  <c:v>RISQUES_P3</c:v>
                </c:pt>
                <c:pt idx="9">
                  <c:v>DCHM/SIL : P64€ EP6 ATN8 (Potentiel Max)</c:v>
                </c:pt>
              </c:strCache>
            </c:strRef>
          </c:cat>
          <c:val>
            <c:numRef>
              <c:f>'casc P64 EP6 SIL'!$C$93:$C$102</c:f>
              <c:numCache>
                <c:formatCode>General</c:formatCode>
                <c:ptCount val="10"/>
                <c:pt idx="0" formatCode="0">
                  <c:v>0</c:v>
                </c:pt>
                <c:pt idx="2" formatCode="0">
                  <c:v>0</c:v>
                </c:pt>
                <c:pt idx="5" formatCode="0.0">
                  <c:v>0</c:v>
                </c:pt>
                <c:pt idx="9" formatCode="0.0">
                  <c:v>0</c:v>
                </c:pt>
              </c:numCache>
            </c:numRef>
          </c:val>
          <c:extLst>
            <c:ext xmlns:c16="http://schemas.microsoft.com/office/drawing/2014/chart" uri="{C3380CC4-5D6E-409C-BE32-E72D297353CC}">
              <c16:uniqueId val="{0000000B-F20A-4165-AD42-B025A24A729D}"/>
            </c:ext>
          </c:extLst>
        </c:ser>
        <c:ser>
          <c:idx val="1"/>
          <c:order val="1"/>
          <c:tx>
            <c:strRef>
              <c:f>'casc P64 EP6 SIL'!$D$92</c:f>
              <c:strCache>
                <c:ptCount val="1"/>
              </c:strCache>
            </c:strRef>
          </c:tx>
          <c:spPr>
            <a:noFill/>
          </c:spPr>
          <c:invertIfNegative val="0"/>
          <c:cat>
            <c:strRef>
              <c:f>'casc P64 EP6 SIL'!$A$93:$A$102</c:f>
              <c:strCache>
                <c:ptCount val="10"/>
                <c:pt idx="0">
                  <c:v>DCHM/SIL :P84 EP6FADTXd ATN8</c:v>
                </c:pt>
                <c:pt idx="1">
                  <c:v>Concept</c:v>
                </c:pt>
                <c:pt idx="2">
                  <c:v>DCHM/SIL : P64€ EP6 ATN8 (Réf)</c:v>
                </c:pt>
                <c:pt idx="3">
                  <c:v>P1</c:v>
                </c:pt>
                <c:pt idx="4">
                  <c:v>RISQUES</c:v>
                </c:pt>
                <c:pt idx="5">
                  <c:v>DCHM/SIL : P64€ EP6 ATN8 (Potentiel)</c:v>
                </c:pt>
                <c:pt idx="6">
                  <c:v>P2</c:v>
                </c:pt>
                <c:pt idx="7">
                  <c:v>P3</c:v>
                </c:pt>
                <c:pt idx="8">
                  <c:v>RISQUES_P3</c:v>
                </c:pt>
                <c:pt idx="9">
                  <c:v>DCHM/SIL : P64€ EP6 ATN8 (Potentiel Max)</c:v>
                </c:pt>
              </c:strCache>
            </c:strRef>
          </c:cat>
          <c:val>
            <c:numRef>
              <c:f>'casc P64 EP6 SIL'!$D$93:$D$102</c:f>
              <c:numCache>
                <c:formatCode>0</c:formatCode>
                <c:ptCount val="10"/>
                <c:pt idx="1">
                  <c:v>0</c:v>
                </c:pt>
                <c:pt idx="3">
                  <c:v>0</c:v>
                </c:pt>
                <c:pt idx="4">
                  <c:v>0</c:v>
                </c:pt>
                <c:pt idx="6">
                  <c:v>0</c:v>
                </c:pt>
                <c:pt idx="7">
                  <c:v>0</c:v>
                </c:pt>
                <c:pt idx="8">
                  <c:v>0</c:v>
                </c:pt>
              </c:numCache>
            </c:numRef>
          </c:val>
          <c:extLst>
            <c:ext xmlns:c16="http://schemas.microsoft.com/office/drawing/2014/chart" uri="{C3380CC4-5D6E-409C-BE32-E72D297353CC}">
              <c16:uniqueId val="{0000000C-F20A-4165-AD42-B025A24A729D}"/>
            </c:ext>
          </c:extLst>
        </c:ser>
        <c:ser>
          <c:idx val="2"/>
          <c:order val="2"/>
          <c:tx>
            <c:strRef>
              <c:f>'casc P64 EP6 SIL'!$E$92</c:f>
              <c:strCache>
                <c:ptCount val="1"/>
                <c:pt idx="0">
                  <c:v>Dérive</c:v>
                </c:pt>
              </c:strCache>
            </c:strRef>
          </c:tx>
          <c:spPr>
            <a:solidFill>
              <a:schemeClr val="bg1">
                <a:lumMod val="65000"/>
              </a:schemeClr>
            </a:solidFill>
          </c:spPr>
          <c:invertIfNegative val="0"/>
          <c:dPt>
            <c:idx val="4"/>
            <c:invertIfNegative val="0"/>
            <c:bubble3D val="0"/>
            <c:spPr>
              <a:solidFill>
                <a:srgbClr val="FF0000"/>
              </a:solidFill>
            </c:spPr>
            <c:extLst>
              <c:ext xmlns:c16="http://schemas.microsoft.com/office/drawing/2014/chart" uri="{C3380CC4-5D6E-409C-BE32-E72D297353CC}">
                <c16:uniqueId val="{0000000E-F20A-4165-AD42-B025A24A729D}"/>
              </c:ext>
            </c:extLst>
          </c:dPt>
          <c:dLbls>
            <c:dLbl>
              <c:idx val="1"/>
              <c:layout>
                <c:manualLayout>
                  <c:x val="-1.3486064223278325E-3"/>
                  <c:y val="-6.308939971082915E-2"/>
                </c:manualLayout>
              </c:layout>
              <c:numFmt formatCode="\+0.0&quot;kg&quot;" sourceLinked="0"/>
              <c:spPr/>
              <c:txPr>
                <a:bodyPr/>
                <a:lstStyle/>
                <a:p>
                  <a:pPr>
                    <a:defRPr sz="1400" b="1"/>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20A-4165-AD42-B025A24A729D}"/>
                </c:ext>
              </c:extLst>
            </c:dLbl>
            <c:dLbl>
              <c:idx val="4"/>
              <c:layout>
                <c:manualLayout>
                  <c:x val="0"/>
                  <c:y val="-8.2259384176455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20A-4165-AD42-B025A24A729D}"/>
                </c:ext>
              </c:extLst>
            </c:dLbl>
            <c:dLbl>
              <c:idx val="8"/>
              <c:layout>
                <c:manualLayout>
                  <c:x val="0"/>
                  <c:y val="-9.5456446259683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20A-4165-AD42-B025A24A729D}"/>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20A-4165-AD42-B025A24A729D}"/>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SIL'!$A$93:$A$102</c:f>
              <c:strCache>
                <c:ptCount val="10"/>
                <c:pt idx="0">
                  <c:v>DCHM/SIL :P84 EP6FADTXd ATN8</c:v>
                </c:pt>
                <c:pt idx="1">
                  <c:v>Concept</c:v>
                </c:pt>
                <c:pt idx="2">
                  <c:v>DCHM/SIL : P64€ EP6 ATN8 (Réf)</c:v>
                </c:pt>
                <c:pt idx="3">
                  <c:v>P1</c:v>
                </c:pt>
                <c:pt idx="4">
                  <c:v>RISQUES</c:v>
                </c:pt>
                <c:pt idx="5">
                  <c:v>DCHM/SIL : P64€ EP6 ATN8 (Potentiel)</c:v>
                </c:pt>
                <c:pt idx="6">
                  <c:v>P2</c:v>
                </c:pt>
                <c:pt idx="7">
                  <c:v>P3</c:v>
                </c:pt>
                <c:pt idx="8">
                  <c:v>RISQUES_P3</c:v>
                </c:pt>
                <c:pt idx="9">
                  <c:v>DCHM/SIL : P64€ EP6 ATN8 (Potentiel Max)</c:v>
                </c:pt>
              </c:strCache>
            </c:strRef>
          </c:cat>
          <c:val>
            <c:numRef>
              <c:f>'casc P64 EP6 SIL'!$E$93:$E$102</c:f>
              <c:numCache>
                <c:formatCode>0</c:formatCode>
                <c:ptCount val="10"/>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3-F20A-4165-AD42-B025A24A729D}"/>
            </c:ext>
          </c:extLst>
        </c:ser>
        <c:ser>
          <c:idx val="3"/>
          <c:order val="3"/>
          <c:tx>
            <c:strRef>
              <c:f>'casc P64 EP6 SIL'!$F$92</c:f>
              <c:strCache>
                <c:ptCount val="1"/>
                <c:pt idx="0">
                  <c:v>Gain</c:v>
                </c:pt>
              </c:strCache>
            </c:strRef>
          </c:tx>
          <c:spPr>
            <a:solidFill>
              <a:srgbClr val="92D050"/>
            </a:solidFill>
          </c:spPr>
          <c:invertIfNegative val="0"/>
          <c:dPt>
            <c:idx val="1"/>
            <c:invertIfNegative val="0"/>
            <c:bubble3D val="0"/>
            <c:extLst>
              <c:ext xmlns:c16="http://schemas.microsoft.com/office/drawing/2014/chart" uri="{C3380CC4-5D6E-409C-BE32-E72D297353CC}">
                <c16:uniqueId val="{00000014-F20A-4165-AD42-B025A24A729D}"/>
              </c:ext>
            </c:extLst>
          </c:dPt>
          <c:dPt>
            <c:idx val="2"/>
            <c:invertIfNegative val="0"/>
            <c:bubble3D val="0"/>
            <c:extLst>
              <c:ext xmlns:c16="http://schemas.microsoft.com/office/drawing/2014/chart" uri="{C3380CC4-5D6E-409C-BE32-E72D297353CC}">
                <c16:uniqueId val="{00000015-F20A-4165-AD42-B025A24A729D}"/>
              </c:ext>
            </c:extLst>
          </c:dPt>
          <c:dPt>
            <c:idx val="3"/>
            <c:invertIfNegative val="0"/>
            <c:bubble3D val="0"/>
            <c:extLst>
              <c:ext xmlns:c16="http://schemas.microsoft.com/office/drawing/2014/chart" uri="{C3380CC4-5D6E-409C-BE32-E72D297353CC}">
                <c16:uniqueId val="{00000016-F20A-4165-AD42-B025A24A729D}"/>
              </c:ext>
            </c:extLst>
          </c:dPt>
          <c:dPt>
            <c:idx val="4"/>
            <c:invertIfNegative val="0"/>
            <c:bubble3D val="0"/>
            <c:extLst>
              <c:ext xmlns:c16="http://schemas.microsoft.com/office/drawing/2014/chart" uri="{C3380CC4-5D6E-409C-BE32-E72D297353CC}">
                <c16:uniqueId val="{00000017-F20A-4165-AD42-B025A24A729D}"/>
              </c:ext>
            </c:extLst>
          </c:dPt>
          <c:dPt>
            <c:idx val="5"/>
            <c:invertIfNegative val="0"/>
            <c:bubble3D val="0"/>
            <c:extLst>
              <c:ext xmlns:c16="http://schemas.microsoft.com/office/drawing/2014/chart" uri="{C3380CC4-5D6E-409C-BE32-E72D297353CC}">
                <c16:uniqueId val="{00000018-F20A-4165-AD42-B025A24A729D}"/>
              </c:ext>
            </c:extLst>
          </c:dPt>
          <c:dPt>
            <c:idx val="6"/>
            <c:invertIfNegative val="0"/>
            <c:bubble3D val="0"/>
            <c:extLst>
              <c:ext xmlns:c16="http://schemas.microsoft.com/office/drawing/2014/chart" uri="{C3380CC4-5D6E-409C-BE32-E72D297353CC}">
                <c16:uniqueId val="{00000019-F20A-4165-AD42-B025A24A729D}"/>
              </c:ext>
            </c:extLst>
          </c:dPt>
          <c:dPt>
            <c:idx val="7"/>
            <c:invertIfNegative val="0"/>
            <c:bubble3D val="0"/>
            <c:extLst>
              <c:ext xmlns:c16="http://schemas.microsoft.com/office/drawing/2014/chart" uri="{C3380CC4-5D6E-409C-BE32-E72D297353CC}">
                <c16:uniqueId val="{0000001A-F20A-4165-AD42-B025A24A729D}"/>
              </c:ext>
            </c:extLst>
          </c:dPt>
          <c:dPt>
            <c:idx val="8"/>
            <c:invertIfNegative val="0"/>
            <c:bubble3D val="0"/>
            <c:extLst>
              <c:ext xmlns:c16="http://schemas.microsoft.com/office/drawing/2014/chart" uri="{C3380CC4-5D6E-409C-BE32-E72D297353CC}">
                <c16:uniqueId val="{0000001B-F20A-4165-AD42-B025A24A729D}"/>
              </c:ext>
            </c:extLst>
          </c:dPt>
          <c:dPt>
            <c:idx val="9"/>
            <c:invertIfNegative val="0"/>
            <c:bubble3D val="0"/>
            <c:extLst>
              <c:ext xmlns:c16="http://schemas.microsoft.com/office/drawing/2014/chart" uri="{C3380CC4-5D6E-409C-BE32-E72D297353CC}">
                <c16:uniqueId val="{0000001C-F20A-4165-AD42-B025A24A729D}"/>
              </c:ext>
            </c:extLst>
          </c:dPt>
          <c:dPt>
            <c:idx val="10"/>
            <c:invertIfNegative val="0"/>
            <c:bubble3D val="0"/>
            <c:extLst>
              <c:ext xmlns:c16="http://schemas.microsoft.com/office/drawing/2014/chart" uri="{C3380CC4-5D6E-409C-BE32-E72D297353CC}">
                <c16:uniqueId val="{0000001D-F20A-4165-AD42-B025A24A729D}"/>
              </c:ext>
            </c:extLst>
          </c:dPt>
          <c:dPt>
            <c:idx val="11"/>
            <c:invertIfNegative val="0"/>
            <c:bubble3D val="0"/>
            <c:extLst>
              <c:ext xmlns:c16="http://schemas.microsoft.com/office/drawing/2014/chart" uri="{C3380CC4-5D6E-409C-BE32-E72D297353CC}">
                <c16:uniqueId val="{0000001E-F20A-4165-AD42-B025A24A729D}"/>
              </c:ext>
            </c:extLst>
          </c:dPt>
          <c:dLbls>
            <c:dLbl>
              <c:idx val="1"/>
              <c:delete val="1"/>
              <c:extLst>
                <c:ext xmlns:c15="http://schemas.microsoft.com/office/drawing/2012/chart" uri="{CE6537A1-D6FC-4f65-9D91-7224C49458BB}"/>
                <c:ext xmlns:c16="http://schemas.microsoft.com/office/drawing/2014/chart" uri="{C3380CC4-5D6E-409C-BE32-E72D297353CC}">
                  <c16:uniqueId val="{00000014-F20A-4165-AD42-B025A24A729D}"/>
                </c:ext>
              </c:extLst>
            </c:dLbl>
            <c:dLbl>
              <c:idx val="2"/>
              <c:delete val="1"/>
              <c:extLst>
                <c:ext xmlns:c15="http://schemas.microsoft.com/office/drawing/2012/chart" uri="{CE6537A1-D6FC-4f65-9D91-7224C49458BB}"/>
                <c:ext xmlns:c16="http://schemas.microsoft.com/office/drawing/2014/chart" uri="{C3380CC4-5D6E-409C-BE32-E72D297353CC}">
                  <c16:uniqueId val="{00000015-F20A-4165-AD42-B025A24A729D}"/>
                </c:ext>
              </c:extLst>
            </c:dLbl>
            <c:dLbl>
              <c:idx val="3"/>
              <c:layout>
                <c:manualLayout>
                  <c:x val="0"/>
                  <c:y val="-9.87112610117463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20A-4165-AD42-B025A24A729D}"/>
                </c:ext>
              </c:extLst>
            </c:dLbl>
            <c:dLbl>
              <c:idx val="4"/>
              <c:delete val="1"/>
              <c:extLst>
                <c:ext xmlns:c15="http://schemas.microsoft.com/office/drawing/2012/chart" uri="{CE6537A1-D6FC-4f65-9D91-7224C49458BB}"/>
                <c:ext xmlns:c16="http://schemas.microsoft.com/office/drawing/2014/chart" uri="{C3380CC4-5D6E-409C-BE32-E72D297353CC}">
                  <c16:uniqueId val="{00000017-F20A-4165-AD42-B025A24A729D}"/>
                </c:ext>
              </c:extLst>
            </c:dLbl>
            <c:dLbl>
              <c:idx val="6"/>
              <c:layout>
                <c:manualLayout>
                  <c:x val="-9.5593114926411593E-7"/>
                  <c:y val="-3.3935438553016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F20A-4165-AD42-B025A24A729D}"/>
                </c:ext>
              </c:extLst>
            </c:dLbl>
            <c:dLbl>
              <c:idx val="7"/>
              <c:layout>
                <c:manualLayout>
                  <c:x val="0"/>
                  <c:y val="-8.67785875088031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F20A-4165-AD42-B025A24A729D}"/>
                </c:ext>
              </c:extLst>
            </c:dLbl>
            <c:dLbl>
              <c:idx val="8"/>
              <c:delete val="1"/>
              <c:extLst>
                <c:ext xmlns:c15="http://schemas.microsoft.com/office/drawing/2012/chart" uri="{CE6537A1-D6FC-4f65-9D91-7224C49458BB}"/>
                <c:ext xmlns:c16="http://schemas.microsoft.com/office/drawing/2014/chart" uri="{C3380CC4-5D6E-409C-BE32-E72D297353CC}">
                  <c16:uniqueId val="{0000001B-F20A-4165-AD42-B025A24A729D}"/>
                </c:ext>
              </c:extLst>
            </c:dLbl>
            <c:dLbl>
              <c:idx val="9"/>
              <c:delete val="1"/>
              <c:extLst>
                <c:ext xmlns:c15="http://schemas.microsoft.com/office/drawing/2012/chart" uri="{CE6537A1-D6FC-4f65-9D91-7224C49458BB}"/>
                <c:ext xmlns:c16="http://schemas.microsoft.com/office/drawing/2014/chart" uri="{C3380CC4-5D6E-409C-BE32-E72D297353CC}">
                  <c16:uniqueId val="{0000001C-F20A-4165-AD42-B025A24A729D}"/>
                </c:ext>
              </c:extLst>
            </c:dLbl>
            <c:dLbl>
              <c:idx val="11"/>
              <c:delete val="1"/>
              <c:extLst>
                <c:ext xmlns:c15="http://schemas.microsoft.com/office/drawing/2012/chart" uri="{CE6537A1-D6FC-4f65-9D91-7224C49458BB}"/>
                <c:ext xmlns:c16="http://schemas.microsoft.com/office/drawing/2014/chart" uri="{C3380CC4-5D6E-409C-BE32-E72D297353CC}">
                  <c16:uniqueId val="{0000001E-F20A-4165-AD42-B025A24A729D}"/>
                </c:ext>
              </c:extLst>
            </c:dLbl>
            <c:dLbl>
              <c:idx val="12"/>
              <c:delete val="1"/>
              <c:extLst>
                <c:ext xmlns:c15="http://schemas.microsoft.com/office/drawing/2012/chart" uri="{CE6537A1-D6FC-4f65-9D91-7224C49458BB}"/>
                <c:ext xmlns:c16="http://schemas.microsoft.com/office/drawing/2014/chart" uri="{C3380CC4-5D6E-409C-BE32-E72D297353CC}">
                  <c16:uniqueId val="{0000001F-F20A-4165-AD42-B025A24A729D}"/>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SIL'!$A$93:$A$102</c:f>
              <c:strCache>
                <c:ptCount val="10"/>
                <c:pt idx="0">
                  <c:v>DCHM/SIL :P84 EP6FADTXd ATN8</c:v>
                </c:pt>
                <c:pt idx="1">
                  <c:v>Concept</c:v>
                </c:pt>
                <c:pt idx="2">
                  <c:v>DCHM/SIL : P64€ EP6 ATN8 (Réf)</c:v>
                </c:pt>
                <c:pt idx="3">
                  <c:v>P1</c:v>
                </c:pt>
                <c:pt idx="4">
                  <c:v>RISQUES</c:v>
                </c:pt>
                <c:pt idx="5">
                  <c:v>DCHM/SIL : P64€ EP6 ATN8 (Potentiel)</c:v>
                </c:pt>
                <c:pt idx="6">
                  <c:v>P2</c:v>
                </c:pt>
                <c:pt idx="7">
                  <c:v>P3</c:v>
                </c:pt>
                <c:pt idx="8">
                  <c:v>RISQUES_P3</c:v>
                </c:pt>
                <c:pt idx="9">
                  <c:v>DCHM/SIL : P64€ EP6 ATN8 (Potentiel Max)</c:v>
                </c:pt>
              </c:strCache>
            </c:strRef>
          </c:cat>
          <c:val>
            <c:numRef>
              <c:f>'casc P64 EP6 SIL'!$F$93:$F$102</c:f>
              <c:numCache>
                <c:formatCode>0</c:formatCode>
                <c:ptCount val="10"/>
                <c:pt idx="1">
                  <c:v>0</c:v>
                </c:pt>
                <c:pt idx="2">
                  <c:v>0</c:v>
                </c:pt>
                <c:pt idx="3">
                  <c:v>0</c:v>
                </c:pt>
                <c:pt idx="4">
                  <c:v>0</c:v>
                </c:pt>
                <c:pt idx="6">
                  <c:v>0</c:v>
                </c:pt>
                <c:pt idx="7">
                  <c:v>0</c:v>
                </c:pt>
                <c:pt idx="8">
                  <c:v>0</c:v>
                </c:pt>
              </c:numCache>
            </c:numRef>
          </c:val>
          <c:extLst>
            <c:ext xmlns:c16="http://schemas.microsoft.com/office/drawing/2014/chart" uri="{C3380CC4-5D6E-409C-BE32-E72D297353CC}">
              <c16:uniqueId val="{00000020-F20A-4165-AD42-B025A24A729D}"/>
            </c:ext>
          </c:extLst>
        </c:ser>
        <c:dLbls>
          <c:showLegendKey val="0"/>
          <c:showVal val="0"/>
          <c:showCatName val="0"/>
          <c:showSerName val="0"/>
          <c:showPercent val="0"/>
          <c:showBubbleSize val="0"/>
        </c:dLbls>
        <c:gapWidth val="150"/>
        <c:overlap val="100"/>
        <c:axId val="150277504"/>
        <c:axId val="150312064"/>
      </c:barChart>
      <c:scatterChart>
        <c:scatterStyle val="lineMarker"/>
        <c:varyColors val="0"/>
        <c:ser>
          <c:idx val="4"/>
          <c:order val="4"/>
          <c:tx>
            <c:strRef>
              <c:f>'casc P64 EP6 SIL'!$I$92</c:f>
              <c:strCache>
                <c:ptCount val="1"/>
                <c:pt idx="0">
                  <c:v>Objectif</c:v>
                </c:pt>
              </c:strCache>
            </c:strRef>
          </c:tx>
          <c:spPr>
            <a:ln>
              <a:solidFill>
                <a:sysClr val="windowText" lastClr="000000"/>
              </a:solidFill>
              <a:prstDash val="dash"/>
            </a:ln>
          </c:spPr>
          <c:marker>
            <c:symbol val="none"/>
          </c:marker>
          <c:yVal>
            <c:numRef>
              <c:f>'casc P64 EP6 SIL'!$I$93:$I$102</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22-F20A-4165-AD42-B025A24A729D}"/>
            </c:ext>
          </c:extLst>
        </c:ser>
        <c:dLbls>
          <c:showLegendKey val="0"/>
          <c:showVal val="0"/>
          <c:showCatName val="0"/>
          <c:showSerName val="0"/>
          <c:showPercent val="0"/>
          <c:showBubbleSize val="0"/>
        </c:dLbls>
        <c:axId val="150277504"/>
        <c:axId val="150312064"/>
      </c:scatterChart>
      <c:catAx>
        <c:axId val="150277504"/>
        <c:scaling>
          <c:orientation val="minMax"/>
        </c:scaling>
        <c:delete val="0"/>
        <c:axPos val="b"/>
        <c:numFmt formatCode="General" sourceLinked="0"/>
        <c:majorTickMark val="out"/>
        <c:minorTickMark val="none"/>
        <c:tickLblPos val="nextTo"/>
        <c:txPr>
          <a:bodyPr/>
          <a:lstStyle/>
          <a:p>
            <a:pPr>
              <a:defRPr sz="1000" b="1"/>
            </a:pPr>
            <a:endParaRPr lang="fr-FR"/>
          </a:p>
        </c:txPr>
        <c:crossAx val="150312064"/>
        <c:crosses val="autoZero"/>
        <c:auto val="1"/>
        <c:lblAlgn val="ctr"/>
        <c:lblOffset val="100"/>
        <c:noMultiLvlLbl val="0"/>
      </c:catAx>
      <c:valAx>
        <c:axId val="150312064"/>
        <c:scaling>
          <c:orientation val="minMax"/>
          <c:min val="400"/>
        </c:scaling>
        <c:delete val="0"/>
        <c:axPos val="l"/>
        <c:numFmt formatCode="0" sourceLinked="0"/>
        <c:majorTickMark val="out"/>
        <c:minorTickMark val="none"/>
        <c:tickLblPos val="nextTo"/>
        <c:txPr>
          <a:bodyPr/>
          <a:lstStyle/>
          <a:p>
            <a:pPr>
              <a:defRPr sz="1600" b="1"/>
            </a:pPr>
            <a:endParaRPr lang="fr-FR"/>
          </a:p>
        </c:txPr>
        <c:crossAx val="150277504"/>
        <c:crosses val="autoZero"/>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SIL'!$C$166</c:f>
              <c:strCache>
                <c:ptCount val="1"/>
                <c:pt idx="0">
                  <c:v>MàV</c:v>
                </c:pt>
              </c:strCache>
            </c:strRef>
          </c:tx>
          <c:invertIfNegative val="0"/>
          <c:dLbls>
            <c:dLbl>
              <c:idx val="0"/>
              <c:layout>
                <c:manualLayout>
                  <c:x val="-9.9045088510727256E-4"/>
                  <c:y val="-0.30792937635121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88-4FB7-A94F-E3D3015CFD26}"/>
                </c:ext>
              </c:extLst>
            </c:dLbl>
            <c:dLbl>
              <c:idx val="2"/>
              <c:layout>
                <c:manualLayout>
                  <c:x val="1.3469069891737611E-3"/>
                  <c:y val="-0.30311920052550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88-4FB7-A94F-E3D3015CFD26}"/>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88-4FB7-A94F-E3D3015CFD26}"/>
                </c:ext>
              </c:extLst>
            </c:dLbl>
            <c:dLbl>
              <c:idx val="4"/>
              <c:layout>
                <c:manualLayout>
                  <c:x val="0"/>
                  <c:y val="-0.274798860444543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88-4FB7-A94F-E3D3015CFD26}"/>
                </c:ext>
              </c:extLst>
            </c:dLbl>
            <c:dLbl>
              <c:idx val="5"/>
              <c:layout>
                <c:manualLayout>
                  <c:x val="2.6978501320884421E-3"/>
                  <c:y val="-0.29934809009667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88-4FB7-A94F-E3D3015CFD26}"/>
                </c:ext>
              </c:extLst>
            </c:dLbl>
            <c:dLbl>
              <c:idx val="6"/>
              <c:layout>
                <c:manualLayout>
                  <c:x val="-3.8499595959767619E-3"/>
                  <c:y val="-0.32305846006955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88-4FB7-A94F-E3D3015CFD26}"/>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88-4FB7-A94F-E3D3015CFD26}"/>
                </c:ext>
              </c:extLst>
            </c:dLbl>
            <c:dLbl>
              <c:idx val="8"/>
              <c:layout>
                <c:manualLayout>
                  <c:x val="2.6957258406457535E-3"/>
                  <c:y val="-0.26155020722088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88-4FB7-A94F-E3D3015CFD26}"/>
                </c:ext>
              </c:extLst>
            </c:dLbl>
            <c:dLbl>
              <c:idx val="9"/>
              <c:layout>
                <c:manualLayout>
                  <c:x val="-3.3882448509398646E-5"/>
                  <c:y val="-0.25658150673137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188-4FB7-A94F-E3D3015CFD26}"/>
                </c:ext>
              </c:extLst>
            </c:dLbl>
            <c:dLbl>
              <c:idx val="10"/>
              <c:layout>
                <c:manualLayout>
                  <c:x val="4.0467751981326629E-3"/>
                  <c:y val="-0.38182578503873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188-4FB7-A94F-E3D3015CFD26}"/>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188-4FB7-A94F-E3D3015CFD26}"/>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188-4FB7-A94F-E3D3015CFD26}"/>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SIL'!$A$167:$A$176</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SIL'!$C$167:$C$176</c:f>
              <c:numCache>
                <c:formatCode>General</c:formatCode>
                <c:ptCount val="10"/>
                <c:pt idx="0" formatCode="0">
                  <c:v>181.09970000000001</c:v>
                </c:pt>
                <c:pt idx="2" formatCode="0.0">
                  <c:v>0</c:v>
                </c:pt>
                <c:pt idx="4" formatCode="0.0">
                  <c:v>0</c:v>
                </c:pt>
                <c:pt idx="8" formatCode="0">
                  <c:v>0</c:v>
                </c:pt>
              </c:numCache>
            </c:numRef>
          </c:val>
          <c:extLst>
            <c:ext xmlns:c16="http://schemas.microsoft.com/office/drawing/2014/chart" uri="{C3380CC4-5D6E-409C-BE32-E72D297353CC}">
              <c16:uniqueId val="{0000000C-7188-4FB7-A94F-E3D3015CFD26}"/>
            </c:ext>
          </c:extLst>
        </c:ser>
        <c:ser>
          <c:idx val="1"/>
          <c:order val="1"/>
          <c:tx>
            <c:strRef>
              <c:f>'casc P64 EP6 SIL'!$D$92</c:f>
              <c:strCache>
                <c:ptCount val="1"/>
              </c:strCache>
            </c:strRef>
          </c:tx>
          <c:spPr>
            <a:noFill/>
          </c:spPr>
          <c:invertIfNegative val="0"/>
          <c:cat>
            <c:strRef>
              <c:f>'casc P64 EP6 SIL'!$A$167:$A$176</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SIL'!$D$167:$D$176</c:f>
              <c:numCache>
                <c:formatCode>0</c:formatCode>
                <c:ptCount val="10"/>
                <c:pt idx="1">
                  <c:v>0</c:v>
                </c:pt>
                <c:pt idx="3">
                  <c:v>0</c:v>
                </c:pt>
                <c:pt idx="5">
                  <c:v>0</c:v>
                </c:pt>
                <c:pt idx="6">
                  <c:v>0</c:v>
                </c:pt>
                <c:pt idx="7">
                  <c:v>0</c:v>
                </c:pt>
              </c:numCache>
            </c:numRef>
          </c:val>
          <c:extLst>
            <c:ext xmlns:c16="http://schemas.microsoft.com/office/drawing/2014/chart" uri="{C3380CC4-5D6E-409C-BE32-E72D297353CC}">
              <c16:uniqueId val="{0000000D-7188-4FB7-A94F-E3D3015CFD26}"/>
            </c:ext>
          </c:extLst>
        </c:ser>
        <c:ser>
          <c:idx val="2"/>
          <c:order val="2"/>
          <c:tx>
            <c:strRef>
              <c:f>'casc P64 EP6 SIL'!$E$166</c:f>
              <c:strCache>
                <c:ptCount val="1"/>
                <c:pt idx="0">
                  <c:v>Dérive</c:v>
                </c:pt>
              </c:strCache>
            </c:strRef>
          </c:tx>
          <c:spPr>
            <a:solidFill>
              <a:schemeClr val="bg1">
                <a:lumMod val="65000"/>
              </a:schemeClr>
            </a:solidFill>
          </c:spPr>
          <c:invertIfNegative val="0"/>
          <c:dLbls>
            <c:dLbl>
              <c:idx val="1"/>
              <c:layout>
                <c:manualLayout>
                  <c:x val="-1.3486064223278325E-3"/>
                  <c:y val="-1.9700105956427582E-2"/>
                </c:manualLayout>
              </c:layout>
              <c:numFmt formatCode="\+0.0&quot;kg&quot;" sourceLinked="0"/>
              <c:spPr/>
              <c:txPr>
                <a:bodyPr/>
                <a:lstStyle/>
                <a:p>
                  <a:pPr>
                    <a:defRPr sz="1400" b="1"/>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188-4FB7-A94F-E3D3015CFD2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188-4FB7-A94F-E3D3015CFD26}"/>
                </c:ext>
              </c:extLst>
            </c:dLbl>
            <c:dLbl>
              <c:idx val="7"/>
              <c:layout>
                <c:manualLayout>
                  <c:x val="-1.348925066044221E-3"/>
                  <c:y val="-5.2067152505281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188-4FB7-A94F-E3D3015CFD26}"/>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'casc P64 EP6 SIL'!$A$167:$A$176</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SIL'!$E$167:$E$176</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1-7188-4FB7-A94F-E3D3015CFD26}"/>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3-7188-4FB7-A94F-E3D3015CFD26}"/>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5-7188-4FB7-A94F-E3D3015CFD26}"/>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7-7188-4FB7-A94F-E3D3015CFD26}"/>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9-7188-4FB7-A94F-E3D3015CFD26}"/>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B-7188-4FB7-A94F-E3D3015CFD26}"/>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D-7188-4FB7-A94F-E3D3015CFD26}"/>
              </c:ext>
            </c:extLst>
          </c:dPt>
          <c:cat>
            <c:strRef>
              <c:f>'casc P64 EP6 SIL'!$A$167:$A$176</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SIL'!$M$93:$M$102</c:f>
              <c:numCache>
                <c:formatCode>General</c:formatCode>
                <c:ptCount val="10"/>
              </c:numCache>
            </c:numRef>
          </c:val>
          <c:extLst>
            <c:ext xmlns:c16="http://schemas.microsoft.com/office/drawing/2014/chart" uri="{C3380CC4-5D6E-409C-BE32-E72D297353CC}">
              <c16:uniqueId val="{0000001E-7188-4FB7-A94F-E3D3015CFD26}"/>
            </c:ext>
          </c:extLst>
        </c:ser>
        <c:ser>
          <c:idx val="3"/>
          <c:order val="4"/>
          <c:tx>
            <c:strRef>
              <c:f>'casc P64 EP6 SIL'!$F$166</c:f>
              <c:strCache>
                <c:ptCount val="1"/>
                <c:pt idx="0">
                  <c:v>Gain</c:v>
                </c:pt>
              </c:strCache>
            </c:strRef>
          </c:tx>
          <c:spPr>
            <a:solidFill>
              <a:srgbClr val="FF0000"/>
            </a:solidFill>
          </c:spPr>
          <c:invertIfNegative val="0"/>
          <c:dPt>
            <c:idx val="1"/>
            <c:invertIfNegative val="0"/>
            <c:bubble3D val="0"/>
            <c:extLst>
              <c:ext xmlns:c16="http://schemas.microsoft.com/office/drawing/2014/chart" uri="{C3380CC4-5D6E-409C-BE32-E72D297353CC}">
                <c16:uniqueId val="{0000001F-7188-4FB7-A94F-E3D3015CFD26}"/>
              </c:ext>
            </c:extLst>
          </c:dPt>
          <c:dPt>
            <c:idx val="2"/>
            <c:invertIfNegative val="0"/>
            <c:bubble3D val="0"/>
            <c:extLst>
              <c:ext xmlns:c16="http://schemas.microsoft.com/office/drawing/2014/chart" uri="{C3380CC4-5D6E-409C-BE32-E72D297353CC}">
                <c16:uniqueId val="{00000020-7188-4FB7-A94F-E3D3015CFD26}"/>
              </c:ext>
            </c:extLst>
          </c:dPt>
          <c:dPt>
            <c:idx val="3"/>
            <c:invertIfNegative val="0"/>
            <c:bubble3D val="0"/>
            <c:extLst>
              <c:ext xmlns:c16="http://schemas.microsoft.com/office/drawing/2014/chart" uri="{C3380CC4-5D6E-409C-BE32-E72D297353CC}">
                <c16:uniqueId val="{00000021-7188-4FB7-A94F-E3D3015CFD26}"/>
              </c:ext>
            </c:extLst>
          </c:dPt>
          <c:dPt>
            <c:idx val="4"/>
            <c:invertIfNegative val="0"/>
            <c:bubble3D val="0"/>
            <c:extLst>
              <c:ext xmlns:c16="http://schemas.microsoft.com/office/drawing/2014/chart" uri="{C3380CC4-5D6E-409C-BE32-E72D297353CC}">
                <c16:uniqueId val="{00000022-7188-4FB7-A94F-E3D3015CFD26}"/>
              </c:ext>
            </c:extLst>
          </c:dPt>
          <c:dPt>
            <c:idx val="5"/>
            <c:invertIfNegative val="0"/>
            <c:bubble3D val="0"/>
            <c:spPr>
              <a:solidFill>
                <a:srgbClr val="FFC000"/>
              </a:solidFill>
            </c:spPr>
            <c:extLst>
              <c:ext xmlns:c16="http://schemas.microsoft.com/office/drawing/2014/chart" uri="{C3380CC4-5D6E-409C-BE32-E72D297353CC}">
                <c16:uniqueId val="{00000024-7188-4FB7-A94F-E3D3015CFD26}"/>
              </c:ext>
            </c:extLst>
          </c:dPt>
          <c:dPt>
            <c:idx val="6"/>
            <c:invertIfNegative val="0"/>
            <c:bubble3D val="0"/>
            <c:extLst>
              <c:ext xmlns:c16="http://schemas.microsoft.com/office/drawing/2014/chart" uri="{C3380CC4-5D6E-409C-BE32-E72D297353CC}">
                <c16:uniqueId val="{00000025-7188-4FB7-A94F-E3D3015CFD26}"/>
              </c:ext>
            </c:extLst>
          </c:dPt>
          <c:dPt>
            <c:idx val="7"/>
            <c:invertIfNegative val="0"/>
            <c:bubble3D val="0"/>
            <c:extLst>
              <c:ext xmlns:c16="http://schemas.microsoft.com/office/drawing/2014/chart" uri="{C3380CC4-5D6E-409C-BE32-E72D297353CC}">
                <c16:uniqueId val="{00000026-7188-4FB7-A94F-E3D3015CFD26}"/>
              </c:ext>
            </c:extLst>
          </c:dPt>
          <c:dPt>
            <c:idx val="8"/>
            <c:invertIfNegative val="0"/>
            <c:bubble3D val="0"/>
            <c:extLst>
              <c:ext xmlns:c16="http://schemas.microsoft.com/office/drawing/2014/chart" uri="{C3380CC4-5D6E-409C-BE32-E72D297353CC}">
                <c16:uniqueId val="{00000027-7188-4FB7-A94F-E3D3015CFD26}"/>
              </c:ext>
            </c:extLst>
          </c:dPt>
          <c:dPt>
            <c:idx val="9"/>
            <c:invertIfNegative val="0"/>
            <c:bubble3D val="0"/>
            <c:extLst>
              <c:ext xmlns:c16="http://schemas.microsoft.com/office/drawing/2014/chart" uri="{C3380CC4-5D6E-409C-BE32-E72D297353CC}">
                <c16:uniqueId val="{00000028-7188-4FB7-A94F-E3D3015CFD26}"/>
              </c:ext>
            </c:extLst>
          </c:dPt>
          <c:dPt>
            <c:idx val="10"/>
            <c:invertIfNegative val="0"/>
            <c:bubble3D val="0"/>
            <c:extLst>
              <c:ext xmlns:c16="http://schemas.microsoft.com/office/drawing/2014/chart" uri="{C3380CC4-5D6E-409C-BE32-E72D297353CC}">
                <c16:uniqueId val="{00000029-7188-4FB7-A94F-E3D3015CFD26}"/>
              </c:ext>
            </c:extLst>
          </c:dPt>
          <c:dPt>
            <c:idx val="11"/>
            <c:invertIfNegative val="0"/>
            <c:bubble3D val="0"/>
            <c:extLst>
              <c:ext xmlns:c16="http://schemas.microsoft.com/office/drawing/2014/chart" uri="{C3380CC4-5D6E-409C-BE32-E72D297353CC}">
                <c16:uniqueId val="{0000002A-7188-4FB7-A94F-E3D3015CFD26}"/>
              </c:ext>
            </c:extLst>
          </c:dPt>
          <c:dLbls>
            <c:dLbl>
              <c:idx val="1"/>
              <c:delete val="1"/>
              <c:extLst>
                <c:ext xmlns:c15="http://schemas.microsoft.com/office/drawing/2012/chart" uri="{CE6537A1-D6FC-4f65-9D91-7224C49458BB}"/>
                <c:ext xmlns:c16="http://schemas.microsoft.com/office/drawing/2014/chart" uri="{C3380CC4-5D6E-409C-BE32-E72D297353CC}">
                  <c16:uniqueId val="{0000001F-7188-4FB7-A94F-E3D3015CFD26}"/>
                </c:ext>
              </c:extLst>
            </c:dLbl>
            <c:dLbl>
              <c:idx val="2"/>
              <c:delete val="1"/>
              <c:extLst>
                <c:ext xmlns:c15="http://schemas.microsoft.com/office/drawing/2012/chart" uri="{CE6537A1-D6FC-4f65-9D91-7224C49458BB}"/>
                <c:ext xmlns:c16="http://schemas.microsoft.com/office/drawing/2014/chart" uri="{C3380CC4-5D6E-409C-BE32-E72D297353CC}">
                  <c16:uniqueId val="{00000020-7188-4FB7-A94F-E3D3015CFD26}"/>
                </c:ext>
              </c:extLst>
            </c:dLbl>
            <c:dLbl>
              <c:idx val="3"/>
              <c:delete val="1"/>
              <c:extLst>
                <c:ext xmlns:c15="http://schemas.microsoft.com/office/drawing/2012/chart" uri="{CE6537A1-D6FC-4f65-9D91-7224C49458BB}"/>
                <c:ext xmlns:c16="http://schemas.microsoft.com/office/drawing/2014/chart" uri="{C3380CC4-5D6E-409C-BE32-E72D297353CC}">
                  <c16:uniqueId val="{00000021-7188-4FB7-A94F-E3D3015CFD26}"/>
                </c:ext>
              </c:extLst>
            </c:dLbl>
            <c:dLbl>
              <c:idx val="4"/>
              <c:delete val="1"/>
              <c:extLst>
                <c:ext xmlns:c15="http://schemas.microsoft.com/office/drawing/2012/chart" uri="{CE6537A1-D6FC-4f65-9D91-7224C49458BB}"/>
                <c:ext xmlns:c16="http://schemas.microsoft.com/office/drawing/2014/chart" uri="{C3380CC4-5D6E-409C-BE32-E72D297353CC}">
                  <c16:uniqueId val="{00000022-7188-4FB7-A94F-E3D3015CFD26}"/>
                </c:ext>
              </c:extLst>
            </c:dLbl>
            <c:dLbl>
              <c:idx val="5"/>
              <c:layout>
                <c:manualLayout>
                  <c:x val="0"/>
                  <c:y val="-4.9174532921655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7188-4FB7-A94F-E3D3015CFD26}"/>
                </c:ext>
              </c:extLst>
            </c:dLbl>
            <c:dLbl>
              <c:idx val="6"/>
              <c:layout>
                <c:manualLayout>
                  <c:x val="-9.5593114926411593E-7"/>
                  <c:y val="-4.83985364711498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7188-4FB7-A94F-E3D3015CFD26}"/>
                </c:ext>
              </c:extLst>
            </c:dLbl>
            <c:dLbl>
              <c:idx val="7"/>
              <c:delete val="1"/>
              <c:extLst>
                <c:ext xmlns:c15="http://schemas.microsoft.com/office/drawing/2012/chart" uri="{CE6537A1-D6FC-4f65-9D91-7224C49458BB}"/>
                <c:ext xmlns:c16="http://schemas.microsoft.com/office/drawing/2014/chart" uri="{C3380CC4-5D6E-409C-BE32-E72D297353CC}">
                  <c16:uniqueId val="{00000026-7188-4FB7-A94F-E3D3015CFD26}"/>
                </c:ext>
              </c:extLst>
            </c:dLbl>
            <c:dLbl>
              <c:idx val="8"/>
              <c:delete val="1"/>
              <c:extLst>
                <c:ext xmlns:c15="http://schemas.microsoft.com/office/drawing/2012/chart" uri="{CE6537A1-D6FC-4f65-9D91-7224C49458BB}"/>
                <c:ext xmlns:c16="http://schemas.microsoft.com/office/drawing/2014/chart" uri="{C3380CC4-5D6E-409C-BE32-E72D297353CC}">
                  <c16:uniqueId val="{00000027-7188-4FB7-A94F-E3D3015CFD26}"/>
                </c:ext>
              </c:extLst>
            </c:dLbl>
            <c:dLbl>
              <c:idx val="9"/>
              <c:delete val="1"/>
              <c:extLst>
                <c:ext xmlns:c15="http://schemas.microsoft.com/office/drawing/2012/chart" uri="{CE6537A1-D6FC-4f65-9D91-7224C49458BB}"/>
                <c:ext xmlns:c16="http://schemas.microsoft.com/office/drawing/2014/chart" uri="{C3380CC4-5D6E-409C-BE32-E72D297353CC}">
                  <c16:uniqueId val="{00000028-7188-4FB7-A94F-E3D3015CFD26}"/>
                </c:ext>
              </c:extLst>
            </c:dLbl>
            <c:dLbl>
              <c:idx val="10"/>
              <c:delete val="1"/>
              <c:extLst>
                <c:ext xmlns:c15="http://schemas.microsoft.com/office/drawing/2012/chart" uri="{CE6537A1-D6FC-4f65-9D91-7224C49458BB}"/>
                <c:ext xmlns:c16="http://schemas.microsoft.com/office/drawing/2014/chart" uri="{C3380CC4-5D6E-409C-BE32-E72D297353CC}">
                  <c16:uniqueId val="{00000029-7188-4FB7-A94F-E3D3015CFD26}"/>
                </c:ext>
              </c:extLst>
            </c:dLbl>
            <c:dLbl>
              <c:idx val="11"/>
              <c:delete val="1"/>
              <c:extLst>
                <c:ext xmlns:c15="http://schemas.microsoft.com/office/drawing/2012/chart" uri="{CE6537A1-D6FC-4f65-9D91-7224C49458BB}"/>
                <c:ext xmlns:c16="http://schemas.microsoft.com/office/drawing/2014/chart" uri="{C3380CC4-5D6E-409C-BE32-E72D297353CC}">
                  <c16:uniqueId val="{0000002A-7188-4FB7-A94F-E3D3015CFD26}"/>
                </c:ext>
              </c:extLst>
            </c:dLbl>
            <c:dLbl>
              <c:idx val="12"/>
              <c:delete val="1"/>
              <c:extLst>
                <c:ext xmlns:c15="http://schemas.microsoft.com/office/drawing/2012/chart" uri="{CE6537A1-D6FC-4f65-9D91-7224C49458BB}"/>
                <c:ext xmlns:c16="http://schemas.microsoft.com/office/drawing/2014/chart" uri="{C3380CC4-5D6E-409C-BE32-E72D297353CC}">
                  <c16:uniqueId val="{0000002B-7188-4FB7-A94F-E3D3015CFD26}"/>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SIL'!$A$167:$A$176</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SIL'!$F$167:$F$176</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C-7188-4FB7-A94F-E3D3015CFD26}"/>
            </c:ext>
          </c:extLst>
        </c:ser>
        <c:ser>
          <c:idx val="5"/>
          <c:order val="6"/>
          <c:tx>
            <c:strRef>
              <c:f>'casc P64 EP6 SIL'!$L$92</c:f>
              <c:strCache>
                <c:ptCount val="1"/>
              </c:strCache>
            </c:strRef>
          </c:tx>
          <c:spPr>
            <a:noFill/>
            <a:ln>
              <a:solidFill>
                <a:sysClr val="windowText" lastClr="000000"/>
              </a:solidFill>
            </a:ln>
          </c:spPr>
          <c:invertIfNegative val="0"/>
          <c:cat>
            <c:strRef>
              <c:f>'casc P64 EP6 SIL'!$A$167:$A$176</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SIL'!$L$93:$L$102</c:f>
              <c:numCache>
                <c:formatCode>General</c:formatCode>
                <c:ptCount val="10"/>
              </c:numCache>
            </c:numRef>
          </c:val>
          <c:extLst>
            <c:ext xmlns:c16="http://schemas.microsoft.com/office/drawing/2014/chart" uri="{C3380CC4-5D6E-409C-BE32-E72D297353CC}">
              <c16:uniqueId val="{0000002D-7188-4FB7-A94F-E3D3015CFD26}"/>
            </c:ext>
          </c:extLst>
        </c:ser>
        <c:dLbls>
          <c:showLegendKey val="0"/>
          <c:showVal val="0"/>
          <c:showCatName val="0"/>
          <c:showSerName val="0"/>
          <c:showPercent val="0"/>
          <c:showBubbleSize val="0"/>
        </c:dLbls>
        <c:gapWidth val="150"/>
        <c:overlap val="100"/>
        <c:axId val="153289856"/>
        <c:axId val="153291392"/>
      </c:barChart>
      <c:scatterChart>
        <c:scatterStyle val="lineMarker"/>
        <c:varyColors val="0"/>
        <c:ser>
          <c:idx val="4"/>
          <c:order val="5"/>
          <c:tx>
            <c:strRef>
              <c:f>'casc P64 EP6 SIL'!$I$166</c:f>
              <c:strCache>
                <c:ptCount val="1"/>
                <c:pt idx="0">
                  <c:v>#REF!</c:v>
                </c:pt>
              </c:strCache>
            </c:strRef>
          </c:tx>
          <c:spPr>
            <a:ln>
              <a:solidFill>
                <a:sysClr val="windowText" lastClr="000000"/>
              </a:solidFill>
              <a:prstDash val="dash"/>
            </a:ln>
          </c:spPr>
          <c:marker>
            <c:symbol val="none"/>
          </c:marker>
          <c:dLbls>
            <c:dLbl>
              <c:idx val="6"/>
              <c:layout>
                <c:manualLayout>
                  <c:x val="-0.12275218101002411"/>
                  <c:y val="5.7852163907213872E-2"/>
                </c:manualLayout>
              </c:layout>
              <c:spPr/>
              <c:txPr>
                <a:bodyPr/>
                <a:lstStyle/>
                <a:p>
                  <a:pPr>
                    <a:defRPr sz="16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E-7188-4FB7-A94F-E3D3015CFD26}"/>
                </c:ext>
              </c:extLst>
            </c:dLbl>
            <c:spPr>
              <a:noFill/>
              <a:ln>
                <a:noFill/>
              </a:ln>
              <a:effectLst/>
            </c:spPr>
            <c:txPr>
              <a:bodyPr wrap="square" lIns="38100" tIns="19050" rIns="38100" bIns="19050" anchor="ctr">
                <a:spAutoFit/>
              </a:bodyPr>
              <a:lstStyle/>
              <a:p>
                <a:pPr>
                  <a:defRPr sz="1600">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SIL'!$I$167:$I$176</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2F-7188-4FB7-A94F-E3D3015CFD26}"/>
            </c:ext>
          </c:extLst>
        </c:ser>
        <c:dLbls>
          <c:showLegendKey val="0"/>
          <c:showVal val="0"/>
          <c:showCatName val="0"/>
          <c:showSerName val="0"/>
          <c:showPercent val="0"/>
          <c:showBubbleSize val="0"/>
        </c:dLbls>
        <c:axId val="153289856"/>
        <c:axId val="153291392"/>
      </c:scatterChart>
      <c:catAx>
        <c:axId val="153289856"/>
        <c:scaling>
          <c:orientation val="minMax"/>
        </c:scaling>
        <c:delete val="0"/>
        <c:axPos val="b"/>
        <c:numFmt formatCode="General" sourceLinked="0"/>
        <c:majorTickMark val="out"/>
        <c:minorTickMark val="none"/>
        <c:tickLblPos val="nextTo"/>
        <c:txPr>
          <a:bodyPr/>
          <a:lstStyle/>
          <a:p>
            <a:pPr>
              <a:defRPr sz="1000" b="1"/>
            </a:pPr>
            <a:endParaRPr lang="fr-FR"/>
          </a:p>
        </c:txPr>
        <c:crossAx val="153291392"/>
        <c:crosses val="autoZero"/>
        <c:auto val="1"/>
        <c:lblAlgn val="ctr"/>
        <c:lblOffset val="100"/>
        <c:noMultiLvlLbl val="0"/>
      </c:catAx>
      <c:valAx>
        <c:axId val="153291392"/>
        <c:scaling>
          <c:orientation val="minMax"/>
          <c:max val="210"/>
          <c:min val="160"/>
        </c:scaling>
        <c:delete val="0"/>
        <c:axPos val="l"/>
        <c:numFmt formatCode="0" sourceLinked="0"/>
        <c:majorTickMark val="out"/>
        <c:minorTickMark val="none"/>
        <c:tickLblPos val="nextTo"/>
        <c:txPr>
          <a:bodyPr/>
          <a:lstStyle/>
          <a:p>
            <a:pPr>
              <a:defRPr sz="1600" b="1"/>
            </a:pPr>
            <a:endParaRPr lang="fr-FR"/>
          </a:p>
        </c:txPr>
        <c:crossAx val="15328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SIL'!$C$203</c:f>
              <c:strCache>
                <c:ptCount val="1"/>
                <c:pt idx="0">
                  <c:v>MàV</c:v>
                </c:pt>
              </c:strCache>
            </c:strRef>
          </c:tx>
          <c:invertIfNegative val="0"/>
          <c:dLbls>
            <c:dLbl>
              <c:idx val="0"/>
              <c:layout>
                <c:manualLayout>
                  <c:x val="3.5847418093694849E-4"/>
                  <c:y val="-0.38313748552551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5C-4904-9973-BBDCB9033251}"/>
                </c:ext>
              </c:extLst>
            </c:dLbl>
            <c:dLbl>
              <c:idx val="2"/>
              <c:layout>
                <c:manualLayout>
                  <c:x val="-2.0180768704598579E-6"/>
                  <c:y val="-0.2394815696857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5C-4904-9973-BBDCB9033251}"/>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5C-4904-9973-BBDCB9033251}"/>
                </c:ext>
              </c:extLst>
            </c:dLbl>
            <c:dLbl>
              <c:idx val="4"/>
              <c:layout>
                <c:manualLayout>
                  <c:x val="-9.8920028777295926E-17"/>
                  <c:y val="-0.202483370853874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5C-4904-9973-BBDCB9033251}"/>
                </c:ext>
              </c:extLst>
            </c:dLbl>
            <c:dLbl>
              <c:idx val="5"/>
              <c:layout>
                <c:manualLayout>
                  <c:x val="1.348925066044221E-3"/>
                  <c:y val="-0.18942854591885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5C-4904-9973-BBDCB9033251}"/>
                </c:ext>
              </c:extLst>
            </c:dLbl>
            <c:dLbl>
              <c:idx val="6"/>
              <c:layout>
                <c:manualLayout>
                  <c:x val="-3.8499595959767619E-3"/>
                  <c:y val="-0.32305846006955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5C-4904-9973-BBDCB9033251}"/>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5C-4904-9973-BBDCB9033251}"/>
                </c:ext>
              </c:extLst>
            </c:dLbl>
            <c:dLbl>
              <c:idx val="8"/>
              <c:layout>
                <c:manualLayout>
                  <c:x val="1.3468007746015326E-3"/>
                  <c:y val="-0.351221414313319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5C-4904-9973-BBDCB9033251}"/>
                </c:ext>
              </c:extLst>
            </c:dLbl>
            <c:dLbl>
              <c:idx val="9"/>
              <c:layout>
                <c:manualLayout>
                  <c:x val="-1.3828075145536196E-3"/>
                  <c:y val="-0.314433898403911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5C-4904-9973-BBDCB9033251}"/>
                </c:ext>
              </c:extLst>
            </c:dLbl>
            <c:dLbl>
              <c:idx val="10"/>
              <c:layout>
                <c:manualLayout>
                  <c:x val="0"/>
                  <c:y val="-0.344221730451585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5C-4904-9973-BBDCB9033251}"/>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5C-4904-9973-BBDCB9033251}"/>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5C-4904-9973-BBDCB9033251}"/>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SIL'!$A$204:$A$213</c:f>
              <c:strCache>
                <c:ptCount val="9"/>
                <c:pt idx="0">
                  <c:v>SPCS (hors BVH) : T9 EB2ADTS MB6 STTd niv2</c:v>
                </c:pt>
                <c:pt idx="1">
                  <c:v>Concept</c:v>
                </c:pt>
                <c:pt idx="2">
                  <c:v>SPCS (hors BVH) : P5 EB2ADTS MB6 STTd (Réf)</c:v>
                </c:pt>
                <c:pt idx="3">
                  <c:v>P1</c:v>
                </c:pt>
                <c:pt idx="4">
                  <c:v>SPCS (hors BVH) : P5 EB2ADTS MB6 STTd  (prévisionnel)</c:v>
                </c:pt>
                <c:pt idx="5">
                  <c:v>P2</c:v>
                </c:pt>
                <c:pt idx="6">
                  <c:v>P3</c:v>
                </c:pt>
                <c:pt idx="7">
                  <c:v>Risque_P3</c:v>
                </c:pt>
                <c:pt idx="8">
                  <c:v>SPCS (hors BVH) : P5 EB2ADTS MB6 STTd  (Potentiel)</c:v>
                </c:pt>
              </c:strCache>
            </c:strRef>
          </c:cat>
          <c:val>
            <c:numRef>
              <c:f>'casc P64 EP6 SIL'!$C$204:$C$213</c:f>
              <c:numCache>
                <c:formatCode>General</c:formatCode>
                <c:ptCount val="10"/>
                <c:pt idx="0" formatCode="0.0">
                  <c:v>88.845399999999998</c:v>
                </c:pt>
                <c:pt idx="2" formatCode="0">
                  <c:v>0</c:v>
                </c:pt>
                <c:pt idx="4" formatCode="0.0">
                  <c:v>0</c:v>
                </c:pt>
                <c:pt idx="8" formatCode="0">
                  <c:v>0</c:v>
                </c:pt>
              </c:numCache>
            </c:numRef>
          </c:val>
          <c:extLst>
            <c:ext xmlns:c16="http://schemas.microsoft.com/office/drawing/2014/chart" uri="{C3380CC4-5D6E-409C-BE32-E72D297353CC}">
              <c16:uniqueId val="{0000000C-785C-4904-9973-BBDCB9033251}"/>
            </c:ext>
          </c:extLst>
        </c:ser>
        <c:ser>
          <c:idx val="1"/>
          <c:order val="1"/>
          <c:tx>
            <c:strRef>
              <c:f>'casc P64 EP6 SIL'!$D$92</c:f>
              <c:strCache>
                <c:ptCount val="1"/>
              </c:strCache>
            </c:strRef>
          </c:tx>
          <c:spPr>
            <a:noFill/>
          </c:spPr>
          <c:invertIfNegative val="0"/>
          <c:cat>
            <c:strRef>
              <c:f>'casc P64 EP6 SIL'!$A$204:$A$213</c:f>
              <c:strCache>
                <c:ptCount val="9"/>
                <c:pt idx="0">
                  <c:v>SPCS (hors BVH) : T9 EB2ADTS MB6 STTd niv2</c:v>
                </c:pt>
                <c:pt idx="1">
                  <c:v>Concept</c:v>
                </c:pt>
                <c:pt idx="2">
                  <c:v>SPCS (hors BVH) : P5 EB2ADTS MB6 STTd (Réf)</c:v>
                </c:pt>
                <c:pt idx="3">
                  <c:v>P1</c:v>
                </c:pt>
                <c:pt idx="4">
                  <c:v>SPCS (hors BVH) : P5 EB2ADTS MB6 STTd  (prévisionnel)</c:v>
                </c:pt>
                <c:pt idx="5">
                  <c:v>P2</c:v>
                </c:pt>
                <c:pt idx="6">
                  <c:v>P3</c:v>
                </c:pt>
                <c:pt idx="7">
                  <c:v>Risque_P3</c:v>
                </c:pt>
                <c:pt idx="8">
                  <c:v>SPCS (hors BVH) : P5 EB2ADTS MB6 STTd  (Potentiel)</c:v>
                </c:pt>
              </c:strCache>
            </c:strRef>
          </c:cat>
          <c:val>
            <c:numRef>
              <c:f>'casc P64 EP6 SIL'!$D$204:$D$213</c:f>
              <c:numCache>
                <c:formatCode>0</c:formatCode>
                <c:ptCount val="10"/>
                <c:pt idx="1">
                  <c:v>0</c:v>
                </c:pt>
                <c:pt idx="3">
                  <c:v>0</c:v>
                </c:pt>
                <c:pt idx="5">
                  <c:v>0</c:v>
                </c:pt>
                <c:pt idx="6">
                  <c:v>0</c:v>
                </c:pt>
                <c:pt idx="7">
                  <c:v>0</c:v>
                </c:pt>
              </c:numCache>
            </c:numRef>
          </c:val>
          <c:extLst>
            <c:ext xmlns:c16="http://schemas.microsoft.com/office/drawing/2014/chart" uri="{C3380CC4-5D6E-409C-BE32-E72D297353CC}">
              <c16:uniqueId val="{0000000D-785C-4904-9973-BBDCB9033251}"/>
            </c:ext>
          </c:extLst>
        </c:ser>
        <c:ser>
          <c:idx val="2"/>
          <c:order val="2"/>
          <c:tx>
            <c:strRef>
              <c:f>'casc P64 EP6 SIL'!$E$203</c:f>
              <c:strCache>
                <c:ptCount val="1"/>
                <c:pt idx="0">
                  <c:v>Dérive</c:v>
                </c:pt>
              </c:strCache>
            </c:strRef>
          </c:tx>
          <c:spPr>
            <a:solidFill>
              <a:schemeClr val="bg1">
                <a:lumMod val="65000"/>
              </a:schemeClr>
            </a:solidFill>
          </c:spPr>
          <c:invertIfNegative val="0"/>
          <c:dLbls>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85C-4904-9973-BBDCB9033251}"/>
                </c:ext>
              </c:extLst>
            </c:dLbl>
            <c:numFmt formatCode="\+0&quot;kg&quot;" sourceLinked="0"/>
            <c:spPr>
              <a:noFill/>
              <a:ln>
                <a:noFill/>
              </a:ln>
              <a:effectLst/>
            </c:spPr>
            <c:txPr>
              <a:bodyPr wrap="square" lIns="38100" tIns="19050" rIns="38100" bIns="19050" anchor="ctr">
                <a:spAutoFit/>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SIL'!$A$204:$A$213</c:f>
              <c:strCache>
                <c:ptCount val="9"/>
                <c:pt idx="0">
                  <c:v>SPCS (hors BVH) : T9 EB2ADTS MB6 STTd niv2</c:v>
                </c:pt>
                <c:pt idx="1">
                  <c:v>Concept</c:v>
                </c:pt>
                <c:pt idx="2">
                  <c:v>SPCS (hors BVH) : P5 EB2ADTS MB6 STTd (Réf)</c:v>
                </c:pt>
                <c:pt idx="3">
                  <c:v>P1</c:v>
                </c:pt>
                <c:pt idx="4">
                  <c:v>SPCS (hors BVH) : P5 EB2ADTS MB6 STTd  (prévisionnel)</c:v>
                </c:pt>
                <c:pt idx="5">
                  <c:v>P2</c:v>
                </c:pt>
                <c:pt idx="6">
                  <c:v>P3</c:v>
                </c:pt>
                <c:pt idx="7">
                  <c:v>Risque_P3</c:v>
                </c:pt>
                <c:pt idx="8">
                  <c:v>SPCS (hors BVH) : P5 EB2ADTS MB6 STTd  (Potentiel)</c:v>
                </c:pt>
              </c:strCache>
            </c:strRef>
          </c:cat>
          <c:val>
            <c:numRef>
              <c:f>'casc P64 EP6 SIL'!$E$204:$E$213</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F-785C-4904-9973-BBDCB9033251}"/>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1-785C-4904-9973-BBDCB9033251}"/>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3-785C-4904-9973-BBDCB9033251}"/>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5-785C-4904-9973-BBDCB9033251}"/>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7-785C-4904-9973-BBDCB9033251}"/>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9-785C-4904-9973-BBDCB9033251}"/>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B-785C-4904-9973-BBDCB9033251}"/>
              </c:ext>
            </c:extLst>
          </c:dPt>
          <c:cat>
            <c:strRef>
              <c:f>'casc P64 EP6 SIL'!$A$204:$A$213</c:f>
              <c:strCache>
                <c:ptCount val="9"/>
                <c:pt idx="0">
                  <c:v>SPCS (hors BVH) : T9 EB2ADTS MB6 STTd niv2</c:v>
                </c:pt>
                <c:pt idx="1">
                  <c:v>Concept</c:v>
                </c:pt>
                <c:pt idx="2">
                  <c:v>SPCS (hors BVH) : P5 EB2ADTS MB6 STTd (Réf)</c:v>
                </c:pt>
                <c:pt idx="3">
                  <c:v>P1</c:v>
                </c:pt>
                <c:pt idx="4">
                  <c:v>SPCS (hors BVH) : P5 EB2ADTS MB6 STTd  (prévisionnel)</c:v>
                </c:pt>
                <c:pt idx="5">
                  <c:v>P2</c:v>
                </c:pt>
                <c:pt idx="6">
                  <c:v>P3</c:v>
                </c:pt>
                <c:pt idx="7">
                  <c:v>Risque_P3</c:v>
                </c:pt>
                <c:pt idx="8">
                  <c:v>SPCS (hors BVH) : P5 EB2ADTS MB6 STTd  (Potentiel)</c:v>
                </c:pt>
              </c:strCache>
            </c:strRef>
          </c:cat>
          <c:val>
            <c:numRef>
              <c:f>'casc P64 EP6 SIL'!$M$93:$M$102</c:f>
              <c:numCache>
                <c:formatCode>General</c:formatCode>
                <c:ptCount val="10"/>
              </c:numCache>
            </c:numRef>
          </c:val>
          <c:extLst>
            <c:ext xmlns:c16="http://schemas.microsoft.com/office/drawing/2014/chart" uri="{C3380CC4-5D6E-409C-BE32-E72D297353CC}">
              <c16:uniqueId val="{0000001C-785C-4904-9973-BBDCB9033251}"/>
            </c:ext>
          </c:extLst>
        </c:ser>
        <c:ser>
          <c:idx val="3"/>
          <c:order val="4"/>
          <c:tx>
            <c:strRef>
              <c:f>'casc P64 EP6 SIL'!$F$203</c:f>
              <c:strCache>
                <c:ptCount val="1"/>
                <c:pt idx="0">
                  <c:v>Gain</c:v>
                </c:pt>
              </c:strCache>
            </c:strRef>
          </c:tx>
          <c:spPr>
            <a:solidFill>
              <a:srgbClr val="92D050"/>
            </a:solidFill>
          </c:spPr>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1E-785C-4904-9973-BBDCB9033251}"/>
              </c:ext>
            </c:extLst>
          </c:dPt>
          <c:dPt>
            <c:idx val="2"/>
            <c:invertIfNegative val="0"/>
            <c:bubble3D val="0"/>
            <c:extLst>
              <c:ext xmlns:c16="http://schemas.microsoft.com/office/drawing/2014/chart" uri="{C3380CC4-5D6E-409C-BE32-E72D297353CC}">
                <c16:uniqueId val="{0000001F-785C-4904-9973-BBDCB9033251}"/>
              </c:ext>
            </c:extLst>
          </c:dPt>
          <c:dPt>
            <c:idx val="3"/>
            <c:invertIfNegative val="0"/>
            <c:bubble3D val="0"/>
            <c:extLst>
              <c:ext xmlns:c16="http://schemas.microsoft.com/office/drawing/2014/chart" uri="{C3380CC4-5D6E-409C-BE32-E72D297353CC}">
                <c16:uniqueId val="{00000020-785C-4904-9973-BBDCB9033251}"/>
              </c:ext>
            </c:extLst>
          </c:dPt>
          <c:dPt>
            <c:idx val="4"/>
            <c:invertIfNegative val="0"/>
            <c:bubble3D val="0"/>
            <c:extLst>
              <c:ext xmlns:c16="http://schemas.microsoft.com/office/drawing/2014/chart" uri="{C3380CC4-5D6E-409C-BE32-E72D297353CC}">
                <c16:uniqueId val="{00000021-785C-4904-9973-BBDCB9033251}"/>
              </c:ext>
            </c:extLst>
          </c:dPt>
          <c:dPt>
            <c:idx val="5"/>
            <c:invertIfNegative val="0"/>
            <c:bubble3D val="0"/>
            <c:spPr>
              <a:solidFill>
                <a:srgbClr val="FFC000"/>
              </a:solidFill>
            </c:spPr>
            <c:extLst>
              <c:ext xmlns:c16="http://schemas.microsoft.com/office/drawing/2014/chart" uri="{C3380CC4-5D6E-409C-BE32-E72D297353CC}">
                <c16:uniqueId val="{00000023-785C-4904-9973-BBDCB9033251}"/>
              </c:ext>
            </c:extLst>
          </c:dPt>
          <c:dPt>
            <c:idx val="6"/>
            <c:invertIfNegative val="0"/>
            <c:bubble3D val="0"/>
            <c:spPr>
              <a:solidFill>
                <a:srgbClr val="FF0000"/>
              </a:solidFill>
            </c:spPr>
            <c:extLst>
              <c:ext xmlns:c16="http://schemas.microsoft.com/office/drawing/2014/chart" uri="{C3380CC4-5D6E-409C-BE32-E72D297353CC}">
                <c16:uniqueId val="{00000025-785C-4904-9973-BBDCB9033251}"/>
              </c:ext>
            </c:extLst>
          </c:dPt>
          <c:dPt>
            <c:idx val="7"/>
            <c:invertIfNegative val="0"/>
            <c:bubble3D val="0"/>
            <c:spPr>
              <a:solidFill>
                <a:srgbClr val="FF0000"/>
              </a:solidFill>
            </c:spPr>
            <c:extLst>
              <c:ext xmlns:c16="http://schemas.microsoft.com/office/drawing/2014/chart" uri="{C3380CC4-5D6E-409C-BE32-E72D297353CC}">
                <c16:uniqueId val="{00000027-785C-4904-9973-BBDCB9033251}"/>
              </c:ext>
            </c:extLst>
          </c:dPt>
          <c:dPt>
            <c:idx val="8"/>
            <c:invertIfNegative val="0"/>
            <c:bubble3D val="0"/>
            <c:spPr>
              <a:solidFill>
                <a:srgbClr val="FF0000"/>
              </a:solidFill>
            </c:spPr>
            <c:extLst>
              <c:ext xmlns:c16="http://schemas.microsoft.com/office/drawing/2014/chart" uri="{C3380CC4-5D6E-409C-BE32-E72D297353CC}">
                <c16:uniqueId val="{00000029-785C-4904-9973-BBDCB9033251}"/>
              </c:ext>
            </c:extLst>
          </c:dPt>
          <c:dPt>
            <c:idx val="9"/>
            <c:invertIfNegative val="0"/>
            <c:bubble3D val="0"/>
            <c:spPr>
              <a:solidFill>
                <a:schemeClr val="accent2">
                  <a:lumMod val="40000"/>
                  <a:lumOff val="60000"/>
                </a:schemeClr>
              </a:solidFill>
            </c:spPr>
            <c:extLst>
              <c:ext xmlns:c16="http://schemas.microsoft.com/office/drawing/2014/chart" uri="{C3380CC4-5D6E-409C-BE32-E72D297353CC}">
                <c16:uniqueId val="{0000002B-785C-4904-9973-BBDCB9033251}"/>
              </c:ext>
            </c:extLst>
          </c:dPt>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2D-785C-4904-9973-BBDCB9033251}"/>
              </c:ext>
            </c:extLst>
          </c:dPt>
          <c:dPt>
            <c:idx val="11"/>
            <c:invertIfNegative val="0"/>
            <c:bubble3D val="0"/>
            <c:spPr>
              <a:solidFill>
                <a:schemeClr val="bg1">
                  <a:lumMod val="85000"/>
                </a:schemeClr>
              </a:solidFill>
            </c:spPr>
            <c:extLst>
              <c:ext xmlns:c16="http://schemas.microsoft.com/office/drawing/2014/chart" uri="{C3380CC4-5D6E-409C-BE32-E72D297353CC}">
                <c16:uniqueId val="{0000002F-785C-4904-9973-BBDCB9033251}"/>
              </c:ext>
            </c:extLst>
          </c:dPt>
          <c:dLbls>
            <c:dLbl>
              <c:idx val="2"/>
              <c:delete val="1"/>
              <c:extLst>
                <c:ext xmlns:c15="http://schemas.microsoft.com/office/drawing/2012/chart" uri="{CE6537A1-D6FC-4f65-9D91-7224C49458BB}"/>
                <c:ext xmlns:c16="http://schemas.microsoft.com/office/drawing/2014/chart" uri="{C3380CC4-5D6E-409C-BE32-E72D297353CC}">
                  <c16:uniqueId val="{0000001F-785C-4904-9973-BBDCB9033251}"/>
                </c:ext>
              </c:extLst>
            </c:dLbl>
            <c:dLbl>
              <c:idx val="4"/>
              <c:delete val="1"/>
              <c:extLst>
                <c:ext xmlns:c15="http://schemas.microsoft.com/office/drawing/2012/chart" uri="{CE6537A1-D6FC-4f65-9D91-7224C49458BB}"/>
                <c:ext xmlns:c16="http://schemas.microsoft.com/office/drawing/2014/chart" uri="{C3380CC4-5D6E-409C-BE32-E72D297353CC}">
                  <c16:uniqueId val="{00000021-785C-4904-9973-BBDCB9033251}"/>
                </c:ext>
              </c:extLst>
            </c:dLbl>
            <c:dLbl>
              <c:idx val="5"/>
              <c:delete val="1"/>
              <c:extLst>
                <c:ext xmlns:c15="http://schemas.microsoft.com/office/drawing/2012/chart" uri="{CE6537A1-D6FC-4f65-9D91-7224C49458BB}"/>
                <c:ext xmlns:c16="http://schemas.microsoft.com/office/drawing/2014/chart" uri="{C3380CC4-5D6E-409C-BE32-E72D297353CC}">
                  <c16:uniqueId val="{00000023-785C-4904-9973-BBDCB9033251}"/>
                </c:ext>
              </c:extLst>
            </c:dLbl>
            <c:dLbl>
              <c:idx val="6"/>
              <c:layout>
                <c:manualLayout>
                  <c:x val="-1.349880997193485E-3"/>
                  <c:y val="-4.83985364711498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785C-4904-9973-BBDCB9033251}"/>
                </c:ext>
              </c:extLst>
            </c:dLbl>
            <c:dLbl>
              <c:idx val="7"/>
              <c:delete val="1"/>
              <c:extLst>
                <c:ext xmlns:c15="http://schemas.microsoft.com/office/drawing/2012/chart" uri="{CE6537A1-D6FC-4f65-9D91-7224C49458BB}"/>
                <c:ext xmlns:c16="http://schemas.microsoft.com/office/drawing/2014/chart" uri="{C3380CC4-5D6E-409C-BE32-E72D297353CC}">
                  <c16:uniqueId val="{00000027-785C-4904-9973-BBDCB9033251}"/>
                </c:ext>
              </c:extLst>
            </c:dLbl>
            <c:dLbl>
              <c:idx val="8"/>
              <c:delete val="1"/>
              <c:extLst>
                <c:ext xmlns:c15="http://schemas.microsoft.com/office/drawing/2012/chart" uri="{CE6537A1-D6FC-4f65-9D91-7224C49458BB}"/>
                <c:ext xmlns:c16="http://schemas.microsoft.com/office/drawing/2014/chart" uri="{C3380CC4-5D6E-409C-BE32-E72D297353CC}">
                  <c16:uniqueId val="{00000029-785C-4904-9973-BBDCB9033251}"/>
                </c:ext>
              </c:extLst>
            </c:dLbl>
            <c:dLbl>
              <c:idx val="9"/>
              <c:delete val="1"/>
              <c:extLst>
                <c:ext xmlns:c15="http://schemas.microsoft.com/office/drawing/2012/chart" uri="{CE6537A1-D6FC-4f65-9D91-7224C49458BB}"/>
                <c:ext xmlns:c16="http://schemas.microsoft.com/office/drawing/2014/chart" uri="{C3380CC4-5D6E-409C-BE32-E72D297353CC}">
                  <c16:uniqueId val="{0000002B-785C-4904-9973-BBDCB9033251}"/>
                </c:ext>
              </c:extLst>
            </c:dLbl>
            <c:dLbl>
              <c:idx val="10"/>
              <c:delete val="1"/>
              <c:extLst>
                <c:ext xmlns:c15="http://schemas.microsoft.com/office/drawing/2012/chart" uri="{CE6537A1-D6FC-4f65-9D91-7224C49458BB}"/>
                <c:ext xmlns:c16="http://schemas.microsoft.com/office/drawing/2014/chart" uri="{C3380CC4-5D6E-409C-BE32-E72D297353CC}">
                  <c16:uniqueId val="{0000002D-785C-4904-9973-BBDCB9033251}"/>
                </c:ext>
              </c:extLst>
            </c:dLbl>
            <c:dLbl>
              <c:idx val="11"/>
              <c:delete val="1"/>
              <c:extLst>
                <c:ext xmlns:c15="http://schemas.microsoft.com/office/drawing/2012/chart" uri="{CE6537A1-D6FC-4f65-9D91-7224C49458BB}"/>
                <c:ext xmlns:c16="http://schemas.microsoft.com/office/drawing/2014/chart" uri="{C3380CC4-5D6E-409C-BE32-E72D297353CC}">
                  <c16:uniqueId val="{0000002F-785C-4904-9973-BBDCB9033251}"/>
                </c:ext>
              </c:extLst>
            </c:dLbl>
            <c:dLbl>
              <c:idx val="12"/>
              <c:delete val="1"/>
              <c:extLst>
                <c:ext xmlns:c15="http://schemas.microsoft.com/office/drawing/2012/chart" uri="{CE6537A1-D6FC-4f65-9D91-7224C49458BB}"/>
                <c:ext xmlns:c16="http://schemas.microsoft.com/office/drawing/2014/chart" uri="{C3380CC4-5D6E-409C-BE32-E72D297353CC}">
                  <c16:uniqueId val="{00000030-785C-4904-9973-BBDCB9033251}"/>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SIL'!$A$204:$A$213</c:f>
              <c:strCache>
                <c:ptCount val="9"/>
                <c:pt idx="0">
                  <c:v>SPCS (hors BVH) : T9 EB2ADTS MB6 STTd niv2</c:v>
                </c:pt>
                <c:pt idx="1">
                  <c:v>Concept</c:v>
                </c:pt>
                <c:pt idx="2">
                  <c:v>SPCS (hors BVH) : P5 EB2ADTS MB6 STTd (Réf)</c:v>
                </c:pt>
                <c:pt idx="3">
                  <c:v>P1</c:v>
                </c:pt>
                <c:pt idx="4">
                  <c:v>SPCS (hors BVH) : P5 EB2ADTS MB6 STTd  (prévisionnel)</c:v>
                </c:pt>
                <c:pt idx="5">
                  <c:v>P2</c:v>
                </c:pt>
                <c:pt idx="6">
                  <c:v>P3</c:v>
                </c:pt>
                <c:pt idx="7">
                  <c:v>Risque_P3</c:v>
                </c:pt>
                <c:pt idx="8">
                  <c:v>SPCS (hors BVH) : P5 EB2ADTS MB6 STTd  (Potentiel)</c:v>
                </c:pt>
              </c:strCache>
            </c:strRef>
          </c:cat>
          <c:val>
            <c:numRef>
              <c:f>'casc P64 EP6 SIL'!$F$204:$F$213</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31-785C-4904-9973-BBDCB9033251}"/>
            </c:ext>
          </c:extLst>
        </c:ser>
        <c:ser>
          <c:idx val="5"/>
          <c:order val="6"/>
          <c:tx>
            <c:strRef>
              <c:f>'casc P64 EP6 SIL'!$L$92</c:f>
              <c:strCache>
                <c:ptCount val="1"/>
              </c:strCache>
            </c:strRef>
          </c:tx>
          <c:spPr>
            <a:noFill/>
            <a:ln>
              <a:solidFill>
                <a:sysClr val="windowText" lastClr="000000"/>
              </a:solidFill>
            </a:ln>
          </c:spPr>
          <c:invertIfNegative val="0"/>
          <c:cat>
            <c:strRef>
              <c:f>'casc P64 EP6 SIL'!$A$204:$A$213</c:f>
              <c:strCache>
                <c:ptCount val="9"/>
                <c:pt idx="0">
                  <c:v>SPCS (hors BVH) : T9 EB2ADTS MB6 STTd niv2</c:v>
                </c:pt>
                <c:pt idx="1">
                  <c:v>Concept</c:v>
                </c:pt>
                <c:pt idx="2">
                  <c:v>SPCS (hors BVH) : P5 EB2ADTS MB6 STTd (Réf)</c:v>
                </c:pt>
                <c:pt idx="3">
                  <c:v>P1</c:v>
                </c:pt>
                <c:pt idx="4">
                  <c:v>SPCS (hors BVH) : P5 EB2ADTS MB6 STTd  (prévisionnel)</c:v>
                </c:pt>
                <c:pt idx="5">
                  <c:v>P2</c:v>
                </c:pt>
                <c:pt idx="6">
                  <c:v>P3</c:v>
                </c:pt>
                <c:pt idx="7">
                  <c:v>Risque_P3</c:v>
                </c:pt>
                <c:pt idx="8">
                  <c:v>SPCS (hors BVH) : P5 EB2ADTS MB6 STTd  (Potentiel)</c:v>
                </c:pt>
              </c:strCache>
            </c:strRef>
          </c:cat>
          <c:val>
            <c:numRef>
              <c:f>'casc P64 EP6 SIL'!$L$93:$L$102</c:f>
              <c:numCache>
                <c:formatCode>General</c:formatCode>
                <c:ptCount val="10"/>
              </c:numCache>
            </c:numRef>
          </c:val>
          <c:extLst>
            <c:ext xmlns:c16="http://schemas.microsoft.com/office/drawing/2014/chart" uri="{C3380CC4-5D6E-409C-BE32-E72D297353CC}">
              <c16:uniqueId val="{00000032-785C-4904-9973-BBDCB9033251}"/>
            </c:ext>
          </c:extLst>
        </c:ser>
        <c:dLbls>
          <c:showLegendKey val="0"/>
          <c:showVal val="0"/>
          <c:showCatName val="0"/>
          <c:showSerName val="0"/>
          <c:showPercent val="0"/>
          <c:showBubbleSize val="0"/>
        </c:dLbls>
        <c:gapWidth val="150"/>
        <c:overlap val="100"/>
        <c:axId val="153910656"/>
        <c:axId val="154088576"/>
      </c:barChart>
      <c:scatterChart>
        <c:scatterStyle val="lineMarker"/>
        <c:varyColors val="0"/>
        <c:ser>
          <c:idx val="4"/>
          <c:order val="5"/>
          <c:tx>
            <c:strRef>
              <c:f>'casc P64 EP6 SIL'!$I$203</c:f>
              <c:strCache>
                <c:ptCount val="1"/>
                <c:pt idx="0">
                  <c:v>#REF!</c:v>
                </c:pt>
              </c:strCache>
            </c:strRef>
          </c:tx>
          <c:spPr>
            <a:ln>
              <a:solidFill>
                <a:sysClr val="windowText" lastClr="000000"/>
              </a:solidFill>
              <a:prstDash val="dash"/>
            </a:ln>
          </c:spPr>
          <c:marker>
            <c:symbol val="none"/>
          </c:marker>
          <c:dLbls>
            <c:dLbl>
              <c:idx val="5"/>
              <c:layout>
                <c:manualLayout>
                  <c:x val="-0.16187100792530645"/>
                  <c:y val="2.6033576252640939E-2"/>
                </c:manualLayout>
              </c:layout>
              <c:spPr/>
              <c:txPr>
                <a:bodyPr/>
                <a:lstStyle/>
                <a:p>
                  <a:pPr>
                    <a:defRPr sz="14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3-785C-4904-9973-BBDCB9033251}"/>
                </c:ext>
              </c:extLst>
            </c:dLbl>
            <c:spPr>
              <a:noFill/>
              <a:ln>
                <a:noFill/>
              </a:ln>
              <a:effectLst/>
            </c:spPr>
            <c:txPr>
              <a:bodyPr wrap="square" lIns="38100" tIns="19050" rIns="38100" bIns="19050" anchor="ctr">
                <a:spAutoFit/>
              </a:bodyPr>
              <a:lstStyle/>
              <a:p>
                <a:pPr>
                  <a:defRPr sz="1400">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SIL'!$I$204:$I$213</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34-785C-4904-9973-BBDCB9033251}"/>
            </c:ext>
          </c:extLst>
        </c:ser>
        <c:dLbls>
          <c:showLegendKey val="0"/>
          <c:showVal val="0"/>
          <c:showCatName val="0"/>
          <c:showSerName val="0"/>
          <c:showPercent val="0"/>
          <c:showBubbleSize val="0"/>
        </c:dLbls>
        <c:axId val="153910656"/>
        <c:axId val="154088576"/>
      </c:scatterChart>
      <c:catAx>
        <c:axId val="153910656"/>
        <c:scaling>
          <c:orientation val="minMax"/>
        </c:scaling>
        <c:delete val="0"/>
        <c:axPos val="b"/>
        <c:numFmt formatCode="General" sourceLinked="0"/>
        <c:majorTickMark val="out"/>
        <c:minorTickMark val="none"/>
        <c:tickLblPos val="nextTo"/>
        <c:txPr>
          <a:bodyPr/>
          <a:lstStyle/>
          <a:p>
            <a:pPr>
              <a:defRPr sz="1000" b="1"/>
            </a:pPr>
            <a:endParaRPr lang="fr-FR"/>
          </a:p>
        </c:txPr>
        <c:crossAx val="154088576"/>
        <c:crosses val="autoZero"/>
        <c:auto val="1"/>
        <c:lblAlgn val="ctr"/>
        <c:lblOffset val="100"/>
        <c:noMultiLvlLbl val="0"/>
      </c:catAx>
      <c:valAx>
        <c:axId val="154088576"/>
        <c:scaling>
          <c:orientation val="minMax"/>
          <c:max val="95"/>
          <c:min val="80"/>
        </c:scaling>
        <c:delete val="0"/>
        <c:axPos val="l"/>
        <c:numFmt formatCode="0" sourceLinked="0"/>
        <c:majorTickMark val="out"/>
        <c:minorTickMark val="none"/>
        <c:tickLblPos val="nextTo"/>
        <c:txPr>
          <a:bodyPr/>
          <a:lstStyle/>
          <a:p>
            <a:pPr>
              <a:defRPr sz="1600" b="1"/>
            </a:pPr>
            <a:endParaRPr lang="fr-FR"/>
          </a:p>
        </c:txPr>
        <c:crossAx val="153910656"/>
        <c:crosses val="autoZero"/>
        <c:crossBetween val="between"/>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SIL'!$C$129</c:f>
              <c:strCache>
                <c:ptCount val="1"/>
                <c:pt idx="0">
                  <c:v>MàV</c:v>
                </c:pt>
              </c:strCache>
            </c:strRef>
          </c:tx>
          <c:invertIfNegative val="0"/>
          <c:dLbls>
            <c:dLbl>
              <c:idx val="0"/>
              <c:layout>
                <c:manualLayout>
                  <c:x val="3.5847418093694849E-4"/>
                  <c:y val="-0.36578176802375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FE-49B1-BBFA-8F167A6841E0}"/>
                </c:ext>
              </c:extLst>
            </c:dLbl>
            <c:dLbl>
              <c:idx val="2"/>
              <c:layout>
                <c:manualLayout>
                  <c:x val="1.3469069891737611E-3"/>
                  <c:y val="-0.39568302720155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FE-49B1-BBFA-8F167A6841E0}"/>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FE-49B1-BBFA-8F167A6841E0}"/>
                </c:ext>
              </c:extLst>
            </c:dLbl>
            <c:dLbl>
              <c:idx val="4"/>
              <c:layout>
                <c:manualLayout>
                  <c:x val="0"/>
                  <c:y val="-0.38182578503873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FE-49B1-BBFA-8F167A6841E0}"/>
                </c:ext>
              </c:extLst>
            </c:dLbl>
            <c:dLbl>
              <c:idx val="5"/>
              <c:layout>
                <c:manualLayout>
                  <c:x val="1.348925066044221E-3"/>
                  <c:y val="-0.35430786218558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FE-49B1-BBFA-8F167A6841E0}"/>
                </c:ext>
              </c:extLst>
            </c:dLbl>
            <c:dLbl>
              <c:idx val="6"/>
              <c:layout>
                <c:manualLayout>
                  <c:x val="-1.15210946388832E-3"/>
                  <c:y val="-0.3317363188204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FE-49B1-BBFA-8F167A6841E0}"/>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FE-49B1-BBFA-8F167A6841E0}"/>
                </c:ext>
              </c:extLst>
            </c:dLbl>
            <c:dLbl>
              <c:idx val="8"/>
              <c:layout>
                <c:manualLayout>
                  <c:x val="2.6957258406457535E-3"/>
                  <c:y val="-0.34254355556243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FE-49B1-BBFA-8F167A6841E0}"/>
                </c:ext>
              </c:extLst>
            </c:dLbl>
            <c:dLbl>
              <c:idx val="9"/>
              <c:layout>
                <c:manualLayout>
                  <c:x val="-3.3882448509299726E-5"/>
                  <c:y val="-0.21319221297697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FE-49B1-BBFA-8F167A6841E0}"/>
                </c:ext>
              </c:extLst>
            </c:dLbl>
            <c:dLbl>
              <c:idx val="10"/>
              <c:layout>
                <c:manualLayout>
                  <c:x val="4.0467751981326629E-3"/>
                  <c:y val="-0.3615774479533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FE-49B1-BBFA-8F167A6841E0}"/>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FE-49B1-BBFA-8F167A6841E0}"/>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FE-49B1-BBFA-8F167A6841E0}"/>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SIL'!$A$130:$A$139</c:f>
              <c:strCache>
                <c:ptCount val="9"/>
                <c:pt idx="0">
                  <c:v>SCEG (hors BVH) : T9 EB2ADTS MB6 STTd niv2</c:v>
                </c:pt>
                <c:pt idx="1">
                  <c:v>Concept</c:v>
                </c:pt>
                <c:pt idx="2">
                  <c:v>SCEG (hors BVH) : P5 EB2ADTS MB6 STTd (Réf)</c:v>
                </c:pt>
                <c:pt idx="3">
                  <c:v>P1</c:v>
                </c:pt>
                <c:pt idx="4">
                  <c:v>SCEG (hors BVH) : P5 EB2ADTS MB6 STTd  (prévisionnel)</c:v>
                </c:pt>
                <c:pt idx="5">
                  <c:v>P2</c:v>
                </c:pt>
                <c:pt idx="6">
                  <c:v>P3</c:v>
                </c:pt>
                <c:pt idx="7">
                  <c:v>Risque_P3</c:v>
                </c:pt>
                <c:pt idx="8">
                  <c:v>SCEG (hors BVH) : P5 EB2ADTS MB6 STTd  (Potentiel)</c:v>
                </c:pt>
              </c:strCache>
            </c:strRef>
          </c:cat>
          <c:val>
            <c:numRef>
              <c:f>'casc P64 EP6 SIL'!$C$130:$C$139</c:f>
              <c:numCache>
                <c:formatCode>General</c:formatCode>
                <c:ptCount val="10"/>
                <c:pt idx="0" formatCode="0">
                  <c:v>158.00650000000005</c:v>
                </c:pt>
                <c:pt idx="2" formatCode="0.0">
                  <c:v>0</c:v>
                </c:pt>
                <c:pt idx="4" formatCode="0.0">
                  <c:v>0</c:v>
                </c:pt>
                <c:pt idx="8" formatCode="0">
                  <c:v>0</c:v>
                </c:pt>
              </c:numCache>
            </c:numRef>
          </c:val>
          <c:extLst>
            <c:ext xmlns:c16="http://schemas.microsoft.com/office/drawing/2014/chart" uri="{C3380CC4-5D6E-409C-BE32-E72D297353CC}">
              <c16:uniqueId val="{0000000C-1EFE-49B1-BBFA-8F167A6841E0}"/>
            </c:ext>
          </c:extLst>
        </c:ser>
        <c:ser>
          <c:idx val="1"/>
          <c:order val="1"/>
          <c:tx>
            <c:strRef>
              <c:f>'casc P64 EP6 SIL'!$D$92</c:f>
              <c:strCache>
                <c:ptCount val="1"/>
              </c:strCache>
            </c:strRef>
          </c:tx>
          <c:spPr>
            <a:noFill/>
          </c:spPr>
          <c:invertIfNegative val="0"/>
          <c:cat>
            <c:strRef>
              <c:f>'casc P64 EP6 SIL'!$A$130:$A$139</c:f>
              <c:strCache>
                <c:ptCount val="9"/>
                <c:pt idx="0">
                  <c:v>SCEG (hors BVH) : T9 EB2ADTS MB6 STTd niv2</c:v>
                </c:pt>
                <c:pt idx="1">
                  <c:v>Concept</c:v>
                </c:pt>
                <c:pt idx="2">
                  <c:v>SCEG (hors BVH) : P5 EB2ADTS MB6 STTd (Réf)</c:v>
                </c:pt>
                <c:pt idx="3">
                  <c:v>P1</c:v>
                </c:pt>
                <c:pt idx="4">
                  <c:v>SCEG (hors BVH) : P5 EB2ADTS MB6 STTd  (prévisionnel)</c:v>
                </c:pt>
                <c:pt idx="5">
                  <c:v>P2</c:v>
                </c:pt>
                <c:pt idx="6">
                  <c:v>P3</c:v>
                </c:pt>
                <c:pt idx="7">
                  <c:v>Risque_P3</c:v>
                </c:pt>
                <c:pt idx="8">
                  <c:v>SCEG (hors BVH) : P5 EB2ADTS MB6 STTd  (Potentiel)</c:v>
                </c:pt>
              </c:strCache>
            </c:strRef>
          </c:cat>
          <c:val>
            <c:numRef>
              <c:f>'casc P64 EP6 SIL'!$D$130:$D$139</c:f>
              <c:numCache>
                <c:formatCode>0</c:formatCode>
                <c:ptCount val="10"/>
                <c:pt idx="1">
                  <c:v>0</c:v>
                </c:pt>
                <c:pt idx="3">
                  <c:v>0</c:v>
                </c:pt>
                <c:pt idx="5">
                  <c:v>0</c:v>
                </c:pt>
                <c:pt idx="6">
                  <c:v>0</c:v>
                </c:pt>
                <c:pt idx="7">
                  <c:v>0</c:v>
                </c:pt>
              </c:numCache>
            </c:numRef>
          </c:val>
          <c:extLst>
            <c:ext xmlns:c16="http://schemas.microsoft.com/office/drawing/2014/chart" uri="{C3380CC4-5D6E-409C-BE32-E72D297353CC}">
              <c16:uniqueId val="{0000000D-1EFE-49B1-BBFA-8F167A6841E0}"/>
            </c:ext>
          </c:extLst>
        </c:ser>
        <c:ser>
          <c:idx val="2"/>
          <c:order val="2"/>
          <c:tx>
            <c:strRef>
              <c:f>'casc P64 EP6 SIL'!$E$129</c:f>
              <c:strCache>
                <c:ptCount val="1"/>
                <c:pt idx="0">
                  <c:v>Dérive</c:v>
                </c:pt>
              </c:strCache>
            </c:strRef>
          </c:tx>
          <c:spPr>
            <a:solidFill>
              <a:schemeClr val="bg1">
                <a:lumMod val="65000"/>
              </a:schemeClr>
            </a:solidFill>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EFE-49B1-BBFA-8F167A6841E0}"/>
                </c:ext>
              </c:extLst>
            </c:dLbl>
            <c:dLbl>
              <c:idx val="3"/>
              <c:numFmt formatCode="\+0.0&quot;kg&quot;" sourceLinked="0"/>
              <c:spPr/>
              <c:txPr>
                <a:bodyPr/>
                <a:lstStyle/>
                <a:p>
                  <a:pPr>
                    <a:defRPr sz="1400" b="1"/>
                  </a:pPr>
                  <a:endParaRPr lang="fr-FR"/>
                </a:p>
              </c:txPr>
              <c:showLegendKey val="0"/>
              <c:showVal val="0"/>
              <c:showCatName val="0"/>
              <c:showSerName val="0"/>
              <c:showPercent val="0"/>
              <c:showBubbleSize val="0"/>
              <c:extLst>
                <c:ext xmlns:c16="http://schemas.microsoft.com/office/drawing/2014/chart" uri="{C3380CC4-5D6E-409C-BE32-E72D297353CC}">
                  <c16:uniqueId val="{0000000F-1EFE-49B1-BBFA-8F167A6841E0}"/>
                </c:ext>
              </c:extLst>
            </c:dLbl>
            <c:dLbl>
              <c:idx val="7"/>
              <c:layout>
                <c:manualLayout>
                  <c:x val="-9.8920028777295926E-17"/>
                  <c:y val="3.1818815419894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EFE-49B1-BBFA-8F167A6841E0}"/>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EFE-49B1-BBFA-8F167A6841E0}"/>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SIL'!$A$130:$A$139</c:f>
              <c:strCache>
                <c:ptCount val="9"/>
                <c:pt idx="0">
                  <c:v>SCEG (hors BVH) : T9 EB2ADTS MB6 STTd niv2</c:v>
                </c:pt>
                <c:pt idx="1">
                  <c:v>Concept</c:v>
                </c:pt>
                <c:pt idx="2">
                  <c:v>SCEG (hors BVH) : P5 EB2ADTS MB6 STTd (Réf)</c:v>
                </c:pt>
                <c:pt idx="3">
                  <c:v>P1</c:v>
                </c:pt>
                <c:pt idx="4">
                  <c:v>SCEG (hors BVH) : P5 EB2ADTS MB6 STTd  (prévisionnel)</c:v>
                </c:pt>
                <c:pt idx="5">
                  <c:v>P2</c:v>
                </c:pt>
                <c:pt idx="6">
                  <c:v>P3</c:v>
                </c:pt>
                <c:pt idx="7">
                  <c:v>Risque_P3</c:v>
                </c:pt>
                <c:pt idx="8">
                  <c:v>SCEG (hors BVH) : P5 EB2ADTS MB6 STTd  (Potentiel)</c:v>
                </c:pt>
              </c:strCache>
            </c:strRef>
          </c:cat>
          <c:val>
            <c:numRef>
              <c:f>'casc P64 EP6 SIL'!$E$130:$E$139</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2-1EFE-49B1-BBFA-8F167A6841E0}"/>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4-1EFE-49B1-BBFA-8F167A6841E0}"/>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6-1EFE-49B1-BBFA-8F167A6841E0}"/>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8-1EFE-49B1-BBFA-8F167A6841E0}"/>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A-1EFE-49B1-BBFA-8F167A6841E0}"/>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C-1EFE-49B1-BBFA-8F167A6841E0}"/>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E-1EFE-49B1-BBFA-8F167A6841E0}"/>
              </c:ext>
            </c:extLst>
          </c:dPt>
          <c:cat>
            <c:strRef>
              <c:f>'casc P64 EP6 SIL'!$A$130:$A$139</c:f>
              <c:strCache>
                <c:ptCount val="9"/>
                <c:pt idx="0">
                  <c:v>SCEG (hors BVH) : T9 EB2ADTS MB6 STTd niv2</c:v>
                </c:pt>
                <c:pt idx="1">
                  <c:v>Concept</c:v>
                </c:pt>
                <c:pt idx="2">
                  <c:v>SCEG (hors BVH) : P5 EB2ADTS MB6 STTd (Réf)</c:v>
                </c:pt>
                <c:pt idx="3">
                  <c:v>P1</c:v>
                </c:pt>
                <c:pt idx="4">
                  <c:v>SCEG (hors BVH) : P5 EB2ADTS MB6 STTd  (prévisionnel)</c:v>
                </c:pt>
                <c:pt idx="5">
                  <c:v>P2</c:v>
                </c:pt>
                <c:pt idx="6">
                  <c:v>P3</c:v>
                </c:pt>
                <c:pt idx="7">
                  <c:v>Risque_P3</c:v>
                </c:pt>
                <c:pt idx="8">
                  <c:v>SCEG (hors BVH) : P5 EB2ADTS MB6 STTd  (Potentiel)</c:v>
                </c:pt>
              </c:strCache>
            </c:strRef>
          </c:cat>
          <c:val>
            <c:numRef>
              <c:f>'casc P64 EP6 SIL'!$M$93:$M$102</c:f>
              <c:numCache>
                <c:formatCode>General</c:formatCode>
                <c:ptCount val="10"/>
              </c:numCache>
            </c:numRef>
          </c:val>
          <c:extLst>
            <c:ext xmlns:c16="http://schemas.microsoft.com/office/drawing/2014/chart" uri="{C3380CC4-5D6E-409C-BE32-E72D297353CC}">
              <c16:uniqueId val="{0000001F-1EFE-49B1-BBFA-8F167A6841E0}"/>
            </c:ext>
          </c:extLst>
        </c:ser>
        <c:ser>
          <c:idx val="3"/>
          <c:order val="4"/>
          <c:tx>
            <c:strRef>
              <c:f>'casc P64 EP6 SIL'!$F$129</c:f>
              <c:strCache>
                <c:ptCount val="1"/>
                <c:pt idx="0">
                  <c:v>Gain</c:v>
                </c:pt>
              </c:strCache>
            </c:strRef>
          </c:tx>
          <c:spPr>
            <a:solidFill>
              <a:srgbClr val="92D050"/>
            </a:solidFill>
          </c:spPr>
          <c:invertIfNegative val="0"/>
          <c:dPt>
            <c:idx val="1"/>
            <c:invertIfNegative val="0"/>
            <c:bubble3D val="0"/>
            <c:extLst>
              <c:ext xmlns:c16="http://schemas.microsoft.com/office/drawing/2014/chart" uri="{C3380CC4-5D6E-409C-BE32-E72D297353CC}">
                <c16:uniqueId val="{00000020-1EFE-49B1-BBFA-8F167A6841E0}"/>
              </c:ext>
            </c:extLst>
          </c:dPt>
          <c:dPt>
            <c:idx val="2"/>
            <c:invertIfNegative val="0"/>
            <c:bubble3D val="0"/>
            <c:extLst>
              <c:ext xmlns:c16="http://schemas.microsoft.com/office/drawing/2014/chart" uri="{C3380CC4-5D6E-409C-BE32-E72D297353CC}">
                <c16:uniqueId val="{00000021-1EFE-49B1-BBFA-8F167A6841E0}"/>
              </c:ext>
            </c:extLst>
          </c:dPt>
          <c:dPt>
            <c:idx val="3"/>
            <c:invertIfNegative val="0"/>
            <c:bubble3D val="0"/>
            <c:extLst>
              <c:ext xmlns:c16="http://schemas.microsoft.com/office/drawing/2014/chart" uri="{C3380CC4-5D6E-409C-BE32-E72D297353CC}">
                <c16:uniqueId val="{00000022-1EFE-49B1-BBFA-8F167A6841E0}"/>
              </c:ext>
            </c:extLst>
          </c:dPt>
          <c:dPt>
            <c:idx val="4"/>
            <c:invertIfNegative val="0"/>
            <c:bubble3D val="0"/>
            <c:extLst>
              <c:ext xmlns:c16="http://schemas.microsoft.com/office/drawing/2014/chart" uri="{C3380CC4-5D6E-409C-BE32-E72D297353CC}">
                <c16:uniqueId val="{00000023-1EFE-49B1-BBFA-8F167A6841E0}"/>
              </c:ext>
            </c:extLst>
          </c:dPt>
          <c:dPt>
            <c:idx val="5"/>
            <c:invertIfNegative val="0"/>
            <c:bubble3D val="0"/>
            <c:spPr>
              <a:solidFill>
                <a:srgbClr val="FFC000"/>
              </a:solidFill>
            </c:spPr>
            <c:extLst>
              <c:ext xmlns:c16="http://schemas.microsoft.com/office/drawing/2014/chart" uri="{C3380CC4-5D6E-409C-BE32-E72D297353CC}">
                <c16:uniqueId val="{00000025-1EFE-49B1-BBFA-8F167A6841E0}"/>
              </c:ext>
            </c:extLst>
          </c:dPt>
          <c:dPt>
            <c:idx val="6"/>
            <c:invertIfNegative val="0"/>
            <c:bubble3D val="0"/>
            <c:spPr>
              <a:solidFill>
                <a:srgbClr val="FF0000"/>
              </a:solidFill>
            </c:spPr>
            <c:extLst>
              <c:ext xmlns:c16="http://schemas.microsoft.com/office/drawing/2014/chart" uri="{C3380CC4-5D6E-409C-BE32-E72D297353CC}">
                <c16:uniqueId val="{00000027-1EFE-49B1-BBFA-8F167A6841E0}"/>
              </c:ext>
            </c:extLst>
          </c:dPt>
          <c:dPt>
            <c:idx val="7"/>
            <c:invertIfNegative val="0"/>
            <c:bubble3D val="0"/>
            <c:spPr>
              <a:solidFill>
                <a:srgbClr val="FF0000"/>
              </a:solidFill>
            </c:spPr>
            <c:extLst>
              <c:ext xmlns:c16="http://schemas.microsoft.com/office/drawing/2014/chart" uri="{C3380CC4-5D6E-409C-BE32-E72D297353CC}">
                <c16:uniqueId val="{00000029-1EFE-49B1-BBFA-8F167A6841E0}"/>
              </c:ext>
            </c:extLst>
          </c:dPt>
          <c:dPt>
            <c:idx val="8"/>
            <c:invertIfNegative val="0"/>
            <c:bubble3D val="0"/>
            <c:spPr>
              <a:solidFill>
                <a:srgbClr val="FF0000"/>
              </a:solidFill>
            </c:spPr>
            <c:extLst>
              <c:ext xmlns:c16="http://schemas.microsoft.com/office/drawing/2014/chart" uri="{C3380CC4-5D6E-409C-BE32-E72D297353CC}">
                <c16:uniqueId val="{0000002B-1EFE-49B1-BBFA-8F167A6841E0}"/>
              </c:ext>
            </c:extLst>
          </c:dPt>
          <c:dPt>
            <c:idx val="9"/>
            <c:invertIfNegative val="0"/>
            <c:bubble3D val="0"/>
            <c:spPr>
              <a:solidFill>
                <a:schemeClr val="accent2">
                  <a:lumMod val="40000"/>
                  <a:lumOff val="60000"/>
                </a:schemeClr>
              </a:solidFill>
            </c:spPr>
            <c:extLst>
              <c:ext xmlns:c16="http://schemas.microsoft.com/office/drawing/2014/chart" uri="{C3380CC4-5D6E-409C-BE32-E72D297353CC}">
                <c16:uniqueId val="{0000002D-1EFE-49B1-BBFA-8F167A6841E0}"/>
              </c:ext>
            </c:extLst>
          </c:dPt>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2F-1EFE-49B1-BBFA-8F167A6841E0}"/>
              </c:ext>
            </c:extLst>
          </c:dPt>
          <c:dPt>
            <c:idx val="11"/>
            <c:invertIfNegative val="0"/>
            <c:bubble3D val="0"/>
            <c:spPr>
              <a:solidFill>
                <a:schemeClr val="bg1">
                  <a:lumMod val="85000"/>
                </a:schemeClr>
              </a:solidFill>
            </c:spPr>
            <c:extLst>
              <c:ext xmlns:c16="http://schemas.microsoft.com/office/drawing/2014/chart" uri="{C3380CC4-5D6E-409C-BE32-E72D297353CC}">
                <c16:uniqueId val="{00000031-1EFE-49B1-BBFA-8F167A6841E0}"/>
              </c:ext>
            </c:extLst>
          </c:dPt>
          <c:dLbls>
            <c:dLbl>
              <c:idx val="1"/>
              <c:delete val="1"/>
              <c:extLst>
                <c:ext xmlns:c15="http://schemas.microsoft.com/office/drawing/2012/chart" uri="{CE6537A1-D6FC-4f65-9D91-7224C49458BB}"/>
                <c:ext xmlns:c16="http://schemas.microsoft.com/office/drawing/2014/chart" uri="{C3380CC4-5D6E-409C-BE32-E72D297353CC}">
                  <c16:uniqueId val="{00000020-1EFE-49B1-BBFA-8F167A6841E0}"/>
                </c:ext>
              </c:extLst>
            </c:dLbl>
            <c:dLbl>
              <c:idx val="2"/>
              <c:delete val="1"/>
              <c:extLst>
                <c:ext xmlns:c15="http://schemas.microsoft.com/office/drawing/2012/chart" uri="{CE6537A1-D6FC-4f65-9D91-7224C49458BB}"/>
                <c:ext xmlns:c16="http://schemas.microsoft.com/office/drawing/2014/chart" uri="{C3380CC4-5D6E-409C-BE32-E72D297353CC}">
                  <c16:uniqueId val="{00000021-1EFE-49B1-BBFA-8F167A6841E0}"/>
                </c:ext>
              </c:extLst>
            </c:dLbl>
            <c:dLbl>
              <c:idx val="4"/>
              <c:delete val="1"/>
              <c:extLst>
                <c:ext xmlns:c15="http://schemas.microsoft.com/office/drawing/2012/chart" uri="{CE6537A1-D6FC-4f65-9D91-7224C49458BB}"/>
                <c:ext xmlns:c16="http://schemas.microsoft.com/office/drawing/2014/chart" uri="{C3380CC4-5D6E-409C-BE32-E72D297353CC}">
                  <c16:uniqueId val="{00000023-1EFE-49B1-BBFA-8F167A6841E0}"/>
                </c:ext>
              </c:extLst>
            </c:dLbl>
            <c:dLbl>
              <c:idx val="6"/>
              <c:layout>
                <c:manualLayout>
                  <c:x val="-9.5593114916519604E-7"/>
                  <c:y val="-3.9720677720269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1EFE-49B1-BBFA-8F167A6841E0}"/>
                </c:ext>
              </c:extLst>
            </c:dLbl>
            <c:dLbl>
              <c:idx val="7"/>
              <c:delete val="1"/>
              <c:extLst>
                <c:ext xmlns:c15="http://schemas.microsoft.com/office/drawing/2012/chart" uri="{CE6537A1-D6FC-4f65-9D91-7224C49458BB}"/>
                <c:ext xmlns:c16="http://schemas.microsoft.com/office/drawing/2014/chart" uri="{C3380CC4-5D6E-409C-BE32-E72D297353CC}">
                  <c16:uniqueId val="{00000029-1EFE-49B1-BBFA-8F167A6841E0}"/>
                </c:ext>
              </c:extLst>
            </c:dLbl>
            <c:dLbl>
              <c:idx val="8"/>
              <c:delete val="1"/>
              <c:extLst>
                <c:ext xmlns:c15="http://schemas.microsoft.com/office/drawing/2012/chart" uri="{CE6537A1-D6FC-4f65-9D91-7224C49458BB}"/>
                <c:ext xmlns:c16="http://schemas.microsoft.com/office/drawing/2014/chart" uri="{C3380CC4-5D6E-409C-BE32-E72D297353CC}">
                  <c16:uniqueId val="{0000002B-1EFE-49B1-BBFA-8F167A6841E0}"/>
                </c:ext>
              </c:extLst>
            </c:dLbl>
            <c:dLbl>
              <c:idx val="9"/>
              <c:delete val="1"/>
              <c:extLst>
                <c:ext xmlns:c15="http://schemas.microsoft.com/office/drawing/2012/chart" uri="{CE6537A1-D6FC-4f65-9D91-7224C49458BB}"/>
                <c:ext xmlns:c16="http://schemas.microsoft.com/office/drawing/2014/chart" uri="{C3380CC4-5D6E-409C-BE32-E72D297353CC}">
                  <c16:uniqueId val="{0000002D-1EFE-49B1-BBFA-8F167A6841E0}"/>
                </c:ext>
              </c:extLst>
            </c:dLbl>
            <c:dLbl>
              <c:idx val="12"/>
              <c:delete val="1"/>
              <c:extLst>
                <c:ext xmlns:c15="http://schemas.microsoft.com/office/drawing/2012/chart" uri="{CE6537A1-D6FC-4f65-9D91-7224C49458BB}"/>
                <c:ext xmlns:c16="http://schemas.microsoft.com/office/drawing/2014/chart" uri="{C3380CC4-5D6E-409C-BE32-E72D297353CC}">
                  <c16:uniqueId val="{00000032-1EFE-49B1-BBFA-8F167A6841E0}"/>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SIL'!$A$130:$A$139</c:f>
              <c:strCache>
                <c:ptCount val="9"/>
                <c:pt idx="0">
                  <c:v>SCEG (hors BVH) : T9 EB2ADTS MB6 STTd niv2</c:v>
                </c:pt>
                <c:pt idx="1">
                  <c:v>Concept</c:v>
                </c:pt>
                <c:pt idx="2">
                  <c:v>SCEG (hors BVH) : P5 EB2ADTS MB6 STTd (Réf)</c:v>
                </c:pt>
                <c:pt idx="3">
                  <c:v>P1</c:v>
                </c:pt>
                <c:pt idx="4">
                  <c:v>SCEG (hors BVH) : P5 EB2ADTS MB6 STTd  (prévisionnel)</c:v>
                </c:pt>
                <c:pt idx="5">
                  <c:v>P2</c:v>
                </c:pt>
                <c:pt idx="6">
                  <c:v>P3</c:v>
                </c:pt>
                <c:pt idx="7">
                  <c:v>Risque_P3</c:v>
                </c:pt>
                <c:pt idx="8">
                  <c:v>SCEG (hors BVH) : P5 EB2ADTS MB6 STTd  (Potentiel)</c:v>
                </c:pt>
              </c:strCache>
            </c:strRef>
          </c:cat>
          <c:val>
            <c:numRef>
              <c:f>'casc P64 EP6 SIL'!$F$130:$F$139</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33-1EFE-49B1-BBFA-8F167A6841E0}"/>
            </c:ext>
          </c:extLst>
        </c:ser>
        <c:ser>
          <c:idx val="5"/>
          <c:order val="6"/>
          <c:tx>
            <c:strRef>
              <c:f>'casc P64 EP6 SIL'!$L$92</c:f>
              <c:strCache>
                <c:ptCount val="1"/>
              </c:strCache>
            </c:strRef>
          </c:tx>
          <c:spPr>
            <a:noFill/>
            <a:ln>
              <a:solidFill>
                <a:sysClr val="windowText" lastClr="000000"/>
              </a:solidFill>
            </a:ln>
          </c:spPr>
          <c:invertIfNegative val="0"/>
          <c:cat>
            <c:strRef>
              <c:f>'casc P64 EP6 SIL'!$A$130:$A$139</c:f>
              <c:strCache>
                <c:ptCount val="9"/>
                <c:pt idx="0">
                  <c:v>SCEG (hors BVH) : T9 EB2ADTS MB6 STTd niv2</c:v>
                </c:pt>
                <c:pt idx="1">
                  <c:v>Concept</c:v>
                </c:pt>
                <c:pt idx="2">
                  <c:v>SCEG (hors BVH) : P5 EB2ADTS MB6 STTd (Réf)</c:v>
                </c:pt>
                <c:pt idx="3">
                  <c:v>P1</c:v>
                </c:pt>
                <c:pt idx="4">
                  <c:v>SCEG (hors BVH) : P5 EB2ADTS MB6 STTd  (prévisionnel)</c:v>
                </c:pt>
                <c:pt idx="5">
                  <c:v>P2</c:v>
                </c:pt>
                <c:pt idx="6">
                  <c:v>P3</c:v>
                </c:pt>
                <c:pt idx="7">
                  <c:v>Risque_P3</c:v>
                </c:pt>
                <c:pt idx="8">
                  <c:v>SCEG (hors BVH) : P5 EB2ADTS MB6 STTd  (Potentiel)</c:v>
                </c:pt>
              </c:strCache>
            </c:strRef>
          </c:cat>
          <c:val>
            <c:numRef>
              <c:f>'casc P64 EP6 SIL'!$L$93:$L$102</c:f>
              <c:numCache>
                <c:formatCode>General</c:formatCode>
                <c:ptCount val="10"/>
              </c:numCache>
            </c:numRef>
          </c:val>
          <c:extLst>
            <c:ext xmlns:c16="http://schemas.microsoft.com/office/drawing/2014/chart" uri="{C3380CC4-5D6E-409C-BE32-E72D297353CC}">
              <c16:uniqueId val="{00000034-1EFE-49B1-BBFA-8F167A6841E0}"/>
            </c:ext>
          </c:extLst>
        </c:ser>
        <c:dLbls>
          <c:showLegendKey val="0"/>
          <c:showVal val="0"/>
          <c:showCatName val="0"/>
          <c:showSerName val="0"/>
          <c:showPercent val="0"/>
          <c:showBubbleSize val="0"/>
        </c:dLbls>
        <c:gapWidth val="150"/>
        <c:overlap val="100"/>
        <c:axId val="152332544"/>
        <c:axId val="152363008"/>
      </c:barChart>
      <c:scatterChart>
        <c:scatterStyle val="lineMarker"/>
        <c:varyColors val="0"/>
        <c:ser>
          <c:idx val="4"/>
          <c:order val="5"/>
          <c:tx>
            <c:strRef>
              <c:f>'casc P64 EP6 SIL'!$I$129</c:f>
              <c:strCache>
                <c:ptCount val="1"/>
                <c:pt idx="0">
                  <c:v>Objectif 160 kg</c:v>
                </c:pt>
              </c:strCache>
            </c:strRef>
          </c:tx>
          <c:spPr>
            <a:ln>
              <a:solidFill>
                <a:sysClr val="windowText" lastClr="000000"/>
              </a:solidFill>
              <a:prstDash val="dash"/>
            </a:ln>
          </c:spPr>
          <c:marker>
            <c:symbol val="none"/>
          </c:marker>
          <c:dLbls>
            <c:dLbl>
              <c:idx val="5"/>
              <c:layout>
                <c:manualLayout>
                  <c:x val="-8.498227916078592E-2"/>
                  <c:y val="4.9174532921655106E-2"/>
                </c:manualLayout>
              </c:layout>
              <c:spPr/>
              <c:txPr>
                <a:bodyPr/>
                <a:lstStyle/>
                <a:p>
                  <a:pPr>
                    <a:defRPr sz="14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5-1EFE-49B1-BBFA-8F167A6841E0}"/>
                </c:ext>
              </c:extLst>
            </c:dLbl>
            <c:spPr>
              <a:noFill/>
              <a:ln>
                <a:noFill/>
              </a:ln>
              <a:effectLst/>
            </c:spPr>
            <c:txPr>
              <a:bodyPr wrap="square" lIns="38100" tIns="19050" rIns="38100" bIns="19050" anchor="ctr">
                <a:spAutoFit/>
              </a:bodyPr>
              <a:lstStyle/>
              <a:p>
                <a:pPr>
                  <a:defRPr>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SIL'!$I$130:$I$139</c:f>
              <c:numCache>
                <c:formatCode>0</c:formatCode>
                <c:ptCount val="10"/>
                <c:pt idx="0">
                  <c:v>159.50650000000005</c:v>
                </c:pt>
                <c:pt idx="1">
                  <c:v>159.50650000000005</c:v>
                </c:pt>
                <c:pt idx="2">
                  <c:v>159.50650000000005</c:v>
                </c:pt>
                <c:pt idx="3">
                  <c:v>159.50650000000005</c:v>
                </c:pt>
                <c:pt idx="4">
                  <c:v>159.50650000000005</c:v>
                </c:pt>
                <c:pt idx="5">
                  <c:v>159.50650000000005</c:v>
                </c:pt>
                <c:pt idx="6">
                  <c:v>159.50650000000005</c:v>
                </c:pt>
                <c:pt idx="7">
                  <c:v>159.50650000000005</c:v>
                </c:pt>
                <c:pt idx="8">
                  <c:v>159.50650000000005</c:v>
                </c:pt>
                <c:pt idx="9">
                  <c:v>159.50650000000005</c:v>
                </c:pt>
              </c:numCache>
            </c:numRef>
          </c:yVal>
          <c:smooth val="0"/>
          <c:extLst>
            <c:ext xmlns:c16="http://schemas.microsoft.com/office/drawing/2014/chart" uri="{C3380CC4-5D6E-409C-BE32-E72D297353CC}">
              <c16:uniqueId val="{00000036-1EFE-49B1-BBFA-8F167A6841E0}"/>
            </c:ext>
          </c:extLst>
        </c:ser>
        <c:dLbls>
          <c:showLegendKey val="0"/>
          <c:showVal val="0"/>
          <c:showCatName val="0"/>
          <c:showSerName val="0"/>
          <c:showPercent val="0"/>
          <c:showBubbleSize val="0"/>
        </c:dLbls>
        <c:axId val="152332544"/>
        <c:axId val="152363008"/>
      </c:scatterChart>
      <c:catAx>
        <c:axId val="152332544"/>
        <c:scaling>
          <c:orientation val="minMax"/>
        </c:scaling>
        <c:delete val="0"/>
        <c:axPos val="b"/>
        <c:numFmt formatCode="General" sourceLinked="0"/>
        <c:majorTickMark val="out"/>
        <c:minorTickMark val="none"/>
        <c:tickLblPos val="nextTo"/>
        <c:txPr>
          <a:bodyPr/>
          <a:lstStyle/>
          <a:p>
            <a:pPr>
              <a:defRPr sz="1000" b="1"/>
            </a:pPr>
            <a:endParaRPr lang="fr-FR"/>
          </a:p>
        </c:txPr>
        <c:crossAx val="152363008"/>
        <c:crosses val="autoZero"/>
        <c:auto val="1"/>
        <c:lblAlgn val="ctr"/>
        <c:lblOffset val="100"/>
        <c:noMultiLvlLbl val="0"/>
      </c:catAx>
      <c:valAx>
        <c:axId val="152363008"/>
        <c:scaling>
          <c:orientation val="minMax"/>
          <c:min val="130"/>
        </c:scaling>
        <c:delete val="0"/>
        <c:axPos val="l"/>
        <c:numFmt formatCode="0" sourceLinked="0"/>
        <c:majorTickMark val="out"/>
        <c:minorTickMark val="none"/>
        <c:tickLblPos val="nextTo"/>
        <c:txPr>
          <a:bodyPr/>
          <a:lstStyle/>
          <a:p>
            <a:pPr>
              <a:defRPr sz="1600" b="1"/>
            </a:pPr>
            <a:endParaRPr lang="fr-FR"/>
          </a:p>
        </c:txPr>
        <c:crossAx val="152332544"/>
        <c:crosses val="autoZero"/>
        <c:crossBetween val="between"/>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11510000649792E-2"/>
          <c:y val="3.7534814585562307E-2"/>
          <c:w val="0.9272988385142471"/>
          <c:h val="0.67284375658641593"/>
        </c:manualLayout>
      </c:layout>
      <c:barChart>
        <c:barDir val="col"/>
        <c:grouping val="stacked"/>
        <c:varyColors val="0"/>
        <c:ser>
          <c:idx val="0"/>
          <c:order val="0"/>
          <c:tx>
            <c:strRef>
              <c:f>'casc P64 EP6 SIL'!$C$4</c:f>
              <c:strCache>
                <c:ptCount val="1"/>
                <c:pt idx="0">
                  <c:v>MàV</c:v>
                </c:pt>
              </c:strCache>
            </c:strRef>
          </c:tx>
          <c:invertIfNegative val="0"/>
          <c:dLbls>
            <c:dLbl>
              <c:idx val="0"/>
              <c:layout>
                <c:manualLayout>
                  <c:x val="-2.710130906791675E-3"/>
                  <c:y val="-0.274371717154462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6B-472A-8A31-E39AFEEF6906}"/>
                </c:ext>
              </c:extLst>
            </c:dLbl>
            <c:dLbl>
              <c:idx val="2"/>
              <c:layout>
                <c:manualLayout>
                  <c:x val="0"/>
                  <c:y val="-0.2775620859585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6B-472A-8A31-E39AFEEF6906}"/>
                </c:ext>
              </c:extLst>
            </c:dLbl>
            <c:dLbl>
              <c:idx val="6"/>
              <c:layout>
                <c:manualLayout>
                  <c:x val="0"/>
                  <c:y val="-0.248848766721489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76B-472A-8A31-E39AFEEF6906}"/>
                </c:ext>
              </c:extLst>
            </c:dLbl>
            <c:dLbl>
              <c:idx val="9"/>
              <c:layout>
                <c:manualLayout>
                  <c:x val="-9.9370318647960341E-17"/>
                  <c:y val="-0.26161024193797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76B-472A-8A31-E39AFEEF690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SIL'!$A$5:$A$14</c:f>
              <c:strCache>
                <c:ptCount val="10"/>
                <c:pt idx="0">
                  <c:v>P64 EP6 SIL :P84 EP6FADTXd ATN8</c:v>
                </c:pt>
                <c:pt idx="1">
                  <c:v>Concept</c:v>
                </c:pt>
                <c:pt idx="2">
                  <c:v>P64 EP6 SIL : P64€ EP6 ATN8 (Réf)</c:v>
                </c:pt>
                <c:pt idx="3">
                  <c:v>P1</c:v>
                </c:pt>
                <c:pt idx="4">
                  <c:v>P2</c:v>
                </c:pt>
                <c:pt idx="5">
                  <c:v>RISQUES</c:v>
                </c:pt>
                <c:pt idx="6">
                  <c:v>P64 EP6 SIL : P64€ EP6 ATN8 (Potentiel)</c:v>
                </c:pt>
                <c:pt idx="7">
                  <c:v>P3</c:v>
                </c:pt>
                <c:pt idx="8">
                  <c:v>RISQUES_P3</c:v>
                </c:pt>
                <c:pt idx="9">
                  <c:v>P64 EP6 SIL : P64€ EP6 ATN8 (Potentiel)</c:v>
                </c:pt>
              </c:strCache>
            </c:strRef>
          </c:cat>
          <c:val>
            <c:numRef>
              <c:f>'casc P64 EP6 SIL'!$C$5:$C$14</c:f>
              <c:numCache>
                <c:formatCode>General</c:formatCode>
                <c:ptCount val="10"/>
                <c:pt idx="0" formatCode="0">
                  <c:v>0</c:v>
                </c:pt>
                <c:pt idx="2" formatCode="0">
                  <c:v>0</c:v>
                </c:pt>
                <c:pt idx="6" formatCode="0">
                  <c:v>0</c:v>
                </c:pt>
                <c:pt idx="9" formatCode="0">
                  <c:v>0</c:v>
                </c:pt>
              </c:numCache>
            </c:numRef>
          </c:val>
          <c:extLst>
            <c:ext xmlns:c16="http://schemas.microsoft.com/office/drawing/2014/chart" uri="{C3380CC4-5D6E-409C-BE32-E72D297353CC}">
              <c16:uniqueId val="{00000000-2F6A-41F0-B61E-F85659B82E92}"/>
            </c:ext>
          </c:extLst>
        </c:ser>
        <c:ser>
          <c:idx val="1"/>
          <c:order val="1"/>
          <c:tx>
            <c:strRef>
              <c:f>'casc P64 EP6 SIL'!$D$4</c:f>
              <c:strCache>
                <c:ptCount val="1"/>
              </c:strCache>
            </c:strRef>
          </c:tx>
          <c:spPr>
            <a:noFill/>
          </c:spPr>
          <c:invertIfNegative val="0"/>
          <c:cat>
            <c:strRef>
              <c:f>'casc P64 EP6 SIL'!$A$5:$A$14</c:f>
              <c:strCache>
                <c:ptCount val="10"/>
                <c:pt idx="0">
                  <c:v>P64 EP6 SIL :P84 EP6FADTXd ATN8</c:v>
                </c:pt>
                <c:pt idx="1">
                  <c:v>Concept</c:v>
                </c:pt>
                <c:pt idx="2">
                  <c:v>P64 EP6 SIL : P64€ EP6 ATN8 (Réf)</c:v>
                </c:pt>
                <c:pt idx="3">
                  <c:v>P1</c:v>
                </c:pt>
                <c:pt idx="4">
                  <c:v>P2</c:v>
                </c:pt>
                <c:pt idx="5">
                  <c:v>RISQUES</c:v>
                </c:pt>
                <c:pt idx="6">
                  <c:v>P64 EP6 SIL : P64€ EP6 ATN8 (Potentiel)</c:v>
                </c:pt>
                <c:pt idx="7">
                  <c:v>P3</c:v>
                </c:pt>
                <c:pt idx="8">
                  <c:v>RISQUES_P3</c:v>
                </c:pt>
                <c:pt idx="9">
                  <c:v>P64 EP6 SIL : P64€ EP6 ATN8 (Potentiel)</c:v>
                </c:pt>
              </c:strCache>
            </c:strRef>
          </c:cat>
          <c:val>
            <c:numRef>
              <c:f>'casc P64 EP6 SIL'!$D$5:$D$14</c:f>
              <c:numCache>
                <c:formatCode>0</c:formatCode>
                <c:ptCount val="10"/>
                <c:pt idx="1">
                  <c:v>0</c:v>
                </c:pt>
                <c:pt idx="3">
                  <c:v>0</c:v>
                </c:pt>
                <c:pt idx="4">
                  <c:v>0</c:v>
                </c:pt>
                <c:pt idx="5">
                  <c:v>0</c:v>
                </c:pt>
                <c:pt idx="7">
                  <c:v>0</c:v>
                </c:pt>
                <c:pt idx="8">
                  <c:v>0</c:v>
                </c:pt>
              </c:numCache>
            </c:numRef>
          </c:val>
          <c:extLst>
            <c:ext xmlns:c16="http://schemas.microsoft.com/office/drawing/2014/chart" uri="{C3380CC4-5D6E-409C-BE32-E72D297353CC}">
              <c16:uniqueId val="{00000001-2F6A-41F0-B61E-F85659B82E92}"/>
            </c:ext>
          </c:extLst>
        </c:ser>
        <c:ser>
          <c:idx val="2"/>
          <c:order val="2"/>
          <c:tx>
            <c:strRef>
              <c:f>'casc P64 EP6 SIL'!$E$4</c:f>
              <c:strCache>
                <c:ptCount val="1"/>
                <c:pt idx="0">
                  <c:v>Dérive</c:v>
                </c:pt>
              </c:strCache>
            </c:strRef>
          </c:tx>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03-2F6A-41F0-B61E-F85659B82E92}"/>
              </c:ext>
            </c:extLst>
          </c:dPt>
          <c:dPt>
            <c:idx val="5"/>
            <c:invertIfNegative val="0"/>
            <c:bubble3D val="0"/>
            <c:spPr>
              <a:solidFill>
                <a:srgbClr val="FF0000"/>
              </a:solidFill>
            </c:spPr>
            <c:extLst>
              <c:ext xmlns:c16="http://schemas.microsoft.com/office/drawing/2014/chart" uri="{C3380CC4-5D6E-409C-BE32-E72D297353CC}">
                <c16:uniqueId val="{00000003-AAEE-4B18-8679-47E084C54BC9}"/>
              </c:ext>
            </c:extLst>
          </c:dPt>
          <c:dPt>
            <c:idx val="8"/>
            <c:invertIfNegative val="0"/>
            <c:bubble3D val="0"/>
            <c:spPr>
              <a:solidFill>
                <a:srgbClr val="FF0000"/>
              </a:solidFill>
            </c:spPr>
            <c:extLst>
              <c:ext xmlns:c16="http://schemas.microsoft.com/office/drawing/2014/chart" uri="{C3380CC4-5D6E-409C-BE32-E72D297353CC}">
                <c16:uniqueId val="{00000006-F76B-472A-8A31-E39AFEEF6906}"/>
              </c:ext>
            </c:extLst>
          </c:dPt>
          <c:dLbls>
            <c:dLbl>
              <c:idx val="1"/>
              <c:layout>
                <c:manualLayout>
                  <c:x val="0"/>
                  <c:y val="-5.7426638474189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6A-41F0-B61E-F85659B82E92}"/>
                </c:ext>
              </c:extLst>
            </c:dLbl>
            <c:dLbl>
              <c:idx val="3"/>
              <c:delete val="1"/>
              <c:extLst>
                <c:ext xmlns:c15="http://schemas.microsoft.com/office/drawing/2012/chart" uri="{CE6537A1-D6FC-4f65-9D91-7224C49458BB}"/>
                <c:ext xmlns:c16="http://schemas.microsoft.com/office/drawing/2014/chart" uri="{C3380CC4-5D6E-409C-BE32-E72D297353CC}">
                  <c16:uniqueId val="{00000005-0FCC-4D40-ABDE-80BB9A1D3DCB}"/>
                </c:ext>
              </c:extLst>
            </c:dLbl>
            <c:dLbl>
              <c:idx val="5"/>
              <c:layout>
                <c:manualLayout>
                  <c:x val="0"/>
                  <c:y val="-6.06170072783114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EE-4B18-8679-47E084C54BC9}"/>
                </c:ext>
              </c:extLst>
            </c:dLbl>
            <c:dLbl>
              <c:idx val="7"/>
              <c:delete val="1"/>
              <c:extLst>
                <c:ext xmlns:c15="http://schemas.microsoft.com/office/drawing/2012/chart" uri="{CE6537A1-D6FC-4f65-9D91-7224C49458BB}"/>
                <c:ext xmlns:c16="http://schemas.microsoft.com/office/drawing/2014/chart" uri="{C3380CC4-5D6E-409C-BE32-E72D297353CC}">
                  <c16:uniqueId val="{00000007-0FCC-4D40-ABDE-80BB9A1D3DCB}"/>
                </c:ext>
              </c:extLst>
            </c:dLbl>
            <c:dLbl>
              <c:idx val="8"/>
              <c:layout>
                <c:manualLayout>
                  <c:x val="-9.9370318647960341E-17"/>
                  <c:y val="-4.46651632577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6B-472A-8A31-E39AFEEF6906}"/>
                </c:ext>
              </c:extLst>
            </c:dLbl>
            <c:spPr>
              <a:noFill/>
              <a:ln>
                <a:noFill/>
              </a:ln>
              <a:effectLst/>
            </c:spPr>
            <c:txPr>
              <a:bodyPr wrap="square" lIns="38100" tIns="19050" rIns="38100" bIns="19050" anchor="ctr">
                <a:spAutoFit/>
              </a:bodyPr>
              <a:lstStyle/>
              <a:p>
                <a:pPr>
                  <a:defRPr sz="12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SIL'!$A$5:$A$14</c:f>
              <c:strCache>
                <c:ptCount val="10"/>
                <c:pt idx="0">
                  <c:v>P64 EP6 SIL :P84 EP6FADTXd ATN8</c:v>
                </c:pt>
                <c:pt idx="1">
                  <c:v>Concept</c:v>
                </c:pt>
                <c:pt idx="2">
                  <c:v>P64 EP6 SIL : P64€ EP6 ATN8 (Réf)</c:v>
                </c:pt>
                <c:pt idx="3">
                  <c:v>P1</c:v>
                </c:pt>
                <c:pt idx="4">
                  <c:v>P2</c:v>
                </c:pt>
                <c:pt idx="5">
                  <c:v>RISQUES</c:v>
                </c:pt>
                <c:pt idx="6">
                  <c:v>P64 EP6 SIL : P64€ EP6 ATN8 (Potentiel)</c:v>
                </c:pt>
                <c:pt idx="7">
                  <c:v>P3</c:v>
                </c:pt>
                <c:pt idx="8">
                  <c:v>RISQUES_P3</c:v>
                </c:pt>
                <c:pt idx="9">
                  <c:v>P64 EP6 SIL : P64€ EP6 ATN8 (Potentiel)</c:v>
                </c:pt>
              </c:strCache>
            </c:strRef>
          </c:cat>
          <c:val>
            <c:numRef>
              <c:f>'casc P64 EP6 SIL'!$E$5:$E$15</c:f>
              <c:numCache>
                <c:formatCode>0</c:formatCode>
                <c:ptCount val="11"/>
                <c:pt idx="1">
                  <c:v>0</c:v>
                </c:pt>
                <c:pt idx="3">
                  <c:v>0</c:v>
                </c:pt>
                <c:pt idx="5">
                  <c:v>0</c:v>
                </c:pt>
                <c:pt idx="7">
                  <c:v>0</c:v>
                </c:pt>
                <c:pt idx="8">
                  <c:v>0</c:v>
                </c:pt>
                <c:pt idx="10">
                  <c:v>0</c:v>
                </c:pt>
              </c:numCache>
            </c:numRef>
          </c:val>
          <c:extLst>
            <c:ext xmlns:c16="http://schemas.microsoft.com/office/drawing/2014/chart" uri="{C3380CC4-5D6E-409C-BE32-E72D297353CC}">
              <c16:uniqueId val="{00000006-2F6A-41F0-B61E-F85659B82E92}"/>
            </c:ext>
          </c:extLst>
        </c:ser>
        <c:ser>
          <c:idx val="3"/>
          <c:order val="3"/>
          <c:tx>
            <c:strRef>
              <c:f>'casc P64 EP6 SIL'!$F$4</c:f>
              <c:strCache>
                <c:ptCount val="1"/>
                <c:pt idx="0">
                  <c:v>Gain</c:v>
                </c:pt>
              </c:strCache>
            </c:strRef>
          </c:tx>
          <c:spPr>
            <a:solidFill>
              <a:srgbClr val="92D050"/>
            </a:solidFill>
          </c:spPr>
          <c:invertIfNegative val="0"/>
          <c:dPt>
            <c:idx val="9"/>
            <c:invertIfNegative val="0"/>
            <c:bubble3D val="0"/>
            <c:extLst>
              <c:ext xmlns:c16="http://schemas.microsoft.com/office/drawing/2014/chart" uri="{C3380CC4-5D6E-409C-BE32-E72D297353CC}">
                <c16:uniqueId val="{00000006-AAEE-4B18-8679-47E084C54BC9}"/>
              </c:ext>
            </c:extLst>
          </c:dPt>
          <c:dLbls>
            <c:dLbl>
              <c:idx val="1"/>
              <c:delete val="1"/>
              <c:extLst>
                <c:ext xmlns:c15="http://schemas.microsoft.com/office/drawing/2012/chart" uri="{CE6537A1-D6FC-4f65-9D91-7224C49458BB}"/>
                <c:ext xmlns:c16="http://schemas.microsoft.com/office/drawing/2014/chart" uri="{C3380CC4-5D6E-409C-BE32-E72D297353CC}">
                  <c16:uniqueId val="{00000008-0FCC-4D40-ABDE-80BB9A1D3DCB}"/>
                </c:ext>
              </c:extLst>
            </c:dLbl>
            <c:dLbl>
              <c:idx val="3"/>
              <c:layout>
                <c:manualLayout>
                  <c:x val="-4.9685159323980171E-17"/>
                  <c:y val="-4.7855532061824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C5-420F-B208-A0F5BF95AD3A}"/>
                </c:ext>
              </c:extLst>
            </c:dLbl>
            <c:dLbl>
              <c:idx val="4"/>
              <c:layout>
                <c:manualLayout>
                  <c:x val="1.3550654533957818E-3"/>
                  <c:y val="-4.1474794453581515E-2"/>
                </c:manualLayout>
              </c:layout>
              <c:spPr>
                <a:noFill/>
                <a:ln>
                  <a:noFill/>
                </a:ln>
                <a:effectLst/>
              </c:spPr>
              <c:txPr>
                <a:bodyPr wrap="square" lIns="38100" tIns="19050" rIns="38100" bIns="19050" anchor="ctr">
                  <a:noAutofit/>
                </a:bodyPr>
                <a:lstStyle/>
                <a:p>
                  <a:pPr>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2.5841098196258506E-2"/>
                      <c:h val="5.4890420879984102E-2"/>
                    </c:manualLayout>
                  </c15:layout>
                </c:ext>
                <c:ext xmlns:c16="http://schemas.microsoft.com/office/drawing/2014/chart" uri="{C3380CC4-5D6E-409C-BE32-E72D297353CC}">
                  <c16:uniqueId val="{00000008-2DC5-420F-B208-A0F5BF95AD3A}"/>
                </c:ext>
              </c:extLst>
            </c:dLbl>
            <c:dLbl>
              <c:idx val="5"/>
              <c:delete val="1"/>
              <c:extLst>
                <c:ext xmlns:c15="http://schemas.microsoft.com/office/drawing/2012/chart" uri="{CE6537A1-D6FC-4f65-9D91-7224C49458BB}"/>
                <c:ext xmlns:c16="http://schemas.microsoft.com/office/drawing/2014/chart" uri="{C3380CC4-5D6E-409C-BE32-E72D297353CC}">
                  <c16:uniqueId val="{00000007-AAEE-4B18-8679-47E084C54BC9}"/>
                </c:ext>
              </c:extLst>
            </c:dLbl>
            <c:dLbl>
              <c:idx val="7"/>
              <c:layout>
                <c:manualLayout>
                  <c:x val="0"/>
                  <c:y val="-4.1474794453581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DC5-420F-B208-A0F5BF95AD3A}"/>
                </c:ext>
              </c:extLst>
            </c:dLbl>
            <c:dLbl>
              <c:idx val="8"/>
              <c:delete val="1"/>
              <c:extLst>
                <c:ext xmlns:c15="http://schemas.microsoft.com/office/drawing/2012/chart" uri="{CE6537A1-D6FC-4f65-9D91-7224C49458BB}"/>
                <c:ext xmlns:c16="http://schemas.microsoft.com/office/drawing/2014/chart" uri="{C3380CC4-5D6E-409C-BE32-E72D297353CC}">
                  <c16:uniqueId val="{00000007-F76B-472A-8A31-E39AFEEF690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SIL'!$A$5:$A$14</c:f>
              <c:strCache>
                <c:ptCount val="10"/>
                <c:pt idx="0">
                  <c:v>P64 EP6 SIL :P84 EP6FADTXd ATN8</c:v>
                </c:pt>
                <c:pt idx="1">
                  <c:v>Concept</c:v>
                </c:pt>
                <c:pt idx="2">
                  <c:v>P64 EP6 SIL : P64€ EP6 ATN8 (Réf)</c:v>
                </c:pt>
                <c:pt idx="3">
                  <c:v>P1</c:v>
                </c:pt>
                <c:pt idx="4">
                  <c:v>P2</c:v>
                </c:pt>
                <c:pt idx="5">
                  <c:v>RISQUES</c:v>
                </c:pt>
                <c:pt idx="6">
                  <c:v>P64 EP6 SIL : P64€ EP6 ATN8 (Potentiel)</c:v>
                </c:pt>
                <c:pt idx="7">
                  <c:v>P3</c:v>
                </c:pt>
                <c:pt idx="8">
                  <c:v>RISQUES_P3</c:v>
                </c:pt>
                <c:pt idx="9">
                  <c:v>P64 EP6 SIL : P64€ EP6 ATN8 (Potentiel)</c:v>
                </c:pt>
              </c:strCache>
            </c:strRef>
          </c:cat>
          <c:val>
            <c:numRef>
              <c:f>'casc P64 EP6 SIL'!$F$5:$F$14</c:f>
              <c:numCache>
                <c:formatCode>0</c:formatCode>
                <c:ptCount val="10"/>
                <c:pt idx="1">
                  <c:v>0</c:v>
                </c:pt>
                <c:pt idx="3">
                  <c:v>0</c:v>
                </c:pt>
                <c:pt idx="4">
                  <c:v>0</c:v>
                </c:pt>
                <c:pt idx="5">
                  <c:v>0</c:v>
                </c:pt>
                <c:pt idx="7">
                  <c:v>0</c:v>
                </c:pt>
                <c:pt idx="8">
                  <c:v>0</c:v>
                </c:pt>
              </c:numCache>
            </c:numRef>
          </c:val>
          <c:extLst>
            <c:ext xmlns:c16="http://schemas.microsoft.com/office/drawing/2014/chart" uri="{C3380CC4-5D6E-409C-BE32-E72D297353CC}">
              <c16:uniqueId val="{00000008-2F6A-41F0-B61E-F85659B82E92}"/>
            </c:ext>
          </c:extLst>
        </c:ser>
        <c:dLbls>
          <c:showLegendKey val="0"/>
          <c:showVal val="0"/>
          <c:showCatName val="0"/>
          <c:showSerName val="0"/>
          <c:showPercent val="0"/>
          <c:showBubbleSize val="0"/>
        </c:dLbls>
        <c:gapWidth val="150"/>
        <c:overlap val="100"/>
        <c:axId val="147868672"/>
        <c:axId val="147882752"/>
      </c:barChart>
      <c:scatterChart>
        <c:scatterStyle val="lineMarker"/>
        <c:varyColors val="0"/>
        <c:ser>
          <c:idx val="4"/>
          <c:order val="4"/>
          <c:tx>
            <c:strRef>
              <c:f>'casc P64 EP6 SIL'!$I$4</c:f>
              <c:strCache>
                <c:ptCount val="1"/>
                <c:pt idx="0">
                  <c:v>Objectif</c:v>
                </c:pt>
              </c:strCache>
            </c:strRef>
          </c:tx>
          <c:spPr>
            <a:ln>
              <a:prstDash val="dash"/>
            </a:ln>
          </c:spPr>
          <c:marker>
            <c:symbol val="none"/>
          </c:marker>
          <c:yVal>
            <c:numRef>
              <c:f>'casc P64 EP6 SIL'!$I$5:$I$14</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14-2F6A-41F0-B61E-F85659B82E92}"/>
            </c:ext>
          </c:extLst>
        </c:ser>
        <c:dLbls>
          <c:showLegendKey val="0"/>
          <c:showVal val="0"/>
          <c:showCatName val="0"/>
          <c:showSerName val="0"/>
          <c:showPercent val="0"/>
          <c:showBubbleSize val="0"/>
        </c:dLbls>
        <c:axId val="147868672"/>
        <c:axId val="147882752"/>
      </c:scatterChart>
      <c:catAx>
        <c:axId val="147868672"/>
        <c:scaling>
          <c:orientation val="minMax"/>
        </c:scaling>
        <c:delete val="0"/>
        <c:axPos val="b"/>
        <c:numFmt formatCode="General" sourceLinked="0"/>
        <c:majorTickMark val="out"/>
        <c:minorTickMark val="none"/>
        <c:tickLblPos val="nextTo"/>
        <c:txPr>
          <a:bodyPr/>
          <a:lstStyle/>
          <a:p>
            <a:pPr>
              <a:defRPr sz="1100" b="1"/>
            </a:pPr>
            <a:endParaRPr lang="fr-FR"/>
          </a:p>
        </c:txPr>
        <c:crossAx val="147882752"/>
        <c:crosses val="autoZero"/>
        <c:auto val="1"/>
        <c:lblAlgn val="ctr"/>
        <c:lblOffset val="100"/>
        <c:noMultiLvlLbl val="0"/>
      </c:catAx>
      <c:valAx>
        <c:axId val="147882752"/>
        <c:scaling>
          <c:orientation val="minMax"/>
          <c:max val="940"/>
          <c:min val="800"/>
        </c:scaling>
        <c:delete val="0"/>
        <c:axPos val="l"/>
        <c:numFmt formatCode="0" sourceLinked="0"/>
        <c:majorTickMark val="out"/>
        <c:minorTickMark val="none"/>
        <c:tickLblPos val="nextTo"/>
        <c:txPr>
          <a:bodyPr/>
          <a:lstStyle/>
          <a:p>
            <a:pPr>
              <a:defRPr sz="1600" b="1"/>
            </a:pPr>
            <a:endParaRPr lang="fr-FR"/>
          </a:p>
        </c:txPr>
        <c:crossAx val="147868672"/>
        <c:crosses val="autoZero"/>
        <c:crossBetween val="between"/>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11510000649792E-2"/>
          <c:y val="3.7534814585562307E-2"/>
          <c:w val="0.9272988385142471"/>
          <c:h val="0.89208564326364848"/>
        </c:manualLayout>
      </c:layout>
      <c:barChart>
        <c:barDir val="col"/>
        <c:grouping val="stacked"/>
        <c:varyColors val="0"/>
        <c:ser>
          <c:idx val="0"/>
          <c:order val="0"/>
          <c:tx>
            <c:strRef>
              <c:f>'casc P64 EP6 BASE'!$C$54</c:f>
              <c:strCache>
                <c:ptCount val="1"/>
                <c:pt idx="0">
                  <c:v>MàV</c:v>
                </c:pt>
              </c:strCache>
            </c:strRef>
          </c:tx>
          <c:invertIfNegative val="0"/>
          <c:dLbls>
            <c:dLbl>
              <c:idx val="0"/>
              <c:layout>
                <c:manualLayout>
                  <c:x val="3.5850550578031445E-4"/>
                  <c:y val="-0.34741458289947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BB-448D-A5D6-C3C7F9C21ECB}"/>
                </c:ext>
              </c:extLst>
            </c:dLbl>
            <c:dLbl>
              <c:idx val="2"/>
              <c:layout>
                <c:manualLayout>
                  <c:x val="1.3532515862535153E-3"/>
                  <c:y val="-0.29908426366916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BB-448D-A5D6-C3C7F9C21ECB}"/>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BB-448D-A5D6-C3C7F9C21ECB}"/>
                </c:ext>
              </c:extLst>
            </c:dLbl>
            <c:dLbl>
              <c:idx val="5"/>
              <c:layout>
                <c:manualLayout>
                  <c:x val="1.3550654533957818E-3"/>
                  <c:y val="-0.33498872443277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BB-448D-A5D6-C3C7F9C21ECB}"/>
                </c:ext>
              </c:extLst>
            </c:dLbl>
            <c:dLbl>
              <c:idx val="6"/>
              <c:layout>
                <c:manualLayout>
                  <c:x val="4.0651963601874945E-3"/>
                  <c:y val="-0.33235654456430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BB-448D-A5D6-C3C7F9C21ECB}"/>
                </c:ext>
              </c:extLst>
            </c:dLbl>
            <c:dLbl>
              <c:idx val="7"/>
              <c:layout>
                <c:manualLayout>
                  <c:x val="1.5449880130056408E-3"/>
                  <c:y val="-0.349846799494866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BB-448D-A5D6-C3C7F9C21ECB}"/>
                </c:ext>
              </c:extLst>
            </c:dLbl>
            <c:dLbl>
              <c:idx val="8"/>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BB-448D-A5D6-C3C7F9C21ECB}"/>
                </c:ext>
              </c:extLst>
            </c:dLbl>
            <c:dLbl>
              <c:idx val="9"/>
              <c:layout>
                <c:manualLayout>
                  <c:x val="1.3406612143242016E-3"/>
                  <c:y val="-0.32152838260108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BB-448D-A5D6-C3C7F9C21ECB}"/>
                </c:ext>
              </c:extLst>
            </c:dLbl>
            <c:dLbl>
              <c:idx val="10"/>
              <c:layout>
                <c:manualLayout>
                  <c:x val="0"/>
                  <c:y val="-9.8901432927771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BB-448D-A5D6-C3C7F9C21ECB}"/>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BB-448D-A5D6-C3C7F9C21ECB}"/>
                </c:ext>
              </c:extLst>
            </c:dLbl>
            <c:dLbl>
              <c:idx val="12"/>
              <c:layout>
                <c:manualLayout>
                  <c:x val="0"/>
                  <c:y val="-0.191048915100004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BB-448D-A5D6-C3C7F9C21ECB}"/>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BASE'!$A$55:$A$65</c:f>
              <c:strCache>
                <c:ptCount val="10"/>
                <c:pt idx="0">
                  <c:v>ICDV/BASE :P84 EP6FADTXd ATN8</c:v>
                </c:pt>
                <c:pt idx="1">
                  <c:v>Concept</c:v>
                </c:pt>
                <c:pt idx="2">
                  <c:v>ICDV/BASE : P64€ EP6 ATN8 (Réf)</c:v>
                </c:pt>
                <c:pt idx="3">
                  <c:v>P1</c:v>
                </c:pt>
                <c:pt idx="4">
                  <c:v>RISQUES</c:v>
                </c:pt>
                <c:pt idx="5">
                  <c:v>ICDV/BASE : P64€ EP6 ATN8 (Potentiel)</c:v>
                </c:pt>
                <c:pt idx="6">
                  <c:v>P2</c:v>
                </c:pt>
                <c:pt idx="7">
                  <c:v>P3</c:v>
                </c:pt>
                <c:pt idx="8">
                  <c:v>RISQUES_P3</c:v>
                </c:pt>
                <c:pt idx="9">
                  <c:v>ICDV/BASE : P64€ EP6 ATN8 (Potentiel Max)</c:v>
                </c:pt>
              </c:strCache>
            </c:strRef>
          </c:cat>
          <c:val>
            <c:numRef>
              <c:f>'casc P64 EP6 BASE'!$C$55:$C$65</c:f>
              <c:numCache>
                <c:formatCode>General</c:formatCode>
                <c:ptCount val="11"/>
                <c:pt idx="0" formatCode="0">
                  <c:v>227</c:v>
                </c:pt>
                <c:pt idx="2" formatCode="0">
                  <c:v>0</c:v>
                </c:pt>
                <c:pt idx="5" formatCode="0">
                  <c:v>0</c:v>
                </c:pt>
                <c:pt idx="9" formatCode="0">
                  <c:v>0</c:v>
                </c:pt>
              </c:numCache>
            </c:numRef>
          </c:val>
          <c:extLst>
            <c:ext xmlns:c16="http://schemas.microsoft.com/office/drawing/2014/chart" uri="{C3380CC4-5D6E-409C-BE32-E72D297353CC}">
              <c16:uniqueId val="{0000000C-92BB-448D-A5D6-C3C7F9C21ECB}"/>
            </c:ext>
          </c:extLst>
        </c:ser>
        <c:ser>
          <c:idx val="1"/>
          <c:order val="1"/>
          <c:tx>
            <c:strRef>
              <c:f>'casc P64 EP6 BASE'!#REF!</c:f>
              <c:strCache>
                <c:ptCount val="1"/>
                <c:pt idx="0">
                  <c:v>#REF!</c:v>
                </c:pt>
              </c:strCache>
            </c:strRef>
          </c:tx>
          <c:spPr>
            <a:noFill/>
          </c:spPr>
          <c:invertIfNegative val="0"/>
          <c:cat>
            <c:strRef>
              <c:f>'casc P64 EP6 BASE'!$A$55:$A$65</c:f>
              <c:strCache>
                <c:ptCount val="10"/>
                <c:pt idx="0">
                  <c:v>ICDV/BASE :P84 EP6FADTXd ATN8</c:v>
                </c:pt>
                <c:pt idx="1">
                  <c:v>Concept</c:v>
                </c:pt>
                <c:pt idx="2">
                  <c:v>ICDV/BASE : P64€ EP6 ATN8 (Réf)</c:v>
                </c:pt>
                <c:pt idx="3">
                  <c:v>P1</c:v>
                </c:pt>
                <c:pt idx="4">
                  <c:v>RISQUES</c:v>
                </c:pt>
                <c:pt idx="5">
                  <c:v>ICDV/BASE : P64€ EP6 ATN8 (Potentiel)</c:v>
                </c:pt>
                <c:pt idx="6">
                  <c:v>P2</c:v>
                </c:pt>
                <c:pt idx="7">
                  <c:v>P3</c:v>
                </c:pt>
                <c:pt idx="8">
                  <c:v>RISQUES_P3</c:v>
                </c:pt>
                <c:pt idx="9">
                  <c:v>ICDV/BASE : P64€ EP6 ATN8 (Potentiel Max)</c:v>
                </c:pt>
              </c:strCache>
            </c:strRef>
          </c:cat>
          <c:val>
            <c:numRef>
              <c:f>'casc P64 EP6 BASE'!$D$55:$D$65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0D-92BB-448D-A5D6-C3C7F9C21ECB}"/>
            </c:ext>
          </c:extLst>
        </c:ser>
        <c:ser>
          <c:idx val="2"/>
          <c:order val="2"/>
          <c:tx>
            <c:strRef>
              <c:f>'casc P64 EP6 BASE'!#REF!</c:f>
              <c:strCache>
                <c:ptCount val="1"/>
                <c:pt idx="0">
                  <c:v>#REF!</c:v>
                </c:pt>
              </c:strCache>
            </c:strRef>
          </c:tx>
          <c:spPr>
            <a:solidFill>
              <a:srgbClr val="FF0000"/>
            </a:solidFill>
          </c:spPr>
          <c:invertIfNegative val="0"/>
          <c:dPt>
            <c:idx val="1"/>
            <c:invertIfNegative val="0"/>
            <c:bubble3D val="0"/>
            <c:spPr>
              <a:solidFill>
                <a:schemeClr val="bg1">
                  <a:lumMod val="75000"/>
                </a:schemeClr>
              </a:solidFill>
            </c:spPr>
            <c:extLst>
              <c:ext xmlns:c16="http://schemas.microsoft.com/office/drawing/2014/chart" uri="{C3380CC4-5D6E-409C-BE32-E72D297353CC}">
                <c16:uniqueId val="{00000034-92BB-448D-A5D6-C3C7F9C21ECB}"/>
              </c:ext>
            </c:extLst>
          </c:dPt>
          <c:dLbls>
            <c:dLbl>
              <c:idx val="3"/>
              <c:delete val="1"/>
              <c:extLst>
                <c:ext xmlns:c15="http://schemas.microsoft.com/office/drawing/2012/chart" uri="{CE6537A1-D6FC-4f65-9D91-7224C49458BB}"/>
                <c:ext xmlns:c16="http://schemas.microsoft.com/office/drawing/2014/chart" uri="{C3380CC4-5D6E-409C-BE32-E72D297353CC}">
                  <c16:uniqueId val="{00000017-409F-4ECC-9BE3-04C75982C4F4}"/>
                </c:ext>
              </c:extLst>
            </c:dLbl>
            <c:dLbl>
              <c:idx val="6"/>
              <c:delete val="1"/>
              <c:extLst>
                <c:ext xmlns:c15="http://schemas.microsoft.com/office/drawing/2012/chart" uri="{CE6537A1-D6FC-4f65-9D91-7224C49458BB}"/>
                <c:ext xmlns:c16="http://schemas.microsoft.com/office/drawing/2014/chart" uri="{C3380CC4-5D6E-409C-BE32-E72D297353CC}">
                  <c16:uniqueId val="{00000016-409F-4ECC-9BE3-04C75982C4F4}"/>
                </c:ext>
              </c:extLst>
            </c:dLbl>
            <c:dLbl>
              <c:idx val="7"/>
              <c:delete val="1"/>
              <c:extLst>
                <c:ext xmlns:c15="http://schemas.microsoft.com/office/drawing/2012/chart" uri="{CE6537A1-D6FC-4f65-9D91-7224C49458BB}"/>
                <c:ext xmlns:c16="http://schemas.microsoft.com/office/drawing/2014/chart" uri="{C3380CC4-5D6E-409C-BE32-E72D297353CC}">
                  <c16:uniqueId val="{00000018-409F-4ECC-9BE3-04C75982C4F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BASE'!$A$55:$A$65</c:f>
              <c:strCache>
                <c:ptCount val="10"/>
                <c:pt idx="0">
                  <c:v>ICDV/BASE :P84 EP6FADTXd ATN8</c:v>
                </c:pt>
                <c:pt idx="1">
                  <c:v>Concept</c:v>
                </c:pt>
                <c:pt idx="2">
                  <c:v>ICDV/BASE : P64€ EP6 ATN8 (Réf)</c:v>
                </c:pt>
                <c:pt idx="3">
                  <c:v>P1</c:v>
                </c:pt>
                <c:pt idx="4">
                  <c:v>RISQUES</c:v>
                </c:pt>
                <c:pt idx="5">
                  <c:v>ICDV/BASE : P64€ EP6 ATN8 (Potentiel)</c:v>
                </c:pt>
                <c:pt idx="6">
                  <c:v>P2</c:v>
                </c:pt>
                <c:pt idx="7">
                  <c:v>P3</c:v>
                </c:pt>
                <c:pt idx="8">
                  <c:v>RISQUES_P3</c:v>
                </c:pt>
                <c:pt idx="9">
                  <c:v>ICDV/BASE : P64€ EP6 ATN8 (Potentiel Max)</c:v>
                </c:pt>
              </c:strCache>
            </c:strRef>
          </c:cat>
          <c:val>
            <c:numRef>
              <c:f>'casc P64 EP6 BASE'!$E$55:$E$65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0E-92BB-448D-A5D6-C3C7F9C21ECB}"/>
            </c:ext>
          </c:extLst>
        </c:ser>
        <c:ser>
          <c:idx val="3"/>
          <c:order val="3"/>
          <c:tx>
            <c:strRef>
              <c:f>'casc P64 EP6 BASE'!$F$54</c:f>
              <c:strCache>
                <c:ptCount val="1"/>
                <c:pt idx="0">
                  <c:v>Gain</c:v>
                </c:pt>
              </c:strCache>
            </c:strRef>
          </c:tx>
          <c:spPr>
            <a:solidFill>
              <a:srgbClr val="92D050"/>
            </a:solidFill>
          </c:spPr>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10-92BB-448D-A5D6-C3C7F9C21ECB}"/>
              </c:ext>
            </c:extLst>
          </c:dPt>
          <c:dPt>
            <c:idx val="2"/>
            <c:invertIfNegative val="0"/>
            <c:bubble3D val="0"/>
            <c:extLst>
              <c:ext xmlns:c16="http://schemas.microsoft.com/office/drawing/2014/chart" uri="{C3380CC4-5D6E-409C-BE32-E72D297353CC}">
                <c16:uniqueId val="{00000011-92BB-448D-A5D6-C3C7F9C21ECB}"/>
              </c:ext>
            </c:extLst>
          </c:dPt>
          <c:dPt>
            <c:idx val="3"/>
            <c:invertIfNegative val="0"/>
            <c:bubble3D val="0"/>
            <c:spPr>
              <a:solidFill>
                <a:srgbClr val="33CC33"/>
              </a:solidFill>
            </c:spPr>
            <c:extLst>
              <c:ext xmlns:c16="http://schemas.microsoft.com/office/drawing/2014/chart" uri="{C3380CC4-5D6E-409C-BE32-E72D297353CC}">
                <c16:uniqueId val="{00000012-92BB-448D-A5D6-C3C7F9C21ECB}"/>
              </c:ext>
            </c:extLst>
          </c:dPt>
          <c:dPt>
            <c:idx val="4"/>
            <c:invertIfNegative val="0"/>
            <c:bubble3D val="0"/>
            <c:extLst>
              <c:ext xmlns:c16="http://schemas.microsoft.com/office/drawing/2014/chart" uri="{C3380CC4-5D6E-409C-BE32-E72D297353CC}">
                <c16:uniqueId val="{00000013-92BB-448D-A5D6-C3C7F9C21ECB}"/>
              </c:ext>
            </c:extLst>
          </c:dPt>
          <c:dPt>
            <c:idx val="5"/>
            <c:invertIfNegative val="0"/>
            <c:bubble3D val="0"/>
            <c:spPr>
              <a:solidFill>
                <a:srgbClr val="FFC000"/>
              </a:solidFill>
            </c:spPr>
            <c:extLst>
              <c:ext xmlns:c16="http://schemas.microsoft.com/office/drawing/2014/chart" uri="{C3380CC4-5D6E-409C-BE32-E72D297353CC}">
                <c16:uniqueId val="{00000015-92BB-448D-A5D6-C3C7F9C21ECB}"/>
              </c:ext>
            </c:extLst>
          </c:dPt>
          <c:dPt>
            <c:idx val="6"/>
            <c:invertIfNegative val="0"/>
            <c:bubble3D val="0"/>
            <c:spPr>
              <a:solidFill>
                <a:srgbClr val="33CC33"/>
              </a:solidFill>
            </c:spPr>
            <c:extLst>
              <c:ext xmlns:c16="http://schemas.microsoft.com/office/drawing/2014/chart" uri="{C3380CC4-5D6E-409C-BE32-E72D297353CC}">
                <c16:uniqueId val="{00000017-92BB-448D-A5D6-C3C7F9C21ECB}"/>
              </c:ext>
            </c:extLst>
          </c:dPt>
          <c:dPt>
            <c:idx val="7"/>
            <c:invertIfNegative val="0"/>
            <c:bubble3D val="0"/>
            <c:spPr>
              <a:solidFill>
                <a:srgbClr val="33CC33"/>
              </a:solidFill>
            </c:spPr>
            <c:extLst>
              <c:ext xmlns:c16="http://schemas.microsoft.com/office/drawing/2014/chart" uri="{C3380CC4-5D6E-409C-BE32-E72D297353CC}">
                <c16:uniqueId val="{00000019-92BB-448D-A5D6-C3C7F9C21ECB}"/>
              </c:ext>
            </c:extLst>
          </c:dPt>
          <c:dPt>
            <c:idx val="8"/>
            <c:invertIfNegative val="0"/>
            <c:bubble3D val="0"/>
            <c:spPr>
              <a:solidFill>
                <a:srgbClr val="FF0000"/>
              </a:solidFill>
            </c:spPr>
            <c:extLst>
              <c:ext xmlns:c16="http://schemas.microsoft.com/office/drawing/2014/chart" uri="{C3380CC4-5D6E-409C-BE32-E72D297353CC}">
                <c16:uniqueId val="{0000001B-92BB-448D-A5D6-C3C7F9C21ECB}"/>
              </c:ext>
            </c:extLst>
          </c:dPt>
          <c:dPt>
            <c:idx val="9"/>
            <c:invertIfNegative val="0"/>
            <c:bubble3D val="0"/>
            <c:spPr>
              <a:solidFill>
                <a:schemeClr val="accent2">
                  <a:lumMod val="40000"/>
                  <a:lumOff val="60000"/>
                </a:schemeClr>
              </a:solidFill>
            </c:spPr>
            <c:extLst>
              <c:ext xmlns:c16="http://schemas.microsoft.com/office/drawing/2014/chart" uri="{C3380CC4-5D6E-409C-BE32-E72D297353CC}">
                <c16:uniqueId val="{0000001D-92BB-448D-A5D6-C3C7F9C21ECB}"/>
              </c:ext>
            </c:extLst>
          </c:dPt>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1F-92BB-448D-A5D6-C3C7F9C21ECB}"/>
              </c:ext>
            </c:extLst>
          </c:dPt>
          <c:dPt>
            <c:idx val="11"/>
            <c:invertIfNegative val="0"/>
            <c:bubble3D val="0"/>
            <c:spPr>
              <a:solidFill>
                <a:srgbClr val="D05E00"/>
              </a:solidFill>
            </c:spPr>
            <c:extLst>
              <c:ext xmlns:c16="http://schemas.microsoft.com/office/drawing/2014/chart" uri="{C3380CC4-5D6E-409C-BE32-E72D297353CC}">
                <c16:uniqueId val="{00000021-92BB-448D-A5D6-C3C7F9C21ECB}"/>
              </c:ext>
            </c:extLst>
          </c:dPt>
          <c:dLbls>
            <c:dLbl>
              <c:idx val="1"/>
              <c:delete val="1"/>
              <c:extLst>
                <c:ext xmlns:c15="http://schemas.microsoft.com/office/drawing/2012/chart" uri="{CE6537A1-D6FC-4f65-9D91-7224C49458BB}"/>
                <c:ext xmlns:c16="http://schemas.microsoft.com/office/drawing/2014/chart" uri="{C3380CC4-5D6E-409C-BE32-E72D297353CC}">
                  <c16:uniqueId val="{00000010-92BB-448D-A5D6-C3C7F9C21ECB}"/>
                </c:ext>
              </c:extLst>
            </c:dLbl>
            <c:dLbl>
              <c:idx val="2"/>
              <c:delete val="1"/>
              <c:extLst>
                <c:ext xmlns:c15="http://schemas.microsoft.com/office/drawing/2012/chart" uri="{CE6537A1-D6FC-4f65-9D91-7224C49458BB}"/>
                <c:ext xmlns:c16="http://schemas.microsoft.com/office/drawing/2014/chart" uri="{C3380CC4-5D6E-409C-BE32-E72D297353CC}">
                  <c16:uniqueId val="{00000011-92BB-448D-A5D6-C3C7F9C21ECB}"/>
                </c:ext>
              </c:extLst>
            </c:dLbl>
            <c:dLbl>
              <c:idx val="3"/>
              <c:layout>
                <c:manualLayout>
                  <c:x val="-4.0651963601874945E-3"/>
                  <c:y val="-5.7426638474189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2BB-448D-A5D6-C3C7F9C21ECB}"/>
                </c:ext>
              </c:extLst>
            </c:dLbl>
            <c:dLbl>
              <c:idx val="4"/>
              <c:delete val="1"/>
              <c:extLst>
                <c:ext xmlns:c15="http://schemas.microsoft.com/office/drawing/2012/chart" uri="{CE6537A1-D6FC-4f65-9D91-7224C49458BB}"/>
                <c:ext xmlns:c16="http://schemas.microsoft.com/office/drawing/2014/chart" uri="{C3380CC4-5D6E-409C-BE32-E72D297353CC}">
                  <c16:uniqueId val="{00000013-92BB-448D-A5D6-C3C7F9C21ECB}"/>
                </c:ext>
              </c:extLst>
            </c:dLbl>
            <c:dLbl>
              <c:idx val="6"/>
              <c:layout>
                <c:manualLayout>
                  <c:x val="2.7091706241867946E-3"/>
                  <c:y val="-8.157798153153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2BB-448D-A5D6-C3C7F9C21ECB}"/>
                </c:ext>
              </c:extLst>
            </c:dLbl>
            <c:dLbl>
              <c:idx val="7"/>
              <c:layout>
                <c:manualLayout>
                  <c:x val="0"/>
                  <c:y val="-5.4236269670068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92BB-448D-A5D6-C3C7F9C21ECB}"/>
                </c:ext>
              </c:extLst>
            </c:dLbl>
            <c:dLbl>
              <c:idx val="8"/>
              <c:delete val="1"/>
              <c:extLst>
                <c:ext xmlns:c15="http://schemas.microsoft.com/office/drawing/2012/chart" uri="{CE6537A1-D6FC-4f65-9D91-7224C49458BB}"/>
                <c:ext xmlns:c16="http://schemas.microsoft.com/office/drawing/2014/chart" uri="{C3380CC4-5D6E-409C-BE32-E72D297353CC}">
                  <c16:uniqueId val="{0000001B-92BB-448D-A5D6-C3C7F9C21ECB}"/>
                </c:ext>
              </c:extLst>
            </c:dLbl>
            <c:dLbl>
              <c:idx val="9"/>
              <c:delete val="1"/>
              <c:extLst>
                <c:ext xmlns:c15="http://schemas.microsoft.com/office/drawing/2012/chart" uri="{CE6537A1-D6FC-4f65-9D91-7224C49458BB}"/>
                <c:ext xmlns:c16="http://schemas.microsoft.com/office/drawing/2014/chart" uri="{C3380CC4-5D6E-409C-BE32-E72D297353CC}">
                  <c16:uniqueId val="{0000001D-92BB-448D-A5D6-C3C7F9C21ECB}"/>
                </c:ext>
              </c:extLst>
            </c:dLbl>
            <c:dLbl>
              <c:idx val="10"/>
              <c:delete val="1"/>
              <c:extLst>
                <c:ext xmlns:c15="http://schemas.microsoft.com/office/drawing/2012/chart" uri="{CE6537A1-D6FC-4f65-9D91-7224C49458BB}"/>
                <c:ext xmlns:c16="http://schemas.microsoft.com/office/drawing/2014/chart" uri="{C3380CC4-5D6E-409C-BE32-E72D297353CC}">
                  <c16:uniqueId val="{0000001F-92BB-448D-A5D6-C3C7F9C21ECB}"/>
                </c:ext>
              </c:extLst>
            </c:dLbl>
            <c:dLbl>
              <c:idx val="11"/>
              <c:delete val="1"/>
              <c:extLst>
                <c:ext xmlns:c15="http://schemas.microsoft.com/office/drawing/2012/chart" uri="{CE6537A1-D6FC-4f65-9D91-7224C49458BB}"/>
                <c:ext xmlns:c16="http://schemas.microsoft.com/office/drawing/2014/chart" uri="{C3380CC4-5D6E-409C-BE32-E72D297353CC}">
                  <c16:uniqueId val="{00000021-92BB-448D-A5D6-C3C7F9C21ECB}"/>
                </c:ext>
              </c:extLst>
            </c:dLbl>
            <c:dLbl>
              <c:idx val="12"/>
              <c:delete val="1"/>
              <c:extLst>
                <c:ext xmlns:c15="http://schemas.microsoft.com/office/drawing/2012/chart" uri="{CE6537A1-D6FC-4f65-9D91-7224C49458BB}"/>
                <c:ext xmlns:c16="http://schemas.microsoft.com/office/drawing/2014/chart" uri="{C3380CC4-5D6E-409C-BE32-E72D297353CC}">
                  <c16:uniqueId val="{00000022-92BB-448D-A5D6-C3C7F9C21ECB}"/>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BASE'!$A$55:$A$65</c:f>
              <c:strCache>
                <c:ptCount val="10"/>
                <c:pt idx="0">
                  <c:v>ICDV/BASE :P84 EP6FADTXd ATN8</c:v>
                </c:pt>
                <c:pt idx="1">
                  <c:v>Concept</c:v>
                </c:pt>
                <c:pt idx="2">
                  <c:v>ICDV/BASE : P64€ EP6 ATN8 (Réf)</c:v>
                </c:pt>
                <c:pt idx="3">
                  <c:v>P1</c:v>
                </c:pt>
                <c:pt idx="4">
                  <c:v>RISQUES</c:v>
                </c:pt>
                <c:pt idx="5">
                  <c:v>ICDV/BASE : P64€ EP6 ATN8 (Potentiel)</c:v>
                </c:pt>
                <c:pt idx="6">
                  <c:v>P2</c:v>
                </c:pt>
                <c:pt idx="7">
                  <c:v>P3</c:v>
                </c:pt>
                <c:pt idx="8">
                  <c:v>RISQUES_P3</c:v>
                </c:pt>
                <c:pt idx="9">
                  <c:v>ICDV/BASE : P64€ EP6 ATN8 (Potentiel Max)</c:v>
                </c:pt>
              </c:strCache>
            </c:strRef>
          </c:cat>
          <c:val>
            <c:numRef>
              <c:f>'casc P64 EP6 BASE'!$F$55:$F$65</c:f>
              <c:numCache>
                <c:formatCode>0</c:formatCode>
                <c:ptCount val="11"/>
                <c:pt idx="1">
                  <c:v>0</c:v>
                </c:pt>
                <c:pt idx="3">
                  <c:v>0</c:v>
                </c:pt>
                <c:pt idx="4">
                  <c:v>0</c:v>
                </c:pt>
                <c:pt idx="6">
                  <c:v>0</c:v>
                </c:pt>
                <c:pt idx="7">
                  <c:v>0</c:v>
                </c:pt>
                <c:pt idx="8">
                  <c:v>0</c:v>
                </c:pt>
                <c:pt idx="10">
                  <c:v>0</c:v>
                </c:pt>
              </c:numCache>
            </c:numRef>
          </c:val>
          <c:extLst>
            <c:ext xmlns:c16="http://schemas.microsoft.com/office/drawing/2014/chart" uri="{C3380CC4-5D6E-409C-BE32-E72D297353CC}">
              <c16:uniqueId val="{00000023-92BB-448D-A5D6-C3C7F9C21ECB}"/>
            </c:ext>
          </c:extLst>
        </c:ser>
        <c:ser>
          <c:idx val="5"/>
          <c:order val="5"/>
          <c:tx>
            <c:strRef>
              <c:f>'casc P64 EP6 BASE'!#REF!</c:f>
              <c:strCache>
                <c:ptCount val="1"/>
                <c:pt idx="0">
                  <c:v>#REF!</c:v>
                </c:pt>
              </c:strCache>
            </c:strRef>
          </c:tx>
          <c:invertIfNegative val="0"/>
          <c:cat>
            <c:strRef>
              <c:f>'casc P64 EP6 BASE'!$A$55:$A$65</c:f>
              <c:strCache>
                <c:ptCount val="10"/>
                <c:pt idx="0">
                  <c:v>ICDV/BASE :P84 EP6FADTXd ATN8</c:v>
                </c:pt>
                <c:pt idx="1">
                  <c:v>Concept</c:v>
                </c:pt>
                <c:pt idx="2">
                  <c:v>ICDV/BASE : P64€ EP6 ATN8 (Réf)</c:v>
                </c:pt>
                <c:pt idx="3">
                  <c:v>P1</c:v>
                </c:pt>
                <c:pt idx="4">
                  <c:v>RISQUES</c:v>
                </c:pt>
                <c:pt idx="5">
                  <c:v>ICDV/BASE : P64€ EP6 ATN8 (Potentiel)</c:v>
                </c:pt>
                <c:pt idx="6">
                  <c:v>P2</c:v>
                </c:pt>
                <c:pt idx="7">
                  <c:v>P3</c:v>
                </c:pt>
                <c:pt idx="8">
                  <c:v>RISQUES_P3</c:v>
                </c:pt>
                <c:pt idx="9">
                  <c:v>ICDV/BASE : P64€ EP6 ATN8 (Potentiel Max)</c:v>
                </c:pt>
              </c:strCache>
            </c:strRef>
          </c:cat>
          <c:val>
            <c:numRef>
              <c:f>'casc P64 EP6 BASE'!#REF!</c:f>
              <c:numCache>
                <c:formatCode>General</c:formatCode>
                <c:ptCount val="1"/>
                <c:pt idx="0">
                  <c:v>1</c:v>
                </c:pt>
              </c:numCache>
            </c:numRef>
          </c:val>
          <c:extLst>
            <c:ext xmlns:c16="http://schemas.microsoft.com/office/drawing/2014/chart" uri="{C3380CC4-5D6E-409C-BE32-E72D297353CC}">
              <c16:uniqueId val="{0000002E-92BB-448D-A5D6-C3C7F9C21ECB}"/>
            </c:ext>
          </c:extLst>
        </c:ser>
        <c:dLbls>
          <c:showLegendKey val="0"/>
          <c:showVal val="0"/>
          <c:showCatName val="0"/>
          <c:showSerName val="0"/>
          <c:showPercent val="0"/>
          <c:showBubbleSize val="0"/>
        </c:dLbls>
        <c:gapWidth val="150"/>
        <c:overlap val="100"/>
        <c:axId val="147868672"/>
        <c:axId val="147882752"/>
      </c:barChart>
      <c:scatterChart>
        <c:scatterStyle val="lineMarker"/>
        <c:varyColors val="0"/>
        <c:ser>
          <c:idx val="4"/>
          <c:order val="4"/>
          <c:tx>
            <c:strRef>
              <c:f>'casc P64 EP6 BASE'!$I$54</c:f>
              <c:strCache>
                <c:ptCount val="1"/>
                <c:pt idx="0">
                  <c:v>Objectif</c:v>
                </c:pt>
              </c:strCache>
            </c:strRef>
          </c:tx>
          <c:spPr>
            <a:ln>
              <a:solidFill>
                <a:sysClr val="windowText" lastClr="000000"/>
              </a:solidFill>
              <a:prstDash val="dash"/>
            </a:ln>
          </c:spPr>
          <c:marker>
            <c:symbol val="none"/>
          </c:marker>
          <c:yVal>
            <c:numRef>
              <c:f>'casc P64 EP6 BASE'!$I$55:$I$65</c:f>
              <c:numCache>
                <c:formatCode>0</c:formatCode>
                <c:ptCount val="11"/>
                <c:pt idx="0">
                  <c:v>254</c:v>
                </c:pt>
                <c:pt idx="1">
                  <c:v>254</c:v>
                </c:pt>
                <c:pt idx="2">
                  <c:v>254</c:v>
                </c:pt>
                <c:pt idx="3">
                  <c:v>254</c:v>
                </c:pt>
                <c:pt idx="4">
                  <c:v>254</c:v>
                </c:pt>
                <c:pt idx="5">
                  <c:v>254</c:v>
                </c:pt>
                <c:pt idx="6">
                  <c:v>254</c:v>
                </c:pt>
                <c:pt idx="7">
                  <c:v>254</c:v>
                </c:pt>
                <c:pt idx="8">
                  <c:v>254</c:v>
                </c:pt>
                <c:pt idx="9">
                  <c:v>254</c:v>
                </c:pt>
                <c:pt idx="10">
                  <c:v>254</c:v>
                </c:pt>
              </c:numCache>
            </c:numRef>
          </c:yVal>
          <c:smooth val="0"/>
          <c:extLst>
            <c:ext xmlns:c16="http://schemas.microsoft.com/office/drawing/2014/chart" uri="{C3380CC4-5D6E-409C-BE32-E72D297353CC}">
              <c16:uniqueId val="{00000030-92BB-448D-A5D6-C3C7F9C21ECB}"/>
            </c:ext>
          </c:extLst>
        </c:ser>
        <c:ser>
          <c:idx val="7"/>
          <c:order val="6"/>
          <c:tx>
            <c:strRef>
              <c:f>'casc P64 EP6 BASE'!$J$54</c:f>
              <c:strCache>
                <c:ptCount val="1"/>
              </c:strCache>
            </c:strRef>
          </c:tx>
          <c:spPr>
            <a:ln>
              <a:solidFill>
                <a:sysClr val="windowText" lastClr="000000"/>
              </a:solidFill>
              <a:prstDash val="dash"/>
            </a:ln>
          </c:spPr>
          <c:marker>
            <c:symbol val="none"/>
          </c:marker>
          <c:dLbls>
            <c:dLbl>
              <c:idx val="5"/>
              <c:layout>
                <c:manualLayout>
                  <c:x val="-7.9948861750354053E-2"/>
                  <c:y val="2.5696965554825139E-2"/>
                </c:manualLayout>
              </c:layout>
              <c:numFmt formatCode="0&quot;kg&quot;" sourceLinked="0"/>
              <c:spPr/>
              <c:txPr>
                <a:bodyPr/>
                <a:lstStyle/>
                <a:p>
                  <a:pPr>
                    <a:defRPr sz="1100" b="1"/>
                  </a:pPr>
                  <a:endParaRPr lang="fr-FR"/>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1-92BB-448D-A5D6-C3C7F9C21EC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BASE'!$J$55:$J$65</c:f>
              <c:numCache>
                <c:formatCode>General</c:formatCode>
                <c:ptCount val="11"/>
              </c:numCache>
            </c:numRef>
          </c:yVal>
          <c:smooth val="0"/>
          <c:extLst>
            <c:ext xmlns:c16="http://schemas.microsoft.com/office/drawing/2014/chart" uri="{C3380CC4-5D6E-409C-BE32-E72D297353CC}">
              <c16:uniqueId val="{00000032-92BB-448D-A5D6-C3C7F9C21ECB}"/>
            </c:ext>
          </c:extLst>
        </c:ser>
        <c:dLbls>
          <c:showLegendKey val="0"/>
          <c:showVal val="0"/>
          <c:showCatName val="0"/>
          <c:showSerName val="0"/>
          <c:showPercent val="0"/>
          <c:showBubbleSize val="0"/>
        </c:dLbls>
        <c:axId val="147868672"/>
        <c:axId val="147882752"/>
      </c:scatterChart>
      <c:catAx>
        <c:axId val="147868672"/>
        <c:scaling>
          <c:orientation val="minMax"/>
        </c:scaling>
        <c:delete val="0"/>
        <c:axPos val="b"/>
        <c:numFmt formatCode="General" sourceLinked="0"/>
        <c:majorTickMark val="out"/>
        <c:minorTickMark val="none"/>
        <c:tickLblPos val="nextTo"/>
        <c:txPr>
          <a:bodyPr/>
          <a:lstStyle/>
          <a:p>
            <a:pPr>
              <a:defRPr sz="1100" b="1"/>
            </a:pPr>
            <a:endParaRPr lang="fr-FR"/>
          </a:p>
        </c:txPr>
        <c:crossAx val="147882752"/>
        <c:crosses val="autoZero"/>
        <c:auto val="1"/>
        <c:lblAlgn val="ctr"/>
        <c:lblOffset val="100"/>
        <c:noMultiLvlLbl val="0"/>
      </c:catAx>
      <c:valAx>
        <c:axId val="147882752"/>
        <c:scaling>
          <c:orientation val="minMax"/>
          <c:min val="50"/>
        </c:scaling>
        <c:delete val="0"/>
        <c:axPos val="l"/>
        <c:numFmt formatCode="0" sourceLinked="0"/>
        <c:majorTickMark val="out"/>
        <c:minorTickMark val="none"/>
        <c:tickLblPos val="nextTo"/>
        <c:txPr>
          <a:bodyPr/>
          <a:lstStyle/>
          <a:p>
            <a:pPr>
              <a:defRPr sz="1600" b="1"/>
            </a:pPr>
            <a:endParaRPr lang="fr-FR"/>
          </a:p>
        </c:txPr>
        <c:crossAx val="147868672"/>
        <c:crosses val="autoZero"/>
        <c:crossBetween val="between"/>
      </c:valAx>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BASE'!$C$92</c:f>
              <c:strCache>
                <c:ptCount val="1"/>
                <c:pt idx="0">
                  <c:v>MàV</c:v>
                </c:pt>
              </c:strCache>
            </c:strRef>
          </c:tx>
          <c:invertIfNegative val="0"/>
          <c:dLbls>
            <c:dLbl>
              <c:idx val="0"/>
              <c:layout>
                <c:manualLayout>
                  <c:x val="3.5847418093694849E-4"/>
                  <c:y val="-0.32239247426935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A6-40B3-B0A9-64273C4D499D}"/>
                </c:ext>
              </c:extLst>
            </c:dLbl>
            <c:dLbl>
              <c:idx val="2"/>
              <c:layout>
                <c:manualLayout>
                  <c:x val="5.3936821873064242E-3"/>
                  <c:y val="-0.35518635303078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A6-40B3-B0A9-64273C4D499D}"/>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A6-40B3-B0A9-64273C4D499D}"/>
                </c:ext>
              </c:extLst>
            </c:dLbl>
            <c:dLbl>
              <c:idx val="5"/>
              <c:layout>
                <c:manualLayout>
                  <c:x val="1.3489635943236024E-3"/>
                  <c:y val="-0.391695351658219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A6-40B3-B0A9-64273C4D499D}"/>
                </c:ext>
              </c:extLst>
            </c:dLbl>
            <c:dLbl>
              <c:idx val="6"/>
              <c:layout>
                <c:manualLayout>
                  <c:x val="-1.15210946388832E-3"/>
                  <c:y val="-0.3317363188204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A6-40B3-B0A9-64273C4D499D}"/>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A6-40B3-B0A9-64273C4D499D}"/>
                </c:ext>
              </c:extLst>
            </c:dLbl>
            <c:dLbl>
              <c:idx val="8"/>
              <c:layout>
                <c:manualLayout>
                  <c:x val="2.6957761360046511E-3"/>
                  <c:y val="-0.1747715294136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A6-40B3-B0A9-64273C4D499D}"/>
                </c:ext>
              </c:extLst>
            </c:dLbl>
            <c:dLbl>
              <c:idx val="9"/>
              <c:layout>
                <c:manualLayout>
                  <c:x val="1.3150426175349212E-3"/>
                  <c:y val="-0.34046747465655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A6-40B3-B0A9-64273C4D499D}"/>
                </c:ext>
              </c:extLst>
            </c:dLbl>
            <c:dLbl>
              <c:idx val="10"/>
              <c:layout>
                <c:manualLayout>
                  <c:x val="0"/>
                  <c:y val="-0.373148154053175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A6-40B3-B0A9-64273C4D499D}"/>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A6-40B3-B0A9-64273C4D499D}"/>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A6-40B3-B0A9-64273C4D499D}"/>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BASE'!$A$93:$A$102</c:f>
              <c:strCache>
                <c:ptCount val="10"/>
                <c:pt idx="0">
                  <c:v>DCHM/BASE :P84 EP6FADTXd ATN8</c:v>
                </c:pt>
                <c:pt idx="1">
                  <c:v>Concept</c:v>
                </c:pt>
                <c:pt idx="2">
                  <c:v>DCHM/BASE : P64€ EP6 ATN8 (Réf)</c:v>
                </c:pt>
                <c:pt idx="3">
                  <c:v>P1</c:v>
                </c:pt>
                <c:pt idx="4">
                  <c:v>RISQUES</c:v>
                </c:pt>
                <c:pt idx="5">
                  <c:v>DCHM/BASE : P64€ EP6 ATN8 (Potentiel)</c:v>
                </c:pt>
                <c:pt idx="6">
                  <c:v>P2</c:v>
                </c:pt>
                <c:pt idx="7">
                  <c:v>P3</c:v>
                </c:pt>
                <c:pt idx="8">
                  <c:v>RISQUES_P3</c:v>
                </c:pt>
                <c:pt idx="9">
                  <c:v>DCHM/BASE : P64€ EP6 ATN8 (Potentiel Max)</c:v>
                </c:pt>
              </c:strCache>
            </c:strRef>
          </c:cat>
          <c:val>
            <c:numRef>
              <c:f>'casc P64 EP6 BASE'!$C$93:$C$102</c:f>
              <c:numCache>
                <c:formatCode>General</c:formatCode>
                <c:ptCount val="10"/>
                <c:pt idx="0" formatCode="0">
                  <c:v>219</c:v>
                </c:pt>
                <c:pt idx="2" formatCode="0">
                  <c:v>0</c:v>
                </c:pt>
                <c:pt idx="5" formatCode="0.0">
                  <c:v>0</c:v>
                </c:pt>
                <c:pt idx="9" formatCode="0.0">
                  <c:v>0</c:v>
                </c:pt>
              </c:numCache>
            </c:numRef>
          </c:val>
          <c:extLst>
            <c:ext xmlns:c16="http://schemas.microsoft.com/office/drawing/2014/chart" uri="{C3380CC4-5D6E-409C-BE32-E72D297353CC}">
              <c16:uniqueId val="{0000000B-78A6-40B3-B0A9-64273C4D499D}"/>
            </c:ext>
          </c:extLst>
        </c:ser>
        <c:ser>
          <c:idx val="1"/>
          <c:order val="1"/>
          <c:tx>
            <c:strRef>
              <c:f>'casc P64 EP6 BASE'!$D$92</c:f>
              <c:strCache>
                <c:ptCount val="1"/>
              </c:strCache>
            </c:strRef>
          </c:tx>
          <c:spPr>
            <a:noFill/>
          </c:spPr>
          <c:invertIfNegative val="0"/>
          <c:cat>
            <c:strRef>
              <c:f>'casc P64 EP6 BASE'!$A$93:$A$102</c:f>
              <c:strCache>
                <c:ptCount val="10"/>
                <c:pt idx="0">
                  <c:v>DCHM/BASE :P84 EP6FADTXd ATN8</c:v>
                </c:pt>
                <c:pt idx="1">
                  <c:v>Concept</c:v>
                </c:pt>
                <c:pt idx="2">
                  <c:v>DCHM/BASE : P64€ EP6 ATN8 (Réf)</c:v>
                </c:pt>
                <c:pt idx="3">
                  <c:v>P1</c:v>
                </c:pt>
                <c:pt idx="4">
                  <c:v>RISQUES</c:v>
                </c:pt>
                <c:pt idx="5">
                  <c:v>DCHM/BASE : P64€ EP6 ATN8 (Potentiel)</c:v>
                </c:pt>
                <c:pt idx="6">
                  <c:v>P2</c:v>
                </c:pt>
                <c:pt idx="7">
                  <c:v>P3</c:v>
                </c:pt>
                <c:pt idx="8">
                  <c:v>RISQUES_P3</c:v>
                </c:pt>
                <c:pt idx="9">
                  <c:v>DCHM/BASE : P64€ EP6 ATN8 (Potentiel Max)</c:v>
                </c:pt>
              </c:strCache>
            </c:strRef>
          </c:cat>
          <c:val>
            <c:numRef>
              <c:f>'casc P64 EP6 BASE'!$D$93:$D$102</c:f>
              <c:numCache>
                <c:formatCode>0</c:formatCode>
                <c:ptCount val="10"/>
                <c:pt idx="1">
                  <c:v>0</c:v>
                </c:pt>
                <c:pt idx="3">
                  <c:v>0</c:v>
                </c:pt>
                <c:pt idx="4">
                  <c:v>0</c:v>
                </c:pt>
                <c:pt idx="6">
                  <c:v>0</c:v>
                </c:pt>
                <c:pt idx="7">
                  <c:v>0</c:v>
                </c:pt>
                <c:pt idx="8">
                  <c:v>0</c:v>
                </c:pt>
              </c:numCache>
            </c:numRef>
          </c:val>
          <c:extLst>
            <c:ext xmlns:c16="http://schemas.microsoft.com/office/drawing/2014/chart" uri="{C3380CC4-5D6E-409C-BE32-E72D297353CC}">
              <c16:uniqueId val="{0000000C-78A6-40B3-B0A9-64273C4D499D}"/>
            </c:ext>
          </c:extLst>
        </c:ser>
        <c:ser>
          <c:idx val="2"/>
          <c:order val="2"/>
          <c:tx>
            <c:strRef>
              <c:f>'casc P64 EP6 BASE'!$E$92</c:f>
              <c:strCache>
                <c:ptCount val="1"/>
                <c:pt idx="0">
                  <c:v>Dérive</c:v>
                </c:pt>
              </c:strCache>
            </c:strRef>
          </c:tx>
          <c:spPr>
            <a:solidFill>
              <a:schemeClr val="bg1">
                <a:lumMod val="65000"/>
              </a:schemeClr>
            </a:solidFill>
          </c:spPr>
          <c:invertIfNegative val="0"/>
          <c:dPt>
            <c:idx val="4"/>
            <c:invertIfNegative val="0"/>
            <c:bubble3D val="0"/>
            <c:spPr>
              <a:solidFill>
                <a:srgbClr val="FF0000"/>
              </a:solidFill>
            </c:spPr>
            <c:extLst>
              <c:ext xmlns:c16="http://schemas.microsoft.com/office/drawing/2014/chart" uri="{C3380CC4-5D6E-409C-BE32-E72D297353CC}">
                <c16:uniqueId val="{00000013-0046-406B-BA90-547ECCE2B563}"/>
              </c:ext>
            </c:extLst>
          </c:dPt>
          <c:dLbls>
            <c:dLbl>
              <c:idx val="1"/>
              <c:layout>
                <c:manualLayout>
                  <c:x val="-1.3486064223278325E-3"/>
                  <c:y val="-6.308939971082915E-2"/>
                </c:manualLayout>
              </c:layout>
              <c:numFmt formatCode="\+0.0&quot;kg&quot;" sourceLinked="0"/>
              <c:spPr/>
              <c:txPr>
                <a:bodyPr/>
                <a:lstStyle/>
                <a:p>
                  <a:pPr>
                    <a:defRPr sz="1400" b="1"/>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8A6-40B3-B0A9-64273C4D499D}"/>
                </c:ext>
              </c:extLst>
            </c:dLbl>
            <c:dLbl>
              <c:idx val="4"/>
              <c:layout>
                <c:manualLayout>
                  <c:x val="0"/>
                  <c:y val="-0.10200163637880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046-406B-BA90-547ECCE2B563}"/>
                </c:ext>
              </c:extLst>
            </c:dLbl>
            <c:dLbl>
              <c:idx val="8"/>
              <c:layout>
                <c:manualLayout>
                  <c:x val="0"/>
                  <c:y val="-9.5456446259683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8A6-40B3-B0A9-64273C4D499D}"/>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8A6-40B3-B0A9-64273C4D499D}"/>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BASE'!$A$93:$A$102</c:f>
              <c:strCache>
                <c:ptCount val="10"/>
                <c:pt idx="0">
                  <c:v>DCHM/BASE :P84 EP6FADTXd ATN8</c:v>
                </c:pt>
                <c:pt idx="1">
                  <c:v>Concept</c:v>
                </c:pt>
                <c:pt idx="2">
                  <c:v>DCHM/BASE : P64€ EP6 ATN8 (Réf)</c:v>
                </c:pt>
                <c:pt idx="3">
                  <c:v>P1</c:v>
                </c:pt>
                <c:pt idx="4">
                  <c:v>RISQUES</c:v>
                </c:pt>
                <c:pt idx="5">
                  <c:v>DCHM/BASE : P64€ EP6 ATN8 (Potentiel)</c:v>
                </c:pt>
                <c:pt idx="6">
                  <c:v>P2</c:v>
                </c:pt>
                <c:pt idx="7">
                  <c:v>P3</c:v>
                </c:pt>
                <c:pt idx="8">
                  <c:v>RISQUES_P3</c:v>
                </c:pt>
                <c:pt idx="9">
                  <c:v>DCHM/BASE : P64€ EP6 ATN8 (Potentiel Max)</c:v>
                </c:pt>
              </c:strCache>
            </c:strRef>
          </c:cat>
          <c:val>
            <c:numRef>
              <c:f>'casc P64 EP6 BASE'!$E$93:$E$102</c:f>
              <c:numCache>
                <c:formatCode>0</c:formatCode>
                <c:ptCount val="10"/>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1-78A6-40B3-B0A9-64273C4D499D}"/>
            </c:ext>
          </c:extLst>
        </c:ser>
        <c:ser>
          <c:idx val="3"/>
          <c:order val="3"/>
          <c:tx>
            <c:strRef>
              <c:f>'casc P64 EP6 BASE'!$F$92</c:f>
              <c:strCache>
                <c:ptCount val="1"/>
                <c:pt idx="0">
                  <c:v>Gain</c:v>
                </c:pt>
              </c:strCache>
            </c:strRef>
          </c:tx>
          <c:spPr>
            <a:solidFill>
              <a:srgbClr val="92D050"/>
            </a:solidFill>
          </c:spPr>
          <c:invertIfNegative val="0"/>
          <c:dPt>
            <c:idx val="1"/>
            <c:invertIfNegative val="0"/>
            <c:bubble3D val="0"/>
            <c:extLst>
              <c:ext xmlns:c16="http://schemas.microsoft.com/office/drawing/2014/chart" uri="{C3380CC4-5D6E-409C-BE32-E72D297353CC}">
                <c16:uniqueId val="{0000001F-78A6-40B3-B0A9-64273C4D499D}"/>
              </c:ext>
            </c:extLst>
          </c:dPt>
          <c:dPt>
            <c:idx val="2"/>
            <c:invertIfNegative val="0"/>
            <c:bubble3D val="0"/>
            <c:extLst>
              <c:ext xmlns:c16="http://schemas.microsoft.com/office/drawing/2014/chart" uri="{C3380CC4-5D6E-409C-BE32-E72D297353CC}">
                <c16:uniqueId val="{00000020-78A6-40B3-B0A9-64273C4D499D}"/>
              </c:ext>
            </c:extLst>
          </c:dPt>
          <c:dPt>
            <c:idx val="3"/>
            <c:invertIfNegative val="0"/>
            <c:bubble3D val="0"/>
            <c:extLst>
              <c:ext xmlns:c16="http://schemas.microsoft.com/office/drawing/2014/chart" uri="{C3380CC4-5D6E-409C-BE32-E72D297353CC}">
                <c16:uniqueId val="{00000021-78A6-40B3-B0A9-64273C4D499D}"/>
              </c:ext>
            </c:extLst>
          </c:dPt>
          <c:dPt>
            <c:idx val="4"/>
            <c:invertIfNegative val="0"/>
            <c:bubble3D val="0"/>
            <c:extLst>
              <c:ext xmlns:c16="http://schemas.microsoft.com/office/drawing/2014/chart" uri="{C3380CC4-5D6E-409C-BE32-E72D297353CC}">
                <c16:uniqueId val="{00000022-78A6-40B3-B0A9-64273C4D499D}"/>
              </c:ext>
            </c:extLst>
          </c:dPt>
          <c:dPt>
            <c:idx val="5"/>
            <c:invertIfNegative val="0"/>
            <c:bubble3D val="0"/>
            <c:extLst>
              <c:ext xmlns:c16="http://schemas.microsoft.com/office/drawing/2014/chart" uri="{C3380CC4-5D6E-409C-BE32-E72D297353CC}">
                <c16:uniqueId val="{00000024-78A6-40B3-B0A9-64273C4D499D}"/>
              </c:ext>
            </c:extLst>
          </c:dPt>
          <c:dPt>
            <c:idx val="6"/>
            <c:invertIfNegative val="0"/>
            <c:bubble3D val="0"/>
            <c:extLst>
              <c:ext xmlns:c16="http://schemas.microsoft.com/office/drawing/2014/chart" uri="{C3380CC4-5D6E-409C-BE32-E72D297353CC}">
                <c16:uniqueId val="{00000026-78A6-40B3-B0A9-64273C4D499D}"/>
              </c:ext>
            </c:extLst>
          </c:dPt>
          <c:dPt>
            <c:idx val="7"/>
            <c:invertIfNegative val="0"/>
            <c:bubble3D val="0"/>
            <c:extLst>
              <c:ext xmlns:c16="http://schemas.microsoft.com/office/drawing/2014/chart" uri="{C3380CC4-5D6E-409C-BE32-E72D297353CC}">
                <c16:uniqueId val="{00000028-78A6-40B3-B0A9-64273C4D499D}"/>
              </c:ext>
            </c:extLst>
          </c:dPt>
          <c:dPt>
            <c:idx val="8"/>
            <c:invertIfNegative val="0"/>
            <c:bubble3D val="0"/>
            <c:extLst>
              <c:ext xmlns:c16="http://schemas.microsoft.com/office/drawing/2014/chart" uri="{C3380CC4-5D6E-409C-BE32-E72D297353CC}">
                <c16:uniqueId val="{0000002A-78A6-40B3-B0A9-64273C4D499D}"/>
              </c:ext>
            </c:extLst>
          </c:dPt>
          <c:dPt>
            <c:idx val="9"/>
            <c:invertIfNegative val="0"/>
            <c:bubble3D val="0"/>
            <c:extLst>
              <c:ext xmlns:c16="http://schemas.microsoft.com/office/drawing/2014/chart" uri="{C3380CC4-5D6E-409C-BE32-E72D297353CC}">
                <c16:uniqueId val="{0000002C-78A6-40B3-B0A9-64273C4D499D}"/>
              </c:ext>
            </c:extLst>
          </c:dPt>
          <c:dPt>
            <c:idx val="10"/>
            <c:invertIfNegative val="0"/>
            <c:bubble3D val="0"/>
            <c:extLst>
              <c:ext xmlns:c16="http://schemas.microsoft.com/office/drawing/2014/chart" uri="{C3380CC4-5D6E-409C-BE32-E72D297353CC}">
                <c16:uniqueId val="{0000002E-78A6-40B3-B0A9-64273C4D499D}"/>
              </c:ext>
            </c:extLst>
          </c:dPt>
          <c:dPt>
            <c:idx val="11"/>
            <c:invertIfNegative val="0"/>
            <c:bubble3D val="0"/>
            <c:extLst>
              <c:ext xmlns:c16="http://schemas.microsoft.com/office/drawing/2014/chart" uri="{C3380CC4-5D6E-409C-BE32-E72D297353CC}">
                <c16:uniqueId val="{00000030-78A6-40B3-B0A9-64273C4D499D}"/>
              </c:ext>
            </c:extLst>
          </c:dPt>
          <c:dLbls>
            <c:dLbl>
              <c:idx val="1"/>
              <c:delete val="1"/>
              <c:extLst>
                <c:ext xmlns:c15="http://schemas.microsoft.com/office/drawing/2012/chart" uri="{CE6537A1-D6FC-4f65-9D91-7224C49458BB}"/>
                <c:ext xmlns:c16="http://schemas.microsoft.com/office/drawing/2014/chart" uri="{C3380CC4-5D6E-409C-BE32-E72D297353CC}">
                  <c16:uniqueId val="{0000001F-78A6-40B3-B0A9-64273C4D499D}"/>
                </c:ext>
              </c:extLst>
            </c:dLbl>
            <c:dLbl>
              <c:idx val="2"/>
              <c:delete val="1"/>
              <c:extLst>
                <c:ext xmlns:c15="http://schemas.microsoft.com/office/drawing/2012/chart" uri="{CE6537A1-D6FC-4f65-9D91-7224C49458BB}"/>
                <c:ext xmlns:c16="http://schemas.microsoft.com/office/drawing/2014/chart" uri="{C3380CC4-5D6E-409C-BE32-E72D297353CC}">
                  <c16:uniqueId val="{00000020-78A6-40B3-B0A9-64273C4D499D}"/>
                </c:ext>
              </c:extLst>
            </c:dLbl>
            <c:dLbl>
              <c:idx val="3"/>
              <c:layout>
                <c:manualLayout>
                  <c:x val="0"/>
                  <c:y val="-6.5807507341164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78A6-40B3-B0A9-64273C4D499D}"/>
                </c:ext>
              </c:extLst>
            </c:dLbl>
            <c:dLbl>
              <c:idx val="4"/>
              <c:delete val="1"/>
              <c:extLst>
                <c:ext xmlns:c15="http://schemas.microsoft.com/office/drawing/2012/chart" uri="{CE6537A1-D6FC-4f65-9D91-7224C49458BB}"/>
                <c:ext xmlns:c16="http://schemas.microsoft.com/office/drawing/2014/chart" uri="{C3380CC4-5D6E-409C-BE32-E72D297353CC}">
                  <c16:uniqueId val="{00000022-78A6-40B3-B0A9-64273C4D499D}"/>
                </c:ext>
              </c:extLst>
            </c:dLbl>
            <c:dLbl>
              <c:idx val="6"/>
              <c:layout>
                <c:manualLayout>
                  <c:x val="-9.5593114926411593E-7"/>
                  <c:y val="-3.3935438553016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78A6-40B3-B0A9-64273C4D499D}"/>
                </c:ext>
              </c:extLst>
            </c:dLbl>
            <c:dLbl>
              <c:idx val="7"/>
              <c:layout>
                <c:manualLayout>
                  <c:x val="0"/>
                  <c:y val="-8.67785875088031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78A6-40B3-B0A9-64273C4D499D}"/>
                </c:ext>
              </c:extLst>
            </c:dLbl>
            <c:dLbl>
              <c:idx val="8"/>
              <c:delete val="1"/>
              <c:extLst>
                <c:ext xmlns:c15="http://schemas.microsoft.com/office/drawing/2012/chart" uri="{CE6537A1-D6FC-4f65-9D91-7224C49458BB}"/>
                <c:ext xmlns:c16="http://schemas.microsoft.com/office/drawing/2014/chart" uri="{C3380CC4-5D6E-409C-BE32-E72D297353CC}">
                  <c16:uniqueId val="{0000002A-78A6-40B3-B0A9-64273C4D499D}"/>
                </c:ext>
              </c:extLst>
            </c:dLbl>
            <c:dLbl>
              <c:idx val="9"/>
              <c:delete val="1"/>
              <c:extLst>
                <c:ext xmlns:c15="http://schemas.microsoft.com/office/drawing/2012/chart" uri="{CE6537A1-D6FC-4f65-9D91-7224C49458BB}"/>
                <c:ext xmlns:c16="http://schemas.microsoft.com/office/drawing/2014/chart" uri="{C3380CC4-5D6E-409C-BE32-E72D297353CC}">
                  <c16:uniqueId val="{0000002C-78A6-40B3-B0A9-64273C4D499D}"/>
                </c:ext>
              </c:extLst>
            </c:dLbl>
            <c:dLbl>
              <c:idx val="11"/>
              <c:delete val="1"/>
              <c:extLst>
                <c:ext xmlns:c15="http://schemas.microsoft.com/office/drawing/2012/chart" uri="{CE6537A1-D6FC-4f65-9D91-7224C49458BB}"/>
                <c:ext xmlns:c16="http://schemas.microsoft.com/office/drawing/2014/chart" uri="{C3380CC4-5D6E-409C-BE32-E72D297353CC}">
                  <c16:uniqueId val="{00000030-78A6-40B3-B0A9-64273C4D499D}"/>
                </c:ext>
              </c:extLst>
            </c:dLbl>
            <c:dLbl>
              <c:idx val="12"/>
              <c:delete val="1"/>
              <c:extLst>
                <c:ext xmlns:c15="http://schemas.microsoft.com/office/drawing/2012/chart" uri="{CE6537A1-D6FC-4f65-9D91-7224C49458BB}"/>
                <c:ext xmlns:c16="http://schemas.microsoft.com/office/drawing/2014/chart" uri="{C3380CC4-5D6E-409C-BE32-E72D297353CC}">
                  <c16:uniqueId val="{00000031-78A6-40B3-B0A9-64273C4D499D}"/>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BASE'!$A$93:$A$102</c:f>
              <c:strCache>
                <c:ptCount val="10"/>
                <c:pt idx="0">
                  <c:v>DCHM/BASE :P84 EP6FADTXd ATN8</c:v>
                </c:pt>
                <c:pt idx="1">
                  <c:v>Concept</c:v>
                </c:pt>
                <c:pt idx="2">
                  <c:v>DCHM/BASE : P64€ EP6 ATN8 (Réf)</c:v>
                </c:pt>
                <c:pt idx="3">
                  <c:v>P1</c:v>
                </c:pt>
                <c:pt idx="4">
                  <c:v>RISQUES</c:v>
                </c:pt>
                <c:pt idx="5">
                  <c:v>DCHM/BASE : P64€ EP6 ATN8 (Potentiel)</c:v>
                </c:pt>
                <c:pt idx="6">
                  <c:v>P2</c:v>
                </c:pt>
                <c:pt idx="7">
                  <c:v>P3</c:v>
                </c:pt>
                <c:pt idx="8">
                  <c:v>RISQUES_P3</c:v>
                </c:pt>
                <c:pt idx="9">
                  <c:v>DCHM/BASE : P64€ EP6 ATN8 (Potentiel Max)</c:v>
                </c:pt>
              </c:strCache>
            </c:strRef>
          </c:cat>
          <c:val>
            <c:numRef>
              <c:f>'casc P64 EP6 BASE'!$F$93:$F$102</c:f>
              <c:numCache>
                <c:formatCode>0</c:formatCode>
                <c:ptCount val="10"/>
                <c:pt idx="1">
                  <c:v>0</c:v>
                </c:pt>
                <c:pt idx="2">
                  <c:v>0</c:v>
                </c:pt>
                <c:pt idx="3">
                  <c:v>0</c:v>
                </c:pt>
                <c:pt idx="4">
                  <c:v>0</c:v>
                </c:pt>
                <c:pt idx="6">
                  <c:v>0</c:v>
                </c:pt>
                <c:pt idx="7">
                  <c:v>0</c:v>
                </c:pt>
                <c:pt idx="8">
                  <c:v>0</c:v>
                </c:pt>
              </c:numCache>
            </c:numRef>
          </c:val>
          <c:extLst>
            <c:ext xmlns:c16="http://schemas.microsoft.com/office/drawing/2014/chart" uri="{C3380CC4-5D6E-409C-BE32-E72D297353CC}">
              <c16:uniqueId val="{00000032-78A6-40B3-B0A9-64273C4D499D}"/>
            </c:ext>
          </c:extLst>
        </c:ser>
        <c:dLbls>
          <c:showLegendKey val="0"/>
          <c:showVal val="0"/>
          <c:showCatName val="0"/>
          <c:showSerName val="0"/>
          <c:showPercent val="0"/>
          <c:showBubbleSize val="0"/>
        </c:dLbls>
        <c:gapWidth val="150"/>
        <c:overlap val="100"/>
        <c:axId val="150277504"/>
        <c:axId val="150312064"/>
      </c:barChart>
      <c:scatterChart>
        <c:scatterStyle val="lineMarker"/>
        <c:varyColors val="0"/>
        <c:ser>
          <c:idx val="4"/>
          <c:order val="4"/>
          <c:tx>
            <c:strRef>
              <c:f>'casc P64 EP6 BASE'!$I$92</c:f>
              <c:strCache>
                <c:ptCount val="1"/>
                <c:pt idx="0">
                  <c:v>Objectif</c:v>
                </c:pt>
              </c:strCache>
            </c:strRef>
          </c:tx>
          <c:spPr>
            <a:ln>
              <a:solidFill>
                <a:sysClr val="windowText" lastClr="000000"/>
              </a:solidFill>
              <a:prstDash val="dash"/>
            </a:ln>
          </c:spPr>
          <c:marker>
            <c:symbol val="none"/>
          </c:marker>
          <c:yVal>
            <c:numRef>
              <c:f>'casc P64 EP6 BASE'!$I$93:$I$102</c:f>
              <c:numCache>
                <c:formatCode>0</c:formatCode>
                <c:ptCount val="10"/>
                <c:pt idx="0">
                  <c:v>252</c:v>
                </c:pt>
                <c:pt idx="1">
                  <c:v>252</c:v>
                </c:pt>
                <c:pt idx="2">
                  <c:v>252</c:v>
                </c:pt>
                <c:pt idx="3">
                  <c:v>252</c:v>
                </c:pt>
                <c:pt idx="4">
                  <c:v>252</c:v>
                </c:pt>
                <c:pt idx="5">
                  <c:v>252</c:v>
                </c:pt>
                <c:pt idx="6">
                  <c:v>252</c:v>
                </c:pt>
                <c:pt idx="7">
                  <c:v>252</c:v>
                </c:pt>
                <c:pt idx="8">
                  <c:v>252</c:v>
                </c:pt>
                <c:pt idx="9">
                  <c:v>252</c:v>
                </c:pt>
              </c:numCache>
            </c:numRef>
          </c:yVal>
          <c:smooth val="0"/>
          <c:extLst>
            <c:ext xmlns:c16="http://schemas.microsoft.com/office/drawing/2014/chart" uri="{C3380CC4-5D6E-409C-BE32-E72D297353CC}">
              <c16:uniqueId val="{00000035-78A6-40B3-B0A9-64273C4D499D}"/>
            </c:ext>
          </c:extLst>
        </c:ser>
        <c:dLbls>
          <c:showLegendKey val="0"/>
          <c:showVal val="0"/>
          <c:showCatName val="0"/>
          <c:showSerName val="0"/>
          <c:showPercent val="0"/>
          <c:showBubbleSize val="0"/>
        </c:dLbls>
        <c:axId val="150277504"/>
        <c:axId val="150312064"/>
      </c:scatterChart>
      <c:catAx>
        <c:axId val="150277504"/>
        <c:scaling>
          <c:orientation val="minMax"/>
        </c:scaling>
        <c:delete val="0"/>
        <c:axPos val="b"/>
        <c:numFmt formatCode="General" sourceLinked="0"/>
        <c:majorTickMark val="out"/>
        <c:minorTickMark val="none"/>
        <c:tickLblPos val="nextTo"/>
        <c:txPr>
          <a:bodyPr/>
          <a:lstStyle/>
          <a:p>
            <a:pPr>
              <a:defRPr sz="1000" b="1"/>
            </a:pPr>
            <a:endParaRPr lang="fr-FR"/>
          </a:p>
        </c:txPr>
        <c:crossAx val="150312064"/>
        <c:crosses val="autoZero"/>
        <c:auto val="1"/>
        <c:lblAlgn val="ctr"/>
        <c:lblOffset val="100"/>
        <c:noMultiLvlLbl val="0"/>
      </c:catAx>
      <c:valAx>
        <c:axId val="150312064"/>
        <c:scaling>
          <c:orientation val="minMax"/>
          <c:min val="200"/>
        </c:scaling>
        <c:delete val="0"/>
        <c:axPos val="l"/>
        <c:numFmt formatCode="0" sourceLinked="0"/>
        <c:majorTickMark val="out"/>
        <c:minorTickMark val="none"/>
        <c:tickLblPos val="nextTo"/>
        <c:txPr>
          <a:bodyPr/>
          <a:lstStyle/>
          <a:p>
            <a:pPr>
              <a:defRPr sz="1600" b="1"/>
            </a:pPr>
            <a:endParaRPr lang="fr-FR"/>
          </a:p>
        </c:txPr>
        <c:crossAx val="150277504"/>
        <c:crosses val="autoZero"/>
        <c:crossBetween val="between"/>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BASE'!$C$167</c:f>
              <c:strCache>
                <c:ptCount val="1"/>
                <c:pt idx="0">
                  <c:v>MàV</c:v>
                </c:pt>
              </c:strCache>
            </c:strRef>
          </c:tx>
          <c:invertIfNegative val="0"/>
          <c:dLbls>
            <c:dLbl>
              <c:idx val="0"/>
              <c:layout>
                <c:manualLayout>
                  <c:x val="-9.9045088510727256E-4"/>
                  <c:y val="-0.30792937635121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4D-41AC-AAA0-343E8E4A8AB8}"/>
                </c:ext>
              </c:extLst>
            </c:dLbl>
            <c:dLbl>
              <c:idx val="2"/>
              <c:layout>
                <c:manualLayout>
                  <c:x val="1.3469069891737611E-3"/>
                  <c:y val="-0.30311920052550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4D-41AC-AAA0-343E8E4A8AB8}"/>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4D-41AC-AAA0-343E8E4A8AB8}"/>
                </c:ext>
              </c:extLst>
            </c:dLbl>
            <c:dLbl>
              <c:idx val="4"/>
              <c:layout>
                <c:manualLayout>
                  <c:x val="0"/>
                  <c:y val="-0.274798860444543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4D-41AC-AAA0-343E8E4A8AB8}"/>
                </c:ext>
              </c:extLst>
            </c:dLbl>
            <c:dLbl>
              <c:idx val="5"/>
              <c:layout>
                <c:manualLayout>
                  <c:x val="2.6978501320884421E-3"/>
                  <c:y val="-0.29934809009667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4D-41AC-AAA0-343E8E4A8AB8}"/>
                </c:ext>
              </c:extLst>
            </c:dLbl>
            <c:dLbl>
              <c:idx val="6"/>
              <c:layout>
                <c:manualLayout>
                  <c:x val="-3.8499595959767619E-3"/>
                  <c:y val="-0.32305846006955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4D-41AC-AAA0-343E8E4A8AB8}"/>
                </c:ext>
              </c:extLst>
            </c:dLbl>
            <c:dLbl>
              <c:idx val="7"/>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4D-41AC-AAA0-343E8E4A8AB8}"/>
                </c:ext>
              </c:extLst>
            </c:dLbl>
            <c:dLbl>
              <c:idx val="8"/>
              <c:layout>
                <c:manualLayout>
                  <c:x val="2.6957258406457535E-3"/>
                  <c:y val="-0.26155020722088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4D-41AC-AAA0-343E8E4A8AB8}"/>
                </c:ext>
              </c:extLst>
            </c:dLbl>
            <c:dLbl>
              <c:idx val="9"/>
              <c:layout>
                <c:manualLayout>
                  <c:x val="-3.3882448509398646E-5"/>
                  <c:y val="-0.25658150673137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04D-41AC-AAA0-343E8E4A8AB8}"/>
                </c:ext>
              </c:extLst>
            </c:dLbl>
            <c:dLbl>
              <c:idx val="10"/>
              <c:layout>
                <c:manualLayout>
                  <c:x val="4.0467751981326629E-3"/>
                  <c:y val="-0.38182578503873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04D-41AC-AAA0-343E8E4A8AB8}"/>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04D-41AC-AAA0-343E8E4A8AB8}"/>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04D-41AC-AAA0-343E8E4A8AB8}"/>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BASE'!$C$168:$C$177</c:f>
              <c:numCache>
                <c:formatCode>General</c:formatCode>
                <c:ptCount val="10"/>
                <c:pt idx="0" formatCode="0">
                  <c:v>181.09970000000001</c:v>
                </c:pt>
                <c:pt idx="2" formatCode="0.0">
                  <c:v>0</c:v>
                </c:pt>
                <c:pt idx="4" formatCode="0.0">
                  <c:v>0</c:v>
                </c:pt>
                <c:pt idx="8" formatCode="0">
                  <c:v>0</c:v>
                </c:pt>
              </c:numCache>
            </c:numRef>
          </c:val>
          <c:extLst>
            <c:ext xmlns:c16="http://schemas.microsoft.com/office/drawing/2014/chart" uri="{C3380CC4-5D6E-409C-BE32-E72D297353CC}">
              <c16:uniqueId val="{0000000C-F04D-41AC-AAA0-343E8E4A8AB8}"/>
            </c:ext>
          </c:extLst>
        </c:ser>
        <c:ser>
          <c:idx val="1"/>
          <c:order val="1"/>
          <c:tx>
            <c:strRef>
              <c:f>'casc P64 EP6 BASE'!$D$92</c:f>
              <c:strCache>
                <c:ptCount val="1"/>
              </c:strCache>
            </c:strRef>
          </c:tx>
          <c:spPr>
            <a:noFill/>
          </c:spPr>
          <c:invertIfNegative val="0"/>
          <c:cat>
            <c:strRef>
              <c:f>'casc P64 EP6 BASE'!$A$168:$A$177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BASE'!$D$168:$D$177</c:f>
              <c:numCache>
                <c:formatCode>0</c:formatCode>
                <c:ptCount val="10"/>
                <c:pt idx="1">
                  <c:v>0</c:v>
                </c:pt>
                <c:pt idx="3">
                  <c:v>0</c:v>
                </c:pt>
                <c:pt idx="5">
                  <c:v>0</c:v>
                </c:pt>
                <c:pt idx="6">
                  <c:v>0</c:v>
                </c:pt>
                <c:pt idx="7">
                  <c:v>0</c:v>
                </c:pt>
              </c:numCache>
            </c:numRef>
          </c:val>
          <c:extLst>
            <c:ext xmlns:c16="http://schemas.microsoft.com/office/drawing/2014/chart" uri="{C3380CC4-5D6E-409C-BE32-E72D297353CC}">
              <c16:uniqueId val="{0000000D-F04D-41AC-AAA0-343E8E4A8AB8}"/>
            </c:ext>
          </c:extLst>
        </c:ser>
        <c:ser>
          <c:idx val="2"/>
          <c:order val="2"/>
          <c:tx>
            <c:strRef>
              <c:f>'casc P64 EP6 BASE'!$E$167</c:f>
              <c:strCache>
                <c:ptCount val="1"/>
                <c:pt idx="0">
                  <c:v>Dérive</c:v>
                </c:pt>
              </c:strCache>
            </c:strRef>
          </c:tx>
          <c:spPr>
            <a:solidFill>
              <a:schemeClr val="bg1">
                <a:lumMod val="65000"/>
              </a:schemeClr>
            </a:solidFill>
          </c:spPr>
          <c:invertIfNegative val="0"/>
          <c:dLbls>
            <c:dLbl>
              <c:idx val="1"/>
              <c:layout>
                <c:manualLayout>
                  <c:x val="-1.3486064223278325E-3"/>
                  <c:y val="-1.9700105956427582E-2"/>
                </c:manualLayout>
              </c:layout>
              <c:numFmt formatCode="\+0.0&quot;kg&quot;" sourceLinked="0"/>
              <c:spPr/>
              <c:txPr>
                <a:bodyPr/>
                <a:lstStyle/>
                <a:p>
                  <a:pPr>
                    <a:defRPr sz="1400" b="1"/>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04D-41AC-AAA0-343E8E4A8AB8}"/>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04D-41AC-AAA0-343E8E4A8AB8}"/>
                </c:ext>
              </c:extLst>
            </c:dLbl>
            <c:dLbl>
              <c:idx val="7"/>
              <c:layout>
                <c:manualLayout>
                  <c:x val="-1.348925066044221E-3"/>
                  <c:y val="-5.2067152505281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04D-41AC-AAA0-343E8E4A8AB8}"/>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'casc P64 EP6 BASE'!$A$168:$A$177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BASE'!$E$168:$E$177</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1-F04D-41AC-AAA0-343E8E4A8AB8}"/>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3-F04D-41AC-AAA0-343E8E4A8AB8}"/>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5-F04D-41AC-AAA0-343E8E4A8AB8}"/>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7-F04D-41AC-AAA0-343E8E4A8AB8}"/>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9-F04D-41AC-AAA0-343E8E4A8AB8}"/>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B-F04D-41AC-AAA0-343E8E4A8AB8}"/>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D-F04D-41AC-AAA0-343E8E4A8AB8}"/>
              </c:ext>
            </c:extLst>
          </c:dPt>
          <c:cat>
            <c:strRef>
              <c:f>'casc P64 EP6 BASE'!$A$168:$A$177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BASE'!$M$93:$M$102</c:f>
              <c:numCache>
                <c:formatCode>General</c:formatCode>
                <c:ptCount val="10"/>
              </c:numCache>
            </c:numRef>
          </c:val>
          <c:extLst>
            <c:ext xmlns:c16="http://schemas.microsoft.com/office/drawing/2014/chart" uri="{C3380CC4-5D6E-409C-BE32-E72D297353CC}">
              <c16:uniqueId val="{0000001E-F04D-41AC-AAA0-343E8E4A8AB8}"/>
            </c:ext>
          </c:extLst>
        </c:ser>
        <c:ser>
          <c:idx val="3"/>
          <c:order val="4"/>
          <c:tx>
            <c:strRef>
              <c:f>'casc P64 EP6 BASE'!$F$167</c:f>
              <c:strCache>
                <c:ptCount val="1"/>
                <c:pt idx="0">
                  <c:v>Gain</c:v>
                </c:pt>
              </c:strCache>
            </c:strRef>
          </c:tx>
          <c:spPr>
            <a:solidFill>
              <a:srgbClr val="FF0000"/>
            </a:solidFill>
          </c:spPr>
          <c:invertIfNegative val="0"/>
          <c:dPt>
            <c:idx val="1"/>
            <c:invertIfNegative val="0"/>
            <c:bubble3D val="0"/>
            <c:extLst>
              <c:ext xmlns:c16="http://schemas.microsoft.com/office/drawing/2014/chart" uri="{C3380CC4-5D6E-409C-BE32-E72D297353CC}">
                <c16:uniqueId val="{0000001F-F04D-41AC-AAA0-343E8E4A8AB8}"/>
              </c:ext>
            </c:extLst>
          </c:dPt>
          <c:dPt>
            <c:idx val="2"/>
            <c:invertIfNegative val="0"/>
            <c:bubble3D val="0"/>
            <c:extLst>
              <c:ext xmlns:c16="http://schemas.microsoft.com/office/drawing/2014/chart" uri="{C3380CC4-5D6E-409C-BE32-E72D297353CC}">
                <c16:uniqueId val="{00000020-F04D-41AC-AAA0-343E8E4A8AB8}"/>
              </c:ext>
            </c:extLst>
          </c:dPt>
          <c:dPt>
            <c:idx val="3"/>
            <c:invertIfNegative val="0"/>
            <c:bubble3D val="0"/>
            <c:extLst>
              <c:ext xmlns:c16="http://schemas.microsoft.com/office/drawing/2014/chart" uri="{C3380CC4-5D6E-409C-BE32-E72D297353CC}">
                <c16:uniqueId val="{00000021-F04D-41AC-AAA0-343E8E4A8AB8}"/>
              </c:ext>
            </c:extLst>
          </c:dPt>
          <c:dPt>
            <c:idx val="4"/>
            <c:invertIfNegative val="0"/>
            <c:bubble3D val="0"/>
            <c:extLst>
              <c:ext xmlns:c16="http://schemas.microsoft.com/office/drawing/2014/chart" uri="{C3380CC4-5D6E-409C-BE32-E72D297353CC}">
                <c16:uniqueId val="{00000022-F04D-41AC-AAA0-343E8E4A8AB8}"/>
              </c:ext>
            </c:extLst>
          </c:dPt>
          <c:dPt>
            <c:idx val="5"/>
            <c:invertIfNegative val="0"/>
            <c:bubble3D val="0"/>
            <c:spPr>
              <a:solidFill>
                <a:srgbClr val="FFC000"/>
              </a:solidFill>
            </c:spPr>
            <c:extLst>
              <c:ext xmlns:c16="http://schemas.microsoft.com/office/drawing/2014/chart" uri="{C3380CC4-5D6E-409C-BE32-E72D297353CC}">
                <c16:uniqueId val="{00000024-F04D-41AC-AAA0-343E8E4A8AB8}"/>
              </c:ext>
            </c:extLst>
          </c:dPt>
          <c:dPt>
            <c:idx val="6"/>
            <c:invertIfNegative val="0"/>
            <c:bubble3D val="0"/>
            <c:extLst>
              <c:ext xmlns:c16="http://schemas.microsoft.com/office/drawing/2014/chart" uri="{C3380CC4-5D6E-409C-BE32-E72D297353CC}">
                <c16:uniqueId val="{00000025-F04D-41AC-AAA0-343E8E4A8AB8}"/>
              </c:ext>
            </c:extLst>
          </c:dPt>
          <c:dPt>
            <c:idx val="7"/>
            <c:invertIfNegative val="0"/>
            <c:bubble3D val="0"/>
            <c:extLst>
              <c:ext xmlns:c16="http://schemas.microsoft.com/office/drawing/2014/chart" uri="{C3380CC4-5D6E-409C-BE32-E72D297353CC}">
                <c16:uniqueId val="{00000026-F04D-41AC-AAA0-343E8E4A8AB8}"/>
              </c:ext>
            </c:extLst>
          </c:dPt>
          <c:dPt>
            <c:idx val="8"/>
            <c:invertIfNegative val="0"/>
            <c:bubble3D val="0"/>
            <c:extLst>
              <c:ext xmlns:c16="http://schemas.microsoft.com/office/drawing/2014/chart" uri="{C3380CC4-5D6E-409C-BE32-E72D297353CC}">
                <c16:uniqueId val="{00000027-F04D-41AC-AAA0-343E8E4A8AB8}"/>
              </c:ext>
            </c:extLst>
          </c:dPt>
          <c:dPt>
            <c:idx val="9"/>
            <c:invertIfNegative val="0"/>
            <c:bubble3D val="0"/>
            <c:extLst>
              <c:ext xmlns:c16="http://schemas.microsoft.com/office/drawing/2014/chart" uri="{C3380CC4-5D6E-409C-BE32-E72D297353CC}">
                <c16:uniqueId val="{00000028-F04D-41AC-AAA0-343E8E4A8AB8}"/>
              </c:ext>
            </c:extLst>
          </c:dPt>
          <c:dPt>
            <c:idx val="10"/>
            <c:invertIfNegative val="0"/>
            <c:bubble3D val="0"/>
            <c:extLst>
              <c:ext xmlns:c16="http://schemas.microsoft.com/office/drawing/2014/chart" uri="{C3380CC4-5D6E-409C-BE32-E72D297353CC}">
                <c16:uniqueId val="{00000029-F04D-41AC-AAA0-343E8E4A8AB8}"/>
              </c:ext>
            </c:extLst>
          </c:dPt>
          <c:dPt>
            <c:idx val="11"/>
            <c:invertIfNegative val="0"/>
            <c:bubble3D val="0"/>
            <c:extLst>
              <c:ext xmlns:c16="http://schemas.microsoft.com/office/drawing/2014/chart" uri="{C3380CC4-5D6E-409C-BE32-E72D297353CC}">
                <c16:uniqueId val="{0000002A-F04D-41AC-AAA0-343E8E4A8AB8}"/>
              </c:ext>
            </c:extLst>
          </c:dPt>
          <c:dLbls>
            <c:dLbl>
              <c:idx val="1"/>
              <c:delete val="1"/>
              <c:extLst>
                <c:ext xmlns:c15="http://schemas.microsoft.com/office/drawing/2012/chart" uri="{CE6537A1-D6FC-4f65-9D91-7224C49458BB}"/>
                <c:ext xmlns:c16="http://schemas.microsoft.com/office/drawing/2014/chart" uri="{C3380CC4-5D6E-409C-BE32-E72D297353CC}">
                  <c16:uniqueId val="{0000001F-F04D-41AC-AAA0-343E8E4A8AB8}"/>
                </c:ext>
              </c:extLst>
            </c:dLbl>
            <c:dLbl>
              <c:idx val="2"/>
              <c:delete val="1"/>
              <c:extLst>
                <c:ext xmlns:c15="http://schemas.microsoft.com/office/drawing/2012/chart" uri="{CE6537A1-D6FC-4f65-9D91-7224C49458BB}"/>
                <c:ext xmlns:c16="http://schemas.microsoft.com/office/drawing/2014/chart" uri="{C3380CC4-5D6E-409C-BE32-E72D297353CC}">
                  <c16:uniqueId val="{00000020-F04D-41AC-AAA0-343E8E4A8AB8}"/>
                </c:ext>
              </c:extLst>
            </c:dLbl>
            <c:dLbl>
              <c:idx val="3"/>
              <c:delete val="1"/>
              <c:extLst>
                <c:ext xmlns:c15="http://schemas.microsoft.com/office/drawing/2012/chart" uri="{CE6537A1-D6FC-4f65-9D91-7224C49458BB}"/>
                <c:ext xmlns:c16="http://schemas.microsoft.com/office/drawing/2014/chart" uri="{C3380CC4-5D6E-409C-BE32-E72D297353CC}">
                  <c16:uniqueId val="{00000021-F04D-41AC-AAA0-343E8E4A8AB8}"/>
                </c:ext>
              </c:extLst>
            </c:dLbl>
            <c:dLbl>
              <c:idx val="4"/>
              <c:delete val="1"/>
              <c:extLst>
                <c:ext xmlns:c15="http://schemas.microsoft.com/office/drawing/2012/chart" uri="{CE6537A1-D6FC-4f65-9D91-7224C49458BB}"/>
                <c:ext xmlns:c16="http://schemas.microsoft.com/office/drawing/2014/chart" uri="{C3380CC4-5D6E-409C-BE32-E72D297353CC}">
                  <c16:uniqueId val="{00000022-F04D-41AC-AAA0-343E8E4A8AB8}"/>
                </c:ext>
              </c:extLst>
            </c:dLbl>
            <c:dLbl>
              <c:idx val="5"/>
              <c:layout>
                <c:manualLayout>
                  <c:x val="0"/>
                  <c:y val="-4.9174532921655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F04D-41AC-AAA0-343E8E4A8AB8}"/>
                </c:ext>
              </c:extLst>
            </c:dLbl>
            <c:dLbl>
              <c:idx val="6"/>
              <c:layout>
                <c:manualLayout>
                  <c:x val="-9.5593114926411593E-7"/>
                  <c:y val="-4.83985364711498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F04D-41AC-AAA0-343E8E4A8AB8}"/>
                </c:ext>
              </c:extLst>
            </c:dLbl>
            <c:dLbl>
              <c:idx val="7"/>
              <c:delete val="1"/>
              <c:extLst>
                <c:ext xmlns:c15="http://schemas.microsoft.com/office/drawing/2012/chart" uri="{CE6537A1-D6FC-4f65-9D91-7224C49458BB}"/>
                <c:ext xmlns:c16="http://schemas.microsoft.com/office/drawing/2014/chart" uri="{C3380CC4-5D6E-409C-BE32-E72D297353CC}">
                  <c16:uniqueId val="{00000026-F04D-41AC-AAA0-343E8E4A8AB8}"/>
                </c:ext>
              </c:extLst>
            </c:dLbl>
            <c:dLbl>
              <c:idx val="8"/>
              <c:delete val="1"/>
              <c:extLst>
                <c:ext xmlns:c15="http://schemas.microsoft.com/office/drawing/2012/chart" uri="{CE6537A1-D6FC-4f65-9D91-7224C49458BB}"/>
                <c:ext xmlns:c16="http://schemas.microsoft.com/office/drawing/2014/chart" uri="{C3380CC4-5D6E-409C-BE32-E72D297353CC}">
                  <c16:uniqueId val="{00000027-F04D-41AC-AAA0-343E8E4A8AB8}"/>
                </c:ext>
              </c:extLst>
            </c:dLbl>
            <c:dLbl>
              <c:idx val="9"/>
              <c:delete val="1"/>
              <c:extLst>
                <c:ext xmlns:c15="http://schemas.microsoft.com/office/drawing/2012/chart" uri="{CE6537A1-D6FC-4f65-9D91-7224C49458BB}"/>
                <c:ext xmlns:c16="http://schemas.microsoft.com/office/drawing/2014/chart" uri="{C3380CC4-5D6E-409C-BE32-E72D297353CC}">
                  <c16:uniqueId val="{00000028-F04D-41AC-AAA0-343E8E4A8AB8}"/>
                </c:ext>
              </c:extLst>
            </c:dLbl>
            <c:dLbl>
              <c:idx val="10"/>
              <c:delete val="1"/>
              <c:extLst>
                <c:ext xmlns:c15="http://schemas.microsoft.com/office/drawing/2012/chart" uri="{CE6537A1-D6FC-4f65-9D91-7224C49458BB}"/>
                <c:ext xmlns:c16="http://schemas.microsoft.com/office/drawing/2014/chart" uri="{C3380CC4-5D6E-409C-BE32-E72D297353CC}">
                  <c16:uniqueId val="{00000029-F04D-41AC-AAA0-343E8E4A8AB8}"/>
                </c:ext>
              </c:extLst>
            </c:dLbl>
            <c:dLbl>
              <c:idx val="11"/>
              <c:delete val="1"/>
              <c:extLst>
                <c:ext xmlns:c15="http://schemas.microsoft.com/office/drawing/2012/chart" uri="{CE6537A1-D6FC-4f65-9D91-7224C49458BB}"/>
                <c:ext xmlns:c16="http://schemas.microsoft.com/office/drawing/2014/chart" uri="{C3380CC4-5D6E-409C-BE32-E72D297353CC}">
                  <c16:uniqueId val="{0000002A-F04D-41AC-AAA0-343E8E4A8AB8}"/>
                </c:ext>
              </c:extLst>
            </c:dLbl>
            <c:dLbl>
              <c:idx val="12"/>
              <c:delete val="1"/>
              <c:extLst>
                <c:ext xmlns:c15="http://schemas.microsoft.com/office/drawing/2012/chart" uri="{CE6537A1-D6FC-4f65-9D91-7224C49458BB}"/>
                <c:ext xmlns:c16="http://schemas.microsoft.com/office/drawing/2014/chart" uri="{C3380CC4-5D6E-409C-BE32-E72D297353CC}">
                  <c16:uniqueId val="{0000002B-F04D-41AC-AAA0-343E8E4A8AB8}"/>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BASE'!$F$168:$F$177</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C-F04D-41AC-AAA0-343E8E4A8AB8}"/>
            </c:ext>
          </c:extLst>
        </c:ser>
        <c:ser>
          <c:idx val="5"/>
          <c:order val="6"/>
          <c:tx>
            <c:strRef>
              <c:f>'casc P64 EP6 BASE'!$L$92</c:f>
              <c:strCache>
                <c:ptCount val="1"/>
              </c:strCache>
            </c:strRef>
          </c:tx>
          <c:spPr>
            <a:noFill/>
            <a:ln>
              <a:solidFill>
                <a:sysClr val="windowText" lastClr="000000"/>
              </a:solidFill>
            </a:ln>
          </c:spPr>
          <c:invertIfNegative val="0"/>
          <c:cat>
            <c:strRef>
              <c:f>'casc P64 EP6 BASE'!$A$168:$A$177</c:f>
              <c:strCache>
                <c:ptCount val="9"/>
                <c:pt idx="0">
                  <c:v>SOEE (hors BVH) : T9 EB2ADTS MB6 STTd niv2</c:v>
                </c:pt>
                <c:pt idx="1">
                  <c:v>Concept</c:v>
                </c:pt>
                <c:pt idx="2">
                  <c:v>SOEE (hors BVH) : P5 EB2ADTS MB6 STTd (Réf)</c:v>
                </c:pt>
                <c:pt idx="3">
                  <c:v>P1</c:v>
                </c:pt>
                <c:pt idx="4">
                  <c:v>SOEE (hors BVH) : P5 EB2ADTS MB6 STTd  (prévisionnel)</c:v>
                </c:pt>
                <c:pt idx="5">
                  <c:v>P2</c:v>
                </c:pt>
                <c:pt idx="6">
                  <c:v>P3</c:v>
                </c:pt>
                <c:pt idx="7">
                  <c:v>Risque_P3</c:v>
                </c:pt>
                <c:pt idx="8">
                  <c:v>SOEE (hors BVH) : P5 EB2ADTS MB6 STTd  (Potentiel)</c:v>
                </c:pt>
              </c:strCache>
            </c:strRef>
          </c:cat>
          <c:val>
            <c:numRef>
              <c:f>'casc P64 EP6 BASE'!$L$93:$L$102</c:f>
              <c:numCache>
                <c:formatCode>General</c:formatCode>
                <c:ptCount val="10"/>
              </c:numCache>
            </c:numRef>
          </c:val>
          <c:extLst>
            <c:ext xmlns:c16="http://schemas.microsoft.com/office/drawing/2014/chart" uri="{C3380CC4-5D6E-409C-BE32-E72D297353CC}">
              <c16:uniqueId val="{0000002D-F04D-41AC-AAA0-343E8E4A8AB8}"/>
            </c:ext>
          </c:extLst>
        </c:ser>
        <c:dLbls>
          <c:showLegendKey val="0"/>
          <c:showVal val="0"/>
          <c:showCatName val="0"/>
          <c:showSerName val="0"/>
          <c:showPercent val="0"/>
          <c:showBubbleSize val="0"/>
        </c:dLbls>
        <c:gapWidth val="150"/>
        <c:overlap val="100"/>
        <c:axId val="153289856"/>
        <c:axId val="153291392"/>
      </c:barChart>
      <c:scatterChart>
        <c:scatterStyle val="lineMarker"/>
        <c:varyColors val="0"/>
        <c:ser>
          <c:idx val="4"/>
          <c:order val="5"/>
          <c:tx>
            <c:strRef>
              <c:f>'casc P64 EP6 BASE'!$I$167</c:f>
              <c:strCache>
                <c:ptCount val="1"/>
                <c:pt idx="0">
                  <c:v>#REF!</c:v>
                </c:pt>
              </c:strCache>
            </c:strRef>
          </c:tx>
          <c:spPr>
            <a:ln>
              <a:solidFill>
                <a:sysClr val="windowText" lastClr="000000"/>
              </a:solidFill>
              <a:prstDash val="dash"/>
            </a:ln>
          </c:spPr>
          <c:marker>
            <c:symbol val="none"/>
          </c:marker>
          <c:dLbls>
            <c:dLbl>
              <c:idx val="6"/>
              <c:layout>
                <c:manualLayout>
                  <c:x val="-0.12275218101002411"/>
                  <c:y val="5.7852163907213872E-2"/>
                </c:manualLayout>
              </c:layout>
              <c:spPr/>
              <c:txPr>
                <a:bodyPr/>
                <a:lstStyle/>
                <a:p>
                  <a:pPr>
                    <a:defRPr sz="16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E-F04D-41AC-AAA0-343E8E4A8AB8}"/>
                </c:ext>
              </c:extLst>
            </c:dLbl>
            <c:spPr>
              <a:noFill/>
              <a:ln>
                <a:noFill/>
              </a:ln>
              <a:effectLst/>
            </c:spPr>
            <c:txPr>
              <a:bodyPr wrap="square" lIns="38100" tIns="19050" rIns="38100" bIns="19050" anchor="ctr">
                <a:spAutoFit/>
              </a:bodyPr>
              <a:lstStyle/>
              <a:p>
                <a:pPr>
                  <a:defRPr sz="1600">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BASE'!$I$168:$I$177</c:f>
              <c:numCache>
                <c:formatCode>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2F-F04D-41AC-AAA0-343E8E4A8AB8}"/>
            </c:ext>
          </c:extLst>
        </c:ser>
        <c:dLbls>
          <c:showLegendKey val="0"/>
          <c:showVal val="0"/>
          <c:showCatName val="0"/>
          <c:showSerName val="0"/>
          <c:showPercent val="0"/>
          <c:showBubbleSize val="0"/>
        </c:dLbls>
        <c:axId val="153289856"/>
        <c:axId val="153291392"/>
      </c:scatterChart>
      <c:catAx>
        <c:axId val="153289856"/>
        <c:scaling>
          <c:orientation val="minMax"/>
        </c:scaling>
        <c:delete val="0"/>
        <c:axPos val="b"/>
        <c:numFmt formatCode="General" sourceLinked="0"/>
        <c:majorTickMark val="out"/>
        <c:minorTickMark val="none"/>
        <c:tickLblPos val="nextTo"/>
        <c:txPr>
          <a:bodyPr/>
          <a:lstStyle/>
          <a:p>
            <a:pPr>
              <a:defRPr sz="1000" b="1"/>
            </a:pPr>
            <a:endParaRPr lang="fr-FR"/>
          </a:p>
        </c:txPr>
        <c:crossAx val="153291392"/>
        <c:crosses val="autoZero"/>
        <c:auto val="1"/>
        <c:lblAlgn val="ctr"/>
        <c:lblOffset val="100"/>
        <c:noMultiLvlLbl val="0"/>
      </c:catAx>
      <c:valAx>
        <c:axId val="153291392"/>
        <c:scaling>
          <c:orientation val="minMax"/>
          <c:max val="210"/>
          <c:min val="160"/>
        </c:scaling>
        <c:delete val="0"/>
        <c:axPos val="l"/>
        <c:numFmt formatCode="0" sourceLinked="0"/>
        <c:majorTickMark val="out"/>
        <c:minorTickMark val="none"/>
        <c:tickLblPos val="nextTo"/>
        <c:txPr>
          <a:bodyPr/>
          <a:lstStyle/>
          <a:p>
            <a:pPr>
              <a:defRPr sz="1600" b="1"/>
            </a:pPr>
            <a:endParaRPr lang="fr-FR"/>
          </a:p>
        </c:txPr>
        <c:crossAx val="15328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3925567377001401E-2"/>
          <c:y val="4.9462200522766966E-2"/>
          <c:w val="0.9272988385142471"/>
          <c:h val="0.89208564326364848"/>
        </c:manualLayout>
      </c:layout>
      <c:barChart>
        <c:barDir val="col"/>
        <c:grouping val="stacked"/>
        <c:varyColors val="0"/>
        <c:ser>
          <c:idx val="0"/>
          <c:order val="0"/>
          <c:tx>
            <c:strRef>
              <c:f>'casc P64 EP6 BASE'!#REF!</c:f>
              <c:strCache>
                <c:ptCount val="1"/>
                <c:pt idx="0">
                  <c:v>#REF!</c:v>
                </c:pt>
              </c:strCache>
            </c:strRef>
          </c:tx>
          <c:invertIfNegative val="0"/>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C-0C9B-4E81-826E-61C7B19106A0}"/>
            </c:ext>
          </c:extLst>
        </c:ser>
        <c:ser>
          <c:idx val="1"/>
          <c:order val="1"/>
          <c:tx>
            <c:strRef>
              <c:f>'casc P64 EP6 BASE'!$D$92</c:f>
              <c:strCache>
                <c:ptCount val="1"/>
              </c:strCache>
            </c:strRef>
          </c:tx>
          <c:invertIfNegative val="0"/>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D-0C9B-4E81-826E-61C7B19106A0}"/>
            </c:ext>
          </c:extLst>
        </c:ser>
        <c:ser>
          <c:idx val="2"/>
          <c:order val="2"/>
          <c:tx>
            <c:strRef>
              <c:f>'casc P64 EP6 BASE'!#REF!</c:f>
              <c:strCache>
                <c:ptCount val="1"/>
                <c:pt idx="0">
                  <c:v>#REF!</c:v>
                </c:pt>
              </c:strCache>
            </c:strRef>
          </c:tx>
          <c:invertIfNegative val="0"/>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0F-0C9B-4E81-826E-61C7B19106A0}"/>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1-0C9B-4E81-826E-61C7B19106A0}"/>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3-0C9B-4E81-826E-61C7B19106A0}"/>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5-0C9B-4E81-826E-61C7B19106A0}"/>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7-0C9B-4E81-826E-61C7B19106A0}"/>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9-0C9B-4E81-826E-61C7B19106A0}"/>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B-0C9B-4E81-826E-61C7B19106A0}"/>
              </c:ext>
            </c:extLst>
          </c:dPt>
          <c:val>
            <c:numRef>
              <c:f>'casc P64 EP6 BASE'!$M$93:$M$102</c:f>
              <c:numCache>
                <c:formatCode>General</c:formatCode>
                <c:ptCount val="10"/>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1C-0C9B-4E81-826E-61C7B19106A0}"/>
            </c:ext>
          </c:extLst>
        </c:ser>
        <c:ser>
          <c:idx val="3"/>
          <c:order val="4"/>
          <c:tx>
            <c:strRef>
              <c:f>'casc P64 EP6 BASE'!#REF!</c:f>
              <c:strCache>
                <c:ptCount val="1"/>
                <c:pt idx="0">
                  <c:v>#REF!</c:v>
                </c:pt>
              </c:strCache>
            </c:strRef>
          </c:tx>
          <c:invertIfNegative val="0"/>
          <c:dPt>
            <c:idx val="10"/>
            <c:invertIfNegative val="0"/>
            <c:bubble3D val="0"/>
            <c:spPr>
              <a:solidFill>
                <a:schemeClr val="accent2">
                  <a:lumMod val="20000"/>
                  <a:lumOff val="80000"/>
                </a:schemeClr>
              </a:solidFill>
            </c:spPr>
            <c:extLst>
              <c:ext xmlns:c16="http://schemas.microsoft.com/office/drawing/2014/chart" uri="{C3380CC4-5D6E-409C-BE32-E72D297353CC}">
                <c16:uniqueId val="{0000002D-0C9B-4E81-826E-61C7B19106A0}"/>
              </c:ext>
            </c:extLst>
          </c:dPt>
          <c:dPt>
            <c:idx val="11"/>
            <c:invertIfNegative val="0"/>
            <c:bubble3D val="0"/>
            <c:spPr>
              <a:solidFill>
                <a:schemeClr val="bg1">
                  <a:lumMod val="85000"/>
                </a:schemeClr>
              </a:solidFill>
            </c:spPr>
            <c:extLst>
              <c:ext xmlns:c16="http://schemas.microsoft.com/office/drawing/2014/chart" uri="{C3380CC4-5D6E-409C-BE32-E72D297353CC}">
                <c16:uniqueId val="{0000002F-0C9B-4E81-826E-61C7B19106A0}"/>
              </c:ext>
            </c:extLst>
          </c:dPt>
          <c:val>
            <c:numRef>
              <c:f>'casc P64 EP6 BASE'!#REF!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31-0C9B-4E81-826E-61C7B19106A0}"/>
            </c:ext>
          </c:extLst>
        </c:ser>
        <c:ser>
          <c:idx val="5"/>
          <c:order val="6"/>
          <c:tx>
            <c:strRef>
              <c:f>'casc P64 EP6 BASE'!$L$92</c:f>
              <c:strCache>
                <c:ptCount val="1"/>
              </c:strCache>
            </c:strRef>
          </c:tx>
          <c:spPr>
            <a:noFill/>
            <a:ln>
              <a:solidFill>
                <a:sysClr val="windowText" lastClr="000000"/>
              </a:solidFill>
            </a:ln>
          </c:spPr>
          <c:invertIfNegative val="0"/>
          <c:val>
            <c:numRef>
              <c:f>'casc P64 EP6 BASE'!$L$93:$L$102</c:f>
              <c:numCache>
                <c:formatCode>General</c:formatCode>
                <c:ptCount val="10"/>
              </c:numCache>
            </c:numRef>
          </c:val>
          <c:extLst>
            <c:ext xmlns:c15="http://schemas.microsoft.com/office/drawing/2012/chart" uri="{02D57815-91ED-43cb-92C2-25804820EDAC}">
              <c15:filteredCategoryTitle>
                <c15:cat>
                  <c:strRef>
                    <c:extLst>
                      <c:ext uri="{02D57815-91ED-43cb-92C2-25804820EDAC}">
                        <c15:formulaRef>
                          <c15:sqref>'casc P64 EP6 BASE'!#REF!</c15:sqref>
                        </c15:formulaRef>
                      </c:ext>
                    </c:extLst>
                    <c:strCache>
                      <c:ptCount val="1"/>
                      <c:pt idx="0">
                        <c:v>#REF!</c:v>
                      </c:pt>
                    </c:strCache>
                  </c:strRef>
                </c15:cat>
              </c15:filteredCategoryTitle>
            </c:ext>
            <c:ext xmlns:c16="http://schemas.microsoft.com/office/drawing/2014/chart" uri="{C3380CC4-5D6E-409C-BE32-E72D297353CC}">
              <c16:uniqueId val="{00000032-0C9B-4E81-826E-61C7B19106A0}"/>
            </c:ext>
          </c:extLst>
        </c:ser>
        <c:dLbls>
          <c:showLegendKey val="0"/>
          <c:showVal val="0"/>
          <c:showCatName val="0"/>
          <c:showSerName val="0"/>
          <c:showPercent val="0"/>
          <c:showBubbleSize val="0"/>
        </c:dLbls>
        <c:gapWidth val="150"/>
        <c:overlap val="100"/>
        <c:axId val="153910656"/>
        <c:axId val="154088576"/>
      </c:barChart>
      <c:scatterChart>
        <c:scatterStyle val="lineMarker"/>
        <c:varyColors val="0"/>
        <c:ser>
          <c:idx val="4"/>
          <c:order val="5"/>
          <c:tx>
            <c:strRef>
              <c:f>'casc P64 EP6 BASE'!#REF!</c:f>
              <c:strCache>
                <c:ptCount val="1"/>
                <c:pt idx="0">
                  <c:v>#REF!</c:v>
                </c:pt>
              </c:strCache>
            </c:strRef>
          </c:tx>
          <c:marker>
            <c:symbol val="none"/>
          </c:marker>
          <c:yVal>
            <c:numRef>
              <c:f>'casc P64 EP6 BASE'!#REF!</c:f>
              <c:numCache>
                <c:formatCode>General</c:formatCode>
                <c:ptCount val="1"/>
                <c:pt idx="0">
                  <c:v>1</c:v>
                </c:pt>
              </c:numCache>
            </c:numRef>
          </c:yVal>
          <c:smooth val="0"/>
          <c:extLst>
            <c:ext xmlns:c16="http://schemas.microsoft.com/office/drawing/2014/chart" uri="{C3380CC4-5D6E-409C-BE32-E72D297353CC}">
              <c16:uniqueId val="{00000034-0C9B-4E81-826E-61C7B19106A0}"/>
            </c:ext>
          </c:extLst>
        </c:ser>
        <c:dLbls>
          <c:showLegendKey val="0"/>
          <c:showVal val="0"/>
          <c:showCatName val="0"/>
          <c:showSerName val="0"/>
          <c:showPercent val="0"/>
          <c:showBubbleSize val="0"/>
        </c:dLbls>
        <c:axId val="153910656"/>
        <c:axId val="154088576"/>
      </c:scatterChart>
      <c:catAx>
        <c:axId val="153910656"/>
        <c:scaling>
          <c:orientation val="minMax"/>
        </c:scaling>
        <c:delete val="0"/>
        <c:axPos val="b"/>
        <c:numFmt formatCode="General" sourceLinked="0"/>
        <c:majorTickMark val="out"/>
        <c:minorTickMark val="none"/>
        <c:tickLblPos val="nextTo"/>
        <c:txPr>
          <a:bodyPr/>
          <a:lstStyle/>
          <a:p>
            <a:pPr>
              <a:defRPr sz="1000" b="1"/>
            </a:pPr>
            <a:endParaRPr lang="fr-FR"/>
          </a:p>
        </c:txPr>
        <c:crossAx val="154088576"/>
        <c:crosses val="autoZero"/>
        <c:auto val="1"/>
        <c:lblAlgn val="ctr"/>
        <c:lblOffset val="100"/>
        <c:noMultiLvlLbl val="0"/>
      </c:catAx>
      <c:valAx>
        <c:axId val="154088576"/>
        <c:scaling>
          <c:orientation val="minMax"/>
          <c:max val="95"/>
          <c:min val="80"/>
        </c:scaling>
        <c:delete val="0"/>
        <c:axPos val="l"/>
        <c:numFmt formatCode="0" sourceLinked="0"/>
        <c:majorTickMark val="out"/>
        <c:minorTickMark val="none"/>
        <c:tickLblPos val="nextTo"/>
        <c:txPr>
          <a:bodyPr/>
          <a:lstStyle/>
          <a:p>
            <a:pPr>
              <a:defRPr sz="1600" b="1"/>
            </a:pPr>
            <a:endParaRPr lang="fr-FR"/>
          </a:p>
        </c:txPr>
        <c:crossAx val="153910656"/>
        <c:crosses val="autoZero"/>
        <c:crossBetween val="between"/>
      </c:valAx>
    </c:plotArea>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851244912966259E-2"/>
          <c:y val="4.656955380577428E-2"/>
          <c:w val="0.9272988385142471"/>
          <c:h val="0.89208564326364848"/>
        </c:manualLayout>
      </c:layout>
      <c:barChart>
        <c:barDir val="col"/>
        <c:grouping val="stacked"/>
        <c:varyColors val="0"/>
        <c:ser>
          <c:idx val="0"/>
          <c:order val="0"/>
          <c:tx>
            <c:strRef>
              <c:f>'casc P64 EP6 BASE'!$C$129</c:f>
              <c:strCache>
                <c:ptCount val="1"/>
                <c:pt idx="0">
                  <c:v>MàV</c:v>
                </c:pt>
              </c:strCache>
            </c:strRef>
          </c:tx>
          <c:invertIfNegative val="0"/>
          <c:dLbls>
            <c:dLbl>
              <c:idx val="0"/>
              <c:layout>
                <c:manualLayout>
                  <c:x val="3.5847418093694849E-4"/>
                  <c:y val="-0.36578176802375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CD-439E-9C17-FE26D1AE9C55}"/>
                </c:ext>
              </c:extLst>
            </c:dLbl>
            <c:dLbl>
              <c:idx val="2"/>
              <c:layout>
                <c:manualLayout>
                  <c:x val="1.3469069891737611E-3"/>
                  <c:y val="-0.39568302720155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CD-439E-9C17-FE26D1AE9C55}"/>
                </c:ext>
              </c:extLst>
            </c:dLbl>
            <c:dLbl>
              <c:idx val="3"/>
              <c:layout>
                <c:manualLayout>
                  <c:x val="-1.544998068752414E-3"/>
                  <c:y val="-0.3052906451164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CD-439E-9C17-FE26D1AE9C55}"/>
                </c:ext>
              </c:extLst>
            </c:dLbl>
            <c:dLbl>
              <c:idx val="5"/>
              <c:layout>
                <c:manualLayout>
                  <c:x val="0"/>
                  <c:y val="-0.38182578503873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CD-439E-9C17-FE26D1AE9C55}"/>
                </c:ext>
              </c:extLst>
            </c:dLbl>
            <c:dLbl>
              <c:idx val="6"/>
              <c:layout>
                <c:manualLayout>
                  <c:x val="1.348925066044221E-3"/>
                  <c:y val="-0.35430786218558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CD-439E-9C17-FE26D1AE9C55}"/>
                </c:ext>
              </c:extLst>
            </c:dLbl>
            <c:dLbl>
              <c:idx val="7"/>
              <c:layout>
                <c:manualLayout>
                  <c:x val="-1.15210946388832E-3"/>
                  <c:y val="-0.3317363188204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CD-439E-9C17-FE26D1AE9C55}"/>
                </c:ext>
              </c:extLst>
            </c:dLbl>
            <c:dLbl>
              <c:idx val="8"/>
              <c:layout>
                <c:manualLayout>
                  <c:x val="0"/>
                  <c:y val="2.2448684312537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CD-439E-9C17-FE26D1AE9C55}"/>
                </c:ext>
              </c:extLst>
            </c:dLbl>
            <c:dLbl>
              <c:idx val="9"/>
              <c:layout>
                <c:manualLayout>
                  <c:x val="2.6957258406457535E-3"/>
                  <c:y val="-0.34254355556243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CD-439E-9C17-FE26D1AE9C55}"/>
                </c:ext>
              </c:extLst>
            </c:dLbl>
            <c:dLbl>
              <c:idx val="10"/>
              <c:layout>
                <c:manualLayout>
                  <c:x val="-3.3882448509299726E-5"/>
                  <c:y val="-0.21319221297697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CD-439E-9C17-FE26D1AE9C55}"/>
                </c:ext>
              </c:extLst>
            </c:dLbl>
            <c:dLbl>
              <c:idx val="11"/>
              <c:layout>
                <c:manualLayout>
                  <c:x val="4.1046687886422102E-3"/>
                  <c:y val="-0.1096341713214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ACD-439E-9C17-FE26D1AE9C55}"/>
                </c:ext>
              </c:extLst>
            </c:dLbl>
            <c:dLbl>
              <c:idx val="12"/>
              <c:layout>
                <c:manualLayout>
                  <c:x val="-1.348578285234926E-3"/>
                  <c:y val="-0.1049378827646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ACD-439E-9C17-FE26D1AE9C55}"/>
                </c:ext>
              </c:extLst>
            </c:dLbl>
            <c:numFmt formatCode="0&quot;kg&quot;" sourceLinked="0"/>
            <c:spPr>
              <a:noFill/>
            </c:spPr>
            <c:txPr>
              <a:bodyPr/>
              <a:lstStyle/>
              <a:p>
                <a:pPr>
                  <a:defRPr sz="16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BASE'!$C$130:$C$140</c:f>
              <c:numCache>
                <c:formatCode>General</c:formatCode>
                <c:ptCount val="11"/>
                <c:pt idx="0" formatCode="0">
                  <c:v>158.00650000000005</c:v>
                </c:pt>
                <c:pt idx="2" formatCode="0.0">
                  <c:v>0</c:v>
                </c:pt>
                <c:pt idx="5" formatCode="0.0">
                  <c:v>0</c:v>
                </c:pt>
                <c:pt idx="9" formatCode="0">
                  <c:v>0</c:v>
                </c:pt>
              </c:numCache>
            </c:numRef>
          </c:val>
          <c:extLst>
            <c:ext xmlns:c16="http://schemas.microsoft.com/office/drawing/2014/chart" uri="{C3380CC4-5D6E-409C-BE32-E72D297353CC}">
              <c16:uniqueId val="{0000000C-2ACD-439E-9C17-FE26D1AE9C55}"/>
            </c:ext>
          </c:extLst>
        </c:ser>
        <c:ser>
          <c:idx val="1"/>
          <c:order val="1"/>
          <c:tx>
            <c:strRef>
              <c:f>'casc P64 EP6 BASE'!$D$92</c:f>
              <c:strCache>
                <c:ptCount val="1"/>
              </c:strCache>
            </c:strRef>
          </c:tx>
          <c:spPr>
            <a:noFill/>
          </c:spPr>
          <c:invertIfNegative val="0"/>
          <c:cat>
            <c:strRef>
              <c:f>'casc P64 EP6 BASE'!$A$130:$A$140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BASE'!$D$130:$D$140</c:f>
              <c:numCache>
                <c:formatCode>0</c:formatCode>
                <c:ptCount val="11"/>
                <c:pt idx="1">
                  <c:v>0</c:v>
                </c:pt>
                <c:pt idx="3">
                  <c:v>0</c:v>
                </c:pt>
                <c:pt idx="4">
                  <c:v>0</c:v>
                </c:pt>
                <c:pt idx="6">
                  <c:v>0</c:v>
                </c:pt>
                <c:pt idx="7">
                  <c:v>0</c:v>
                </c:pt>
                <c:pt idx="8">
                  <c:v>0</c:v>
                </c:pt>
              </c:numCache>
            </c:numRef>
          </c:val>
          <c:extLst>
            <c:ext xmlns:c16="http://schemas.microsoft.com/office/drawing/2014/chart" uri="{C3380CC4-5D6E-409C-BE32-E72D297353CC}">
              <c16:uniqueId val="{0000000D-2ACD-439E-9C17-FE26D1AE9C55}"/>
            </c:ext>
          </c:extLst>
        </c:ser>
        <c:ser>
          <c:idx val="2"/>
          <c:order val="2"/>
          <c:tx>
            <c:strRef>
              <c:f>'casc P64 EP6 BASE'!$E$129</c:f>
              <c:strCache>
                <c:ptCount val="1"/>
                <c:pt idx="0">
                  <c:v>Dérive</c:v>
                </c:pt>
              </c:strCache>
            </c:strRef>
          </c:tx>
          <c:spPr>
            <a:solidFill>
              <a:schemeClr val="bg1">
                <a:lumMod val="65000"/>
              </a:schemeClr>
            </a:solidFill>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ACD-439E-9C17-FE26D1AE9C55}"/>
                </c:ext>
              </c:extLst>
            </c:dLbl>
            <c:dLbl>
              <c:idx val="3"/>
              <c:numFmt formatCode="\+0.0&quot;kg&quot;" sourceLinked="0"/>
              <c:spPr/>
              <c:txPr>
                <a:bodyPr/>
                <a:lstStyle/>
                <a:p>
                  <a:pPr>
                    <a:defRPr sz="1400" b="1"/>
                  </a:pPr>
                  <a:endParaRPr lang="fr-FR"/>
                </a:p>
              </c:txPr>
              <c:showLegendKey val="0"/>
              <c:showVal val="0"/>
              <c:showCatName val="0"/>
              <c:showSerName val="0"/>
              <c:showPercent val="0"/>
              <c:showBubbleSize val="0"/>
              <c:extLst>
                <c:ext xmlns:c16="http://schemas.microsoft.com/office/drawing/2014/chart" uri="{C3380CC4-5D6E-409C-BE32-E72D297353CC}">
                  <c16:uniqueId val="{0000000F-2ACD-439E-9C17-FE26D1AE9C55}"/>
                </c:ext>
              </c:extLst>
            </c:dLbl>
            <c:dLbl>
              <c:idx val="8"/>
              <c:layout>
                <c:manualLayout>
                  <c:x val="-9.8920028777295926E-17"/>
                  <c:y val="3.1818815419894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91-4F3B-9EAD-0D70295502CE}"/>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91-4F3B-9EAD-0D70295502CE}"/>
                </c:ext>
              </c:extLst>
            </c:dLbl>
            <c:numFmt formatCode="\+0&quot;kg&quot;" sourceLinked="0"/>
            <c:spPr>
              <a:noFill/>
              <a:ln>
                <a:noFill/>
              </a:ln>
              <a:effectLst/>
            </c:spPr>
            <c:txPr>
              <a:bodyPr/>
              <a:lstStyle/>
              <a:p>
                <a:pPr>
                  <a:defRPr sz="1400" b="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BASE'!$A$130:$A$140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BASE'!$E$130:$E$140</c:f>
              <c:numCache>
                <c:formatCode>0</c:formatCode>
                <c:ptCount val="11"/>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2-2ACD-439E-9C17-FE26D1AE9C55}"/>
            </c:ext>
          </c:extLst>
        </c:ser>
        <c:ser>
          <c:idx val="6"/>
          <c:order val="3"/>
          <c:tx>
            <c:strRef>
              <c:f>'[7]Données cascading P51 DV5RC '!#REF!</c:f>
              <c:strCache>
                <c:ptCount val="1"/>
                <c:pt idx="0">
                  <c:v>#REF!</c:v>
                </c:pt>
              </c:strCache>
            </c:strRef>
          </c:tx>
          <c:spPr>
            <a:noFill/>
            <a:ln w="12700">
              <a:solidFill>
                <a:sysClr val="windowText" lastClr="000000"/>
              </a:solidFill>
            </a:ln>
          </c:spPr>
          <c:invertIfNegative val="0"/>
          <c:dPt>
            <c:idx val="4"/>
            <c:invertIfNegative val="0"/>
            <c:bubble3D val="0"/>
            <c:spPr>
              <a:pattFill prst="wdUpDiag">
                <a:fgClr>
                  <a:srgbClr val="92D050"/>
                </a:fgClr>
                <a:bgClr>
                  <a:schemeClr val="bg1"/>
                </a:bgClr>
              </a:pattFill>
              <a:ln w="12700">
                <a:solidFill>
                  <a:sysClr val="windowText" lastClr="000000"/>
                </a:solidFill>
              </a:ln>
            </c:spPr>
            <c:extLst>
              <c:ext xmlns:c16="http://schemas.microsoft.com/office/drawing/2014/chart" uri="{C3380CC4-5D6E-409C-BE32-E72D297353CC}">
                <c16:uniqueId val="{00000014-2ACD-439E-9C17-FE26D1AE9C55}"/>
              </c:ext>
            </c:extLst>
          </c:dPt>
          <c:dPt>
            <c:idx val="5"/>
            <c:invertIfNegative val="0"/>
            <c:bubble3D val="0"/>
            <c:spPr>
              <a:pattFill prst="wdUpDiag">
                <a:fgClr>
                  <a:srgbClr val="FFC000"/>
                </a:fgClr>
                <a:bgClr>
                  <a:schemeClr val="bg1"/>
                </a:bgClr>
              </a:pattFill>
              <a:ln w="12700">
                <a:solidFill>
                  <a:sysClr val="windowText" lastClr="000000"/>
                </a:solidFill>
              </a:ln>
            </c:spPr>
            <c:extLst>
              <c:ext xmlns:c16="http://schemas.microsoft.com/office/drawing/2014/chart" uri="{C3380CC4-5D6E-409C-BE32-E72D297353CC}">
                <c16:uniqueId val="{00000016-2ACD-439E-9C17-FE26D1AE9C55}"/>
              </c:ext>
            </c:extLst>
          </c:dPt>
          <c:dPt>
            <c:idx val="7"/>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8-2ACD-439E-9C17-FE26D1AE9C55}"/>
              </c:ext>
            </c:extLst>
          </c:dPt>
          <c:dPt>
            <c:idx val="8"/>
            <c:invertIfNegative val="0"/>
            <c:bubble3D val="0"/>
            <c:spPr>
              <a:pattFill prst="wdUpDiag">
                <a:fgClr>
                  <a:srgbClr val="FF0000"/>
                </a:fgClr>
                <a:bgClr>
                  <a:schemeClr val="bg1"/>
                </a:bgClr>
              </a:pattFill>
              <a:ln w="12700">
                <a:solidFill>
                  <a:sysClr val="windowText" lastClr="000000"/>
                </a:solidFill>
              </a:ln>
            </c:spPr>
            <c:extLst>
              <c:ext xmlns:c16="http://schemas.microsoft.com/office/drawing/2014/chart" uri="{C3380CC4-5D6E-409C-BE32-E72D297353CC}">
                <c16:uniqueId val="{0000001A-2ACD-439E-9C17-FE26D1AE9C55}"/>
              </c:ext>
            </c:extLst>
          </c:dPt>
          <c:dPt>
            <c:idx val="9"/>
            <c:invertIfNegative val="0"/>
            <c:bubble3D val="0"/>
            <c:spPr>
              <a:pattFill prst="wdUpDiag">
                <a:fgClr>
                  <a:schemeClr val="accent2">
                    <a:lumMod val="40000"/>
                    <a:lumOff val="60000"/>
                  </a:schemeClr>
                </a:fgClr>
                <a:bgClr>
                  <a:schemeClr val="bg1"/>
                </a:bgClr>
              </a:pattFill>
              <a:ln w="12700">
                <a:solidFill>
                  <a:sysClr val="windowText" lastClr="000000"/>
                </a:solidFill>
              </a:ln>
            </c:spPr>
            <c:extLst>
              <c:ext xmlns:c16="http://schemas.microsoft.com/office/drawing/2014/chart" uri="{C3380CC4-5D6E-409C-BE32-E72D297353CC}">
                <c16:uniqueId val="{0000001C-2ACD-439E-9C17-FE26D1AE9C55}"/>
              </c:ext>
            </c:extLst>
          </c:dPt>
          <c:dPt>
            <c:idx val="10"/>
            <c:invertIfNegative val="0"/>
            <c:bubble3D val="0"/>
            <c:spPr>
              <a:pattFill prst="wdUpDiag">
                <a:fgClr>
                  <a:schemeClr val="bg1">
                    <a:lumMod val="75000"/>
                  </a:schemeClr>
                </a:fgClr>
                <a:bgClr>
                  <a:schemeClr val="bg1"/>
                </a:bgClr>
              </a:pattFill>
              <a:ln w="12700">
                <a:solidFill>
                  <a:sysClr val="windowText" lastClr="000000"/>
                </a:solidFill>
              </a:ln>
            </c:spPr>
            <c:extLst>
              <c:ext xmlns:c16="http://schemas.microsoft.com/office/drawing/2014/chart" uri="{C3380CC4-5D6E-409C-BE32-E72D297353CC}">
                <c16:uniqueId val="{0000001E-2ACD-439E-9C17-FE26D1AE9C55}"/>
              </c:ext>
            </c:extLst>
          </c:dPt>
          <c:cat>
            <c:strRef>
              <c:f>'casc P64 EP6 BASE'!$A$130:$A$140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BASE'!$M$93:$M$102</c:f>
              <c:numCache>
                <c:formatCode>General</c:formatCode>
                <c:ptCount val="10"/>
              </c:numCache>
            </c:numRef>
          </c:val>
          <c:extLst>
            <c:ext xmlns:c16="http://schemas.microsoft.com/office/drawing/2014/chart" uri="{C3380CC4-5D6E-409C-BE32-E72D297353CC}">
              <c16:uniqueId val="{0000001F-2ACD-439E-9C17-FE26D1AE9C55}"/>
            </c:ext>
          </c:extLst>
        </c:ser>
        <c:ser>
          <c:idx val="3"/>
          <c:order val="4"/>
          <c:tx>
            <c:strRef>
              <c:f>'casc P64 EP6 BASE'!$F$129</c:f>
              <c:strCache>
                <c:ptCount val="1"/>
                <c:pt idx="0">
                  <c:v>Gain</c:v>
                </c:pt>
              </c:strCache>
            </c:strRef>
          </c:tx>
          <c:spPr>
            <a:solidFill>
              <a:srgbClr val="92D050"/>
            </a:solidFill>
          </c:spPr>
          <c:invertIfNegative val="0"/>
          <c:dPt>
            <c:idx val="1"/>
            <c:invertIfNegative val="0"/>
            <c:bubble3D val="0"/>
            <c:extLst>
              <c:ext xmlns:c16="http://schemas.microsoft.com/office/drawing/2014/chart" uri="{C3380CC4-5D6E-409C-BE32-E72D297353CC}">
                <c16:uniqueId val="{00000020-2ACD-439E-9C17-FE26D1AE9C55}"/>
              </c:ext>
            </c:extLst>
          </c:dPt>
          <c:dPt>
            <c:idx val="2"/>
            <c:invertIfNegative val="0"/>
            <c:bubble3D val="0"/>
            <c:extLst>
              <c:ext xmlns:c16="http://schemas.microsoft.com/office/drawing/2014/chart" uri="{C3380CC4-5D6E-409C-BE32-E72D297353CC}">
                <c16:uniqueId val="{00000021-2ACD-439E-9C17-FE26D1AE9C55}"/>
              </c:ext>
            </c:extLst>
          </c:dPt>
          <c:dPt>
            <c:idx val="3"/>
            <c:invertIfNegative val="0"/>
            <c:bubble3D val="0"/>
            <c:extLst>
              <c:ext xmlns:c16="http://schemas.microsoft.com/office/drawing/2014/chart" uri="{C3380CC4-5D6E-409C-BE32-E72D297353CC}">
                <c16:uniqueId val="{00000022-2ACD-439E-9C17-FE26D1AE9C55}"/>
              </c:ext>
            </c:extLst>
          </c:dPt>
          <c:dPt>
            <c:idx val="5"/>
            <c:invertIfNegative val="0"/>
            <c:bubble3D val="0"/>
            <c:extLst>
              <c:ext xmlns:c16="http://schemas.microsoft.com/office/drawing/2014/chart" uri="{C3380CC4-5D6E-409C-BE32-E72D297353CC}">
                <c16:uniqueId val="{00000025-2ACD-439E-9C17-FE26D1AE9C55}"/>
              </c:ext>
            </c:extLst>
          </c:dPt>
          <c:dPt>
            <c:idx val="6"/>
            <c:invertIfNegative val="0"/>
            <c:bubble3D val="0"/>
            <c:spPr>
              <a:solidFill>
                <a:srgbClr val="FFC000"/>
              </a:solidFill>
            </c:spPr>
            <c:extLst>
              <c:ext xmlns:c16="http://schemas.microsoft.com/office/drawing/2014/chart" uri="{C3380CC4-5D6E-409C-BE32-E72D297353CC}">
                <c16:uniqueId val="{00000027-2ACD-439E-9C17-FE26D1AE9C55}"/>
              </c:ext>
            </c:extLst>
          </c:dPt>
          <c:dPt>
            <c:idx val="7"/>
            <c:invertIfNegative val="0"/>
            <c:bubble3D val="0"/>
            <c:spPr>
              <a:solidFill>
                <a:srgbClr val="FF0000"/>
              </a:solidFill>
            </c:spPr>
            <c:extLst>
              <c:ext xmlns:c16="http://schemas.microsoft.com/office/drawing/2014/chart" uri="{C3380CC4-5D6E-409C-BE32-E72D297353CC}">
                <c16:uniqueId val="{00000029-2ACD-439E-9C17-FE26D1AE9C55}"/>
              </c:ext>
            </c:extLst>
          </c:dPt>
          <c:dPt>
            <c:idx val="8"/>
            <c:invertIfNegative val="0"/>
            <c:bubble3D val="0"/>
            <c:spPr>
              <a:solidFill>
                <a:srgbClr val="FF0000"/>
              </a:solidFill>
            </c:spPr>
            <c:extLst>
              <c:ext xmlns:c16="http://schemas.microsoft.com/office/drawing/2014/chart" uri="{C3380CC4-5D6E-409C-BE32-E72D297353CC}">
                <c16:uniqueId val="{0000002B-2ACD-439E-9C17-FE26D1AE9C55}"/>
              </c:ext>
            </c:extLst>
          </c:dPt>
          <c:dPt>
            <c:idx val="9"/>
            <c:invertIfNegative val="0"/>
            <c:bubble3D val="0"/>
            <c:spPr>
              <a:solidFill>
                <a:srgbClr val="FF0000"/>
              </a:solidFill>
            </c:spPr>
            <c:extLst>
              <c:ext xmlns:c16="http://schemas.microsoft.com/office/drawing/2014/chart" uri="{C3380CC4-5D6E-409C-BE32-E72D297353CC}">
                <c16:uniqueId val="{0000002D-2ACD-439E-9C17-FE26D1AE9C55}"/>
              </c:ext>
            </c:extLst>
          </c:dPt>
          <c:dPt>
            <c:idx val="10"/>
            <c:invertIfNegative val="0"/>
            <c:bubble3D val="0"/>
            <c:spPr>
              <a:solidFill>
                <a:schemeClr val="accent2">
                  <a:lumMod val="40000"/>
                  <a:lumOff val="60000"/>
                </a:schemeClr>
              </a:solidFill>
            </c:spPr>
            <c:extLst>
              <c:ext xmlns:c16="http://schemas.microsoft.com/office/drawing/2014/chart" uri="{C3380CC4-5D6E-409C-BE32-E72D297353CC}">
                <c16:uniqueId val="{0000002F-2ACD-439E-9C17-FE26D1AE9C55}"/>
              </c:ext>
            </c:extLst>
          </c:dPt>
          <c:dPt>
            <c:idx val="11"/>
            <c:invertIfNegative val="0"/>
            <c:bubble3D val="0"/>
            <c:spPr>
              <a:solidFill>
                <a:schemeClr val="bg1">
                  <a:lumMod val="85000"/>
                </a:schemeClr>
              </a:solidFill>
            </c:spPr>
            <c:extLst>
              <c:ext xmlns:c16="http://schemas.microsoft.com/office/drawing/2014/chart" uri="{C3380CC4-5D6E-409C-BE32-E72D297353CC}">
                <c16:uniqueId val="{00000031-2ACD-439E-9C17-FE26D1AE9C55}"/>
              </c:ext>
            </c:extLst>
          </c:dPt>
          <c:dLbls>
            <c:dLbl>
              <c:idx val="1"/>
              <c:delete val="1"/>
              <c:extLst>
                <c:ext xmlns:c15="http://schemas.microsoft.com/office/drawing/2012/chart" uri="{CE6537A1-D6FC-4f65-9D91-7224C49458BB}"/>
                <c:ext xmlns:c16="http://schemas.microsoft.com/office/drawing/2014/chart" uri="{C3380CC4-5D6E-409C-BE32-E72D297353CC}">
                  <c16:uniqueId val="{00000020-2ACD-439E-9C17-FE26D1AE9C55}"/>
                </c:ext>
              </c:extLst>
            </c:dLbl>
            <c:dLbl>
              <c:idx val="2"/>
              <c:delete val="1"/>
              <c:extLst>
                <c:ext xmlns:c15="http://schemas.microsoft.com/office/drawing/2012/chart" uri="{CE6537A1-D6FC-4f65-9D91-7224C49458BB}"/>
                <c:ext xmlns:c16="http://schemas.microsoft.com/office/drawing/2014/chart" uri="{C3380CC4-5D6E-409C-BE32-E72D297353CC}">
                  <c16:uniqueId val="{00000021-2ACD-439E-9C17-FE26D1AE9C55}"/>
                </c:ext>
              </c:extLst>
            </c:dLbl>
            <c:dLbl>
              <c:idx val="5"/>
              <c:delete val="1"/>
              <c:extLst>
                <c:ext xmlns:c15="http://schemas.microsoft.com/office/drawing/2012/chart" uri="{CE6537A1-D6FC-4f65-9D91-7224C49458BB}"/>
                <c:ext xmlns:c16="http://schemas.microsoft.com/office/drawing/2014/chart" uri="{C3380CC4-5D6E-409C-BE32-E72D297353CC}">
                  <c16:uniqueId val="{00000025-2ACD-439E-9C17-FE26D1AE9C55}"/>
                </c:ext>
              </c:extLst>
            </c:dLbl>
            <c:dLbl>
              <c:idx val="7"/>
              <c:layout>
                <c:manualLayout>
                  <c:x val="-9.5593114916519604E-7"/>
                  <c:y val="-3.9720677720269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2ACD-439E-9C17-FE26D1AE9C55}"/>
                </c:ext>
              </c:extLst>
            </c:dLbl>
            <c:dLbl>
              <c:idx val="8"/>
              <c:delete val="1"/>
              <c:extLst>
                <c:ext xmlns:c15="http://schemas.microsoft.com/office/drawing/2012/chart" uri="{CE6537A1-D6FC-4f65-9D91-7224C49458BB}"/>
                <c:ext xmlns:c16="http://schemas.microsoft.com/office/drawing/2014/chart" uri="{C3380CC4-5D6E-409C-BE32-E72D297353CC}">
                  <c16:uniqueId val="{0000002B-2ACD-439E-9C17-FE26D1AE9C55}"/>
                </c:ext>
              </c:extLst>
            </c:dLbl>
            <c:dLbl>
              <c:idx val="9"/>
              <c:delete val="1"/>
              <c:extLst>
                <c:ext xmlns:c15="http://schemas.microsoft.com/office/drawing/2012/chart" uri="{CE6537A1-D6FC-4f65-9D91-7224C49458BB}"/>
                <c:ext xmlns:c16="http://schemas.microsoft.com/office/drawing/2014/chart" uri="{C3380CC4-5D6E-409C-BE32-E72D297353CC}">
                  <c16:uniqueId val="{0000002D-2ACD-439E-9C17-FE26D1AE9C55}"/>
                </c:ext>
              </c:extLst>
            </c:dLbl>
            <c:dLbl>
              <c:idx val="10"/>
              <c:delete val="1"/>
              <c:extLst>
                <c:ext xmlns:c15="http://schemas.microsoft.com/office/drawing/2012/chart" uri="{CE6537A1-D6FC-4f65-9D91-7224C49458BB}"/>
                <c:ext xmlns:c16="http://schemas.microsoft.com/office/drawing/2014/chart" uri="{C3380CC4-5D6E-409C-BE32-E72D297353CC}">
                  <c16:uniqueId val="{0000002F-2ACD-439E-9C17-FE26D1AE9C55}"/>
                </c:ext>
              </c:extLst>
            </c:dLbl>
            <c:dLbl>
              <c:idx val="12"/>
              <c:delete val="1"/>
              <c:extLst>
                <c:ext xmlns:c15="http://schemas.microsoft.com/office/drawing/2012/chart" uri="{CE6537A1-D6FC-4f65-9D91-7224C49458BB}"/>
                <c:ext xmlns:c16="http://schemas.microsoft.com/office/drawing/2014/chart" uri="{C3380CC4-5D6E-409C-BE32-E72D297353CC}">
                  <c16:uniqueId val="{00000032-2ACD-439E-9C17-FE26D1AE9C55}"/>
                </c:ext>
              </c:extLst>
            </c:dLbl>
            <c:numFmt formatCode="\-0&quot;kg&quot;" sourceLinked="0"/>
            <c:spPr>
              <a:noFill/>
              <a:ln>
                <a:noFill/>
              </a:ln>
              <a:effectLst/>
            </c:spPr>
            <c:txPr>
              <a:bodyPr/>
              <a:lstStyle/>
              <a:p>
                <a:pPr>
                  <a:defRPr sz="14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BASE'!$F$130:$F$140</c:f>
              <c:numCache>
                <c:formatCode>0</c:formatCode>
                <c:ptCount val="11"/>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33-2ACD-439E-9C17-FE26D1AE9C55}"/>
            </c:ext>
          </c:extLst>
        </c:ser>
        <c:ser>
          <c:idx val="5"/>
          <c:order val="6"/>
          <c:tx>
            <c:strRef>
              <c:f>'casc P64 EP6 BASE'!$L$92</c:f>
              <c:strCache>
                <c:ptCount val="1"/>
              </c:strCache>
            </c:strRef>
          </c:tx>
          <c:spPr>
            <a:noFill/>
            <a:ln>
              <a:solidFill>
                <a:sysClr val="windowText" lastClr="000000"/>
              </a:solidFill>
            </a:ln>
          </c:spPr>
          <c:invertIfNegative val="0"/>
          <c:cat>
            <c:strRef>
              <c:f>'casc P64 EP6 BASE'!$A$130:$A$140</c:f>
              <c:strCache>
                <c:ptCount val="10"/>
                <c:pt idx="0">
                  <c:v>SCEG (hors BVH) : T9 EB2ADTS MB6 STTd niv2</c:v>
                </c:pt>
                <c:pt idx="1">
                  <c:v>Concept</c:v>
                </c:pt>
                <c:pt idx="2">
                  <c:v>SCEG (hors BVH) : P5 EB2ADTS MB6 STTd (Réf)</c:v>
                </c:pt>
                <c:pt idx="3">
                  <c:v>P1</c:v>
                </c:pt>
                <c:pt idx="4">
                  <c:v>RISQUES</c:v>
                </c:pt>
                <c:pt idx="5">
                  <c:v>SCEG (hors BVH) : P5 EB2ADTS MB6 STTd  (prévisionnel)</c:v>
                </c:pt>
                <c:pt idx="6">
                  <c:v>P2</c:v>
                </c:pt>
                <c:pt idx="7">
                  <c:v>P3</c:v>
                </c:pt>
                <c:pt idx="8">
                  <c:v>Risque_P3</c:v>
                </c:pt>
                <c:pt idx="9">
                  <c:v>SCEG (hors BVH) : P5 EB2ADTS MB6 STTd  (Potentiel)</c:v>
                </c:pt>
              </c:strCache>
            </c:strRef>
          </c:cat>
          <c:val>
            <c:numRef>
              <c:f>'casc P64 EP6 BASE'!$L$93:$L$102</c:f>
              <c:numCache>
                <c:formatCode>General</c:formatCode>
                <c:ptCount val="10"/>
              </c:numCache>
            </c:numRef>
          </c:val>
          <c:extLst>
            <c:ext xmlns:c16="http://schemas.microsoft.com/office/drawing/2014/chart" uri="{C3380CC4-5D6E-409C-BE32-E72D297353CC}">
              <c16:uniqueId val="{00000034-2ACD-439E-9C17-FE26D1AE9C55}"/>
            </c:ext>
          </c:extLst>
        </c:ser>
        <c:dLbls>
          <c:showLegendKey val="0"/>
          <c:showVal val="0"/>
          <c:showCatName val="0"/>
          <c:showSerName val="0"/>
          <c:showPercent val="0"/>
          <c:showBubbleSize val="0"/>
        </c:dLbls>
        <c:gapWidth val="150"/>
        <c:overlap val="100"/>
        <c:axId val="152332544"/>
        <c:axId val="152363008"/>
      </c:barChart>
      <c:scatterChart>
        <c:scatterStyle val="lineMarker"/>
        <c:varyColors val="0"/>
        <c:ser>
          <c:idx val="4"/>
          <c:order val="5"/>
          <c:tx>
            <c:strRef>
              <c:f>'casc P64 EP6 BASE'!$I$129</c:f>
              <c:strCache>
                <c:ptCount val="1"/>
                <c:pt idx="0">
                  <c:v>Objectif 160 kg</c:v>
                </c:pt>
              </c:strCache>
            </c:strRef>
          </c:tx>
          <c:spPr>
            <a:ln>
              <a:solidFill>
                <a:sysClr val="windowText" lastClr="000000"/>
              </a:solidFill>
              <a:prstDash val="dash"/>
            </a:ln>
          </c:spPr>
          <c:marker>
            <c:symbol val="none"/>
          </c:marker>
          <c:dLbls>
            <c:dLbl>
              <c:idx val="6"/>
              <c:layout>
                <c:manualLayout>
                  <c:x val="-8.498227916078592E-2"/>
                  <c:y val="4.9174532921655106E-2"/>
                </c:manualLayout>
              </c:layout>
              <c:spPr/>
              <c:txPr>
                <a:bodyPr/>
                <a:lstStyle/>
                <a:p>
                  <a:pPr>
                    <a:defRPr sz="1400" b="1">
                      <a:solidFill>
                        <a:srgbClr val="FF0000"/>
                      </a:solidFil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E-9591-4F3B-9EAD-0D70295502CE}"/>
                </c:ext>
              </c:extLst>
            </c:dLbl>
            <c:spPr>
              <a:noFill/>
              <a:ln>
                <a:noFill/>
              </a:ln>
              <a:effectLst/>
            </c:spPr>
            <c:txPr>
              <a:bodyPr wrap="square" lIns="38100" tIns="19050" rIns="38100" bIns="19050" anchor="ctr">
                <a:spAutoFit/>
              </a:bodyPr>
              <a:lstStyle/>
              <a:p>
                <a:pPr>
                  <a:defRPr>
                    <a:solidFill>
                      <a:srgbClr val="FF0000"/>
                    </a:solidFill>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BASE'!$I$130:$I$140</c:f>
              <c:numCache>
                <c:formatCode>0</c:formatCode>
                <c:ptCount val="11"/>
                <c:pt idx="0">
                  <c:v>159.50650000000005</c:v>
                </c:pt>
                <c:pt idx="1">
                  <c:v>159.50650000000005</c:v>
                </c:pt>
                <c:pt idx="2">
                  <c:v>159.50650000000005</c:v>
                </c:pt>
                <c:pt idx="3">
                  <c:v>159.50650000000005</c:v>
                </c:pt>
                <c:pt idx="4">
                  <c:v>159.50650000000005</c:v>
                </c:pt>
                <c:pt idx="5">
                  <c:v>159.50650000000005</c:v>
                </c:pt>
                <c:pt idx="6">
                  <c:v>159.50650000000005</c:v>
                </c:pt>
                <c:pt idx="7">
                  <c:v>159.50650000000005</c:v>
                </c:pt>
                <c:pt idx="8">
                  <c:v>159.50650000000005</c:v>
                </c:pt>
                <c:pt idx="9">
                  <c:v>159.50650000000005</c:v>
                </c:pt>
                <c:pt idx="10">
                  <c:v>159.50650000000005</c:v>
                </c:pt>
              </c:numCache>
            </c:numRef>
          </c:yVal>
          <c:smooth val="0"/>
          <c:extLst>
            <c:ext xmlns:c16="http://schemas.microsoft.com/office/drawing/2014/chart" uri="{C3380CC4-5D6E-409C-BE32-E72D297353CC}">
              <c16:uniqueId val="{00000036-2ACD-439E-9C17-FE26D1AE9C55}"/>
            </c:ext>
          </c:extLst>
        </c:ser>
        <c:dLbls>
          <c:showLegendKey val="0"/>
          <c:showVal val="0"/>
          <c:showCatName val="0"/>
          <c:showSerName val="0"/>
          <c:showPercent val="0"/>
          <c:showBubbleSize val="0"/>
        </c:dLbls>
        <c:axId val="152332544"/>
        <c:axId val="152363008"/>
      </c:scatterChart>
      <c:catAx>
        <c:axId val="152332544"/>
        <c:scaling>
          <c:orientation val="minMax"/>
        </c:scaling>
        <c:delete val="0"/>
        <c:axPos val="b"/>
        <c:numFmt formatCode="General" sourceLinked="0"/>
        <c:majorTickMark val="out"/>
        <c:minorTickMark val="none"/>
        <c:tickLblPos val="nextTo"/>
        <c:txPr>
          <a:bodyPr/>
          <a:lstStyle/>
          <a:p>
            <a:pPr>
              <a:defRPr sz="1000" b="1"/>
            </a:pPr>
            <a:endParaRPr lang="fr-FR"/>
          </a:p>
        </c:txPr>
        <c:crossAx val="152363008"/>
        <c:crosses val="autoZero"/>
        <c:auto val="1"/>
        <c:lblAlgn val="ctr"/>
        <c:lblOffset val="100"/>
        <c:noMultiLvlLbl val="0"/>
      </c:catAx>
      <c:valAx>
        <c:axId val="152363008"/>
        <c:scaling>
          <c:orientation val="minMax"/>
          <c:min val="130"/>
        </c:scaling>
        <c:delete val="0"/>
        <c:axPos val="l"/>
        <c:numFmt formatCode="0" sourceLinked="0"/>
        <c:majorTickMark val="out"/>
        <c:minorTickMark val="none"/>
        <c:tickLblPos val="nextTo"/>
        <c:txPr>
          <a:bodyPr/>
          <a:lstStyle/>
          <a:p>
            <a:pPr>
              <a:defRPr sz="1600" b="1"/>
            </a:pPr>
            <a:endParaRPr lang="fr-FR"/>
          </a:p>
        </c:txPr>
        <c:crossAx val="152332544"/>
        <c:crosses val="autoZero"/>
        <c:crossBetween val="between"/>
      </c:valAx>
    </c:plotArea>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11510000649792E-2"/>
          <c:y val="3.7534814585562307E-2"/>
          <c:w val="0.9272988385142471"/>
          <c:h val="0.89208564326364848"/>
        </c:manualLayout>
      </c:layout>
      <c:barChart>
        <c:barDir val="col"/>
        <c:grouping val="stacked"/>
        <c:varyColors val="0"/>
        <c:ser>
          <c:idx val="0"/>
          <c:order val="0"/>
          <c:tx>
            <c:strRef>
              <c:f>'casc P64 EP6 BASE'!$C$4</c:f>
              <c:strCache>
                <c:ptCount val="1"/>
                <c:pt idx="0">
                  <c:v>MàV</c:v>
                </c:pt>
              </c:strCache>
            </c:strRef>
          </c:tx>
          <c:invertIfNegative val="0"/>
          <c:dLbls>
            <c:dLbl>
              <c:idx val="0"/>
              <c:layout>
                <c:manualLayout>
                  <c:x val="0"/>
                  <c:y val="-0.2711813483503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28-497A-B500-69CC295CB572}"/>
                </c:ext>
              </c:extLst>
            </c:dLbl>
            <c:dLbl>
              <c:idx val="2"/>
              <c:layout>
                <c:manualLayout>
                  <c:x val="0"/>
                  <c:y val="-0.34775019964926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28-497A-B500-69CC295CB572}"/>
                </c:ext>
              </c:extLst>
            </c:dLbl>
            <c:dLbl>
              <c:idx val="6"/>
              <c:layout>
                <c:manualLayout>
                  <c:x val="0"/>
                  <c:y val="-0.36689241247399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4D-4625-B1DA-BEF37D8A71E7}"/>
                </c:ext>
              </c:extLst>
            </c:dLbl>
            <c:dLbl>
              <c:idx val="9"/>
              <c:layout>
                <c:manualLayout>
                  <c:x val="0"/>
                  <c:y val="-0.37008278127811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28-497A-B500-69CC295CB57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'casc P64 EP6 BASE'!$A$5:$A$14</c:f>
              <c:strCache>
                <c:ptCount val="10"/>
                <c:pt idx="0">
                  <c:v>P84 ICE</c:v>
                </c:pt>
                <c:pt idx="1">
                  <c:v>Concept</c:v>
                </c:pt>
                <c:pt idx="2">
                  <c:v>EMP2V4 REF</c:v>
                </c:pt>
                <c:pt idx="3">
                  <c:v>P1</c:v>
                </c:pt>
                <c:pt idx="4">
                  <c:v>P2</c:v>
                </c:pt>
                <c:pt idx="5">
                  <c:v>RISQUES</c:v>
                </c:pt>
                <c:pt idx="6">
                  <c:v>EMP2V4 Potentiel</c:v>
                </c:pt>
                <c:pt idx="7">
                  <c:v>P3</c:v>
                </c:pt>
                <c:pt idx="8">
                  <c:v>RISQUES_P3</c:v>
                </c:pt>
                <c:pt idx="9">
                  <c:v>EMP2V4 (Potentiel Max)</c:v>
                </c:pt>
              </c:strCache>
            </c:strRef>
          </c:cat>
          <c:val>
            <c:numRef>
              <c:f>'casc P64 EP6 BASE'!$C$5:$C$14</c:f>
              <c:numCache>
                <c:formatCode>General</c:formatCode>
                <c:ptCount val="10"/>
                <c:pt idx="0" formatCode="0">
                  <c:v>549.9</c:v>
                </c:pt>
                <c:pt idx="2" formatCode="0">
                  <c:v>0</c:v>
                </c:pt>
                <c:pt idx="6" formatCode="0">
                  <c:v>0</c:v>
                </c:pt>
                <c:pt idx="9" formatCode="0">
                  <c:v>0</c:v>
                </c:pt>
              </c:numCache>
            </c:numRef>
          </c:val>
          <c:extLst>
            <c:ext xmlns:c16="http://schemas.microsoft.com/office/drawing/2014/chart" uri="{C3380CC4-5D6E-409C-BE32-E72D297353CC}">
              <c16:uniqueId val="{0000000B-E6A6-4546-8F5D-A482341508DB}"/>
            </c:ext>
          </c:extLst>
        </c:ser>
        <c:ser>
          <c:idx val="1"/>
          <c:order val="1"/>
          <c:tx>
            <c:strRef>
              <c:f>'casc P64 EP6 BASE'!$D$4</c:f>
              <c:strCache>
                <c:ptCount val="1"/>
              </c:strCache>
            </c:strRef>
          </c:tx>
          <c:spPr>
            <a:noFill/>
          </c:spPr>
          <c:invertIfNegative val="0"/>
          <c:cat>
            <c:strRef>
              <c:f>'casc P64 EP6 BASE'!$A$5:$A$14</c:f>
              <c:strCache>
                <c:ptCount val="10"/>
                <c:pt idx="0">
                  <c:v>P84 ICE</c:v>
                </c:pt>
                <c:pt idx="1">
                  <c:v>Concept</c:v>
                </c:pt>
                <c:pt idx="2">
                  <c:v>EMP2V4 REF</c:v>
                </c:pt>
                <c:pt idx="3">
                  <c:v>P1</c:v>
                </c:pt>
                <c:pt idx="4">
                  <c:v>P2</c:v>
                </c:pt>
                <c:pt idx="5">
                  <c:v>RISQUES</c:v>
                </c:pt>
                <c:pt idx="6">
                  <c:v>EMP2V4 Potentiel</c:v>
                </c:pt>
                <c:pt idx="7">
                  <c:v>P3</c:v>
                </c:pt>
                <c:pt idx="8">
                  <c:v>RISQUES_P3</c:v>
                </c:pt>
                <c:pt idx="9">
                  <c:v>EMP2V4 (Potentiel Max)</c:v>
                </c:pt>
              </c:strCache>
            </c:strRef>
          </c:cat>
          <c:val>
            <c:numRef>
              <c:f>'casc P64 EP6 BASE'!$D$5:$D$14</c:f>
              <c:numCache>
                <c:formatCode>0</c:formatCode>
                <c:ptCount val="10"/>
                <c:pt idx="1">
                  <c:v>0</c:v>
                </c:pt>
                <c:pt idx="3">
                  <c:v>0</c:v>
                </c:pt>
                <c:pt idx="4">
                  <c:v>0</c:v>
                </c:pt>
                <c:pt idx="5">
                  <c:v>0</c:v>
                </c:pt>
                <c:pt idx="7">
                  <c:v>0</c:v>
                </c:pt>
                <c:pt idx="8">
                  <c:v>0</c:v>
                </c:pt>
              </c:numCache>
            </c:numRef>
          </c:val>
          <c:extLst>
            <c:ext xmlns:c16="http://schemas.microsoft.com/office/drawing/2014/chart" uri="{C3380CC4-5D6E-409C-BE32-E72D297353CC}">
              <c16:uniqueId val="{0000000C-E6A6-4546-8F5D-A482341508DB}"/>
            </c:ext>
          </c:extLst>
        </c:ser>
        <c:ser>
          <c:idx val="2"/>
          <c:order val="2"/>
          <c:tx>
            <c:strRef>
              <c:f>'casc P64 EP6 BASE'!$E$4</c:f>
              <c:strCache>
                <c:ptCount val="1"/>
                <c:pt idx="0">
                  <c:v>Dérive</c:v>
                </c:pt>
              </c:strCache>
            </c:strRef>
          </c:tx>
          <c:invertIfNegative val="0"/>
          <c:dPt>
            <c:idx val="1"/>
            <c:invertIfNegative val="0"/>
            <c:bubble3D val="0"/>
            <c:spPr>
              <a:solidFill>
                <a:schemeClr val="bg1">
                  <a:lumMod val="65000"/>
                </a:schemeClr>
              </a:solidFill>
            </c:spPr>
            <c:extLst>
              <c:ext xmlns:c16="http://schemas.microsoft.com/office/drawing/2014/chart" uri="{C3380CC4-5D6E-409C-BE32-E72D297353CC}">
                <c16:uniqueId val="{0000000E-E6A6-4546-8F5D-A482341508DB}"/>
              </c:ext>
            </c:extLst>
          </c:dPt>
          <c:dPt>
            <c:idx val="5"/>
            <c:invertIfNegative val="0"/>
            <c:bubble3D val="0"/>
            <c:spPr>
              <a:solidFill>
                <a:srgbClr val="FF0000"/>
              </a:solidFill>
            </c:spPr>
            <c:extLst>
              <c:ext xmlns:c16="http://schemas.microsoft.com/office/drawing/2014/chart" uri="{C3380CC4-5D6E-409C-BE32-E72D297353CC}">
                <c16:uniqueId val="{00000004-164D-4625-B1DA-BEF37D8A71E7}"/>
              </c:ext>
            </c:extLst>
          </c:dPt>
          <c:dPt>
            <c:idx val="8"/>
            <c:invertIfNegative val="0"/>
            <c:bubble3D val="0"/>
            <c:spPr>
              <a:solidFill>
                <a:srgbClr val="FF0000"/>
              </a:solidFill>
            </c:spPr>
            <c:extLst>
              <c:ext xmlns:c16="http://schemas.microsoft.com/office/drawing/2014/chart" uri="{C3380CC4-5D6E-409C-BE32-E72D297353CC}">
                <c16:uniqueId val="{00000005-04EF-4CF4-8E7E-1BF3E1D3DE43}"/>
              </c:ext>
            </c:extLst>
          </c:dPt>
          <c:dLbls>
            <c:dLbl>
              <c:idx val="1"/>
              <c:layout>
                <c:manualLayout>
                  <c:x val="0"/>
                  <c:y val="-5.7426638474189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A6-4546-8F5D-A482341508DB}"/>
                </c:ext>
              </c:extLst>
            </c:dLbl>
            <c:dLbl>
              <c:idx val="3"/>
              <c:delete val="1"/>
              <c:extLst>
                <c:ext xmlns:c15="http://schemas.microsoft.com/office/drawing/2012/chart" uri="{CE6537A1-D6FC-4f65-9D91-7224C49458BB}"/>
                <c:ext xmlns:c16="http://schemas.microsoft.com/office/drawing/2014/chart" uri="{C3380CC4-5D6E-409C-BE32-E72D297353CC}">
                  <c16:uniqueId val="{00000006-CCF0-43F8-B380-0F54925C119C}"/>
                </c:ext>
              </c:extLst>
            </c:dLbl>
            <c:dLbl>
              <c:idx val="5"/>
              <c:layout>
                <c:manualLayout>
                  <c:x val="0"/>
                  <c:y val="-6.06170072783114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4D-4625-B1DA-BEF37D8A71E7}"/>
                </c:ext>
              </c:extLst>
            </c:dLbl>
            <c:dLbl>
              <c:idx val="7"/>
              <c:delete val="1"/>
              <c:extLst>
                <c:ext xmlns:c15="http://schemas.microsoft.com/office/drawing/2012/chart" uri="{CE6537A1-D6FC-4f65-9D91-7224C49458BB}"/>
                <c:ext xmlns:c16="http://schemas.microsoft.com/office/drawing/2014/chart" uri="{C3380CC4-5D6E-409C-BE32-E72D297353CC}">
                  <c16:uniqueId val="{0000000A-CCF0-43F8-B380-0F54925C119C}"/>
                </c:ext>
              </c:extLst>
            </c:dLbl>
            <c:spPr>
              <a:noFill/>
              <a:ln>
                <a:noFill/>
              </a:ln>
              <a:effectLst/>
            </c:spPr>
            <c:txPr>
              <a:bodyPr wrap="square" lIns="38100" tIns="19050" rIns="38100" bIns="19050" anchor="ctr">
                <a:spAutoFit/>
              </a:bodyPr>
              <a:lstStyle/>
              <a:p>
                <a:pPr>
                  <a:defRPr sz="12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'casc P64 EP6 BASE'!$A$5:$A$14</c:f>
              <c:strCache>
                <c:ptCount val="10"/>
                <c:pt idx="0">
                  <c:v>P84 ICE</c:v>
                </c:pt>
                <c:pt idx="1">
                  <c:v>Concept</c:v>
                </c:pt>
                <c:pt idx="2">
                  <c:v>EMP2V4 REF</c:v>
                </c:pt>
                <c:pt idx="3">
                  <c:v>P1</c:v>
                </c:pt>
                <c:pt idx="4">
                  <c:v>P2</c:v>
                </c:pt>
                <c:pt idx="5">
                  <c:v>RISQUES</c:v>
                </c:pt>
                <c:pt idx="6">
                  <c:v>EMP2V4 Potentiel</c:v>
                </c:pt>
                <c:pt idx="7">
                  <c:v>P3</c:v>
                </c:pt>
                <c:pt idx="8">
                  <c:v>RISQUES_P3</c:v>
                </c:pt>
                <c:pt idx="9">
                  <c:v>EMP2V4 (Potentiel Max)</c:v>
                </c:pt>
              </c:strCache>
            </c:strRef>
          </c:cat>
          <c:val>
            <c:numRef>
              <c:f>'casc P64 EP6 BASE'!$E$5:$E$15</c:f>
              <c:numCache>
                <c:formatCode>0</c:formatCode>
                <c:ptCount val="11"/>
                <c:pt idx="1">
                  <c:v>0</c:v>
                </c:pt>
                <c:pt idx="3">
                  <c:v>0</c:v>
                </c:pt>
                <c:pt idx="5">
                  <c:v>0</c:v>
                </c:pt>
                <c:pt idx="7">
                  <c:v>0</c:v>
                </c:pt>
                <c:pt idx="8">
                  <c:v>0</c:v>
                </c:pt>
                <c:pt idx="10">
                  <c:v>0</c:v>
                </c:pt>
              </c:numCache>
            </c:numRef>
          </c:val>
          <c:extLst>
            <c:ext xmlns:c16="http://schemas.microsoft.com/office/drawing/2014/chart" uri="{C3380CC4-5D6E-409C-BE32-E72D297353CC}">
              <c16:uniqueId val="{0000000F-E6A6-4546-8F5D-A482341508DB}"/>
            </c:ext>
          </c:extLst>
        </c:ser>
        <c:ser>
          <c:idx val="3"/>
          <c:order val="3"/>
          <c:tx>
            <c:strRef>
              <c:f>'casc P64 EP6 BASE'!$F$4</c:f>
              <c:strCache>
                <c:ptCount val="1"/>
                <c:pt idx="0">
                  <c:v>Gain</c:v>
                </c:pt>
              </c:strCache>
            </c:strRef>
          </c:tx>
          <c:spPr>
            <a:solidFill>
              <a:srgbClr val="92D050"/>
            </a:solidFill>
          </c:spPr>
          <c:invertIfNegative val="0"/>
          <c:dPt>
            <c:idx val="11"/>
            <c:invertIfNegative val="0"/>
            <c:bubble3D val="0"/>
            <c:extLst>
              <c:ext xmlns:c16="http://schemas.microsoft.com/office/drawing/2014/chart" uri="{C3380CC4-5D6E-409C-BE32-E72D297353CC}">
                <c16:uniqueId val="{00000023-E6A6-4546-8F5D-A482341508DB}"/>
              </c:ext>
            </c:extLst>
          </c:dPt>
          <c:dLbls>
            <c:dLbl>
              <c:idx val="3"/>
              <c:layout>
                <c:manualLayout>
                  <c:x val="0"/>
                  <c:y val="-4.7855532061824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F0-43F8-B380-0F54925C119C}"/>
                </c:ext>
              </c:extLst>
            </c:dLbl>
            <c:dLbl>
              <c:idx val="4"/>
              <c:layout>
                <c:manualLayout>
                  <c:x val="0"/>
                  <c:y val="-5.10459008659464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EF-4CF4-8E7E-1BF3E1D3DE43}"/>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F0-43F8-B380-0F54925C119C}"/>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'casc P64 EP6 BASE'!$A$5:$A$14</c:f>
              <c:strCache>
                <c:ptCount val="10"/>
                <c:pt idx="0">
                  <c:v>P84 ICE</c:v>
                </c:pt>
                <c:pt idx="1">
                  <c:v>Concept</c:v>
                </c:pt>
                <c:pt idx="2">
                  <c:v>EMP2V4 REF</c:v>
                </c:pt>
                <c:pt idx="3">
                  <c:v>P1</c:v>
                </c:pt>
                <c:pt idx="4">
                  <c:v>P2</c:v>
                </c:pt>
                <c:pt idx="5">
                  <c:v>RISQUES</c:v>
                </c:pt>
                <c:pt idx="6">
                  <c:v>EMP2V4 Potentiel</c:v>
                </c:pt>
                <c:pt idx="7">
                  <c:v>P3</c:v>
                </c:pt>
                <c:pt idx="8">
                  <c:v>RISQUES_P3</c:v>
                </c:pt>
                <c:pt idx="9">
                  <c:v>EMP2V4 (Potentiel Max)</c:v>
                </c:pt>
              </c:strCache>
            </c:strRef>
          </c:cat>
          <c:val>
            <c:numRef>
              <c:f>'casc P64 EP6 BASE'!$F$5:$F$14</c:f>
              <c:numCache>
                <c:formatCode>0</c:formatCode>
                <c:ptCount val="10"/>
                <c:pt idx="1">
                  <c:v>0</c:v>
                </c:pt>
                <c:pt idx="3">
                  <c:v>0</c:v>
                </c:pt>
                <c:pt idx="4">
                  <c:v>0</c:v>
                </c:pt>
                <c:pt idx="5">
                  <c:v>0</c:v>
                </c:pt>
                <c:pt idx="7">
                  <c:v>0</c:v>
                </c:pt>
                <c:pt idx="8">
                  <c:v>0</c:v>
                </c:pt>
              </c:numCache>
            </c:numRef>
          </c:val>
          <c:extLst>
            <c:ext xmlns:c16="http://schemas.microsoft.com/office/drawing/2014/chart" uri="{C3380CC4-5D6E-409C-BE32-E72D297353CC}">
              <c16:uniqueId val="{00000025-E6A6-4546-8F5D-A482341508DB}"/>
            </c:ext>
          </c:extLst>
        </c:ser>
        <c:ser>
          <c:idx val="5"/>
          <c:order val="5"/>
          <c:tx>
            <c:strRef>
              <c:f>'casc P64 EP6 BASE'!#REF!</c:f>
              <c:strCache>
                <c:ptCount val="1"/>
                <c:pt idx="0">
                  <c:v>#REF!</c:v>
                </c:pt>
              </c:strCache>
            </c:strRef>
          </c:tx>
          <c:invertIfNegative val="0"/>
          <c:cat>
            <c:strRef>
              <c:f>'casc P64 EP6 BASE'!$A$5:$A$14</c:f>
              <c:strCache>
                <c:ptCount val="10"/>
                <c:pt idx="0">
                  <c:v>P84 ICE</c:v>
                </c:pt>
                <c:pt idx="1">
                  <c:v>Concept</c:v>
                </c:pt>
                <c:pt idx="2">
                  <c:v>EMP2V4 REF</c:v>
                </c:pt>
                <c:pt idx="3">
                  <c:v>P1</c:v>
                </c:pt>
                <c:pt idx="4">
                  <c:v>P2</c:v>
                </c:pt>
                <c:pt idx="5">
                  <c:v>RISQUES</c:v>
                </c:pt>
                <c:pt idx="6">
                  <c:v>EMP2V4 Potentiel</c:v>
                </c:pt>
                <c:pt idx="7">
                  <c:v>P3</c:v>
                </c:pt>
                <c:pt idx="8">
                  <c:v>RISQUES_P3</c:v>
                </c:pt>
                <c:pt idx="9">
                  <c:v>EMP2V4 (Potentiel Max)</c:v>
                </c:pt>
              </c:strCache>
            </c:strRef>
          </c:cat>
          <c:val>
            <c:numRef>
              <c:f>'casc P64 EP6 BASE'!#REF!</c:f>
              <c:numCache>
                <c:formatCode>General</c:formatCode>
                <c:ptCount val="1"/>
                <c:pt idx="0">
                  <c:v>1</c:v>
                </c:pt>
              </c:numCache>
            </c:numRef>
          </c:val>
          <c:extLst>
            <c:ext xmlns:c16="http://schemas.microsoft.com/office/drawing/2014/chart" uri="{C3380CC4-5D6E-409C-BE32-E72D297353CC}">
              <c16:uniqueId val="{00000030-E6A6-4546-8F5D-A482341508DB}"/>
            </c:ext>
          </c:extLst>
        </c:ser>
        <c:dLbls>
          <c:showLegendKey val="0"/>
          <c:showVal val="0"/>
          <c:showCatName val="0"/>
          <c:showSerName val="0"/>
          <c:showPercent val="0"/>
          <c:showBubbleSize val="0"/>
        </c:dLbls>
        <c:gapWidth val="150"/>
        <c:overlap val="100"/>
        <c:axId val="147868672"/>
        <c:axId val="147882752"/>
      </c:barChart>
      <c:scatterChart>
        <c:scatterStyle val="lineMarker"/>
        <c:varyColors val="0"/>
        <c:ser>
          <c:idx val="4"/>
          <c:order val="4"/>
          <c:tx>
            <c:strRef>
              <c:f>'casc P64 EP6 BASE'!$I$4</c:f>
              <c:strCache>
                <c:ptCount val="1"/>
                <c:pt idx="0">
                  <c:v>w</c:v>
                </c:pt>
              </c:strCache>
            </c:strRef>
          </c:tx>
          <c:spPr>
            <a:ln>
              <a:prstDash val="dash"/>
            </a:ln>
          </c:spPr>
          <c:marker>
            <c:symbol val="none"/>
          </c:marker>
          <c:yVal>
            <c:numRef>
              <c:f>'casc P64 EP6 BASE'!$I$5:$I$14</c:f>
              <c:numCache>
                <c:formatCode>0</c:formatCode>
                <c:ptCount val="10"/>
                <c:pt idx="0">
                  <c:v>609.9</c:v>
                </c:pt>
                <c:pt idx="1">
                  <c:v>609.9</c:v>
                </c:pt>
                <c:pt idx="2">
                  <c:v>609.9</c:v>
                </c:pt>
                <c:pt idx="3">
                  <c:v>609.9</c:v>
                </c:pt>
                <c:pt idx="4">
                  <c:v>609.9</c:v>
                </c:pt>
                <c:pt idx="5">
                  <c:v>609.9</c:v>
                </c:pt>
                <c:pt idx="6">
                  <c:v>609.9</c:v>
                </c:pt>
                <c:pt idx="7">
                  <c:v>609.9</c:v>
                </c:pt>
                <c:pt idx="8">
                  <c:v>609.9</c:v>
                </c:pt>
                <c:pt idx="9">
                  <c:v>609.9</c:v>
                </c:pt>
              </c:numCache>
            </c:numRef>
          </c:yVal>
          <c:smooth val="0"/>
          <c:extLst>
            <c:ext xmlns:c16="http://schemas.microsoft.com/office/drawing/2014/chart" uri="{C3380CC4-5D6E-409C-BE32-E72D297353CC}">
              <c16:uniqueId val="{00000032-E6A6-4546-8F5D-A482341508DB}"/>
            </c:ext>
          </c:extLst>
        </c:ser>
        <c:ser>
          <c:idx val="7"/>
          <c:order val="6"/>
          <c:tx>
            <c:strRef>
              <c:f>'casc P64 EP6 BASE'!$J$54</c:f>
              <c:strCache>
                <c:ptCount val="1"/>
              </c:strCache>
            </c:strRef>
          </c:tx>
          <c:spPr>
            <a:ln>
              <a:solidFill>
                <a:sysClr val="windowText" lastClr="000000"/>
              </a:solidFill>
              <a:prstDash val="dash"/>
            </a:ln>
          </c:spPr>
          <c:marker>
            <c:symbol val="none"/>
          </c:marker>
          <c:dLbls>
            <c:dLbl>
              <c:idx val="5"/>
              <c:layout>
                <c:manualLayout>
                  <c:x val="-7.9948861750354053E-2"/>
                  <c:y val="2.5696965554825139E-2"/>
                </c:manualLayout>
              </c:layout>
              <c:numFmt formatCode="0&quot;kg&quot;" sourceLinked="0"/>
              <c:spPr/>
              <c:txPr>
                <a:bodyPr/>
                <a:lstStyle/>
                <a:p>
                  <a:pPr>
                    <a:defRPr sz="1100" b="1"/>
                  </a:pPr>
                  <a:endParaRPr lang="fr-FR"/>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3-E6A6-4546-8F5D-A482341508D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yVal>
            <c:numRef>
              <c:f>'casc P64 EP6 BASE'!$J$55:$J$65</c:f>
              <c:numCache>
                <c:formatCode>General</c:formatCode>
                <c:ptCount val="11"/>
              </c:numCache>
            </c:numRef>
          </c:yVal>
          <c:smooth val="0"/>
          <c:extLst>
            <c:ext xmlns:c16="http://schemas.microsoft.com/office/drawing/2014/chart" uri="{C3380CC4-5D6E-409C-BE32-E72D297353CC}">
              <c16:uniqueId val="{00000034-E6A6-4546-8F5D-A482341508DB}"/>
            </c:ext>
          </c:extLst>
        </c:ser>
        <c:dLbls>
          <c:showLegendKey val="0"/>
          <c:showVal val="0"/>
          <c:showCatName val="0"/>
          <c:showSerName val="0"/>
          <c:showPercent val="0"/>
          <c:showBubbleSize val="0"/>
        </c:dLbls>
        <c:axId val="147868672"/>
        <c:axId val="147882752"/>
      </c:scatterChart>
      <c:catAx>
        <c:axId val="147868672"/>
        <c:scaling>
          <c:orientation val="minMax"/>
        </c:scaling>
        <c:delete val="0"/>
        <c:axPos val="b"/>
        <c:numFmt formatCode="General" sourceLinked="0"/>
        <c:majorTickMark val="out"/>
        <c:minorTickMark val="none"/>
        <c:tickLblPos val="nextTo"/>
        <c:txPr>
          <a:bodyPr/>
          <a:lstStyle/>
          <a:p>
            <a:pPr>
              <a:defRPr sz="1100" b="1"/>
            </a:pPr>
            <a:endParaRPr lang="fr-FR"/>
          </a:p>
        </c:txPr>
        <c:crossAx val="147882752"/>
        <c:crosses val="autoZero"/>
        <c:auto val="1"/>
        <c:lblAlgn val="ctr"/>
        <c:lblOffset val="100"/>
        <c:noMultiLvlLbl val="0"/>
      </c:catAx>
      <c:valAx>
        <c:axId val="147882752"/>
        <c:scaling>
          <c:orientation val="minMax"/>
          <c:min val="400"/>
        </c:scaling>
        <c:delete val="0"/>
        <c:axPos val="l"/>
        <c:numFmt formatCode="0" sourceLinked="0"/>
        <c:majorTickMark val="out"/>
        <c:minorTickMark val="none"/>
        <c:tickLblPos val="nextTo"/>
        <c:txPr>
          <a:bodyPr/>
          <a:lstStyle/>
          <a:p>
            <a:pPr>
              <a:defRPr sz="1600" b="1"/>
            </a:pPr>
            <a:endParaRPr lang="fr-FR"/>
          </a:p>
        </c:txPr>
        <c:crossAx val="147868672"/>
        <c:crosses val="autoZero"/>
        <c:crossBetween val="between"/>
      </c:valAx>
    </c:plotArea>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800" b="1" i="0" u="none" strike="noStrike" baseline="0">
                <a:effectLst/>
              </a:rPr>
              <a:t>P64€ EP6LTD ATN8 niv2</a:t>
            </a:r>
            <a:endParaRPr lang="fr-FR"/>
          </a:p>
        </c:rich>
      </c:tx>
      <c:layout>
        <c:manualLayout>
          <c:xMode val="edge"/>
          <c:yMode val="edge"/>
          <c:x val="0.30196950093879676"/>
          <c:y val="0"/>
        </c:manualLayout>
      </c:layout>
      <c:overlay val="0"/>
      <c:spPr>
        <a:solidFill>
          <a:schemeClr val="bg1"/>
        </a:solidFill>
      </c:spPr>
    </c:title>
    <c:autoTitleDeleted val="0"/>
    <c:plotArea>
      <c:layout>
        <c:manualLayout>
          <c:layoutTarget val="inner"/>
          <c:xMode val="edge"/>
          <c:yMode val="edge"/>
          <c:x val="4.7591983496082055E-2"/>
          <c:y val="5.6775215099542274E-2"/>
          <c:w val="0.93845636680383293"/>
          <c:h val="0.80375628046494196"/>
        </c:manualLayout>
      </c:layout>
      <c:lineChart>
        <c:grouping val="standard"/>
        <c:varyColors val="0"/>
        <c:ser>
          <c:idx val="0"/>
          <c:order val="0"/>
          <c:tx>
            <c:strRef>
              <c:f>'Evol P64 EP6LDT ATN8'!$C$33</c:f>
              <c:strCache>
                <c:ptCount val="1"/>
                <c:pt idx="0">
                  <c:v>REFERENCE</c:v>
                </c:pt>
              </c:strCache>
            </c:strRef>
          </c:tx>
          <c:marker>
            <c:symbol val="diamond"/>
            <c:size val="8"/>
            <c:spPr>
              <a:solidFill>
                <a:schemeClr val="accent1"/>
              </a:solidFill>
            </c:spPr>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ATN8'!$C$34:$C$56</c:f>
              <c:numCache>
                <c:formatCode>0</c:formatCode>
                <c:ptCount val="23"/>
                <c:pt idx="0">
                  <c:v>1496.4229999999998</c:v>
                </c:pt>
                <c:pt idx="1">
                  <c:v>1453.8906678765879</c:v>
                </c:pt>
                <c:pt idx="2">
                  <c:v>1468.8906678765879</c:v>
                </c:pt>
                <c:pt idx="3">
                  <c:v>1510.6990000000001</c:v>
                </c:pt>
                <c:pt idx="4">
                  <c:v>1510.6990000000001</c:v>
                </c:pt>
                <c:pt idx="5">
                  <c:v>1514.2171184668991</c:v>
                </c:pt>
                <c:pt idx="6">
                  <c:v>1514.2171184668991</c:v>
                </c:pt>
                <c:pt idx="7">
                  <c:v>1514.417118466899</c:v>
                </c:pt>
              </c:numCache>
            </c:numRef>
          </c:val>
          <c:smooth val="0"/>
          <c:extLst>
            <c:ext xmlns:c16="http://schemas.microsoft.com/office/drawing/2014/chart" uri="{C3380CC4-5D6E-409C-BE32-E72D297353CC}">
              <c16:uniqueId val="{00000000-9B50-4C1E-9A38-7EBB539A51FF}"/>
            </c:ext>
          </c:extLst>
        </c:ser>
        <c:ser>
          <c:idx val="1"/>
          <c:order val="1"/>
          <c:tx>
            <c:strRef>
              <c:f>'Evol P64 EP6LDT ATN8'!$D$33</c:f>
              <c:strCache>
                <c:ptCount val="1"/>
                <c:pt idx="0">
                  <c:v>Prévisionnel (REF+1/2Risk+P1)</c:v>
                </c:pt>
              </c:strCache>
            </c:strRef>
          </c:tx>
          <c:spPr>
            <a:ln>
              <a:solidFill>
                <a:srgbClr val="92D050"/>
              </a:solidFill>
            </a:ln>
          </c:spPr>
          <c:marker>
            <c:spPr>
              <a:solidFill>
                <a:srgbClr val="92D050"/>
              </a:solidFill>
              <a:ln>
                <a:noFill/>
              </a:ln>
            </c:spPr>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ATN8'!$D$34:$D$56</c:f>
              <c:numCache>
                <c:formatCode>0</c:formatCode>
                <c:ptCount val="23"/>
                <c:pt idx="0">
                  <c:v>1499.0530000000001</c:v>
                </c:pt>
                <c:pt idx="1">
                  <c:v>1456.5206678765901</c:v>
                </c:pt>
                <c:pt idx="2">
                  <c:v>1465.83066787659</c:v>
                </c:pt>
                <c:pt idx="3">
                  <c:v>1499.9290000000001</c:v>
                </c:pt>
                <c:pt idx="4">
                  <c:v>1499.9290000000001</c:v>
                </c:pt>
                <c:pt idx="5">
                  <c:v>1498.4421184668993</c:v>
                </c:pt>
                <c:pt idx="6">
                  <c:v>1498.4421184668993</c:v>
                </c:pt>
                <c:pt idx="7">
                  <c:v>1492.2971184668991</c:v>
                </c:pt>
              </c:numCache>
            </c:numRef>
          </c:val>
          <c:smooth val="0"/>
          <c:extLst>
            <c:ext xmlns:c16="http://schemas.microsoft.com/office/drawing/2014/chart" uri="{C3380CC4-5D6E-409C-BE32-E72D297353CC}">
              <c16:uniqueId val="{00000001-9B50-4C1E-9A38-7EBB539A51FF}"/>
            </c:ext>
          </c:extLst>
        </c:ser>
        <c:ser>
          <c:idx val="2"/>
          <c:order val="2"/>
          <c:tx>
            <c:strRef>
              <c:f>'Evol P64 EP6LDT ATN8'!$E$33</c:f>
              <c:strCache>
                <c:ptCount val="1"/>
                <c:pt idx="0">
                  <c:v>Potentiel (Prévi + P2)</c:v>
                </c:pt>
              </c:strCache>
            </c:strRef>
          </c:tx>
          <c:spPr>
            <a:ln>
              <a:solidFill>
                <a:srgbClr val="FFC000"/>
              </a:solidFill>
            </a:ln>
          </c:spPr>
          <c:marker>
            <c:spPr>
              <a:solidFill>
                <a:srgbClr val="FFC000"/>
              </a:solidFill>
              <a:ln>
                <a:solidFill>
                  <a:srgbClr val="FFC000"/>
                </a:solidFill>
              </a:ln>
            </c:spPr>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ATN8'!$E$34:$E$56</c:f>
              <c:numCache>
                <c:formatCode>0</c:formatCode>
                <c:ptCount val="23"/>
                <c:pt idx="0">
                  <c:v>1467.7549999999999</c:v>
                </c:pt>
                <c:pt idx="1">
                  <c:v>1425.2226678765878</c:v>
                </c:pt>
                <c:pt idx="2">
                  <c:v>1420.302667876588</c:v>
                </c:pt>
                <c:pt idx="3">
                  <c:v>1473.6010000000001</c:v>
                </c:pt>
                <c:pt idx="4">
                  <c:v>1473.6010000000001</c:v>
                </c:pt>
                <c:pt idx="5">
                  <c:v>1459.0141184668992</c:v>
                </c:pt>
                <c:pt idx="6">
                  <c:v>1459.0141184668992</c:v>
                </c:pt>
                <c:pt idx="7">
                  <c:v>1479.299118466899</c:v>
                </c:pt>
              </c:numCache>
            </c:numRef>
          </c:val>
          <c:smooth val="0"/>
          <c:extLst>
            <c:ext xmlns:c16="http://schemas.microsoft.com/office/drawing/2014/chart" uri="{C3380CC4-5D6E-409C-BE32-E72D297353CC}">
              <c16:uniqueId val="{00000002-9B50-4C1E-9A38-7EBB539A51FF}"/>
            </c:ext>
          </c:extLst>
        </c:ser>
        <c:ser>
          <c:idx val="3"/>
          <c:order val="3"/>
          <c:tx>
            <c:strRef>
              <c:f>'Evol P64 EP6LDT ATN8'!$F$33</c:f>
              <c:strCache>
                <c:ptCount val="1"/>
                <c:pt idx="0">
                  <c:v>Potentiel (Prévi + P2 + P3)</c:v>
                </c:pt>
              </c:strCache>
            </c:strRef>
          </c:tx>
          <c:spPr>
            <a:ln>
              <a:solidFill>
                <a:srgbClr val="FF0000"/>
              </a:solidFill>
            </a:ln>
          </c:spPr>
          <c:marker>
            <c:symbol val="circle"/>
            <c:size val="7"/>
            <c:spPr>
              <a:solidFill>
                <a:srgbClr val="FF0000"/>
              </a:solidFill>
              <a:ln>
                <a:solidFill>
                  <a:schemeClr val="tx1"/>
                </a:solidFill>
              </a:ln>
            </c:spPr>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ATN8'!$F$34:$F$56</c:f>
              <c:numCache>
                <c:formatCode>0</c:formatCode>
                <c:ptCount val="23"/>
                <c:pt idx="0">
                  <c:v>1408.6689999999999</c:v>
                </c:pt>
                <c:pt idx="1">
                  <c:v>1366.1366678765878</c:v>
                </c:pt>
                <c:pt idx="2">
                  <c:v>1371.697667876588</c:v>
                </c:pt>
                <c:pt idx="3">
                  <c:v>1422.9960000000001</c:v>
                </c:pt>
                <c:pt idx="4">
                  <c:v>1422.9960000000001</c:v>
                </c:pt>
                <c:pt idx="5">
                  <c:v>1421.8691184668992</c:v>
                </c:pt>
                <c:pt idx="6">
                  <c:v>1421.8691184668992</c:v>
                </c:pt>
                <c:pt idx="7">
                  <c:v>1445.7691184668993</c:v>
                </c:pt>
              </c:numCache>
            </c:numRef>
          </c:val>
          <c:smooth val="0"/>
          <c:extLst>
            <c:ext xmlns:c16="http://schemas.microsoft.com/office/drawing/2014/chart" uri="{C3380CC4-5D6E-409C-BE32-E72D297353CC}">
              <c16:uniqueId val="{00000003-9B50-4C1E-9A38-7EBB539A51FF}"/>
            </c:ext>
          </c:extLst>
        </c:ser>
        <c:ser>
          <c:idx val="5"/>
          <c:order val="4"/>
          <c:tx>
            <c:strRef>
              <c:f>'Evol P64 EP6LDT ATN8'!$H$33</c:f>
              <c:strCache>
                <c:ptCount val="1"/>
                <c:pt idx="0">
                  <c:v>Objectif</c:v>
                </c:pt>
              </c:strCache>
            </c:strRef>
          </c:tx>
          <c:spPr>
            <a:ln>
              <a:solidFill>
                <a:schemeClr val="tx1"/>
              </a:solidFill>
              <a:prstDash val="dash"/>
            </a:ln>
          </c:spPr>
          <c:marker>
            <c:symbol val="none"/>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ATN8'!$H$34:$H$56</c:f>
              <c:numCache>
                <c:formatCode>0"kg"</c:formatCode>
                <c:ptCount val="23"/>
                <c:pt idx="0">
                  <c:v>1400</c:v>
                </c:pt>
                <c:pt idx="1">
                  <c:v>1400</c:v>
                </c:pt>
                <c:pt idx="2">
                  <c:v>1400</c:v>
                </c:pt>
                <c:pt idx="3">
                  <c:v>1400</c:v>
                </c:pt>
                <c:pt idx="4">
                  <c:v>1400</c:v>
                </c:pt>
                <c:pt idx="5">
                  <c:v>1400</c:v>
                </c:pt>
                <c:pt idx="6">
                  <c:v>1400</c:v>
                </c:pt>
                <c:pt idx="7">
                  <c:v>1475</c:v>
                </c:pt>
              </c:numCache>
            </c:numRef>
          </c:val>
          <c:smooth val="0"/>
          <c:extLst>
            <c:ext xmlns:c16="http://schemas.microsoft.com/office/drawing/2014/chart" uri="{C3380CC4-5D6E-409C-BE32-E72D297353CC}">
              <c16:uniqueId val="{00000004-9B50-4C1E-9A38-7EBB539A51FF}"/>
            </c:ext>
          </c:extLst>
        </c:ser>
        <c:dLbls>
          <c:showLegendKey val="0"/>
          <c:showVal val="0"/>
          <c:showCatName val="0"/>
          <c:showSerName val="0"/>
          <c:showPercent val="0"/>
          <c:showBubbleSize val="0"/>
        </c:dLbls>
        <c:marker val="1"/>
        <c:smooth val="0"/>
        <c:axId val="154320896"/>
        <c:axId val="154322432"/>
      </c:lineChart>
      <c:catAx>
        <c:axId val="154320896"/>
        <c:scaling>
          <c:orientation val="minMax"/>
        </c:scaling>
        <c:delete val="0"/>
        <c:axPos val="b"/>
        <c:numFmt formatCode="General" sourceLinked="1"/>
        <c:majorTickMark val="out"/>
        <c:minorTickMark val="none"/>
        <c:tickLblPos val="nextTo"/>
        <c:txPr>
          <a:bodyPr rot="0" vert="horz"/>
          <a:lstStyle/>
          <a:p>
            <a:pPr>
              <a:defRPr sz="600" b="1"/>
            </a:pPr>
            <a:endParaRPr lang="fr-FR"/>
          </a:p>
        </c:txPr>
        <c:crossAx val="154322432"/>
        <c:crosses val="autoZero"/>
        <c:auto val="1"/>
        <c:lblAlgn val="ctr"/>
        <c:lblOffset val="100"/>
        <c:tickLblSkip val="1"/>
        <c:noMultiLvlLbl val="0"/>
      </c:catAx>
      <c:valAx>
        <c:axId val="154322432"/>
        <c:scaling>
          <c:orientation val="minMax"/>
        </c:scaling>
        <c:delete val="0"/>
        <c:axPos val="l"/>
        <c:majorGridlines/>
        <c:numFmt formatCode="0" sourceLinked="1"/>
        <c:majorTickMark val="out"/>
        <c:minorTickMark val="none"/>
        <c:tickLblPos val="nextTo"/>
        <c:txPr>
          <a:bodyPr/>
          <a:lstStyle/>
          <a:p>
            <a:pPr>
              <a:defRPr sz="1200" b="1"/>
            </a:pPr>
            <a:endParaRPr lang="fr-FR"/>
          </a:p>
        </c:txPr>
        <c:crossAx val="154320896"/>
        <c:crosses val="autoZero"/>
        <c:crossBetween val="between"/>
      </c:valAx>
    </c:plotArea>
    <c:legend>
      <c:legendPos val="b"/>
      <c:overlay val="0"/>
    </c:legend>
    <c:plotVisOnly val="1"/>
    <c:dispBlanksAs val="gap"/>
    <c:showDLblsOverMax val="0"/>
  </c:chart>
  <c:spPr>
    <a:ln>
      <a:noFill/>
    </a:ln>
  </c:sp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sz="1800" b="1" i="0" u="none" strike="noStrike" baseline="0">
                <a:effectLst/>
              </a:rPr>
              <a:t>P64€ EP6LDT ATN8 niv2</a:t>
            </a:r>
            <a:endParaRPr lang="fr-FR"/>
          </a:p>
        </c:rich>
      </c:tx>
      <c:layout>
        <c:manualLayout>
          <c:xMode val="edge"/>
          <c:yMode val="edge"/>
          <c:x val="0.30196950093879676"/>
          <c:y val="0"/>
        </c:manualLayout>
      </c:layout>
      <c:overlay val="0"/>
      <c:spPr>
        <a:solidFill>
          <a:schemeClr val="bg1"/>
        </a:solidFill>
      </c:spPr>
    </c:title>
    <c:autoTitleDeleted val="0"/>
    <c:plotArea>
      <c:layout>
        <c:manualLayout>
          <c:layoutTarget val="inner"/>
          <c:xMode val="edge"/>
          <c:yMode val="edge"/>
          <c:x val="4.7591983496082055E-2"/>
          <c:y val="5.6775215099542274E-2"/>
          <c:w val="0.93845636680383293"/>
          <c:h val="0.81962927584871559"/>
        </c:manualLayout>
      </c:layout>
      <c:lineChart>
        <c:grouping val="standard"/>
        <c:varyColors val="0"/>
        <c:ser>
          <c:idx val="0"/>
          <c:order val="0"/>
          <c:tx>
            <c:strRef>
              <c:f>'Evol P64 EP6LDT ATN8'!$C$33</c:f>
              <c:strCache>
                <c:ptCount val="1"/>
                <c:pt idx="0">
                  <c:v>REFERENCE</c:v>
                </c:pt>
              </c:strCache>
            </c:strRef>
          </c:tx>
          <c:marker>
            <c:symbol val="none"/>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ATN8'!$C$34:$C$56</c:f>
              <c:numCache>
                <c:formatCode>0</c:formatCode>
                <c:ptCount val="23"/>
                <c:pt idx="0">
                  <c:v>1496.4229999999998</c:v>
                </c:pt>
                <c:pt idx="1">
                  <c:v>1453.8906678765879</c:v>
                </c:pt>
                <c:pt idx="2">
                  <c:v>1468.8906678765879</c:v>
                </c:pt>
                <c:pt idx="3">
                  <c:v>1510.6990000000001</c:v>
                </c:pt>
                <c:pt idx="4">
                  <c:v>1510.6990000000001</c:v>
                </c:pt>
                <c:pt idx="5">
                  <c:v>1514.2171184668991</c:v>
                </c:pt>
                <c:pt idx="6">
                  <c:v>1514.2171184668991</c:v>
                </c:pt>
                <c:pt idx="7">
                  <c:v>1514.417118466899</c:v>
                </c:pt>
              </c:numCache>
            </c:numRef>
          </c:val>
          <c:smooth val="0"/>
          <c:extLst>
            <c:ext xmlns:c16="http://schemas.microsoft.com/office/drawing/2014/chart" uri="{C3380CC4-5D6E-409C-BE32-E72D297353CC}">
              <c16:uniqueId val="{00000000-C6EC-4155-8157-CA23D924F932}"/>
            </c:ext>
          </c:extLst>
        </c:ser>
        <c:ser>
          <c:idx val="2"/>
          <c:order val="1"/>
          <c:tx>
            <c:strRef>
              <c:f>'Evol P64 EP6LDT ATN8'!$D$33</c:f>
              <c:strCache>
                <c:ptCount val="1"/>
                <c:pt idx="0">
                  <c:v>Prévisionnel (REF+1/2Risk+P1)</c:v>
                </c:pt>
              </c:strCache>
            </c:strRef>
          </c:tx>
          <c:spPr>
            <a:ln>
              <a:solidFill>
                <a:srgbClr val="92D050"/>
              </a:solidFill>
            </a:ln>
          </c:spPr>
          <c:marker>
            <c:symbol val="none"/>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ATN8'!$D$34:$D$56</c:f>
              <c:numCache>
                <c:formatCode>0</c:formatCode>
                <c:ptCount val="23"/>
                <c:pt idx="0">
                  <c:v>1499.0530000000001</c:v>
                </c:pt>
                <c:pt idx="1">
                  <c:v>1456.5206678765901</c:v>
                </c:pt>
                <c:pt idx="2">
                  <c:v>1465.83066787659</c:v>
                </c:pt>
                <c:pt idx="3">
                  <c:v>1499.9290000000001</c:v>
                </c:pt>
                <c:pt idx="4">
                  <c:v>1499.9290000000001</c:v>
                </c:pt>
                <c:pt idx="5">
                  <c:v>1498.4421184668993</c:v>
                </c:pt>
                <c:pt idx="6">
                  <c:v>1498.4421184668993</c:v>
                </c:pt>
                <c:pt idx="7">
                  <c:v>1492.2971184668991</c:v>
                </c:pt>
              </c:numCache>
            </c:numRef>
          </c:val>
          <c:smooth val="0"/>
          <c:extLst>
            <c:ext xmlns:c16="http://schemas.microsoft.com/office/drawing/2014/chart" uri="{C3380CC4-5D6E-409C-BE32-E72D297353CC}">
              <c16:uniqueId val="{00000001-C6EC-4155-8157-CA23D924F932}"/>
            </c:ext>
          </c:extLst>
        </c:ser>
        <c:ser>
          <c:idx val="3"/>
          <c:order val="2"/>
          <c:tx>
            <c:strRef>
              <c:f>'Evol P64 EP6LDT ATN8'!$F$33</c:f>
              <c:strCache>
                <c:ptCount val="1"/>
                <c:pt idx="0">
                  <c:v>Potentiel (Prévi + P2 + P3)</c:v>
                </c:pt>
              </c:strCache>
            </c:strRef>
          </c:tx>
          <c:spPr>
            <a:ln>
              <a:solidFill>
                <a:srgbClr val="FF0000"/>
              </a:solidFill>
            </a:ln>
          </c:spPr>
          <c:marker>
            <c:symbol val="none"/>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ATN8'!$F$34:$F$56</c:f>
              <c:numCache>
                <c:formatCode>0</c:formatCode>
                <c:ptCount val="23"/>
                <c:pt idx="0">
                  <c:v>1408.6689999999999</c:v>
                </c:pt>
                <c:pt idx="1">
                  <c:v>1366.1366678765878</c:v>
                </c:pt>
                <c:pt idx="2">
                  <c:v>1371.697667876588</c:v>
                </c:pt>
                <c:pt idx="3">
                  <c:v>1422.9960000000001</c:v>
                </c:pt>
                <c:pt idx="4">
                  <c:v>1422.9960000000001</c:v>
                </c:pt>
                <c:pt idx="5">
                  <c:v>1421.8691184668992</c:v>
                </c:pt>
                <c:pt idx="6">
                  <c:v>1421.8691184668992</c:v>
                </c:pt>
                <c:pt idx="7">
                  <c:v>1445.7691184668993</c:v>
                </c:pt>
              </c:numCache>
            </c:numRef>
          </c:val>
          <c:smooth val="0"/>
          <c:extLst>
            <c:ext xmlns:c16="http://schemas.microsoft.com/office/drawing/2014/chart" uri="{C3380CC4-5D6E-409C-BE32-E72D297353CC}">
              <c16:uniqueId val="{00000002-C6EC-4155-8157-CA23D924F932}"/>
            </c:ext>
          </c:extLst>
        </c:ser>
        <c:ser>
          <c:idx val="5"/>
          <c:order val="3"/>
          <c:tx>
            <c:strRef>
              <c:f>'Evol P64 EP6LDT ATN8'!$H$33</c:f>
              <c:strCache>
                <c:ptCount val="1"/>
                <c:pt idx="0">
                  <c:v>Objectif</c:v>
                </c:pt>
              </c:strCache>
            </c:strRef>
          </c:tx>
          <c:spPr>
            <a:ln>
              <a:solidFill>
                <a:schemeClr val="tx1"/>
              </a:solidFill>
              <a:prstDash val="solid"/>
            </a:ln>
          </c:spPr>
          <c:marker>
            <c:symbol val="none"/>
          </c:marker>
          <c:cat>
            <c:strRef>
              <c:f>'Evol P64 EP6LDT ATN8'!$B$34:$B$56</c:f>
              <c:strCache>
                <c:ptCount val="11"/>
                <c:pt idx="0">
                  <c:v>2018/S34</c:v>
                </c:pt>
                <c:pt idx="1">
                  <c:v>2018/S35</c:v>
                </c:pt>
                <c:pt idx="2">
                  <c:v>2018/S36</c:v>
                </c:pt>
                <c:pt idx="3">
                  <c:v>2018/S37</c:v>
                </c:pt>
                <c:pt idx="4">
                  <c:v>2018/S38</c:v>
                </c:pt>
                <c:pt idx="5">
                  <c:v>2018/S39</c:v>
                </c:pt>
                <c:pt idx="6">
                  <c:v>2018/S40</c:v>
                </c:pt>
                <c:pt idx="7">
                  <c:v>2018/S41</c:v>
                </c:pt>
                <c:pt idx="8">
                  <c:v>2018/S42</c:v>
                </c:pt>
                <c:pt idx="9">
                  <c:v>2018/S43</c:v>
                </c:pt>
                <c:pt idx="10">
                  <c:v>2018/S44</c:v>
                </c:pt>
              </c:strCache>
            </c:strRef>
          </c:cat>
          <c:val>
            <c:numRef>
              <c:f>'Evol P64 EP6LDT ATN8'!$H$34:$H$56</c:f>
              <c:numCache>
                <c:formatCode>0"kg"</c:formatCode>
                <c:ptCount val="23"/>
                <c:pt idx="0">
                  <c:v>1400</c:v>
                </c:pt>
                <c:pt idx="1">
                  <c:v>1400</c:v>
                </c:pt>
                <c:pt idx="2">
                  <c:v>1400</c:v>
                </c:pt>
                <c:pt idx="3">
                  <c:v>1400</c:v>
                </c:pt>
                <c:pt idx="4">
                  <c:v>1400</c:v>
                </c:pt>
                <c:pt idx="5">
                  <c:v>1400</c:v>
                </c:pt>
                <c:pt idx="6">
                  <c:v>1400</c:v>
                </c:pt>
                <c:pt idx="7">
                  <c:v>1475</c:v>
                </c:pt>
              </c:numCache>
            </c:numRef>
          </c:val>
          <c:smooth val="0"/>
          <c:extLst>
            <c:ext xmlns:c16="http://schemas.microsoft.com/office/drawing/2014/chart" uri="{C3380CC4-5D6E-409C-BE32-E72D297353CC}">
              <c16:uniqueId val="{00000004-C6EC-4155-8157-CA23D924F932}"/>
            </c:ext>
          </c:extLst>
        </c:ser>
        <c:ser>
          <c:idx val="4"/>
          <c:order val="4"/>
          <c:tx>
            <c:strRef>
              <c:f>'Evol P64 EP6LDT ATN8'!$V$33</c:f>
              <c:strCache>
                <c:ptCount val="1"/>
                <c:pt idx="0">
                  <c:v>Limite -1%</c:v>
                </c:pt>
              </c:strCache>
            </c:strRef>
          </c:tx>
          <c:spPr>
            <a:ln w="12700">
              <a:solidFill>
                <a:srgbClr val="92D050"/>
              </a:solidFill>
            </a:ln>
          </c:spPr>
          <c:marker>
            <c:symbol val="none"/>
          </c:marker>
          <c:val>
            <c:numRef>
              <c:f>'Evol P64 EP6LDT ATN8'!$V$34:$V$56</c:f>
              <c:numCache>
                <c:formatCode>0</c:formatCode>
                <c:ptCount val="23"/>
                <c:pt idx="0">
                  <c:v>1211.76</c:v>
                </c:pt>
                <c:pt idx="1">
                  <c:v>1211.76</c:v>
                </c:pt>
                <c:pt idx="2">
                  <c:v>1211.76</c:v>
                </c:pt>
                <c:pt idx="3">
                  <c:v>1211.76</c:v>
                </c:pt>
                <c:pt idx="4">
                  <c:v>1211.76</c:v>
                </c:pt>
                <c:pt idx="5">
                  <c:v>1211.76</c:v>
                </c:pt>
                <c:pt idx="6">
                  <c:v>1211.76</c:v>
                </c:pt>
                <c:pt idx="7">
                  <c:v>1211.76</c:v>
                </c:pt>
                <c:pt idx="21">
                  <c:v>1211.76</c:v>
                </c:pt>
                <c:pt idx="22">
                  <c:v>1211.76</c:v>
                </c:pt>
              </c:numCache>
            </c:numRef>
          </c:val>
          <c:smooth val="0"/>
          <c:extLst>
            <c:ext xmlns:c16="http://schemas.microsoft.com/office/drawing/2014/chart" uri="{C3380CC4-5D6E-409C-BE32-E72D297353CC}">
              <c16:uniqueId val="{00000005-C6EC-4155-8157-CA23D924F932}"/>
            </c:ext>
          </c:extLst>
        </c:ser>
        <c:ser>
          <c:idx val="6"/>
          <c:order val="5"/>
          <c:tx>
            <c:strRef>
              <c:f>'Evol P64 EP6LDT ATN8'!$W$33</c:f>
              <c:strCache>
                <c:ptCount val="1"/>
                <c:pt idx="0">
                  <c:v>Limite +1%</c:v>
                </c:pt>
              </c:strCache>
            </c:strRef>
          </c:tx>
          <c:spPr>
            <a:ln w="12700">
              <a:solidFill>
                <a:srgbClr val="92D050"/>
              </a:solidFill>
            </a:ln>
          </c:spPr>
          <c:marker>
            <c:symbol val="none"/>
          </c:marker>
          <c:val>
            <c:numRef>
              <c:f>'Evol P64 EP6LDT ATN8'!$W$34:$W$56</c:f>
              <c:numCache>
                <c:formatCode>0</c:formatCode>
                <c:ptCount val="23"/>
                <c:pt idx="0">
                  <c:v>1236.24</c:v>
                </c:pt>
                <c:pt idx="1">
                  <c:v>1236.24</c:v>
                </c:pt>
                <c:pt idx="2">
                  <c:v>1236.24</c:v>
                </c:pt>
                <c:pt idx="3">
                  <c:v>1236.24</c:v>
                </c:pt>
                <c:pt idx="4">
                  <c:v>1236.24</c:v>
                </c:pt>
                <c:pt idx="5">
                  <c:v>1236.24</c:v>
                </c:pt>
                <c:pt idx="6">
                  <c:v>1236.24</c:v>
                </c:pt>
                <c:pt idx="7">
                  <c:v>1236.24</c:v>
                </c:pt>
                <c:pt idx="21">
                  <c:v>1236.24</c:v>
                </c:pt>
                <c:pt idx="22">
                  <c:v>1236.24</c:v>
                </c:pt>
              </c:numCache>
            </c:numRef>
          </c:val>
          <c:smooth val="0"/>
          <c:extLst>
            <c:ext xmlns:c16="http://schemas.microsoft.com/office/drawing/2014/chart" uri="{C3380CC4-5D6E-409C-BE32-E72D297353CC}">
              <c16:uniqueId val="{00000006-C6EC-4155-8157-CA23D924F932}"/>
            </c:ext>
          </c:extLst>
        </c:ser>
        <c:ser>
          <c:idx val="8"/>
          <c:order val="6"/>
          <c:tx>
            <c:strRef>
              <c:f>'Evol P64 EP6LDT ATN8'!$Y$33</c:f>
              <c:strCache>
                <c:ptCount val="1"/>
                <c:pt idx="0">
                  <c:v>Limite 3%</c:v>
                </c:pt>
              </c:strCache>
            </c:strRef>
          </c:tx>
          <c:spPr>
            <a:ln w="12700">
              <a:solidFill>
                <a:srgbClr val="FF0000"/>
              </a:solidFill>
            </a:ln>
          </c:spPr>
          <c:marker>
            <c:symbol val="none"/>
          </c:marker>
          <c:val>
            <c:numRef>
              <c:f>'Evol P64 EP6LDT ATN8'!$Y$34:$Y$56</c:f>
              <c:numCache>
                <c:formatCode>0</c:formatCode>
                <c:ptCount val="23"/>
                <c:pt idx="0">
                  <c:v>1260.72</c:v>
                </c:pt>
                <c:pt idx="1">
                  <c:v>1260.72</c:v>
                </c:pt>
                <c:pt idx="2">
                  <c:v>1260.72</c:v>
                </c:pt>
                <c:pt idx="3">
                  <c:v>1260.72</c:v>
                </c:pt>
                <c:pt idx="4">
                  <c:v>1260.72</c:v>
                </c:pt>
                <c:pt idx="5">
                  <c:v>1260.72</c:v>
                </c:pt>
                <c:pt idx="6">
                  <c:v>1260.72</c:v>
                </c:pt>
                <c:pt idx="7">
                  <c:v>1260.72</c:v>
                </c:pt>
                <c:pt idx="21">
                  <c:v>1260.72</c:v>
                </c:pt>
                <c:pt idx="22">
                  <c:v>1260.72</c:v>
                </c:pt>
              </c:numCache>
            </c:numRef>
          </c:val>
          <c:smooth val="0"/>
          <c:extLst>
            <c:ext xmlns:c16="http://schemas.microsoft.com/office/drawing/2014/chart" uri="{C3380CC4-5D6E-409C-BE32-E72D297353CC}">
              <c16:uniqueId val="{00000007-C6EC-4155-8157-CA23D924F932}"/>
            </c:ext>
          </c:extLst>
        </c:ser>
        <c:dLbls>
          <c:showLegendKey val="0"/>
          <c:showVal val="0"/>
          <c:showCatName val="0"/>
          <c:showSerName val="0"/>
          <c:showPercent val="0"/>
          <c:showBubbleSize val="0"/>
        </c:dLbls>
        <c:smooth val="0"/>
        <c:axId val="154907008"/>
        <c:axId val="154908544"/>
      </c:lineChart>
      <c:catAx>
        <c:axId val="154907008"/>
        <c:scaling>
          <c:orientation val="minMax"/>
        </c:scaling>
        <c:delete val="0"/>
        <c:axPos val="b"/>
        <c:numFmt formatCode="General" sourceLinked="1"/>
        <c:majorTickMark val="out"/>
        <c:minorTickMark val="none"/>
        <c:tickLblPos val="nextTo"/>
        <c:txPr>
          <a:bodyPr rot="1140000" vert="horz"/>
          <a:lstStyle/>
          <a:p>
            <a:pPr>
              <a:defRPr sz="600" b="1"/>
            </a:pPr>
            <a:endParaRPr lang="fr-FR"/>
          </a:p>
        </c:txPr>
        <c:crossAx val="154908544"/>
        <c:crosses val="autoZero"/>
        <c:auto val="1"/>
        <c:lblAlgn val="ctr"/>
        <c:lblOffset val="100"/>
        <c:tickLblSkip val="1"/>
        <c:noMultiLvlLbl val="0"/>
      </c:catAx>
      <c:valAx>
        <c:axId val="154908544"/>
        <c:scaling>
          <c:orientation val="minMax"/>
        </c:scaling>
        <c:delete val="0"/>
        <c:axPos val="l"/>
        <c:majorGridlines/>
        <c:numFmt formatCode="0" sourceLinked="1"/>
        <c:majorTickMark val="out"/>
        <c:minorTickMark val="none"/>
        <c:tickLblPos val="nextTo"/>
        <c:txPr>
          <a:bodyPr/>
          <a:lstStyle/>
          <a:p>
            <a:pPr>
              <a:defRPr sz="1200" b="1"/>
            </a:pPr>
            <a:endParaRPr lang="fr-FR"/>
          </a:p>
        </c:txPr>
        <c:crossAx val="154907008"/>
        <c:crosses val="autoZero"/>
        <c:crossBetween val="between"/>
      </c:valAx>
    </c:plotArea>
    <c:legend>
      <c:legendPos val="b"/>
      <c:legendEntry>
        <c:idx val="4"/>
        <c:delete val="1"/>
      </c:legendEntry>
      <c:legendEntry>
        <c:idx val="5"/>
        <c:delete val="1"/>
      </c:legendEntry>
      <c:legendEntry>
        <c:idx val="6"/>
        <c:delete val="1"/>
      </c:legendEntry>
      <c:layout>
        <c:manualLayout>
          <c:xMode val="edge"/>
          <c:yMode val="edge"/>
          <c:x val="5.7381083578066157E-2"/>
          <c:y val="0.91345423235815482"/>
          <c:w val="0.89998424713090719"/>
          <c:h val="6.783231964730306E-2"/>
        </c:manualLayout>
      </c:layout>
      <c:overlay val="0"/>
    </c:legend>
    <c:plotVisOnly val="1"/>
    <c:dispBlanksAs val="gap"/>
    <c:showDLblsOverMax val="0"/>
  </c:chart>
  <c:spPr>
    <a:ln>
      <a:noFill/>
    </a:ln>
  </c:spPr>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REF BASE+SIL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2F-4A8B-BB71-6F66F92AAB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2F-4A8B-BB71-6F66F92AAB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2F-4A8B-BB71-6F66F92AAB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masse'!$A$3:$A$5</c:f>
              <c:strCache>
                <c:ptCount val="3"/>
                <c:pt idx="0">
                  <c:v>DCHM</c:v>
                </c:pt>
                <c:pt idx="1">
                  <c:v>ICDV</c:v>
                </c:pt>
                <c:pt idx="2">
                  <c:v>CMAG</c:v>
                </c:pt>
              </c:strCache>
            </c:strRef>
          </c:cat>
          <c:val>
            <c:numRef>
              <c:f>'graph pour chantier masse'!$B$3:$B$5</c:f>
              <c:numCache>
                <c:formatCode>0.0"kg"</c:formatCode>
                <c:ptCount val="3"/>
                <c:pt idx="0">
                  <c:v>51.1</c:v>
                </c:pt>
                <c:pt idx="1">
                  <c:v>37</c:v>
                </c:pt>
                <c:pt idx="2">
                  <c:v>7.6</c:v>
                </c:pt>
              </c:numCache>
            </c:numRef>
          </c:val>
          <c:extLst>
            <c:ext xmlns:c16="http://schemas.microsoft.com/office/drawing/2014/chart" uri="{C3380CC4-5D6E-409C-BE32-E72D297353CC}">
              <c16:uniqueId val="{00000000-D987-4DD0-88E5-F1C0C57301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REF BASE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43-49D9-9F88-118B0BD755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43-49D9-9F88-118B0BD755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43-49D9-9F88-118B0BD755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masse'!$D$3:$D$5</c:f>
              <c:strCache>
                <c:ptCount val="3"/>
                <c:pt idx="0">
                  <c:v>DCHM</c:v>
                </c:pt>
                <c:pt idx="1">
                  <c:v>ICDV</c:v>
                </c:pt>
                <c:pt idx="2">
                  <c:v>CMAG</c:v>
                </c:pt>
              </c:strCache>
            </c:strRef>
          </c:cat>
          <c:val>
            <c:numRef>
              <c:f>'graph pour chantier masse'!$E$3:$E$5</c:f>
              <c:numCache>
                <c:formatCode>0.0"kg"</c:formatCode>
                <c:ptCount val="3"/>
                <c:pt idx="0">
                  <c:v>33.5</c:v>
                </c:pt>
                <c:pt idx="1">
                  <c:v>22</c:v>
                </c:pt>
                <c:pt idx="2">
                  <c:v>7.6</c:v>
                </c:pt>
              </c:numCache>
            </c:numRef>
          </c:val>
          <c:extLst>
            <c:ext xmlns:c16="http://schemas.microsoft.com/office/drawing/2014/chart" uri="{C3380CC4-5D6E-409C-BE32-E72D297353CC}">
              <c16:uniqueId val="{00000006-3143-49D9-9F88-118B0BD7559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REF SIL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20-45C6-A5E1-39902061D0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20-45C6-A5E1-39902061D0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20-45C6-A5E1-39902061D0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41-4ED0-895C-0EAF59AFB8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masse'!$G$3:$G$6</c:f>
              <c:strCache>
                <c:ptCount val="4"/>
                <c:pt idx="0">
                  <c:v>DCHM</c:v>
                </c:pt>
                <c:pt idx="1">
                  <c:v>ICDV</c:v>
                </c:pt>
                <c:pt idx="2">
                  <c:v>CMAG</c:v>
                </c:pt>
                <c:pt idx="3">
                  <c:v>DSEE</c:v>
                </c:pt>
              </c:strCache>
            </c:strRef>
          </c:cat>
          <c:val>
            <c:numRef>
              <c:f>'graph pour chantier masse'!$H$3:$H$6</c:f>
              <c:numCache>
                <c:formatCode>0.0"kg"</c:formatCode>
                <c:ptCount val="4"/>
                <c:pt idx="0">
                  <c:v>17.600000000000001</c:v>
                </c:pt>
                <c:pt idx="1">
                  <c:v>15</c:v>
                </c:pt>
                <c:pt idx="2">
                  <c:v>0</c:v>
                </c:pt>
                <c:pt idx="3">
                  <c:v>0</c:v>
                </c:pt>
              </c:numCache>
            </c:numRef>
          </c:val>
          <c:extLst>
            <c:ext xmlns:c16="http://schemas.microsoft.com/office/drawing/2014/chart" uri="{C3380CC4-5D6E-409C-BE32-E72D297353CC}">
              <c16:uniqueId val="{00000006-2D20-45C6-A5E1-39902061D09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REF BASE+SIL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B3-4717-B599-E55854E663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B3-4717-B599-E55854E663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B3-4717-B599-E55854E663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A2-40F6-982F-D1202D85A8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masse'!$A$59:$A$62</c:f>
              <c:strCache>
                <c:ptCount val="4"/>
                <c:pt idx="0">
                  <c:v>DCHM</c:v>
                </c:pt>
                <c:pt idx="1">
                  <c:v>ICDV</c:v>
                </c:pt>
                <c:pt idx="2">
                  <c:v>CMAG</c:v>
                </c:pt>
                <c:pt idx="3">
                  <c:v>DSEE</c:v>
                </c:pt>
              </c:strCache>
            </c:strRef>
          </c:cat>
          <c:val>
            <c:numRef>
              <c:f>'graph pour chantier masse'!$B$59:$B$62</c:f>
              <c:numCache>
                <c:formatCode>0.0"kg"</c:formatCode>
                <c:ptCount val="4"/>
                <c:pt idx="0">
                  <c:v>49.25</c:v>
                </c:pt>
                <c:pt idx="1">
                  <c:v>22</c:v>
                </c:pt>
                <c:pt idx="2">
                  <c:v>0</c:v>
                </c:pt>
                <c:pt idx="3">
                  <c:v>0</c:v>
                </c:pt>
              </c:numCache>
            </c:numRef>
          </c:val>
          <c:extLst>
            <c:ext xmlns:c16="http://schemas.microsoft.com/office/drawing/2014/chart" uri="{C3380CC4-5D6E-409C-BE32-E72D297353CC}">
              <c16:uniqueId val="{00000006-95B3-4717-B599-E55854E6634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REF BASE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97-4368-B4B1-17264CF640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97-4368-B4B1-17264CF640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97-4368-B4B1-17264CF640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masse'!$D$59:$D$61</c:f>
              <c:strCache>
                <c:ptCount val="3"/>
                <c:pt idx="0">
                  <c:v>DCHM</c:v>
                </c:pt>
                <c:pt idx="1">
                  <c:v>ICDV</c:v>
                </c:pt>
                <c:pt idx="2">
                  <c:v>CMAG</c:v>
                </c:pt>
              </c:strCache>
            </c:strRef>
          </c:cat>
          <c:val>
            <c:numRef>
              <c:f>'graph pour chantier masse'!$E$59:$E$61</c:f>
              <c:numCache>
                <c:formatCode>0.0"kg"</c:formatCode>
                <c:ptCount val="3"/>
                <c:pt idx="0">
                  <c:v>36.450000000000003</c:v>
                </c:pt>
                <c:pt idx="1">
                  <c:v>22</c:v>
                </c:pt>
                <c:pt idx="2">
                  <c:v>0</c:v>
                </c:pt>
              </c:numCache>
            </c:numRef>
          </c:val>
          <c:extLst>
            <c:ext xmlns:c16="http://schemas.microsoft.com/office/drawing/2014/chart" uri="{C3380CC4-5D6E-409C-BE32-E72D297353CC}">
              <c16:uniqueId val="{00000006-C797-4368-B4B1-17264CF6404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REF SIL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3F-426D-9925-030E736825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3F-426D-9925-030E736825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3F-426D-9925-030E736825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3F-426D-9925-030E736825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masse'!$G$59:$G$62</c:f>
              <c:strCache>
                <c:ptCount val="4"/>
                <c:pt idx="0">
                  <c:v>DCHM</c:v>
                </c:pt>
                <c:pt idx="1">
                  <c:v>ICDV</c:v>
                </c:pt>
                <c:pt idx="2">
                  <c:v>CMAG</c:v>
                </c:pt>
                <c:pt idx="3">
                  <c:v>DSEE</c:v>
                </c:pt>
              </c:strCache>
            </c:strRef>
          </c:cat>
          <c:val>
            <c:numRef>
              <c:f>'graph pour chantier masse'!$H$59:$H$62</c:f>
              <c:numCache>
                <c:formatCode>0.0"kg"</c:formatCode>
                <c:ptCount val="4"/>
                <c:pt idx="0">
                  <c:v>2.2000000000000002</c:v>
                </c:pt>
                <c:pt idx="1">
                  <c:v>0</c:v>
                </c:pt>
                <c:pt idx="2">
                  <c:v>0</c:v>
                </c:pt>
                <c:pt idx="3">
                  <c:v>0</c:v>
                </c:pt>
              </c:numCache>
            </c:numRef>
          </c:val>
          <c:extLst>
            <c:ext xmlns:c16="http://schemas.microsoft.com/office/drawing/2014/chart" uri="{C3380CC4-5D6E-409C-BE32-E72D297353CC}">
              <c16:uniqueId val="{00000008-0B3F-426D-9925-030E736825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a:t>en RISQUE</a:t>
            </a:r>
            <a:r>
              <a:rPr lang="fr-FR" baseline="0"/>
              <a:t> BASE+SIL</a:t>
            </a:r>
            <a:endParaRPr lang="fr-F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25-4C16-82D9-26D52F2FF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25-4C16-82D9-26D52F2FF4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25-4C16-82D9-26D52F2FF4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25-4C16-82D9-26D52F2FF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pour chantier masse'!$J$59:$J$62</c:f>
              <c:strCache>
                <c:ptCount val="4"/>
                <c:pt idx="0">
                  <c:v>DCHM</c:v>
                </c:pt>
                <c:pt idx="1">
                  <c:v>ICDV</c:v>
                </c:pt>
                <c:pt idx="2">
                  <c:v>CMAG</c:v>
                </c:pt>
                <c:pt idx="3">
                  <c:v>DSEE</c:v>
                </c:pt>
              </c:strCache>
            </c:strRef>
          </c:cat>
          <c:val>
            <c:numRef>
              <c:f>'graph pour chantier masse'!$K$59:$K$62</c:f>
              <c:numCache>
                <c:formatCode>0.0"kg"</c:formatCode>
                <c:ptCount val="4"/>
                <c:pt idx="0">
                  <c:v>22.56</c:v>
                </c:pt>
                <c:pt idx="1">
                  <c:v>8.9</c:v>
                </c:pt>
                <c:pt idx="2">
                  <c:v>2.4</c:v>
                </c:pt>
                <c:pt idx="3">
                  <c:v>0.4</c:v>
                </c:pt>
              </c:numCache>
            </c:numRef>
          </c:val>
          <c:extLst>
            <c:ext xmlns:c16="http://schemas.microsoft.com/office/drawing/2014/chart" uri="{C3380CC4-5D6E-409C-BE32-E72D297353CC}">
              <c16:uniqueId val="{00000008-D425-4C16-82D9-26D52F2FF47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1.png"/><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openxmlformats.org/officeDocument/2006/relationships/image" Target="../media/image1.png"/><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absoluteAnchor>
    <xdr:pos x="40481" y="12831500"/>
    <xdr:ext cx="9372241" cy="3980731"/>
    <xdr:graphicFrame macro="">
      <xdr:nvGraphicFramePr>
        <xdr:cNvPr id="2" name="Graphique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56356" y="19857508"/>
    <xdr:ext cx="9301956" cy="3859742"/>
    <xdr:graphicFrame macro="">
      <xdr:nvGraphicFramePr>
        <xdr:cNvPr id="3" name="Graphique 2">
          <a:extLst>
            <a:ext uri="{FF2B5EF4-FFF2-40B4-BE49-F238E27FC236}">
              <a16:creationId xmlns:a16="http://schemas.microsoft.com/office/drawing/2014/main" id="{00000000-0008-0000-01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28586" y="33464499"/>
    <xdr:ext cx="9414904" cy="4390484"/>
    <xdr:graphicFrame macro="">
      <xdr:nvGraphicFramePr>
        <xdr:cNvPr id="4" name="Graphique 3">
          <a:extLst>
            <a:ext uri="{FF2B5EF4-FFF2-40B4-BE49-F238E27FC236}">
              <a16:creationId xmlns:a16="http://schemas.microsoft.com/office/drawing/2014/main" id="{00000000-0008-0000-01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81239" y="41027616"/>
    <xdr:ext cx="9414904" cy="4390484"/>
    <xdr:graphicFrame macro="">
      <xdr:nvGraphicFramePr>
        <xdr:cNvPr id="5" name="Graphique 4">
          <a:extLst>
            <a:ext uri="{FF2B5EF4-FFF2-40B4-BE49-F238E27FC236}">
              <a16:creationId xmlns:a16="http://schemas.microsoft.com/office/drawing/2014/main" id="{00000000-0008-0000-01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editAs="oneCell">
    <xdr:from>
      <xdr:col>12</xdr:col>
      <xdr:colOff>373592</xdr:colOff>
      <xdr:row>74</xdr:row>
      <xdr:rowOff>1058</xdr:rowOff>
    </xdr:from>
    <xdr:to>
      <xdr:col>15</xdr:col>
      <xdr:colOff>424788</xdr:colOff>
      <xdr:row>80</xdr:row>
      <xdr:rowOff>151531</xdr:rowOff>
    </xdr:to>
    <xdr:pic>
      <xdr:nvPicPr>
        <xdr:cNvPr id="6" name="Picture 2">
          <a:extLst>
            <a:ext uri="{FF2B5EF4-FFF2-40B4-BE49-F238E27FC236}">
              <a16:creationId xmlns:a16="http://schemas.microsoft.com/office/drawing/2014/main" id="{00000000-0008-0000-0100-000006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60492" y="14098058"/>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326231</xdr:colOff>
      <xdr:row>113</xdr:row>
      <xdr:rowOff>90488</xdr:rowOff>
    </xdr:from>
    <xdr:to>
      <xdr:col>15</xdr:col>
      <xdr:colOff>377427</xdr:colOff>
      <xdr:row>120</xdr:row>
      <xdr:rowOff>50461</xdr:rowOff>
    </xdr:to>
    <xdr:pic>
      <xdr:nvPicPr>
        <xdr:cNvPr id="7" name="Picture 2">
          <a:extLst>
            <a:ext uri="{FF2B5EF4-FFF2-40B4-BE49-F238E27FC236}">
              <a16:creationId xmlns:a16="http://schemas.microsoft.com/office/drawing/2014/main" id="{00000000-0008-0000-0100-000007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13131" y="21616988"/>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160867</xdr:colOff>
      <xdr:row>148</xdr:row>
      <xdr:rowOff>99484</xdr:rowOff>
    </xdr:from>
    <xdr:to>
      <xdr:col>15</xdr:col>
      <xdr:colOff>212063</xdr:colOff>
      <xdr:row>155</xdr:row>
      <xdr:rowOff>59457</xdr:rowOff>
    </xdr:to>
    <xdr:pic>
      <xdr:nvPicPr>
        <xdr:cNvPr id="8" name="Picture 2">
          <a:extLst>
            <a:ext uri="{FF2B5EF4-FFF2-40B4-BE49-F238E27FC236}">
              <a16:creationId xmlns:a16="http://schemas.microsoft.com/office/drawing/2014/main" id="{00000000-0008-0000-01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47767" y="2829348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336285</xdr:colOff>
      <xdr:row>185</xdr:row>
      <xdr:rowOff>37306</xdr:rowOff>
    </xdr:from>
    <xdr:to>
      <xdr:col>15</xdr:col>
      <xdr:colOff>387481</xdr:colOff>
      <xdr:row>191</xdr:row>
      <xdr:rowOff>178254</xdr:rowOff>
    </xdr:to>
    <xdr:pic>
      <xdr:nvPicPr>
        <xdr:cNvPr id="9" name="Picture 2">
          <a:extLst>
            <a:ext uri="{FF2B5EF4-FFF2-40B4-BE49-F238E27FC236}">
              <a16:creationId xmlns:a16="http://schemas.microsoft.com/office/drawing/2014/main" id="{00000000-0008-0000-0100-000009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23185" y="35279806"/>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absoluteAnchor>
    <xdr:pos x="0" y="26941991"/>
    <xdr:ext cx="9414904" cy="4390484"/>
    <xdr:graphicFrame macro="">
      <xdr:nvGraphicFramePr>
        <xdr:cNvPr id="10" name="Graphique 9">
          <a:extLst>
            <a:ext uri="{FF2B5EF4-FFF2-40B4-BE49-F238E27FC236}">
              <a16:creationId xmlns:a16="http://schemas.microsoft.com/office/drawing/2014/main" id="{00000000-0008-0000-0100-00000A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416719" y="4643437"/>
    <xdr:ext cx="9372241" cy="3980731"/>
    <xdr:graphicFrame macro="">
      <xdr:nvGraphicFramePr>
        <xdr:cNvPr id="11" name="Graphique 10">
          <a:extLst>
            <a:ext uri="{FF2B5EF4-FFF2-40B4-BE49-F238E27FC236}">
              <a16:creationId xmlns:a16="http://schemas.microsoft.com/office/drawing/2014/main" id="{00000000-0008-0000-0100-00000B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oneCellAnchor>
    <xdr:from>
      <xdr:col>12</xdr:col>
      <xdr:colOff>160867</xdr:colOff>
      <xdr:row>223</xdr:row>
      <xdr:rowOff>99484</xdr:rowOff>
    </xdr:from>
    <xdr:ext cx="2337196" cy="1293473"/>
    <xdr:pic>
      <xdr:nvPicPr>
        <xdr:cNvPr id="12" name="Picture 2">
          <a:extLst>
            <a:ext uri="{FF2B5EF4-FFF2-40B4-BE49-F238E27FC236}">
              <a16:creationId xmlns:a16="http://schemas.microsoft.com/office/drawing/2014/main" id="{00000000-0008-0000-0100-00000C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47767" y="4258098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oneCellAnchor>
  <xdr:oneCellAnchor>
    <xdr:from>
      <xdr:col>12</xdr:col>
      <xdr:colOff>336285</xdr:colOff>
      <xdr:row>260</xdr:row>
      <xdr:rowOff>37306</xdr:rowOff>
    </xdr:from>
    <xdr:ext cx="2337196" cy="1293473"/>
    <xdr:pic>
      <xdr:nvPicPr>
        <xdr:cNvPr id="13" name="Picture 2">
          <a:extLst>
            <a:ext uri="{FF2B5EF4-FFF2-40B4-BE49-F238E27FC236}">
              <a16:creationId xmlns:a16="http://schemas.microsoft.com/office/drawing/2014/main" id="{00000000-0008-0000-0100-00000D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23185" y="49567306"/>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oneCellAnchor>
  <xdr:oneCellAnchor>
    <xdr:from>
      <xdr:col>12</xdr:col>
      <xdr:colOff>205581</xdr:colOff>
      <xdr:row>297</xdr:row>
      <xdr:rowOff>159014</xdr:rowOff>
    </xdr:from>
    <xdr:ext cx="2337196" cy="1293473"/>
    <xdr:pic>
      <xdr:nvPicPr>
        <xdr:cNvPr id="14" name="Picture 2">
          <a:extLst>
            <a:ext uri="{FF2B5EF4-FFF2-40B4-BE49-F238E27FC236}">
              <a16:creationId xmlns:a16="http://schemas.microsoft.com/office/drawing/2014/main" id="{00000000-0008-0000-0100-00000E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92481" y="5673751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oneCellAnchor>
  <xdr:twoCellAnchor editAs="oneCell">
    <xdr:from>
      <xdr:col>9</xdr:col>
      <xdr:colOff>595312</xdr:colOff>
      <xdr:row>6</xdr:row>
      <xdr:rowOff>0</xdr:rowOff>
    </xdr:from>
    <xdr:to>
      <xdr:col>12</xdr:col>
      <xdr:colOff>646508</xdr:colOff>
      <xdr:row>12</xdr:row>
      <xdr:rowOff>150473</xdr:rowOff>
    </xdr:to>
    <xdr:pic>
      <xdr:nvPicPr>
        <xdr:cNvPr id="15" name="Picture 2">
          <a:extLst>
            <a:ext uri="{FF2B5EF4-FFF2-40B4-BE49-F238E27FC236}">
              <a16:creationId xmlns:a16="http://schemas.microsoft.com/office/drawing/2014/main" id="{00000000-0008-0000-0100-00000F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7798593" y="1143000"/>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40481" y="12831500"/>
    <xdr:ext cx="9372241" cy="3980731"/>
    <xdr:graphicFrame macro="">
      <xdr:nvGraphicFramePr>
        <xdr:cNvPr id="2" name="Graphique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56356" y="19857508"/>
    <xdr:ext cx="9301956" cy="3859742"/>
    <xdr:graphicFrame macro="">
      <xdr:nvGraphicFramePr>
        <xdr:cNvPr id="3" name="Graphique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28586" y="33464499"/>
    <xdr:ext cx="9414904" cy="4390484"/>
    <xdr:graphicFrame macro="">
      <xdr:nvGraphicFramePr>
        <xdr:cNvPr id="4" name="Graphique 3">
          <a:extLst>
            <a:ext uri="{FF2B5EF4-FFF2-40B4-BE49-F238E27FC236}">
              <a16:creationId xmlns:a16="http://schemas.microsoft.com/office/drawing/2014/main" id="{00000000-0008-0000-02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09802" y="40468022"/>
    <xdr:ext cx="9414904" cy="4390484"/>
    <xdr:graphicFrame macro="">
      <xdr:nvGraphicFramePr>
        <xdr:cNvPr id="5" name="Graphique 4">
          <a:extLst>
            <a:ext uri="{FF2B5EF4-FFF2-40B4-BE49-F238E27FC236}">
              <a16:creationId xmlns:a16="http://schemas.microsoft.com/office/drawing/2014/main" id="{00000000-0008-0000-02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editAs="oneCell">
    <xdr:from>
      <xdr:col>17</xdr:col>
      <xdr:colOff>373063</xdr:colOff>
      <xdr:row>32</xdr:row>
      <xdr:rowOff>8203</xdr:rowOff>
    </xdr:from>
    <xdr:to>
      <xdr:col>20</xdr:col>
      <xdr:colOff>424259</xdr:colOff>
      <xdr:row>38</xdr:row>
      <xdr:rowOff>158676</xdr:rowOff>
    </xdr:to>
    <xdr:pic>
      <xdr:nvPicPr>
        <xdr:cNvPr id="6" name="Picture 2">
          <a:extLst>
            <a:ext uri="{FF2B5EF4-FFF2-40B4-BE49-F238E27FC236}">
              <a16:creationId xmlns:a16="http://schemas.microsoft.com/office/drawing/2014/main" id="{00000000-0008-0000-0200-000006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13174663" y="6104203"/>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373592</xdr:colOff>
      <xdr:row>74</xdr:row>
      <xdr:rowOff>1058</xdr:rowOff>
    </xdr:from>
    <xdr:to>
      <xdr:col>15</xdr:col>
      <xdr:colOff>424788</xdr:colOff>
      <xdr:row>80</xdr:row>
      <xdr:rowOff>151531</xdr:rowOff>
    </xdr:to>
    <xdr:pic>
      <xdr:nvPicPr>
        <xdr:cNvPr id="7" name="Picture 2">
          <a:extLst>
            <a:ext uri="{FF2B5EF4-FFF2-40B4-BE49-F238E27FC236}">
              <a16:creationId xmlns:a16="http://schemas.microsoft.com/office/drawing/2014/main" id="{00000000-0008-0000-0200-000007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60492" y="14098058"/>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326231</xdr:colOff>
      <xdr:row>113</xdr:row>
      <xdr:rowOff>90488</xdr:rowOff>
    </xdr:from>
    <xdr:to>
      <xdr:col>15</xdr:col>
      <xdr:colOff>377427</xdr:colOff>
      <xdr:row>120</xdr:row>
      <xdr:rowOff>50461</xdr:rowOff>
    </xdr:to>
    <xdr:pic>
      <xdr:nvPicPr>
        <xdr:cNvPr id="8" name="Picture 2">
          <a:extLst>
            <a:ext uri="{FF2B5EF4-FFF2-40B4-BE49-F238E27FC236}">
              <a16:creationId xmlns:a16="http://schemas.microsoft.com/office/drawing/2014/main" id="{00000000-0008-0000-02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13131" y="21616988"/>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160867</xdr:colOff>
      <xdr:row>147</xdr:row>
      <xdr:rowOff>99484</xdr:rowOff>
    </xdr:from>
    <xdr:to>
      <xdr:col>15</xdr:col>
      <xdr:colOff>212063</xdr:colOff>
      <xdr:row>154</xdr:row>
      <xdr:rowOff>59457</xdr:rowOff>
    </xdr:to>
    <xdr:pic>
      <xdr:nvPicPr>
        <xdr:cNvPr id="9" name="Picture 2">
          <a:extLst>
            <a:ext uri="{FF2B5EF4-FFF2-40B4-BE49-F238E27FC236}">
              <a16:creationId xmlns:a16="http://schemas.microsoft.com/office/drawing/2014/main" id="{00000000-0008-0000-0200-000009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47767" y="2810298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336285</xdr:colOff>
      <xdr:row>184</xdr:row>
      <xdr:rowOff>37306</xdr:rowOff>
    </xdr:from>
    <xdr:to>
      <xdr:col>15</xdr:col>
      <xdr:colOff>387481</xdr:colOff>
      <xdr:row>190</xdr:row>
      <xdr:rowOff>178254</xdr:rowOff>
    </xdr:to>
    <xdr:pic>
      <xdr:nvPicPr>
        <xdr:cNvPr id="10" name="Picture 2">
          <a:extLst>
            <a:ext uri="{FF2B5EF4-FFF2-40B4-BE49-F238E27FC236}">
              <a16:creationId xmlns:a16="http://schemas.microsoft.com/office/drawing/2014/main" id="{00000000-0008-0000-0200-00000A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23185" y="35089306"/>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205581</xdr:colOff>
      <xdr:row>221</xdr:row>
      <xdr:rowOff>159014</xdr:rowOff>
    </xdr:from>
    <xdr:to>
      <xdr:col>15</xdr:col>
      <xdr:colOff>256777</xdr:colOff>
      <xdr:row>228</xdr:row>
      <xdr:rowOff>118987</xdr:rowOff>
    </xdr:to>
    <xdr:pic>
      <xdr:nvPicPr>
        <xdr:cNvPr id="11" name="Picture 2">
          <a:extLst>
            <a:ext uri="{FF2B5EF4-FFF2-40B4-BE49-F238E27FC236}">
              <a16:creationId xmlns:a16="http://schemas.microsoft.com/office/drawing/2014/main" id="{00000000-0008-0000-0200-00000B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92481" y="4225951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absoluteAnchor>
    <xdr:pos x="32279" y="26358585"/>
    <xdr:ext cx="9414904" cy="4390484"/>
    <xdr:graphicFrame macro="">
      <xdr:nvGraphicFramePr>
        <xdr:cNvPr id="12" name="Graphique 11">
          <a:extLst>
            <a:ext uri="{FF2B5EF4-FFF2-40B4-BE49-F238E27FC236}">
              <a16:creationId xmlns:a16="http://schemas.microsoft.com/office/drawing/2014/main" id="{00000000-0008-0000-0200-00000C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416719" y="4643437"/>
    <xdr:ext cx="9372241" cy="3980731"/>
    <xdr:graphicFrame macro="">
      <xdr:nvGraphicFramePr>
        <xdr:cNvPr id="14" name="Graphique 13">
          <a:extLst>
            <a:ext uri="{FF2B5EF4-FFF2-40B4-BE49-F238E27FC236}">
              <a16:creationId xmlns:a16="http://schemas.microsoft.com/office/drawing/2014/main" id="{00000000-0008-0000-0200-00000E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40481" y="12831500"/>
    <xdr:ext cx="9372241" cy="3980731"/>
    <xdr:graphicFrame macro="">
      <xdr:nvGraphicFramePr>
        <xdr:cNvPr id="3" name="Graphique 2">
          <a:extLst>
            <a:ext uri="{FF2B5EF4-FFF2-40B4-BE49-F238E27FC236}">
              <a16:creationId xmlns:a16="http://schemas.microsoft.com/office/drawing/2014/main" id="{00000000-0008-0000-03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56356" y="19857508"/>
    <xdr:ext cx="9301956" cy="3859742"/>
    <xdr:graphicFrame macro="">
      <xdr:nvGraphicFramePr>
        <xdr:cNvPr id="4" name="Graphique 3">
          <a:extLst>
            <a:ext uri="{FF2B5EF4-FFF2-40B4-BE49-F238E27FC236}">
              <a16:creationId xmlns:a16="http://schemas.microsoft.com/office/drawing/2014/main" id="{00000000-0008-0000-03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28586" y="33464499"/>
    <xdr:ext cx="9414904" cy="4390484"/>
    <xdr:graphicFrame macro="">
      <xdr:nvGraphicFramePr>
        <xdr:cNvPr id="5" name="Graphique 4">
          <a:extLst>
            <a:ext uri="{FF2B5EF4-FFF2-40B4-BE49-F238E27FC236}">
              <a16:creationId xmlns:a16="http://schemas.microsoft.com/office/drawing/2014/main" id="{00000000-0008-0000-03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81239" y="41027616"/>
    <xdr:ext cx="9414904" cy="4390484"/>
    <xdr:graphicFrame macro="">
      <xdr:nvGraphicFramePr>
        <xdr:cNvPr id="6" name="Graphique 5">
          <a:extLst>
            <a:ext uri="{FF2B5EF4-FFF2-40B4-BE49-F238E27FC236}">
              <a16:creationId xmlns:a16="http://schemas.microsoft.com/office/drawing/2014/main" id="{00000000-0008-0000-03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editAs="oneCell">
    <xdr:from>
      <xdr:col>12</xdr:col>
      <xdr:colOff>373592</xdr:colOff>
      <xdr:row>74</xdr:row>
      <xdr:rowOff>1058</xdr:rowOff>
    </xdr:from>
    <xdr:to>
      <xdr:col>15</xdr:col>
      <xdr:colOff>424788</xdr:colOff>
      <xdr:row>80</xdr:row>
      <xdr:rowOff>151531</xdr:rowOff>
    </xdr:to>
    <xdr:pic>
      <xdr:nvPicPr>
        <xdr:cNvPr id="8" name="Picture 2">
          <a:extLst>
            <a:ext uri="{FF2B5EF4-FFF2-40B4-BE49-F238E27FC236}">
              <a16:creationId xmlns:a16="http://schemas.microsoft.com/office/drawing/2014/main" id="{00000000-0008-0000-0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60492" y="13907558"/>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326231</xdr:colOff>
      <xdr:row>113</xdr:row>
      <xdr:rowOff>90488</xdr:rowOff>
    </xdr:from>
    <xdr:to>
      <xdr:col>15</xdr:col>
      <xdr:colOff>377427</xdr:colOff>
      <xdr:row>120</xdr:row>
      <xdr:rowOff>50461</xdr:rowOff>
    </xdr:to>
    <xdr:pic>
      <xdr:nvPicPr>
        <xdr:cNvPr id="9" name="Picture 2">
          <a:extLst>
            <a:ext uri="{FF2B5EF4-FFF2-40B4-BE49-F238E27FC236}">
              <a16:creationId xmlns:a16="http://schemas.microsoft.com/office/drawing/2014/main" id="{00000000-0008-0000-0300-000009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13131" y="21426488"/>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160867</xdr:colOff>
      <xdr:row>148</xdr:row>
      <xdr:rowOff>99484</xdr:rowOff>
    </xdr:from>
    <xdr:to>
      <xdr:col>15</xdr:col>
      <xdr:colOff>212063</xdr:colOff>
      <xdr:row>155</xdr:row>
      <xdr:rowOff>59457</xdr:rowOff>
    </xdr:to>
    <xdr:pic>
      <xdr:nvPicPr>
        <xdr:cNvPr id="10" name="Picture 2">
          <a:extLst>
            <a:ext uri="{FF2B5EF4-FFF2-40B4-BE49-F238E27FC236}">
              <a16:creationId xmlns:a16="http://schemas.microsoft.com/office/drawing/2014/main" id="{00000000-0008-0000-0300-00000A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47767" y="2791248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12</xdr:col>
      <xdr:colOff>336285</xdr:colOff>
      <xdr:row>185</xdr:row>
      <xdr:rowOff>37306</xdr:rowOff>
    </xdr:from>
    <xdr:to>
      <xdr:col>15</xdr:col>
      <xdr:colOff>387481</xdr:colOff>
      <xdr:row>191</xdr:row>
      <xdr:rowOff>178254</xdr:rowOff>
    </xdr:to>
    <xdr:pic>
      <xdr:nvPicPr>
        <xdr:cNvPr id="11" name="Picture 2">
          <a:extLst>
            <a:ext uri="{FF2B5EF4-FFF2-40B4-BE49-F238E27FC236}">
              <a16:creationId xmlns:a16="http://schemas.microsoft.com/office/drawing/2014/main" id="{00000000-0008-0000-0300-00000B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23185" y="34898806"/>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absoluteAnchor>
    <xdr:pos x="0" y="26941991"/>
    <xdr:ext cx="9414904" cy="4390484"/>
    <xdr:graphicFrame macro="">
      <xdr:nvGraphicFramePr>
        <xdr:cNvPr id="13" name="Graphique 12">
          <a:extLst>
            <a:ext uri="{FF2B5EF4-FFF2-40B4-BE49-F238E27FC236}">
              <a16:creationId xmlns:a16="http://schemas.microsoft.com/office/drawing/2014/main" id="{00000000-0008-0000-0300-00000D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416719" y="4643437"/>
    <xdr:ext cx="9372241" cy="3980731"/>
    <xdr:graphicFrame macro="">
      <xdr:nvGraphicFramePr>
        <xdr:cNvPr id="18" name="Graphique 17">
          <a:extLst>
            <a:ext uri="{FF2B5EF4-FFF2-40B4-BE49-F238E27FC236}">
              <a16:creationId xmlns:a16="http://schemas.microsoft.com/office/drawing/2014/main" id="{00000000-0008-0000-0300-00001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oneCellAnchor>
    <xdr:from>
      <xdr:col>12</xdr:col>
      <xdr:colOff>160867</xdr:colOff>
      <xdr:row>223</xdr:row>
      <xdr:rowOff>99484</xdr:rowOff>
    </xdr:from>
    <xdr:ext cx="2337196" cy="1293473"/>
    <xdr:pic>
      <xdr:nvPicPr>
        <xdr:cNvPr id="14" name="Picture 2">
          <a:extLst>
            <a:ext uri="{FF2B5EF4-FFF2-40B4-BE49-F238E27FC236}">
              <a16:creationId xmlns:a16="http://schemas.microsoft.com/office/drawing/2014/main" id="{00000000-0008-0000-0300-00000E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50148" y="2810298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oneCellAnchor>
  <xdr:oneCellAnchor>
    <xdr:from>
      <xdr:col>12</xdr:col>
      <xdr:colOff>336285</xdr:colOff>
      <xdr:row>260</xdr:row>
      <xdr:rowOff>37306</xdr:rowOff>
    </xdr:from>
    <xdr:ext cx="2337196" cy="1293473"/>
    <xdr:pic>
      <xdr:nvPicPr>
        <xdr:cNvPr id="15" name="Picture 2">
          <a:extLst>
            <a:ext uri="{FF2B5EF4-FFF2-40B4-BE49-F238E27FC236}">
              <a16:creationId xmlns:a16="http://schemas.microsoft.com/office/drawing/2014/main" id="{00000000-0008-0000-0300-00000F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825566" y="35089306"/>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oneCellAnchor>
  <xdr:oneCellAnchor>
    <xdr:from>
      <xdr:col>12</xdr:col>
      <xdr:colOff>205581</xdr:colOff>
      <xdr:row>297</xdr:row>
      <xdr:rowOff>159014</xdr:rowOff>
    </xdr:from>
    <xdr:ext cx="2337196" cy="1293473"/>
    <xdr:pic>
      <xdr:nvPicPr>
        <xdr:cNvPr id="16" name="Picture 2">
          <a:extLst>
            <a:ext uri="{FF2B5EF4-FFF2-40B4-BE49-F238E27FC236}">
              <a16:creationId xmlns:a16="http://schemas.microsoft.com/office/drawing/2014/main" id="{00000000-0008-0000-0300-000010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694862" y="42259514"/>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oneCellAnchor>
  <xdr:twoCellAnchor editAs="oneCell">
    <xdr:from>
      <xdr:col>12</xdr:col>
      <xdr:colOff>0</xdr:colOff>
      <xdr:row>5</xdr:row>
      <xdr:rowOff>0</xdr:rowOff>
    </xdr:from>
    <xdr:to>
      <xdr:col>15</xdr:col>
      <xdr:colOff>51196</xdr:colOff>
      <xdr:row>11</xdr:row>
      <xdr:rowOff>150473</xdr:rowOff>
    </xdr:to>
    <xdr:pic>
      <xdr:nvPicPr>
        <xdr:cNvPr id="19" name="Picture 2">
          <a:extLst>
            <a:ext uri="{FF2B5EF4-FFF2-40B4-BE49-F238E27FC236}">
              <a16:creationId xmlns:a16="http://schemas.microsoft.com/office/drawing/2014/main" id="{00000000-0008-0000-0300-000013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190" t="24533" r="25110" b="30108"/>
        <a:stretch/>
      </xdr:blipFill>
      <xdr:spPr bwMode="auto">
        <a:xfrm>
          <a:off x="9489281" y="952500"/>
          <a:ext cx="2337196" cy="129347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absoluteAnchor>
    <xdr:pos x="104775" y="142875"/>
    <xdr:ext cx="7896225" cy="4190999"/>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8667750" y="154782"/>
    <xdr:ext cx="7750969" cy="4071938"/>
    <xdr:graphicFrame macro="">
      <xdr:nvGraphicFramePr>
        <xdr:cNvPr id="3" name="Graphique 2">
          <a:extLst>
            <a:ext uri="{FF2B5EF4-FFF2-40B4-BE49-F238E27FC236}">
              <a16:creationId xmlns:a16="http://schemas.microsoft.com/office/drawing/2014/main" id="{00000000-0008-0000-04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0.48281</cdr:x>
      <cdr:y>0.17614</cdr:y>
    </cdr:from>
    <cdr:to>
      <cdr:x>0.60947</cdr:x>
      <cdr:y>0.23864</cdr:y>
    </cdr:to>
    <cdr:sp macro="" textlink="">
      <cdr:nvSpPr>
        <cdr:cNvPr id="2" name="ZoneTexte 1"/>
        <cdr:cNvSpPr txBox="1"/>
      </cdr:nvSpPr>
      <cdr:spPr>
        <a:xfrm xmlns:a="http://schemas.openxmlformats.org/drawingml/2006/main">
          <a:off x="3812370" y="738195"/>
          <a:ext cx="1000136"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fr-FR" sz="1100" b="1">
              <a:solidFill>
                <a:srgbClr val="92D050"/>
              </a:solidFill>
            </a:rPr>
            <a:t>Prévisionnel</a:t>
          </a:r>
          <a:r>
            <a:rPr lang="fr-FR" sz="1100" b="1" baseline="0">
              <a:solidFill>
                <a:srgbClr val="92D050"/>
              </a:solidFill>
            </a:rPr>
            <a:t> </a:t>
          </a:r>
          <a:endParaRPr lang="fr-FR" sz="1100" b="1">
            <a:solidFill>
              <a:srgbClr val="92D050"/>
            </a:solidFill>
          </a:endParaRPr>
        </a:p>
      </cdr:txBody>
    </cdr:sp>
  </cdr:relSizeAnchor>
  <cdr:relSizeAnchor xmlns:cdr="http://schemas.openxmlformats.org/drawingml/2006/chartDrawing">
    <cdr:from>
      <cdr:x>0.52352</cdr:x>
      <cdr:y>0.42045</cdr:y>
    </cdr:from>
    <cdr:to>
      <cdr:x>0.69843</cdr:x>
      <cdr:y>0.48295</cdr:y>
    </cdr:to>
    <cdr:sp macro="" textlink="">
      <cdr:nvSpPr>
        <cdr:cNvPr id="3" name="ZoneTexte 2"/>
        <cdr:cNvSpPr txBox="1"/>
      </cdr:nvSpPr>
      <cdr:spPr>
        <a:xfrm xmlns:a="http://schemas.openxmlformats.org/drawingml/2006/main">
          <a:off x="4133847" y="1762105"/>
          <a:ext cx="1381128"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b="1"/>
            <a:t>Objectif</a:t>
          </a:r>
        </a:p>
      </cdr:txBody>
    </cdr:sp>
  </cdr:relSizeAnchor>
  <cdr:relSizeAnchor xmlns:cdr="http://schemas.openxmlformats.org/drawingml/2006/chartDrawing">
    <cdr:from>
      <cdr:x>0.519</cdr:x>
      <cdr:y>0.34943</cdr:y>
    </cdr:from>
    <cdr:to>
      <cdr:x>0.61249</cdr:x>
      <cdr:y>0.41193</cdr:y>
    </cdr:to>
    <cdr:sp macro="" textlink="">
      <cdr:nvSpPr>
        <cdr:cNvPr id="4" name="ZoneTexte 3"/>
        <cdr:cNvSpPr txBox="1"/>
      </cdr:nvSpPr>
      <cdr:spPr>
        <a:xfrm xmlns:a="http://schemas.openxmlformats.org/drawingml/2006/main">
          <a:off x="4098134" y="1464461"/>
          <a:ext cx="738218" cy="2619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fr-FR" sz="1100" b="1">
              <a:solidFill>
                <a:srgbClr val="FF0000"/>
              </a:solidFill>
            </a:rPr>
            <a:t>Potentiel </a:t>
          </a:r>
        </a:p>
      </cdr:txBody>
    </cdr:sp>
  </cdr:relSizeAnchor>
</c:userShapes>
</file>

<file path=xl/drawings/drawing6.xml><?xml version="1.0" encoding="utf-8"?>
<c:userShapes xmlns:c="http://schemas.openxmlformats.org/drawingml/2006/chart">
  <cdr:relSizeAnchor xmlns:cdr="http://schemas.openxmlformats.org/drawingml/2006/chartDrawing">
    <cdr:from>
      <cdr:x>0.06032</cdr:x>
      <cdr:y>0.45614</cdr:y>
    </cdr:from>
    <cdr:to>
      <cdr:x>0.97186</cdr:x>
      <cdr:y>0.8772</cdr:y>
    </cdr:to>
    <cdr:sp macro="" textlink="">
      <cdr:nvSpPr>
        <cdr:cNvPr id="2" name="Rectangle 1"/>
        <cdr:cNvSpPr/>
      </cdr:nvSpPr>
      <cdr:spPr>
        <a:xfrm xmlns:a="http://schemas.openxmlformats.org/drawingml/2006/main">
          <a:off x="467509" y="1857357"/>
          <a:ext cx="7065318" cy="1714530"/>
        </a:xfrm>
        <a:prstGeom xmlns:a="http://schemas.openxmlformats.org/drawingml/2006/main" prst="rect">
          <a:avLst/>
        </a:prstGeom>
        <a:solidFill xmlns:a="http://schemas.openxmlformats.org/drawingml/2006/main">
          <a:srgbClr val="92D050">
            <a:alpha val="5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dr:relSizeAnchor xmlns:cdr="http://schemas.openxmlformats.org/drawingml/2006/chartDrawing">
    <cdr:from>
      <cdr:x>0.05795</cdr:x>
      <cdr:y>0.32456</cdr:y>
    </cdr:from>
    <cdr:to>
      <cdr:x>0.97245</cdr:x>
      <cdr:y>0.45906</cdr:y>
    </cdr:to>
    <cdr:sp macro="" textlink="">
      <cdr:nvSpPr>
        <cdr:cNvPr id="3" name="Rectangle 2"/>
        <cdr:cNvSpPr/>
      </cdr:nvSpPr>
      <cdr:spPr>
        <a:xfrm xmlns:a="http://schemas.openxmlformats.org/drawingml/2006/main">
          <a:off x="449147" y="1321589"/>
          <a:ext cx="7088261" cy="547676"/>
        </a:xfrm>
        <a:prstGeom xmlns:a="http://schemas.openxmlformats.org/drawingml/2006/main" prst="rect">
          <a:avLst/>
        </a:prstGeom>
        <a:solidFill xmlns:a="http://schemas.openxmlformats.org/drawingml/2006/main">
          <a:srgbClr val="FFC000">
            <a:alpha val="5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relSizeAnchor>
  <cdr:relSizeAnchor xmlns:cdr="http://schemas.openxmlformats.org/drawingml/2006/chartDrawing">
    <cdr:from>
      <cdr:x>0.05921</cdr:x>
      <cdr:y>0.10819</cdr:y>
    </cdr:from>
    <cdr:to>
      <cdr:x>0.97064</cdr:x>
      <cdr:y>0.32456</cdr:y>
    </cdr:to>
    <cdr:sp macro="" textlink="">
      <cdr:nvSpPr>
        <cdr:cNvPr id="4" name="Rectangle 3"/>
        <cdr:cNvSpPr/>
      </cdr:nvSpPr>
      <cdr:spPr>
        <a:xfrm xmlns:a="http://schemas.openxmlformats.org/drawingml/2006/main">
          <a:off x="458903" y="440543"/>
          <a:ext cx="7064465" cy="881045"/>
        </a:xfrm>
        <a:prstGeom xmlns:a="http://schemas.openxmlformats.org/drawingml/2006/main" prst="rect">
          <a:avLst/>
        </a:prstGeom>
        <a:solidFill xmlns:a="http://schemas.openxmlformats.org/drawingml/2006/main">
          <a:srgbClr val="FF0000">
            <a:alpha val="5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relSizeAnchor>
  <cdr:relSizeAnchor xmlns:cdr="http://schemas.openxmlformats.org/drawingml/2006/chartDrawing">
    <cdr:from>
      <cdr:x>0.88633</cdr:x>
      <cdr:y>0.23977</cdr:y>
    </cdr:from>
    <cdr:to>
      <cdr:x>0.9616</cdr:x>
      <cdr:y>0.32456</cdr:y>
    </cdr:to>
    <cdr:sp macro="" textlink="">
      <cdr:nvSpPr>
        <cdr:cNvPr id="6" name="ZoneTexte 5"/>
        <cdr:cNvSpPr txBox="1"/>
      </cdr:nvSpPr>
      <cdr:spPr>
        <a:xfrm xmlns:a="http://schemas.openxmlformats.org/drawingml/2006/main">
          <a:off x="6869900" y="976331"/>
          <a:ext cx="583415" cy="34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200" b="1"/>
            <a:t>&gt;3%</a:t>
          </a:r>
        </a:p>
      </cdr:txBody>
    </cdr:sp>
  </cdr:relSizeAnchor>
  <cdr:relSizeAnchor xmlns:cdr="http://schemas.openxmlformats.org/drawingml/2006/chartDrawing">
    <cdr:from>
      <cdr:x>0.86677</cdr:x>
      <cdr:y>0.36042</cdr:y>
    </cdr:from>
    <cdr:to>
      <cdr:x>0.98311</cdr:x>
      <cdr:y>0.44522</cdr:y>
    </cdr:to>
    <cdr:sp macro="" textlink="">
      <cdr:nvSpPr>
        <cdr:cNvPr id="8" name="ZoneTexte 1"/>
        <cdr:cNvSpPr txBox="1"/>
      </cdr:nvSpPr>
      <cdr:spPr>
        <a:xfrm xmlns:a="http://schemas.openxmlformats.org/drawingml/2006/main">
          <a:off x="6718311" y="1467608"/>
          <a:ext cx="901748" cy="345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200" b="1"/>
            <a:t>1%&lt;</a:t>
          </a:r>
          <a:r>
            <a:rPr lang="fr-FR" sz="1200" b="1" baseline="0"/>
            <a:t>  &lt;3%</a:t>
          </a:r>
          <a:endParaRPr lang="fr-FR" sz="1200" b="1"/>
        </a:p>
      </cdr:txBody>
    </cdr:sp>
  </cdr:relSizeAnchor>
  <cdr:relSizeAnchor xmlns:cdr="http://schemas.openxmlformats.org/drawingml/2006/chartDrawing">
    <cdr:from>
      <cdr:x>0.83564</cdr:x>
      <cdr:y>0.70546</cdr:y>
    </cdr:from>
    <cdr:to>
      <cdr:x>0.96928</cdr:x>
      <cdr:y>0.85965</cdr:y>
    </cdr:to>
    <cdr:sp macro="" textlink="">
      <cdr:nvSpPr>
        <cdr:cNvPr id="9" name="ZoneTexte 1"/>
        <cdr:cNvSpPr txBox="1"/>
      </cdr:nvSpPr>
      <cdr:spPr>
        <a:xfrm xmlns:a="http://schemas.openxmlformats.org/drawingml/2006/main">
          <a:off x="6477036" y="2872597"/>
          <a:ext cx="1035840" cy="6278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200" b="1"/>
            <a:t>Dispersion production +/-1%</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85726</xdr:colOff>
      <xdr:row>6</xdr:row>
      <xdr:rowOff>76200</xdr:rowOff>
    </xdr:from>
    <xdr:to>
      <xdr:col>2</xdr:col>
      <xdr:colOff>866776</xdr:colOff>
      <xdr:row>16</xdr:row>
      <xdr:rowOff>180976</xdr:rowOff>
    </xdr:to>
    <xdr:graphicFrame macro="">
      <xdr:nvGraphicFramePr>
        <xdr:cNvPr id="3" name="Graphique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1133476</xdr:colOff>
      <xdr:row>6</xdr:row>
      <xdr:rowOff>38099</xdr:rowOff>
    </xdr:from>
    <xdr:to>
      <xdr:col>3</xdr:col>
      <xdr:colOff>609601</xdr:colOff>
      <xdr:row>16</xdr:row>
      <xdr:rowOff>171450</xdr:rowOff>
    </xdr:to>
    <xdr:graphicFrame macro="">
      <xdr:nvGraphicFramePr>
        <xdr:cNvPr id="4" name="Graphique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9526</xdr:colOff>
      <xdr:row>6</xdr:row>
      <xdr:rowOff>9525</xdr:rowOff>
    </xdr:from>
    <xdr:to>
      <xdr:col>6</xdr:col>
      <xdr:colOff>600075</xdr:colOff>
      <xdr:row>16</xdr:row>
      <xdr:rowOff>142874</xdr:rowOff>
    </xdr:to>
    <xdr:graphicFrame macro="">
      <xdr:nvGraphicFramePr>
        <xdr:cNvPr id="5" name="Graphique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85726</xdr:colOff>
      <xdr:row>62</xdr:row>
      <xdr:rowOff>76200</xdr:rowOff>
    </xdr:from>
    <xdr:to>
      <xdr:col>2</xdr:col>
      <xdr:colOff>866776</xdr:colOff>
      <xdr:row>72</xdr:row>
      <xdr:rowOff>180976</xdr:rowOff>
    </xdr:to>
    <xdr:graphicFrame macro="">
      <xdr:nvGraphicFramePr>
        <xdr:cNvPr id="6" name="Graphique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2266951</xdr:colOff>
      <xdr:row>62</xdr:row>
      <xdr:rowOff>28574</xdr:rowOff>
    </xdr:from>
    <xdr:to>
      <xdr:col>5</xdr:col>
      <xdr:colOff>219076</xdr:colOff>
      <xdr:row>72</xdr:row>
      <xdr:rowOff>161925</xdr:rowOff>
    </xdr:to>
    <xdr:graphicFrame macro="">
      <xdr:nvGraphicFramePr>
        <xdr:cNvPr id="7" name="Graphique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228601</xdr:colOff>
      <xdr:row>63</xdr:row>
      <xdr:rowOff>47625</xdr:rowOff>
    </xdr:from>
    <xdr:to>
      <xdr:col>8</xdr:col>
      <xdr:colOff>238125</xdr:colOff>
      <xdr:row>73</xdr:row>
      <xdr:rowOff>180974</xdr:rowOff>
    </xdr:to>
    <xdr:graphicFrame macro="">
      <xdr:nvGraphicFramePr>
        <xdr:cNvPr id="8" name="Graphique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114300</xdr:colOff>
      <xdr:row>62</xdr:row>
      <xdr:rowOff>76200</xdr:rowOff>
    </xdr:from>
    <xdr:to>
      <xdr:col>11</xdr:col>
      <xdr:colOff>704849</xdr:colOff>
      <xdr:row>73</xdr:row>
      <xdr:rowOff>19049</xdr:rowOff>
    </xdr:to>
    <xdr:graphicFrame macro="">
      <xdr:nvGraphicFramePr>
        <xdr:cNvPr id="9" name="Graphique 8">
          <a:extLst>
            <a:ext uri="{FF2B5EF4-FFF2-40B4-BE49-F238E27FC236}">
              <a16:creationId xmlns:a16="http://schemas.microsoft.com/office/drawing/2014/main" id="{00000000-0008-0000-0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496102\Jc\user\J596791\ODAR\01-Projets\03-A76\J0\MARGE%20A76%20J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EXCEL/PREVISIO/CP121999.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ocuments%20and%20Settings/u363073/Local%20Settings/Temporary%20Internet%20Files/Content.Outlook/8DCVJV2M/1CWFA4EEDJH0A0B0%252X%25-000002_0427.xlsx" TargetMode="External"/><Relationship Id="rId1" Type="http://schemas.openxmlformats.org/officeDocument/2006/relationships/externalLinkPath" Target="/Documents%20and%20Settings/u363073/Local%20Settings/Temporary%20Internet%20Files/Content.Outlook/8DCVJV2M/1CWFA4EEDJH0A0B0%252X%25-000002_0427.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U071468/Documents/MICV/CO2018/PorteFeuille%20Masse%20et%20PRF/PorteFeuille%20Masse%20et%20PRF%20Standard%202019.xlsx" TargetMode="External"/><Relationship Id="rId1" Type="http://schemas.openxmlformats.org/officeDocument/2006/relationships/externalLinkPath" Target="/user/U071468/Documents/MICV/CO2018/PorteFeuille%20Masse%20et%20PRF/PorteFeuille%20Masse%20et%20PRF%20Standard%202019.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U076053/01%20-%20PSA/MICV/11%20-%20X81C/06-BDD/DSEE/2013_S13_Liste_pieces_EE_X81C_V1_10(1).xls" TargetMode="External"/><Relationship Id="rId1" Type="http://schemas.openxmlformats.org/officeDocument/2006/relationships/externalLinkPath" Target="/user/U076053/01%20-%20PSA/MICV/11%20-%20X81C/06-BDD/DSEE/2013_S13_Liste_pieces_EE_X81C_V1_10(1).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u071468/AppData/Local/Microsoft/Windows/INetCache/IE/2D2U3OGX/2018_04_20-Portefeuille_DPE.xlsx" TargetMode="External"/><Relationship Id="rId1" Type="http://schemas.openxmlformats.org/officeDocument/2006/relationships/externalLinkPath" Target="/Users/u071468/AppData/Local/Microsoft/Windows/INetCache/IE/2D2U3OGX/2018_04_20-Portefeuille_DP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METRE A76"/>
      <sheetName val="Synthèse"/>
      <sheetName val="Volumes et mix PERIODE (2)"/>
      <sheetName val="Volumes et mix PERIODE"/>
      <sheetName val="véh réf A7 - produit"/>
      <sheetName val="Mix CC pays"/>
      <sheetName val="Mix CC"/>
      <sheetName val="contruction des PRF"/>
      <sheetName val="détail des marges par versions"/>
      <sheetName val="kit PRF J0 "/>
      <sheetName val="PventeFrance"/>
      <sheetName val="PventeAllemagne"/>
      <sheetName val="PventeEspagne"/>
      <sheetName val="PventeGB"/>
      <sheetName val="PventeItalie"/>
      <sheetName val="options prév."/>
      <sheetName val="GARANTIE"/>
      <sheetName val="frais approche"/>
      <sheetName val="amortissements"/>
      <sheetName val="Value Analysis - Sheet 1"/>
      <sheetName val="CP121999"/>
      <sheetName val="307_DCPS"/>
      <sheetName val="206_CPPR"/>
      <sheetName val="206_CPRY"/>
      <sheetName val="206_DCPM"/>
      <sheetName val="206_DCPY"/>
      <sheetName val="206CC_DCPM"/>
      <sheetName val="307_DCPM"/>
      <sheetName val="406_DCPS"/>
      <sheetName val="607_DCPS"/>
      <sheetName val="C3_DCPA"/>
      <sheetName val="C5_DCPR"/>
      <sheetName val="M49_CPBA"/>
      <sheetName val="M49_DCPV"/>
      <sheetName val="PICASSO_CPPR"/>
      <sheetName val="Picasso_DCPV"/>
      <sheetName val="U64_CPSN"/>
      <sheetName val="V_CPSN"/>
      <sheetName val="Xsara_CPMA"/>
      <sheetName val="Xsara_DCPR"/>
      <sheetName val="Agadir Dyn 5"/>
      <sheetName val="Agadir Dyn 1"/>
      <sheetName val="Agadir Dyn 2"/>
      <sheetName val="Agadir Dyn 3"/>
      <sheetName val="Agadir Dyn 4"/>
      <sheetName val="Agadir Dyn 6"/>
      <sheetName val="Agadir TU5 Stat 7 "/>
      <sheetName val="ST 2,0"/>
      <sheetName val="précadrage après chantier"/>
      <sheetName val="RefATR"/>
      <sheetName val="TOUS"/>
      <sheetName val="TAB REG"/>
      <sheetName val="Liste"/>
      <sheetName val="Macro1"/>
      <sheetName val="param"/>
      <sheetName val="Fiesta"/>
      <sheetName val="PARA"/>
      <sheetName val="planning VRS 1 T9"/>
      <sheetName val="Paramètres"/>
      <sheetName val="Value Summary"/>
      <sheetName val="variables"/>
      <sheetName val="MARGE A76 J0"/>
      <sheetName val="PERIMETRE_A76"/>
      <sheetName val="Volumes_et_mix_PERIODE_(2)"/>
      <sheetName val="Volumes_et_mix_PERIODE"/>
      <sheetName val="véh_réf_A7_-_produit"/>
      <sheetName val="Mix_CC_pays"/>
      <sheetName val="Mix_CC"/>
      <sheetName val="contruction_des_PRF"/>
      <sheetName val="détail_des_marges_par_versions"/>
      <sheetName val="kit_PRF_J0_"/>
      <sheetName val="options_prév_"/>
      <sheetName val="frais_approche"/>
      <sheetName val="Tools"/>
      <sheetName val="PRF et PVR CHIFFRAGE CEP"/>
      <sheetName val="PARAMETRES"/>
      <sheetName val="MENU"/>
      <sheetName val="Parameters"/>
      <sheetName val="VOL_CH"/>
      <sheetName val="Datas"/>
      <sheetName val="HypoPxC4"/>
      <sheetName val="Paramètrages"/>
      <sheetName val="Données"/>
      <sheetName val="95하U$가격"/>
      <sheetName val="Variables Common"/>
      <sheetName val="2002CB"/>
      <sheetName val="1stqtr"/>
      <sheetName val="2ndqtr"/>
      <sheetName val="DE"/>
      <sheetName val="Listes"/>
      <sheetName val="volumes"/>
      <sheetName val="Ratio 2016"/>
      <sheetName val="schren"/>
      <sheetName val="schtv6"/>
      <sheetName val="schsts"/>
      <sheetName val="Hebel Namen"/>
      <sheetName val="recherche"/>
      <sheetName val="Choix"/>
      <sheetName val="Référentiel"/>
      <sheetName val="AUX"/>
      <sheetName val="MO"/>
      <sheetName val="PRF et PVR B0 A58"/>
      <sheetName val="DA + CDE"/>
      <sheetName val="Avant choix FNR"/>
      <sheetName val="Après choix FNR"/>
      <sheetName val="RéférentielModules charges CMON"/>
      <sheetName val="Feuil3"/>
      <sheetName val="CBU"/>
      <sheetName val="2. General Input"/>
      <sheetName val="FP CHARGE"/>
      <sheetName val="Réalisé"/>
      <sheetName val="Suivi des objectifs -R83"/>
      <sheetName val="Vx positionnement"/>
      <sheetName val="Mulet &amp; Véh. sans GMP"/>
      <sheetName val="Valo Proto"/>
      <sheetName val="Récapitulatif 2004"/>
      <sheetName val="Assump."/>
      <sheetName val="BUDGET"/>
      <sheetName val=""/>
      <sheetName val="B587_SUISSE"/>
      <sheetName val="Liste affaires"/>
      <sheetName val="3"/>
      <sheetName val="Liste_Choix"/>
      <sheetName val="Référentiel HA V10"/>
      <sheetName val="Mth"/>
      <sheetName val="Qtr"/>
      <sheetName val="EB NA"/>
      <sheetName val="Data"/>
      <sheetName val="KPI "/>
      <sheetName val="Menu déroulant"/>
      <sheetName val="Feuil6"/>
      <sheetName val="Animation RT"/>
      <sheetName val="FINANCES"/>
      <sheetName val="Paramétrages"/>
      <sheetName val="Regles"/>
      <sheetName val="Choice list"/>
      <sheetName val="Assumptions"/>
      <sheetName val="Critère"/>
      <sheetName val="Progress"/>
      <sheetName val="tag list"/>
      <sheetName val="CAPSA dept"/>
      <sheetName val="_"/>
      <sheetName val="P509-65 T0"/>
      <sheetName val="Rules"/>
      <sheetName val="PPS00 ALTER29"/>
      <sheetName val="PU"/>
      <sheetName val="PERIMETRE_A761"/>
      <sheetName val="Volumes_et_mix_PERIODE_(2)1"/>
      <sheetName val="Volumes_et_mix_PERIODE1"/>
      <sheetName val="véh_réf_A7_-_produit1"/>
      <sheetName val="Mix_CC_pays1"/>
      <sheetName val="Mix_CC1"/>
      <sheetName val="contruction_des_PRF1"/>
      <sheetName val="détail_des_marges_par_versions1"/>
      <sheetName val="kit_PRF_J0_1"/>
      <sheetName val="options_prév_1"/>
      <sheetName val="frais_approche1"/>
      <sheetName val="Value_Analysis_-_Sheet_1"/>
      <sheetName val="Agadir_Dyn_5"/>
      <sheetName val="Agadir_Dyn_1"/>
      <sheetName val="Agadir_Dyn_2"/>
      <sheetName val="Agadir_Dyn_3"/>
      <sheetName val="Agadir_Dyn_4"/>
      <sheetName val="Agadir_Dyn_6"/>
      <sheetName val="Agadir_TU5_Stat_7_"/>
      <sheetName val="ST_2,0"/>
      <sheetName val="précadrage_après_chantier"/>
      <sheetName val="TAB_REG"/>
      <sheetName val="planning_VRS_1_T9"/>
      <sheetName val="Value_Summary"/>
      <sheetName val="MARGE_A76_J0"/>
      <sheetName val="PRF_et_PVR_CHIFFRAGE_CEP"/>
      <sheetName val="Variables_Common"/>
      <sheetName val="DA_+_CDE"/>
      <sheetName val="Hebel_Namen"/>
      <sheetName val="Ratio_2016"/>
      <sheetName val="PRF_et_PVR_B0_A58"/>
      <sheetName val="Avant_choix_FNR"/>
      <sheetName val="Après_choix_FNR"/>
      <sheetName val="RéférentielModules_charges_CMON"/>
      <sheetName val="2__General_Input"/>
      <sheetName val="FP_CHARGE"/>
      <sheetName val="Suivi_des_objectifs_-R83"/>
      <sheetName val="Vx_positionnement"/>
      <sheetName val="Mulet_&amp;_Véh__sans_GMP"/>
      <sheetName val="Valo_Proto"/>
      <sheetName val="Récapitulatif_2004"/>
      <sheetName val="Assump_"/>
      <sheetName val="PERIMETRE_A762"/>
      <sheetName val="Volumes_et_mix_PERIODE_(2)2"/>
      <sheetName val="Volumes_et_mix_PERIODE2"/>
      <sheetName val="véh_réf_A7_-_produit2"/>
      <sheetName val="Mix_CC_pays2"/>
      <sheetName val="Mix_CC2"/>
      <sheetName val="contruction_des_PRF2"/>
      <sheetName val="détail_des_marges_par_versions2"/>
      <sheetName val="kit_PRF_J0_2"/>
      <sheetName val="options_prév_2"/>
      <sheetName val="frais_approche2"/>
      <sheetName val="Value_Analysis_-_Sheet_11"/>
      <sheetName val="Agadir_Dyn_51"/>
      <sheetName val="Agadir_Dyn_11"/>
      <sheetName val="Agadir_Dyn_21"/>
      <sheetName val="Agadir_Dyn_31"/>
      <sheetName val="Agadir_Dyn_41"/>
      <sheetName val="Agadir_Dyn_61"/>
      <sheetName val="Agadir_TU5_Stat_7_1"/>
      <sheetName val="ST_2,01"/>
      <sheetName val="précadrage_après_chantier1"/>
      <sheetName val="TAB_REG1"/>
      <sheetName val="planning_VRS_1_T91"/>
      <sheetName val="Value_Summary1"/>
      <sheetName val="MARGE_A76_J01"/>
      <sheetName val="PRF_et_PVR_CHIFFRAGE_CEP1"/>
      <sheetName val="Variables_Common1"/>
      <sheetName val="DA_+_CDE1"/>
      <sheetName val="Hebel_Namen1"/>
      <sheetName val="Ratio_20161"/>
      <sheetName val="PRF_et_PVR_B0_A581"/>
      <sheetName val="Avant_choix_FNR1"/>
      <sheetName val="Après_choix_FNR1"/>
      <sheetName val="RéférentielModules_charges_CMO1"/>
      <sheetName val="2__General_Input1"/>
      <sheetName val="FP_CHARGE1"/>
      <sheetName val="Suivi_des_objectifs_-R831"/>
      <sheetName val="Vx_positionnement1"/>
      <sheetName val="Mulet_&amp;_Véh__sans_GMP1"/>
      <sheetName val="Valo_Proto1"/>
      <sheetName val="Récapitulatif_20041"/>
      <sheetName val="Assump_1"/>
      <sheetName val="PPCT T6"/>
      <sheetName val="PPCT T4"/>
      <sheetName val="Sheet2"/>
      <sheetName val="Sheet1"/>
      <sheetName val="Sheet3"/>
      <sheetName val="Liste_affaires"/>
      <sheetName val="Référentiel_HA_V10"/>
      <sheetName val="EB_NA"/>
      <sheetName val="Menu_déroulant"/>
      <sheetName val="Animation_RT"/>
      <sheetName val="KPI_"/>
      <sheetName val="Choice_list"/>
      <sheetName val="Données pour graph P54C"/>
      <sheetName val="Données pour graph C41"/>
      <sheetName val="BEV EU&amp;WW  -Full ZEV 2030  Flat"/>
      <sheetName val="tag_list"/>
      <sheetName val="CAPSA_dept"/>
      <sheetName val="P509-65_T0"/>
      <sheetName val="SEATS Presta"/>
      <sheetName val="Summary"/>
      <sheetName val="1-List of Packaging"/>
      <sheetName val="2-Transfert VS "/>
      <sheetName val="Convoi FNR PACKMAN"/>
      <sheetName val="3-TCD-CONVOI-FNR-PACKMAN"/>
      <sheetName val="3-convoi_packman"/>
      <sheetName val="CAT_P"/>
      <sheetName val="630-Step1"/>
      <sheetName val="630-Step2"/>
      <sheetName val="Catalogue-Emb"/>
      <sheetName val="PACK_U9"/>
      <sheetName val="Amont"/>
      <sheetName val="Invest_Affaires"/>
      <sheetName val="KPI Completo"/>
      <sheetName val="Base de dados - DI"/>
      <sheetName val="下拉菜单"/>
      <sheetName val="PERIMETRE_A763"/>
      <sheetName val="Volumes_et_mix_PERIODE_(2)3"/>
      <sheetName val="Volumes_et_mix_PERIODE3"/>
      <sheetName val="véh_réf_A7_-_produit3"/>
      <sheetName val="Mix_CC_pays3"/>
      <sheetName val="Mix_CC3"/>
      <sheetName val="contruction_des_PRF3"/>
      <sheetName val="détail_des_marges_par_versions3"/>
      <sheetName val="kit_PRF_J0_3"/>
      <sheetName val="options_prév_3"/>
      <sheetName val="frais_approche3"/>
      <sheetName val="Value_Analysis_-_Sheet_12"/>
      <sheetName val="Agadir_Dyn_52"/>
      <sheetName val="Agadir_Dyn_12"/>
      <sheetName val="Agadir_Dyn_22"/>
      <sheetName val="Agadir_Dyn_32"/>
      <sheetName val="Agadir_Dyn_42"/>
      <sheetName val="Agadir_Dyn_62"/>
      <sheetName val="Agadir_TU5_Stat_7_2"/>
      <sheetName val="ST_2,02"/>
      <sheetName val="précadrage_après_chantier2"/>
      <sheetName val="TAB_REG2"/>
      <sheetName val="planning_VRS_1_T92"/>
      <sheetName val="Value_Summary2"/>
      <sheetName val="MARGE_A76_J02"/>
      <sheetName val="PRF_et_PVR_CHIFFRAGE_CEP2"/>
      <sheetName val="Variables_Common2"/>
      <sheetName val="DA_+_CDE2"/>
      <sheetName val="Ratio_20162"/>
      <sheetName val="Hebel_Namen2"/>
      <sheetName val="PRF_et_PVR_B0_A582"/>
      <sheetName val="Avant_choix_FNR2"/>
      <sheetName val="Après_choix_FNR2"/>
      <sheetName val="RéférentielModules_charges_CMO2"/>
      <sheetName val="2__General_Input2"/>
      <sheetName val="FP_CHARGE2"/>
      <sheetName val="Suivi_des_objectifs_-R832"/>
      <sheetName val="Vx_positionnement2"/>
      <sheetName val="Mulet_&amp;_Véh__sans_GMP2"/>
      <sheetName val="Valo_Proto2"/>
      <sheetName val="Récapitulatif_20042"/>
      <sheetName val="Liste_affaires1"/>
      <sheetName val="Assump_2"/>
      <sheetName val="Référentiel_HA_V101"/>
      <sheetName val="EB_NA1"/>
      <sheetName val="KPI_1"/>
      <sheetName val="Menu_déroulant1"/>
      <sheetName val="Animation_RT1"/>
      <sheetName val="Choice_list1"/>
      <sheetName val="PPS00_ALTER29"/>
      <sheetName val="PPCT_T6"/>
      <sheetName val="PPCT_T4"/>
      <sheetName val="Suppliers"/>
      <sheetName val="tag_list1"/>
      <sheetName val="CAPSA_dept1"/>
      <sheetName val="P509-65_T01"/>
      <sheetName val="RESUMO"/>
      <sheetName val="PERIMETRE_A764"/>
      <sheetName val="Volumes_et_mix_PERIODE_(2)4"/>
      <sheetName val="Volumes_et_mix_PERIODE4"/>
      <sheetName val="véh_réf_A7_-_produit4"/>
      <sheetName val="Mix_CC_pays4"/>
      <sheetName val="Mix_CC4"/>
      <sheetName val="contruction_des_PRF4"/>
      <sheetName val="détail_des_marges_par_versions4"/>
      <sheetName val="kit_PRF_J0_4"/>
      <sheetName val="options_prév_4"/>
      <sheetName val="frais_approche4"/>
      <sheetName val="Value_Analysis_-_Sheet_13"/>
      <sheetName val="Agadir_Dyn_53"/>
      <sheetName val="Agadir_Dyn_13"/>
      <sheetName val="Agadir_Dyn_23"/>
      <sheetName val="Agadir_Dyn_33"/>
      <sheetName val="Agadir_Dyn_43"/>
      <sheetName val="Agadir_Dyn_63"/>
      <sheetName val="Agadir_TU5_Stat_7_3"/>
      <sheetName val="ST_2,03"/>
      <sheetName val="précadrage_après_chantier3"/>
      <sheetName val="TAB_REG3"/>
      <sheetName val="planning_VRS_1_T93"/>
      <sheetName val="Value_Summary3"/>
      <sheetName val="MARGE_A76_J03"/>
      <sheetName val="PRF_et_PVR_CHIFFRAGE_CEP3"/>
      <sheetName val="Variables_Common3"/>
      <sheetName val="Ratio_20163"/>
      <sheetName val="PRF_et_PVR_B0_A583"/>
      <sheetName val="Hebel_Namen3"/>
      <sheetName val="DA_+_CDE3"/>
      <sheetName val="Avant_choix_FNR3"/>
      <sheetName val="Après_choix_FNR3"/>
      <sheetName val="RéférentielModules_charges_CMO3"/>
      <sheetName val="2__General_Input3"/>
      <sheetName val="FP_CHARGE3"/>
      <sheetName val="Suivi_des_objectifs_-R833"/>
      <sheetName val="Vx_positionnement3"/>
      <sheetName val="Mulet_&amp;_Véh__sans_GMP3"/>
      <sheetName val="Valo_Proto3"/>
      <sheetName val="Récapitulatif_20043"/>
      <sheetName val="Assump_3"/>
      <sheetName val="Liste_affaires2"/>
      <sheetName val="Référentiel_HA_V102"/>
      <sheetName val="EB_NA2"/>
      <sheetName val="Menu_déroulant2"/>
      <sheetName val="Animation_RT2"/>
      <sheetName val="KPI_2"/>
      <sheetName val="Choice_list2"/>
      <sheetName val="PPS00_ALTER291"/>
      <sheetName val="PPCT_T61"/>
      <sheetName val="PPCT_T41"/>
      <sheetName val="Données_pour_graph_P54C"/>
      <sheetName val="Données_pour_graph_C41"/>
      <sheetName val="BEV_EU&amp;WW__-Full_ZEV_2030__Flat"/>
      <sheetName val="1-List_of_Packaging"/>
      <sheetName val="2-Transfert_VS_"/>
      <sheetName val="Convoi_FNR_PACKMAN"/>
      <sheetName val="SEATS_Presta"/>
      <sheetName val="KPI_Completo"/>
      <sheetName val="Base_de_dados_-_DI"/>
      <sheetName val="수리결과"/>
      <sheetName val="OFFRE 3 Final"/>
      <sheetName val="Incidencias 3"/>
      <sheetName val="ECOM Mensuel"/>
      <sheetName val="ECOM Periodique"/>
      <sheetName val="tag_list2"/>
      <sheetName val="CAPSA_dept2"/>
      <sheetName val="P509-65_T02"/>
      <sheetName val="XLR_NoRangeSheet"/>
      <sheetName val="PAGE6 M"/>
      <sheetName val="form26"/>
      <sheetName val="Sheet118"/>
      <sheetName val="TAB. DON. ISSUE"/>
      <sheetName val="Rech. Sol.  + Vér. sur Site"/>
      <sheetName val="TAB. DON. ECR"/>
      <sheetName val="PERIMETRE_A765"/>
      <sheetName val="Volumes_et_mix_PERIODE_(2)5"/>
      <sheetName val="Volumes_et_mix_PERIODE5"/>
      <sheetName val="véh_réf_A7_-_produit5"/>
      <sheetName val="Mix_CC_pays5"/>
      <sheetName val="Mix_CC5"/>
      <sheetName val="contruction_des_PRF5"/>
      <sheetName val="détail_des_marges_par_versions5"/>
      <sheetName val="kit_PRF_J0_5"/>
      <sheetName val="options_prév_5"/>
      <sheetName val="frais_approche5"/>
      <sheetName val="Value_Analysis_-_Sheet_14"/>
      <sheetName val="Agadir_Dyn_54"/>
      <sheetName val="Agadir_Dyn_14"/>
      <sheetName val="Agadir_Dyn_24"/>
      <sheetName val="Agadir_Dyn_34"/>
      <sheetName val="Agadir_Dyn_44"/>
      <sheetName val="Agadir_Dyn_64"/>
      <sheetName val="Agadir_TU5_Stat_7_4"/>
      <sheetName val="ST_2,04"/>
      <sheetName val="précadrage_après_chantier4"/>
      <sheetName val="TAB_REG4"/>
      <sheetName val="planning_VRS_1_T94"/>
      <sheetName val="Value_Summary4"/>
      <sheetName val="MARGE_A76_J04"/>
      <sheetName val="PRF_et_PVR_CHIFFRAGE_CEP4"/>
      <sheetName val="Variables_Common4"/>
      <sheetName val="Ratio_20164"/>
      <sheetName val="DA_+_CDE4"/>
      <sheetName val="Hebel_Namen4"/>
      <sheetName val="PRF_et_PVR_B0_A584"/>
      <sheetName val="Avant_choix_FNR4"/>
      <sheetName val="Après_choix_FNR4"/>
      <sheetName val="RéférentielModules_charges_CMO4"/>
      <sheetName val="2__General_Input4"/>
      <sheetName val="FP_CHARGE4"/>
      <sheetName val="Suivi_des_objectifs_-R834"/>
      <sheetName val="Vx_positionnement4"/>
      <sheetName val="Mulet_&amp;_Véh__sans_GMP4"/>
      <sheetName val="Valo_Proto4"/>
      <sheetName val="Récapitulatif_20044"/>
      <sheetName val="Assump_4"/>
      <sheetName val="Liste_affaires3"/>
      <sheetName val="EB_NA3"/>
      <sheetName val="Référentiel_HA_V103"/>
      <sheetName val="Menu_déroulant3"/>
      <sheetName val="Animation_RT3"/>
      <sheetName val="KPI_3"/>
      <sheetName val="Choice_list3"/>
      <sheetName val="tag_list3"/>
      <sheetName val="CAPSA_dept3"/>
      <sheetName val="P509-65_T03"/>
      <sheetName val="PPS00_ALTER292"/>
      <sheetName val="PPCT_T62"/>
      <sheetName val="PPCT_T42"/>
      <sheetName val="Données_pour_graph_P54C1"/>
      <sheetName val="Données_pour_graph_C411"/>
      <sheetName val="BEV_EU&amp;WW__-Full_ZEV_2030__Fla1"/>
      <sheetName val="KPI_Completo1"/>
      <sheetName val="Base_de_dados_-_DI1"/>
      <sheetName val="1-List_of_Packaging1"/>
      <sheetName val="2-Transfert_VS_1"/>
      <sheetName val="Convoi_FNR_PACKMAN1"/>
      <sheetName val="SEATS_Presta1"/>
      <sheetName val="ECOM_Mensuel"/>
      <sheetName val="ECOM_Periodique"/>
      <sheetName val="OFFRE_3_Final"/>
      <sheetName val="Incidencias_3"/>
      <sheetName val="PAGE6_M"/>
      <sheetName val="PREVDEPAC"/>
      <sheetName val="GLOBAL POWERTRAIN"/>
      <sheetName val="Change"/>
      <sheetName val="Hypothèses"/>
      <sheetName val="VA"/>
      <sheetName val="PRESENTATION"/>
      <sheetName val="Value Summary Citroën"/>
      <sheetName val="Dealer Code Lookup Table"/>
      <sheetName val="Synthèse Diversité"/>
      <sheetName val="Porte"/>
      <sheetName val="Ev base"/>
      <sheetName val="infos"/>
      <sheetName val="FST_Individuel ACTIF"/>
      <sheetName val="CDC_G"/>
      <sheetName val="ACCN51"/>
      <sheetName val="PLATEFORME"/>
      <sheetName val="Rev Commitment"/>
      <sheetName val="Complexity Roadmap"/>
      <sheetName val="PERIMETRE_A766"/>
      <sheetName val="Volumes_et_mix_PERIODE_(2)6"/>
      <sheetName val="Volumes_et_mix_PERIODE6"/>
      <sheetName val="véh_réf_A7_-_produit6"/>
      <sheetName val="Mix_CC_pays6"/>
      <sheetName val="Mix_CC6"/>
      <sheetName val="contruction_des_PRF6"/>
      <sheetName val="détail_des_marges_par_versions6"/>
      <sheetName val="kit_PRF_J0_6"/>
      <sheetName val="options_prév_6"/>
      <sheetName val="frais_approche6"/>
      <sheetName val="Value_Analysis_-_Sheet_15"/>
      <sheetName val="Agadir_Dyn_55"/>
      <sheetName val="Agadir_Dyn_15"/>
      <sheetName val="Agadir_Dyn_25"/>
      <sheetName val="Agadir_Dyn_35"/>
      <sheetName val="Agadir_Dyn_45"/>
      <sheetName val="Agadir_Dyn_65"/>
      <sheetName val="Agadir_TU5_Stat_7_5"/>
      <sheetName val="ST_2,05"/>
      <sheetName val="précadrage_après_chantier5"/>
      <sheetName val="TAB_REG5"/>
      <sheetName val="planning_VRS_1_T95"/>
      <sheetName val="Value_Summary5"/>
      <sheetName val="MARGE_A76_J05"/>
      <sheetName val="PRF_et_PVR_CHIFFRAGE_CEP5"/>
      <sheetName val="Variables_Common5"/>
      <sheetName val="Ratio_20165"/>
      <sheetName val="PRF_et_PVR_B0_A585"/>
      <sheetName val="Hebel_Namen5"/>
      <sheetName val="DA_+_CDE5"/>
      <sheetName val="Avant_choix_FNR5"/>
      <sheetName val="Après_choix_FNR5"/>
      <sheetName val="RéférentielModules_charges_CMO5"/>
      <sheetName val="2__General_Input5"/>
      <sheetName val="FP_CHARGE5"/>
      <sheetName val="Suivi_des_objectifs_-R835"/>
      <sheetName val="Vx_positionnement5"/>
      <sheetName val="Mulet_&amp;_Véh__sans_GMP5"/>
      <sheetName val="Valo_Proto5"/>
      <sheetName val="Récapitulatif_20045"/>
      <sheetName val="Assump_5"/>
      <sheetName val="Liste_affaires4"/>
      <sheetName val="Référentiel_HA_V104"/>
      <sheetName val="EB_NA4"/>
      <sheetName val="Menu_déroulant4"/>
      <sheetName val="Animation_RT4"/>
      <sheetName val="KPI_4"/>
      <sheetName val="Choice_list4"/>
      <sheetName val="tag_list4"/>
      <sheetName val="CAPSA_dept4"/>
      <sheetName val="P509-65_T04"/>
      <sheetName val="PPS00_ALTER293"/>
      <sheetName val="PPCT_T63"/>
      <sheetName val="PPCT_T43"/>
      <sheetName val="Données_pour_graph_P54C2"/>
      <sheetName val="Données_pour_graph_C412"/>
      <sheetName val="SEATS_Presta2"/>
      <sheetName val="BEV_EU&amp;WW__-Full_ZEV_2030__Fla2"/>
      <sheetName val="KPI_Completo2"/>
      <sheetName val="Base_de_dados_-_DI2"/>
      <sheetName val="1-List_of_Packaging2"/>
      <sheetName val="2-Transfert_VS_2"/>
      <sheetName val="Convoi_FNR_PACKMAN2"/>
      <sheetName val="OFFRE_3_Final1"/>
      <sheetName val="Incidencias_31"/>
      <sheetName val="ECOM_Mensuel1"/>
      <sheetName val="ECOM_Periodique1"/>
      <sheetName val="PAGE6_M1"/>
      <sheetName val="TAB__DON__ISSUE"/>
      <sheetName val="Rech__Sol___+_Vér__sur_Site"/>
      <sheetName val="TAB__DON__ECR"/>
      <sheetName val="BCI Synthesis"/>
      <sheetName val="CA Comp"/>
      <sheetName val="Company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sheetData sheetId="246"/>
      <sheetData sheetId="247"/>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efreshError="1"/>
      <sheetData sheetId="318"/>
      <sheetData sheetId="319"/>
      <sheetData sheetId="320"/>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sheetData sheetId="389"/>
      <sheetData sheetId="390"/>
      <sheetData sheetId="391" refreshError="1"/>
      <sheetData sheetId="392" refreshError="1"/>
      <sheetData sheetId="393" refreshError="1"/>
      <sheetData sheetId="394"/>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ozeryserru"/>
      <sheetName val="trav-trans "/>
      <sheetName val="PREVSVO"/>
      <sheetName val="PREVSVO (2)"/>
      <sheetName val="caddesti"/>
      <sheetName val="STOCKAP"/>
      <sheetName val="STOCK "/>
      <sheetName val="destailcp"/>
      <sheetName val="feuille garde"/>
      <sheetName val=" garde "/>
      <sheetName val="3009"/>
      <sheetName val="3110"/>
      <sheetName val="10"/>
      <sheetName val="RATIO-R-CP-RES"/>
      <sheetName val="A.P."/>
      <sheetName val="A.P.+ AUTRES"/>
      <sheetName val="A.P.mois"/>
      <sheetName val="A.P.+ AUTRES mois"/>
      <sheetName val="C.P._C.P. A.P."/>
      <sheetName val="C.P._C.P."/>
      <sheetName val="budget_C.P. A.P. "/>
      <sheetName val="BUDGET_ C.P."/>
      <sheetName val="REEL-PREV "/>
      <sheetName val="REEL+PREV RATIO"/>
      <sheetName val="RATIO R-CP-RES- AP"/>
      <sheetName val="DETAIL AP"/>
      <sheetName val="AP"/>
      <sheetName val="DMC"/>
      <sheetName val="SODEXA"/>
      <sheetName val="IMPORT"/>
      <sheetName val="REPR VVP"/>
      <sheetName val="A.MARQUES"/>
      <sheetName val="FILIALE "/>
      <sheetName val="TOTAL"/>
      <sheetName val="DEPAP"/>
      <sheetName val="DEPAMARQUES"/>
      <sheetName val="DEPREP"/>
      <sheetName val="DEPDMC"/>
      <sheetName val="DEPSOD"/>
      <sheetName val="DEPIMP"/>
      <sheetName val="DEPFIL"/>
      <sheetName val="DEPTOTAL"/>
      <sheetName val="caddestibudget"/>
      <sheetName val="STOCKAPbudget"/>
      <sheetName val="STOCKbudget"/>
      <sheetName val="destailbudget"/>
      <sheetName val="detail apbudget"/>
      <sheetName val="apBUDGET"/>
      <sheetName val="DMCbudget"/>
      <sheetName val="sodexabudget"/>
      <sheetName val="importbudget"/>
      <sheetName val="repvvpbudget"/>
      <sheetName val="fililalebudget"/>
      <sheetName val="total budget"/>
      <sheetName val="#REF"/>
      <sheetName val="CP121999"/>
      <sheetName val="vardepre"/>
      <sheetName val="Garde"/>
      <sheetName val="Sommaire"/>
      <sheetName val="1"/>
      <sheetName val="2"/>
      <sheetName val="3"/>
      <sheetName val="4-5"/>
      <sheetName val="6"/>
      <sheetName val="7"/>
      <sheetName val="8"/>
      <sheetName val="9"/>
      <sheetName val="11"/>
      <sheetName val="12"/>
      <sheetName val="13"/>
      <sheetName val="14"/>
      <sheetName val="Variance"/>
      <sheetName val="VO"/>
      <sheetName val="Feuil1"/>
      <sheetName val="Marge OP REEL 2004"/>
      <sheetName val="Italie bdg 2005"/>
      <sheetName val="Italie bdg 2005 AO"/>
      <sheetName val="BDG MENS "/>
      <sheetName val="BDG MENS A0"/>
      <sheetName val="ITALIE"/>
      <sheetName val="ITA VP"/>
      <sheetName val="ITA VU"/>
      <sheetName val="ITA VTE"/>
      <sheetName val="ITA VCAR"/>
      <sheetName val="CP 03 A0"/>
      <sheetName val="Sheet1"/>
      <sheetName val="Sheet2"/>
      <sheetName val="Sheet3"/>
      <sheetName val="bd_ap"/>
      <sheetName val="bd_ac"/>
      <sheetName val=" lozery_x001c_Ò_x0012__x0000_E"/>
      <sheetName val=""/>
      <sheetName val="DE"/>
      <sheetName val="Mise à jour "/>
      <sheetName val="ADMC"/>
      <sheetName val="ALLEMAGNE"/>
      <sheetName val="MANUELCAMPAYS "/>
      <sheetName val="Paramètres"/>
      <sheetName val="PERIMETRE A76"/>
      <sheetName val="Cadences"/>
      <sheetName val="Données"/>
      <sheetName val="zx"/>
      <sheetName val="PG"/>
      <sheetName val="FINANC"/>
      <sheetName val="Import2"/>
      <sheetName val="DAIC"/>
      <sheetName val="TOUS"/>
      <sheetName val="global"/>
      <sheetName val="PARA"/>
      <sheetName val=" lozery_x001c_Ò_x0012_?E"/>
      <sheetName val="Variables Common"/>
      <sheetName val="TAB MOD"/>
      <sheetName val="TAB REG"/>
      <sheetName val="INTERFACE"/>
      <sheetName val="data_sources"/>
      <sheetName val="Kit PRF X8-9"/>
      <sheetName val="DEXF1 CYC"/>
      <sheetName val="param"/>
      <sheetName val="BKDown"/>
      <sheetName val="PR6mois"/>
      <sheetName val="Emprunt"/>
      <sheetName val="Page 4&amp;5"/>
      <sheetName val="PSA_DF"/>
      <sheetName val="Value Analysis - Sheet 1"/>
      <sheetName val="Basis"/>
      <sheetName val="CAMPAIGN AVERAGE F"/>
      <sheetName val=" lozery_x001c_Ò_x0012_"/>
      <sheetName val=" lozery_x001c_Ò_x0012__E"/>
      <sheetName val="EST2000"/>
      <sheetName val="1stqtr"/>
      <sheetName val="2ndqtr"/>
      <sheetName val="Fiesta"/>
      <sheetName val="ECOM Periodique"/>
      <sheetName val="ECOM Mensuel"/>
      <sheetName val="Cartouche"/>
      <sheetName val="Volume  2005"/>
      <sheetName val="2002CB"/>
      <sheetName val="ACCUEIL"/>
      <sheetName val="ECOM Men FAM AP"/>
      <sheetName val="SMON Per FAM AP"/>
      <sheetName val="SMON Per FAM AC"/>
      <sheetName val="SMON Men FAM AP"/>
      <sheetName val="SMON Men FAM AC"/>
      <sheetName val="Comparac"/>
      <sheetName val="fondo promedio"/>
      <sheetName val="GRÁFICO DE FONDO POR AFILIADO"/>
      <sheetName val="PARAMETRES"/>
      <sheetName val="PARAME"/>
      <sheetName val="STR"/>
      <sheetName val="variables"/>
      <sheetName val="Achats"/>
      <sheetName val="Presentation"/>
      <sheetName val="Pénétrations"/>
      <sheetName val="Balance"/>
      <sheetName val="Selling Summary"/>
      <sheetName val="Chiffrage(total feuil.)"/>
      <sheetName val="Chiffrage (307)"/>
      <sheetName val="Chiffrage (406)"/>
      <sheetName val="PARC"/>
      <sheetName val="Taux_MO_2004"/>
      <sheetName val="GHIA berl"/>
      <sheetName val="Données CHARxxx.wk1_A1"/>
      <sheetName val="FRANCE"/>
      <sheetName val="Plan3"/>
      <sheetName val="YKH"/>
      <sheetName val="96totcstsum"/>
      <sheetName val="306"/>
      <sheetName val="Config liste deroulante"/>
      <sheetName val="ARGIMMAT"/>
      <sheetName val="Marge Com Invoices"/>
      <sheetName val="MCV"/>
      <sheetName val="RBCV"/>
      <sheetName val="P&amp;L Cumul"/>
      <sheetName val="P&amp;L M"/>
      <sheetName val="HISTORICO"/>
      <sheetName val="Parameters"/>
      <sheetName val="Recherche"/>
      <sheetName val="Macro1"/>
      <sheetName val="BILAN MECA 2"/>
      <sheetName val="realfrns"/>
      <sheetName val="Tools"/>
      <sheetName val="Macro5"/>
      <sheetName val="PVR FRA"/>
      <sheetName val="page1 (f)"/>
      <sheetName val="Evolutions"/>
      <sheetName val="Assumptions"/>
      <sheetName val="list param"/>
      <sheetName val="Prév Tréso"/>
      <sheetName val="Gamme Enveloppe €4"/>
      <sheetName val="AMO"/>
      <sheetName val=" lozery_x005f_x001c_Ò_x005f_x0012__x005f_x0000_E"/>
      <sheetName val=" lozery_x005f_x001c_Ò_x005f_x0012_?E"/>
      <sheetName val=" lozery_x005f_x001c_Ò_x005f_x0012_"/>
      <sheetName val=" lozery_x005f_x001c_Ò_x005f_x0012__E"/>
      <sheetName val=" lozery_x005f_x005f_x005f_x001c_Ò_x005f_x005f_x00"/>
      <sheetName val=" lozery_x005f_x005f_x005f_x005f_x005f_x005f_x001c"/>
      <sheetName val="MOTO"/>
      <sheetName val=" lozery_x005f_x005f_x005f_x005f_x005f_x005f_x005f"/>
      <sheetName val="Panier Avant"/>
      <sheetName val="Panier Arriere"/>
      <sheetName val="Panier Latéral"/>
      <sheetName val="Simu VF LLD"/>
      <sheetName val="F 1.2"/>
      <sheetName val="기안"/>
      <sheetName val="volumes PF"/>
      <sheetName val="Datos"/>
      <sheetName val="HypoPxC4"/>
      <sheetName val="A94 Socle"/>
      <sheetName val="Summary"/>
      <sheetName val="1-List of Packaging"/>
      <sheetName val="2-Transfert VS "/>
      <sheetName val="Convoi FNR PACKMAN"/>
      <sheetName val="3-TCD-CONVOI-FNR-PACKMAN"/>
      <sheetName val="3-convoi_packman"/>
      <sheetName val="CAT_P"/>
      <sheetName val="630-Step1"/>
      <sheetName val="630-Step2"/>
      <sheetName val="Catalogue-Emb"/>
      <sheetName val="PACK_U9"/>
      <sheetName val="Amont"/>
      <sheetName val="Invest_Affaires"/>
      <sheetName val="_lozeryserru"/>
      <sheetName val="trav-trans_"/>
      <sheetName val="PREVSVO_(2)"/>
      <sheetName val="STOCK_"/>
      <sheetName val="feuille_garde"/>
      <sheetName val="_garde_"/>
      <sheetName val="A_P_"/>
      <sheetName val="A_P_+_AUTRES"/>
      <sheetName val="A_P_mois"/>
      <sheetName val="A_P_+_AUTRES_mois"/>
      <sheetName val="C_P__C_P__A_P_"/>
      <sheetName val="C_P__C_P_"/>
      <sheetName val="budget_C_P__A_P__"/>
      <sheetName val="BUDGET__C_P_"/>
      <sheetName val="REEL-PREV_"/>
      <sheetName val="REEL+PREV_RATIO"/>
      <sheetName val="RATIO_R-CP-RES-_AP"/>
      <sheetName val="DETAIL_AP"/>
      <sheetName val="REPR_VVP"/>
      <sheetName val="A_MARQUES"/>
      <sheetName val="FILIALE_"/>
      <sheetName val="detail_apbudget"/>
      <sheetName val="total_budget"/>
      <sheetName val="Marge_OP_REEL_2004"/>
      <sheetName val="Italie_bdg_2005"/>
      <sheetName val="Italie_bdg_2005_AO"/>
      <sheetName val="BDG_MENS_"/>
      <sheetName val="BDG_MENS_A0"/>
      <sheetName val="ITA_VP"/>
      <sheetName val="ITA_VU"/>
      <sheetName val="ITA_VTE"/>
      <sheetName val="ITA_VCAR"/>
      <sheetName val="CP_03_A0"/>
      <sheetName val="_lozeryÒE"/>
      <sheetName val="Mise_à_jour_"/>
      <sheetName val="MANUELCAMPAYS_"/>
      <sheetName val="PERIMETRE_A76"/>
      <sheetName val="Kit_PRF_X8-9"/>
      <sheetName val="_lozeryÒ?E"/>
      <sheetName val="Variables_Common"/>
      <sheetName val="DEXF1_CYC"/>
      <sheetName val="TAB_MOD"/>
      <sheetName val="TAB_REG"/>
      <sheetName val="Page_4&amp;5"/>
      <sheetName val="Value_Analysis_-_Sheet_1"/>
      <sheetName val="CAMPAIGN_AVERAGE_F"/>
      <sheetName val="_lozeryÒ"/>
      <sheetName val="_lozeryÒ_E"/>
      <sheetName val="ECOM_Mensuel"/>
      <sheetName val="ECOM_Periodique"/>
      <sheetName val="Volume__2005"/>
      <sheetName val="ECOM_Men_FAM_AP"/>
      <sheetName val="SMON_Per_FAM_AP"/>
      <sheetName val="SMON_Per_FAM_AC"/>
      <sheetName val="SMON_Men_FAM_AP"/>
      <sheetName val="SMON_Men_FAM_AC"/>
      <sheetName val="fondo_promedio"/>
      <sheetName val="GRÁFICO_DE_FONDO_POR_AFILIADO"/>
      <sheetName val="GHIA_berl"/>
      <sheetName val="Données_CHARxxx_wk1_A1"/>
      <sheetName val="Chiffrage(total_feuil_)"/>
      <sheetName val="Chiffrage_(307)"/>
      <sheetName val="Chiffrage_(406)"/>
      <sheetName val="Selling_Summary"/>
      <sheetName val="Marge_Com_Invoices"/>
      <sheetName val="P&amp;L_Cumul"/>
      <sheetName val="P&amp;L_M"/>
      <sheetName val="Config_liste_deroulante"/>
      <sheetName val="Hypothèses"/>
      <sheetName val="部门申报"/>
      <sheetName val="1.7"/>
      <sheetName val="Lande_Mix"/>
      <sheetName val="ECOLOGIA"/>
      <sheetName val="BILAN_MECA_2"/>
      <sheetName val="PVR_FRA"/>
      <sheetName val="page1_(f)"/>
      <sheetName val="list_param"/>
      <sheetName val="Gamme_Enveloppe_€4"/>
      <sheetName val="Prév_Tréso"/>
      <sheetName val="_lozery_x005f_x001c_Ò_x005f_x0012__x005f_x0000_E"/>
      <sheetName val="_lozery_x005f_x001c_Ò_x005f_x0012_?E"/>
      <sheetName val="_lozery_x005f_x001c_Ò_x005f_x0012_"/>
      <sheetName val="_lozery_x005f_x001c_Ò_x005f_x0012__E"/>
      <sheetName val="_lozery_x005f_x005f_x005f_x001c_Ò_x005f_x005f_x00"/>
      <sheetName val="_lozery_x005f_x005f_x005f_x005f_x005f_x005f_x001c"/>
      <sheetName val="_lozery_x005f_x005f_x005f_x005f_x005f_x005f_x005f"/>
      <sheetName val="Panier_Avant"/>
      <sheetName val="Panier_Arriere"/>
      <sheetName val="Panier_Latéral"/>
      <sheetName val="Simu_VF_LLD"/>
      <sheetName val="F_1_2"/>
      <sheetName val="volumes_PF"/>
      <sheetName val="A94_Socle"/>
      <sheetName val="1_7"/>
      <sheetName val="1-List_of_Packaging"/>
      <sheetName val="2-Transfert_VS_"/>
      <sheetName val="Convoi_FNR_PACKMAN"/>
      <sheetName val="EurotoolsXRates"/>
      <sheetName val="94_Qtr"/>
      <sheetName val="Synthèse"/>
      <sheetName val="D"/>
      <sheetName val="PVR PRF"/>
      <sheetName val="_lozeryserru1"/>
      <sheetName val="trav-trans_1"/>
      <sheetName val="PREVSVO_(2)1"/>
      <sheetName val="STOCK_1"/>
      <sheetName val="feuille_garde1"/>
      <sheetName val="_garde_1"/>
      <sheetName val="A_P_1"/>
      <sheetName val="A_P_+_AUTRES1"/>
      <sheetName val="A_P_mois1"/>
      <sheetName val="A_P_+_AUTRES_mois1"/>
      <sheetName val="C_P__C_P__A_P_1"/>
      <sheetName val="C_P__C_P_1"/>
      <sheetName val="budget_C_P__A_P__1"/>
      <sheetName val="BUDGET__C_P_1"/>
      <sheetName val="REEL-PREV_1"/>
      <sheetName val="REEL+PREV_RATIO1"/>
      <sheetName val="RATIO_R-CP-RES-_AP1"/>
      <sheetName val="DETAIL_AP1"/>
      <sheetName val="REPR_VVP1"/>
      <sheetName val="A_MARQUES1"/>
      <sheetName val="FILIALE_1"/>
      <sheetName val="detail_apbudget1"/>
      <sheetName val="total_budget1"/>
      <sheetName val="Marge_OP_REEL_20041"/>
      <sheetName val="Italie_bdg_20051"/>
      <sheetName val="Italie_bdg_2005_AO1"/>
      <sheetName val="BDG_MENS_1"/>
      <sheetName val="BDG_MENS_A01"/>
      <sheetName val="ITA_VP1"/>
      <sheetName val="ITA_VU1"/>
      <sheetName val="ITA_VTE1"/>
      <sheetName val="ITA_VCAR1"/>
      <sheetName val="CP_03_A01"/>
      <sheetName val="Mise_à_jour_1"/>
      <sheetName val="MANUELCAMPAYS_1"/>
      <sheetName val="PERIMETRE_A761"/>
      <sheetName val="Variables_Common1"/>
      <sheetName val="DEXF1_CYC1"/>
      <sheetName val="Kit_PRF_X8-91"/>
      <sheetName val="TAB_MOD1"/>
      <sheetName val="TAB_REG1"/>
      <sheetName val="Page_4&amp;51"/>
      <sheetName val="Value_Analysis_-_Sheet_11"/>
      <sheetName val="CAMPAIGN_AVERAGE_F1"/>
      <sheetName val="ECOM_Mensuel1"/>
      <sheetName val="ECOM_Periodique1"/>
      <sheetName val="Volume__20051"/>
      <sheetName val="ECOM_Men_FAM_AP1"/>
      <sheetName val="SMON_Per_FAM_AP1"/>
      <sheetName val="SMON_Per_FAM_AC1"/>
      <sheetName val="SMON_Men_FAM_AP1"/>
      <sheetName val="SMON_Men_FAM_AC1"/>
      <sheetName val="fondo_promedio1"/>
      <sheetName val="GRÁFICO_DE_FONDO_POR_AFILIADO1"/>
      <sheetName val="Chiffrage(total_feuil_)1"/>
      <sheetName val="Chiffrage_(307)1"/>
      <sheetName val="Chiffrage_(406)1"/>
      <sheetName val="Selling_Summary1"/>
      <sheetName val="GHIA_berl1"/>
      <sheetName val="Données_CHARxxx_wk1_A11"/>
      <sheetName val="Marge_Com_Invoices1"/>
      <sheetName val="P&amp;L_Cumul1"/>
      <sheetName val="P&amp;L_M1"/>
      <sheetName val="Config_liste_deroulante1"/>
      <sheetName val="BILAN_MECA_21"/>
      <sheetName val="PVR_FRA1"/>
      <sheetName val="page1_(f)1"/>
      <sheetName val="list_param1"/>
      <sheetName val="Prév_Tréso1"/>
      <sheetName val="Gamme_Enveloppe_€41"/>
      <sheetName val="_lozery_x005f_x001c_Ò_x005f_x0012__x005f_x0000_E1"/>
      <sheetName val="_lozery_x005f_x001c_Ò_x005f_x0012_?E1"/>
      <sheetName val="_lozery_x005f_x001c_Ò_x005f_x0012_1"/>
      <sheetName val="_lozery_x005f_x001c_Ò_x005f_x0012__E1"/>
      <sheetName val="_lozery_x005f_x005f_x005f_x001c_Ò_x005f_x005f_x01"/>
      <sheetName val="_lozery_x005f_x005f_x005f_x005f_x005f_x005f_x0011"/>
      <sheetName val="_lozery_x005f_x005f_x005f_x005f_x005f_x005f_x0051"/>
      <sheetName val="Panier_Avant1"/>
      <sheetName val="Panier_Arriere1"/>
      <sheetName val="Panier_Latéral1"/>
      <sheetName val="Simu_VF_LLD1"/>
      <sheetName val="F_1_21"/>
      <sheetName val="volumes_PF1"/>
      <sheetName val="A94_Socle1"/>
      <sheetName val="1_71"/>
      <sheetName val="1-List_of_Packaging1"/>
      <sheetName val="2-Transfert_VS_1"/>
      <sheetName val="Convoi_FNR_PACKMAN1"/>
      <sheetName val="PVR_PRF"/>
      <sheetName val="_lozeryserru2"/>
      <sheetName val="trav-trans_2"/>
      <sheetName val="PREVSVO_(2)2"/>
      <sheetName val="STOCK_2"/>
      <sheetName val="feuille_garde2"/>
      <sheetName val="_garde_2"/>
      <sheetName val="A_P_2"/>
      <sheetName val="A_P_+_AUTRES2"/>
      <sheetName val="A_P_mois2"/>
      <sheetName val="A_P_+_AUTRES_mois2"/>
      <sheetName val="C_P__C_P__A_P_2"/>
      <sheetName val="C_P__C_P_2"/>
      <sheetName val="budget_C_P__A_P__2"/>
      <sheetName val="BUDGET__C_P_2"/>
      <sheetName val="REEL-PREV_2"/>
      <sheetName val="REEL+PREV_RATIO2"/>
      <sheetName val="RATIO_R-CP-RES-_AP2"/>
      <sheetName val="DETAIL_AP2"/>
      <sheetName val="REPR_VVP2"/>
      <sheetName val="A_MARQUES2"/>
      <sheetName val="FILIALE_2"/>
      <sheetName val="detail_apbudget2"/>
      <sheetName val="total_budget2"/>
      <sheetName val="Marge_OP_REEL_20042"/>
      <sheetName val="Italie_bdg_20052"/>
      <sheetName val="Italie_bdg_2005_AO2"/>
      <sheetName val="BDG_MENS_2"/>
      <sheetName val="BDG_MENS_A02"/>
      <sheetName val="ITA_VP2"/>
      <sheetName val="ITA_VU2"/>
      <sheetName val="ITA_VTE2"/>
      <sheetName val="ITA_VCAR2"/>
      <sheetName val="CP_03_A02"/>
      <sheetName val="Mise_à_jour_2"/>
      <sheetName val="MANUELCAMPAYS_2"/>
      <sheetName val="PERIMETRE_A762"/>
      <sheetName val="Variables_Common2"/>
      <sheetName val="DEXF1_CYC2"/>
      <sheetName val="Kit_PRF_X8-92"/>
      <sheetName val="TAB_MOD2"/>
      <sheetName val="TAB_REG2"/>
      <sheetName val="Page_4&amp;52"/>
      <sheetName val="Value_Analysis_-_Sheet_12"/>
      <sheetName val="CAMPAIGN_AVERAGE_F2"/>
      <sheetName val="ECOM_Mensuel2"/>
      <sheetName val="ECOM_Periodique2"/>
      <sheetName val="Volume__20052"/>
      <sheetName val="ECOM_Men_FAM_AP2"/>
      <sheetName val="SMON_Per_FAM_AP2"/>
      <sheetName val="SMON_Per_FAM_AC2"/>
      <sheetName val="SMON_Men_FAM_AP2"/>
      <sheetName val="SMON_Men_FAM_AC2"/>
      <sheetName val="fondo_promedio2"/>
      <sheetName val="GRÁFICO_DE_FONDO_POR_AFILIADO2"/>
      <sheetName val="Chiffrage(total_feuil_)2"/>
      <sheetName val="Chiffrage_(307)2"/>
      <sheetName val="Chiffrage_(406)2"/>
      <sheetName val="Selling_Summary2"/>
      <sheetName val="GHIA_berl2"/>
      <sheetName val="Données_CHARxxx_wk1_A12"/>
      <sheetName val="Marge_Com_Invoices2"/>
      <sheetName val="P&amp;L_Cumul2"/>
      <sheetName val="P&amp;L_M2"/>
      <sheetName val="Config_liste_deroulante2"/>
      <sheetName val="BILAN_MECA_22"/>
      <sheetName val="PVR_FRA2"/>
      <sheetName val="page1_(f)2"/>
      <sheetName val="list_param2"/>
      <sheetName val="Prév_Tréso2"/>
      <sheetName val="Gamme_Enveloppe_€42"/>
      <sheetName val="_lozery_x005f_x001c_Ò_x005f_x0012__x005f_x0000_E2"/>
      <sheetName val="_lozery_x005f_x001c_Ò_x005f_x0012_?E2"/>
      <sheetName val="_lozery_x005f_x001c_Ò_x005f_x0012_2"/>
      <sheetName val="_lozery_x005f_x001c_Ò_x005f_x0012__E2"/>
      <sheetName val="_lozery_x005f_x005f_x005f_x001c_Ò_x005f_x005f_x02"/>
      <sheetName val="_lozery_x005f_x005f_x005f_x005f_x005f_x005f_x0012"/>
      <sheetName val="_lozery_x005f_x005f_x005f_x005f_x005f_x005f_x0052"/>
      <sheetName val="Panier_Avant2"/>
      <sheetName val="Panier_Arriere2"/>
      <sheetName val="Panier_Latéral2"/>
      <sheetName val="Simu_VF_LLD2"/>
      <sheetName val="F_1_22"/>
      <sheetName val="volumes_PF2"/>
      <sheetName val="A94_Socle2"/>
      <sheetName val="1_72"/>
      <sheetName val="1-List_of_Packaging2"/>
      <sheetName val="2-Transfert_VS_2"/>
      <sheetName val="Convoi_FNR_PACKMAN2"/>
      <sheetName val="PVR_PRF1"/>
      <sheetName val="_lozeryserru4"/>
      <sheetName val="trav-trans_4"/>
      <sheetName val="PREVSVO_(2)4"/>
      <sheetName val="STOCK_4"/>
      <sheetName val="feuille_garde4"/>
      <sheetName val="_garde_4"/>
      <sheetName val="A_P_4"/>
      <sheetName val="A_P_+_AUTRES4"/>
      <sheetName val="A_P_mois4"/>
      <sheetName val="A_P_+_AUTRES_mois4"/>
      <sheetName val="C_P__C_P__A_P_4"/>
      <sheetName val="C_P__C_P_4"/>
      <sheetName val="budget_C_P__A_P__4"/>
      <sheetName val="BUDGET__C_P_4"/>
      <sheetName val="REEL-PREV_4"/>
      <sheetName val="REEL+PREV_RATIO4"/>
      <sheetName val="RATIO_R-CP-RES-_AP4"/>
      <sheetName val="DETAIL_AP4"/>
      <sheetName val="REPR_VVP4"/>
      <sheetName val="A_MARQUES4"/>
      <sheetName val="FILIALE_4"/>
      <sheetName val="detail_apbudget4"/>
      <sheetName val="total_budget4"/>
      <sheetName val="Marge_OP_REEL_20044"/>
      <sheetName val="Italie_bdg_20054"/>
      <sheetName val="Italie_bdg_2005_AO4"/>
      <sheetName val="BDG_MENS_4"/>
      <sheetName val="BDG_MENS_A04"/>
      <sheetName val="ITA_VP4"/>
      <sheetName val="ITA_VU4"/>
      <sheetName val="ITA_VTE4"/>
      <sheetName val="ITA_VCAR4"/>
      <sheetName val="CP_03_A04"/>
      <sheetName val="Mise_à_jour_4"/>
      <sheetName val="MANUELCAMPAYS_4"/>
      <sheetName val="PERIMETRE_A764"/>
      <sheetName val="Variables_Common4"/>
      <sheetName val="DEXF1_CYC4"/>
      <sheetName val="Kit_PRF_X8-94"/>
      <sheetName val="TAB_MOD4"/>
      <sheetName val="TAB_REG4"/>
      <sheetName val="Page_4&amp;54"/>
      <sheetName val="Value_Analysis_-_Sheet_14"/>
      <sheetName val="CAMPAIGN_AVERAGE_F4"/>
      <sheetName val="ECOM_Mensuel4"/>
      <sheetName val="ECOM_Periodique4"/>
      <sheetName val="Volume__20054"/>
      <sheetName val="ECOM_Men_FAM_AP4"/>
      <sheetName val="SMON_Per_FAM_AP4"/>
      <sheetName val="SMON_Per_FAM_AC4"/>
      <sheetName val="SMON_Men_FAM_AP4"/>
      <sheetName val="SMON_Men_FAM_AC4"/>
      <sheetName val="fondo_promedio4"/>
      <sheetName val="GRÁFICO_DE_FONDO_POR_AFILIADO4"/>
      <sheetName val="Chiffrage(total_feuil_)4"/>
      <sheetName val="Chiffrage_(307)4"/>
      <sheetName val="Chiffrage_(406)4"/>
      <sheetName val="Selling_Summary4"/>
      <sheetName val="GHIA_berl4"/>
      <sheetName val="Données_CHARxxx_wk1_A14"/>
      <sheetName val="Marge_Com_Invoices4"/>
      <sheetName val="P&amp;L_Cumul4"/>
      <sheetName val="P&amp;L_M4"/>
      <sheetName val="Config_liste_deroulante4"/>
      <sheetName val="BILAN_MECA_24"/>
      <sheetName val="PVR_FRA4"/>
      <sheetName val="page1_(f)4"/>
      <sheetName val="list_param4"/>
      <sheetName val="Prév_Tréso4"/>
      <sheetName val="Gamme_Enveloppe_€44"/>
      <sheetName val="_lozery_x005f_x001c_Ò_x005f_x0012__x005f_x0000_E4"/>
      <sheetName val="_lozery_x005f_x001c_Ò_x005f_x0012_?E4"/>
      <sheetName val="_lozery_x005f_x001c_Ò_x005f_x0012_4"/>
      <sheetName val="_lozery_x005f_x001c_Ò_x005f_x0012__E4"/>
      <sheetName val="_lozery_x005f_x005f_x005f_x001c_Ò_x005f_x005f_x04"/>
      <sheetName val="_lozery_x005f_x005f_x005f_x005f_x005f_x005f_x0014"/>
      <sheetName val="_lozery_x005f_x005f_x005f_x005f_x005f_x005f_x0054"/>
      <sheetName val="Panier_Avant4"/>
      <sheetName val="Panier_Arriere4"/>
      <sheetName val="Panier_Latéral4"/>
      <sheetName val="Simu_VF_LLD4"/>
      <sheetName val="F_1_24"/>
      <sheetName val="volumes_PF4"/>
      <sheetName val="A94_Socle4"/>
      <sheetName val="1_74"/>
      <sheetName val="1-List_of_Packaging4"/>
      <sheetName val="2-Transfert_VS_4"/>
      <sheetName val="Convoi_FNR_PACKMAN4"/>
      <sheetName val="PVR_PRF3"/>
      <sheetName val="_lozeryserru3"/>
      <sheetName val="trav-trans_3"/>
      <sheetName val="PREVSVO_(2)3"/>
      <sheetName val="STOCK_3"/>
      <sheetName val="feuille_garde3"/>
      <sheetName val="_garde_3"/>
      <sheetName val="A_P_3"/>
      <sheetName val="A_P_+_AUTRES3"/>
      <sheetName val="A_P_mois3"/>
      <sheetName val="A_P_+_AUTRES_mois3"/>
      <sheetName val="C_P__C_P__A_P_3"/>
      <sheetName val="C_P__C_P_3"/>
      <sheetName val="budget_C_P__A_P__3"/>
      <sheetName val="BUDGET__C_P_3"/>
      <sheetName val="REEL-PREV_3"/>
      <sheetName val="REEL+PREV_RATIO3"/>
      <sheetName val="RATIO_R-CP-RES-_AP3"/>
      <sheetName val="DETAIL_AP3"/>
      <sheetName val="REPR_VVP3"/>
      <sheetName val="A_MARQUES3"/>
      <sheetName val="FILIALE_3"/>
      <sheetName val="detail_apbudget3"/>
      <sheetName val="total_budget3"/>
      <sheetName val="Marge_OP_REEL_20043"/>
      <sheetName val="Italie_bdg_20053"/>
      <sheetName val="Italie_bdg_2005_AO3"/>
      <sheetName val="BDG_MENS_3"/>
      <sheetName val="BDG_MENS_A03"/>
      <sheetName val="ITA_VP3"/>
      <sheetName val="ITA_VU3"/>
      <sheetName val="ITA_VTE3"/>
      <sheetName val="ITA_VCAR3"/>
      <sheetName val="CP_03_A03"/>
      <sheetName val="Mise_à_jour_3"/>
      <sheetName val="MANUELCAMPAYS_3"/>
      <sheetName val="PERIMETRE_A763"/>
      <sheetName val="Variables_Common3"/>
      <sheetName val="DEXF1_CYC3"/>
      <sheetName val="Kit_PRF_X8-93"/>
      <sheetName val="TAB_MOD3"/>
      <sheetName val="TAB_REG3"/>
      <sheetName val="Page_4&amp;53"/>
      <sheetName val="Value_Analysis_-_Sheet_13"/>
      <sheetName val="CAMPAIGN_AVERAGE_F3"/>
      <sheetName val="ECOM_Mensuel3"/>
      <sheetName val="ECOM_Periodique3"/>
      <sheetName val="Volume__20053"/>
      <sheetName val="ECOM_Men_FAM_AP3"/>
      <sheetName val="SMON_Per_FAM_AP3"/>
      <sheetName val="SMON_Per_FAM_AC3"/>
      <sheetName val="SMON_Men_FAM_AP3"/>
      <sheetName val="SMON_Men_FAM_AC3"/>
      <sheetName val="fondo_promedio3"/>
      <sheetName val="GRÁFICO_DE_FONDO_POR_AFILIADO3"/>
      <sheetName val="Chiffrage(total_feuil_)3"/>
      <sheetName val="Chiffrage_(307)3"/>
      <sheetName val="Chiffrage_(406)3"/>
      <sheetName val="Selling_Summary3"/>
      <sheetName val="GHIA_berl3"/>
      <sheetName val="Données_CHARxxx_wk1_A13"/>
      <sheetName val="Marge_Com_Invoices3"/>
      <sheetName val="P&amp;L_Cumul3"/>
      <sheetName val="P&amp;L_M3"/>
      <sheetName val="Config_liste_deroulante3"/>
      <sheetName val="BILAN_MECA_23"/>
      <sheetName val="PVR_FRA3"/>
      <sheetName val="page1_(f)3"/>
      <sheetName val="list_param3"/>
      <sheetName val="Prév_Tréso3"/>
      <sheetName val="Gamme_Enveloppe_€43"/>
      <sheetName val="_lozery_x005f_x001c_Ò_x005f_x0012__x005f_x0000_E3"/>
      <sheetName val="_lozery_x005f_x001c_Ò_x005f_x0012_?E3"/>
      <sheetName val="_lozery_x005f_x001c_Ò_x005f_x0012_3"/>
      <sheetName val="_lozery_x005f_x001c_Ò_x005f_x0012__E3"/>
      <sheetName val="_lozery_x005f_x005f_x005f_x001c_Ò_x005f_x005f_x03"/>
      <sheetName val="_lozery_x005f_x005f_x005f_x005f_x005f_x005f_x0013"/>
      <sheetName val="_lozery_x005f_x005f_x005f_x005f_x005f_x005f_x0053"/>
      <sheetName val="Panier_Avant3"/>
      <sheetName val="Panier_Arriere3"/>
      <sheetName val="Panier_Latéral3"/>
      <sheetName val="Simu_VF_LLD3"/>
      <sheetName val="F_1_23"/>
      <sheetName val="volumes_PF3"/>
      <sheetName val="A94_Socle3"/>
      <sheetName val="1_73"/>
      <sheetName val="1-List_of_Packaging3"/>
      <sheetName val="2-Transfert_VS_3"/>
      <sheetName val="Convoi_FNR_PACKMAN3"/>
      <sheetName val="PVR_PRF2"/>
      <sheetName val="_lozeryserru5"/>
      <sheetName val="trav-trans_5"/>
      <sheetName val="PREVSVO_(2)5"/>
      <sheetName val="STOCK_5"/>
      <sheetName val="feuille_garde5"/>
      <sheetName val="_garde_5"/>
      <sheetName val="A_P_5"/>
      <sheetName val="A_P_+_AUTRES5"/>
      <sheetName val="A_P_mois5"/>
      <sheetName val="A_P_+_AUTRES_mois5"/>
      <sheetName val="C_P__C_P__A_P_5"/>
      <sheetName val="C_P__C_P_5"/>
      <sheetName val="budget_C_P__A_P__5"/>
      <sheetName val="BUDGET__C_P_5"/>
      <sheetName val="REEL-PREV_5"/>
      <sheetName val="REEL+PREV_RATIO5"/>
      <sheetName val="RATIO_R-CP-RES-_AP5"/>
      <sheetName val="DETAIL_AP5"/>
      <sheetName val="REPR_VVP5"/>
      <sheetName val="A_MARQUES5"/>
      <sheetName val="FILIALE_5"/>
      <sheetName val="detail_apbudget5"/>
      <sheetName val="total_budget5"/>
      <sheetName val="Marge_OP_REEL_20045"/>
      <sheetName val="Italie_bdg_20055"/>
      <sheetName val="Italie_bdg_2005_AO5"/>
      <sheetName val="BDG_MENS_5"/>
      <sheetName val="BDG_MENS_A05"/>
      <sheetName val="ITA_VP5"/>
      <sheetName val="ITA_VU5"/>
      <sheetName val="ITA_VTE5"/>
      <sheetName val="ITA_VCAR5"/>
      <sheetName val="CP_03_A05"/>
      <sheetName val="Mise_à_jour_5"/>
      <sheetName val="MANUELCAMPAYS_5"/>
      <sheetName val="PERIMETRE_A765"/>
      <sheetName val="Variables_Common5"/>
      <sheetName val="TAB_MOD5"/>
      <sheetName val="TAB_REG5"/>
      <sheetName val="Kit_PRF_X8-95"/>
      <sheetName val="DEXF1_CYC5"/>
      <sheetName val="Page_4&amp;55"/>
      <sheetName val="Value_Analysis_-_Sheet_15"/>
      <sheetName val="CAMPAIGN_AVERAGE_F5"/>
      <sheetName val="ECOM_Periodique5"/>
      <sheetName val="ECOM_Mensuel5"/>
      <sheetName val="Volume__20055"/>
      <sheetName val="ECOM_Men_FAM_AP5"/>
      <sheetName val="SMON_Per_FAM_AP5"/>
      <sheetName val="SMON_Per_FAM_AC5"/>
      <sheetName val="SMON_Men_FAM_AP5"/>
      <sheetName val="SMON_Men_FAM_AC5"/>
      <sheetName val="fondo_promedio5"/>
      <sheetName val="GRÁFICO_DE_FONDO_POR_AFILIADO5"/>
      <sheetName val="GHIA_berl5"/>
      <sheetName val="Selling_Summary5"/>
      <sheetName val="Chiffrage(total_feuil_)5"/>
      <sheetName val="Chiffrage_(307)5"/>
      <sheetName val="Chiffrage_(406)5"/>
      <sheetName val="Données_CHARxxx_wk1_A15"/>
      <sheetName val="Marge_Com_Invoices5"/>
      <sheetName val="P&amp;L_Cumul5"/>
      <sheetName val="P&amp;L_M5"/>
      <sheetName val="Config_liste_deroulante5"/>
      <sheetName val="BILAN_MECA_25"/>
      <sheetName val="PVR_FRA5"/>
      <sheetName val="page1_(f)5"/>
      <sheetName val="list_param5"/>
      <sheetName val="Prév_Tréso5"/>
      <sheetName val="Gamme_Enveloppe_€45"/>
      <sheetName val="_lozery_x005f_x001c_Ò_x005f_x0012__x005f_x0000_E5"/>
      <sheetName val="_lozery_x005f_x001c_Ò_x005f_x0012_?E5"/>
      <sheetName val="_lozery_x005f_x001c_Ò_x005f_x0012_5"/>
      <sheetName val="_lozery_x005f_x001c_Ò_x005f_x0012__E5"/>
      <sheetName val="_lozery_x005f_x005f_x005f_x001c_Ò_x005f_x005f_x05"/>
      <sheetName val="_lozery_x005f_x005f_x005f_x005f_x005f_x005f_x0015"/>
      <sheetName val="_lozery_x005f_x005f_x005f_x005f_x005f_x005f_x0055"/>
      <sheetName val="Panier_Avant5"/>
      <sheetName val="Panier_Arriere5"/>
      <sheetName val="Panier_Latéral5"/>
      <sheetName val="Simu_VF_LLD5"/>
      <sheetName val="F_1_25"/>
      <sheetName val="volumes_PF5"/>
      <sheetName val="1_75"/>
      <sheetName val="A94_Socle5"/>
      <sheetName val="1-List_of_Packaging5"/>
      <sheetName val="2-Transfert_VS_5"/>
      <sheetName val="Convoi_FNR_PACKMAN5"/>
      <sheetName val="PVR_PRF4"/>
      <sheetName val="B587_SUISSE"/>
      <sheetName val="MO"/>
      <sheetName val=" lozery_x005f_x001c_Ò_x00"/>
      <sheetName val=" lozery_x005f_x005f_x001c"/>
      <sheetName val=" lozery_x005f_x005f_x005f"/>
      <sheetName val="SM-SA(180K)"/>
      <sheetName val="_lozeryserru6"/>
      <sheetName val="trav-trans_6"/>
      <sheetName val="PREVSVO_(2)6"/>
      <sheetName val="STOCK_6"/>
      <sheetName val="feuille_garde6"/>
      <sheetName val="_garde_6"/>
      <sheetName val="A_P_6"/>
      <sheetName val="A_P_+_AUTRES6"/>
      <sheetName val="A_P_mois6"/>
      <sheetName val="A_P_+_AUTRES_mois6"/>
      <sheetName val="C_P__C_P__A_P_6"/>
      <sheetName val="C_P__C_P_6"/>
      <sheetName val="budget_C_P__A_P__6"/>
      <sheetName val="BUDGET__C_P_6"/>
      <sheetName val="REEL-PREV_6"/>
      <sheetName val="REEL+PREV_RATIO6"/>
      <sheetName val="RATIO_R-CP-RES-_AP6"/>
      <sheetName val="DETAIL_AP6"/>
      <sheetName val="REPR_VVP6"/>
      <sheetName val="A_MARQUES6"/>
      <sheetName val="FILIALE_6"/>
      <sheetName val="detail_apbudget6"/>
      <sheetName val="total_budget6"/>
      <sheetName val="Marge_OP_REEL_20046"/>
      <sheetName val="Italie_bdg_20056"/>
      <sheetName val="Italie_bdg_2005_AO6"/>
      <sheetName val="BDG_MENS_6"/>
      <sheetName val="BDG_MENS_A06"/>
      <sheetName val="ITA_VP6"/>
      <sheetName val="ITA_VU6"/>
      <sheetName val="ITA_VTE6"/>
      <sheetName val="ITA_VCAR6"/>
      <sheetName val="CP_03_A06"/>
      <sheetName val="PERIMETRE_A766"/>
      <sheetName val="Mise_à_jour_6"/>
      <sheetName val="MANUELCAMPAYS_6"/>
      <sheetName val="Variables_Common6"/>
      <sheetName val="TAB_MOD6"/>
      <sheetName val="TAB_REG6"/>
      <sheetName val="DEXF1_CYC6"/>
      <sheetName val="Kit_PRF_X8-96"/>
      <sheetName val="Page_4&amp;56"/>
      <sheetName val="CAMPAIGN_AVERAGE_F6"/>
      <sheetName val="Value_Analysis_-_Sheet_16"/>
      <sheetName val="ECOM_Periodique6"/>
      <sheetName val="ECOM_Mensuel6"/>
      <sheetName val="Volume__20056"/>
      <sheetName val="ECOM_Men_FAM_AP6"/>
      <sheetName val="SMON_Per_FAM_AP6"/>
      <sheetName val="SMON_Per_FAM_AC6"/>
      <sheetName val="SMON_Men_FAM_AP6"/>
      <sheetName val="SMON_Men_FAM_AC6"/>
      <sheetName val="fondo_promedio6"/>
      <sheetName val="GRÁFICO_DE_FONDO_POR_AFILIADO6"/>
      <sheetName val="Selling_Summary6"/>
      <sheetName val="Chiffrage(total_feuil_)6"/>
      <sheetName val="Chiffrage_(307)6"/>
      <sheetName val="Chiffrage_(406)6"/>
      <sheetName val="Données_CHARxxx_wk1_A16"/>
      <sheetName val="GHIA_berl6"/>
      <sheetName val="Marge_Com_Invoices6"/>
      <sheetName val="P&amp;L_Cumul6"/>
      <sheetName val="P&amp;L_M6"/>
      <sheetName val="Config_liste_deroulante6"/>
      <sheetName val="BILAN_MECA_26"/>
      <sheetName val="PVR_FRA6"/>
      <sheetName val="page1_(f)6"/>
      <sheetName val="list_param6"/>
      <sheetName val="Prév_Tréso6"/>
      <sheetName val="Gamme_Enveloppe_€46"/>
      <sheetName val="_lozery_x005f_x001c_Ò_x005f_x0012__x005f_x0000_E6"/>
      <sheetName val="_lozery_x005f_x001c_Ò_x005f_x0012_?E6"/>
      <sheetName val="_lozery_x005f_x001c_Ò_x005f_x0012_6"/>
      <sheetName val="_lozery_x005f_x001c_Ò_x005f_x0012__E6"/>
      <sheetName val="_lozery_x005f_x005f_x005f_x001c_Ò_x005f_x005f_x06"/>
      <sheetName val="_lozery_x005f_x005f_x005f_x005f_x005f_x005f_x0016"/>
      <sheetName val="_lozery_x005f_x005f_x005f_x005f_x005f_x005f_x0056"/>
      <sheetName val="Panier_Avant6"/>
      <sheetName val="Panier_Arriere6"/>
      <sheetName val="Panier_Latéral6"/>
      <sheetName val="Simu_VF_LLD6"/>
      <sheetName val="F_1_26"/>
      <sheetName val="volumes_PF6"/>
      <sheetName val="1_76"/>
      <sheetName val="A94_Socle6"/>
      <sheetName val="1-List_of_Packaging6"/>
      <sheetName val="2-Transfert_VS_6"/>
      <sheetName val="Convoi_FNR_PACKMAN6"/>
      <sheetName val="PVR_PRF5"/>
      <sheetName val="_lozeryserru7"/>
      <sheetName val="trav-trans_7"/>
      <sheetName val="PREVSVO_(2)7"/>
      <sheetName val="STOCK_7"/>
      <sheetName val="feuille_garde7"/>
      <sheetName val="_garde_7"/>
      <sheetName val="A_P_7"/>
      <sheetName val="A_P_+_AUTRES7"/>
      <sheetName val="A_P_mois7"/>
      <sheetName val="A_P_+_AUTRES_mois7"/>
      <sheetName val="C_P__C_P__A_P_7"/>
      <sheetName val="C_P__C_P_7"/>
      <sheetName val="budget_C_P__A_P__7"/>
      <sheetName val="BUDGET__C_P_7"/>
      <sheetName val="REEL-PREV_7"/>
      <sheetName val="REEL+PREV_RATIO7"/>
      <sheetName val="RATIO_R-CP-RES-_AP7"/>
      <sheetName val="DETAIL_AP7"/>
      <sheetName val="REPR_VVP7"/>
      <sheetName val="A_MARQUES7"/>
      <sheetName val="FILIALE_7"/>
      <sheetName val="detail_apbudget7"/>
      <sheetName val="total_budget7"/>
      <sheetName val="Marge_OP_REEL_20047"/>
      <sheetName val="Italie_bdg_20057"/>
      <sheetName val="Italie_bdg_2005_AO7"/>
      <sheetName val="BDG_MENS_7"/>
      <sheetName val="BDG_MENS_A07"/>
      <sheetName val="ITA_VP7"/>
      <sheetName val="ITA_VU7"/>
      <sheetName val="ITA_VTE7"/>
      <sheetName val="ITA_VCAR7"/>
      <sheetName val="CP_03_A07"/>
      <sheetName val="PERIMETRE_A767"/>
      <sheetName val="Mise_à_jour_7"/>
      <sheetName val="MANUELCAMPAYS_7"/>
      <sheetName val="Variables_Common7"/>
      <sheetName val="TAB_MOD7"/>
      <sheetName val="TAB_REG7"/>
      <sheetName val="DEXF1_CYC7"/>
      <sheetName val="Kit_PRF_X8-97"/>
      <sheetName val="Page_4&amp;57"/>
      <sheetName val="CAMPAIGN_AVERAGE_F7"/>
      <sheetName val="Value_Analysis_-_Sheet_17"/>
      <sheetName val="ECOM_Periodique7"/>
      <sheetName val="ECOM_Mensuel7"/>
      <sheetName val="Volume__20057"/>
      <sheetName val="ECOM_Men_FAM_AP7"/>
      <sheetName val="SMON_Per_FAM_AP7"/>
      <sheetName val="SMON_Per_FAM_AC7"/>
      <sheetName val="SMON_Men_FAM_AP7"/>
      <sheetName val="SMON_Men_FAM_AC7"/>
      <sheetName val="fondo_promedio7"/>
      <sheetName val="GRÁFICO_DE_FONDO_POR_AFILIADO7"/>
      <sheetName val="Selling_Summary7"/>
      <sheetName val="Chiffrage(total_feuil_)7"/>
      <sheetName val="Chiffrage_(307)7"/>
      <sheetName val="Chiffrage_(406)7"/>
      <sheetName val="Données_CHARxxx_wk1_A17"/>
      <sheetName val="GHIA_berl7"/>
      <sheetName val="Marge_Com_Invoices7"/>
      <sheetName val="P&amp;L_Cumul7"/>
      <sheetName val="P&amp;L_M7"/>
      <sheetName val="Config_liste_deroulante7"/>
      <sheetName val="BILAN_MECA_27"/>
      <sheetName val="PVR_FRA7"/>
      <sheetName val="page1_(f)7"/>
      <sheetName val="list_param7"/>
      <sheetName val="Prév_Tréso7"/>
      <sheetName val="Gamme_Enveloppe_€47"/>
      <sheetName val="_lozery_x005f_x001c_Ò_x005f_x0012__x005f_x0000_E7"/>
      <sheetName val="_lozery_x005f_x001c_Ò_x005f_x0012_?E7"/>
      <sheetName val="_lozery_x005f_x001c_Ò_x005f_x0012_7"/>
      <sheetName val="_lozery_x005f_x001c_Ò_x005f_x0012__E7"/>
      <sheetName val="_lozery_x005f_x005f_x005f_x001c_Ò_x005f_x005f_x07"/>
      <sheetName val="_lozery_x005f_x005f_x005f_x005f_x005f_x005f_x0017"/>
      <sheetName val="_lozery_x005f_x005f_x005f_x005f_x005f_x005f_x0057"/>
      <sheetName val="Panier_Avant7"/>
      <sheetName val="Panier_Arriere7"/>
      <sheetName val="Panier_Latéral7"/>
      <sheetName val="Simu_VF_LLD7"/>
      <sheetName val="F_1_27"/>
      <sheetName val="volumes_PF7"/>
      <sheetName val="A94_Socle7"/>
      <sheetName val="1_77"/>
      <sheetName val="1-List_of_Packaging7"/>
      <sheetName val="2-Transfert_VS_7"/>
      <sheetName val="Convoi_FNR_PACKMAN7"/>
      <sheetName val="PVR_PRF6"/>
      <sheetName val="UK Proforma Price List - Cars"/>
      <sheetName val="Pays CE"/>
      <sheetName val="Zones DAIC"/>
      <sheetName val="_lozeryserru8"/>
      <sheetName val="trav-trans_8"/>
      <sheetName val="PREVSVO_(2)8"/>
      <sheetName val="STOCK_8"/>
      <sheetName val="feuille_garde8"/>
      <sheetName val="_garde_8"/>
      <sheetName val="A_P_8"/>
      <sheetName val="A_P_+_AUTRES8"/>
      <sheetName val="A_P_mois8"/>
      <sheetName val="A_P_+_AUTRES_mois8"/>
      <sheetName val="C_P__C_P__A_P_8"/>
      <sheetName val="C_P__C_P_8"/>
      <sheetName val="budget_C_P__A_P__8"/>
      <sheetName val="BUDGET__C_P_8"/>
      <sheetName val="REEL-PREV_8"/>
      <sheetName val="REEL+PREV_RATIO8"/>
      <sheetName val="RATIO_R-CP-RES-_AP8"/>
      <sheetName val="DETAIL_AP8"/>
      <sheetName val="REPR_VVP8"/>
      <sheetName val="A_MARQUES8"/>
      <sheetName val="FILIALE_8"/>
      <sheetName val="detail_apbudget8"/>
      <sheetName val="total_budget8"/>
      <sheetName val="Marge_OP_REEL_20048"/>
      <sheetName val="Italie_bdg_20058"/>
      <sheetName val="Italie_bdg_2005_AO8"/>
      <sheetName val="BDG_MENS_8"/>
      <sheetName val="BDG_MENS_A08"/>
      <sheetName val="ITA_VP8"/>
      <sheetName val="ITA_VU8"/>
      <sheetName val="ITA_VTE8"/>
      <sheetName val="ITA_VCAR8"/>
      <sheetName val="CP_03_A08"/>
      <sheetName val="PERIMETRE_A768"/>
      <sheetName val="Mise_à_jour_8"/>
      <sheetName val="MANUELCAMPAYS_8"/>
      <sheetName val="Variables_Common8"/>
      <sheetName val="TAB_MOD8"/>
      <sheetName val="TAB_REG8"/>
      <sheetName val="DEXF1_CYC8"/>
      <sheetName val="Kit_PRF_X8-98"/>
      <sheetName val="Page_4&amp;58"/>
      <sheetName val="CAMPAIGN_AVERAGE_F8"/>
      <sheetName val="Value_Analysis_-_Sheet_18"/>
      <sheetName val="ECOM_Periodique8"/>
      <sheetName val="ECOM_Mensuel8"/>
      <sheetName val="Volume__20058"/>
      <sheetName val="ECOM_Men_FAM_AP8"/>
      <sheetName val="SMON_Per_FAM_AP8"/>
      <sheetName val="SMON_Per_FAM_AC8"/>
      <sheetName val="SMON_Men_FAM_AP8"/>
      <sheetName val="SMON_Men_FAM_AC8"/>
      <sheetName val="fondo_promedio8"/>
      <sheetName val="GRÁFICO_DE_FONDO_POR_AFILIADO8"/>
      <sheetName val="Selling_Summary8"/>
      <sheetName val="Chiffrage(total_feuil_)8"/>
      <sheetName val="Chiffrage_(307)8"/>
      <sheetName val="Chiffrage_(406)8"/>
      <sheetName val="Données_CHARxxx_wk1_A18"/>
      <sheetName val="GHIA_berl8"/>
      <sheetName val="Marge_Com_Invoices8"/>
      <sheetName val="P&amp;L_Cumul8"/>
      <sheetName val="P&amp;L_M8"/>
      <sheetName val="Config_liste_deroulante8"/>
      <sheetName val="BILAN_MECA_28"/>
      <sheetName val="PVR_FRA8"/>
      <sheetName val="page1_(f)8"/>
      <sheetName val="list_param8"/>
      <sheetName val="Prév_Tréso8"/>
      <sheetName val="Gamme_Enveloppe_€48"/>
      <sheetName val="_lozery_x005f_x001c_Ò_x005f_x0012__x005f_x0000_E8"/>
      <sheetName val="_lozery_x005f_x001c_Ò_x005f_x0012_?E8"/>
      <sheetName val="_lozery_x005f_x001c_Ò_x005f_x0012_8"/>
      <sheetName val="_lozery_x005f_x001c_Ò_x005f_x0012__E8"/>
      <sheetName val="_lozery_x005f_x005f_x005f_x001c_Ò_x005f_x005f_x08"/>
      <sheetName val="_lozery_x005f_x005f_x005f_x005f_x005f_x005f_x0018"/>
      <sheetName val="_lozery_x005f_x005f_x005f_x005f_x005f_x005f_x0058"/>
      <sheetName val="Panier_Avant8"/>
      <sheetName val="Panier_Arriere8"/>
      <sheetName val="Panier_Latéral8"/>
      <sheetName val="Simu_VF_LLD8"/>
      <sheetName val="F_1_28"/>
      <sheetName val="volumes_PF8"/>
      <sheetName val="A94_Socle8"/>
      <sheetName val="1_78"/>
      <sheetName val="1-List_of_Packaging8"/>
      <sheetName val="2-Transfert_VS_8"/>
      <sheetName val="Convoi_FNR_PACKMAN8"/>
      <sheetName val="PVR_PRF7"/>
      <sheetName val="MHEV SW 48V Waterfall Graph"/>
      <sheetName val="Xsara"/>
      <sheetName val="DEXC + FRANCE - BRK"/>
      <sheetName val="avantage client 20 Hdi"/>
      <sheetName val="XX98CALB"/>
      <sheetName val="Value Summary Citroë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pCache"/>
      <sheetName val="BneWorkBookProperties"/>
      <sheetName val="BneLog"/>
      <sheetName val="Sheet1"/>
    </sheetNames>
    <sheetDataSet>
      <sheetData sheetId="0"/>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itialisation"/>
      <sheetName val="Portefeuille"/>
      <sheetName val="portefeuille annulé"/>
      <sheetName val="synthèse cohérence masse PRF"/>
      <sheetName val="Données cascading SIL2 GMP3"/>
      <sheetName val="Evol P64 EP6LDT ATN8"/>
      <sheetName val="A3 P51€"/>
      <sheetName val="synthèse PRF P64"/>
      <sheetName val="synthèse PRF Cross3"/>
      <sheetName val="synthèse PRF D74"/>
      <sheetName val="regles P1 P2 P3"/>
      <sheetName val="tri eco"/>
      <sheetName val="Deci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ge de garde"/>
      <sheetName val="Pièces DSEE pour X81C"/>
      <sheetName val="TCD_Pièce_DSEE_X81C"/>
      <sheetName val="KPI_Type pièces"/>
      <sheetName val="KPI_Définition pièces"/>
      <sheetName val="Listes modules"/>
      <sheetName val="Liste pièces DSEE"/>
      <sheetName val="Définition IL"/>
      <sheetName val="Process RFQ DPCA"/>
      <sheetName val="Feui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ICE"/>
      <sheetName val="SYNTHESE GLOBALE"/>
      <sheetName val="HISTOGRAMME VEH SUIVI"/>
      <sheetName val="HISTOGRAMME PF"/>
      <sheetName val="GRAPHE CLASSE INERTIE EUROPE"/>
      <sheetName val="GRAPHE CLASSE INERTIE CHINE"/>
      <sheetName val="CASCADING"/>
      <sheetName val="classes_inertie"/>
      <sheetName val="PREVISIONNEL"/>
      <sheetName val="planning passage RD"/>
      <sheetName val="Comparaison concept-DPE_new"/>
      <sheetName val="Comparaison concept-DPE_aout 17"/>
      <sheetName val="PORTEFEUILLE_DPE"/>
      <sheetName val="Données cascading P51 EB2ADTS"/>
      <sheetName val="Evol_P51€"/>
      <sheetName val="A3 P51€"/>
      <sheetName val="Feuil1"/>
      <sheetName val="Données cascading D41 EB2ADTS"/>
      <sheetName val="Evol_D41€"/>
      <sheetName val="A3 D41€"/>
      <sheetName val="Données cascading E43C EP6FADTX"/>
      <sheetName val="Evol_E43C"/>
      <sheetName val="A3 E43C"/>
      <sheetName val="Données cascading E43C EB2"/>
      <sheetName val="Evol_E43C (2)"/>
      <sheetName val="A3 E43C (2)"/>
      <sheetName val="EVOLUTIONS PF"/>
      <sheetName val="Synthèse PF_GMP_SIL_€"/>
      <sheetName val="Synthèse PF_GMP_SIL_Ch"/>
      <sheetName val="Données cascading E43€ EP6F"/>
      <sheetName val="Tri €kg"/>
      <sheetName val="Graph_€kg"/>
      <sheetName val="scénario répart"/>
      <sheetName val="détails"/>
      <sheetName val="Divers"/>
      <sheetName val="Construction_objectif"/>
      <sheetName val="Convergence T9"/>
      <sheetName val="tab"/>
      <sheetName val="calcul"/>
      <sheetName val="calcul DCHM"/>
      <sheetName val="Réalise"/>
      <sheetName val="Réalise TT"/>
      <sheetName val="Prévi"/>
      <sheetName val="Données cascading P51 DV5RC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1">
          <cell r="D21">
            <v>530.5</v>
          </cell>
        </row>
        <row r="106">
          <cell r="C106">
            <v>195.07070000000002</v>
          </cell>
          <cell r="K106">
            <v>1</v>
          </cell>
        </row>
        <row r="107">
          <cell r="C107">
            <v>13.971</v>
          </cell>
        </row>
        <row r="112">
          <cell r="C112">
            <v>1.4809999999999999</v>
          </cell>
          <cell r="K112">
            <v>0</v>
          </cell>
        </row>
        <row r="113">
          <cell r="C113">
            <v>156.52550000000005</v>
          </cell>
          <cell r="K113">
            <v>1.5</v>
          </cell>
        </row>
        <row r="114">
          <cell r="C114">
            <v>94.474400000000003</v>
          </cell>
          <cell r="K114">
            <v>0</v>
          </cell>
        </row>
        <row r="115">
          <cell r="C115">
            <v>5.6289999999999996</v>
          </cell>
        </row>
        <row r="136">
          <cell r="C136">
            <v>6.9610000000000003</v>
          </cell>
          <cell r="E136">
            <v>0</v>
          </cell>
          <cell r="F136">
            <v>-1.45</v>
          </cell>
          <cell r="H136">
            <v>-1.6</v>
          </cell>
          <cell r="I136">
            <v>0.6</v>
          </cell>
        </row>
        <row r="140">
          <cell r="C140">
            <v>6.85</v>
          </cell>
          <cell r="E140">
            <v>-0.3</v>
          </cell>
          <cell r="F140">
            <v>-2.15</v>
          </cell>
          <cell r="H140">
            <v>-1</v>
          </cell>
          <cell r="I140">
            <v>0.7</v>
          </cell>
        </row>
        <row r="144">
          <cell r="C144">
            <v>-0.49200000000000044</v>
          </cell>
          <cell r="E144">
            <v>-1.2000000000000002</v>
          </cell>
          <cell r="F144">
            <v>0</v>
          </cell>
          <cell r="H144">
            <v>-0.5</v>
          </cell>
          <cell r="I144">
            <v>3.5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cascading P51 DV5RC "/>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MYRIAM LEGAY" id="{3400EEED-737C-4924-B861-83205F47BEE7}" userId="S::J536084@inetpsa.com::076a1637-ce16-4314-a955-78d425f09013" providerId="AD"/>
  <person displayName="PATRICIA PATOUT" id="{3C53883A-1BB6-4228-BF98-183961D17CC2}" userId="S::U188211@inetpsa.com::3478058c-4448-4997-af57-ea28d15b8ad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ANE JOLLY" refreshedDate="46136.421099421299" createdVersion="8" refreshedVersion="8" minRefreshableVersion="3" recordCount="295" xr:uid="{8DEAD3BC-FE4B-4111-BDD0-424FAA9758DE}">
  <cacheSource type="worksheet">
    <worksheetSource ref="A14:BA337" sheet="Portefeuille SP2"/>
  </cacheSource>
  <cacheFields count="53">
    <cacheField name="Topic Nr" numFmtId="1">
      <sharedItems containsBlank="1" containsMixedTypes="1" containsNumber="1" containsInteger="1" minValue="19" maxValue="324"/>
    </cacheField>
    <cacheField name="Creation Date" numFmtId="0">
      <sharedItems containsDate="1" containsBlank="1" containsMixedTypes="1" minDate="2005-02-23T00:00:00" maxDate="2026-03-28T00:00:00"/>
    </cacheField>
    <cacheField name="Responsible" numFmtId="0">
      <sharedItems containsBlank="1"/>
    </cacheField>
    <cacheField name="Functions" numFmtId="0">
      <sharedItems containsBlank="1" count="23">
        <s v="BIW "/>
        <s v="FRSD"/>
        <s v="INT - PDB/CONSOLE"/>
        <s v="Door panel"/>
        <s v="BCI_CHASSIS"/>
        <s v="DIW"/>
        <s v="SWX/EE"/>
        <s v="ICDV"/>
        <s v="PRS"/>
        <s v="INT - SEATS/TRIMS"/>
        <s v="PHES"/>
        <s v="BIW"/>
        <s v="BCI_BODY"/>
        <s v="BCI_DOORS"/>
        <s v="PRS_EDM"/>
        <s v="PRS_BATT"/>
        <s v="SWX_EHE"/>
        <s v="BCI_FRSD"/>
        <s v="All"/>
        <m/>
        <s v="PRS "/>
        <s v="MECATRONIC"/>
        <s v="DIW "/>
      </sharedItems>
    </cacheField>
    <cacheField name="BVH / PWT / Tophat" numFmtId="0">
      <sharedItems containsBlank="1" count="5">
        <s v="TH"/>
        <s v="PTF"/>
        <s v="PWT"/>
        <s v="PTF "/>
        <m/>
      </sharedItems>
    </cacheField>
    <cacheField name="RESp " numFmtId="0">
      <sharedItems containsBlank="1"/>
    </cacheField>
    <cacheField name="Désignation : Ensemble / Piéces_x000a_FR" numFmtId="0">
      <sharedItems containsBlank="1"/>
    </cacheField>
    <cacheField name="Désignation : Ensemble / Piéces_x000a_ENG" numFmtId="0">
      <sharedItems containsBlank="1"/>
    </cacheField>
    <cacheField name="Description" numFmtId="0">
      <sharedItems containsBlank="1" longText="1"/>
    </cacheField>
    <cacheField name="Comments BCI SPC_1" numFmtId="0">
      <sharedItems containsBlank="1" longText="1"/>
    </cacheField>
    <cacheField name="Date" numFmtId="0">
      <sharedItems containsBlank="1"/>
    </cacheField>
    <cacheField name="Mass comments (changes, dates, …)" numFmtId="0">
      <sharedItems containsBlank="1" longText="1"/>
    </cacheField>
    <cacheField name="Invest impact" numFmtId="0">
      <sharedItems containsBlank="1" containsMixedTypes="1" containsNumber="1" containsInteger="1" minValue="0" maxValue="750"/>
    </cacheField>
    <cacheField name="TPC Impact (€)" numFmtId="0">
      <sharedItems containsBlank="1" containsMixedTypes="1" containsNumber="1" minValue="-45" maxValue="200"/>
    </cacheField>
    <cacheField name="Next steps" numFmtId="0">
      <sharedItems containsNonDate="0" containsString="0" containsBlank="1"/>
    </cacheField>
    <cacheField name="Decision expected for ?" numFmtId="0">
      <sharedItems containsBlank="1"/>
    </cacheField>
    <cacheField name="COTATION (*)" numFmtId="0">
      <sharedItems containsBlank="1" count="4">
        <s v="CANCELED"/>
        <s v="DECIDED"/>
        <s v="IN PROGRESS"/>
        <m/>
      </sharedItems>
    </cacheField>
    <cacheField name="Priorization" numFmtId="0">
      <sharedItems containsBlank="1"/>
    </cacheField>
    <cacheField name="Confidence %" numFmtId="9">
      <sharedItems containsString="0" containsBlank="1" containsNumber="1" minValue="0" maxValue="1"/>
    </cacheField>
    <cacheField name="Mass kg (*)" numFmtId="0">
      <sharedItems containsString="0" containsBlank="1" containsNumber="1" minValue="-32.520000000000003" maxValue="17"/>
    </cacheField>
    <cacheField name="Ponderated mass / Ratio (kg*%)" numFmtId="2">
      <sharedItems containsString="0" containsBlank="1" containsNumber="1" minValue="-32.520000000000003" maxValue="17"/>
    </cacheField>
    <cacheField name="O3H HR 63 FWD€" numFmtId="0">
      <sharedItems containsString="0" containsBlank="1" containsNumber="1" containsInteger="1" minValue="1" maxValue="1"/>
    </cacheField>
    <cacheField name="O3H XR 80 FWD€" numFmtId="0">
      <sharedItems containsString="0" containsBlank="1" containsNumber="1" containsInteger="1" minValue="1" maxValue="1"/>
    </cacheField>
    <cacheField name="O3H XR 80 AWD perfo €" numFmtId="0">
      <sharedItems containsString="0" containsBlank="1" containsNumber="1" containsInteger="1" minValue="1" maxValue="1"/>
    </cacheField>
    <cacheField name="O3H MHEV FWD€" numFmtId="0">
      <sharedItems containsString="0" containsBlank="1" containsNumber="1" containsInteger="1" minValue="1" maxValue="1"/>
    </cacheField>
    <cacheField name="O3H HEV FWD€" numFmtId="0">
      <sharedItems containsString="0" containsBlank="1" containsNumber="1" containsInteger="1" minValue="1" maxValue="1"/>
    </cacheField>
    <cacheField name="O3W 63 kWhu LFP FWD€" numFmtId="0">
      <sharedItems containsString="0" containsBlank="1" containsNumber="1" containsInteger="1" minValue="1" maxValue="1"/>
    </cacheField>
    <cacheField name="O3W 80 kWhu NMx FWD€" numFmtId="0">
      <sharedItems containsString="0" containsBlank="1" containsNumber="1" containsInteger="1" minValue="1" maxValue="1"/>
    </cacheField>
    <cacheField name="O3W MHEV FWD€" numFmtId="0">
      <sharedItems containsString="0" containsBlank="1" containsNumber="1" containsInteger="1" minValue="1" maxValue="1"/>
    </cacheField>
    <cacheField name="O3W HEV FWD€" numFmtId="0">
      <sharedItems containsString="0" containsBlank="1" containsNumber="1" containsInteger="1" minValue="1" maxValue="1"/>
    </cacheField>
    <cacheField name="P3S HR 63 FWD€" numFmtId="0">
      <sharedItems containsString="0" containsBlank="1" containsNumber="1" containsInteger="1" minValue="1" maxValue="1"/>
    </cacheField>
    <cacheField name="P3S XR 80 FWD€" numFmtId="0">
      <sharedItems containsString="0" containsBlank="1" containsNumber="1" containsInteger="1" minValue="1" maxValue="1"/>
    </cacheField>
    <cacheField name="P3S XR 80 AWD perfo €" numFmtId="0">
      <sharedItems containsString="0" containsBlank="1" containsNumber="1" containsInteger="1" minValue="1" maxValue="1"/>
    </cacheField>
    <cacheField name="P3S MHEV FWD€" numFmtId="0">
      <sharedItems containsString="0" containsBlank="1" containsNumber="1" containsInteger="1" minValue="1" maxValue="1"/>
    </cacheField>
    <cacheField name="P3S HEV FWD€" numFmtId="0">
      <sharedItems containsString="0" containsBlank="1" containsNumber="1" containsInteger="1" minValue="1" maxValue="1"/>
    </cacheField>
    <cacheField name="P3W 63 kWhu LFP FWD€" numFmtId="0">
      <sharedItems containsString="0" containsBlank="1" containsNumber="1" containsInteger="1" minValue="1" maxValue="1"/>
    </cacheField>
    <cacheField name="P3W 80 kWhu NMx FWD€" numFmtId="0">
      <sharedItems containsString="0" containsBlank="1" containsNumber="1" containsInteger="1" minValue="1" maxValue="1"/>
    </cacheField>
    <cacheField name="P3W MHEV FWD€" numFmtId="0">
      <sharedItems containsString="0" containsBlank="1" containsNumber="1" containsInteger="1" minValue="1" maxValue="1"/>
    </cacheField>
    <cacheField name="P3W HEV FWD€" numFmtId="0">
      <sharedItems containsString="0" containsBlank="1" containsNumber="1" containsInteger="1" minValue="1" maxValue="1"/>
    </cacheField>
    <cacheField name="P3U HR 63 FWD€" numFmtId="0">
      <sharedItems containsString="0" containsBlank="1" containsNumber="1" containsInteger="1" minValue="1" maxValue="1" count="2">
        <n v="1"/>
        <m/>
      </sharedItems>
    </cacheField>
    <cacheField name="P3U  XR 80 FWD€" numFmtId="0">
      <sharedItems containsString="0" containsBlank="1" containsNumber="1" containsInteger="1" minValue="1" maxValue="1"/>
    </cacheField>
    <cacheField name="P3U XR 80 AWD perfo €" numFmtId="0">
      <sharedItems containsString="0" containsBlank="1" containsNumber="1" containsInteger="1" minValue="1" maxValue="1"/>
    </cacheField>
    <cacheField name="P3U MHEV FWD€" numFmtId="0">
      <sharedItems containsString="0" containsBlank="1" containsNumber="1" containsInteger="1" minValue="1" maxValue="1" count="2">
        <n v="1"/>
        <m/>
      </sharedItems>
    </cacheField>
    <cacheField name="P3U HEV FWD€" numFmtId="0">
      <sharedItems containsString="0" containsBlank="1" containsNumber="1" containsInteger="1" minValue="1" maxValue="1" count="2">
        <n v="1"/>
        <m/>
      </sharedItems>
    </cacheField>
    <cacheField name="J1X SR FWD€" numFmtId="0">
      <sharedItems containsString="0" containsBlank="1" containsNumber="1" containsInteger="1" minValue="1" maxValue="1" count="2">
        <n v="1"/>
        <m/>
      </sharedItems>
    </cacheField>
    <cacheField name="J1X MHEV FWD€" numFmtId="0">
      <sharedItems containsString="0" containsBlank="1" containsNumber="1" containsInteger="1" minValue="1" maxValue="1" count="2">
        <m/>
        <n v="1"/>
      </sharedItems>
    </cacheField>
    <cacheField name="J1X MHEV AWD€" numFmtId="0">
      <sharedItems containsString="0" containsBlank="1" containsNumber="1" containsInteger="1" minValue="1" maxValue="1"/>
    </cacheField>
    <cacheField name="J1X HEV FWD€" numFmtId="0">
      <sharedItems containsString="0" containsBlank="1" containsNumber="1" containsInteger="1" minValue="1" maxValue="1" count="2">
        <n v="1"/>
        <m/>
      </sharedItems>
    </cacheField>
    <cacheField name="J2U HR 63 FWD€" numFmtId="0">
      <sharedItems containsString="0" containsBlank="1" containsNumber="1" containsInteger="1" minValue="1" maxValue="1" count="2">
        <n v="1"/>
        <m/>
      </sharedItems>
    </cacheField>
    <cacheField name="J2U  XR 80 FWD€" numFmtId="0">
      <sharedItems containsString="0" containsBlank="1" containsNumber="1" containsInteger="1" minValue="1" maxValue="1"/>
    </cacheField>
    <cacheField name="J2U MHEV FWD" numFmtId="0">
      <sharedItems containsString="0" containsBlank="1" containsNumber="1" containsInteger="1" minValue="1" maxValue="1" count="2">
        <n v="1"/>
        <m/>
      </sharedItems>
    </cacheField>
    <cacheField name="J2U HEV FWD" numFmtId="0">
      <sharedItems containsString="0" containsBlank="1" containsNumber="1" containsInteger="1" minValue="1" maxValue="1" count="2">
        <n v="1"/>
        <m/>
      </sharedItems>
    </cacheField>
    <cacheField name="J2U HEV AWD"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m/>
    <d v="2024-12-06T00:00:00"/>
    <s v="SPC_1"/>
    <x v="0"/>
    <x v="0"/>
    <s v="MICHAEL BORE"/>
    <s v="activ spoiler"/>
    <s v="activ spoiler"/>
    <m/>
    <s v="06/10/2025 sujet à supprimer car pas d'active Spoiler sur le projet SPC_1"/>
    <m/>
    <m/>
    <m/>
    <m/>
    <m/>
    <s v="o"/>
    <x v="0"/>
    <s v="TBD"/>
    <n v="0.8"/>
    <n v="4"/>
    <n v="3.2"/>
    <n v="1"/>
    <n v="1"/>
    <n v="1"/>
    <n v="1"/>
    <n v="1"/>
    <n v="1"/>
    <n v="1"/>
    <n v="1"/>
    <n v="1"/>
    <n v="1"/>
    <n v="1"/>
    <n v="1"/>
    <n v="1"/>
    <n v="1"/>
    <n v="1"/>
    <n v="1"/>
    <n v="1"/>
    <n v="1"/>
    <x v="0"/>
    <n v="1"/>
    <n v="1"/>
    <x v="0"/>
    <x v="0"/>
    <x v="0"/>
    <x v="0"/>
    <m/>
    <x v="0"/>
    <x v="0"/>
    <n v="1"/>
    <x v="0"/>
    <x v="0"/>
    <n v="1"/>
  </r>
  <r>
    <s v="301a"/>
    <s v="20/06/2025"/>
    <s v="SP1"/>
    <x v="1"/>
    <x v="0"/>
    <s v="Sébastien Bonnefoi (P1H)/_x000a_Jean Michel Gabus P1X"/>
    <s v="PC Av / Proj - MS"/>
    <s v="style/brand"/>
    <s v="P1HX : Nouvelle face_Av MS"/>
    <s v="Stratégie projet"/>
    <m/>
    <s v="20/06/2025 Retour frns : Proj MS+1,2kg / PC MS+1kg_x000a_28/05/2025 à 50% suite 1er retour frns du Proj / En attente info du PC_x000a_06/05/2025 passe à 75%_x000a_22/04/2025 RD _S16 : Choix Concept Proj (3 parts)_01353_25_00247_x000a_24/03/2025 Impact nvo Style_Feu déporté"/>
    <m/>
    <m/>
    <m/>
    <s v="o"/>
    <x v="0"/>
    <m/>
    <n v="1"/>
    <n v="2.2000000000000002"/>
    <n v="2.2000000000000002"/>
    <n v="1"/>
    <n v="1"/>
    <n v="1"/>
    <n v="1"/>
    <n v="1"/>
    <n v="1"/>
    <n v="1"/>
    <n v="1"/>
    <n v="1"/>
    <n v="1"/>
    <n v="1"/>
    <n v="1"/>
    <n v="1"/>
    <n v="1"/>
    <n v="1"/>
    <n v="1"/>
    <n v="1"/>
    <n v="1"/>
    <x v="0"/>
    <n v="1"/>
    <n v="1"/>
    <x v="0"/>
    <x v="0"/>
    <x v="0"/>
    <x v="0"/>
    <m/>
    <x v="0"/>
    <x v="0"/>
    <n v="1"/>
    <x v="0"/>
    <x v="0"/>
    <n v="1"/>
  </r>
  <r>
    <n v="220"/>
    <d v="2024-09-01T00:00:00"/>
    <s v="SPC_1"/>
    <x v="0"/>
    <x v="0"/>
    <s v="MICHAEL BORE"/>
    <s v="Pantographe capot"/>
    <s v="hood Pantographe"/>
    <s v="imposé par le style"/>
    <s v="10/10/2025_x000a_référence projet col de cygne, mais demande PEDPRO de Pantographe_x000a_11/10/2024_x000a_QCTP Pantograh hood hinge =&gt;https://docinfogroupe.stellantis.com/ead/doc/ref.21007_24_00151/v.vc/fiche_x000a__x000a_"/>
    <s v="PM"/>
    <m/>
    <n v="350"/>
    <n v="8.5"/>
    <m/>
    <s v="o"/>
    <x v="1"/>
    <s v="TBD"/>
    <n v="1"/>
    <n v="1"/>
    <n v="1"/>
    <n v="1"/>
    <n v="1"/>
    <n v="1"/>
    <n v="1"/>
    <n v="1"/>
    <n v="1"/>
    <n v="1"/>
    <n v="1"/>
    <n v="1"/>
    <n v="1"/>
    <n v="1"/>
    <n v="1"/>
    <n v="1"/>
    <n v="1"/>
    <n v="1"/>
    <n v="1"/>
    <n v="1"/>
    <n v="1"/>
    <x v="0"/>
    <n v="1"/>
    <n v="1"/>
    <x v="0"/>
    <x v="0"/>
    <x v="0"/>
    <x v="0"/>
    <m/>
    <x v="0"/>
    <x v="0"/>
    <n v="1"/>
    <x v="0"/>
    <x v="0"/>
    <n v="1"/>
  </r>
  <r>
    <m/>
    <d v="2024-09-01T00:00:00"/>
    <s v="SPC_1"/>
    <x v="0"/>
    <x v="0"/>
    <s v="MICHAEL BORE"/>
    <s v="Pare choc "/>
    <s v="front &amp; rear bumper "/>
    <s v="nouvelle politique GPC "/>
    <s v="06/10/2025 Pas de PORO_x000a_"/>
    <m/>
    <m/>
    <n v="0"/>
    <s v="(-6)"/>
    <m/>
    <s v="o"/>
    <x v="1"/>
    <s v="TBD"/>
    <n v="1"/>
    <n v="0.82"/>
    <n v="0.82"/>
    <n v="1"/>
    <n v="1"/>
    <n v="1"/>
    <n v="1"/>
    <n v="1"/>
    <n v="1"/>
    <n v="1"/>
    <n v="1"/>
    <n v="1"/>
    <n v="1"/>
    <n v="1"/>
    <n v="1"/>
    <n v="1"/>
    <n v="1"/>
    <n v="1"/>
    <n v="1"/>
    <n v="1"/>
    <n v="1"/>
    <x v="0"/>
    <n v="1"/>
    <n v="1"/>
    <x v="0"/>
    <x v="0"/>
    <x v="0"/>
    <x v="1"/>
    <n v="1"/>
    <x v="0"/>
    <x v="0"/>
    <n v="1"/>
    <x v="0"/>
    <x v="0"/>
    <n v="1"/>
  </r>
  <r>
    <n v="322"/>
    <n v="45813"/>
    <s v="SP1"/>
    <x v="2"/>
    <x v="0"/>
    <s v="FREDERIC BRUNIER"/>
    <s v="PdB/Console UPPER"/>
    <s v="Dashboard/Upper console"/>
    <s v="Chgt de matière (passage du TD 12 vierge au TD12 recyclé / passage du MD20 au TD28 green)"/>
    <s v="CP P1H Sébastien Dupuis_x000a_24/06/2025 à confirmer avec Sébastien car attente panneau SYNC5 et MAJ de la masse"/>
    <m/>
    <s v="05/06/2025 _x0009_Planche de Bord : +0.280 kg / Console UPPER : +0.147 kg et +0.260 kg"/>
    <m/>
    <m/>
    <m/>
    <s v="o"/>
    <x v="0"/>
    <m/>
    <n v="0.75"/>
    <n v="1"/>
    <n v="0.75"/>
    <n v="1"/>
    <n v="1"/>
    <n v="1"/>
    <n v="1"/>
    <n v="1"/>
    <n v="1"/>
    <n v="1"/>
    <n v="1"/>
    <n v="1"/>
    <n v="1"/>
    <n v="1"/>
    <n v="1"/>
    <n v="1"/>
    <n v="1"/>
    <n v="1"/>
    <n v="1"/>
    <n v="1"/>
    <n v="1"/>
    <x v="0"/>
    <n v="1"/>
    <n v="1"/>
    <x v="0"/>
    <x v="0"/>
    <x v="0"/>
    <x v="0"/>
    <m/>
    <x v="0"/>
    <x v="0"/>
    <n v="1"/>
    <x v="0"/>
    <x v="0"/>
    <n v="1"/>
  </r>
  <r>
    <n v="131"/>
    <s v="01/04/2025"/>
    <s v="SP1"/>
    <x v="3"/>
    <x v="0"/>
    <s v="FREDERIC BRUNIER"/>
    <s v="Panneau de porte"/>
    <s v="style/brand"/>
    <s v="Suppression Textile Fabric"/>
    <s v="CP P1H Sébastien Dupuis_x000a_23/06/25 LM : Vu avec Frédéric refusé par SP1 - A confirmer pour SPC"/>
    <m/>
    <s v="01/04/2025 FOAM nécessaire pour process/frn. Et Risque d'ajout d'un tissu embossé sur Portes AV - Demande STYLE, TT niveau -(PTM/VSM)_x000a_15/11/2024 Suppression FOAM_x000a_14/03/2024 Line-up V9"/>
    <m/>
    <m/>
    <m/>
    <s v="o"/>
    <x v="0"/>
    <m/>
    <n v="0.25"/>
    <n v="0.1"/>
    <n v="2.5000000000000001E-2"/>
    <n v="1"/>
    <n v="1"/>
    <n v="1"/>
    <n v="1"/>
    <n v="1"/>
    <n v="1"/>
    <n v="1"/>
    <n v="1"/>
    <n v="1"/>
    <n v="1"/>
    <n v="1"/>
    <n v="1"/>
    <n v="1"/>
    <n v="1"/>
    <n v="1"/>
    <n v="1"/>
    <n v="1"/>
    <n v="1"/>
    <x v="0"/>
    <n v="1"/>
    <n v="1"/>
    <x v="0"/>
    <x v="0"/>
    <x v="0"/>
    <x v="0"/>
    <m/>
    <x v="0"/>
    <x v="0"/>
    <n v="1"/>
    <x v="0"/>
    <x v="0"/>
    <n v="1"/>
  </r>
  <r>
    <n v="132"/>
    <s v="01/04/2025"/>
    <s v="SP1"/>
    <x v="2"/>
    <x v="0"/>
    <s v="FREDERIC BRUNIER"/>
    <s v="Pdb_suppression du foam sur les décors textiles"/>
    <s v="style/brand"/>
    <s v="suppression du foam sur les décors textiles"/>
    <s v="CP P1H Sébastien Dupuis_x000a_23/06/25 LM : Vu avec Frédéric refusé par SP1 - A confirmer pour SPC"/>
    <m/>
    <s v="01/04/2025 Idem Pano Porte_x000a_20/09/2024 Passage en PT/VSM CW40_x000a_05/09/2024 A revoir avec Guillaume_x000a_14/03/2024 Line-up V9"/>
    <m/>
    <m/>
    <m/>
    <s v="o"/>
    <x v="0"/>
    <m/>
    <n v="0.25"/>
    <n v="0.1"/>
    <n v="2.5000000000000001E-2"/>
    <n v="1"/>
    <n v="1"/>
    <n v="1"/>
    <n v="1"/>
    <n v="1"/>
    <n v="1"/>
    <n v="1"/>
    <n v="1"/>
    <n v="1"/>
    <n v="1"/>
    <n v="1"/>
    <n v="1"/>
    <n v="1"/>
    <n v="1"/>
    <n v="1"/>
    <n v="1"/>
    <n v="1"/>
    <n v="1"/>
    <x v="0"/>
    <n v="1"/>
    <n v="1"/>
    <x v="0"/>
    <x v="0"/>
    <x v="0"/>
    <x v="0"/>
    <m/>
    <x v="0"/>
    <x v="0"/>
    <n v="1"/>
    <x v="0"/>
    <x v="0"/>
    <n v="1"/>
  </r>
  <r>
    <m/>
    <d v="2024-09-11T00:00:00"/>
    <s v="SPC_1"/>
    <x v="0"/>
    <x v="0"/>
    <s v="FRANK BAILLON"/>
    <s v="Doublure pied central "/>
    <s v="B pillar inner"/>
    <s v="stratégie embout_x000a_Mise en panoplie avec Seatbelt return fix reinforcer"/>
    <s v="06/10/2025 a reboucler avec l'embout - Mickael_x000a_Ludovic DASNOIS_x000a_"/>
    <s v="DTM PM-CM"/>
    <s v="26/06/2025 a reboucler après hypothèse projet"/>
    <s v="-350K€"/>
    <n v="2"/>
    <m/>
    <s v="x"/>
    <x v="1"/>
    <s v="TBD"/>
    <n v="0.5"/>
    <n v="1.5"/>
    <n v="0.75"/>
    <n v="1"/>
    <n v="1"/>
    <n v="1"/>
    <n v="1"/>
    <n v="1"/>
    <n v="1"/>
    <n v="1"/>
    <n v="1"/>
    <n v="1"/>
    <n v="1"/>
    <n v="1"/>
    <n v="1"/>
    <n v="1"/>
    <n v="1"/>
    <n v="1"/>
    <n v="1"/>
    <n v="1"/>
    <n v="1"/>
    <x v="0"/>
    <n v="1"/>
    <n v="1"/>
    <x v="0"/>
    <x v="0"/>
    <x v="0"/>
    <x v="1"/>
    <n v="1"/>
    <x v="0"/>
    <x v="0"/>
    <n v="1"/>
    <x v="0"/>
    <x v="0"/>
    <n v="1"/>
  </r>
  <r>
    <n v="181"/>
    <d v="2026-02-05T00:00:00"/>
    <s v="SP1"/>
    <x v="4"/>
    <x v="1"/>
    <m/>
    <s v="Train ar ML : écran aero"/>
    <s v="Rr axle ML "/>
    <s v="Demande ajout écran aero sur bras train ML"/>
    <m/>
    <m/>
    <s v="27/11/2025 : Présentation en VSM/PTM. Gain important en Aero, mais cout important (+3,5€). Besoin à confirmer après essai, pas en ref en ce moment. Nouvelle estimation à 0,5 kg_x000a_03/10/2025 : Aero demande des écrans sur les bras du ML. Demande à confirmer."/>
    <m/>
    <m/>
    <m/>
    <s v="o"/>
    <x v="2"/>
    <m/>
    <n v="0.75"/>
    <n v="0"/>
    <n v="0"/>
    <n v="1"/>
    <n v="1"/>
    <n v="1"/>
    <n v="1"/>
    <n v="1"/>
    <n v="1"/>
    <n v="1"/>
    <n v="1"/>
    <n v="1"/>
    <n v="1"/>
    <n v="1"/>
    <n v="1"/>
    <n v="1"/>
    <n v="1"/>
    <n v="1"/>
    <n v="1"/>
    <n v="1"/>
    <n v="1"/>
    <x v="0"/>
    <n v="1"/>
    <n v="1"/>
    <x v="0"/>
    <x v="0"/>
    <x v="0"/>
    <x v="1"/>
    <n v="1"/>
    <x v="0"/>
    <x v="0"/>
    <n v="1"/>
    <x v="0"/>
    <x v="0"/>
    <n v="1"/>
  </r>
  <r>
    <n v="202"/>
    <s v="11/06/2025"/>
    <s v="SP1"/>
    <x v="5"/>
    <x v="0"/>
    <s v="Filipe Goncalves (P1H)/_x000a_Cyrille P1X"/>
    <s v="Rft Choc LAT Porte AV"/>
    <s v="BIW/ DIW process"/>
    <s v="Embout à chaud  PHS950 YS1500T =&gt; PHS1400-Y1800T  _x000a_et réduction épaisseur"/>
    <s v="déjà intégré dans la BDD SP2 - ligne à supprimer"/>
    <m/>
    <s v="02/07/2025 CANCELLED : Ep.mini déjà atteinte (chgt de matière possible mais aurait nécessité une dimintution d'épasisseur)_x000a_11/06/2025 A ré-évaluer_x000a_04/11/2024 Idem post Go-Calcul SYNC3_x000a_08/07/2024 Retour calcul SYNC3 (Go calcul Nov =&gt; 2025?)_x000a_Pièce en Embout à chaud"/>
    <m/>
    <m/>
    <m/>
    <s v="o"/>
    <x v="0"/>
    <m/>
    <n v="0.5"/>
    <n v="-0.1"/>
    <n v="-0.05"/>
    <n v="1"/>
    <n v="1"/>
    <n v="1"/>
    <n v="1"/>
    <n v="1"/>
    <n v="1"/>
    <n v="1"/>
    <n v="1"/>
    <n v="1"/>
    <n v="1"/>
    <n v="1"/>
    <n v="1"/>
    <n v="1"/>
    <n v="1"/>
    <n v="1"/>
    <n v="1"/>
    <n v="1"/>
    <n v="1"/>
    <x v="0"/>
    <n v="1"/>
    <n v="1"/>
    <x v="0"/>
    <x v="0"/>
    <x v="0"/>
    <x v="0"/>
    <m/>
    <x v="0"/>
    <x v="0"/>
    <n v="1"/>
    <x v="0"/>
    <x v="0"/>
    <n v="1"/>
  </r>
  <r>
    <m/>
    <d v="2024-09-01T00:00:00"/>
    <s v="SPC_1"/>
    <x v="0"/>
    <x v="0"/>
    <s v="MICHAEL BORE"/>
    <s v="Rear quarter GLASS"/>
    <s v="Rear quarter GLASS"/>
    <s v="Part addition for style"/>
    <s v="06/10/2025 OK pour P3U et J2U_x000a_"/>
    <s v="PM-CM"/>
    <s v="26/06/2025 a reboucler après hypothèse projet"/>
    <s v="690K€"/>
    <n v="27.1"/>
    <m/>
    <s v="o"/>
    <x v="1"/>
    <s v="TBD"/>
    <n v="0.75"/>
    <n v="1"/>
    <n v="0.75"/>
    <n v="1"/>
    <n v="1"/>
    <n v="1"/>
    <n v="1"/>
    <n v="1"/>
    <n v="1"/>
    <n v="1"/>
    <n v="1"/>
    <n v="1"/>
    <n v="1"/>
    <n v="1"/>
    <n v="1"/>
    <n v="1"/>
    <n v="1"/>
    <n v="1"/>
    <n v="1"/>
    <n v="1"/>
    <n v="1"/>
    <x v="0"/>
    <n v="1"/>
    <n v="1"/>
    <x v="0"/>
    <x v="0"/>
    <x v="0"/>
    <x v="1"/>
    <n v="1"/>
    <x v="0"/>
    <x v="0"/>
    <n v="1"/>
    <x v="0"/>
    <x v="0"/>
    <n v="1"/>
  </r>
  <r>
    <n v="215"/>
    <d v="2026-02-05T00:00:00"/>
    <s v="SP1"/>
    <x v="6"/>
    <x v="1"/>
    <m/>
    <s v="Goulotte faisceaux moteur"/>
    <s v="ENGINE CABLE DUCT"/>
    <s v="Optimisation"/>
    <m/>
    <m/>
    <s v="25/09/2024 : Compté dans le périmètre TH._x000a_18/07/2024 : issu GT EE scope du 15/07/2024"/>
    <m/>
    <m/>
    <m/>
    <s v="o"/>
    <x v="2"/>
    <m/>
    <n v="0.5"/>
    <n v="0.02"/>
    <n v="0.01"/>
    <n v="1"/>
    <n v="1"/>
    <n v="1"/>
    <n v="1"/>
    <n v="1"/>
    <n v="1"/>
    <n v="1"/>
    <n v="1"/>
    <n v="1"/>
    <n v="1"/>
    <n v="1"/>
    <n v="1"/>
    <n v="1"/>
    <n v="1"/>
    <n v="1"/>
    <n v="1"/>
    <n v="1"/>
    <n v="1"/>
    <x v="0"/>
    <n v="1"/>
    <n v="1"/>
    <x v="0"/>
    <x v="0"/>
    <x v="0"/>
    <x v="1"/>
    <n v="1"/>
    <x v="0"/>
    <x v="0"/>
    <n v="1"/>
    <x v="0"/>
    <x v="0"/>
    <n v="1"/>
  </r>
  <r>
    <n v="224"/>
    <s v="25/09/2024"/>
    <s v="SP1"/>
    <x v="7"/>
    <x v="0"/>
    <m/>
    <s v="Pneu"/>
    <m/>
    <s v="Optim de masse 17&quot; et 18&quot;"/>
    <m/>
    <m/>
    <s v="25/09/2024 reporté S40_x000a_02/09/2024 besoin anayse VDYN _x000a_12/06/2024 New / attente retour frns"/>
    <m/>
    <m/>
    <m/>
    <s v="o"/>
    <x v="0"/>
    <m/>
    <n v="0.5"/>
    <n v="-1.2"/>
    <n v="-0.6"/>
    <n v="1"/>
    <n v="1"/>
    <n v="1"/>
    <n v="1"/>
    <n v="1"/>
    <n v="1"/>
    <n v="1"/>
    <n v="1"/>
    <n v="1"/>
    <n v="1"/>
    <n v="1"/>
    <n v="1"/>
    <n v="1"/>
    <n v="1"/>
    <n v="1"/>
    <n v="1"/>
    <n v="1"/>
    <n v="1"/>
    <x v="0"/>
    <n v="1"/>
    <n v="1"/>
    <x v="0"/>
    <x v="0"/>
    <x v="0"/>
    <x v="0"/>
    <m/>
    <x v="0"/>
    <x v="0"/>
    <n v="1"/>
    <x v="0"/>
    <x v="0"/>
    <n v="1"/>
  </r>
  <r>
    <n v="271"/>
    <s v="08/04/2025"/>
    <s v="SP1"/>
    <x v="0"/>
    <x v="0"/>
    <s v="Franck Baillon (SP1)/_x000a_Cyrille P1X"/>
    <s v="Zone Auvent"/>
    <s v="new part"/>
    <s v="Ajout pièces"/>
    <s v="???? Déjà sur SP2"/>
    <m/>
    <s v="08/04/2025 Détail : Finition LAT D/G Grille Entrée Air / Grille Entrée Air / Deflect Eau / Etanchéité D/G Grille / Conduit Entrée Air_x000a_22/11/2024 Complétude de BOM"/>
    <m/>
    <m/>
    <m/>
    <s v="o"/>
    <x v="1"/>
    <m/>
    <n v="1"/>
    <n v="0.54"/>
    <n v="0.54"/>
    <n v="1"/>
    <n v="1"/>
    <n v="1"/>
    <n v="1"/>
    <n v="1"/>
    <n v="1"/>
    <n v="1"/>
    <n v="1"/>
    <n v="1"/>
    <n v="1"/>
    <n v="1"/>
    <n v="1"/>
    <n v="1"/>
    <n v="1"/>
    <n v="1"/>
    <n v="1"/>
    <n v="1"/>
    <n v="1"/>
    <x v="0"/>
    <n v="1"/>
    <n v="1"/>
    <x v="0"/>
    <x v="0"/>
    <x v="0"/>
    <x v="1"/>
    <n v="1"/>
    <x v="0"/>
    <x v="0"/>
    <n v="1"/>
    <x v="0"/>
    <x v="0"/>
    <n v="1"/>
  </r>
  <r>
    <n v="323"/>
    <s v="06/06/2025"/>
    <s v="SP1"/>
    <x v="1"/>
    <x v="0"/>
    <s v="Sébastien Bonnefoi (P1H)/_x000a_Jean Michel Gabus P1X"/>
    <s v="PC Av/Ar"/>
    <s v="Front/Rear bumper"/>
    <s v="P1X"/>
    <s v="traité en PORO dépend du style"/>
    <m/>
    <s v="06/06/2025 PC P1X avec Air-Curtain"/>
    <m/>
    <m/>
    <m/>
    <s v="o"/>
    <x v="0"/>
    <m/>
    <n v="0.25"/>
    <n v="2"/>
    <n v="0.5"/>
    <n v="1"/>
    <n v="1"/>
    <n v="1"/>
    <n v="1"/>
    <n v="1"/>
    <n v="1"/>
    <n v="1"/>
    <n v="1"/>
    <n v="1"/>
    <n v="1"/>
    <n v="1"/>
    <n v="1"/>
    <n v="1"/>
    <n v="1"/>
    <n v="1"/>
    <n v="1"/>
    <n v="1"/>
    <n v="1"/>
    <x v="0"/>
    <n v="1"/>
    <n v="1"/>
    <x v="0"/>
    <x v="0"/>
    <x v="0"/>
    <x v="0"/>
    <m/>
    <x v="0"/>
    <x v="0"/>
    <n v="1"/>
    <x v="0"/>
    <x v="0"/>
    <n v="1"/>
  </r>
  <r>
    <n v="238"/>
    <d v="2026-02-05T00:00:00"/>
    <s v="SP1"/>
    <x v="6"/>
    <x v="1"/>
    <m/>
    <s v="Batterie 12V"/>
    <s v="12V battery "/>
    <s v="Retour fournisseur en fonction de niv equipement"/>
    <m/>
    <m/>
    <s v="25/09/2024 : batterie EFR L2 sur niv1. La masse absolue dépend du fournisseur. _x000a_24/06/2024 : Retour fournisseur"/>
    <m/>
    <m/>
    <m/>
    <s v="o"/>
    <x v="0"/>
    <m/>
    <n v="1"/>
    <n v="-0.4"/>
    <n v="-0.4"/>
    <n v="1"/>
    <n v="1"/>
    <n v="1"/>
    <n v="1"/>
    <n v="1"/>
    <n v="1"/>
    <n v="1"/>
    <n v="1"/>
    <n v="1"/>
    <n v="1"/>
    <n v="1"/>
    <n v="1"/>
    <n v="1"/>
    <n v="1"/>
    <n v="1"/>
    <n v="1"/>
    <n v="1"/>
    <n v="1"/>
    <x v="0"/>
    <n v="1"/>
    <n v="1"/>
    <x v="1"/>
    <x v="1"/>
    <x v="0"/>
    <x v="0"/>
    <m/>
    <x v="1"/>
    <x v="0"/>
    <n v="1"/>
    <x v="0"/>
    <x v="1"/>
    <m/>
  </r>
  <r>
    <n v="245"/>
    <s v="09/07/2024"/>
    <s v="SP1"/>
    <x v="8"/>
    <x v="2"/>
    <s v="ANTOINE SAINT MARCOUX"/>
    <s v="Batterie RR/SR/HR"/>
    <s v="HR battery"/>
    <s v="2 topics : Remove Fuse FO -0,3kg + Volume increase +1kg"/>
    <m/>
    <m/>
    <s v="09/07/2024 New"/>
    <m/>
    <m/>
    <m/>
    <s v="o"/>
    <x v="2"/>
    <m/>
    <n v="0.5"/>
    <n v="0.7"/>
    <n v="0.35"/>
    <n v="1"/>
    <n v="1"/>
    <n v="1"/>
    <n v="1"/>
    <n v="1"/>
    <n v="1"/>
    <n v="1"/>
    <n v="1"/>
    <n v="1"/>
    <n v="1"/>
    <n v="1"/>
    <n v="1"/>
    <n v="1"/>
    <n v="1"/>
    <n v="1"/>
    <n v="1"/>
    <n v="1"/>
    <n v="1"/>
    <x v="0"/>
    <m/>
    <m/>
    <x v="1"/>
    <x v="1"/>
    <x v="0"/>
    <x v="0"/>
    <m/>
    <x v="1"/>
    <x v="0"/>
    <m/>
    <x v="1"/>
    <x v="1"/>
    <m/>
  </r>
  <r>
    <n v="248"/>
    <s v="09/07/2024"/>
    <s v="SP1"/>
    <x v="8"/>
    <x v="2"/>
    <s v="ANTOINE SAINT MARCOUX"/>
    <s v="Batterie HR"/>
    <s v="HR battery"/>
    <m/>
    <m/>
    <m/>
    <s v="26/09/2025 Brackets : inc ds le STATUS_x000a_24/07/2025 2 sujets new : Bracket reinforct -2kg / Alu Busbar-3 (50%)_x000a_09/07/2024 New"/>
    <m/>
    <m/>
    <m/>
    <s v="o"/>
    <x v="2"/>
    <m/>
    <n v="0.5"/>
    <n v="-3"/>
    <n v="-1.5"/>
    <n v="1"/>
    <n v="1"/>
    <n v="1"/>
    <n v="1"/>
    <n v="1"/>
    <n v="1"/>
    <n v="1"/>
    <n v="1"/>
    <n v="1"/>
    <n v="1"/>
    <n v="1"/>
    <n v="1"/>
    <n v="1"/>
    <n v="1"/>
    <n v="1"/>
    <n v="1"/>
    <n v="1"/>
    <n v="1"/>
    <x v="0"/>
    <m/>
    <m/>
    <x v="1"/>
    <x v="1"/>
    <x v="1"/>
    <x v="0"/>
    <m/>
    <x v="1"/>
    <x v="0"/>
    <m/>
    <x v="1"/>
    <x v="1"/>
    <m/>
  </r>
  <r>
    <n v="270"/>
    <s v="08/04/2025"/>
    <s v="SP1"/>
    <x v="9"/>
    <x v="0"/>
    <s v="HALIM"/>
    <s v="Isolant Tapis"/>
    <s v="Carpet insulation"/>
    <s v="Insono Tapis pour le ThermalRunaway"/>
    <s v="24/06/2025 à vérifier plus tard"/>
    <s v="SFM"/>
    <s v="08/04/2025 GT_calcul : Risque levé pour P1H-SR / Reste pour HR et XR_x000a_18/03/2025 Coord_STLAS : Pour P1h=7pièces =&gt; +1,5kg ; +4€ // Pour P1X +2pièces_x000a_19/11/2024 Risque SYNC3 (Estim 1,2*1,9 / 650gr/m²:GlassMAT™HTX isolation thermique et phonique des compartiments moteur)"/>
    <m/>
    <m/>
    <m/>
    <s v="o"/>
    <x v="0"/>
    <m/>
    <n v="0.25"/>
    <n v="1.482"/>
    <n v="0.3705"/>
    <n v="1"/>
    <n v="1"/>
    <n v="1"/>
    <n v="1"/>
    <n v="1"/>
    <n v="1"/>
    <n v="1"/>
    <n v="1"/>
    <n v="1"/>
    <n v="1"/>
    <n v="1"/>
    <n v="1"/>
    <n v="1"/>
    <n v="1"/>
    <n v="1"/>
    <n v="1"/>
    <n v="1"/>
    <n v="1"/>
    <x v="0"/>
    <n v="1"/>
    <n v="1"/>
    <x v="0"/>
    <x v="0"/>
    <x v="0"/>
    <x v="0"/>
    <m/>
    <x v="0"/>
    <x v="0"/>
    <n v="1"/>
    <x v="0"/>
    <x v="0"/>
    <n v="1"/>
  </r>
  <r>
    <s v="107b"/>
    <s v="08/10/2024"/>
    <s v="SP1"/>
    <x v="6"/>
    <x v="1"/>
    <m/>
    <s v="Cable mode3 (7kW)"/>
    <m/>
    <s v="Passage en option/APV"/>
    <m/>
    <m/>
    <s v="08/10/2024 : Proposition de mettre le cable en option lors de l'achat (forcée par défaut dans le cnfigurateur avec possibilité de le supprimer)._x000a_25/09/2024 : Interdit par la politique tech pour le passage APV (Julien Grand clerc / Alain Lefevre sollicités pour offi)._x000a_19/06/2024 : en cours sur SP1 et sur SP2_x000a_13/03/2024 ECMP &gt; APV"/>
    <m/>
    <m/>
    <m/>
    <s v="o"/>
    <x v="0"/>
    <m/>
    <n v="0.5"/>
    <n v="-2.6"/>
    <n v="-1.3"/>
    <n v="1"/>
    <n v="1"/>
    <n v="1"/>
    <n v="1"/>
    <n v="1"/>
    <n v="1"/>
    <n v="1"/>
    <n v="1"/>
    <n v="1"/>
    <n v="1"/>
    <n v="1"/>
    <n v="1"/>
    <n v="1"/>
    <n v="1"/>
    <n v="1"/>
    <n v="1"/>
    <n v="1"/>
    <n v="1"/>
    <x v="0"/>
    <n v="1"/>
    <n v="1"/>
    <x v="0"/>
    <x v="0"/>
    <x v="0"/>
    <x v="0"/>
    <m/>
    <x v="0"/>
    <x v="0"/>
    <n v="1"/>
    <x v="0"/>
    <x v="0"/>
    <n v="1"/>
  </r>
  <r>
    <s v="188a"/>
    <s v="28/05/2025"/>
    <s v="SP1"/>
    <x v="1"/>
    <x v="0"/>
    <s v="Sébastien Bonnefoi (P1H)/_x000a_Jean Michel Gabus P1X"/>
    <s v="Aile/Capot P1X"/>
    <s v="style/brand"/>
    <s v="Nvo STYLE"/>
    <m/>
    <m/>
    <s v="28/05/2025 CHANTIER MASSE : Nvo Styl, en attente design_x000a_25/04/2024 : pas de modif style =&gt; A annuler pour P1H._x000a_27/03/2024 New WS S14"/>
    <m/>
    <m/>
    <m/>
    <s v="o"/>
    <x v="0"/>
    <m/>
    <n v="0.25"/>
    <n v="0.5"/>
    <n v="0.125"/>
    <n v="1"/>
    <n v="1"/>
    <n v="1"/>
    <n v="1"/>
    <n v="1"/>
    <n v="1"/>
    <n v="1"/>
    <n v="1"/>
    <n v="1"/>
    <n v="1"/>
    <n v="1"/>
    <n v="1"/>
    <n v="1"/>
    <n v="1"/>
    <n v="1"/>
    <n v="1"/>
    <n v="1"/>
    <n v="1"/>
    <x v="0"/>
    <n v="1"/>
    <n v="1"/>
    <x v="0"/>
    <x v="0"/>
    <x v="0"/>
    <x v="0"/>
    <m/>
    <x v="0"/>
    <x v="0"/>
    <n v="1"/>
    <x v="0"/>
    <x v="0"/>
    <n v="1"/>
  </r>
  <r>
    <s v="45b"/>
    <d v="2026-02-05T00:00:00"/>
    <s v="SP1"/>
    <x v="10"/>
    <x v="1"/>
    <m/>
    <s v="Optimisation des supports PHES"/>
    <s v="support optim "/>
    <s v="STEP2 : Optimize thickness"/>
    <m/>
    <m/>
    <s v="11/09/2024 : Travaux en cours"/>
    <m/>
    <m/>
    <m/>
    <s v="o"/>
    <x v="2"/>
    <m/>
    <n v="0.25"/>
    <n v="-0.5"/>
    <n v="-0.125"/>
    <n v="1"/>
    <n v="1"/>
    <n v="1"/>
    <n v="1"/>
    <n v="1"/>
    <n v="1"/>
    <n v="1"/>
    <n v="1"/>
    <n v="1"/>
    <n v="1"/>
    <n v="1"/>
    <n v="1"/>
    <n v="1"/>
    <n v="1"/>
    <n v="1"/>
    <n v="1"/>
    <n v="1"/>
    <n v="1"/>
    <x v="0"/>
    <n v="1"/>
    <n v="1"/>
    <x v="0"/>
    <x v="0"/>
    <x v="0"/>
    <x v="1"/>
    <n v="1"/>
    <x v="0"/>
    <x v="0"/>
    <n v="1"/>
    <x v="0"/>
    <x v="0"/>
    <n v="1"/>
  </r>
  <r>
    <s v="45c"/>
    <d v="2026-02-05T00:00:00"/>
    <s v="SP1"/>
    <x v="6"/>
    <x v="1"/>
    <m/>
    <s v="SUPPORT MULTIFONCTION AR G BATTERIE TRACTION"/>
    <s v="support optim "/>
    <s v="STEP2 : Optimize thickness_x000a_valeur initiale : 0,847 kg "/>
    <m/>
    <m/>
    <s v="09/12/2025 : Proposition de créer une diversité entre les versions AWD et FWD pour tous les HR"/>
    <m/>
    <m/>
    <m/>
    <s v="o"/>
    <x v="2"/>
    <m/>
    <n v="1"/>
    <n v="-0.45"/>
    <n v="-0.45"/>
    <n v="1"/>
    <n v="1"/>
    <n v="1"/>
    <n v="1"/>
    <n v="1"/>
    <n v="1"/>
    <n v="1"/>
    <n v="1"/>
    <n v="1"/>
    <n v="1"/>
    <n v="1"/>
    <n v="1"/>
    <n v="1"/>
    <n v="1"/>
    <n v="1"/>
    <n v="1"/>
    <n v="1"/>
    <n v="1"/>
    <x v="0"/>
    <n v="1"/>
    <n v="1"/>
    <x v="1"/>
    <x v="1"/>
    <x v="0"/>
    <x v="0"/>
    <m/>
    <x v="1"/>
    <x v="0"/>
    <n v="1"/>
    <x v="1"/>
    <x v="1"/>
    <m/>
  </r>
  <r>
    <n v="92"/>
    <s v="06/06/2025"/>
    <s v="SP1"/>
    <x v="5"/>
    <x v="0"/>
    <s v="Filipe Goncalves (P1H)/_x000a_Cyrille P1X"/>
    <s v="Portes"/>
    <s v="BIW/ DIW process"/>
    <s v="Impact masse demande DIR pour diminuer la diversité (ép. : dizaine supérieure)"/>
    <s v="06/02/2026LM_x000a_Pas concerné"/>
    <m/>
    <s v="06/06/2025 Niveau de risk diminué à 25%, Final step : fin de SYNC3_x000a_04/11/2024 Décalage planning &gt; Post Go_Calcul _x000a_12/07/2024 En attente des résultats SYNC3_x000a_21/03/2024 A valoriser suite aux résultats SYNC2 (voir avec RM)_x000a_14/03/2024 New / A décider avant engagement SYNC3"/>
    <m/>
    <m/>
    <m/>
    <s v="o"/>
    <x v="0"/>
    <m/>
    <n v="0.25"/>
    <n v="1.2"/>
    <n v="0.3"/>
    <n v="1"/>
    <n v="1"/>
    <n v="1"/>
    <n v="1"/>
    <n v="1"/>
    <n v="1"/>
    <n v="1"/>
    <n v="1"/>
    <n v="1"/>
    <n v="1"/>
    <n v="1"/>
    <n v="1"/>
    <n v="1"/>
    <n v="1"/>
    <n v="1"/>
    <n v="1"/>
    <n v="1"/>
    <n v="1"/>
    <x v="0"/>
    <n v="1"/>
    <n v="1"/>
    <x v="0"/>
    <x v="0"/>
    <x v="0"/>
    <x v="0"/>
    <m/>
    <x v="0"/>
    <x v="0"/>
    <n v="1"/>
    <x v="0"/>
    <x v="0"/>
    <n v="1"/>
  </r>
  <r>
    <s v="93B"/>
    <s v="08/04/2025"/>
    <s v="SP1"/>
    <x v="11"/>
    <x v="0"/>
    <s v="Franck Baillon (SP1)/_x000a_Cyrille P1X"/>
    <s v="BIW : CHOC"/>
    <s v="risk perfo"/>
    <s v="Rft 3é voie"/>
    <s v="Bilan Choc dira si on peut appliquer aussi"/>
    <m/>
    <s v="08/04/2025 Scénario choc tt SP1 : Dbl Aile AV &amp; Rft Abv Cote HAB (+0,888kg)_x000a_03/09/2024 En attente travaux Base sur la 3ée voie … Synthèse idem P1H ! (0,5kg à 50%)_x000a_25/04/2024 : Suite choc frontal SYNC1 .Risque ajout raidisseu_x000a_13/03/2024 maj_x000a_01/02/2024 Ptf"/>
    <m/>
    <m/>
    <m/>
    <s v="x"/>
    <x v="1"/>
    <m/>
    <n v="0.5"/>
    <n v="0.88800000000000001"/>
    <n v="0.44400000000000001"/>
    <n v="1"/>
    <n v="1"/>
    <n v="1"/>
    <n v="1"/>
    <n v="1"/>
    <n v="1"/>
    <n v="1"/>
    <n v="1"/>
    <n v="1"/>
    <n v="1"/>
    <n v="1"/>
    <n v="1"/>
    <n v="1"/>
    <n v="1"/>
    <n v="1"/>
    <n v="1"/>
    <n v="1"/>
    <n v="1"/>
    <x v="0"/>
    <n v="1"/>
    <n v="1"/>
    <x v="0"/>
    <x v="0"/>
    <x v="0"/>
    <x v="0"/>
    <m/>
    <x v="0"/>
    <x v="0"/>
    <n v="1"/>
    <x v="0"/>
    <x v="0"/>
    <n v="1"/>
  </r>
  <r>
    <m/>
    <d v="2024-09-01T00:00:00"/>
    <s v="SPC_1"/>
    <x v="0"/>
    <x v="0"/>
    <s v="FRANK BAILLON"/>
    <s v="Doublure custode"/>
    <s v="Lower quarter inner"/>
    <s v="stratégie embout_x000a_Mise en panoplie avec Upper rear inner quarter"/>
    <s v="06/10/2025 a reboucler avec l'embout - Mickael_x000a_Ludovic DASNOIS_x000a_"/>
    <s v="DTM PM-CM"/>
    <s v="26/06/2025 a reboucler après hypothèse projet"/>
    <s v="-400K€"/>
    <n v="0.7"/>
    <m/>
    <s v="o"/>
    <x v="0"/>
    <s v="TBD"/>
    <n v="0.5"/>
    <n v="0.43"/>
    <n v="0.215"/>
    <n v="1"/>
    <n v="1"/>
    <n v="1"/>
    <n v="1"/>
    <n v="1"/>
    <n v="1"/>
    <n v="1"/>
    <n v="1"/>
    <n v="1"/>
    <n v="1"/>
    <n v="1"/>
    <n v="1"/>
    <n v="1"/>
    <n v="1"/>
    <n v="1"/>
    <n v="1"/>
    <n v="1"/>
    <n v="1"/>
    <x v="0"/>
    <n v="1"/>
    <n v="1"/>
    <x v="0"/>
    <x v="0"/>
    <x v="0"/>
    <x v="1"/>
    <n v="1"/>
    <x v="0"/>
    <x v="0"/>
    <n v="1"/>
    <x v="0"/>
    <x v="0"/>
    <n v="1"/>
  </r>
  <r>
    <m/>
    <d v="2024-09-01T00:00:00"/>
    <s v="SPC_1"/>
    <x v="0"/>
    <x v="0"/>
    <s v="FRANK BAILLON"/>
    <s v="Doublure panneau AR"/>
    <s v="Rear Inner pannel"/>
    <s v="stratégie embout_x000a_Mise en panoplie avec Closing"/>
    <s v="06/10/2025 a reboucler avec l'embout - Mickael_x000a_Ludovic DASNOIS_x000a_"/>
    <s v="DTM PM-CM"/>
    <s v="26/06/2025 a reboucler après hypothèse projet"/>
    <s v="-500K€"/>
    <n v="0.6"/>
    <m/>
    <s v="o"/>
    <x v="0"/>
    <s v="TBD"/>
    <n v="0.5"/>
    <n v="0.4"/>
    <n v="0.2"/>
    <n v="1"/>
    <n v="1"/>
    <n v="1"/>
    <n v="1"/>
    <n v="1"/>
    <n v="1"/>
    <n v="1"/>
    <n v="1"/>
    <n v="1"/>
    <n v="1"/>
    <n v="1"/>
    <n v="1"/>
    <n v="1"/>
    <n v="1"/>
    <n v="1"/>
    <n v="1"/>
    <n v="1"/>
    <n v="1"/>
    <x v="0"/>
    <n v="1"/>
    <n v="1"/>
    <x v="0"/>
    <x v="0"/>
    <x v="0"/>
    <x v="1"/>
    <n v="1"/>
    <x v="0"/>
    <x v="0"/>
    <n v="1"/>
    <x v="0"/>
    <x v="0"/>
    <n v="1"/>
  </r>
  <r>
    <n v="233"/>
    <d v="2026-03-02T00:00:00"/>
    <s v="SPC_1"/>
    <x v="9"/>
    <x v="0"/>
    <s v="HALIM"/>
    <s v="Ins Passe de roue AR"/>
    <s v="optim design"/>
    <s v="Ins Passe de roue AR : New"/>
    <s v="02/03/2026 LM _x000a_Meeting CW10"/>
    <s v="SFM"/>
    <m/>
    <m/>
    <m/>
    <m/>
    <s v="o"/>
    <x v="0"/>
    <m/>
    <n v="0.5"/>
    <m/>
    <n v="0"/>
    <n v="1"/>
    <n v="1"/>
    <n v="1"/>
    <n v="1"/>
    <n v="1"/>
    <n v="1"/>
    <n v="1"/>
    <n v="1"/>
    <n v="1"/>
    <n v="1"/>
    <n v="1"/>
    <n v="1"/>
    <n v="1"/>
    <n v="1"/>
    <n v="1"/>
    <n v="1"/>
    <n v="1"/>
    <n v="1"/>
    <x v="0"/>
    <n v="1"/>
    <n v="1"/>
    <x v="0"/>
    <x v="0"/>
    <x v="0"/>
    <x v="1"/>
    <n v="1"/>
    <x v="0"/>
    <x v="0"/>
    <n v="1"/>
    <x v="0"/>
    <x v="0"/>
    <n v="1"/>
  </r>
  <r>
    <n v="234"/>
    <s v="18/06/2024"/>
    <s v="SP1"/>
    <x v="0"/>
    <x v="0"/>
    <s v="FRANK BAILLON"/>
    <s v="Garniture Raidisseur Pavillon"/>
    <s v="optim design"/>
    <s v="Dossier RFQ (obj masse) =&gt; A verifier dans la BDD "/>
    <s v="24/06/2025 à checker en RFQ avec les FNR"/>
    <s v="SFM"/>
    <s v="18/06/2024 Dossier RFQ : Masses sup"/>
    <m/>
    <m/>
    <m/>
    <s v="o"/>
    <x v="0"/>
    <m/>
    <n v="0.5"/>
    <n v="0.3"/>
    <n v="0.15"/>
    <n v="1"/>
    <n v="1"/>
    <n v="1"/>
    <n v="1"/>
    <n v="1"/>
    <n v="1"/>
    <n v="1"/>
    <n v="1"/>
    <n v="1"/>
    <n v="1"/>
    <n v="1"/>
    <n v="1"/>
    <n v="1"/>
    <n v="1"/>
    <n v="1"/>
    <n v="1"/>
    <n v="1"/>
    <n v="1"/>
    <x v="0"/>
    <n v="1"/>
    <n v="1"/>
    <x v="0"/>
    <x v="0"/>
    <x v="0"/>
    <x v="1"/>
    <n v="1"/>
    <x v="0"/>
    <x v="0"/>
    <n v="1"/>
    <x v="0"/>
    <x v="0"/>
    <n v="1"/>
  </r>
  <r>
    <s v="99c"/>
    <s v="26/08/2024"/>
    <s v="SP1"/>
    <x v="8"/>
    <x v="2"/>
    <m/>
    <s v="Ens PWT HR + 11kW"/>
    <m/>
    <s v="HR Bat / FWD S EDM / IDCM 11kW"/>
    <m/>
    <m/>
    <s v="26/08/2024 Status maj &gt; Ptf en Risque =&gt; Echéance C-sample : date ?_x000a_08/07/2024 Mass updated CW27 / maj en cours"/>
    <m/>
    <m/>
    <m/>
    <s v="o"/>
    <x v="0"/>
    <m/>
    <n v="0.5"/>
    <n v="1.8"/>
    <n v="0.9"/>
    <n v="1"/>
    <n v="1"/>
    <n v="1"/>
    <n v="1"/>
    <n v="1"/>
    <n v="1"/>
    <n v="1"/>
    <n v="1"/>
    <n v="1"/>
    <n v="1"/>
    <n v="1"/>
    <n v="1"/>
    <n v="1"/>
    <n v="1"/>
    <n v="1"/>
    <n v="1"/>
    <n v="1"/>
    <n v="1"/>
    <x v="0"/>
    <n v="1"/>
    <n v="1"/>
    <x v="0"/>
    <x v="0"/>
    <x v="0"/>
    <x v="0"/>
    <m/>
    <x v="0"/>
    <x v="0"/>
    <n v="1"/>
    <x v="0"/>
    <x v="0"/>
    <n v="1"/>
  </r>
  <r>
    <s v="9b"/>
    <d v="2026-02-05T00:00:00"/>
    <s v="SP1"/>
    <x v="12"/>
    <x v="1"/>
    <m/>
    <s v="Optimisation des écrans sous caisse"/>
    <s v="optim phase 2 "/>
    <s v="Optimisation de dessin"/>
    <m/>
    <m/>
    <s v="17/11/2025 : Config P1H figée._x000a_17/07/2025 : Pas de casse d'écran (ecran ar cassé mais à priori non conforme). Attente retour QAU pour voir si déformation ok._x000a_07/07/2025 : Ecran actuellement trop souple. Besoin d'essai de passage au gué pour etat des lieux (cette semaine). Voir avec JC si masse des ecrans dans la BOM est conforme de la techno Mussel._x000a_20/11/2024 : Consultation en cours. Certains fournisseurs propose la techno Mussel : injecte de l'air dans la matière pour avoir de l'épaisseur sans masse (permet d'avoir de la raideur et de réduire le besoin de nervurage). Choix fournisseur début avril 2025._x000a_23/10/2024 : Design avant essai _x000a_23/09/2024 : Piste maximisée"/>
    <m/>
    <m/>
    <m/>
    <s v="o"/>
    <x v="2"/>
    <m/>
    <n v="0.25"/>
    <n v="-2"/>
    <n v="-0.5"/>
    <n v="1"/>
    <n v="1"/>
    <n v="1"/>
    <n v="1"/>
    <n v="1"/>
    <n v="1"/>
    <n v="1"/>
    <n v="1"/>
    <n v="1"/>
    <n v="1"/>
    <n v="1"/>
    <n v="1"/>
    <n v="1"/>
    <n v="1"/>
    <n v="1"/>
    <n v="1"/>
    <n v="1"/>
    <n v="1"/>
    <x v="0"/>
    <n v="1"/>
    <n v="1"/>
    <x v="1"/>
    <x v="1"/>
    <x v="0"/>
    <x v="0"/>
    <m/>
    <x v="1"/>
    <x v="0"/>
    <n v="1"/>
    <x v="1"/>
    <x v="1"/>
    <m/>
  </r>
  <r>
    <n v="283"/>
    <s v="11/02/2025"/>
    <s v="SP1"/>
    <x v="4"/>
    <x v="1"/>
    <m/>
    <s v="Actionneur volant direction filaire (SBW uniquement)"/>
    <s v="Steer-by-wire steering wheel actuator (SBW only)"/>
    <s v="Optimisation fournisseur"/>
    <m/>
    <m/>
    <s v="11/02/2025 : Pb en collapse vu en simu qui risque d'augmenter la masse. Essai physique cette semaine à Turin. Existe une solution en simu qui resout le problème -&gt; à chiffrer S08 + passage en VSM/PTM S07 pour valider ECR chez le fournisseur_x000a_7/25/2024 : GT presta S30 : Convergence presque à la cible avec une estimation masse à 7.3 kg ald 8 kg en cible. Il reste des implementation à faire mais probablement pas à la hauteur des +0.7 d'écart."/>
    <m/>
    <m/>
    <m/>
    <s v="o"/>
    <x v="0"/>
    <m/>
    <n v="0.25"/>
    <n v="-0.7"/>
    <n v="-0.17499999999999999"/>
    <n v="1"/>
    <n v="1"/>
    <n v="1"/>
    <n v="1"/>
    <n v="1"/>
    <n v="1"/>
    <n v="1"/>
    <n v="1"/>
    <n v="1"/>
    <n v="1"/>
    <n v="1"/>
    <n v="1"/>
    <n v="1"/>
    <n v="1"/>
    <n v="1"/>
    <n v="1"/>
    <n v="1"/>
    <n v="1"/>
    <x v="0"/>
    <n v="1"/>
    <n v="1"/>
    <x v="0"/>
    <x v="0"/>
    <x v="0"/>
    <x v="0"/>
    <m/>
    <x v="0"/>
    <x v="0"/>
    <n v="1"/>
    <x v="0"/>
    <x v="0"/>
    <n v="1"/>
  </r>
  <r>
    <n v="284"/>
    <s v="11/02/2025"/>
    <s v="SP1"/>
    <x v="4"/>
    <x v="1"/>
    <m/>
    <s v="Actionneur volant direction filaire (SBW uniquement)"/>
    <s v="Steer-by-wire steering wheel actuator (SBW only)"/>
    <s v="Optimisation reponse en frequence"/>
    <m/>
    <m/>
    <s v="11/02/2025 : Solution fer à cheval choisie. Retour cette semaine pour la faisa._x000a_03/10/2024 : Essai prévu S40 mais pb appro pièce._x000a_28/08/2024 : Travail en cours sur la traverse PdB. Simu et essais en cours. Délai a voir avec Philippe Vannier et Olivier en GT Prestation._x000a_7/25/2024 : GT presta S30 : Convergence presque à la cible avec une estimation masse à 7.3 kg ald 8 kg en cible. Il reste des implementation à faire mais probablement pas à la hauteur des +0.7 d'écart."/>
    <m/>
    <m/>
    <m/>
    <s v="o"/>
    <x v="0"/>
    <m/>
    <n v="1"/>
    <n v="0.3"/>
    <n v="0.3"/>
    <n v="1"/>
    <n v="1"/>
    <n v="1"/>
    <n v="1"/>
    <n v="1"/>
    <n v="1"/>
    <n v="1"/>
    <n v="1"/>
    <n v="1"/>
    <n v="1"/>
    <n v="1"/>
    <n v="1"/>
    <n v="1"/>
    <n v="1"/>
    <n v="1"/>
    <n v="1"/>
    <n v="1"/>
    <n v="1"/>
    <x v="0"/>
    <n v="1"/>
    <n v="1"/>
    <x v="0"/>
    <x v="0"/>
    <x v="0"/>
    <x v="0"/>
    <m/>
    <x v="0"/>
    <x v="0"/>
    <n v="1"/>
    <x v="0"/>
    <x v="0"/>
    <n v="1"/>
  </r>
  <r>
    <n v="287"/>
    <s v="11/02/2025"/>
    <s v="SP1"/>
    <x v="12"/>
    <x v="1"/>
    <m/>
    <s v="Zone Brancard"/>
    <s v="Side rail area"/>
    <m/>
    <m/>
    <m/>
    <s v="11/02/2025 : Passage du sujet en VSM/PTM S07 pour décider._x000a_03/12/2024 : GT conception : eval précise après calcul : estimation à +0,7 kg hors tablier (valable TT). Epaisseur tablier à passer en 0,9 ald 0,7 --&gt; +0,9 kg (impact seulement sur P1H, P1X déjà en 0,9)._x000a_20/11/2024 : Pb de choc après reception MaJ modèles de choc. Dessin en cours, calcul d'ici 2 ou 3 semaines."/>
    <m/>
    <m/>
    <m/>
    <s v="o"/>
    <x v="0"/>
    <m/>
    <n v="1"/>
    <n v="0.5"/>
    <n v="0.5"/>
    <n v="1"/>
    <n v="1"/>
    <n v="1"/>
    <n v="1"/>
    <n v="1"/>
    <n v="1"/>
    <n v="1"/>
    <n v="1"/>
    <n v="1"/>
    <n v="1"/>
    <n v="1"/>
    <n v="1"/>
    <n v="1"/>
    <n v="1"/>
    <n v="1"/>
    <n v="1"/>
    <n v="1"/>
    <n v="1"/>
    <x v="0"/>
    <n v="1"/>
    <n v="1"/>
    <x v="0"/>
    <x v="0"/>
    <x v="0"/>
    <x v="0"/>
    <m/>
    <x v="0"/>
    <x v="0"/>
    <n v="1"/>
    <x v="0"/>
    <x v="0"/>
    <n v="1"/>
  </r>
  <r>
    <n v="255"/>
    <d v="2026-02-05T00:00:00"/>
    <s v="SP1"/>
    <x v="10"/>
    <x v="1"/>
    <m/>
    <s v="Damper"/>
    <s v="TPC"/>
    <s v="Remove sur Chiller, TMM, Compresseur."/>
    <m/>
    <m/>
    <s v="29/10/2025 : Essais  12/2025_x000a_11/09/2024 : Piste TPC. Gains suivant essai NVH à venir."/>
    <m/>
    <m/>
    <m/>
    <s v="o"/>
    <x v="0"/>
    <m/>
    <n v="0.5"/>
    <n v="-0.1"/>
    <n v="-0.05"/>
    <n v="1"/>
    <n v="1"/>
    <n v="1"/>
    <n v="1"/>
    <n v="1"/>
    <n v="1"/>
    <n v="1"/>
    <n v="1"/>
    <n v="1"/>
    <n v="1"/>
    <n v="1"/>
    <n v="1"/>
    <n v="1"/>
    <n v="1"/>
    <n v="1"/>
    <n v="1"/>
    <n v="1"/>
    <n v="1"/>
    <x v="0"/>
    <n v="1"/>
    <n v="1"/>
    <x v="1"/>
    <x v="1"/>
    <x v="1"/>
    <x v="1"/>
    <n v="1"/>
    <x v="0"/>
    <x v="1"/>
    <m/>
    <x v="0"/>
    <x v="0"/>
    <n v="1"/>
  </r>
  <r>
    <m/>
    <s v="01/09/024"/>
    <s v="SPC_1"/>
    <x v="0"/>
    <x v="0"/>
    <s v="FRANK BAILLON"/>
    <s v="Montant de baie"/>
    <s v="Windscreen pillar reinforcer"/>
    <s v="stratégie embout_x000a_Mise en panoplie avec Roof Arch reinforcement"/>
    <s v="06/10/2025 a reboucler avec l'embout - Mickael_x000a_Ludovic DASNOIS_x000a_"/>
    <s v="DTM PM-CM"/>
    <s v="26/06/2025 a reboucler après hypothèse projet"/>
    <s v="-350K€"/>
    <n v="1.6"/>
    <m/>
    <s v="o"/>
    <x v="0"/>
    <s v="TBD"/>
    <n v="0.1"/>
    <n v="1.2"/>
    <n v="0.12"/>
    <n v="1"/>
    <n v="1"/>
    <n v="1"/>
    <n v="1"/>
    <n v="1"/>
    <n v="1"/>
    <n v="1"/>
    <n v="1"/>
    <n v="1"/>
    <n v="1"/>
    <n v="1"/>
    <n v="1"/>
    <n v="1"/>
    <n v="1"/>
    <n v="1"/>
    <n v="1"/>
    <n v="1"/>
    <n v="1"/>
    <x v="0"/>
    <n v="1"/>
    <n v="1"/>
    <x v="0"/>
    <x v="0"/>
    <x v="0"/>
    <x v="1"/>
    <n v="1"/>
    <x v="0"/>
    <x v="0"/>
    <n v="1"/>
    <x v="0"/>
    <x v="0"/>
    <n v="1"/>
  </r>
  <r>
    <n v="294"/>
    <s v="11/02/2025"/>
    <s v="SP1"/>
    <x v="12"/>
    <x v="1"/>
    <m/>
    <s v="Longeron"/>
    <s v="SILL"/>
    <s v="Reduction feuillure inf longeron"/>
    <m/>
    <m/>
    <s v="11/02/2025 : A passer en RD suite accord de toutes les parties._x000a_07/01/2025 : reduction de la hauteur de feuillure de 9mm (6mm sur TH) pour un gain de 0,540 kg (-0,35 kg sur PTF et -0,19 kg sur TH)"/>
    <m/>
    <m/>
    <m/>
    <s v="o"/>
    <x v="0"/>
    <m/>
    <n v="1"/>
    <n v="-0.35"/>
    <n v="-0.35"/>
    <n v="1"/>
    <n v="1"/>
    <n v="1"/>
    <n v="1"/>
    <n v="1"/>
    <n v="1"/>
    <n v="1"/>
    <n v="1"/>
    <n v="1"/>
    <n v="1"/>
    <n v="1"/>
    <n v="1"/>
    <n v="1"/>
    <n v="1"/>
    <n v="1"/>
    <n v="1"/>
    <n v="1"/>
    <n v="1"/>
    <x v="0"/>
    <n v="1"/>
    <n v="1"/>
    <x v="0"/>
    <x v="0"/>
    <x v="0"/>
    <x v="0"/>
    <m/>
    <x v="0"/>
    <x v="0"/>
    <n v="1"/>
    <x v="0"/>
    <x v="0"/>
    <n v="1"/>
  </r>
  <r>
    <n v="295"/>
    <d v="2026-02-05T00:00:00"/>
    <s v="SP1"/>
    <x v="12"/>
    <x v="1"/>
    <m/>
    <s v="Demande ajout écran aero sur bras train ML"/>
    <m/>
    <s v="27/11/2025 : Présentation en VSM/PTM. Gain important en Aero, mais cout important (+3,5€). Besoin à confirmer après essai, pas en ref en ce moment. Nouvelle estimation à 0,5 kg_x000a_03/10/2025 : Aero demande des écrans sur les bras du ML. Demande à confirmer."/>
    <m/>
    <m/>
    <s v="27/11/2025 : Présentation en VSM/PTM. Gain important en Aero, mais cout important (+3,5€). Besoin à confirmer après essai, pas en ref en ce moment. Nouvelle estimation à 0,5 kg_x000a_03/10/2025 : Aero demande des écrans sur les bras du ML. Demande à confirmer."/>
    <m/>
    <m/>
    <m/>
    <s v="o"/>
    <x v="2"/>
    <m/>
    <n v="0.75"/>
    <n v="0.5"/>
    <n v="0.375"/>
    <n v="1"/>
    <n v="1"/>
    <n v="1"/>
    <n v="1"/>
    <n v="1"/>
    <n v="1"/>
    <n v="1"/>
    <n v="1"/>
    <n v="1"/>
    <n v="1"/>
    <n v="1"/>
    <n v="1"/>
    <n v="1"/>
    <n v="1"/>
    <n v="1"/>
    <n v="1"/>
    <n v="1"/>
    <n v="1"/>
    <x v="0"/>
    <n v="1"/>
    <n v="1"/>
    <x v="1"/>
    <x v="1"/>
    <x v="1"/>
    <x v="0"/>
    <m/>
    <x v="1"/>
    <x v="0"/>
    <n v="1"/>
    <x v="1"/>
    <x v="1"/>
    <m/>
  </r>
  <r>
    <n v="296"/>
    <d v="2026-02-05T00:00:00"/>
    <s v="SP1"/>
    <x v="12"/>
    <x v="1"/>
    <m/>
    <s v="Longeronnet AV"/>
    <s v="Front sub-frame"/>
    <s v="Besoin de raideur dyn"/>
    <m/>
    <m/>
    <s v="11/02/2025 : Besoin de raideur dyn"/>
    <m/>
    <m/>
    <m/>
    <s v="o"/>
    <x v="0"/>
    <m/>
    <n v="1"/>
    <n v="0.3"/>
    <n v="0.3"/>
    <n v="1"/>
    <n v="1"/>
    <n v="1"/>
    <n v="1"/>
    <n v="1"/>
    <n v="1"/>
    <n v="1"/>
    <n v="1"/>
    <n v="1"/>
    <n v="1"/>
    <n v="1"/>
    <n v="1"/>
    <n v="1"/>
    <n v="1"/>
    <n v="1"/>
    <n v="1"/>
    <n v="1"/>
    <n v="1"/>
    <x v="0"/>
    <n v="1"/>
    <n v="1"/>
    <x v="0"/>
    <x v="0"/>
    <x v="0"/>
    <x v="0"/>
    <m/>
    <x v="0"/>
    <x v="0"/>
    <n v="1"/>
    <x v="0"/>
    <x v="0"/>
    <n v="1"/>
  </r>
  <r>
    <n v="298"/>
    <d v="2026-02-05T00:00:00"/>
    <s v="SP1"/>
    <x v="12"/>
    <x v="1"/>
    <m/>
    <s v="Optimasse phase 3 P1X"/>
    <s v="Underbody  optimization"/>
    <m/>
    <m/>
    <m/>
    <s v="07/11/2025 : hypothèse de reduction de 0,05mm sur les tôles entre 0,7 et 1,6."/>
    <m/>
    <m/>
    <m/>
    <s v="o"/>
    <x v="2"/>
    <m/>
    <n v="0.25"/>
    <n v="-4.9000000000000004"/>
    <n v="-1.2250000000000001"/>
    <n v="1"/>
    <n v="1"/>
    <n v="1"/>
    <n v="1"/>
    <n v="1"/>
    <n v="1"/>
    <n v="1"/>
    <n v="1"/>
    <n v="1"/>
    <n v="1"/>
    <n v="1"/>
    <n v="1"/>
    <n v="1"/>
    <n v="1"/>
    <n v="1"/>
    <n v="1"/>
    <n v="1"/>
    <n v="1"/>
    <x v="0"/>
    <n v="1"/>
    <n v="1"/>
    <x v="1"/>
    <x v="1"/>
    <x v="0"/>
    <x v="0"/>
    <m/>
    <x v="1"/>
    <x v="0"/>
    <n v="1"/>
    <x v="0"/>
    <x v="1"/>
    <m/>
  </r>
  <r>
    <n v="305"/>
    <s v="24/04/2025"/>
    <s v="SP1"/>
    <x v="2"/>
    <x v="0"/>
    <s v="FREDERIC BRUNIER"/>
    <s v="Traverse planche de bord"/>
    <s v="risk perfo"/>
    <s v="Renforcement"/>
    <s v="CP P1H Sébastien Dupuis_x000a_24/06/2025 à confirmer avec Sébastien"/>
    <m/>
    <s v="24/04/2025 Tenue NVH / Vibration"/>
    <m/>
    <m/>
    <m/>
    <s v="o"/>
    <x v="0"/>
    <m/>
    <n v="0.25"/>
    <n v="0.4"/>
    <n v="0.1"/>
    <n v="1"/>
    <n v="1"/>
    <n v="1"/>
    <n v="1"/>
    <n v="1"/>
    <n v="1"/>
    <n v="1"/>
    <n v="1"/>
    <n v="1"/>
    <n v="1"/>
    <n v="1"/>
    <n v="1"/>
    <n v="1"/>
    <n v="1"/>
    <n v="1"/>
    <n v="1"/>
    <n v="1"/>
    <n v="1"/>
    <x v="0"/>
    <n v="1"/>
    <n v="1"/>
    <x v="0"/>
    <x v="0"/>
    <x v="0"/>
    <x v="0"/>
    <m/>
    <x v="0"/>
    <x v="0"/>
    <n v="1"/>
    <x v="0"/>
    <x v="0"/>
    <n v="1"/>
  </r>
  <r>
    <m/>
    <d v="2024-09-01T00:00:00"/>
    <s v="SPC_1"/>
    <x v="0"/>
    <x v="0"/>
    <s v="FRANK BAILLON"/>
    <s v="Montant de baie"/>
    <s v="Inner Windscreen pillar"/>
    <s v="stratégie embout_x000a_Mise en panoplie avec Inner Roof Arch"/>
    <s v="06/10/2025 a reboucler avec l'embout - Mickael_x000a_Ludovic DASNOIS_x000a_"/>
    <s v="DTM PM-CM"/>
    <s v="26/06/2025 a reboucler après hypothèse projet"/>
    <s v="-250K€"/>
    <n v="0.7"/>
    <m/>
    <s v="o"/>
    <x v="0"/>
    <s v="TBD"/>
    <n v="0.1"/>
    <n v="0.5"/>
    <n v="0.05"/>
    <n v="1"/>
    <n v="1"/>
    <n v="1"/>
    <n v="1"/>
    <n v="1"/>
    <n v="1"/>
    <n v="1"/>
    <n v="1"/>
    <n v="1"/>
    <n v="1"/>
    <n v="1"/>
    <n v="1"/>
    <n v="1"/>
    <n v="1"/>
    <n v="1"/>
    <n v="1"/>
    <n v="1"/>
    <n v="1"/>
    <x v="0"/>
    <n v="1"/>
    <n v="1"/>
    <x v="0"/>
    <x v="0"/>
    <x v="0"/>
    <x v="1"/>
    <n v="1"/>
    <x v="0"/>
    <x v="0"/>
    <n v="1"/>
    <x v="0"/>
    <x v="0"/>
    <n v="1"/>
  </r>
  <r>
    <m/>
    <d v="2024-09-01T00:00:00"/>
    <s v="SPC_1"/>
    <x v="0"/>
    <x v="0"/>
    <s v="FRANK BAILLON"/>
    <s v="Pavillon AR"/>
    <s v="Rear roof reinforcer"/>
    <s v="stratégie embout_x000a_Mise en panoplie avec Crossmenber"/>
    <s v="06/10/2025 a reboucler avec l'embout - Mickael_x000a_Ludovic DASNOIS_x000a_"/>
    <s v="DTM PM-CM"/>
    <s v="26/06/2025 a reboucler après hypothèse projet"/>
    <s v="-400K€"/>
    <n v="0"/>
    <m/>
    <s v="o"/>
    <x v="0"/>
    <s v="TBD"/>
    <n v="0.1"/>
    <n v="0.3"/>
    <n v="0.03"/>
    <n v="1"/>
    <n v="1"/>
    <n v="1"/>
    <n v="1"/>
    <n v="1"/>
    <n v="1"/>
    <n v="1"/>
    <n v="1"/>
    <n v="1"/>
    <n v="1"/>
    <n v="1"/>
    <n v="1"/>
    <n v="1"/>
    <n v="1"/>
    <n v="1"/>
    <n v="1"/>
    <n v="1"/>
    <n v="1"/>
    <x v="0"/>
    <n v="1"/>
    <n v="1"/>
    <x v="0"/>
    <x v="0"/>
    <x v="0"/>
    <x v="1"/>
    <n v="1"/>
    <x v="0"/>
    <x v="0"/>
    <n v="1"/>
    <x v="0"/>
    <x v="0"/>
    <n v="1"/>
  </r>
  <r>
    <m/>
    <d v="2024-09-01T00:00:00"/>
    <s v="SPC_1"/>
    <x v="1"/>
    <x v="0"/>
    <s v="MICHAEL BORE"/>
    <s v="feu AR T2 "/>
    <s v="rear central lamp T2"/>
    <s v="estimation entre 2 FNR"/>
    <s v="13/03/2026 LM"/>
    <m/>
    <m/>
    <n v="0"/>
    <s v="(-59,31)"/>
    <m/>
    <s v="x"/>
    <x v="2"/>
    <s v="TBD"/>
    <n v="0.1"/>
    <n v="-2"/>
    <n v="-0.2"/>
    <n v="1"/>
    <m/>
    <m/>
    <m/>
    <m/>
    <m/>
    <m/>
    <m/>
    <m/>
    <n v="1"/>
    <m/>
    <m/>
    <m/>
    <m/>
    <m/>
    <m/>
    <m/>
    <m/>
    <x v="0"/>
    <n v="1"/>
    <n v="1"/>
    <x v="0"/>
    <x v="0"/>
    <x v="1"/>
    <x v="0"/>
    <m/>
    <x v="1"/>
    <x v="1"/>
    <m/>
    <x v="1"/>
    <x v="1"/>
    <m/>
  </r>
  <r>
    <n v="299"/>
    <d v="2026-02-05T00:00:00"/>
    <s v="SP1"/>
    <x v="10"/>
    <x v="1"/>
    <m/>
    <s v="HVAC"/>
    <s v="HVAC"/>
    <s v="Augmentation des performances"/>
    <m/>
    <m/>
    <s v="07/03/2025 : Décision d'ajout d'aillettes et augmentation du radiateur. Valeur reelle à avoir après convergence archi."/>
    <m/>
    <m/>
    <m/>
    <s v="o"/>
    <x v="2"/>
    <m/>
    <n v="1"/>
    <n v="0.2"/>
    <n v="0.2"/>
    <n v="1"/>
    <n v="1"/>
    <n v="1"/>
    <n v="1"/>
    <n v="1"/>
    <n v="1"/>
    <n v="1"/>
    <n v="1"/>
    <n v="1"/>
    <n v="1"/>
    <n v="1"/>
    <n v="1"/>
    <n v="1"/>
    <n v="1"/>
    <n v="1"/>
    <n v="1"/>
    <n v="1"/>
    <n v="1"/>
    <x v="0"/>
    <n v="1"/>
    <n v="1"/>
    <x v="0"/>
    <x v="0"/>
    <x v="0"/>
    <x v="1"/>
    <n v="1"/>
    <x v="0"/>
    <x v="0"/>
    <n v="1"/>
    <x v="0"/>
    <x v="0"/>
    <n v="1"/>
  </r>
  <r>
    <m/>
    <d v="2024-09-01T00:00:00"/>
    <s v="SPC_1"/>
    <x v="12"/>
    <x v="0"/>
    <s v="MICHAEL BORE"/>
    <s v="Renfort Aile AV"/>
    <s v="Front fender reinforcer"/>
    <s v="Removal - Wait SYNC1 simulation P1H"/>
    <s v="20/03/2026 a reboucler avec Cédric Choffel (DRE)_x000a_LM 29/09/25_x000a_Attente Style mais pas de Renfort à aujourd'hui à reboucler avec Junghee"/>
    <s v="PM-CM"/>
    <m/>
    <s v="TBD"/>
    <n v="-0.23"/>
    <m/>
    <s v="o"/>
    <x v="2"/>
    <s v="TBD"/>
    <n v="0"/>
    <n v="-1.2"/>
    <n v="0"/>
    <n v="1"/>
    <n v="1"/>
    <n v="1"/>
    <n v="1"/>
    <n v="1"/>
    <n v="1"/>
    <n v="1"/>
    <n v="1"/>
    <n v="1"/>
    <n v="1"/>
    <n v="1"/>
    <n v="1"/>
    <n v="1"/>
    <n v="1"/>
    <n v="1"/>
    <n v="1"/>
    <n v="1"/>
    <n v="1"/>
    <x v="0"/>
    <n v="1"/>
    <n v="1"/>
    <x v="0"/>
    <x v="0"/>
    <x v="0"/>
    <x v="1"/>
    <n v="1"/>
    <x v="0"/>
    <x v="0"/>
    <n v="1"/>
    <x v="0"/>
    <x v="0"/>
    <n v="1"/>
  </r>
  <r>
    <s v="302a"/>
    <s v="25/03/2025"/>
    <s v="SP1"/>
    <x v="11"/>
    <x v="0"/>
    <s v="Franck Baillon (SP1)/_x000a_Cyrille P1X"/>
    <s v="Appui cric"/>
    <s v="new part"/>
    <s v="Optim Longeron"/>
    <s v="Si application SP1 ok SPC"/>
    <m/>
    <s v="25/03/2025 Transfert PtF Appui cric au TH : Fermeture Av Longeron "/>
    <m/>
    <m/>
    <m/>
    <s v="o"/>
    <x v="1"/>
    <m/>
    <n v="1"/>
    <n v="0.4"/>
    <n v="0.4"/>
    <n v="1"/>
    <n v="1"/>
    <n v="1"/>
    <n v="1"/>
    <n v="1"/>
    <n v="1"/>
    <n v="1"/>
    <n v="1"/>
    <n v="1"/>
    <n v="1"/>
    <n v="1"/>
    <n v="1"/>
    <n v="1"/>
    <n v="1"/>
    <n v="1"/>
    <n v="1"/>
    <n v="1"/>
    <n v="1"/>
    <x v="0"/>
    <n v="1"/>
    <n v="1"/>
    <x v="0"/>
    <x v="0"/>
    <x v="0"/>
    <x v="0"/>
    <m/>
    <x v="0"/>
    <x v="0"/>
    <n v="1"/>
    <x v="0"/>
    <x v="0"/>
    <n v="1"/>
  </r>
  <r>
    <s v="302c"/>
    <d v="2026-02-05T00:00:00"/>
    <s v="SP1"/>
    <x v="11"/>
    <x v="1"/>
    <m/>
    <s v="Battery housing HR"/>
    <s v="Battery housing HR"/>
    <s v="Renfort vs choc lateral"/>
    <m/>
    <m/>
    <s v="04/02/2026 : renforcement du bac batterie pour eviter les contacts avec les busbar en choc latéral."/>
    <m/>
    <m/>
    <m/>
    <s v="o"/>
    <x v="2"/>
    <m/>
    <n v="0.75"/>
    <n v="5.6"/>
    <n v="4.1999999999999993"/>
    <n v="1"/>
    <n v="1"/>
    <n v="1"/>
    <n v="1"/>
    <n v="1"/>
    <n v="1"/>
    <n v="1"/>
    <n v="1"/>
    <n v="1"/>
    <n v="1"/>
    <n v="1"/>
    <n v="1"/>
    <n v="1"/>
    <n v="1"/>
    <n v="1"/>
    <n v="1"/>
    <n v="1"/>
    <n v="1"/>
    <x v="0"/>
    <n v="1"/>
    <m/>
    <x v="1"/>
    <x v="1"/>
    <x v="1"/>
    <x v="0"/>
    <m/>
    <x v="1"/>
    <x v="0"/>
    <n v="1"/>
    <x v="1"/>
    <x v="1"/>
    <m/>
  </r>
  <r>
    <n v="304"/>
    <s v="08/04/2025"/>
    <s v="SP1"/>
    <x v="11"/>
    <x v="0"/>
    <s v="Franck Baillon (SP1)/_x000a_Cyrille P1X"/>
    <s v="SYNC3+"/>
    <s v="risk perfo"/>
    <s v="Addon ChoC FR"/>
    <s v="A checker pour SPC"/>
    <m/>
    <s v="01/07/2025 2Synthèse différente =&gt; CANCELLED_x000a_08/04/2025 Périmètre SYNC3+, add-ons au sujet 93B : : raidisseur inf pied avant, +0,341kg"/>
    <m/>
    <m/>
    <m/>
    <s v="o"/>
    <x v="0"/>
    <m/>
    <n v="0.25"/>
    <n v="0.34100000000000003"/>
    <n v="8.5250000000000006E-2"/>
    <n v="1"/>
    <n v="1"/>
    <n v="1"/>
    <n v="1"/>
    <n v="1"/>
    <n v="1"/>
    <n v="1"/>
    <n v="1"/>
    <n v="1"/>
    <n v="1"/>
    <n v="1"/>
    <n v="1"/>
    <n v="1"/>
    <n v="1"/>
    <n v="1"/>
    <n v="1"/>
    <n v="1"/>
    <n v="1"/>
    <x v="0"/>
    <n v="1"/>
    <n v="1"/>
    <x v="0"/>
    <x v="0"/>
    <x v="0"/>
    <x v="0"/>
    <m/>
    <x v="0"/>
    <x v="0"/>
    <n v="1"/>
    <x v="0"/>
    <x v="0"/>
    <n v="1"/>
  </r>
  <r>
    <m/>
    <d v="2024-09-01T00:00:00"/>
    <s v="SPC_1"/>
    <x v="0"/>
    <x v="0"/>
    <s v="FRANK BAILLON"/>
    <s v="Pare-Boue AR"/>
    <s v="Mudguards"/>
    <s v="P1H : Pare-Boue AR - version textil au lieu d'injecté. Avec patch NVH"/>
    <s v="24/03/2026 LM_x000a_point CW 15 pour retour"/>
    <m/>
    <m/>
    <s v="500K€"/>
    <n v="-0.9"/>
    <m/>
    <s v="DECISION ?"/>
    <x v="2"/>
    <s v="TBD"/>
    <n v="1"/>
    <n v="-0.7"/>
    <n v="-0.7"/>
    <n v="1"/>
    <n v="1"/>
    <n v="1"/>
    <n v="1"/>
    <n v="1"/>
    <n v="1"/>
    <n v="1"/>
    <n v="1"/>
    <n v="1"/>
    <n v="1"/>
    <n v="1"/>
    <n v="1"/>
    <n v="1"/>
    <n v="1"/>
    <n v="1"/>
    <n v="1"/>
    <n v="1"/>
    <n v="1"/>
    <x v="0"/>
    <n v="1"/>
    <n v="1"/>
    <x v="0"/>
    <x v="0"/>
    <x v="0"/>
    <x v="1"/>
    <n v="1"/>
    <x v="0"/>
    <x v="0"/>
    <n v="1"/>
    <x v="0"/>
    <x v="0"/>
    <n v="1"/>
  </r>
  <r>
    <n v="222"/>
    <d v="2024-09-01T00:00:00"/>
    <s v="SPC_1"/>
    <x v="0"/>
    <x v="0"/>
    <s v="MICHAEL BORE"/>
    <s v="Aerofin"/>
    <s v="Aerofin"/>
    <s v="Impact aerofin sur tolerie de volet suite choix de concept aerofin embarqué sur volet "/>
    <s v="LM 31/01/2026_x000a_A abandonner car toit bi-ton_x000a_06/10/2025 _x000a_P3U Aerofin sur volet plastique_x000a_J2U pas d'Aerofin sur volet tôle_x000a_J1X sur volet tôle _x000a_sujet à reboucler plus tard suvant le style, peu de gain masse"/>
    <s v="PM"/>
    <m/>
    <n v="0"/>
    <n v="0.7"/>
    <m/>
    <s v="o"/>
    <x v="0"/>
    <s v="TBD"/>
    <n v="0"/>
    <n v="0.5"/>
    <n v="0"/>
    <n v="1"/>
    <n v="1"/>
    <n v="1"/>
    <n v="1"/>
    <n v="1"/>
    <n v="1"/>
    <n v="1"/>
    <n v="1"/>
    <n v="1"/>
    <n v="1"/>
    <n v="1"/>
    <n v="1"/>
    <n v="1"/>
    <n v="1"/>
    <n v="1"/>
    <n v="1"/>
    <n v="1"/>
    <n v="1"/>
    <x v="0"/>
    <n v="1"/>
    <n v="1"/>
    <x v="0"/>
    <x v="0"/>
    <x v="0"/>
    <x v="0"/>
    <m/>
    <x v="0"/>
    <x v="0"/>
    <n v="1"/>
    <x v="0"/>
    <x v="0"/>
    <n v="1"/>
  </r>
  <r>
    <m/>
    <d v="2024-09-01T00:00:00"/>
    <s v="SPC_1"/>
    <x v="0"/>
    <x v="0"/>
    <s v="MICHAEL BORE"/>
    <s v="enjoliveur noir si feu AR T2 supp "/>
    <s v="black trim"/>
    <m/>
    <s v="06/10/2025 Pas de PORO_x000a_et T2 tout type, donc ligne à supprimer"/>
    <s v="CM poro signature"/>
    <s v="26/06/2025 a reboucler après hypothèse projet"/>
    <n v="0"/>
    <s v="(15)"/>
    <m/>
    <s v="o"/>
    <x v="0"/>
    <s v="TBD"/>
    <n v="0"/>
    <n v="1.7"/>
    <n v="0"/>
    <n v="1"/>
    <n v="1"/>
    <n v="1"/>
    <n v="1"/>
    <n v="1"/>
    <n v="1"/>
    <n v="1"/>
    <n v="1"/>
    <n v="1"/>
    <n v="1"/>
    <n v="1"/>
    <n v="1"/>
    <n v="1"/>
    <n v="1"/>
    <n v="1"/>
    <n v="1"/>
    <n v="1"/>
    <n v="1"/>
    <x v="0"/>
    <n v="1"/>
    <n v="1"/>
    <x v="0"/>
    <x v="0"/>
    <x v="0"/>
    <x v="0"/>
    <m/>
    <x v="0"/>
    <x v="0"/>
    <n v="1"/>
    <x v="0"/>
    <x v="0"/>
    <n v="1"/>
  </r>
  <r>
    <m/>
    <d v="2025-06-13T00:00:00"/>
    <s v="SPC_1"/>
    <x v="11"/>
    <x v="3"/>
    <m/>
    <s v="Compsite rear floor"/>
    <s v="Raw material Change"/>
    <s v="Matetrial Change"/>
    <s v="10/10/2025 a reboucler avec la base Nicolas Tessier"/>
    <m/>
    <m/>
    <s v="TBD"/>
    <s v="TBD"/>
    <m/>
    <s v="o"/>
    <x v="0"/>
    <m/>
    <m/>
    <m/>
    <n v="0"/>
    <m/>
    <m/>
    <m/>
    <m/>
    <m/>
    <m/>
    <m/>
    <m/>
    <m/>
    <m/>
    <m/>
    <m/>
    <m/>
    <m/>
    <m/>
    <m/>
    <m/>
    <m/>
    <x v="0"/>
    <n v="1"/>
    <n v="1"/>
    <x v="0"/>
    <x v="0"/>
    <x v="0"/>
    <x v="1"/>
    <n v="1"/>
    <x v="0"/>
    <x v="0"/>
    <n v="1"/>
    <x v="0"/>
    <x v="0"/>
    <n v="1"/>
  </r>
  <r>
    <n v="309"/>
    <s v="03/06/2025"/>
    <s v="SP1"/>
    <x v="9"/>
    <x v="0"/>
    <s v="Laurent  VILLA"/>
    <s v="Garniture Volet…."/>
    <s v="Tailgate trim..."/>
    <s v="Optim idem P1H"/>
    <s v="24/06/2025 Laurent reboucle avec Sébatien Carrier_x000a_sur SPC volet plastique donc pas de garniture latérale"/>
    <s v="SFM"/>
    <s v="18/07/2025 Suite RD CW29(Volet Plastique) =&gt; Annulé_x000a_03/06/2025 CHANTIER : Garn inf revue maj à-0,2kg (ald-0,9kg) // Uniqut si volet ACIER !_x000a_28/05/2025 CHANTIER MASSE : Idem P1H (Garn Vole- 0,9kg / Lat -0,64kg / Sup -0,260kg)"/>
    <m/>
    <m/>
    <m/>
    <s v="o"/>
    <x v="0"/>
    <m/>
    <n v="0.25"/>
    <n v="-1.1000000000000001"/>
    <n v="-0.27500000000000002"/>
    <n v="1"/>
    <n v="1"/>
    <n v="1"/>
    <n v="1"/>
    <n v="1"/>
    <n v="1"/>
    <n v="1"/>
    <n v="1"/>
    <n v="1"/>
    <n v="1"/>
    <n v="1"/>
    <n v="1"/>
    <n v="1"/>
    <n v="1"/>
    <n v="1"/>
    <n v="1"/>
    <n v="1"/>
    <n v="1"/>
    <x v="0"/>
    <n v="1"/>
    <n v="1"/>
    <x v="0"/>
    <x v="0"/>
    <x v="0"/>
    <x v="0"/>
    <m/>
    <x v="0"/>
    <x v="0"/>
    <n v="1"/>
    <x v="0"/>
    <x v="0"/>
    <n v="1"/>
  </r>
  <r>
    <m/>
    <d v="2025-06-13T00:00:00"/>
    <s v="SPC_1"/>
    <x v="12"/>
    <x v="1"/>
    <s v="Herve robert"/>
    <s v="longeron composite "/>
    <s v="Composite side member reinforcement"/>
    <s v="Matetrial Change"/>
    <m/>
    <m/>
    <s v="20/06/25 : - 7,2 kg / nouvelle ref =&gt; Side crash reinforcement (retour FNR CW25 2025 -7,2kg à -4,6kg)_x000a_14/03/2024 : Workshop mass"/>
    <s v="TOOLING_x000a_"/>
    <s v="106€+60€"/>
    <m/>
    <s v="o"/>
    <x v="2"/>
    <m/>
    <n v="1"/>
    <n v="-7.2"/>
    <n v="-7.2"/>
    <m/>
    <m/>
    <m/>
    <m/>
    <m/>
    <m/>
    <m/>
    <m/>
    <m/>
    <m/>
    <m/>
    <m/>
    <m/>
    <m/>
    <m/>
    <m/>
    <m/>
    <m/>
    <x v="0"/>
    <n v="1"/>
    <n v="1"/>
    <x v="1"/>
    <x v="1"/>
    <x v="0"/>
    <x v="0"/>
    <m/>
    <x v="1"/>
    <x v="0"/>
    <n v="1"/>
    <x v="1"/>
    <x v="1"/>
    <m/>
  </r>
  <r>
    <m/>
    <d v="2025-06-13T00:00:00"/>
    <s v="SPC_1"/>
    <x v="12"/>
    <x v="0"/>
    <s v="MICHAEL BORE"/>
    <s v="Aile avant Alu"/>
    <m/>
    <s v="Matetrial Change"/>
    <s v="06/03/2026 LM : pas d'aile alu pour P3U - à supprimer_x000a_10/10/2025 a reboucler avec la base Benoit Allais"/>
    <m/>
    <m/>
    <s v="800k€"/>
    <n v="7.7"/>
    <m/>
    <s v="DECISION ?"/>
    <x v="0"/>
    <m/>
    <n v="1"/>
    <n v="-1.5"/>
    <n v="-1.5"/>
    <m/>
    <m/>
    <m/>
    <m/>
    <m/>
    <m/>
    <m/>
    <m/>
    <m/>
    <m/>
    <m/>
    <m/>
    <m/>
    <m/>
    <m/>
    <m/>
    <m/>
    <m/>
    <x v="0"/>
    <n v="1"/>
    <n v="1"/>
    <x v="0"/>
    <x v="0"/>
    <x v="1"/>
    <x v="0"/>
    <m/>
    <x v="1"/>
    <x v="1"/>
    <m/>
    <x v="1"/>
    <x v="1"/>
    <m/>
  </r>
  <r>
    <m/>
    <d v="2025-06-13T00:00:00"/>
    <s v="SPC_1"/>
    <x v="12"/>
    <x v="0"/>
    <s v="Hervet Lambin"/>
    <s v="Portes Alu"/>
    <s v="Door"/>
    <s v="Matetrial Change"/>
    <s v="10/10/2025 refusé par le projet_x000a_ligne à supprimer"/>
    <m/>
    <m/>
    <s v="TBD"/>
    <s v="TBD"/>
    <m/>
    <s v="o"/>
    <x v="0"/>
    <m/>
    <n v="0"/>
    <m/>
    <n v="0"/>
    <m/>
    <m/>
    <m/>
    <m/>
    <m/>
    <m/>
    <m/>
    <m/>
    <m/>
    <m/>
    <m/>
    <m/>
    <m/>
    <m/>
    <m/>
    <m/>
    <m/>
    <m/>
    <x v="1"/>
    <m/>
    <m/>
    <x v="1"/>
    <x v="1"/>
    <x v="1"/>
    <x v="0"/>
    <m/>
    <x v="1"/>
    <x v="1"/>
    <m/>
    <x v="1"/>
    <x v="1"/>
    <m/>
  </r>
  <r>
    <s v="317a"/>
    <s v="03/06/2025"/>
    <s v="SP1"/>
    <x v="9"/>
    <x v="0"/>
    <s v="HALIM"/>
    <s v="P2P"/>
    <s v="P2P"/>
    <m/>
    <m/>
    <m/>
    <s v="03/06/2025 CHANTIER MASSE :  Revoir la décli"/>
    <m/>
    <m/>
    <m/>
    <s v="WS"/>
    <x v="1"/>
    <m/>
    <n v="0"/>
    <n v="-2"/>
    <n v="0"/>
    <n v="1"/>
    <n v="1"/>
    <n v="1"/>
    <n v="1"/>
    <n v="1"/>
    <n v="1"/>
    <n v="1"/>
    <n v="1"/>
    <n v="1"/>
    <n v="1"/>
    <n v="1"/>
    <n v="1"/>
    <n v="1"/>
    <n v="1"/>
    <n v="1"/>
    <n v="1"/>
    <n v="1"/>
    <n v="1"/>
    <x v="1"/>
    <m/>
    <m/>
    <x v="1"/>
    <x v="1"/>
    <x v="0"/>
    <x v="1"/>
    <n v="1"/>
    <x v="0"/>
    <x v="0"/>
    <n v="1"/>
    <x v="0"/>
    <x v="0"/>
    <n v="1"/>
  </r>
  <r>
    <s v="317b"/>
    <s v="03/06/2025"/>
    <s v="SP1"/>
    <x v="9"/>
    <x v="0"/>
    <m/>
    <s v="P2P (supports)"/>
    <m/>
    <s v="Revoir la diversité"/>
    <m/>
    <m/>
    <s v="03/06/2025 CHANTIER MASSE : Supprimer les supports du TT &gt; Impact sur la diversité des GLC"/>
    <m/>
    <m/>
    <m/>
    <s v="o"/>
    <x v="0"/>
    <m/>
    <n v="0.25"/>
    <n v="-0.7"/>
    <n v="-0.17499999999999999"/>
    <n v="1"/>
    <n v="1"/>
    <n v="1"/>
    <n v="1"/>
    <n v="1"/>
    <n v="1"/>
    <n v="1"/>
    <n v="1"/>
    <n v="1"/>
    <n v="1"/>
    <n v="1"/>
    <n v="1"/>
    <n v="1"/>
    <n v="1"/>
    <n v="1"/>
    <n v="1"/>
    <n v="1"/>
    <n v="1"/>
    <x v="0"/>
    <n v="1"/>
    <n v="1"/>
    <x v="0"/>
    <x v="0"/>
    <x v="0"/>
    <x v="0"/>
    <m/>
    <x v="0"/>
    <x v="0"/>
    <n v="1"/>
    <x v="0"/>
    <x v="0"/>
    <n v="1"/>
  </r>
  <r>
    <m/>
    <d v="2025-10-10T00:00:00"/>
    <s v="SPC_1"/>
    <x v="5"/>
    <x v="0"/>
    <s v="Damien Demougeot/_x000a_Hervet Lambin"/>
    <s v="Module de Porte AV et AR"/>
    <s v="Door"/>
    <m/>
    <s v="13/03/2026 LM en cours d'application_x000a_20/02/2026 LM - application non confirmé en CW 08_26_x000a_06/02/2026 LM - Réunion pour validation de l'application en CW 07_26_x000a_24/10/2025 Après calcul par le métier, pas de gain masse sur cet item - sujet stain by_x000a_10/10/2025 à reboucler avec Herve Lambin "/>
    <m/>
    <m/>
    <s v="TBD"/>
    <s v="TBD"/>
    <m/>
    <s v="o"/>
    <x v="2"/>
    <m/>
    <n v="1"/>
    <n v="-1.5"/>
    <n v="-1.5"/>
    <m/>
    <m/>
    <m/>
    <m/>
    <m/>
    <m/>
    <m/>
    <m/>
    <m/>
    <m/>
    <m/>
    <m/>
    <m/>
    <m/>
    <m/>
    <m/>
    <m/>
    <m/>
    <x v="0"/>
    <n v="1"/>
    <n v="1"/>
    <x v="0"/>
    <x v="0"/>
    <x v="0"/>
    <x v="1"/>
    <n v="1"/>
    <x v="0"/>
    <x v="0"/>
    <n v="1"/>
    <x v="0"/>
    <x v="0"/>
    <n v="1"/>
  </r>
  <r>
    <n v="202"/>
    <s v="11/06/2025"/>
    <s v="SPC_1"/>
    <x v="5"/>
    <x v="0"/>
    <s v="Hervet Lambin"/>
    <s v="Rft Choc LAT Porte AV"/>
    <s v="BIW/ DIW process"/>
    <s v="Embout à chaud  PHS950 YS1500T =&gt; PHS1400-Y1800T  _x000a_et réduction épaisseur"/>
    <s v="06/02/2026 LM_x000a_sujet déjà appliqué sur SPC_1_x000a_sujet à supprimer_x000a_10/10/2025 à reboucler avec Herve Lambin _x000a_question à revérifier pour SPC-1"/>
    <m/>
    <s v="02/07/2025 CANCELLED : Ep.mini déjà atteinte (chgt de matière possible mais aurait nécessité une dimintution d'épasisseur)_x000a_11/06/2025 A ré-évaluer_x000a_04/11/2024 Idem post Go-Calcul SYNC3_x000a_08/07/2024 Retour calcul SYNC3 (Go calcul Nov =&gt; 2025?)_x000a_Pièce en Embout à chaud"/>
    <m/>
    <m/>
    <m/>
    <s v="o"/>
    <x v="1"/>
    <m/>
    <n v="0"/>
    <n v="-0.1"/>
    <n v="0"/>
    <n v="1"/>
    <n v="1"/>
    <n v="1"/>
    <n v="1"/>
    <n v="1"/>
    <n v="1"/>
    <n v="1"/>
    <n v="1"/>
    <n v="1"/>
    <n v="1"/>
    <n v="1"/>
    <n v="1"/>
    <n v="1"/>
    <n v="1"/>
    <n v="1"/>
    <n v="1"/>
    <n v="1"/>
    <n v="1"/>
    <x v="0"/>
    <n v="1"/>
    <n v="1"/>
    <x v="0"/>
    <x v="0"/>
    <x v="0"/>
    <x v="0"/>
    <m/>
    <x v="0"/>
    <x v="0"/>
    <n v="1"/>
    <x v="0"/>
    <x v="0"/>
    <n v="1"/>
  </r>
  <r>
    <m/>
    <d v="2024-09-01T00:00:00"/>
    <s v="SPC_1"/>
    <x v="5"/>
    <x v="0"/>
    <s v="Hervet Lambin"/>
    <s v="Rft Choc LAT Porte D/G   AR"/>
    <s v="Hot Stamping lat reinfor"/>
    <s v="Embout à chaud"/>
    <s v="06/02/2026 LM_x000a_sujet déjà appliqué sur SPC_1_x000a_sujet à supprimer_x000a_10/10/2025 à reboucler avec Herve Lambin _x000a_question à revérifier pour SPC-1"/>
    <s v="PM-CM"/>
    <m/>
    <n v="104"/>
    <n v="-0.8"/>
    <m/>
    <s v="o"/>
    <x v="1"/>
    <s v="TBD"/>
    <n v="0"/>
    <n v="-0.5"/>
    <n v="0"/>
    <m/>
    <m/>
    <m/>
    <n v="1"/>
    <n v="1"/>
    <m/>
    <m/>
    <n v="1"/>
    <n v="1"/>
    <m/>
    <m/>
    <m/>
    <n v="1"/>
    <n v="1"/>
    <m/>
    <m/>
    <n v="1"/>
    <n v="1"/>
    <x v="1"/>
    <m/>
    <m/>
    <x v="0"/>
    <x v="0"/>
    <x v="1"/>
    <x v="0"/>
    <m/>
    <x v="0"/>
    <x v="1"/>
    <m/>
    <x v="1"/>
    <x v="0"/>
    <n v="1"/>
  </r>
  <r>
    <n v="26"/>
    <d v="2025-04-11T00:00:00"/>
    <s v="SP2"/>
    <x v="4"/>
    <x v="1"/>
    <m/>
    <s v="Pivot alu"/>
    <s v="Longitudinal member"/>
    <s v="Changement de matière"/>
    <m/>
    <m/>
    <s v="14/03/2024 : Workshop mass"/>
    <m/>
    <n v="40"/>
    <m/>
    <m/>
    <x v="0"/>
    <s v="TBD"/>
    <n v="1"/>
    <n v="-1"/>
    <n v="-1"/>
    <n v="1"/>
    <n v="1"/>
    <n v="1"/>
    <m/>
    <m/>
    <m/>
    <m/>
    <m/>
    <m/>
    <n v="1"/>
    <n v="1"/>
    <n v="1"/>
    <m/>
    <m/>
    <m/>
    <m/>
    <m/>
    <m/>
    <x v="1"/>
    <m/>
    <m/>
    <x v="0"/>
    <x v="1"/>
    <x v="1"/>
    <x v="0"/>
    <m/>
    <x v="1"/>
    <x v="1"/>
    <m/>
    <x v="1"/>
    <x v="0"/>
    <m/>
  </r>
  <r>
    <n v="308"/>
    <s v="06/06/2025"/>
    <s v="SP1"/>
    <x v="9"/>
    <x v="0"/>
    <s v="HALIM"/>
    <s v="Insono Coffre Rds"/>
    <s v="Trunk soundproofing (Rds)"/>
    <s v="TRUNK SOUNDPROOF"/>
    <s v="02/03/2026 LM à Supprimer car non appliqué sur P3U_x000a_24/06/2025 à checker en RFQ avec les FNR"/>
    <s v="SFM"/>
    <s v="06/06/2025 Que sur le ML !_x000a_23/05/2025 A supprimer TT"/>
    <m/>
    <m/>
    <m/>
    <s v="o"/>
    <x v="0"/>
    <m/>
    <n v="0.25"/>
    <n v="-0.15"/>
    <n v="-3.7499999999999999E-2"/>
    <n v="1"/>
    <n v="1"/>
    <n v="1"/>
    <n v="1"/>
    <n v="1"/>
    <n v="1"/>
    <n v="1"/>
    <n v="1"/>
    <n v="1"/>
    <n v="1"/>
    <n v="1"/>
    <n v="1"/>
    <n v="1"/>
    <n v="1"/>
    <n v="1"/>
    <n v="1"/>
    <n v="1"/>
    <n v="1"/>
    <x v="0"/>
    <n v="1"/>
    <n v="1"/>
    <x v="0"/>
    <x v="0"/>
    <x v="0"/>
    <x v="1"/>
    <n v="1"/>
    <x v="0"/>
    <x v="0"/>
    <n v="1"/>
    <x v="0"/>
    <x v="0"/>
    <n v="1"/>
  </r>
  <r>
    <n v="50"/>
    <m/>
    <s v="SP2"/>
    <x v="12"/>
    <x v="1"/>
    <m/>
    <s v="Rear Crashbeam"/>
    <m/>
    <s v="STEP 2 : Ecart concurrence. -3 kg"/>
    <m/>
    <m/>
    <s v="14/03/2024 : Workshop mass"/>
    <m/>
    <n v="10"/>
    <m/>
    <m/>
    <x v="0"/>
    <s v="TBD"/>
    <n v="0.5"/>
    <n v="-3"/>
    <n v="-1.5"/>
    <n v="1"/>
    <n v="1"/>
    <n v="1"/>
    <m/>
    <m/>
    <m/>
    <m/>
    <m/>
    <m/>
    <n v="1"/>
    <n v="1"/>
    <n v="1"/>
    <m/>
    <m/>
    <m/>
    <m/>
    <m/>
    <m/>
    <x v="1"/>
    <m/>
    <m/>
    <x v="0"/>
    <x v="1"/>
    <x v="1"/>
    <x v="0"/>
    <m/>
    <x v="1"/>
    <x v="1"/>
    <m/>
    <x v="1"/>
    <x v="0"/>
    <m/>
  </r>
  <r>
    <n v="58"/>
    <m/>
    <s v="SP2"/>
    <x v="13"/>
    <x v="0"/>
    <m/>
    <s v="Portes ALU"/>
    <s v="Aluminum doors"/>
    <m/>
    <m/>
    <m/>
    <s v="14/03/2024 : Workshop mass"/>
    <n v="0"/>
    <n v="200"/>
    <m/>
    <m/>
    <x v="0"/>
    <s v="TBD"/>
    <n v="1"/>
    <n v="-22"/>
    <n v="-22"/>
    <n v="1"/>
    <n v="1"/>
    <n v="1"/>
    <m/>
    <m/>
    <m/>
    <m/>
    <m/>
    <m/>
    <n v="1"/>
    <n v="1"/>
    <n v="1"/>
    <m/>
    <m/>
    <m/>
    <m/>
    <m/>
    <m/>
    <x v="1"/>
    <m/>
    <m/>
    <x v="0"/>
    <x v="1"/>
    <x v="1"/>
    <x v="0"/>
    <m/>
    <x v="1"/>
    <x v="1"/>
    <m/>
    <x v="1"/>
    <x v="0"/>
    <m/>
  </r>
  <r>
    <n v="59"/>
    <m/>
    <s v="SP2"/>
    <x v="12"/>
    <x v="0"/>
    <m/>
    <s v="Pavillon ALU"/>
    <s v="Alloy  roof "/>
    <m/>
    <m/>
    <m/>
    <s v="14/03/2024 : Workshop mass"/>
    <m/>
    <n v="15"/>
    <m/>
    <m/>
    <x v="0"/>
    <s v="TBD"/>
    <n v="0.25"/>
    <n v="-4"/>
    <n v="-1"/>
    <n v="1"/>
    <n v="1"/>
    <n v="1"/>
    <m/>
    <m/>
    <m/>
    <m/>
    <m/>
    <m/>
    <n v="1"/>
    <n v="1"/>
    <n v="1"/>
    <m/>
    <m/>
    <m/>
    <m/>
    <m/>
    <m/>
    <x v="1"/>
    <m/>
    <m/>
    <x v="0"/>
    <x v="1"/>
    <x v="1"/>
    <x v="0"/>
    <m/>
    <x v="1"/>
    <x v="1"/>
    <m/>
    <x v="1"/>
    <x v="0"/>
    <m/>
  </r>
  <r>
    <s v="97a"/>
    <m/>
    <s v="SP2"/>
    <x v="12"/>
    <x v="1"/>
    <m/>
    <s v="SAC AR"/>
    <s v="Rear Repair Beam"/>
    <s v="Optimisation vs Choc_répa =&gt; voir classe d'assurance !"/>
    <m/>
    <m/>
    <s v="14/03/2024 : Workshop mass"/>
    <m/>
    <n v="10"/>
    <m/>
    <m/>
    <x v="0"/>
    <s v="TBD"/>
    <n v="1"/>
    <n v="-3"/>
    <n v="-3"/>
    <n v="1"/>
    <n v="1"/>
    <n v="1"/>
    <m/>
    <m/>
    <m/>
    <m/>
    <m/>
    <m/>
    <n v="1"/>
    <n v="1"/>
    <n v="1"/>
    <m/>
    <m/>
    <m/>
    <m/>
    <m/>
    <m/>
    <x v="1"/>
    <m/>
    <m/>
    <x v="0"/>
    <x v="1"/>
    <x v="1"/>
    <x v="0"/>
    <m/>
    <x v="1"/>
    <x v="1"/>
    <m/>
    <x v="1"/>
    <x v="0"/>
    <m/>
  </r>
  <r>
    <s v="97b"/>
    <m/>
    <s v="SP2"/>
    <x v="12"/>
    <x v="1"/>
    <m/>
    <s v="SAC AR"/>
    <s v="Rear Repair Beam"/>
    <s v="Alloy =&gt; Plastic def"/>
    <m/>
    <m/>
    <s v="14/03/2024 : Workshop mass"/>
    <m/>
    <n v="10"/>
    <m/>
    <m/>
    <x v="0"/>
    <s v="TBD"/>
    <n v="1"/>
    <n v="-2"/>
    <n v="-2"/>
    <n v="1"/>
    <n v="1"/>
    <n v="1"/>
    <m/>
    <m/>
    <m/>
    <m/>
    <m/>
    <m/>
    <n v="1"/>
    <n v="1"/>
    <n v="1"/>
    <m/>
    <m/>
    <m/>
    <m/>
    <m/>
    <m/>
    <x v="1"/>
    <m/>
    <m/>
    <x v="0"/>
    <x v="1"/>
    <x v="1"/>
    <x v="0"/>
    <m/>
    <x v="1"/>
    <x v="1"/>
    <m/>
    <x v="1"/>
    <x v="0"/>
    <m/>
  </r>
  <r>
    <n v="99"/>
    <m/>
    <s v="SP2"/>
    <x v="14"/>
    <x v="2"/>
    <m/>
    <s v="Moteur elec (EDM)"/>
    <s v="EDM"/>
    <s v="EDM mass reduction portfolio under investigation for C sample :  -2,5kg potential at EDM side_x000a_Rotor/stator length reduction : around -2kg (20% confidence). Investigation started. : Go/No Go CW37_x000a_Housing optimisation : -0,5 Kg (20% confidence) balance between mass reduction, NVH and stiffness impact to optimize and evaluate :_x000b_Go/No Go CW34"/>
    <m/>
    <m/>
    <s v="14/03/2024 : Workshop mass"/>
    <m/>
    <m/>
    <m/>
    <m/>
    <x v="0"/>
    <s v="TBD"/>
    <n v="1"/>
    <n v="-2.5"/>
    <n v="-2.5"/>
    <n v="1"/>
    <n v="1"/>
    <n v="1"/>
    <m/>
    <m/>
    <m/>
    <m/>
    <m/>
    <m/>
    <n v="1"/>
    <n v="1"/>
    <n v="1"/>
    <m/>
    <m/>
    <m/>
    <m/>
    <m/>
    <m/>
    <x v="1"/>
    <m/>
    <m/>
    <x v="0"/>
    <x v="1"/>
    <x v="1"/>
    <x v="0"/>
    <m/>
    <x v="1"/>
    <x v="1"/>
    <m/>
    <x v="1"/>
    <x v="0"/>
    <m/>
  </r>
  <r>
    <n v="103"/>
    <m/>
    <s v="SP2"/>
    <x v="15"/>
    <x v="2"/>
    <m/>
    <s v="Battery 80kWhu"/>
    <m/>
    <s v="80kWhu chemistry 577-&gt;615Wh/L"/>
    <m/>
    <m/>
    <s v="14/03/2024 : Workshop mass"/>
    <m/>
    <m/>
    <m/>
    <m/>
    <x v="0"/>
    <s v="TBD"/>
    <n v="1"/>
    <n v="-22"/>
    <n v="-22"/>
    <n v="1"/>
    <n v="1"/>
    <n v="1"/>
    <m/>
    <m/>
    <m/>
    <m/>
    <m/>
    <m/>
    <n v="1"/>
    <n v="1"/>
    <n v="1"/>
    <m/>
    <m/>
    <m/>
    <m/>
    <m/>
    <m/>
    <x v="1"/>
    <m/>
    <m/>
    <x v="0"/>
    <x v="1"/>
    <x v="1"/>
    <x v="0"/>
    <m/>
    <x v="1"/>
    <x v="1"/>
    <m/>
    <x v="1"/>
    <x v="0"/>
    <m/>
  </r>
  <r>
    <n v="105"/>
    <m/>
    <s v="SP2"/>
    <x v="12"/>
    <x v="1"/>
    <m/>
    <s v="techno BCI"/>
    <m/>
    <s v="perimeter to be defined"/>
    <m/>
    <m/>
    <s v="14/03/2024 : Workshop mass"/>
    <m/>
    <m/>
    <m/>
    <m/>
    <x v="0"/>
    <s v="TBD"/>
    <n v="0.5"/>
    <n v="-5"/>
    <n v="-2.5"/>
    <n v="1"/>
    <n v="1"/>
    <n v="1"/>
    <m/>
    <m/>
    <m/>
    <m/>
    <m/>
    <m/>
    <n v="1"/>
    <n v="1"/>
    <n v="1"/>
    <m/>
    <m/>
    <m/>
    <m/>
    <m/>
    <m/>
    <x v="1"/>
    <m/>
    <m/>
    <x v="0"/>
    <x v="1"/>
    <x v="1"/>
    <x v="0"/>
    <m/>
    <x v="1"/>
    <x v="1"/>
    <m/>
    <x v="1"/>
    <x v="0"/>
    <m/>
  </r>
  <r>
    <n v="49"/>
    <m/>
    <s v="SP2"/>
    <x v="12"/>
    <x v="1"/>
    <m/>
    <s v="Front &amp; rear  Crashbeam"/>
    <m/>
    <s v="STEP2 : change to alu"/>
    <m/>
    <m/>
    <s v="14/03/2024 : Workshop mass"/>
    <m/>
    <n v="16"/>
    <m/>
    <s v="o"/>
    <x v="1"/>
    <s v="TBD"/>
    <n v="0.65"/>
    <n v="-7"/>
    <n v="-4.55"/>
    <n v="1"/>
    <n v="1"/>
    <n v="1"/>
    <n v="1"/>
    <m/>
    <n v="1"/>
    <n v="1"/>
    <n v="1"/>
    <m/>
    <n v="1"/>
    <n v="1"/>
    <n v="1"/>
    <n v="1"/>
    <m/>
    <n v="1"/>
    <n v="1"/>
    <n v="1"/>
    <m/>
    <x v="1"/>
    <m/>
    <m/>
    <x v="1"/>
    <x v="1"/>
    <x v="1"/>
    <x v="0"/>
    <m/>
    <x v="1"/>
    <x v="1"/>
    <m/>
    <x v="1"/>
    <x v="1"/>
    <m/>
  </r>
  <r>
    <n v="109"/>
    <m/>
    <s v="SP2"/>
    <x v="16"/>
    <x v="1"/>
    <m/>
    <s v="Batterie 12V"/>
    <m/>
    <s v="Li-ON / L1 / AGS"/>
    <m/>
    <m/>
    <s v="14/03/2024 : Workshop mass"/>
    <m/>
    <n v="50"/>
    <m/>
    <m/>
    <x v="0"/>
    <s v="TBD"/>
    <n v="1"/>
    <n v="-8"/>
    <n v="-8"/>
    <n v="1"/>
    <n v="1"/>
    <n v="1"/>
    <m/>
    <m/>
    <m/>
    <m/>
    <m/>
    <m/>
    <n v="1"/>
    <n v="1"/>
    <n v="1"/>
    <m/>
    <m/>
    <m/>
    <m/>
    <m/>
    <m/>
    <x v="1"/>
    <m/>
    <m/>
    <x v="0"/>
    <x v="1"/>
    <x v="1"/>
    <x v="0"/>
    <m/>
    <x v="1"/>
    <x v="1"/>
    <m/>
    <x v="1"/>
    <x v="0"/>
    <m/>
  </r>
  <r>
    <n v="117"/>
    <m/>
    <s v="SP2"/>
    <x v="17"/>
    <x v="0"/>
    <m/>
    <s v="Aile ALU"/>
    <s v="Fr Fender ALLOY"/>
    <s v="Alloy ald Steel"/>
    <m/>
    <m/>
    <s v="setp 3"/>
    <m/>
    <m/>
    <m/>
    <m/>
    <x v="0"/>
    <s v="TBD"/>
    <n v="0.5"/>
    <n v="-1.4"/>
    <n v="-0.7"/>
    <n v="1"/>
    <n v="1"/>
    <n v="1"/>
    <m/>
    <m/>
    <m/>
    <m/>
    <m/>
    <m/>
    <n v="1"/>
    <n v="1"/>
    <n v="1"/>
    <m/>
    <m/>
    <m/>
    <m/>
    <m/>
    <m/>
    <x v="1"/>
    <m/>
    <m/>
    <x v="0"/>
    <x v="1"/>
    <x v="1"/>
    <x v="0"/>
    <m/>
    <x v="1"/>
    <x v="1"/>
    <m/>
    <x v="1"/>
    <x v="0"/>
    <m/>
  </r>
  <r>
    <n v="26"/>
    <m/>
    <s v="SP2"/>
    <x v="17"/>
    <x v="0"/>
    <m/>
    <s v="Volet"/>
    <s v="Steel tailgate "/>
    <s v="Changement de matière"/>
    <s v="08/10/2024: BDD à jour_x000a_plastic"/>
    <s v="PM CW30"/>
    <s v="14/03/2024 : Workshop mass"/>
    <m/>
    <n v="52"/>
    <m/>
    <s v="o"/>
    <x v="1"/>
    <s v="TBD"/>
    <n v="1"/>
    <n v="5"/>
    <n v="5"/>
    <m/>
    <m/>
    <m/>
    <m/>
    <m/>
    <m/>
    <m/>
    <m/>
    <m/>
    <m/>
    <m/>
    <m/>
    <m/>
    <m/>
    <m/>
    <m/>
    <m/>
    <m/>
    <x v="1"/>
    <m/>
    <m/>
    <x v="0"/>
    <x v="1"/>
    <x v="1"/>
    <x v="0"/>
    <m/>
    <x v="1"/>
    <x v="1"/>
    <m/>
    <x v="1"/>
    <x v="0"/>
    <m/>
  </r>
  <r>
    <n v="63"/>
    <m/>
    <s v="SP2"/>
    <x v="12"/>
    <x v="0"/>
    <m/>
    <s v="techno BCI "/>
    <m/>
    <s v="emboutissage à chaud, colle, etc .."/>
    <m/>
    <m/>
    <s v="11/04/2024 : Workshop mass"/>
    <m/>
    <m/>
    <m/>
    <m/>
    <x v="0"/>
    <s v="TBD"/>
    <n v="0.5"/>
    <n v="-5"/>
    <n v="-2.5"/>
    <n v="1"/>
    <n v="1"/>
    <n v="1"/>
    <m/>
    <m/>
    <m/>
    <m/>
    <m/>
    <m/>
    <n v="1"/>
    <n v="1"/>
    <n v="1"/>
    <m/>
    <m/>
    <m/>
    <m/>
    <m/>
    <m/>
    <x v="1"/>
    <m/>
    <m/>
    <x v="0"/>
    <x v="1"/>
    <x v="1"/>
    <x v="0"/>
    <m/>
    <x v="1"/>
    <x v="1"/>
    <m/>
    <x v="1"/>
    <x v="0"/>
    <m/>
  </r>
  <r>
    <n v="26"/>
    <m/>
    <s v="SPC_1"/>
    <x v="4"/>
    <x v="1"/>
    <s v="FREDERIC GUINGAND"/>
    <s v="Triangle alu"/>
    <m/>
    <s v="Changement de matière"/>
    <m/>
    <m/>
    <s v="Doublon"/>
    <m/>
    <n v="40"/>
    <m/>
    <s v="?"/>
    <x v="0"/>
    <s v="Step1 "/>
    <n v="1"/>
    <n v="-1"/>
    <n v="-1"/>
    <n v="1"/>
    <n v="1"/>
    <n v="1"/>
    <m/>
    <m/>
    <m/>
    <m/>
    <m/>
    <m/>
    <n v="1"/>
    <n v="1"/>
    <n v="1"/>
    <m/>
    <m/>
    <m/>
    <m/>
    <m/>
    <m/>
    <x v="1"/>
    <m/>
    <m/>
    <x v="0"/>
    <x v="1"/>
    <x v="1"/>
    <x v="0"/>
    <m/>
    <x v="1"/>
    <x v="1"/>
    <m/>
    <x v="1"/>
    <x v="0"/>
    <m/>
  </r>
  <r>
    <m/>
    <d v="2024-09-01T00:00:00"/>
    <s v="SPC_1"/>
    <x v="9"/>
    <x v="0"/>
    <s v="HALIM"/>
    <s v="Insono Tablier Habitacle"/>
    <s v="Cabin firewall soundproofing"/>
    <s v="Insono tablier habitacle (Spécifique FNR ADLER &quot;Le MAPLITE&quot;, brevet). Masse à communiquée par Laurent. Attente RFQ). (-10% de masse &amp; -10% de TPC)"/>
    <s v="02/03/2026 LM à Supprimer car non appliqué sur P3U_x000a_24/06/2025 à checker en RFQ avec les FNR"/>
    <s v="SFM"/>
    <s v="Check avec le fournisseur"/>
    <s v="TBD"/>
    <n v="-1.2"/>
    <m/>
    <s v="o"/>
    <x v="0"/>
    <s v="TBD"/>
    <n v="0.1"/>
    <n v="-0.42"/>
    <n v="-4.2000000000000003E-2"/>
    <n v="1"/>
    <n v="1"/>
    <n v="1"/>
    <n v="1"/>
    <n v="1"/>
    <n v="1"/>
    <n v="1"/>
    <n v="1"/>
    <n v="1"/>
    <n v="1"/>
    <n v="1"/>
    <n v="1"/>
    <n v="1"/>
    <n v="1"/>
    <n v="1"/>
    <n v="1"/>
    <n v="1"/>
    <n v="1"/>
    <x v="0"/>
    <n v="1"/>
    <n v="1"/>
    <x v="0"/>
    <x v="0"/>
    <x v="0"/>
    <x v="1"/>
    <n v="1"/>
    <x v="0"/>
    <x v="0"/>
    <n v="1"/>
    <x v="0"/>
    <x v="0"/>
    <n v="1"/>
  </r>
  <r>
    <n v="107"/>
    <m/>
    <s v="SP2"/>
    <x v="16"/>
    <x v="1"/>
    <m/>
    <s v="Cable mode3"/>
    <m/>
    <s v="to be removed to MOPAR"/>
    <m/>
    <m/>
    <s v="23/07/24 : Mode 3 (11kW) _x000a_14/03/2024 : Workshop mass"/>
    <m/>
    <n v="-45"/>
    <m/>
    <s v="x"/>
    <x v="1"/>
    <s v="TBD"/>
    <n v="1"/>
    <n v="-2.6"/>
    <n v="-2.6"/>
    <n v="1"/>
    <n v="1"/>
    <n v="1"/>
    <m/>
    <m/>
    <n v="1"/>
    <n v="1"/>
    <m/>
    <m/>
    <n v="1"/>
    <n v="1"/>
    <n v="1"/>
    <m/>
    <m/>
    <n v="1"/>
    <n v="1"/>
    <m/>
    <m/>
    <x v="1"/>
    <m/>
    <m/>
    <x v="1"/>
    <x v="1"/>
    <x v="1"/>
    <x v="0"/>
    <m/>
    <x v="1"/>
    <x v="1"/>
    <m/>
    <x v="1"/>
    <x v="1"/>
    <m/>
  </r>
  <r>
    <m/>
    <d v="2024-09-01T00:00:00"/>
    <s v="SPC_1"/>
    <x v="9"/>
    <x v="0"/>
    <s v="HALIM"/>
    <s v="Pavillon"/>
    <s v="Headliner"/>
    <s v="Pavillon sans interface poignées sur la version SERENITY LONG RANGE. Actuellement, les 4 poignées sont en référence sans diversité"/>
    <s v="02/03/2026 LM à Supprimer car non appliqué sur P3U_x000a_24/06/2025 à vérifier plus tard_x000a_Proposition d'enlever 2 poignées selon la déclinaison.*_x000a_ A partager avec le produit si accord"/>
    <s v="CM"/>
    <m/>
    <n v="0"/>
    <n v="-0.1"/>
    <m/>
    <s v="o"/>
    <x v="0"/>
    <s v="TBD"/>
    <n v="0.25"/>
    <n v="-0.24"/>
    <n v="-0.06"/>
    <n v="1"/>
    <n v="1"/>
    <n v="1"/>
    <n v="1"/>
    <n v="1"/>
    <n v="1"/>
    <n v="1"/>
    <n v="1"/>
    <n v="1"/>
    <n v="1"/>
    <n v="1"/>
    <n v="1"/>
    <n v="1"/>
    <n v="1"/>
    <n v="1"/>
    <n v="1"/>
    <n v="1"/>
    <n v="1"/>
    <x v="0"/>
    <n v="1"/>
    <n v="1"/>
    <x v="0"/>
    <x v="0"/>
    <x v="0"/>
    <x v="1"/>
    <n v="1"/>
    <x v="0"/>
    <x v="0"/>
    <n v="1"/>
    <x v="0"/>
    <x v="0"/>
    <n v="1"/>
  </r>
  <r>
    <m/>
    <d v="2024-09-01T00:00:00"/>
    <s v="SP2"/>
    <x v="12"/>
    <x v="0"/>
    <m/>
    <s v="Enjoliveur passage de roue"/>
    <s v="Wheel Cladding"/>
    <s v="Remove Wheel claddings (like D41) : -0,5kg / part"/>
    <s v="24/09/2024 LM - dossier chez le style_x000a_Préciser les voitures qui embarquent_x000a_QCDP rocker trim + warning same front mudguard"/>
    <s v="PM"/>
    <m/>
    <s v="-1638K€"/>
    <s v="(-21.2)"/>
    <m/>
    <s v="o"/>
    <x v="0"/>
    <s v="TBD"/>
    <n v="0"/>
    <n v="-2"/>
    <n v="0"/>
    <n v="1"/>
    <n v="1"/>
    <n v="1"/>
    <n v="1"/>
    <m/>
    <n v="1"/>
    <n v="1"/>
    <n v="1"/>
    <m/>
    <n v="1"/>
    <n v="1"/>
    <n v="1"/>
    <n v="1"/>
    <m/>
    <n v="1"/>
    <n v="1"/>
    <n v="1"/>
    <m/>
    <x v="1"/>
    <m/>
    <m/>
    <x v="0"/>
    <x v="1"/>
    <x v="1"/>
    <x v="0"/>
    <m/>
    <x v="1"/>
    <x v="1"/>
    <m/>
    <x v="1"/>
    <x v="0"/>
    <m/>
  </r>
  <r>
    <m/>
    <d v="2024-09-01T00:00:00"/>
    <s v="SP2"/>
    <x v="12"/>
    <x v="0"/>
    <m/>
    <s v="Raidisseur"/>
    <s v="Stiffener"/>
    <s v="Si Renfort choc lat en EMB à chaud : Suppression raidisseurs --&gt; Attente résultat SYNC1 SP1 pour confirmer si suppression possible sans passer les renfort choc lat en EMBOUT à chaud"/>
    <s v="28/04/2025 lm : sujet appliqué BDD OK à passer à decided avec Stéphane_x000a_QCDP SP1 ok : -1,65kg"/>
    <s v="PM-CM"/>
    <s v="preciser le sujet ?"/>
    <s v="+224 K€"/>
    <n v="-2.6"/>
    <m/>
    <s v="o"/>
    <x v="1"/>
    <s v="TBD"/>
    <n v="1"/>
    <n v="-2"/>
    <n v="-2"/>
    <n v="1"/>
    <n v="1"/>
    <n v="1"/>
    <n v="1"/>
    <m/>
    <n v="1"/>
    <n v="1"/>
    <n v="1"/>
    <m/>
    <n v="1"/>
    <n v="1"/>
    <n v="1"/>
    <n v="1"/>
    <m/>
    <n v="1"/>
    <n v="1"/>
    <n v="1"/>
    <m/>
    <x v="1"/>
    <m/>
    <m/>
    <x v="0"/>
    <x v="1"/>
    <x v="1"/>
    <x v="0"/>
    <m/>
    <x v="1"/>
    <x v="1"/>
    <m/>
    <x v="1"/>
    <x v="0"/>
    <m/>
  </r>
  <r>
    <n v="231"/>
    <m/>
    <s v="SP1"/>
    <x v="8"/>
    <x v="2"/>
    <m/>
    <s v="IDCM"/>
    <m/>
    <s v="Pour P1X_HR : Passage en 7kW"/>
    <m/>
    <m/>
    <m/>
    <m/>
    <s v="+183€"/>
    <m/>
    <s v="o"/>
    <x v="1"/>
    <m/>
    <n v="1"/>
    <n v="-4.4000000000000004"/>
    <n v="-4.4000000000000004"/>
    <m/>
    <m/>
    <m/>
    <m/>
    <m/>
    <m/>
    <m/>
    <m/>
    <m/>
    <m/>
    <m/>
    <m/>
    <m/>
    <m/>
    <m/>
    <m/>
    <m/>
    <m/>
    <x v="1"/>
    <m/>
    <m/>
    <x v="1"/>
    <x v="1"/>
    <x v="1"/>
    <x v="0"/>
    <m/>
    <x v="1"/>
    <x v="1"/>
    <m/>
    <x v="1"/>
    <x v="1"/>
    <m/>
  </r>
  <r>
    <n v="19"/>
    <m/>
    <s v="SP1"/>
    <x v="8"/>
    <x v="1"/>
    <m/>
    <s v="Supports Complémentaires"/>
    <m/>
    <s v="Provision pour risques d'ajout de support"/>
    <m/>
    <m/>
    <s v="19/06/2024 : L'etat actuel de l'architecture permet de dire qu'il n'y aura plus de support complémentaire._x000a_23/10/2023 : Création de la piste"/>
    <m/>
    <n v="1"/>
    <m/>
    <s v="o"/>
    <x v="0"/>
    <s v="TBD"/>
    <n v="0.25"/>
    <n v="1"/>
    <n v="0.25"/>
    <m/>
    <m/>
    <m/>
    <m/>
    <m/>
    <m/>
    <m/>
    <m/>
    <m/>
    <m/>
    <m/>
    <m/>
    <m/>
    <m/>
    <m/>
    <m/>
    <m/>
    <m/>
    <x v="1"/>
    <m/>
    <m/>
    <x v="1"/>
    <x v="1"/>
    <x v="1"/>
    <x v="0"/>
    <m/>
    <x v="1"/>
    <x v="1"/>
    <m/>
    <x v="1"/>
    <x v="1"/>
    <m/>
  </r>
  <r>
    <m/>
    <m/>
    <s v="SP2"/>
    <x v="17"/>
    <x v="0"/>
    <m/>
    <s v="Becquet "/>
    <s v="remove spolier"/>
    <s v="Remove spoiler (BDD : 4,23 Kg = masse P24 sans le CHMSL, Becquet C41 : 2,2 Kg masse PLM)"/>
    <s v="Gain masse quand on passe d’un spoiler type P24 à un spoiler C41 &quot;plus simple&quot; (sans faisceaux….) --&gt; Déjà appliqué et passé en ref BDD le 02/07/2024"/>
    <s v="PM CW30"/>
    <s v="24/09/2024 -LM- A passer en decided_x000a_A presicer : spolier en REF "/>
    <s v="invest volet plastique"/>
    <n v="-28"/>
    <m/>
    <s v="o"/>
    <x v="1"/>
    <s v="TBD"/>
    <n v="1"/>
    <n v="-1.5"/>
    <n v="-1.5"/>
    <m/>
    <m/>
    <m/>
    <m/>
    <m/>
    <m/>
    <m/>
    <m/>
    <m/>
    <m/>
    <m/>
    <m/>
    <m/>
    <m/>
    <m/>
    <m/>
    <m/>
    <m/>
    <x v="1"/>
    <m/>
    <m/>
    <x v="1"/>
    <x v="1"/>
    <x v="1"/>
    <x v="0"/>
    <m/>
    <x v="1"/>
    <x v="1"/>
    <m/>
    <x v="1"/>
    <x v="1"/>
    <m/>
  </r>
  <r>
    <n v="23"/>
    <m/>
    <s v="SP1"/>
    <x v="8"/>
    <x v="1"/>
    <m/>
    <s v="Circuit d'eau"/>
    <m/>
    <s v="Retours fournisseurs"/>
    <m/>
    <m/>
    <s v="10/04/2024 : Fournisseur choisi. Bilan à faire._x000a_14/02/2024 : Toujours pas choisi. Demande d'avoir 2 fournisseurs différents dont un typé plastique/caoutchouc pour gagner de la masse si opportunité de passer en plastique._x000a_13/12/2023 : début des retours fournisseurs. Pb de choix des fournisseurs dans des pays qui ne maitrisent pas forcement les dernières tech moins lourdes._x000a_23/10/2023 : Création de la piste"/>
    <m/>
    <n v="0"/>
    <m/>
    <s v="o"/>
    <x v="1"/>
    <s v="TBD"/>
    <n v="1"/>
    <n v="-0.2"/>
    <n v="-0.2"/>
    <m/>
    <m/>
    <m/>
    <m/>
    <m/>
    <m/>
    <m/>
    <m/>
    <m/>
    <m/>
    <m/>
    <m/>
    <m/>
    <m/>
    <m/>
    <m/>
    <m/>
    <m/>
    <x v="1"/>
    <m/>
    <m/>
    <x v="1"/>
    <x v="1"/>
    <x v="1"/>
    <x v="0"/>
    <m/>
    <x v="1"/>
    <x v="1"/>
    <m/>
    <x v="1"/>
    <x v="1"/>
    <m/>
  </r>
  <r>
    <m/>
    <m/>
    <s v="SP2"/>
    <x v="2"/>
    <x v="0"/>
    <m/>
    <s v="Boite à gant"/>
    <s v="Glove boxe"/>
    <s v="Add requested by ADTH"/>
    <s v="29 juillet 2024 : intergé dans la BDD O3H_x000a_Changement de la pondération de 75% à 100%"/>
    <m/>
    <s v="RHD/LHD-FABRIC/PLASTIC"/>
    <s v="230K€*4"/>
    <n v="13"/>
    <m/>
    <s v="o"/>
    <x v="1"/>
    <s v="TBD"/>
    <n v="1"/>
    <n v="1.5"/>
    <n v="1.5"/>
    <m/>
    <m/>
    <m/>
    <m/>
    <m/>
    <m/>
    <m/>
    <m/>
    <m/>
    <m/>
    <m/>
    <m/>
    <m/>
    <m/>
    <m/>
    <m/>
    <m/>
    <m/>
    <x v="1"/>
    <m/>
    <m/>
    <x v="1"/>
    <x v="1"/>
    <x v="1"/>
    <x v="0"/>
    <m/>
    <x v="1"/>
    <x v="1"/>
    <m/>
    <x v="1"/>
    <x v="1"/>
    <m/>
  </r>
  <r>
    <n v="25"/>
    <m/>
    <s v="SP1"/>
    <x v="8"/>
    <x v="1"/>
    <m/>
    <s v="Convertisseur DCDC SBW"/>
    <m/>
    <s v="Risque vis-à-vis du choix du fournisseu"/>
    <m/>
    <m/>
    <s v="30/04/2024 : Choix repossé en mai. VMAX : 2,7 kg (seul fournisseur valable, le moins lourd mais irrecevable techniquement est à 1,65kg)  _x000a_10/04/2024 : Choix repoussé à mi avril_x000a_13/12/2023 : Plage de retour fournisseur allant jusqu'à 1,4 kg. Fin choix fournisseur fin fevrier._x000a_22/11/2023 :  RFQ très tardive. Il existe actuellement un fournisseur avec un objet sur étagère -&gt; voir les retours fournisseurs."/>
    <m/>
    <m/>
    <m/>
    <s v="o"/>
    <x v="1"/>
    <s v="TBD"/>
    <n v="1"/>
    <n v="2"/>
    <n v="2"/>
    <m/>
    <m/>
    <m/>
    <m/>
    <m/>
    <m/>
    <m/>
    <m/>
    <m/>
    <m/>
    <m/>
    <m/>
    <m/>
    <m/>
    <m/>
    <m/>
    <m/>
    <m/>
    <x v="1"/>
    <m/>
    <m/>
    <x v="1"/>
    <x v="1"/>
    <x v="1"/>
    <x v="0"/>
    <m/>
    <x v="1"/>
    <x v="1"/>
    <m/>
    <x v="1"/>
    <x v="1"/>
    <m/>
  </r>
  <r>
    <n v="30"/>
    <m/>
    <s v="SP2"/>
    <x v="4"/>
    <x v="1"/>
    <m/>
    <s v="Disque avant 330 io 350 + Disque io Tambour"/>
    <m/>
    <m/>
    <m/>
    <m/>
    <s v="14/03/2024 : Workshop mass"/>
    <m/>
    <m/>
    <m/>
    <s v="o"/>
    <x v="1"/>
    <s v="TBD"/>
    <n v="0.5"/>
    <n v="-7"/>
    <n v="-3.5"/>
    <n v="1"/>
    <n v="1"/>
    <n v="1"/>
    <m/>
    <m/>
    <m/>
    <m/>
    <m/>
    <m/>
    <n v="1"/>
    <n v="1"/>
    <n v="1"/>
    <m/>
    <m/>
    <m/>
    <m/>
    <m/>
    <m/>
    <x v="1"/>
    <m/>
    <m/>
    <x v="0"/>
    <x v="1"/>
    <x v="1"/>
    <x v="0"/>
    <m/>
    <x v="1"/>
    <x v="1"/>
    <m/>
    <x v="1"/>
    <x v="0"/>
    <m/>
  </r>
  <r>
    <n v="34"/>
    <m/>
    <s v="SP1"/>
    <x v="4"/>
    <x v="1"/>
    <m/>
    <s v="Barre anti devers AR fixée sur caisse"/>
    <m/>
    <s v="Gains de 1 kg y compris périmètre STR + traverse de train."/>
    <m/>
    <m/>
    <s v="10/06/2024 : RD S23 : décision d'annulation pour cause d'impossibilité de trouver un scénario de choc satisfaisant._x000a_29/05/2024 : Pas de convergence sur le choc, contrainte planning. Retour sur BaD sur traverse très probable. Annulation à passer en décision._x000a_10/04/2024 : Pas encore de solution pour conserver la BaD sur caisse._x000a_3/13/2024 : risque de retour en arriere car nok choc._x000a_06/02/2024 : à banquer"/>
    <m/>
    <n v="-3"/>
    <m/>
    <s v="o"/>
    <x v="0"/>
    <s v="TBD"/>
    <n v="0.25"/>
    <n v="-1"/>
    <n v="-0.25"/>
    <m/>
    <m/>
    <m/>
    <m/>
    <m/>
    <m/>
    <m/>
    <m/>
    <m/>
    <m/>
    <m/>
    <m/>
    <m/>
    <m/>
    <m/>
    <m/>
    <m/>
    <m/>
    <x v="1"/>
    <m/>
    <m/>
    <x v="1"/>
    <x v="1"/>
    <x v="1"/>
    <x v="0"/>
    <m/>
    <x v="1"/>
    <x v="1"/>
    <m/>
    <x v="1"/>
    <x v="1"/>
    <m/>
  </r>
  <r>
    <n v="117"/>
    <d v="2024-09-01T00:00:00"/>
    <s v="SPC_1"/>
    <x v="17"/>
    <x v="0"/>
    <m/>
    <s v="Aile Alu"/>
    <s v="Aluminum Fender"/>
    <s v="Alloy ald Steel"/>
    <s v="28/04/2025 LM : Annulé_x000a_24/09/2024 - LM - ne sera pas appliqué à reboucler avec le projet _x000a_http://docinfogroupe.inetpsa.com/ead/doc/ref.01364_22_00699/v.vc/fiche"/>
    <s v="PM-CM"/>
    <s v="MAJ 12/04 : +5,81kg/ 4,3€/kg/SFT:+500 KE (by tophat)"/>
    <n v="750"/>
    <n v="5.6"/>
    <m/>
    <s v="?"/>
    <x v="0"/>
    <s v="Step4"/>
    <n v="0"/>
    <n v="-1.35"/>
    <n v="0"/>
    <m/>
    <m/>
    <m/>
    <n v="1"/>
    <m/>
    <m/>
    <m/>
    <n v="1"/>
    <m/>
    <m/>
    <m/>
    <m/>
    <n v="1"/>
    <m/>
    <m/>
    <m/>
    <n v="1"/>
    <m/>
    <x v="0"/>
    <n v="1"/>
    <m/>
    <x v="0"/>
    <x v="1"/>
    <x v="0"/>
    <x v="0"/>
    <m/>
    <x v="1"/>
    <x v="0"/>
    <n v="1"/>
    <x v="1"/>
    <x v="0"/>
    <m/>
  </r>
  <r>
    <n v="136"/>
    <s v="11/09/2024"/>
    <s v="SP1"/>
    <x v="2"/>
    <x v="0"/>
    <s v="FREDERIC BRUNIER"/>
    <s v="Pdb_Eclairage - facade aérateur (alcove)"/>
    <s v="style/brand"/>
    <s v="Suppression Ambient lighting - sur Mainstream FAIT  VERIFIER DANS BDD"/>
    <s v="16/02/2026 LM_x000a_SUJET SUPPRIMER"/>
    <m/>
    <s v="11/09/2024 Supp eclair écran(228g+40g) = Inscrit au plan coût /Supp ALCOVE (200g) : STd bye_x000a_05/09/2024 A revoir avec Guillaume_x000a_05/09/2024 : Ne concerne que ALCOVE / Sous écran : pas de contrainte / Ss facade aérateur : uniqt Niv3_x000a_06/06/2024 Si TT= RAS/ Si MeG besoin de obturateur !_x000a_14/03/2024 dans l'alcove"/>
    <m/>
    <m/>
    <m/>
    <s v="o"/>
    <x v="1"/>
    <m/>
    <n v="1"/>
    <n v="-0.26800000000000002"/>
    <n v="-0.26800000000000002"/>
    <n v="1"/>
    <n v="1"/>
    <n v="1"/>
    <n v="1"/>
    <n v="1"/>
    <n v="1"/>
    <n v="1"/>
    <n v="1"/>
    <n v="1"/>
    <n v="1"/>
    <n v="1"/>
    <n v="1"/>
    <n v="1"/>
    <n v="1"/>
    <n v="1"/>
    <n v="1"/>
    <n v="1"/>
    <n v="1"/>
    <x v="0"/>
    <n v="1"/>
    <n v="1"/>
    <x v="0"/>
    <x v="0"/>
    <x v="1"/>
    <x v="0"/>
    <m/>
    <x v="1"/>
    <x v="1"/>
    <m/>
    <x v="1"/>
    <x v="1"/>
    <m/>
  </r>
  <r>
    <s v="46a"/>
    <m/>
    <s v="SP1"/>
    <x v="6"/>
    <x v="1"/>
    <m/>
    <s v="Battery 12V : downsizing L1"/>
    <m/>
    <s v="STEP 2 : Ecart concurrence (SMARTCAR). -4 kg"/>
    <m/>
    <m/>
    <s v="25/03/2024 : Revision du protocole Safety. Sans SBW_x000a_19/02/2024 : prise en compte STEP2"/>
    <m/>
    <s v="L2 AGM --&gt; L1 AGM (n'existe pas dans le groupe) :entre  -10 et -15_x000a_(L2 EEF /EFR) = -0,7 kg / -20 vs L2AGM_x000a_"/>
    <m/>
    <m/>
    <x v="0"/>
    <s v="TBD"/>
    <n v="0.5"/>
    <n v="-4"/>
    <n v="-2"/>
    <m/>
    <m/>
    <m/>
    <m/>
    <m/>
    <m/>
    <m/>
    <m/>
    <m/>
    <m/>
    <m/>
    <m/>
    <m/>
    <m/>
    <m/>
    <m/>
    <m/>
    <m/>
    <x v="1"/>
    <m/>
    <m/>
    <x v="1"/>
    <x v="1"/>
    <x v="1"/>
    <x v="0"/>
    <m/>
    <x v="1"/>
    <x v="1"/>
    <m/>
    <x v="1"/>
    <x v="1"/>
    <m/>
  </r>
  <r>
    <s v="46b"/>
    <m/>
    <s v="SP1"/>
    <x v="6"/>
    <x v="1"/>
    <m/>
    <s v="Battery 12V : downsizing L0"/>
    <m/>
    <s v="STEP 2 : Ecart concurrence (ATTO 3, Megane eTech, Toyota C-HR…), . -8 kg"/>
    <m/>
    <m/>
    <s v="25/03/2024 : Revision du protocole Safety. Sans SBW_x000a_19/02/2024 : prise en compte STEP2"/>
    <m/>
    <s v=""/>
    <m/>
    <m/>
    <x v="0"/>
    <m/>
    <n v="0"/>
    <n v="-4"/>
    <n v="0"/>
    <m/>
    <m/>
    <m/>
    <m/>
    <m/>
    <m/>
    <m/>
    <m/>
    <m/>
    <m/>
    <m/>
    <m/>
    <m/>
    <m/>
    <m/>
    <m/>
    <m/>
    <m/>
    <x v="1"/>
    <m/>
    <m/>
    <x v="1"/>
    <x v="1"/>
    <x v="1"/>
    <x v="0"/>
    <m/>
    <x v="1"/>
    <x v="1"/>
    <m/>
    <x v="1"/>
    <x v="1"/>
    <m/>
  </r>
  <r>
    <m/>
    <m/>
    <s v="SP2"/>
    <x v="17"/>
    <x v="0"/>
    <m/>
    <s v="volet "/>
    <s v="tailgate "/>
    <s v="ajout tole ald vitre en haut du volet "/>
    <s v="en bonne voie (si volet tole)"/>
    <s v="PM CW30"/>
    <s v="SI ref tailgate en plastic erase line "/>
    <m/>
    <s v="-(25,72)"/>
    <m/>
    <s v="o"/>
    <x v="0"/>
    <s v="TBD"/>
    <n v="1"/>
    <n v="-1.1000000000000001"/>
    <n v="-1.1000000000000001"/>
    <m/>
    <m/>
    <m/>
    <m/>
    <m/>
    <m/>
    <m/>
    <m/>
    <m/>
    <m/>
    <m/>
    <m/>
    <m/>
    <m/>
    <m/>
    <m/>
    <m/>
    <m/>
    <x v="1"/>
    <m/>
    <m/>
    <x v="1"/>
    <x v="1"/>
    <x v="1"/>
    <x v="0"/>
    <m/>
    <x v="1"/>
    <x v="1"/>
    <m/>
    <x v="1"/>
    <x v="1"/>
    <m/>
  </r>
  <r>
    <m/>
    <m/>
    <s v="SP2"/>
    <x v="9"/>
    <x v="0"/>
    <m/>
    <s v="Garnitures"/>
    <s v="Trims Int"/>
    <s v="Suppression de la masse lourde du Poro Int Trims"/>
    <s v="02/09/24 : Mise en BDD faite. Status à passer en DECIDED ald IN PROGRESS_x000a_insono plancher. Ref PORO. VALIDé"/>
    <s v="SOLDE"/>
    <s v="SOLDE ?"/>
    <n v="0"/>
    <n v="-0.1"/>
    <m/>
    <s v="o"/>
    <x v="1"/>
    <s v="TBD"/>
    <n v="1"/>
    <n v="-1.03"/>
    <n v="-1.03"/>
    <m/>
    <m/>
    <m/>
    <m/>
    <m/>
    <m/>
    <m/>
    <m/>
    <m/>
    <m/>
    <m/>
    <m/>
    <m/>
    <m/>
    <m/>
    <m/>
    <m/>
    <m/>
    <x v="1"/>
    <m/>
    <m/>
    <x v="1"/>
    <x v="1"/>
    <x v="1"/>
    <x v="0"/>
    <m/>
    <x v="1"/>
    <x v="1"/>
    <m/>
    <x v="1"/>
    <x v="1"/>
    <m/>
  </r>
  <r>
    <s v="32a"/>
    <m/>
    <s v="SP1"/>
    <x v="4"/>
    <x v="1"/>
    <m/>
    <s v="Simple filtrage sur susmot"/>
    <m/>
    <s v="Suppression double filtrage"/>
    <m/>
    <m/>
    <s v="21/03/2024 : "/>
    <m/>
    <n v="-4"/>
    <m/>
    <s v="o"/>
    <x v="0"/>
    <s v="TBD"/>
    <n v="1"/>
    <n v="-1.2"/>
    <n v="-1.2"/>
    <m/>
    <m/>
    <m/>
    <m/>
    <m/>
    <m/>
    <m/>
    <m/>
    <m/>
    <m/>
    <m/>
    <m/>
    <m/>
    <m/>
    <m/>
    <m/>
    <m/>
    <m/>
    <x v="1"/>
    <m/>
    <m/>
    <x v="1"/>
    <x v="1"/>
    <x v="1"/>
    <x v="0"/>
    <m/>
    <x v="1"/>
    <x v="1"/>
    <m/>
    <x v="1"/>
    <x v="1"/>
    <m/>
  </r>
  <r>
    <m/>
    <d v="2026-02-11T00:00:00"/>
    <s v="SPC_1"/>
    <x v="0"/>
    <x v="1"/>
    <s v="NICOLAS TESSIER"/>
    <s v="risque choc"/>
    <s v="Crach risk"/>
    <s v="2,8 chov avant, 2,2kg choc AR "/>
    <m/>
    <m/>
    <m/>
    <m/>
    <m/>
    <m/>
    <m/>
    <x v="0"/>
    <s v="TBD"/>
    <n v="0.5"/>
    <n v="2.2000000000000002"/>
    <n v="1.1000000000000001"/>
    <m/>
    <m/>
    <m/>
    <m/>
    <m/>
    <m/>
    <m/>
    <m/>
    <m/>
    <m/>
    <m/>
    <m/>
    <m/>
    <m/>
    <m/>
    <m/>
    <m/>
    <m/>
    <x v="1"/>
    <m/>
    <m/>
    <x v="0"/>
    <x v="0"/>
    <x v="1"/>
    <x v="1"/>
    <n v="1"/>
    <x v="0"/>
    <x v="1"/>
    <m/>
    <x v="0"/>
    <x v="0"/>
    <n v="1"/>
  </r>
  <r>
    <n v="59"/>
    <m/>
    <s v="SPC_1"/>
    <x v="0"/>
    <x v="0"/>
    <s v="NICOLAS TESSIER"/>
    <s v="Pavillon ALU"/>
    <s v="Aluminum  roof "/>
    <m/>
    <m/>
    <m/>
    <s v="25/04/2024 : piste non retenue par le Projet =&gt; passage à 0%_x000a_25/03/2024 : QCDP à faire par Franck / Impact STYLE_x000a_13/03/2024 To be checked : process/welding"/>
    <m/>
    <s v="+15€"/>
    <m/>
    <s v="?"/>
    <x v="0"/>
    <s v="Step4"/>
    <n v="0"/>
    <n v="-4"/>
    <n v="0"/>
    <m/>
    <m/>
    <m/>
    <n v="1"/>
    <n v="1"/>
    <m/>
    <m/>
    <n v="1"/>
    <n v="1"/>
    <m/>
    <m/>
    <m/>
    <n v="1"/>
    <n v="1"/>
    <m/>
    <m/>
    <n v="1"/>
    <n v="1"/>
    <x v="1"/>
    <m/>
    <m/>
    <x v="0"/>
    <x v="0"/>
    <x v="1"/>
    <x v="0"/>
    <m/>
    <x v="0"/>
    <x v="1"/>
    <m/>
    <x v="1"/>
    <x v="0"/>
    <n v="1"/>
  </r>
  <r>
    <n v="130"/>
    <s v="15/11/2024"/>
    <s v="SP1"/>
    <x v="2"/>
    <x v="0"/>
    <s v="FREDERIC BRUNIER"/>
    <s v="PdB "/>
    <s v="optim design"/>
    <s v="Retour calcul SYNC2&gt; SYNC3_x000a_Insono Lat AV Console +10/20g_x000a_Insono AR Console -50g _x000a_Insono Lat CENT Console -100 g_x000a_"/>
    <s v="CP P1H Sébastien Dupuis_x000a_24/06/2025 à confirmer sur la masser et changer car Sync 5 - attente calcul - Frédéric"/>
    <m/>
    <s v="15/11/2024 Tjrs ouvert =&gt; calcul avec les SYNC3_x000a_05/09/2024 Retour calcul SYNC2 ok =&gt; Optim à étudier_x000a_06/06/2024 Besoin choix frns Fin Sept / En attente retour calcul SYNC2_x000a_14/03/2024 Selon process frn"/>
    <m/>
    <m/>
    <m/>
    <s v="o"/>
    <x v="2"/>
    <m/>
    <n v="0.25"/>
    <n v="-0.5"/>
    <n v="-0.125"/>
    <n v="1"/>
    <n v="1"/>
    <n v="1"/>
    <n v="1"/>
    <n v="1"/>
    <n v="1"/>
    <n v="1"/>
    <n v="1"/>
    <n v="1"/>
    <n v="1"/>
    <n v="1"/>
    <n v="1"/>
    <n v="1"/>
    <n v="1"/>
    <n v="1"/>
    <n v="1"/>
    <n v="1"/>
    <n v="1"/>
    <x v="0"/>
    <n v="1"/>
    <n v="1"/>
    <x v="0"/>
    <x v="0"/>
    <x v="0"/>
    <x v="1"/>
    <n v="1"/>
    <x v="0"/>
    <x v="0"/>
    <n v="1"/>
    <x v="0"/>
    <x v="0"/>
    <n v="1"/>
  </r>
  <r>
    <s v="294b"/>
    <s v="06/06/2025"/>
    <s v="SP1"/>
    <x v="0"/>
    <x v="0"/>
    <s v="Franck Baillon (SP1)/_x000a_Cyrille P1X"/>
    <s v="Longeron"/>
    <s v="optim design"/>
    <s v="Reduction feuillure inf longeron"/>
    <s v="Si application SP1 ok SPC"/>
    <m/>
    <s v="06/06/2025 A re-vérifer ! RISK ???_x000a_11/02/2025 : A passer en RD suite accord de toutes les parties._x000a_07/01/2025 : reduction de la hauteur de feuillure de 9mm (6mm sur TH) pour un gain de 0,540 kg (-0,35 kg sur PTF et -0,19 kg sur TH)"/>
    <m/>
    <m/>
    <m/>
    <s v="o"/>
    <x v="1"/>
    <m/>
    <n v="1"/>
    <n v="-0.1"/>
    <n v="-0.1"/>
    <n v="1"/>
    <n v="1"/>
    <n v="1"/>
    <n v="1"/>
    <n v="1"/>
    <n v="1"/>
    <n v="1"/>
    <n v="1"/>
    <n v="1"/>
    <n v="1"/>
    <n v="1"/>
    <n v="1"/>
    <n v="1"/>
    <n v="1"/>
    <n v="1"/>
    <n v="1"/>
    <n v="1"/>
    <n v="1"/>
    <x v="0"/>
    <n v="1"/>
    <n v="1"/>
    <x v="1"/>
    <x v="1"/>
    <x v="0"/>
    <x v="0"/>
    <m/>
    <x v="1"/>
    <x v="0"/>
    <n v="1"/>
    <x v="1"/>
    <x v="1"/>
    <m/>
  </r>
  <r>
    <n v="307"/>
    <d v="2026-02-05T00:00:00"/>
    <s v="SP1"/>
    <x v="9"/>
    <x v="0"/>
    <s v="HALIM"/>
    <s v="Extracteur Air"/>
    <s v="Air extractor"/>
    <s v="Air Extractor"/>
    <s v="02/03/2026 LM à Supprimer car non appliqué sur P3U_x000a_21/07/2025 confirmé sur SPC_x000a_24/06/2025 Laurent reboucle avec Sébatien Carrier"/>
    <s v="SFM"/>
    <s v="23/05/2025 A supprimer de P1X"/>
    <m/>
    <m/>
    <m/>
    <s v="o"/>
    <x v="0"/>
    <m/>
    <n v="0.5"/>
    <n v="-0.4"/>
    <n v="-0.2"/>
    <n v="1"/>
    <n v="1"/>
    <n v="1"/>
    <n v="1"/>
    <n v="1"/>
    <n v="1"/>
    <n v="1"/>
    <n v="1"/>
    <n v="1"/>
    <n v="1"/>
    <n v="1"/>
    <n v="1"/>
    <n v="1"/>
    <n v="1"/>
    <n v="1"/>
    <n v="1"/>
    <n v="1"/>
    <n v="1"/>
    <x v="0"/>
    <n v="1"/>
    <n v="1"/>
    <x v="0"/>
    <x v="0"/>
    <x v="0"/>
    <x v="1"/>
    <n v="1"/>
    <x v="0"/>
    <x v="0"/>
    <n v="1"/>
    <x v="0"/>
    <x v="0"/>
    <n v="1"/>
  </r>
  <r>
    <m/>
    <m/>
    <s v="SP2"/>
    <x v="0"/>
    <x v="0"/>
    <m/>
    <s v="Capot "/>
    <s v="Hood side reduction "/>
    <s v="si ajout soft nose confimer "/>
    <s v="08/10/2024: BDD à jour_x000a_Acté à 100%"/>
    <s v="decided"/>
    <m/>
    <m/>
    <n v="-0.65"/>
    <m/>
    <s v="o"/>
    <x v="1"/>
    <s v="TBD"/>
    <n v="1"/>
    <n v="-0.53"/>
    <n v="-0.53"/>
    <m/>
    <m/>
    <m/>
    <n v="1"/>
    <n v="1"/>
    <m/>
    <m/>
    <n v="1"/>
    <n v="1"/>
    <m/>
    <m/>
    <m/>
    <n v="1"/>
    <n v="1"/>
    <m/>
    <m/>
    <n v="1"/>
    <n v="1"/>
    <x v="1"/>
    <m/>
    <m/>
    <x v="0"/>
    <x v="0"/>
    <x v="1"/>
    <x v="0"/>
    <m/>
    <x v="0"/>
    <x v="1"/>
    <m/>
    <x v="1"/>
    <x v="0"/>
    <n v="1"/>
  </r>
  <r>
    <m/>
    <m/>
    <s v="SP2"/>
    <x v="0"/>
    <x v="0"/>
    <m/>
    <s v="Aérateurs"/>
    <s v="Air duct"/>
    <s v="Suppression Air Vent &amp; Central Air duct sur la version BASE LONG RANGE"/>
    <s v="30/09/2024 passage en réunion de décision proposition annulé -&gt; canceled_x000a_http://docinfogroupe.inetpsa.com/ead/doc/ref.01353_24_00772/v.vc/pj "/>
    <s v="w43_x000a_PORO signature"/>
    <s v="confirmer le sujet?"/>
    <s v="50K€"/>
    <n v="-11"/>
    <m/>
    <s v="o"/>
    <x v="0"/>
    <s v="TBD"/>
    <n v="1"/>
    <n v="-0.5"/>
    <n v="-0.5"/>
    <m/>
    <m/>
    <m/>
    <n v="1"/>
    <n v="1"/>
    <m/>
    <m/>
    <n v="1"/>
    <n v="1"/>
    <m/>
    <m/>
    <m/>
    <n v="1"/>
    <n v="1"/>
    <m/>
    <m/>
    <n v="1"/>
    <n v="1"/>
    <x v="1"/>
    <m/>
    <m/>
    <x v="0"/>
    <x v="0"/>
    <x v="1"/>
    <x v="0"/>
    <m/>
    <x v="0"/>
    <x v="1"/>
    <m/>
    <x v="1"/>
    <x v="0"/>
    <n v="1"/>
  </r>
  <r>
    <m/>
    <d v="2024-09-01T00:00:00"/>
    <s v="SPC_1"/>
    <x v="9"/>
    <x v="0"/>
    <s v="HALIM"/>
    <s v="Capot"/>
    <s v="Hood "/>
    <s v="remove sound proof"/>
    <s v="en EDG"/>
    <s v="CM"/>
    <s v="26/06/2025 à supprimer pour BEV"/>
    <n v="0"/>
    <n v="-0.12"/>
    <m/>
    <s v="o"/>
    <x v="0"/>
    <s v="TBD"/>
    <n v="0.5"/>
    <n v="-0.23"/>
    <n v="-0.115"/>
    <n v="1"/>
    <n v="1"/>
    <n v="1"/>
    <n v="1"/>
    <n v="1"/>
    <n v="1"/>
    <n v="1"/>
    <n v="1"/>
    <n v="1"/>
    <n v="1"/>
    <n v="1"/>
    <n v="1"/>
    <n v="1"/>
    <n v="1"/>
    <n v="1"/>
    <n v="1"/>
    <n v="1"/>
    <n v="1"/>
    <x v="0"/>
    <n v="1"/>
    <n v="1"/>
    <x v="0"/>
    <x v="0"/>
    <x v="0"/>
    <x v="1"/>
    <n v="1"/>
    <x v="0"/>
    <x v="0"/>
    <n v="1"/>
    <x v="0"/>
    <x v="0"/>
    <n v="1"/>
  </r>
  <r>
    <m/>
    <d v="2026-02-06T00:00:00"/>
    <s v="SPC_1"/>
    <x v="1"/>
    <x v="0"/>
    <s v="MICHAEL BORE"/>
    <s v="Optim bas de pare brise "/>
    <m/>
    <m/>
    <s v="06/03/2026 LM : Check avec Chadi_x000a_"/>
    <m/>
    <m/>
    <m/>
    <m/>
    <m/>
    <s v="o"/>
    <x v="2"/>
    <m/>
    <n v="1"/>
    <m/>
    <n v="0"/>
    <m/>
    <m/>
    <m/>
    <m/>
    <m/>
    <m/>
    <m/>
    <m/>
    <m/>
    <m/>
    <m/>
    <m/>
    <m/>
    <m/>
    <m/>
    <m/>
    <m/>
    <m/>
    <x v="0"/>
    <n v="1"/>
    <n v="1"/>
    <x v="0"/>
    <x v="0"/>
    <x v="0"/>
    <x v="1"/>
    <n v="1"/>
    <x v="0"/>
    <x v="0"/>
    <n v="1"/>
    <x v="0"/>
    <x v="0"/>
    <n v="1"/>
  </r>
  <r>
    <m/>
    <d v="2026-02-06T00:00:00"/>
    <s v="SPC_1"/>
    <x v="0"/>
    <x v="0"/>
    <s v="FRANK BAILLON"/>
    <s v="Renfort Pieb B milieu sup type CDPO"/>
    <m/>
    <s v="A verifier dans la BDD "/>
    <m/>
    <m/>
    <m/>
    <m/>
    <m/>
    <m/>
    <s v="o"/>
    <x v="1"/>
    <m/>
    <n v="1"/>
    <m/>
    <m/>
    <m/>
    <m/>
    <m/>
    <m/>
    <m/>
    <m/>
    <m/>
    <m/>
    <m/>
    <m/>
    <m/>
    <m/>
    <m/>
    <m/>
    <m/>
    <m/>
    <m/>
    <m/>
    <x v="0"/>
    <n v="1"/>
    <n v="1"/>
    <x v="0"/>
    <x v="0"/>
    <x v="0"/>
    <x v="1"/>
    <n v="1"/>
    <x v="0"/>
    <x v="0"/>
    <n v="1"/>
    <x v="0"/>
    <x v="0"/>
    <n v="1"/>
  </r>
  <r>
    <m/>
    <d v="2024-09-01T00:00:00"/>
    <s v="SPC_1"/>
    <x v="9"/>
    <x v="0"/>
    <s v="HALIM"/>
    <s v="Garnitures de volet"/>
    <s v="Trims"/>
    <s v="Injection du gaz dans le plastique (Micro Jet pour FORVIA, …).  Masse à communiquée par Laurent. Attente RFQ)_x000a_Gain Masse : environ 12% mais impacts : +5% de TPC, +25% Vendor Tooling"/>
    <s v="20/04/2026 LM sujet à annuler_x000a_09/03/2026 LM à checker _x000a_24/06/2025 à checker en RFQ avec les FNR"/>
    <s v="20/04/2026"/>
    <s v="Check avec le fournisseur"/>
    <s v="TBD"/>
    <n v="1.1000000000000001"/>
    <m/>
    <s v="o"/>
    <x v="0"/>
    <s v="TBD"/>
    <n v="0.25"/>
    <n v="-0.55000000000000004"/>
    <n v="-0.13750000000000001"/>
    <n v="1"/>
    <n v="1"/>
    <n v="1"/>
    <n v="1"/>
    <n v="1"/>
    <n v="1"/>
    <n v="1"/>
    <n v="1"/>
    <n v="1"/>
    <n v="1"/>
    <n v="1"/>
    <n v="1"/>
    <n v="1"/>
    <n v="1"/>
    <n v="1"/>
    <n v="1"/>
    <n v="1"/>
    <n v="1"/>
    <x v="0"/>
    <n v="1"/>
    <n v="1"/>
    <x v="0"/>
    <x v="0"/>
    <x v="0"/>
    <x v="1"/>
    <n v="1"/>
    <x v="0"/>
    <x v="0"/>
    <n v="1"/>
    <x v="0"/>
    <x v="0"/>
    <n v="1"/>
  </r>
  <r>
    <m/>
    <d v="2026-02-09T00:00:00"/>
    <s v="SPC_1"/>
    <x v="2"/>
    <x v="0"/>
    <s v="HALIM"/>
    <s v="Garniture support tablette"/>
    <m/>
    <s v="suppression du Magic Handle A mettre dans la BDD L2 only"/>
    <m/>
    <m/>
    <m/>
    <m/>
    <m/>
    <m/>
    <m/>
    <x v="1"/>
    <s v="TBD"/>
    <n v="1"/>
    <n v="-0.8"/>
    <n v="-1"/>
    <n v="1"/>
    <n v="1"/>
    <n v="1"/>
    <n v="1"/>
    <n v="1"/>
    <m/>
    <m/>
    <m/>
    <m/>
    <m/>
    <m/>
    <m/>
    <m/>
    <m/>
    <m/>
    <m/>
    <m/>
    <m/>
    <x v="0"/>
    <n v="1"/>
    <n v="1"/>
    <x v="0"/>
    <x v="0"/>
    <x v="1"/>
    <x v="0"/>
    <m/>
    <x v="1"/>
    <x v="1"/>
    <m/>
    <x v="1"/>
    <x v="1"/>
    <m/>
  </r>
  <r>
    <m/>
    <d v="2026-02-09T00:00:00"/>
    <s v="SPC_1"/>
    <x v="9"/>
    <x v="0"/>
    <s v="HALIM"/>
    <s v="TAPIS"/>
    <s v="CARPET"/>
    <s v="PASSAGE en Mono matière"/>
    <s v="Réunion decision S13"/>
    <m/>
    <m/>
    <m/>
    <m/>
    <m/>
    <s v="DECISION ?"/>
    <x v="2"/>
    <s v="TBD"/>
    <n v="1"/>
    <n v="-2"/>
    <n v="-2"/>
    <m/>
    <m/>
    <m/>
    <m/>
    <m/>
    <m/>
    <m/>
    <m/>
    <m/>
    <m/>
    <m/>
    <m/>
    <m/>
    <m/>
    <m/>
    <m/>
    <m/>
    <m/>
    <x v="0"/>
    <n v="1"/>
    <n v="1"/>
    <x v="0"/>
    <x v="0"/>
    <x v="0"/>
    <x v="1"/>
    <n v="1"/>
    <x v="0"/>
    <x v="0"/>
    <n v="1"/>
    <x v="0"/>
    <x v="0"/>
    <n v="1"/>
  </r>
  <r>
    <n v="35"/>
    <m/>
    <s v="SP1"/>
    <x v="0"/>
    <x v="1"/>
    <m/>
    <s v="Choix fournisseur Amortisseur av"/>
    <m/>
    <m/>
    <m/>
    <m/>
    <s v="26/04/2024 : ecart réduit à 1,8 kg_x000a_10/04/2024 : Entre 2,8 et 2,1 kg de plus avec Cijuan. Mais Pb avec KYB._x000a_08/02/2024 : Choix achat à orienter vers le fournisseur le moins lourd"/>
    <m/>
    <n v="0"/>
    <m/>
    <s v="o"/>
    <x v="1"/>
    <s v="TBD"/>
    <n v="0.5"/>
    <n v="1.4000000000000004"/>
    <n v="0.70000000000000018"/>
    <m/>
    <m/>
    <m/>
    <n v="1"/>
    <n v="1"/>
    <m/>
    <m/>
    <n v="1"/>
    <n v="1"/>
    <m/>
    <m/>
    <m/>
    <n v="1"/>
    <n v="1"/>
    <m/>
    <m/>
    <n v="1"/>
    <n v="1"/>
    <x v="1"/>
    <m/>
    <m/>
    <x v="0"/>
    <x v="0"/>
    <x v="1"/>
    <x v="0"/>
    <m/>
    <x v="0"/>
    <x v="1"/>
    <m/>
    <x v="1"/>
    <x v="0"/>
    <n v="1"/>
  </r>
  <r>
    <n v="172"/>
    <m/>
    <s v="SP1"/>
    <x v="0"/>
    <x v="1"/>
    <m/>
    <s v="Local optim "/>
    <m/>
    <s v="Integrate holes &amp; flange optim"/>
    <m/>
    <m/>
    <m/>
    <m/>
    <n v="0"/>
    <m/>
    <s v="o"/>
    <x v="0"/>
    <s v="TBD"/>
    <n v="0.5"/>
    <n v="-1"/>
    <n v="-0.5"/>
    <m/>
    <m/>
    <m/>
    <n v="1"/>
    <n v="1"/>
    <m/>
    <m/>
    <n v="1"/>
    <n v="1"/>
    <m/>
    <m/>
    <m/>
    <n v="1"/>
    <n v="1"/>
    <m/>
    <m/>
    <n v="1"/>
    <n v="1"/>
    <x v="1"/>
    <m/>
    <m/>
    <x v="0"/>
    <x v="0"/>
    <x v="1"/>
    <x v="0"/>
    <m/>
    <x v="0"/>
    <x v="1"/>
    <m/>
    <x v="1"/>
    <x v="0"/>
    <n v="1"/>
  </r>
  <r>
    <s v="99c"/>
    <m/>
    <s v="SP1"/>
    <x v="0"/>
    <x v="2"/>
    <m/>
    <s v="Ens PWT HR"/>
    <m/>
    <s v="HR Bat / FWD S EDM / IDCM 11kW"/>
    <m/>
    <m/>
    <s v="14/03/2024 maj"/>
    <m/>
    <m/>
    <m/>
    <m/>
    <x v="0"/>
    <s v="TBD"/>
    <n v="1"/>
    <n v="-3.76"/>
    <n v="-3.76"/>
    <m/>
    <m/>
    <m/>
    <n v="1"/>
    <n v="1"/>
    <m/>
    <m/>
    <n v="1"/>
    <n v="1"/>
    <m/>
    <m/>
    <m/>
    <n v="1"/>
    <n v="1"/>
    <m/>
    <m/>
    <n v="1"/>
    <n v="1"/>
    <x v="1"/>
    <m/>
    <m/>
    <x v="0"/>
    <x v="0"/>
    <x v="1"/>
    <x v="0"/>
    <m/>
    <x v="0"/>
    <x v="1"/>
    <m/>
    <x v="1"/>
    <x v="0"/>
    <n v="1"/>
  </r>
  <r>
    <s v="32b"/>
    <m/>
    <s v="SP1"/>
    <x v="0"/>
    <x v="1"/>
    <m/>
    <s v="Double filtrage susmot"/>
    <m/>
    <s v="Damper alu io steel"/>
    <m/>
    <m/>
    <s v="21/03/2024 : Changement des masselotte du double filtrage. non compatible de la piste 32."/>
    <m/>
    <n v="0"/>
    <m/>
    <s v="o"/>
    <x v="0"/>
    <s v="TBD"/>
    <n v="0"/>
    <n v="-1"/>
    <n v="0"/>
    <m/>
    <m/>
    <m/>
    <n v="1"/>
    <n v="1"/>
    <m/>
    <m/>
    <n v="1"/>
    <n v="1"/>
    <m/>
    <m/>
    <m/>
    <n v="1"/>
    <n v="1"/>
    <m/>
    <m/>
    <n v="1"/>
    <n v="1"/>
    <x v="1"/>
    <m/>
    <m/>
    <x v="0"/>
    <x v="0"/>
    <x v="1"/>
    <x v="0"/>
    <m/>
    <x v="0"/>
    <x v="1"/>
    <m/>
    <x v="1"/>
    <x v="0"/>
    <n v="1"/>
  </r>
  <r>
    <s v="104b"/>
    <m/>
    <s v="SP1"/>
    <x v="0"/>
    <x v="1"/>
    <m/>
    <s v="KdPP"/>
    <s v="Remove repair kit"/>
    <s v="removal : application"/>
    <m/>
    <m/>
    <s v="10/04/2024 : Pas d'opposition PTF."/>
    <m/>
    <n v="-10"/>
    <m/>
    <m/>
    <x v="1"/>
    <s v="TBD"/>
    <n v="1"/>
    <n v="-1.4"/>
    <n v="-1.4"/>
    <m/>
    <m/>
    <m/>
    <n v="1"/>
    <n v="1"/>
    <m/>
    <m/>
    <n v="1"/>
    <n v="1"/>
    <m/>
    <m/>
    <m/>
    <n v="1"/>
    <n v="1"/>
    <m/>
    <m/>
    <n v="1"/>
    <n v="1"/>
    <x v="1"/>
    <m/>
    <m/>
    <x v="0"/>
    <x v="0"/>
    <x v="1"/>
    <x v="0"/>
    <m/>
    <x v="0"/>
    <x v="1"/>
    <m/>
    <x v="1"/>
    <x v="0"/>
    <n v="1"/>
  </r>
  <r>
    <m/>
    <d v="2026-02-09T00:00:00"/>
    <s v="SPC_1"/>
    <x v="2"/>
    <x v="0"/>
    <s v="FREDERIC BRUNIER"/>
    <s v="Console +  planche"/>
    <s v="PORO Opti"/>
    <s v="Suppr airvent moto_x000a_Suppr airvent entry"/>
    <s v="Ajouter les lignes du PORO_x000a_48gr par mico moteur (x8)"/>
    <m/>
    <m/>
    <m/>
    <m/>
    <m/>
    <m/>
    <x v="2"/>
    <s v="TBD"/>
    <n v="0.1"/>
    <n v="-0.4"/>
    <n v="-4.0000000000000008E-2"/>
    <m/>
    <m/>
    <m/>
    <m/>
    <m/>
    <m/>
    <m/>
    <m/>
    <m/>
    <m/>
    <m/>
    <m/>
    <m/>
    <m/>
    <m/>
    <m/>
    <m/>
    <m/>
    <x v="0"/>
    <n v="1"/>
    <n v="1"/>
    <x v="0"/>
    <x v="0"/>
    <x v="1"/>
    <x v="0"/>
    <m/>
    <x v="1"/>
    <x v="1"/>
    <m/>
    <x v="1"/>
    <x v="1"/>
    <m/>
  </r>
  <r>
    <m/>
    <s v="11/06/2025"/>
    <s v="SPC_1"/>
    <x v="9"/>
    <x v="0"/>
    <s v="HALIM"/>
    <s v="Assise Rg2 40/20/40 (P64)"/>
    <s v="optim design"/>
    <s v="Assise Rg2 40/60"/>
    <s v="20/04/2026 LM Appliqué en BDD_x000a_17/03/2026 LM - QCDP en cours_x000a_opportunité 40/60 (P1H)"/>
    <s v="20/04/2026"/>
    <m/>
    <m/>
    <m/>
    <m/>
    <s v="DECISION ?"/>
    <x v="1"/>
    <s v="TBD"/>
    <n v="1"/>
    <n v="-2.4"/>
    <n v="-2.4"/>
    <n v="1"/>
    <n v="1"/>
    <n v="1"/>
    <n v="1"/>
    <n v="1"/>
    <m/>
    <m/>
    <m/>
    <m/>
    <m/>
    <m/>
    <m/>
    <m/>
    <m/>
    <m/>
    <m/>
    <m/>
    <m/>
    <x v="0"/>
    <n v="1"/>
    <n v="1"/>
    <x v="0"/>
    <x v="0"/>
    <x v="1"/>
    <x v="0"/>
    <m/>
    <x v="1"/>
    <x v="1"/>
    <m/>
    <x v="1"/>
    <x v="1"/>
    <m/>
  </r>
  <r>
    <n v="55"/>
    <s v="11/06/2025"/>
    <s v="SPC_1"/>
    <x v="9"/>
    <x v="0"/>
    <s v="HALIM"/>
    <s v="Assise Rg2 - Tissus"/>
    <s v="optim design"/>
    <s v="Retour frns"/>
    <s v="24/06/2025 siège reconduit SP1 avec tissus spécifique - risk SP1/SP2 enrichissement"/>
    <s v="SFM"/>
    <s v="11/06/2025 Style non gélé , mais orientation en cours avec Tie down donc Potentiel a descendre a 25% [ald 50%]_x000a_18/11/2024 Maj suite SYNC3=-0,6kg*50% (ald-0,65kg*25%)_x000a_05/11/2024 Reporté 2025_x000a_25/09/2024 EN attente choirs frns =&gt; Fin Sept_x000a_11/07/2024 choix frns CW39"/>
    <m/>
    <m/>
    <m/>
    <s v="o"/>
    <x v="0"/>
    <s v="TBD"/>
    <n v="0.25"/>
    <m/>
    <n v="0"/>
    <n v="1"/>
    <n v="1"/>
    <n v="1"/>
    <n v="1"/>
    <n v="1"/>
    <n v="1"/>
    <n v="1"/>
    <n v="1"/>
    <n v="1"/>
    <n v="1"/>
    <n v="1"/>
    <n v="1"/>
    <n v="1"/>
    <n v="1"/>
    <n v="1"/>
    <n v="1"/>
    <n v="1"/>
    <n v="1"/>
    <x v="0"/>
    <n v="1"/>
    <n v="1"/>
    <x v="0"/>
    <x v="0"/>
    <x v="1"/>
    <x v="0"/>
    <m/>
    <x v="1"/>
    <x v="1"/>
    <m/>
    <x v="1"/>
    <x v="1"/>
    <m/>
  </r>
  <r>
    <s v="107c"/>
    <m/>
    <s v="SP1"/>
    <x v="0"/>
    <x v="1"/>
    <m/>
    <s v="Cable mode3"/>
    <m/>
    <s v="remove"/>
    <m/>
    <m/>
    <m/>
    <m/>
    <m/>
    <m/>
    <m/>
    <x v="1"/>
    <s v="TBD"/>
    <n v="1"/>
    <n v="-3.8"/>
    <n v="-3.8"/>
    <m/>
    <m/>
    <m/>
    <n v="1"/>
    <n v="1"/>
    <m/>
    <m/>
    <n v="1"/>
    <n v="1"/>
    <m/>
    <m/>
    <m/>
    <n v="1"/>
    <n v="1"/>
    <m/>
    <m/>
    <n v="1"/>
    <n v="1"/>
    <x v="1"/>
    <m/>
    <m/>
    <x v="0"/>
    <x v="0"/>
    <x v="1"/>
    <x v="0"/>
    <m/>
    <x v="0"/>
    <x v="1"/>
    <m/>
    <x v="1"/>
    <x v="0"/>
    <n v="1"/>
  </r>
  <r>
    <n v="36"/>
    <m/>
    <s v="SP1"/>
    <x v="0"/>
    <x v="1"/>
    <m/>
    <s v="Choix fournisseur Amortisseur ar"/>
    <m/>
    <m/>
    <m/>
    <m/>
    <s v="10/04/2024 : Entre 2,8 et 2,1 kg de plus avec Cijuan. Mais Pb avec KYB._x000a_08/02/2024 : Choix achat à orienter vers le fournisseur le moins lourd"/>
    <m/>
    <n v="0"/>
    <m/>
    <s v="o"/>
    <x v="1"/>
    <s v="TBD"/>
    <n v="0.5"/>
    <n v="1.2000000000000002"/>
    <n v="0.60000000000000009"/>
    <m/>
    <m/>
    <m/>
    <n v="1"/>
    <n v="1"/>
    <m/>
    <m/>
    <n v="1"/>
    <n v="1"/>
    <m/>
    <m/>
    <m/>
    <n v="1"/>
    <n v="1"/>
    <m/>
    <m/>
    <n v="1"/>
    <n v="1"/>
    <x v="1"/>
    <m/>
    <m/>
    <x v="0"/>
    <x v="0"/>
    <x v="1"/>
    <x v="0"/>
    <m/>
    <x v="0"/>
    <x v="1"/>
    <m/>
    <x v="1"/>
    <x v="0"/>
    <n v="1"/>
  </r>
  <r>
    <n v="225"/>
    <m/>
    <s v="SP2"/>
    <x v="0"/>
    <x v="0"/>
    <m/>
    <s v="Console"/>
    <s v="Console"/>
    <s v="Console ENTRY (Cobra shape) --&gt; Acté d'être en console haute. Synthèse rideau (rolling curtain) instead of Butterfly (c'est la référence)"/>
    <s v="30/09/2024 passage en réunion de décision proposition annulé -&gt; canceled_x000a_Seul Alfa demande une console EDG._x000a_https://docinfogroupe.stellantis.com/ead/doc/ref.21007_24_00110/v.vc/fiche"/>
    <s v="w43_x000a_PORO signature"/>
    <s v="REF = Butterfly"/>
    <s v="275K€"/>
    <n v="0"/>
    <m/>
    <s v="o"/>
    <x v="0"/>
    <s v="TBD"/>
    <n v="1"/>
    <n v="-0.2"/>
    <n v="-0.2"/>
    <m/>
    <m/>
    <m/>
    <n v="1"/>
    <n v="1"/>
    <m/>
    <m/>
    <n v="1"/>
    <n v="1"/>
    <m/>
    <m/>
    <m/>
    <n v="1"/>
    <n v="1"/>
    <m/>
    <m/>
    <n v="1"/>
    <n v="1"/>
    <x v="1"/>
    <m/>
    <m/>
    <x v="0"/>
    <x v="0"/>
    <x v="1"/>
    <x v="0"/>
    <m/>
    <x v="0"/>
    <x v="1"/>
    <m/>
    <x v="1"/>
    <x v="0"/>
    <n v="1"/>
  </r>
  <r>
    <n v="122"/>
    <s v="27/06/2024"/>
    <s v="SP1"/>
    <x v="6"/>
    <x v="0"/>
    <s v="Isabelle Moro phillipe BOILLAUT"/>
    <s v="Faisceaux_LV   "/>
    <s v="LV HARNESS"/>
    <s v="Cross section optimization =&gt; A confirmer par Jerome "/>
    <m/>
    <m/>
    <s v="27/06/2024 Estim à -0,3kg (-50%)_x000a_25/03/2024 A développer à l'aide des prochains plans faisceaux : X0_x000a_13/03/2024b New"/>
    <m/>
    <m/>
    <m/>
    <s v="o"/>
    <x v="2"/>
    <m/>
    <n v="0.5"/>
    <n v="-0.3"/>
    <n v="-0.15"/>
    <n v="1"/>
    <n v="1"/>
    <n v="1"/>
    <n v="1"/>
    <n v="1"/>
    <n v="1"/>
    <n v="1"/>
    <n v="1"/>
    <n v="1"/>
    <n v="1"/>
    <n v="1"/>
    <n v="1"/>
    <n v="1"/>
    <n v="1"/>
    <n v="1"/>
    <n v="1"/>
    <n v="1"/>
    <n v="1"/>
    <x v="0"/>
    <n v="1"/>
    <n v="1"/>
    <x v="0"/>
    <x v="0"/>
    <x v="0"/>
    <x v="1"/>
    <n v="1"/>
    <x v="0"/>
    <x v="0"/>
    <n v="1"/>
    <x v="0"/>
    <x v="0"/>
    <n v="1"/>
  </r>
  <r>
    <m/>
    <d v="2024-09-01T00:00:00"/>
    <s v="SP2"/>
    <x v="0"/>
    <x v="0"/>
    <s v="HALIM"/>
    <s v="Poignée maintien"/>
    <s v="Grab handle"/>
    <s v="Grab handle removal (supports ferrés)"/>
    <s v="LM 10/10/25_x000a_support poignée à supprimer si plus de poignée"/>
    <s v="PM-CM"/>
    <m/>
    <n v="0"/>
    <n v="-0.28999999999999998"/>
    <m/>
    <s v="o"/>
    <x v="0"/>
    <s v="TBD"/>
    <n v="0.25"/>
    <n v="-0.6"/>
    <n v="-0.15"/>
    <n v="1"/>
    <n v="1"/>
    <n v="1"/>
    <n v="1"/>
    <n v="1"/>
    <n v="1"/>
    <n v="1"/>
    <n v="1"/>
    <n v="1"/>
    <n v="1"/>
    <n v="1"/>
    <n v="1"/>
    <n v="1"/>
    <n v="1"/>
    <n v="1"/>
    <n v="1"/>
    <n v="1"/>
    <n v="1"/>
    <x v="0"/>
    <n v="1"/>
    <n v="1"/>
    <x v="0"/>
    <x v="0"/>
    <x v="0"/>
    <x v="0"/>
    <m/>
    <x v="0"/>
    <x v="0"/>
    <n v="1"/>
    <x v="0"/>
    <x v="0"/>
    <n v="1"/>
  </r>
  <r>
    <n v="153"/>
    <m/>
    <s v="SP1"/>
    <x v="0"/>
    <x v="1"/>
    <m/>
    <s v="D-ring embedding"/>
    <m/>
    <s v="Confirm &quot;free space&quot; to improve embedding_x000a_Increase usage structural adhesive_x000a_Investigate TWB"/>
    <m/>
    <m/>
    <s v="29/04/2024 : opti design sans derive masse"/>
    <m/>
    <n v="0"/>
    <m/>
    <m/>
    <x v="0"/>
    <m/>
    <m/>
    <n v="0"/>
    <n v="0"/>
    <m/>
    <m/>
    <m/>
    <n v="1"/>
    <n v="1"/>
    <m/>
    <m/>
    <n v="1"/>
    <n v="1"/>
    <m/>
    <m/>
    <m/>
    <n v="1"/>
    <n v="1"/>
    <m/>
    <m/>
    <n v="1"/>
    <n v="1"/>
    <x v="1"/>
    <m/>
    <m/>
    <x v="0"/>
    <x v="0"/>
    <x v="1"/>
    <x v="0"/>
    <m/>
    <x v="0"/>
    <x v="1"/>
    <m/>
    <x v="1"/>
    <x v="0"/>
    <n v="1"/>
  </r>
  <r>
    <n v="162"/>
    <m/>
    <s v="SP1"/>
    <x v="0"/>
    <x v="1"/>
    <m/>
    <s v="Front seat inertia"/>
    <m/>
    <s v="Bench regarding doors flange -accessibility / bench"/>
    <m/>
    <m/>
    <s v="29/04/2024 : pas applicable sur STLA-S"/>
    <m/>
    <s v=""/>
    <m/>
    <m/>
    <x v="0"/>
    <m/>
    <m/>
    <m/>
    <n v="0"/>
    <m/>
    <m/>
    <m/>
    <n v="1"/>
    <n v="1"/>
    <m/>
    <m/>
    <n v="1"/>
    <n v="1"/>
    <m/>
    <m/>
    <m/>
    <n v="1"/>
    <n v="1"/>
    <m/>
    <m/>
    <n v="1"/>
    <n v="1"/>
    <x v="1"/>
    <m/>
    <m/>
    <x v="0"/>
    <x v="0"/>
    <x v="1"/>
    <x v="0"/>
    <m/>
    <x v="0"/>
    <x v="1"/>
    <m/>
    <x v="1"/>
    <x v="0"/>
    <n v="1"/>
  </r>
  <r>
    <n v="166"/>
    <m/>
    <s v="SP1"/>
    <x v="0"/>
    <x v="1"/>
    <m/>
    <s v="Rank 2"/>
    <m/>
    <s v="Share QCTP done in the past "/>
    <m/>
    <m/>
    <s v="26/03/2024 : QCDP déjà fait, à revoir. Besoin de faire une pièce silhouette pour l'étanchéité."/>
    <m/>
    <s v=""/>
    <m/>
    <s v="o"/>
    <x v="1"/>
    <s v="TBD"/>
    <n v="0.75"/>
    <n v="-0.2"/>
    <n v="-0.15000000000000002"/>
    <m/>
    <m/>
    <m/>
    <n v="1"/>
    <n v="1"/>
    <m/>
    <m/>
    <n v="1"/>
    <n v="1"/>
    <m/>
    <m/>
    <m/>
    <n v="1"/>
    <n v="1"/>
    <m/>
    <m/>
    <n v="1"/>
    <n v="1"/>
    <x v="1"/>
    <m/>
    <m/>
    <x v="0"/>
    <x v="0"/>
    <x v="1"/>
    <x v="0"/>
    <m/>
    <x v="0"/>
    <x v="1"/>
    <m/>
    <x v="1"/>
    <x v="0"/>
    <n v="1"/>
  </r>
  <r>
    <n v="169"/>
    <m/>
    <s v="SP1"/>
    <x v="0"/>
    <x v="1"/>
    <m/>
    <s v="PHS --&gt; PHS1400Y1800T"/>
    <m/>
    <s v="Confirm thickness available _x000a_Share impacts regarding WS resistance"/>
    <m/>
    <m/>
    <s v="26/03/2024 : possibilité d'appliquer un process permettant de diminuer les ep. Panier de pièce à fournir à Arcelor. A integrer dans OPTIMASS"/>
    <m/>
    <s v="Cout plus elevé, mais reduit par la reduction de matiere"/>
    <m/>
    <m/>
    <x v="0"/>
    <m/>
    <m/>
    <m/>
    <n v="0"/>
    <m/>
    <m/>
    <m/>
    <n v="1"/>
    <n v="1"/>
    <m/>
    <m/>
    <n v="1"/>
    <n v="1"/>
    <m/>
    <m/>
    <m/>
    <n v="1"/>
    <n v="1"/>
    <m/>
    <m/>
    <n v="1"/>
    <n v="1"/>
    <x v="1"/>
    <m/>
    <m/>
    <x v="0"/>
    <x v="0"/>
    <x v="1"/>
    <x v="0"/>
    <m/>
    <x v="0"/>
    <x v="1"/>
    <m/>
    <x v="1"/>
    <x v="0"/>
    <n v="1"/>
  </r>
  <r>
    <n v="170"/>
    <m/>
    <s v="SP1"/>
    <x v="0"/>
    <x v="1"/>
    <m/>
    <s v="PHS applications"/>
    <m/>
    <s v="Macro stakes _x000a_To integrate in optimization loops"/>
    <m/>
    <m/>
    <s v="26/03/2024 : Optimass"/>
    <m/>
    <s v=""/>
    <m/>
    <m/>
    <x v="0"/>
    <m/>
    <m/>
    <m/>
    <n v="0"/>
    <m/>
    <m/>
    <m/>
    <n v="1"/>
    <n v="1"/>
    <m/>
    <m/>
    <n v="1"/>
    <n v="1"/>
    <m/>
    <m/>
    <m/>
    <n v="1"/>
    <n v="1"/>
    <m/>
    <m/>
    <n v="1"/>
    <n v="1"/>
    <x v="1"/>
    <m/>
    <m/>
    <x v="0"/>
    <x v="0"/>
    <x v="1"/>
    <x v="0"/>
    <m/>
    <x v="0"/>
    <x v="1"/>
    <m/>
    <x v="1"/>
    <x v="0"/>
    <n v="1"/>
  </r>
  <r>
    <n v="171"/>
    <m/>
    <s v="SP1"/>
    <x v="0"/>
    <x v="1"/>
    <m/>
    <s v="WSE density"/>
    <m/>
    <s v="To integrate in optimization loops"/>
    <m/>
    <m/>
    <s v="26/03/2024 : Optimass"/>
    <m/>
    <s v="A priori transparent vs TPC car peu de marge."/>
    <m/>
    <m/>
    <x v="0"/>
    <m/>
    <m/>
    <m/>
    <n v="0"/>
    <m/>
    <m/>
    <m/>
    <n v="1"/>
    <n v="1"/>
    <m/>
    <m/>
    <n v="1"/>
    <n v="1"/>
    <m/>
    <m/>
    <m/>
    <n v="1"/>
    <n v="1"/>
    <m/>
    <m/>
    <n v="1"/>
    <n v="1"/>
    <x v="1"/>
    <m/>
    <m/>
    <x v="0"/>
    <x v="0"/>
    <x v="1"/>
    <x v="0"/>
    <m/>
    <x v="0"/>
    <x v="1"/>
    <m/>
    <x v="1"/>
    <x v="0"/>
    <n v="1"/>
  </r>
  <r>
    <n v="54"/>
    <s v="11/06/2025"/>
    <s v="SPC_1"/>
    <x v="9"/>
    <x v="0"/>
    <s v="HALIM"/>
    <s v="Assise Rg1 - Tissus"/>
    <s v="optim design"/>
    <s v="Retour frns"/>
    <s v="24/06/2025 siège reconduit SP1 avec tissus spécifique - risk SP1/SP2 enrichissement"/>
    <s v="SFM"/>
    <s v="11/06/2025 Style non gélé , mais orientation en cours avec Tie down donc Potentiel a descendre a 25% [ald50%]_x000a_18/11/2024 Maj suite SYNC3 =&gt;-0,8kg*50% (ald 25%*-0,2kg)_x000a_05/11/2024 Reporté 2025_x000a_25/09/2024 EN attente choirs frns =&gt; Fin Sept_x000a_11/07/2024 choix frns CW39"/>
    <m/>
    <m/>
    <m/>
    <s v="o"/>
    <x v="0"/>
    <s v="TBD"/>
    <n v="0.25"/>
    <n v="-0.8"/>
    <n v="-0.2"/>
    <n v="1"/>
    <n v="1"/>
    <n v="1"/>
    <n v="1"/>
    <n v="1"/>
    <n v="1"/>
    <n v="1"/>
    <n v="1"/>
    <n v="1"/>
    <n v="1"/>
    <n v="1"/>
    <n v="1"/>
    <n v="1"/>
    <n v="1"/>
    <n v="1"/>
    <n v="1"/>
    <n v="1"/>
    <n v="1"/>
    <x v="0"/>
    <n v="1"/>
    <n v="1"/>
    <x v="0"/>
    <x v="0"/>
    <x v="1"/>
    <x v="0"/>
    <m/>
    <x v="1"/>
    <x v="1"/>
    <m/>
    <x v="1"/>
    <x v="1"/>
    <m/>
  </r>
  <r>
    <s v="174b"/>
    <m/>
    <s v="SP1"/>
    <x v="0"/>
    <x v="1"/>
    <m/>
    <s v="Triangle B-Cross"/>
    <m/>
    <s v="LCA ep 4,5 ald 5mm sur B-Cross"/>
    <m/>
    <m/>
    <s v="26/04/2024 : acté_x000a_10/04/2024 : Design en cours. _x000a_21/03/2024 : new"/>
    <m/>
    <n v="-1"/>
    <m/>
    <m/>
    <x v="1"/>
    <s v="TBD"/>
    <n v="0.25"/>
    <n v="-1"/>
    <n v="-0.25"/>
    <m/>
    <m/>
    <m/>
    <n v="1"/>
    <n v="1"/>
    <m/>
    <m/>
    <n v="1"/>
    <n v="1"/>
    <m/>
    <m/>
    <m/>
    <n v="1"/>
    <n v="1"/>
    <m/>
    <m/>
    <n v="1"/>
    <n v="1"/>
    <x v="1"/>
    <m/>
    <m/>
    <x v="0"/>
    <x v="0"/>
    <x v="1"/>
    <x v="0"/>
    <m/>
    <x v="0"/>
    <x v="1"/>
    <m/>
    <x v="1"/>
    <x v="0"/>
    <n v="1"/>
  </r>
  <r>
    <n v="268"/>
    <s v="05/11/2024"/>
    <s v="SP1"/>
    <x v="1"/>
    <x v="0"/>
    <s v="Sébastien Bonnefoi (P1H)/_x000a_Jean Michel Gabus P1X"/>
    <s v="Capot(Charniere)"/>
    <s v="optim design"/>
    <s v="Optim / Rédution ep. Charnons mobiles"/>
    <m/>
    <m/>
    <s v="05/11/2024 Confirmé : passage de 3.5 à 3 mm validé sur le charnon mobile / Gain -0.2 kg /véhicule. ce sera intégré dans les def post SYNC3, lors du restart (100% ald -75%)_x000a_07/10/2024 Suite au SYNC3, validation via GDM"/>
    <m/>
    <m/>
    <m/>
    <s v="o"/>
    <x v="2"/>
    <m/>
    <n v="1"/>
    <n v="-0.2"/>
    <n v="-0.2"/>
    <n v="1"/>
    <n v="1"/>
    <n v="1"/>
    <n v="1"/>
    <n v="1"/>
    <n v="1"/>
    <n v="1"/>
    <n v="1"/>
    <n v="1"/>
    <n v="1"/>
    <n v="1"/>
    <n v="1"/>
    <n v="1"/>
    <n v="1"/>
    <n v="1"/>
    <n v="1"/>
    <n v="1"/>
    <n v="1"/>
    <x v="0"/>
    <n v="1"/>
    <n v="1"/>
    <x v="0"/>
    <x v="0"/>
    <x v="0"/>
    <x v="1"/>
    <n v="1"/>
    <x v="0"/>
    <x v="0"/>
    <n v="1"/>
    <x v="0"/>
    <x v="0"/>
    <n v="1"/>
  </r>
  <r>
    <m/>
    <m/>
    <s v="SP2"/>
    <x v="0"/>
    <x v="0"/>
    <m/>
    <s v="Volet"/>
    <s v="tailgate "/>
    <s v="Tailgate Prius like / plactic"/>
    <m/>
    <m/>
    <m/>
    <m/>
    <n v="0"/>
    <m/>
    <m/>
    <x v="0"/>
    <s v="TBD"/>
    <n v="0"/>
    <n v="-3"/>
    <n v="0"/>
    <m/>
    <m/>
    <m/>
    <n v="1"/>
    <n v="1"/>
    <m/>
    <m/>
    <n v="1"/>
    <n v="1"/>
    <m/>
    <m/>
    <m/>
    <n v="1"/>
    <n v="1"/>
    <m/>
    <m/>
    <n v="1"/>
    <n v="1"/>
    <x v="1"/>
    <m/>
    <m/>
    <x v="0"/>
    <x v="0"/>
    <x v="1"/>
    <x v="0"/>
    <m/>
    <x v="0"/>
    <x v="1"/>
    <m/>
    <x v="1"/>
    <x v="0"/>
    <n v="1"/>
  </r>
  <r>
    <n v="182"/>
    <m/>
    <s v="SP1"/>
    <x v="0"/>
    <x v="1"/>
    <m/>
    <s v="Tige creuse"/>
    <m/>
    <s v="Amortisseur avant tige creuse 22m"/>
    <m/>
    <m/>
    <s v="10/04/2024 : Question à poser au fournisseur, quand il sera choisi."/>
    <m/>
    <s v=""/>
    <m/>
    <m/>
    <x v="0"/>
    <m/>
    <n v="0"/>
    <m/>
    <n v="0"/>
    <m/>
    <m/>
    <m/>
    <n v="1"/>
    <n v="1"/>
    <m/>
    <m/>
    <n v="1"/>
    <n v="1"/>
    <m/>
    <m/>
    <m/>
    <n v="1"/>
    <n v="1"/>
    <m/>
    <m/>
    <n v="1"/>
    <n v="1"/>
    <x v="1"/>
    <m/>
    <m/>
    <x v="0"/>
    <x v="0"/>
    <x v="1"/>
    <x v="0"/>
    <m/>
    <x v="0"/>
    <x v="1"/>
    <m/>
    <x v="1"/>
    <x v="0"/>
    <n v="1"/>
  </r>
  <r>
    <n v="188"/>
    <m/>
    <s v="SP1"/>
    <x v="0"/>
    <x v="1"/>
    <m/>
    <s v="Skeleton 2 pièces"/>
    <m/>
    <s v="Raidisseur sur le plancher (ski long) ep augmenté (1,6 ald 1,3) + changement de matière"/>
    <m/>
    <m/>
    <s v="26/03/2024 : demande manufacturing"/>
    <m/>
    <n v="0"/>
    <m/>
    <s v="o"/>
    <x v="0"/>
    <s v="TBD"/>
    <n v="0.25"/>
    <n v="0.5"/>
    <n v="0.125"/>
    <m/>
    <m/>
    <m/>
    <n v="1"/>
    <n v="1"/>
    <m/>
    <m/>
    <n v="1"/>
    <n v="1"/>
    <m/>
    <m/>
    <m/>
    <n v="1"/>
    <n v="1"/>
    <m/>
    <m/>
    <n v="1"/>
    <n v="1"/>
    <x v="1"/>
    <m/>
    <m/>
    <x v="0"/>
    <x v="0"/>
    <x v="1"/>
    <x v="0"/>
    <m/>
    <x v="0"/>
    <x v="1"/>
    <m/>
    <x v="1"/>
    <x v="0"/>
    <n v="1"/>
  </r>
  <r>
    <s v="197b"/>
    <m/>
    <s v="SP1"/>
    <x v="0"/>
    <x v="1"/>
    <m/>
    <s v="Colle structurale"/>
    <m/>
    <s v="Augmenter le taux de colle structurale"/>
    <m/>
    <m/>
    <s v="03/04/2024 : peu de colle structurale utilisée. Démarche faite, mais montre peu de gain. Ressortir le dossier pour avoir la longueur totale vs retex."/>
    <m/>
    <s v=""/>
    <m/>
    <m/>
    <x v="0"/>
    <m/>
    <n v="0"/>
    <m/>
    <n v="0"/>
    <m/>
    <m/>
    <m/>
    <n v="1"/>
    <n v="1"/>
    <m/>
    <m/>
    <n v="1"/>
    <n v="1"/>
    <m/>
    <m/>
    <m/>
    <n v="1"/>
    <n v="1"/>
    <m/>
    <m/>
    <n v="1"/>
    <n v="1"/>
    <x v="1"/>
    <m/>
    <m/>
    <x v="0"/>
    <x v="0"/>
    <x v="1"/>
    <x v="0"/>
    <m/>
    <x v="0"/>
    <x v="1"/>
    <m/>
    <x v="1"/>
    <x v="0"/>
    <n v="1"/>
  </r>
  <r>
    <s v="198b"/>
    <m/>
    <s v="SP1"/>
    <x v="0"/>
    <x v="1"/>
    <m/>
    <s v="Point de soudure"/>
    <m/>
    <s v="Qté"/>
    <m/>
    <m/>
    <s v="27/03/2024 New WS S14"/>
    <m/>
    <s v=""/>
    <m/>
    <m/>
    <x v="0"/>
    <m/>
    <n v="0"/>
    <m/>
    <n v="0"/>
    <m/>
    <m/>
    <m/>
    <n v="1"/>
    <n v="1"/>
    <m/>
    <m/>
    <n v="1"/>
    <n v="1"/>
    <m/>
    <m/>
    <m/>
    <n v="1"/>
    <n v="1"/>
    <m/>
    <m/>
    <n v="1"/>
    <n v="1"/>
    <x v="1"/>
    <m/>
    <m/>
    <x v="0"/>
    <x v="0"/>
    <x v="1"/>
    <x v="0"/>
    <m/>
    <x v="0"/>
    <x v="1"/>
    <m/>
    <x v="1"/>
    <x v="0"/>
    <n v="1"/>
  </r>
  <r>
    <s v="175b"/>
    <m/>
    <s v="SP1"/>
    <x v="0"/>
    <x v="1"/>
    <m/>
    <s v="Pivot B-Cross"/>
    <m/>
    <s v="Optimisation entre sync3 et sync5"/>
    <m/>
    <m/>
    <m/>
    <m/>
    <m/>
    <m/>
    <s v="o"/>
    <x v="1"/>
    <m/>
    <n v="1"/>
    <n v="-0.6"/>
    <n v="-0.6"/>
    <m/>
    <m/>
    <m/>
    <n v="1"/>
    <n v="1"/>
    <m/>
    <m/>
    <n v="1"/>
    <n v="1"/>
    <m/>
    <m/>
    <m/>
    <n v="1"/>
    <n v="1"/>
    <m/>
    <m/>
    <n v="1"/>
    <n v="1"/>
    <x v="1"/>
    <m/>
    <m/>
    <x v="0"/>
    <x v="0"/>
    <x v="1"/>
    <x v="0"/>
    <m/>
    <x v="0"/>
    <x v="1"/>
    <m/>
    <x v="1"/>
    <x v="0"/>
    <n v="1"/>
  </r>
  <r>
    <n v="311"/>
    <s v="28/05/2025"/>
    <s v="SP1"/>
    <x v="0"/>
    <x v="0"/>
    <s v="Franck Baillon (SP1)/_x000a_Cyrille P1X"/>
    <s v="Piéces communes P1HX"/>
    <s v="Common parts P1HX"/>
    <s v="Périmètre Masse : à re-partager"/>
    <s v="A checker…..."/>
    <m/>
    <s v="28/05/2025 CHANTIER MASSE : Périmètre Commune à re-partager avec Franck"/>
    <m/>
    <m/>
    <m/>
    <s v="o"/>
    <x v="0"/>
    <m/>
    <n v="0.5"/>
    <n v="-0.4"/>
    <n v="-0.2"/>
    <n v="1"/>
    <n v="1"/>
    <n v="1"/>
    <n v="1"/>
    <n v="1"/>
    <n v="1"/>
    <n v="1"/>
    <n v="1"/>
    <n v="1"/>
    <n v="1"/>
    <n v="1"/>
    <n v="1"/>
    <n v="1"/>
    <n v="1"/>
    <n v="1"/>
    <n v="1"/>
    <n v="1"/>
    <n v="1"/>
    <x v="0"/>
    <n v="1"/>
    <n v="1"/>
    <x v="0"/>
    <x v="0"/>
    <x v="0"/>
    <x v="1"/>
    <n v="1"/>
    <x v="0"/>
    <x v="0"/>
    <n v="1"/>
    <x v="0"/>
    <x v="0"/>
    <n v="1"/>
  </r>
  <r>
    <m/>
    <m/>
    <s v="SP2"/>
    <x v="0"/>
    <x v="0"/>
    <m/>
    <s v="Panneau de porte"/>
    <s v="Door pannel"/>
    <s v="Passage nouvelle matière avec la nouvelle politique GPC"/>
    <s v="24/09/2024 -LM-invest-TPC voir valérie_x000a_BOM intégre cette politique matière_x000a_attente retour fournisseur "/>
    <s v="w09/2025_x000a_door panel supplier award"/>
    <m/>
    <s v="????"/>
    <s v="????"/>
    <m/>
    <s v="o"/>
    <x v="0"/>
    <s v="TBD"/>
    <n v="1"/>
    <n v="0.6"/>
    <n v="0.6"/>
    <m/>
    <m/>
    <m/>
    <n v="1"/>
    <n v="1"/>
    <m/>
    <m/>
    <n v="1"/>
    <n v="1"/>
    <m/>
    <m/>
    <m/>
    <n v="1"/>
    <n v="1"/>
    <m/>
    <m/>
    <n v="1"/>
    <n v="1"/>
    <x v="1"/>
    <m/>
    <m/>
    <x v="0"/>
    <x v="0"/>
    <x v="1"/>
    <x v="0"/>
    <m/>
    <x v="0"/>
    <x v="1"/>
    <m/>
    <x v="1"/>
    <x v="0"/>
    <n v="1"/>
  </r>
  <r>
    <m/>
    <m/>
    <s v="SP2"/>
    <x v="0"/>
    <x v="0"/>
    <m/>
    <s v="Becquet "/>
    <s v="remove spolier"/>
    <s v="intergration feu AR central (CHMSL) version compass"/>
    <s v="to check with serkan and nicolas_x000a_+risk update at 0,2kg_x000a_0% car volet pastic"/>
    <s v="PM-CM"/>
    <m/>
    <n v="0"/>
    <n v="-0.1"/>
    <m/>
    <s v="o"/>
    <x v="0"/>
    <s v="TBD"/>
    <n v="0"/>
    <n v="1"/>
    <n v="0"/>
    <m/>
    <m/>
    <m/>
    <n v="1"/>
    <n v="1"/>
    <m/>
    <m/>
    <n v="1"/>
    <n v="1"/>
    <m/>
    <m/>
    <m/>
    <n v="1"/>
    <n v="1"/>
    <m/>
    <m/>
    <n v="1"/>
    <n v="1"/>
    <x v="1"/>
    <m/>
    <m/>
    <x v="0"/>
    <x v="0"/>
    <x v="1"/>
    <x v="0"/>
    <m/>
    <x v="0"/>
    <x v="1"/>
    <m/>
    <x v="1"/>
    <x v="0"/>
    <n v="1"/>
  </r>
  <r>
    <n v="312"/>
    <s v="28/05/2025"/>
    <s v="SP1"/>
    <x v="2"/>
    <x v="0"/>
    <s v="FREDERIC BRUNIER"/>
    <s v="Garniture Pano AV"/>
    <s v="Front panel trim"/>
    <s v="Périmètre Masse"/>
    <s v="16/03/2026 lm ligne à supprimer"/>
    <m/>
    <s v="28/05/2025 CHANTIER MASSE : Vérifier cohérence des masses"/>
    <m/>
    <m/>
    <m/>
    <s v="o"/>
    <x v="0"/>
    <m/>
    <n v="0.25"/>
    <n v="-0.8"/>
    <n v="-0.2"/>
    <n v="1"/>
    <n v="1"/>
    <n v="1"/>
    <n v="1"/>
    <n v="1"/>
    <n v="1"/>
    <n v="1"/>
    <n v="1"/>
    <n v="1"/>
    <n v="1"/>
    <n v="1"/>
    <n v="1"/>
    <n v="1"/>
    <n v="1"/>
    <n v="1"/>
    <n v="1"/>
    <n v="1"/>
    <n v="1"/>
    <x v="0"/>
    <n v="1"/>
    <n v="1"/>
    <x v="0"/>
    <x v="0"/>
    <x v="0"/>
    <x v="1"/>
    <n v="1"/>
    <x v="0"/>
    <x v="0"/>
    <n v="1"/>
    <x v="0"/>
    <x v="0"/>
    <n v="1"/>
  </r>
  <r>
    <n v="313"/>
    <s v="28/05/2025"/>
    <s v="SP1"/>
    <x v="6"/>
    <x v="0"/>
    <s v="Isabelle Moro"/>
    <s v="HP AR"/>
    <s v="Rear speaker"/>
    <s v="A décliner selon le Lvl"/>
    <m/>
    <m/>
    <s v="28/05/2025 CHANTIER MASSE : Créer une MeG"/>
    <m/>
    <m/>
    <m/>
    <s v="o"/>
    <x v="2"/>
    <m/>
    <n v="0.25"/>
    <n v="-1"/>
    <n v="-0.25"/>
    <n v="1"/>
    <n v="1"/>
    <n v="1"/>
    <n v="1"/>
    <n v="1"/>
    <n v="1"/>
    <n v="1"/>
    <n v="1"/>
    <n v="1"/>
    <n v="1"/>
    <n v="1"/>
    <n v="1"/>
    <n v="1"/>
    <n v="1"/>
    <n v="1"/>
    <n v="1"/>
    <n v="1"/>
    <n v="1"/>
    <x v="0"/>
    <n v="1"/>
    <n v="1"/>
    <x v="0"/>
    <x v="0"/>
    <x v="0"/>
    <x v="1"/>
    <n v="1"/>
    <x v="0"/>
    <x v="0"/>
    <n v="1"/>
    <x v="0"/>
    <x v="0"/>
    <n v="1"/>
  </r>
  <r>
    <n v="223"/>
    <m/>
    <s v="SP2"/>
    <x v="0"/>
    <x v="0"/>
    <m/>
    <s v="Roof Arch Reinforcer"/>
    <s v="Roof Arch Reinforcer"/>
    <s v="Au titre du A-Line programme =&gt; risque d'ajouter une pièce : &quot;Roof Arch Reinforcer&quot; (attente résultat choc SP1 en Week10)"/>
    <s v="24/09/2024 LM - ligne à Cancel - ne sera pas appliqué._x000a_to pass to 100%"/>
    <s v="CM+sync1"/>
    <s v="risk out à confirmer avec le metier "/>
    <m/>
    <n v="1.5"/>
    <m/>
    <s v="o"/>
    <x v="0"/>
    <s v="TBD"/>
    <n v="0.75"/>
    <n v="1"/>
    <n v="0.75"/>
    <m/>
    <m/>
    <m/>
    <n v="1"/>
    <n v="1"/>
    <m/>
    <m/>
    <n v="1"/>
    <n v="1"/>
    <m/>
    <m/>
    <m/>
    <n v="1"/>
    <n v="1"/>
    <m/>
    <m/>
    <n v="1"/>
    <n v="1"/>
    <x v="1"/>
    <m/>
    <m/>
    <x v="0"/>
    <x v="0"/>
    <x v="1"/>
    <x v="0"/>
    <m/>
    <x v="0"/>
    <x v="1"/>
    <m/>
    <x v="1"/>
    <x v="0"/>
    <n v="1"/>
  </r>
  <r>
    <n v="221"/>
    <m/>
    <s v="SP2"/>
    <x v="0"/>
    <x v="0"/>
    <m/>
    <s v="Raidisseur AV Capot"/>
    <m/>
    <s v="Ajout raidisseur AV Capot"/>
    <s v="24/09/2024 -LM- à supprimer car suppression du raidisseur car softnose_x000a_Not in ref projet"/>
    <s v="sync1"/>
    <m/>
    <n v="0"/>
    <n v="1.3"/>
    <m/>
    <s v="o"/>
    <x v="0"/>
    <s v="TBD"/>
    <n v="0.1"/>
    <n v="1"/>
    <n v="0.1"/>
    <m/>
    <m/>
    <m/>
    <n v="1"/>
    <n v="1"/>
    <m/>
    <m/>
    <n v="1"/>
    <n v="1"/>
    <m/>
    <m/>
    <m/>
    <n v="1"/>
    <n v="1"/>
    <m/>
    <m/>
    <n v="1"/>
    <n v="1"/>
    <x v="1"/>
    <m/>
    <m/>
    <x v="0"/>
    <x v="0"/>
    <x v="1"/>
    <x v="0"/>
    <m/>
    <x v="0"/>
    <x v="1"/>
    <m/>
    <x v="1"/>
    <x v="0"/>
    <n v="1"/>
  </r>
  <r>
    <n v="324"/>
    <s v="10/06/2025"/>
    <s v="SP1"/>
    <x v="18"/>
    <x v="0"/>
    <s v="all"/>
    <s v="Pièces Communes P1HX"/>
    <s v="Common parts P1HX"/>
    <s v="P1HX"/>
    <s v="CP P1H Sébastien Dupuis"/>
    <m/>
    <s v="02/07/2025 Du périmètre commun (182kg) =&gt; n'est optimisable que ~52kg [passe à -1kg]_x000a_10/06/2025 Effort d'allégement sur les pièces communes P1HX (-2%)"/>
    <m/>
    <m/>
    <m/>
    <s v="o"/>
    <x v="2"/>
    <m/>
    <n v="1"/>
    <n v="-1"/>
    <n v="-1"/>
    <n v="1"/>
    <n v="1"/>
    <n v="1"/>
    <n v="1"/>
    <n v="1"/>
    <n v="1"/>
    <n v="1"/>
    <n v="1"/>
    <n v="1"/>
    <n v="1"/>
    <n v="1"/>
    <n v="1"/>
    <n v="1"/>
    <n v="1"/>
    <n v="1"/>
    <n v="1"/>
    <n v="1"/>
    <n v="1"/>
    <x v="0"/>
    <n v="1"/>
    <n v="1"/>
    <x v="0"/>
    <x v="0"/>
    <x v="0"/>
    <x v="1"/>
    <n v="1"/>
    <x v="0"/>
    <x v="0"/>
    <n v="1"/>
    <x v="0"/>
    <x v="0"/>
    <n v="1"/>
  </r>
  <r>
    <m/>
    <m/>
    <s v="SP2"/>
    <x v="0"/>
    <x v="0"/>
    <m/>
    <s v="Pare choc "/>
    <s v="Hood side reduction "/>
    <s v="ajout soft nose "/>
    <s v="08/10/2024: BDD à jour_x000a_Valable pour O3H."/>
    <s v="decided"/>
    <m/>
    <m/>
    <n v="-0.65"/>
    <m/>
    <s v="o"/>
    <x v="1"/>
    <s v="TBD"/>
    <n v="1"/>
    <n v="1.46"/>
    <n v="1.46"/>
    <m/>
    <m/>
    <m/>
    <n v="1"/>
    <n v="1"/>
    <m/>
    <m/>
    <n v="1"/>
    <n v="1"/>
    <m/>
    <m/>
    <m/>
    <n v="1"/>
    <n v="1"/>
    <m/>
    <m/>
    <n v="1"/>
    <n v="1"/>
    <x v="1"/>
    <m/>
    <m/>
    <x v="0"/>
    <x v="0"/>
    <x v="1"/>
    <x v="0"/>
    <m/>
    <x v="0"/>
    <x v="1"/>
    <m/>
    <x v="1"/>
    <x v="0"/>
    <n v="1"/>
  </r>
  <r>
    <n v="243"/>
    <d v="2024-09-01T00:00:00"/>
    <s v="SP1"/>
    <x v="2"/>
    <x v="0"/>
    <s v="FREDERIC BRUNIER"/>
    <s v="Console"/>
    <s v="Raw material Change"/>
    <s v="Matetrial Change"/>
    <s v="16/02/2026 Lm Ligne à supprimer_x000a_24/06/2025 à confirmer au restart_x000a_24/09/2024 LM - supprimer ligne 130 et garder celle-ci_x000a_08/07 : passage en matière NAFI (recyclée - 20% de fibres de chanvre), gain CO2 … gain masse de 15% sur le perimètre concerné (IP, CONSOLE &amp; DP)_x000a_proposition de split en 2 avec DP ( voir Valérie)"/>
    <s v="W09/2025 door pannel supplier award_x000a_IP: Make_x000a_?????? Attente Valérie"/>
    <m/>
    <s v="TBD"/>
    <s v="TBD"/>
    <m/>
    <s v="o"/>
    <x v="0"/>
    <m/>
    <n v="0.5"/>
    <n v="-0.67"/>
    <n v="-0.33500000000000002"/>
    <n v="1"/>
    <n v="1"/>
    <n v="1"/>
    <n v="1"/>
    <n v="1"/>
    <n v="1"/>
    <n v="1"/>
    <n v="1"/>
    <n v="1"/>
    <n v="1"/>
    <n v="1"/>
    <n v="1"/>
    <n v="1"/>
    <n v="1"/>
    <n v="1"/>
    <n v="1"/>
    <n v="1"/>
    <n v="1"/>
    <x v="0"/>
    <n v="1"/>
    <n v="1"/>
    <x v="0"/>
    <x v="0"/>
    <x v="1"/>
    <x v="0"/>
    <m/>
    <x v="1"/>
    <x v="1"/>
    <m/>
    <x v="1"/>
    <x v="1"/>
    <m/>
  </r>
  <r>
    <m/>
    <d v="2026-02-16T00:00:00"/>
    <s v="SPC_1"/>
    <x v="3"/>
    <x v="0"/>
    <s v="Hugues laurant"/>
    <s v="COE porte "/>
    <s v="ROCKER handle"/>
    <s v="OK BDD_x000a_"/>
    <s v="20/03/2026 LM_x000a_vue avec Hugues, intégré dans la masse de la garniture de porte"/>
    <m/>
    <m/>
    <m/>
    <m/>
    <m/>
    <s v="o"/>
    <x v="1"/>
    <m/>
    <n v="1"/>
    <n v="-1.1499999999999999"/>
    <n v="-1.1499999999999999"/>
    <m/>
    <m/>
    <m/>
    <m/>
    <m/>
    <m/>
    <m/>
    <m/>
    <m/>
    <m/>
    <m/>
    <m/>
    <m/>
    <m/>
    <m/>
    <m/>
    <m/>
    <m/>
    <x v="0"/>
    <n v="1"/>
    <n v="1"/>
    <x v="0"/>
    <x v="0"/>
    <x v="1"/>
    <x v="0"/>
    <m/>
    <x v="1"/>
    <x v="1"/>
    <m/>
    <x v="1"/>
    <x v="1"/>
    <m/>
  </r>
  <r>
    <n v="203"/>
    <s v="08/04/2025"/>
    <s v="SP1"/>
    <x v="0"/>
    <x v="0"/>
    <s v="FRANK BAILLON"/>
    <s v="BIW  Renfort montant baie + renfort pied avant_x000a_"/>
    <s v="BIW/ DIW process"/>
    <s v="Embout à chaud :PHS950 YS1500T =&gt; PHS1400-Y1800T  _x000a_et réduction épaisseur"/>
    <s v="24/03/2026 LM_x000a_retour en Octobre"/>
    <m/>
    <s v="08/04/2025 Relance SAF_x000a_05/11/2024 A revoir avec SAF_x000a_03/09/2024 Synthèse Métier en cours_x000a_11/07/2024 Uniqt Rf Montant Baie, Maj eval à -0,34kg*100% (vs-0,8*25%)"/>
    <m/>
    <m/>
    <m/>
    <s v="o"/>
    <x v="2"/>
    <m/>
    <n v="0.5"/>
    <n v="-0.34"/>
    <n v="-0.17"/>
    <n v="1"/>
    <n v="1"/>
    <n v="1"/>
    <n v="1"/>
    <n v="1"/>
    <n v="1"/>
    <n v="1"/>
    <n v="1"/>
    <n v="1"/>
    <n v="1"/>
    <n v="1"/>
    <n v="1"/>
    <n v="1"/>
    <n v="1"/>
    <n v="1"/>
    <n v="1"/>
    <n v="1"/>
    <n v="1"/>
    <x v="0"/>
    <n v="1"/>
    <n v="1"/>
    <x v="0"/>
    <x v="0"/>
    <x v="0"/>
    <x v="1"/>
    <n v="1"/>
    <x v="0"/>
    <x v="0"/>
    <n v="1"/>
    <x v="0"/>
    <x v="0"/>
    <n v="1"/>
  </r>
  <r>
    <s v="86b"/>
    <s v="03/09/2024"/>
    <s v="SP1"/>
    <x v="5"/>
    <x v="0"/>
    <s v="Damien Demougeot/_x000a_Cyrille P1X"/>
    <s v="Panneau AR_P1X : ep.0,85"/>
    <s v="Panel AR_P1X: thickness 0.85"/>
    <s v="Thickness reductions 0,9mm --&gt;0,85mm"/>
    <s v="06/02/2026 LM_x000a_Epaisseur à 0.65 appliqué sur les portes_x000a_sujet à supprimer"/>
    <m/>
    <s v="03/09/2024 Retour Métier sur hypothèse Ref _x000a_13/03/2024 NVH constraint (P21:0,65)_x000a_CW10 ref"/>
    <m/>
    <m/>
    <m/>
    <s v="o"/>
    <x v="1"/>
    <m/>
    <n v="1"/>
    <n v="-0.48"/>
    <n v="-0.48"/>
    <n v="1"/>
    <n v="1"/>
    <n v="1"/>
    <n v="1"/>
    <n v="1"/>
    <n v="1"/>
    <n v="1"/>
    <n v="1"/>
    <n v="1"/>
    <n v="1"/>
    <n v="1"/>
    <n v="1"/>
    <n v="1"/>
    <n v="1"/>
    <n v="1"/>
    <n v="1"/>
    <n v="1"/>
    <n v="1"/>
    <x v="0"/>
    <n v="1"/>
    <n v="1"/>
    <x v="0"/>
    <x v="0"/>
    <x v="0"/>
    <x v="0"/>
    <m/>
    <x v="0"/>
    <x v="0"/>
    <n v="1"/>
    <x v="0"/>
    <x v="0"/>
    <n v="1"/>
  </r>
  <r>
    <s v="187b"/>
    <m/>
    <s v="SP1"/>
    <x v="0"/>
    <x v="1"/>
    <m/>
    <s v="Bras sup bicoquille sur MB"/>
    <m/>
    <m/>
    <m/>
    <m/>
    <s v="10/04/2024 : besoin d'avoir une vision sur la décli des AWD sur SP1 / SP2,_x000a_03/04/2024 : gain estimé hors bras ar inf. Suppose d'abord l'annulation du AWD du périmètre."/>
    <m/>
    <n v="10"/>
    <m/>
    <s v="o"/>
    <x v="1"/>
    <s v="TBD"/>
    <n v="0.2"/>
    <n v="-0.4"/>
    <n v="-8.0000000000000016E-2"/>
    <m/>
    <m/>
    <m/>
    <n v="1"/>
    <n v="1"/>
    <m/>
    <m/>
    <n v="1"/>
    <n v="1"/>
    <m/>
    <m/>
    <m/>
    <n v="1"/>
    <n v="1"/>
    <m/>
    <m/>
    <n v="1"/>
    <n v="1"/>
    <x v="1"/>
    <m/>
    <m/>
    <x v="0"/>
    <x v="0"/>
    <x v="1"/>
    <x v="0"/>
    <m/>
    <x v="0"/>
    <x v="1"/>
    <m/>
    <x v="1"/>
    <x v="0"/>
    <n v="1"/>
  </r>
  <r>
    <n v="21"/>
    <m/>
    <s v="SP1"/>
    <x v="0"/>
    <x v="1"/>
    <m/>
    <s v="SUPPORT TUYAU REFRIGERATION ENTREE-SORTIE COMPRESSEUR"/>
    <m/>
    <s v="Suppression et prise en compte du support par la facade plastique"/>
    <m/>
    <m/>
    <s v="11/09/2024 : Décidé. Ajout sur la facade à quantifier -&gt; voir avec Arnaud S. Pour le gain réel._x000a_19/06/2024 : En attente proposition du fournisseur de façade. Voir avec Peter Reghem_x000a_14/02/2024 : nouvelle piste. Application tout type_x000a_"/>
    <m/>
    <n v="-0.1"/>
    <m/>
    <s v="o"/>
    <x v="1"/>
    <s v="TBD"/>
    <n v="0.75"/>
    <n v="-0.2"/>
    <n v="-0.15000000000000002"/>
    <m/>
    <m/>
    <m/>
    <n v="1"/>
    <n v="1"/>
    <m/>
    <m/>
    <n v="1"/>
    <n v="1"/>
    <m/>
    <m/>
    <m/>
    <n v="1"/>
    <n v="1"/>
    <m/>
    <m/>
    <n v="1"/>
    <n v="1"/>
    <x v="1"/>
    <m/>
    <m/>
    <x v="0"/>
    <x v="0"/>
    <x v="1"/>
    <x v="0"/>
    <m/>
    <x v="0"/>
    <x v="1"/>
    <m/>
    <x v="1"/>
    <x v="0"/>
    <n v="1"/>
  </r>
  <r>
    <n v="225"/>
    <d v="2024-09-01T00:00:00"/>
    <s v="SP2"/>
    <x v="0"/>
    <x v="0"/>
    <s v="?"/>
    <s v="Enjo bas de caisse"/>
    <s v="Rocker trim "/>
    <m/>
    <s v="06/01/2026 LM_x000a_Non appliqué sur P3U - à supprimer_x000a_28/04/2025 : O3H non - P3X - oui_x000a_Valider pour Opel, Peugeot à confirmer Jérome_x000a_To validate in decision meeting"/>
    <s v="CW27"/>
    <s v="26/06/2025 a reboucler après hypothèse projet"/>
    <n v="320"/>
    <n v="17"/>
    <m/>
    <s v="x"/>
    <x v="1"/>
    <s v="TBD"/>
    <n v="0.8"/>
    <n v="2.2000000000000002"/>
    <n v="1.7600000000000002"/>
    <m/>
    <m/>
    <m/>
    <m/>
    <m/>
    <m/>
    <m/>
    <m/>
    <m/>
    <n v="1"/>
    <n v="1"/>
    <n v="1"/>
    <n v="1"/>
    <n v="1"/>
    <n v="1"/>
    <n v="1"/>
    <n v="1"/>
    <n v="1"/>
    <x v="0"/>
    <n v="1"/>
    <n v="1"/>
    <x v="0"/>
    <x v="0"/>
    <x v="0"/>
    <x v="0"/>
    <m/>
    <x v="0"/>
    <x v="0"/>
    <n v="1"/>
    <x v="0"/>
    <x v="0"/>
    <n v="1"/>
  </r>
  <r>
    <m/>
    <m/>
    <s v="SP2"/>
    <x v="0"/>
    <x v="0"/>
    <m/>
    <s v="Lit Logo / T2"/>
    <s v="Lit Logo / T2"/>
    <s v="Lit logo / T2 removal (only for upper conf)"/>
    <m/>
    <s v="CM poro signature"/>
    <m/>
    <m/>
    <n v="-31"/>
    <m/>
    <m/>
    <x v="0"/>
    <s v="TBD"/>
    <m/>
    <n v="-1.35"/>
    <n v="0"/>
    <m/>
    <m/>
    <m/>
    <n v="1"/>
    <n v="1"/>
    <m/>
    <m/>
    <n v="1"/>
    <n v="1"/>
    <m/>
    <m/>
    <m/>
    <n v="1"/>
    <n v="1"/>
    <m/>
    <m/>
    <n v="1"/>
    <n v="1"/>
    <x v="1"/>
    <m/>
    <m/>
    <x v="0"/>
    <x v="0"/>
    <x v="1"/>
    <x v="0"/>
    <m/>
    <x v="0"/>
    <x v="1"/>
    <m/>
    <x v="1"/>
    <x v="0"/>
    <n v="1"/>
  </r>
  <r>
    <m/>
    <m/>
    <s v="SP2"/>
    <x v="0"/>
    <x v="0"/>
    <m/>
    <s v="T2"/>
    <s v="T2"/>
    <s v="T2 new mass calculation (was 4.6kg in database adn is calculated 2.4)"/>
    <s v="BDD to check and validate with cherkan synthesis =&gt; 3kg?"/>
    <s v="CM-4CW"/>
    <m/>
    <m/>
    <m/>
    <m/>
    <m/>
    <x v="0"/>
    <s v="TBD"/>
    <m/>
    <n v="-2.2000000000000002"/>
    <n v="0"/>
    <m/>
    <m/>
    <m/>
    <n v="1"/>
    <n v="1"/>
    <m/>
    <m/>
    <n v="1"/>
    <n v="1"/>
    <m/>
    <m/>
    <m/>
    <n v="1"/>
    <n v="1"/>
    <m/>
    <m/>
    <n v="1"/>
    <n v="1"/>
    <x v="1"/>
    <m/>
    <m/>
    <x v="0"/>
    <x v="0"/>
    <x v="1"/>
    <x v="0"/>
    <m/>
    <x v="0"/>
    <x v="1"/>
    <m/>
    <x v="1"/>
    <x v="0"/>
    <n v="1"/>
  </r>
  <r>
    <m/>
    <m/>
    <s v="SP2"/>
    <x v="0"/>
    <x v="0"/>
    <m/>
    <s v="Insono Coté Habitacle"/>
    <m/>
    <s v="Inson COTE HAB MASSE mise à jour avec Retour FRN SP1"/>
    <s v="Attente choix et techno du FNR."/>
    <s v="SFM"/>
    <m/>
    <m/>
    <n v="-6"/>
    <m/>
    <m/>
    <x v="0"/>
    <s v="TBD"/>
    <m/>
    <m/>
    <n v="0"/>
    <m/>
    <m/>
    <m/>
    <n v="1"/>
    <n v="1"/>
    <m/>
    <m/>
    <n v="1"/>
    <n v="1"/>
    <m/>
    <m/>
    <m/>
    <n v="1"/>
    <n v="1"/>
    <m/>
    <m/>
    <n v="1"/>
    <n v="1"/>
    <x v="1"/>
    <m/>
    <m/>
    <x v="0"/>
    <x v="0"/>
    <x v="1"/>
    <x v="0"/>
    <m/>
    <x v="0"/>
    <x v="1"/>
    <m/>
    <x v="1"/>
    <x v="0"/>
    <n v="1"/>
  </r>
  <r>
    <s v="252b"/>
    <m/>
    <s v="SP1"/>
    <x v="0"/>
    <x v="1"/>
    <m/>
    <s v="Passage Roue AR ML"/>
    <m/>
    <s v="Optimisation raideur dynamique"/>
    <m/>
    <m/>
    <s v="18/09/2024 : officialisé. A mettre dans le bilan_x000a_28/06/2024 : 1er resultats endurance Nok, mais atteignable avec moins de gain masse_x000a_11/06/2024 : Modification du concept des corps creux. Résultat chantier BCI S24."/>
    <m/>
    <m/>
    <m/>
    <s v="o"/>
    <x v="1"/>
    <m/>
    <n v="1"/>
    <n v="-1"/>
    <n v="-1"/>
    <m/>
    <m/>
    <m/>
    <n v="1"/>
    <n v="1"/>
    <m/>
    <m/>
    <n v="1"/>
    <n v="1"/>
    <m/>
    <m/>
    <m/>
    <n v="1"/>
    <n v="1"/>
    <m/>
    <m/>
    <n v="1"/>
    <n v="1"/>
    <x v="1"/>
    <m/>
    <m/>
    <x v="0"/>
    <x v="0"/>
    <x v="1"/>
    <x v="0"/>
    <m/>
    <x v="0"/>
    <x v="1"/>
    <m/>
    <x v="1"/>
    <x v="0"/>
    <n v="1"/>
  </r>
  <r>
    <n v="224"/>
    <m/>
    <s v="SP2"/>
    <x v="0"/>
    <x v="0"/>
    <m/>
    <s v="Console"/>
    <s v="Console"/>
    <s v="Risk to have a Rotating instead of Butterfly (c'est la référence)"/>
    <s v="24/09/2024 Butterfly armrest on SP2_x000a_https://docinfogroupe.stellantis.com/ead/doc/ref.21007_24_00110/v.vc/fiche"/>
    <m/>
    <m/>
    <m/>
    <s v="&quot;5,5&quot;"/>
    <m/>
    <m/>
    <x v="0"/>
    <s v="TBD"/>
    <n v="0"/>
    <n v="0.55000000000000004"/>
    <n v="0"/>
    <m/>
    <m/>
    <m/>
    <n v="1"/>
    <n v="1"/>
    <m/>
    <m/>
    <n v="1"/>
    <n v="1"/>
    <m/>
    <m/>
    <m/>
    <n v="1"/>
    <n v="1"/>
    <m/>
    <m/>
    <n v="1"/>
    <n v="1"/>
    <x v="1"/>
    <m/>
    <m/>
    <x v="0"/>
    <x v="0"/>
    <x v="1"/>
    <x v="0"/>
    <m/>
    <x v="0"/>
    <x v="1"/>
    <m/>
    <x v="1"/>
    <x v="0"/>
    <n v="1"/>
  </r>
  <r>
    <s v="197a"/>
    <m/>
    <s v="SPC_1"/>
    <x v="0"/>
    <x v="0"/>
    <s v="NICOLAS TESSIER"/>
    <s v="Colle STRUC"/>
    <s v="Structural glue"/>
    <s v="Augmenter le taux de colle structurale"/>
    <m/>
    <s v="PM-CM"/>
    <s v="18/04/2024 P1h forecast with optim process =&gt; Roof_x000a_27/03/2024 New WS S14"/>
    <m/>
    <m/>
    <m/>
    <s v="?"/>
    <x v="0"/>
    <s v="Step4"/>
    <n v="0"/>
    <n v="-4"/>
    <n v="0"/>
    <m/>
    <m/>
    <m/>
    <n v="1"/>
    <n v="1"/>
    <m/>
    <m/>
    <n v="1"/>
    <n v="1"/>
    <m/>
    <m/>
    <m/>
    <n v="1"/>
    <n v="1"/>
    <m/>
    <m/>
    <n v="1"/>
    <n v="1"/>
    <x v="1"/>
    <m/>
    <m/>
    <x v="0"/>
    <x v="0"/>
    <x v="1"/>
    <x v="0"/>
    <m/>
    <x v="0"/>
    <x v="1"/>
    <m/>
    <x v="1"/>
    <x v="0"/>
    <n v="1"/>
  </r>
  <r>
    <n v="20"/>
    <m/>
    <s v="SP1"/>
    <x v="0"/>
    <x v="1"/>
    <m/>
    <s v="Support multifonction"/>
    <m/>
    <s v="Risque au dimensionnement"/>
    <m/>
    <m/>
    <s v="10/04/2024 : design finalisé. Masse à récuperer_x000a_23/10/2023 : Création de la piste"/>
    <m/>
    <n v="0.1"/>
    <m/>
    <s v="o"/>
    <x v="1"/>
    <s v="TBD"/>
    <n v="1"/>
    <n v="0.1"/>
    <n v="0.1"/>
    <m/>
    <m/>
    <m/>
    <n v="1"/>
    <n v="1"/>
    <m/>
    <m/>
    <n v="1"/>
    <n v="1"/>
    <m/>
    <m/>
    <m/>
    <n v="1"/>
    <n v="1"/>
    <m/>
    <m/>
    <n v="1"/>
    <n v="1"/>
    <x v="1"/>
    <m/>
    <m/>
    <x v="0"/>
    <x v="0"/>
    <x v="1"/>
    <x v="0"/>
    <m/>
    <x v="0"/>
    <x v="1"/>
    <m/>
    <x v="1"/>
    <x v="0"/>
    <n v="1"/>
  </r>
  <r>
    <s v="95e"/>
    <s v="06/06/2025"/>
    <s v="SP1"/>
    <x v="1"/>
    <x v="0"/>
    <s v="Sébastien Bonnefoi (P1H)/_x000a_Jean Michel Gabus P1X"/>
    <s v="Coeff Num/Phys TH"/>
    <s v="num/phys"/>
    <m/>
    <m/>
    <m/>
    <s v="06/06/2025 A revoir si decision du volet Plastique_x000a_28/05/2025 CHANTIER MASSE : Masse P1X"/>
    <m/>
    <m/>
    <m/>
    <s v="o"/>
    <x v="0"/>
    <m/>
    <n v="1"/>
    <n v="-0.5"/>
    <n v="-0.5"/>
    <n v="1"/>
    <n v="1"/>
    <n v="1"/>
    <n v="1"/>
    <n v="1"/>
    <n v="1"/>
    <n v="1"/>
    <n v="1"/>
    <n v="1"/>
    <n v="1"/>
    <n v="1"/>
    <n v="1"/>
    <n v="1"/>
    <n v="1"/>
    <n v="1"/>
    <n v="1"/>
    <n v="1"/>
    <n v="1"/>
    <x v="0"/>
    <n v="1"/>
    <n v="1"/>
    <x v="0"/>
    <x v="0"/>
    <x v="0"/>
    <x v="1"/>
    <n v="1"/>
    <x v="0"/>
    <x v="0"/>
    <n v="1"/>
    <x v="0"/>
    <x v="0"/>
    <n v="1"/>
  </r>
  <r>
    <n v="41"/>
    <m/>
    <s v="SP1"/>
    <x v="0"/>
    <x v="1"/>
    <m/>
    <s v="Train arrière MB : augmentation des raideurs dynamiques"/>
    <m/>
    <m/>
    <m/>
    <m/>
    <s v="29/04/2024 : Resultat mauvais renforcement à faire, valeur masse inconnue_x000a_Voir les resultats de calcul"/>
    <m/>
    <s v=""/>
    <m/>
    <s v="o"/>
    <x v="0"/>
    <s v="TBD"/>
    <n v="1"/>
    <m/>
    <n v="0"/>
    <m/>
    <m/>
    <m/>
    <n v="1"/>
    <n v="1"/>
    <m/>
    <m/>
    <n v="1"/>
    <n v="1"/>
    <m/>
    <m/>
    <m/>
    <n v="1"/>
    <n v="1"/>
    <m/>
    <m/>
    <n v="1"/>
    <n v="1"/>
    <x v="1"/>
    <m/>
    <m/>
    <x v="0"/>
    <x v="0"/>
    <x v="1"/>
    <x v="0"/>
    <m/>
    <x v="0"/>
    <x v="1"/>
    <m/>
    <x v="1"/>
    <x v="0"/>
    <n v="1"/>
  </r>
  <r>
    <s v="107b"/>
    <m/>
    <s v="SP1"/>
    <x v="0"/>
    <x v="1"/>
    <m/>
    <s v="Cable mode3 (7kW)"/>
    <m/>
    <s v="Passage en option/APV"/>
    <m/>
    <m/>
    <s v="19/06/2024 : en cours sur SP1 et sur SP2_x000a_13/03/2024 ECMP &gt; APV"/>
    <m/>
    <m/>
    <m/>
    <m/>
    <x v="0"/>
    <s v="TBD"/>
    <n v="1"/>
    <n v="-2.6"/>
    <n v="-2.6"/>
    <m/>
    <m/>
    <m/>
    <n v="1"/>
    <n v="1"/>
    <m/>
    <m/>
    <n v="1"/>
    <n v="1"/>
    <m/>
    <m/>
    <m/>
    <n v="1"/>
    <n v="1"/>
    <m/>
    <m/>
    <n v="1"/>
    <n v="1"/>
    <x v="1"/>
    <m/>
    <m/>
    <x v="0"/>
    <x v="0"/>
    <x v="1"/>
    <x v="0"/>
    <m/>
    <x v="0"/>
    <x v="1"/>
    <m/>
    <x v="1"/>
    <x v="0"/>
    <n v="1"/>
  </r>
  <r>
    <m/>
    <d v="2024-09-01T00:00:00"/>
    <s v="SP2"/>
    <x v="0"/>
    <x v="0"/>
    <m/>
    <s v="DIW : Body drama door hinge position"/>
    <s v="Rear Door Hinge position"/>
    <s v="door hinge lowered position"/>
    <s v="28/04/0205 LM: BDD à jour passé à Decided Stéphane_x000a_26/03/2025 - Check MASS with Cyrille (Proposal 3)_x000a_Passed to 400Gr ald 750 Gr_x000a_24/09/2024 -LM- Invest / TPC en cours"/>
    <s v="GO Sync1"/>
    <m/>
    <s v="100K€"/>
    <n v="1"/>
    <m/>
    <s v="o"/>
    <x v="1"/>
    <s v="TBD"/>
    <n v="0.4"/>
    <n v="1"/>
    <n v="0.4"/>
    <m/>
    <m/>
    <m/>
    <n v="1"/>
    <n v="1"/>
    <m/>
    <m/>
    <n v="1"/>
    <n v="1"/>
    <m/>
    <m/>
    <m/>
    <n v="1"/>
    <n v="1"/>
    <m/>
    <m/>
    <n v="1"/>
    <n v="1"/>
    <x v="1"/>
    <m/>
    <m/>
    <x v="0"/>
    <x v="0"/>
    <x v="1"/>
    <x v="0"/>
    <m/>
    <x v="0"/>
    <x v="1"/>
    <m/>
    <x v="1"/>
    <x v="0"/>
    <n v="1"/>
  </r>
  <r>
    <m/>
    <d v="2024-09-01T00:00:00"/>
    <s v="SPC_1"/>
    <x v="1"/>
    <x v="0"/>
    <s v="MICHAEL BORE"/>
    <s v="calandre non  eclairée upper"/>
    <s v="front visor w/o light"/>
    <s v="remove lev1 "/>
    <s v="LM - 23/01/26_x000a_sujet abandonné_x000a_LM 29/09/25_x000a_que pour JEEP ligne to PORO"/>
    <s v="PM poro signature"/>
    <s v="passage en REF post CM"/>
    <s v="300K€ enjoliveur"/>
    <s v="(-54,38)"/>
    <m/>
    <s v="o"/>
    <x v="0"/>
    <s v="TBD"/>
    <n v="0.5"/>
    <n v="-1"/>
    <n v="-0.5"/>
    <n v="1"/>
    <m/>
    <m/>
    <m/>
    <m/>
    <m/>
    <m/>
    <m/>
    <m/>
    <n v="1"/>
    <m/>
    <m/>
    <m/>
    <m/>
    <m/>
    <m/>
    <m/>
    <m/>
    <x v="0"/>
    <n v="1"/>
    <n v="1"/>
    <x v="0"/>
    <x v="0"/>
    <x v="1"/>
    <x v="0"/>
    <m/>
    <x v="1"/>
    <x v="1"/>
    <m/>
    <x v="1"/>
    <x v="1"/>
    <m/>
  </r>
  <r>
    <m/>
    <d v="2024-09-01T00:00:00"/>
    <s v="SP2"/>
    <x v="0"/>
    <x v="0"/>
    <m/>
    <s v="Rft Choc LAT Porte D/G   AR"/>
    <s v="Hot Stamping lat reinfor"/>
    <s v="Embout à chaud"/>
    <s v="28/04/2025 LM : BDD ok à passer à Decided Stéphane_x000a_24/09/2024 -LM- Renfort choc lat  AR en embout à chaud (donc suppression raidisseur)_x000a_"/>
    <s v="PM-CM"/>
    <m/>
    <n v="104"/>
    <n v="-0.8"/>
    <m/>
    <s v="o"/>
    <x v="1"/>
    <s v="TBD"/>
    <n v="1"/>
    <n v="-0.5"/>
    <n v="-0.5"/>
    <m/>
    <m/>
    <m/>
    <n v="1"/>
    <n v="1"/>
    <m/>
    <m/>
    <n v="1"/>
    <n v="1"/>
    <m/>
    <m/>
    <m/>
    <n v="1"/>
    <n v="1"/>
    <m/>
    <m/>
    <n v="1"/>
    <n v="1"/>
    <x v="1"/>
    <m/>
    <m/>
    <x v="0"/>
    <x v="0"/>
    <x v="1"/>
    <x v="0"/>
    <m/>
    <x v="0"/>
    <x v="1"/>
    <m/>
    <x v="1"/>
    <x v="0"/>
    <n v="1"/>
  </r>
  <r>
    <m/>
    <d v="2024-09-01T00:00:00"/>
    <s v="SP2"/>
    <x v="0"/>
    <x v="0"/>
    <m/>
    <s v="BIW :doublure montant baie_x000a_renfort montant de baie_x000a_doublure d'aile"/>
    <s v="BIW doublure montant baie_x000a_renfort montant de baie_x000a_doublure d'aile"/>
    <s v="BIW Embout à chaud"/>
    <s v="28/04/2025 LM : BDD ok à passer à Decided Stéphane_x000a_24/09/2024 -LM-http://docinfogroupe.inetpsa.com/ead/doc/ref.01353_24_00772/v.vc/pj "/>
    <s v="PM-CM"/>
    <m/>
    <n v="120"/>
    <n v="1.5"/>
    <m/>
    <s v="o"/>
    <x v="1"/>
    <s v="TBD"/>
    <n v="1"/>
    <n v="-1"/>
    <n v="-1"/>
    <m/>
    <m/>
    <m/>
    <n v="1"/>
    <n v="1"/>
    <m/>
    <m/>
    <n v="1"/>
    <n v="1"/>
    <m/>
    <m/>
    <m/>
    <n v="1"/>
    <n v="1"/>
    <m/>
    <m/>
    <n v="1"/>
    <n v="1"/>
    <x v="1"/>
    <m/>
    <m/>
    <x v="0"/>
    <x v="0"/>
    <x v="1"/>
    <x v="0"/>
    <m/>
    <x v="0"/>
    <x v="1"/>
    <m/>
    <x v="1"/>
    <x v="0"/>
    <n v="1"/>
  </r>
  <r>
    <m/>
    <d v="2024-10-11T00:00:00"/>
    <s v="SP2"/>
    <x v="0"/>
    <x v="0"/>
    <m/>
    <s v="Volet"/>
    <s v="Plastic tailgaite lower spoiler addition"/>
    <s v="Ajout pièce aéro"/>
    <s v="08/10/2024: decision SP2 du 11/10/2024_x000a_Plastic spoiler QCTP =&gt;  _x000a_http://docinfogroupe.inetpsa.com/ead/doc/ref.01341_24_01373/v.vc/fiche_x000a_"/>
    <s v="PM CW30"/>
    <m/>
    <s v="300K€"/>
    <n v="9"/>
    <m/>
    <s v="o"/>
    <x v="1"/>
    <s v="TBD"/>
    <n v="1"/>
    <n v="0.7"/>
    <n v="0.7"/>
    <m/>
    <m/>
    <m/>
    <n v="1"/>
    <n v="1"/>
    <m/>
    <m/>
    <n v="1"/>
    <n v="1"/>
    <m/>
    <m/>
    <m/>
    <n v="1"/>
    <n v="1"/>
    <m/>
    <m/>
    <n v="1"/>
    <n v="1"/>
    <x v="1"/>
    <m/>
    <m/>
    <x v="0"/>
    <x v="0"/>
    <x v="1"/>
    <x v="0"/>
    <m/>
    <x v="0"/>
    <x v="1"/>
    <m/>
    <x v="1"/>
    <x v="0"/>
    <n v="1"/>
  </r>
  <r>
    <m/>
    <d v="2024-10-11T00:00:00"/>
    <s v="SP2"/>
    <x v="0"/>
    <x v="0"/>
    <m/>
    <s v="Renfort accoudoir /COI nouveau Module"/>
    <s v="armrest reinforcer/ door inner module / Inner Handle"/>
    <s v="extended reinforcer"/>
    <s v="10/04/2025 LM MAJ BDD_x000a_11/10/2024 Check SP1 designe"/>
    <s v="PM-CM"/>
    <m/>
    <s v="150K€"/>
    <n v="0.9"/>
    <m/>
    <s v="x"/>
    <x v="1"/>
    <s v="TBD"/>
    <n v="1"/>
    <n v="1"/>
    <n v="1"/>
    <m/>
    <m/>
    <m/>
    <n v="1"/>
    <n v="1"/>
    <m/>
    <m/>
    <n v="1"/>
    <n v="1"/>
    <m/>
    <m/>
    <m/>
    <n v="1"/>
    <n v="1"/>
    <m/>
    <m/>
    <n v="1"/>
    <n v="1"/>
    <x v="1"/>
    <m/>
    <m/>
    <x v="0"/>
    <x v="0"/>
    <x v="1"/>
    <x v="0"/>
    <m/>
    <x v="0"/>
    <x v="1"/>
    <m/>
    <x v="1"/>
    <x v="0"/>
    <n v="1"/>
  </r>
  <r>
    <s v="105b"/>
    <d v="2026-02-05T00:00:00"/>
    <s v="SP1"/>
    <x v="11"/>
    <x v="0"/>
    <s v="Franck Baillon (SP1)/_x000a_Cyrille P1X"/>
    <s v="Optimass P1X"/>
    <s v="optimass process"/>
    <s v="SYNC2 -4%"/>
    <m/>
    <m/>
    <s v="16/01/2026 Ré-évaluation [P1X specif=288kg=&gt;4%=-11,5kg à 50%=-5,8kg]_x000a_07/11/2025 Séance INIT S48 en GT Perfo_x000a_26/09/2025 sur estim 2% de BCI specif, ratio à 50% (RETEX P1H)_x000a_07/06/2024 Proposition cotation RT RAL -4%_x000a_22/03/2024 A définir pour les DFNU"/>
    <m/>
    <m/>
    <m/>
    <s v="o"/>
    <x v="0"/>
    <m/>
    <n v="0.5"/>
    <n v="-11.5"/>
    <n v="-5.75"/>
    <n v="1"/>
    <n v="1"/>
    <n v="1"/>
    <n v="1"/>
    <n v="1"/>
    <n v="1"/>
    <n v="1"/>
    <n v="1"/>
    <n v="1"/>
    <n v="1"/>
    <n v="1"/>
    <n v="1"/>
    <n v="1"/>
    <n v="1"/>
    <n v="1"/>
    <n v="1"/>
    <n v="1"/>
    <n v="1"/>
    <x v="0"/>
    <n v="1"/>
    <n v="1"/>
    <x v="0"/>
    <x v="0"/>
    <x v="0"/>
    <x v="0"/>
    <m/>
    <x v="0"/>
    <x v="0"/>
    <n v="1"/>
    <x v="0"/>
    <x v="0"/>
    <n v="1"/>
  </r>
  <r>
    <m/>
    <d v="2024-09-01T00:00:00"/>
    <s v="SPC_1"/>
    <x v="0"/>
    <x v="1"/>
    <m/>
    <s v="suppression park lock"/>
    <s v="remove park lock"/>
    <s v="GMP"/>
    <m/>
    <s v="PM-CM"/>
    <m/>
    <m/>
    <m/>
    <m/>
    <s v="o"/>
    <x v="0"/>
    <s v="Step1 "/>
    <n v="1"/>
    <n v="-2.5"/>
    <n v="-2.5"/>
    <m/>
    <m/>
    <m/>
    <n v="1"/>
    <n v="1"/>
    <m/>
    <m/>
    <n v="1"/>
    <n v="1"/>
    <m/>
    <m/>
    <m/>
    <n v="1"/>
    <n v="1"/>
    <m/>
    <m/>
    <n v="1"/>
    <n v="1"/>
    <x v="1"/>
    <m/>
    <m/>
    <x v="0"/>
    <x v="0"/>
    <x v="1"/>
    <x v="0"/>
    <m/>
    <x v="0"/>
    <x v="1"/>
    <m/>
    <x v="1"/>
    <x v="0"/>
    <n v="1"/>
  </r>
  <r>
    <m/>
    <d v="2024-09-01T00:00:00"/>
    <s v="SP2"/>
    <x v="0"/>
    <x v="1"/>
    <m/>
    <s v=" batterie Li Ion "/>
    <s v=" Li Ion battery"/>
    <m/>
    <m/>
    <s v="PM-CM"/>
    <m/>
    <m/>
    <m/>
    <m/>
    <s v="o"/>
    <x v="1"/>
    <s v="TBD"/>
    <n v="1"/>
    <n v="-5"/>
    <n v="-5"/>
    <m/>
    <m/>
    <m/>
    <n v="1"/>
    <n v="1"/>
    <m/>
    <m/>
    <n v="1"/>
    <n v="1"/>
    <m/>
    <m/>
    <m/>
    <n v="1"/>
    <n v="1"/>
    <m/>
    <m/>
    <n v="1"/>
    <n v="1"/>
    <x v="1"/>
    <m/>
    <m/>
    <x v="0"/>
    <x v="0"/>
    <x v="1"/>
    <x v="0"/>
    <m/>
    <x v="0"/>
    <x v="1"/>
    <m/>
    <x v="1"/>
    <x v="0"/>
    <n v="1"/>
  </r>
  <r>
    <m/>
    <d v="2024-02-13T00:00:00"/>
    <s v="SPC_1"/>
    <x v="0"/>
    <x v="1"/>
    <m/>
    <s v="PRS  eDCT 50kW"/>
    <s v="PRS  eDCT 50kW"/>
    <s v="Battery"/>
    <m/>
    <m/>
    <s v="cancel  idea after meeting with Vincent mulot 3/3/25"/>
    <m/>
    <m/>
    <m/>
    <s v="o"/>
    <x v="0"/>
    <s v="TBD"/>
    <n v="1"/>
    <n v="-8"/>
    <n v="-8"/>
    <m/>
    <m/>
    <m/>
    <n v="1"/>
    <n v="1"/>
    <m/>
    <m/>
    <n v="1"/>
    <n v="1"/>
    <m/>
    <m/>
    <m/>
    <n v="1"/>
    <n v="1"/>
    <m/>
    <m/>
    <n v="1"/>
    <n v="1"/>
    <x v="1"/>
    <m/>
    <m/>
    <x v="0"/>
    <x v="0"/>
    <x v="1"/>
    <x v="0"/>
    <m/>
    <x v="0"/>
    <x v="1"/>
    <m/>
    <x v="1"/>
    <x v="0"/>
    <n v="1"/>
  </r>
  <r>
    <m/>
    <d v="2026-02-10T00:00:00"/>
    <s v="SPC_1"/>
    <x v="11"/>
    <x v="1"/>
    <s v="NICOLAS TESSIER"/>
    <m/>
    <s v="Casting fr rail"/>
    <s v="Bilan fin mars "/>
    <m/>
    <m/>
    <m/>
    <m/>
    <m/>
    <m/>
    <s v="o"/>
    <x v="2"/>
    <s v="TBD"/>
    <n v="0"/>
    <n v="-3.7"/>
    <n v="0"/>
    <m/>
    <m/>
    <m/>
    <m/>
    <m/>
    <m/>
    <m/>
    <m/>
    <m/>
    <m/>
    <m/>
    <m/>
    <m/>
    <m/>
    <m/>
    <m/>
    <m/>
    <m/>
    <x v="1"/>
    <m/>
    <m/>
    <x v="0"/>
    <x v="0"/>
    <x v="1"/>
    <x v="1"/>
    <n v="1"/>
    <x v="0"/>
    <x v="1"/>
    <m/>
    <x v="0"/>
    <x v="0"/>
    <n v="1"/>
  </r>
  <r>
    <m/>
    <d v="2026-02-10T00:00:00"/>
    <s v="SPC_1"/>
    <x v="11"/>
    <x v="1"/>
    <s v="NICOLAS TESSIER"/>
    <m/>
    <s v="Casting Rr rail"/>
    <s v="Bilan fin mars "/>
    <m/>
    <m/>
    <m/>
    <m/>
    <m/>
    <m/>
    <s v="o"/>
    <x v="2"/>
    <s v="TBD"/>
    <n v="0"/>
    <n v="-4.3"/>
    <n v="0"/>
    <m/>
    <m/>
    <m/>
    <m/>
    <m/>
    <m/>
    <m/>
    <m/>
    <m/>
    <m/>
    <m/>
    <m/>
    <m/>
    <m/>
    <m/>
    <m/>
    <m/>
    <m/>
    <x v="1"/>
    <m/>
    <m/>
    <x v="0"/>
    <x v="0"/>
    <x v="1"/>
    <x v="1"/>
    <n v="1"/>
    <x v="0"/>
    <x v="1"/>
    <m/>
    <x v="0"/>
    <x v="0"/>
    <n v="1"/>
  </r>
  <r>
    <m/>
    <d v="2024-02-13T00:00:00"/>
    <s v="SPC_1"/>
    <x v="0"/>
    <x v="1"/>
    <m/>
    <s v="battery 1,3kWhu "/>
    <s v="battery 1,5kWhu "/>
    <s v="Battery"/>
    <m/>
    <m/>
    <s v="vincent mulot pour chiffrage masse "/>
    <m/>
    <m/>
    <m/>
    <s v="o"/>
    <x v="1"/>
    <s v="TBD"/>
    <n v="1"/>
    <n v="-7"/>
    <n v="-7"/>
    <m/>
    <m/>
    <m/>
    <n v="1"/>
    <n v="1"/>
    <m/>
    <m/>
    <n v="1"/>
    <n v="1"/>
    <m/>
    <m/>
    <m/>
    <n v="1"/>
    <n v="1"/>
    <m/>
    <m/>
    <n v="1"/>
    <n v="1"/>
    <x v="1"/>
    <m/>
    <m/>
    <x v="0"/>
    <x v="0"/>
    <x v="1"/>
    <x v="0"/>
    <m/>
    <x v="0"/>
    <x v="1"/>
    <m/>
    <x v="1"/>
    <x v="0"/>
    <n v="1"/>
  </r>
  <r>
    <m/>
    <d v="2024-02-13T00:00:00"/>
    <s v="SPC_1"/>
    <x v="4"/>
    <x v="1"/>
    <s v="FREDERIC GUINGAND"/>
    <s v="optim train AV "/>
    <s v="fr axle optimization"/>
    <s v="Train AVANT "/>
    <m/>
    <m/>
    <m/>
    <m/>
    <m/>
    <m/>
    <s v="o"/>
    <x v="0"/>
    <s v="Step1 "/>
    <n v="1"/>
    <n v="-5"/>
    <n v="-5"/>
    <m/>
    <m/>
    <m/>
    <n v="1"/>
    <n v="1"/>
    <m/>
    <m/>
    <n v="1"/>
    <n v="1"/>
    <m/>
    <m/>
    <m/>
    <n v="1"/>
    <n v="1"/>
    <m/>
    <m/>
    <n v="1"/>
    <n v="1"/>
    <x v="1"/>
    <m/>
    <m/>
    <x v="0"/>
    <x v="0"/>
    <x v="1"/>
    <x v="0"/>
    <m/>
    <x v="0"/>
    <x v="1"/>
    <m/>
    <x v="1"/>
    <x v="0"/>
    <n v="1"/>
  </r>
  <r>
    <m/>
    <d v="2026-02-25T00:00:00"/>
    <s v="SPC_1"/>
    <x v="4"/>
    <x v="1"/>
    <s v="FREDERIC GUINGAND"/>
    <s v="train AR "/>
    <s v="Rr axle optimization"/>
    <m/>
    <m/>
    <m/>
    <s v="Plus support etrier à prendre en compte. Masse ? "/>
    <m/>
    <m/>
    <m/>
    <s v="x"/>
    <x v="2"/>
    <m/>
    <n v="1"/>
    <n v="-0.5"/>
    <n v="-0.5"/>
    <m/>
    <m/>
    <m/>
    <n v="1"/>
    <n v="1"/>
    <m/>
    <m/>
    <n v="1"/>
    <n v="1"/>
    <m/>
    <m/>
    <m/>
    <n v="1"/>
    <n v="1"/>
    <m/>
    <m/>
    <n v="1"/>
    <n v="1"/>
    <x v="1"/>
    <m/>
    <m/>
    <x v="0"/>
    <x v="0"/>
    <x v="1"/>
    <x v="1"/>
    <n v="1"/>
    <x v="0"/>
    <x v="1"/>
    <m/>
    <x v="0"/>
    <x v="0"/>
    <n v="1"/>
  </r>
  <r>
    <m/>
    <d v="2024-02-13T00:00:00"/>
    <s v="SPC_1"/>
    <x v="4"/>
    <x v="1"/>
    <s v="FREDERIC GUINGAND"/>
    <s v="frein AV"/>
    <s v="FR brake downsizing"/>
    <m/>
    <m/>
    <m/>
    <s v="ref base masse '302*26/60 idem C41 (+protector) 23/01/25"/>
    <m/>
    <m/>
    <m/>
    <s v="o"/>
    <x v="0"/>
    <s v="TBD"/>
    <n v="1"/>
    <m/>
    <n v="0"/>
    <m/>
    <m/>
    <m/>
    <n v="1"/>
    <n v="1"/>
    <m/>
    <m/>
    <n v="1"/>
    <n v="1"/>
    <m/>
    <m/>
    <m/>
    <n v="1"/>
    <n v="1"/>
    <m/>
    <m/>
    <n v="1"/>
    <n v="1"/>
    <x v="1"/>
    <m/>
    <m/>
    <x v="0"/>
    <x v="0"/>
    <x v="1"/>
    <x v="0"/>
    <m/>
    <x v="0"/>
    <x v="1"/>
    <m/>
    <x v="1"/>
    <x v="0"/>
    <n v="1"/>
  </r>
  <r>
    <m/>
    <d v="2024-02-13T00:00:00"/>
    <s v="SPC_1"/>
    <x v="4"/>
    <x v="1"/>
    <s v="FREDERIC GUINGAND"/>
    <s v="suppression du bateur "/>
    <s v=" Remove helmoltz resonator"/>
    <s v="Train AR"/>
    <m/>
    <m/>
    <s v="sur traverse deformable "/>
    <m/>
    <m/>
    <m/>
    <s v="?"/>
    <x v="0"/>
    <s v="Step1 "/>
    <n v="1"/>
    <n v="1.3"/>
    <n v="1.3"/>
    <m/>
    <m/>
    <m/>
    <n v="1"/>
    <n v="1"/>
    <m/>
    <m/>
    <n v="1"/>
    <n v="1"/>
    <m/>
    <m/>
    <m/>
    <n v="1"/>
    <n v="1"/>
    <m/>
    <m/>
    <n v="1"/>
    <n v="1"/>
    <x v="1"/>
    <m/>
    <m/>
    <x v="0"/>
    <x v="0"/>
    <x v="1"/>
    <x v="0"/>
    <m/>
    <x v="0"/>
    <x v="1"/>
    <m/>
    <x v="1"/>
    <x v="0"/>
    <n v="1"/>
  </r>
  <r>
    <m/>
    <d v="2024-02-13T00:00:00"/>
    <s v="SPC_1"/>
    <x v="4"/>
    <x v="1"/>
    <s v="FREDERIC GUINGAND"/>
    <s v="ajustement taille element porteur "/>
    <s v="optimization wheel carriers"/>
    <s v="Train AR"/>
    <m/>
    <m/>
    <m/>
    <m/>
    <m/>
    <m/>
    <s v="o"/>
    <x v="1"/>
    <s v="Step1 "/>
    <n v="1"/>
    <n v="-0.6"/>
    <n v="-0.6"/>
    <m/>
    <m/>
    <m/>
    <n v="1"/>
    <n v="1"/>
    <m/>
    <m/>
    <n v="1"/>
    <n v="1"/>
    <m/>
    <m/>
    <m/>
    <n v="1"/>
    <n v="1"/>
    <m/>
    <m/>
    <n v="1"/>
    <n v="1"/>
    <x v="1"/>
    <m/>
    <m/>
    <x v="0"/>
    <x v="0"/>
    <x v="1"/>
    <x v="0"/>
    <m/>
    <x v="0"/>
    <x v="1"/>
    <m/>
    <x v="1"/>
    <x v="0"/>
    <n v="1"/>
  </r>
  <r>
    <m/>
    <d v="2024-02-13T00:00:00"/>
    <s v="SPC_1"/>
    <x v="4"/>
    <x v="1"/>
    <s v="FREDERIC GUINGAND"/>
    <s v="train AV "/>
    <s v="fr axle optimization"/>
    <m/>
    <m/>
    <m/>
    <s v="risque PPM braking  preparer QCDP"/>
    <m/>
    <m/>
    <m/>
    <s v="x"/>
    <x v="2"/>
    <m/>
    <n v="1"/>
    <n v="-0.8"/>
    <n v="-0.8"/>
    <m/>
    <m/>
    <m/>
    <n v="1"/>
    <n v="1"/>
    <m/>
    <m/>
    <n v="1"/>
    <n v="1"/>
    <m/>
    <m/>
    <m/>
    <n v="1"/>
    <n v="1"/>
    <m/>
    <m/>
    <n v="1"/>
    <n v="1"/>
    <x v="1"/>
    <m/>
    <m/>
    <x v="0"/>
    <x v="0"/>
    <x v="1"/>
    <x v="1"/>
    <n v="1"/>
    <x v="0"/>
    <x v="1"/>
    <m/>
    <x v="0"/>
    <x v="0"/>
    <n v="1"/>
  </r>
  <r>
    <m/>
    <d v="2024-02-13T00:00:00"/>
    <s v="SPC_1"/>
    <x v="0"/>
    <x v="1"/>
    <s v="FREDERIC GUINGAND"/>
    <s v="205 55 R19 (C5 aircross) P54 =&gt; 91,6"/>
    <s v="205 55 R19 (C5 aircross) P54 =&gt; 91,6"/>
    <m/>
    <m/>
    <m/>
    <m/>
    <m/>
    <m/>
    <m/>
    <s v="o"/>
    <x v="0"/>
    <s v="TBD"/>
    <n v="1"/>
    <m/>
    <n v="0"/>
    <m/>
    <m/>
    <m/>
    <n v="1"/>
    <n v="1"/>
    <m/>
    <m/>
    <n v="1"/>
    <n v="1"/>
    <m/>
    <m/>
    <m/>
    <n v="1"/>
    <n v="1"/>
    <m/>
    <m/>
    <n v="1"/>
    <n v="1"/>
    <x v="1"/>
    <m/>
    <m/>
    <x v="0"/>
    <x v="0"/>
    <x v="1"/>
    <x v="0"/>
    <m/>
    <x v="0"/>
    <x v="1"/>
    <m/>
    <x v="1"/>
    <x v="0"/>
    <n v="1"/>
  </r>
  <r>
    <m/>
    <d v="2024-02-13T00:00:00"/>
    <s v="SPC_1"/>
    <x v="0"/>
    <x v="1"/>
    <s v="FREDERIC GUINGAND"/>
    <s v="roue structurel P1X "/>
    <s v="structural wheel "/>
    <m/>
    <m/>
    <m/>
    <s v="Faire noueau bilan masse roue SP2 =&gt; CW11"/>
    <m/>
    <m/>
    <m/>
    <s v="o"/>
    <x v="0"/>
    <s v="Step1 "/>
    <n v="1"/>
    <m/>
    <n v="0"/>
    <m/>
    <m/>
    <m/>
    <n v="1"/>
    <n v="1"/>
    <m/>
    <m/>
    <n v="1"/>
    <n v="1"/>
    <m/>
    <m/>
    <m/>
    <n v="1"/>
    <n v="1"/>
    <m/>
    <m/>
    <n v="1"/>
    <n v="1"/>
    <x v="1"/>
    <m/>
    <m/>
    <x v="0"/>
    <x v="0"/>
    <x v="1"/>
    <x v="0"/>
    <m/>
    <x v="0"/>
    <x v="1"/>
    <m/>
    <x v="1"/>
    <x v="0"/>
    <n v="1"/>
  </r>
  <r>
    <m/>
    <d v="2024-02-13T00:00:00"/>
    <s v="SPC_1"/>
    <x v="4"/>
    <x v="1"/>
    <s v="FREDERIC GUINGAND"/>
    <s v="Support moteur "/>
    <s v="engine mount"/>
    <s v="adaptation "/>
    <m/>
    <m/>
    <s v="Verifier passage support mot C41 mhev, retour metier =&gt; CW11 "/>
    <m/>
    <m/>
    <m/>
    <s v="o"/>
    <x v="0"/>
    <s v="Step1 "/>
    <n v="0.4"/>
    <n v="-3.3"/>
    <n v="-1.32"/>
    <m/>
    <m/>
    <m/>
    <n v="1"/>
    <n v="1"/>
    <m/>
    <m/>
    <n v="1"/>
    <n v="1"/>
    <m/>
    <m/>
    <m/>
    <n v="1"/>
    <n v="1"/>
    <m/>
    <m/>
    <n v="1"/>
    <n v="1"/>
    <x v="1"/>
    <m/>
    <m/>
    <x v="0"/>
    <x v="0"/>
    <x v="1"/>
    <x v="0"/>
    <m/>
    <x v="0"/>
    <x v="1"/>
    <m/>
    <x v="1"/>
    <x v="0"/>
    <n v="1"/>
  </r>
  <r>
    <m/>
    <d v="2024-02-13T00:00:00"/>
    <s v="SPC_1"/>
    <x v="4"/>
    <x v="1"/>
    <s v="FREDERIC GUINGAND"/>
    <s v="direction passage hight =&gt; mid "/>
    <s v="steering hight =&gt; mid "/>
    <s v="DAE"/>
    <m/>
    <m/>
    <s v="nouveau passage CW11 pour banquer ?"/>
    <m/>
    <m/>
    <m/>
    <s v="o"/>
    <x v="1"/>
    <s v="Step1 "/>
    <n v="1"/>
    <n v="-0.9"/>
    <n v="-0.9"/>
    <m/>
    <m/>
    <m/>
    <n v="1"/>
    <n v="1"/>
    <m/>
    <m/>
    <n v="1"/>
    <n v="1"/>
    <m/>
    <m/>
    <m/>
    <n v="1"/>
    <n v="1"/>
    <m/>
    <m/>
    <n v="1"/>
    <n v="1"/>
    <x v="1"/>
    <m/>
    <m/>
    <x v="0"/>
    <x v="0"/>
    <x v="1"/>
    <x v="0"/>
    <m/>
    <x v="0"/>
    <x v="1"/>
    <m/>
    <x v="1"/>
    <x v="0"/>
    <n v="1"/>
  </r>
  <r>
    <m/>
    <d v="2024-02-13T00:00:00"/>
    <s v="SPC_1"/>
    <x v="0"/>
    <x v="1"/>
    <m/>
    <s v="plancher AV AR + tunnel type C41 "/>
    <s v="fr et Rr floor like C41 "/>
    <m/>
    <m/>
    <m/>
    <m/>
    <m/>
    <m/>
    <m/>
    <s v="o"/>
    <x v="0"/>
    <s v="TBD"/>
    <n v="1"/>
    <n v="-25"/>
    <n v="-25"/>
    <m/>
    <m/>
    <m/>
    <n v="1"/>
    <n v="1"/>
    <m/>
    <m/>
    <n v="1"/>
    <n v="1"/>
    <m/>
    <m/>
    <m/>
    <n v="1"/>
    <n v="1"/>
    <m/>
    <m/>
    <n v="1"/>
    <n v="1"/>
    <x v="1"/>
    <m/>
    <m/>
    <x v="0"/>
    <x v="0"/>
    <x v="1"/>
    <x v="0"/>
    <m/>
    <x v="0"/>
    <x v="1"/>
    <m/>
    <x v="1"/>
    <x v="0"/>
    <n v="1"/>
  </r>
  <r>
    <m/>
    <d v="2024-02-13T00:00:00"/>
    <s v="SPC_1"/>
    <x v="0"/>
    <x v="1"/>
    <m/>
    <s v="traverse sous battery non cumulable avec la ligne 228 "/>
    <s v="Front floor : cross under cell to body"/>
    <m/>
    <m/>
    <m/>
    <m/>
    <m/>
    <m/>
    <m/>
    <s v="o"/>
    <x v="0"/>
    <s v="Step1 "/>
    <n v="0.5"/>
    <n v="-1.8"/>
    <n v="-0.9"/>
    <m/>
    <m/>
    <m/>
    <n v="1"/>
    <n v="1"/>
    <m/>
    <m/>
    <n v="1"/>
    <n v="1"/>
    <m/>
    <m/>
    <m/>
    <n v="1"/>
    <n v="1"/>
    <m/>
    <m/>
    <n v="1"/>
    <n v="1"/>
    <x v="1"/>
    <m/>
    <m/>
    <x v="0"/>
    <x v="0"/>
    <x v="1"/>
    <x v="0"/>
    <m/>
    <x v="0"/>
    <x v="1"/>
    <m/>
    <x v="1"/>
    <x v="0"/>
    <n v="1"/>
  </r>
  <r>
    <m/>
    <d v="2024-02-13T00:00:00"/>
    <s v="SPC_1"/>
    <x v="0"/>
    <x v="1"/>
    <m/>
    <s v="brancard detarage ? Verif possibilité "/>
    <s v="optimization Fr rail"/>
    <m/>
    <m/>
    <m/>
    <s v="perte de gain à cause de l'allongement"/>
    <m/>
    <m/>
    <m/>
    <s v="o"/>
    <x v="0"/>
    <s v="TBD"/>
    <n v="1"/>
    <n v="-2"/>
    <n v="-2"/>
    <m/>
    <m/>
    <m/>
    <n v="1"/>
    <n v="1"/>
    <m/>
    <m/>
    <n v="1"/>
    <n v="1"/>
    <m/>
    <m/>
    <m/>
    <n v="1"/>
    <n v="1"/>
    <m/>
    <m/>
    <n v="1"/>
    <n v="1"/>
    <x v="1"/>
    <m/>
    <m/>
    <x v="0"/>
    <x v="0"/>
    <x v="1"/>
    <x v="0"/>
    <m/>
    <x v="0"/>
    <x v="1"/>
    <m/>
    <x v="1"/>
    <x v="0"/>
    <n v="1"/>
  </r>
  <r>
    <m/>
    <d v="2024-02-13T00:00:00"/>
    <s v="SPC_1"/>
    <x v="0"/>
    <x v="1"/>
    <m/>
    <s v="SAC AV remove inf"/>
    <s v="remove low crash beam"/>
    <m/>
    <m/>
    <m/>
    <m/>
    <m/>
    <m/>
    <m/>
    <s v="?"/>
    <x v="0"/>
    <s v="step2"/>
    <n v="1"/>
    <n v="-3"/>
    <n v="-3"/>
    <m/>
    <m/>
    <m/>
    <n v="1"/>
    <n v="1"/>
    <m/>
    <m/>
    <n v="1"/>
    <n v="1"/>
    <m/>
    <m/>
    <m/>
    <n v="1"/>
    <n v="1"/>
    <m/>
    <m/>
    <n v="1"/>
    <n v="1"/>
    <x v="1"/>
    <m/>
    <m/>
    <x v="0"/>
    <x v="0"/>
    <x v="1"/>
    <x v="0"/>
    <m/>
    <x v="0"/>
    <x v="1"/>
    <m/>
    <x v="1"/>
    <x v="0"/>
    <n v="1"/>
  </r>
  <r>
    <m/>
    <d v="2024-02-13T00:00:00"/>
    <s v="SPC_1"/>
    <x v="0"/>
    <x v="1"/>
    <s v="NICOLAS TESSIER"/>
    <s v="plancher  AV"/>
    <s v="Front floor : specific design"/>
    <m/>
    <m/>
    <m/>
    <m/>
    <m/>
    <m/>
    <m/>
    <s v="?"/>
    <x v="0"/>
    <s v="step2"/>
    <n v="1"/>
    <n v="-8.4"/>
    <n v="-8.4"/>
    <m/>
    <m/>
    <m/>
    <n v="1"/>
    <n v="1"/>
    <m/>
    <m/>
    <n v="1"/>
    <n v="1"/>
    <m/>
    <m/>
    <m/>
    <n v="1"/>
    <n v="1"/>
    <m/>
    <m/>
    <n v="1"/>
    <n v="1"/>
    <x v="1"/>
    <m/>
    <m/>
    <x v="0"/>
    <x v="0"/>
    <x v="1"/>
    <x v="0"/>
    <m/>
    <x v="0"/>
    <x v="1"/>
    <m/>
    <x v="1"/>
    <x v="0"/>
    <n v="1"/>
  </r>
  <r>
    <m/>
    <d v="2024-02-13T00:00:00"/>
    <s v="SPC_1"/>
    <x v="0"/>
    <x v="1"/>
    <m/>
    <s v="plancher  AV"/>
    <s v="remove rr part fr floor "/>
    <m/>
    <m/>
    <m/>
    <s v="reduction longeur plancher sur la partie AR de travers de train "/>
    <m/>
    <m/>
    <m/>
    <s v="?"/>
    <x v="0"/>
    <s v="step2"/>
    <n v="0.25"/>
    <n v="-2.7"/>
    <n v="-0.67500000000000004"/>
    <m/>
    <m/>
    <m/>
    <n v="1"/>
    <n v="1"/>
    <m/>
    <m/>
    <n v="1"/>
    <n v="1"/>
    <m/>
    <m/>
    <m/>
    <n v="1"/>
    <n v="1"/>
    <m/>
    <m/>
    <n v="1"/>
    <n v="1"/>
    <x v="1"/>
    <m/>
    <m/>
    <x v="0"/>
    <x v="0"/>
    <x v="1"/>
    <x v="0"/>
    <m/>
    <x v="0"/>
    <x v="1"/>
    <m/>
    <x v="1"/>
    <x v="0"/>
    <n v="1"/>
  </r>
  <r>
    <m/>
    <d v="2024-02-13T00:00:00"/>
    <s v="SPC_1"/>
    <x v="0"/>
    <x v="1"/>
    <s v="NICOLAS TESSIER"/>
    <s v="passage de roue AV "/>
    <s v="Front unit"/>
    <m/>
    <m/>
    <m/>
    <m/>
    <m/>
    <m/>
    <m/>
    <s v="o"/>
    <x v="0"/>
    <s v="Step1 "/>
    <n v="1"/>
    <n v="1.6"/>
    <n v="1.6"/>
    <m/>
    <m/>
    <m/>
    <n v="1"/>
    <n v="1"/>
    <m/>
    <m/>
    <n v="1"/>
    <n v="1"/>
    <m/>
    <m/>
    <m/>
    <n v="1"/>
    <n v="1"/>
    <m/>
    <m/>
    <n v="1"/>
    <n v="1"/>
    <x v="1"/>
    <m/>
    <m/>
    <x v="0"/>
    <x v="0"/>
    <x v="1"/>
    <x v="0"/>
    <m/>
    <x v="0"/>
    <x v="1"/>
    <m/>
    <x v="1"/>
    <x v="0"/>
    <n v="1"/>
  </r>
  <r>
    <m/>
    <d v="2024-02-13T00:00:00"/>
    <s v="SPC_1"/>
    <x v="0"/>
    <x v="1"/>
    <s v="NICOLAS TESSIER"/>
    <s v="passage de roue AR "/>
    <s v="RR wheel arch "/>
    <m/>
    <m/>
    <m/>
    <m/>
    <m/>
    <m/>
    <m/>
    <s v="o"/>
    <x v="0"/>
    <s v="Step1 "/>
    <n v="0.25"/>
    <n v="-0.75"/>
    <n v="-0.1875"/>
    <m/>
    <m/>
    <m/>
    <n v="1"/>
    <n v="1"/>
    <m/>
    <m/>
    <n v="1"/>
    <n v="1"/>
    <m/>
    <m/>
    <m/>
    <n v="1"/>
    <n v="1"/>
    <m/>
    <m/>
    <n v="1"/>
    <n v="1"/>
    <x v="1"/>
    <m/>
    <m/>
    <x v="0"/>
    <x v="0"/>
    <x v="1"/>
    <x v="0"/>
    <m/>
    <x v="0"/>
    <x v="1"/>
    <m/>
    <x v="1"/>
    <x v="0"/>
    <n v="1"/>
  </r>
  <r>
    <m/>
    <d v="2024-02-13T00:00:00"/>
    <s v="SPC_1"/>
    <x v="0"/>
    <x v="1"/>
    <s v="NICOLAS TESSIER"/>
    <s v="longeronnet "/>
    <s v="SMALL SIDE RAIL"/>
    <m/>
    <m/>
    <m/>
    <s v="Attention repar AR doit etre idem BEV/xHEV"/>
    <m/>
    <m/>
    <m/>
    <s v="o"/>
    <x v="0"/>
    <s v="Step1 "/>
    <n v="0.25"/>
    <n v="-1"/>
    <n v="-0.25"/>
    <m/>
    <m/>
    <m/>
    <n v="1"/>
    <n v="1"/>
    <m/>
    <m/>
    <n v="1"/>
    <n v="1"/>
    <m/>
    <m/>
    <m/>
    <n v="1"/>
    <n v="1"/>
    <m/>
    <m/>
    <n v="1"/>
    <n v="1"/>
    <x v="1"/>
    <m/>
    <m/>
    <x v="0"/>
    <x v="0"/>
    <x v="1"/>
    <x v="0"/>
    <m/>
    <x v="0"/>
    <x v="1"/>
    <m/>
    <x v="1"/>
    <x v="0"/>
    <n v="1"/>
  </r>
  <r>
    <m/>
    <d v="2024-02-13T00:00:00"/>
    <s v="SPC_1"/>
    <x v="0"/>
    <x v="1"/>
    <m/>
    <s v="tablier ? Suivant scenario choc -*5kg / C41  "/>
    <s v="COWL PANEL like C41 "/>
    <m/>
    <m/>
    <m/>
    <m/>
    <m/>
    <m/>
    <m/>
    <s v="o"/>
    <x v="0"/>
    <s v="Step1 "/>
    <n v="1"/>
    <m/>
    <n v="0"/>
    <m/>
    <m/>
    <m/>
    <n v="1"/>
    <n v="1"/>
    <m/>
    <m/>
    <n v="1"/>
    <n v="1"/>
    <m/>
    <m/>
    <m/>
    <n v="1"/>
    <n v="1"/>
    <m/>
    <m/>
    <n v="1"/>
    <n v="1"/>
    <x v="1"/>
    <m/>
    <m/>
    <x v="0"/>
    <x v="0"/>
    <x v="1"/>
    <x v="0"/>
    <m/>
    <x v="0"/>
    <x v="1"/>
    <m/>
    <x v="1"/>
    <x v="0"/>
    <n v="1"/>
  </r>
  <r>
    <m/>
    <d v="2024-02-13T00:00:00"/>
    <s v="SPC_1"/>
    <x v="0"/>
    <x v="1"/>
    <s v="NICOLAS TESSIER"/>
    <s v="longeron + renfort "/>
    <s v="inner sill"/>
    <m/>
    <m/>
    <m/>
    <s v="delta entre suppression renfort ( et ajout de deux renforts specifiques xHEV (0,3 par piece*4)"/>
    <m/>
    <m/>
    <m/>
    <s v="o"/>
    <x v="0"/>
    <s v="Step1 "/>
    <n v="1"/>
    <n v="-21.56"/>
    <n v="-21.56"/>
    <m/>
    <m/>
    <m/>
    <n v="1"/>
    <n v="1"/>
    <m/>
    <m/>
    <n v="1"/>
    <n v="1"/>
    <m/>
    <m/>
    <m/>
    <n v="1"/>
    <n v="1"/>
    <m/>
    <m/>
    <n v="1"/>
    <n v="1"/>
    <x v="1"/>
    <m/>
    <m/>
    <x v="0"/>
    <x v="0"/>
    <x v="1"/>
    <x v="0"/>
    <m/>
    <x v="0"/>
    <x v="1"/>
    <m/>
    <x v="1"/>
    <x v="0"/>
    <n v="1"/>
  </r>
  <r>
    <m/>
    <d v="2025-07-01T00:00:00"/>
    <s v="SPC_1"/>
    <x v="4"/>
    <x v="0"/>
    <s v="FREDERIC GUINGAND"/>
    <s v="roue de 18 &quot; acier fluoformé"/>
    <s v="Steel wheel 18&quot; flowformed "/>
    <m/>
    <m/>
    <m/>
    <m/>
    <m/>
    <m/>
    <m/>
    <s v="o"/>
    <x v="0"/>
    <s v="Step1 "/>
    <n v="0.5"/>
    <n v="-2"/>
    <n v="-1"/>
    <m/>
    <m/>
    <m/>
    <n v="1"/>
    <n v="1"/>
    <m/>
    <m/>
    <n v="1"/>
    <n v="1"/>
    <m/>
    <m/>
    <m/>
    <n v="1"/>
    <n v="1"/>
    <m/>
    <m/>
    <n v="1"/>
    <n v="1"/>
    <x v="1"/>
    <m/>
    <m/>
    <x v="0"/>
    <x v="0"/>
    <x v="1"/>
    <x v="0"/>
    <m/>
    <x v="0"/>
    <x v="1"/>
    <m/>
    <x v="1"/>
    <x v="0"/>
    <n v="1"/>
  </r>
  <r>
    <m/>
    <d v="2024-02-13T00:00:00"/>
    <s v="SPC_1"/>
    <x v="0"/>
    <x v="0"/>
    <s v="NICOLAS TESSIER"/>
    <s v="ep vitarge lat AR"/>
    <s v="FIXED QUARTER LIGHT change thickness"/>
    <m/>
    <m/>
    <m/>
    <m/>
    <m/>
    <m/>
    <m/>
    <s v="o"/>
    <x v="0"/>
    <s v="Step1 "/>
    <n v="1"/>
    <m/>
    <n v="0"/>
    <m/>
    <m/>
    <m/>
    <n v="1"/>
    <n v="1"/>
    <m/>
    <m/>
    <n v="1"/>
    <n v="1"/>
    <m/>
    <m/>
    <m/>
    <n v="1"/>
    <n v="1"/>
    <m/>
    <m/>
    <n v="1"/>
    <n v="1"/>
    <x v="1"/>
    <m/>
    <m/>
    <x v="0"/>
    <x v="0"/>
    <x v="1"/>
    <x v="0"/>
    <m/>
    <x v="0"/>
    <x v="1"/>
    <m/>
    <x v="1"/>
    <x v="0"/>
    <n v="1"/>
  </r>
  <r>
    <m/>
    <d v="2025-06-24T00:00:00"/>
    <s v="SPC_1"/>
    <x v="0"/>
    <x v="0"/>
    <m/>
    <s v="tirant sous caisse (type T76) pour revenir 0,92mrd (status 0,62mrd)"/>
    <s v="underbody reinforcement like T76"/>
    <m/>
    <m/>
    <m/>
    <m/>
    <m/>
    <m/>
    <m/>
    <s v="o"/>
    <x v="0"/>
    <s v="Step1 "/>
    <n v="1"/>
    <n v="17"/>
    <n v="17"/>
    <m/>
    <m/>
    <m/>
    <n v="1"/>
    <n v="1"/>
    <m/>
    <m/>
    <n v="1"/>
    <n v="1"/>
    <m/>
    <m/>
    <m/>
    <n v="1"/>
    <n v="1"/>
    <m/>
    <m/>
    <n v="1"/>
    <n v="1"/>
    <x v="1"/>
    <m/>
    <m/>
    <x v="0"/>
    <x v="0"/>
    <x v="1"/>
    <x v="0"/>
    <m/>
    <x v="0"/>
    <x v="1"/>
    <m/>
    <x v="1"/>
    <x v="0"/>
    <n v="1"/>
  </r>
  <r>
    <m/>
    <d v="2024-02-13T00:00:00"/>
    <s v="SPC_1"/>
    <x v="0"/>
    <x v="0"/>
    <s v="NICOLAS TESSIER"/>
    <s v="ep vitrage AV non feuilleté passage en 3,5 AV "/>
    <s v="LAMINATED WINDSCREEN change thickness"/>
    <m/>
    <m/>
    <m/>
    <m/>
    <m/>
    <m/>
    <m/>
    <s v="o"/>
    <x v="0"/>
    <s v="Step1 "/>
    <n v="1"/>
    <m/>
    <n v="0"/>
    <m/>
    <m/>
    <m/>
    <n v="1"/>
    <n v="1"/>
    <m/>
    <m/>
    <n v="1"/>
    <n v="1"/>
    <m/>
    <m/>
    <m/>
    <n v="1"/>
    <n v="1"/>
    <m/>
    <m/>
    <n v="1"/>
    <n v="1"/>
    <x v="1"/>
    <m/>
    <m/>
    <x v="0"/>
    <x v="0"/>
    <x v="1"/>
    <x v="0"/>
    <m/>
    <x v="0"/>
    <x v="1"/>
    <m/>
    <x v="1"/>
    <x v="0"/>
    <n v="1"/>
  </r>
  <r>
    <m/>
    <d v="2024-02-13T00:00:00"/>
    <s v="SPC_1"/>
    <x v="0"/>
    <x v="0"/>
    <s v="NICOLAS TESSIER"/>
    <s v="downsizing renfort porte AV "/>
    <s v="downsizing REINFORCER door"/>
    <m/>
    <m/>
    <m/>
    <m/>
    <m/>
    <m/>
    <m/>
    <s v="o"/>
    <x v="0"/>
    <s v="Step1 "/>
    <n v="1"/>
    <m/>
    <n v="0"/>
    <m/>
    <m/>
    <m/>
    <n v="1"/>
    <n v="1"/>
    <m/>
    <m/>
    <n v="1"/>
    <n v="1"/>
    <m/>
    <m/>
    <m/>
    <n v="1"/>
    <n v="1"/>
    <m/>
    <m/>
    <n v="1"/>
    <n v="1"/>
    <x v="1"/>
    <m/>
    <m/>
    <x v="0"/>
    <x v="0"/>
    <x v="1"/>
    <x v="0"/>
    <m/>
    <x v="0"/>
    <x v="1"/>
    <m/>
    <x v="1"/>
    <x v="0"/>
    <n v="1"/>
  </r>
  <r>
    <m/>
    <d v="2024-02-13T00:00:00"/>
    <s v="SPC_1"/>
    <x v="0"/>
    <x v="0"/>
    <s v="NICOLAS TESSIER"/>
    <s v="Niv 0 type P64 impact sur STALS "/>
    <s v="Lev 0 =&gt; impact"/>
    <m/>
    <m/>
    <m/>
    <m/>
    <m/>
    <m/>
    <m/>
    <s v="o"/>
    <x v="0"/>
    <s v="TBD"/>
    <n v="1"/>
    <m/>
    <n v="0"/>
    <m/>
    <m/>
    <m/>
    <n v="1"/>
    <n v="1"/>
    <m/>
    <m/>
    <n v="1"/>
    <n v="1"/>
    <m/>
    <m/>
    <m/>
    <n v="1"/>
    <n v="1"/>
    <m/>
    <m/>
    <n v="1"/>
    <n v="1"/>
    <x v="1"/>
    <m/>
    <m/>
    <x v="0"/>
    <x v="0"/>
    <x v="1"/>
    <x v="0"/>
    <m/>
    <x v="0"/>
    <x v="1"/>
    <m/>
    <x v="1"/>
    <x v="0"/>
    <n v="1"/>
  </r>
  <r>
    <m/>
    <d v="2024-02-13T00:00:00"/>
    <s v="SPC_1"/>
    <x v="0"/>
    <x v="0"/>
    <s v="NICOLAS TESSIER"/>
    <s v="decli acoustique à faire type CMP et DPE P1H et P3S "/>
    <s v="ACOUSTICS"/>
    <m/>
    <m/>
    <m/>
    <m/>
    <m/>
    <m/>
    <m/>
    <s v="o"/>
    <x v="0"/>
    <s v="TBD"/>
    <n v="1"/>
    <m/>
    <n v="0"/>
    <m/>
    <m/>
    <m/>
    <n v="1"/>
    <n v="1"/>
    <m/>
    <m/>
    <n v="1"/>
    <n v="1"/>
    <m/>
    <m/>
    <m/>
    <n v="1"/>
    <n v="1"/>
    <m/>
    <m/>
    <n v="1"/>
    <n v="1"/>
    <x v="1"/>
    <m/>
    <m/>
    <x v="0"/>
    <x v="0"/>
    <x v="1"/>
    <x v="0"/>
    <m/>
    <x v="0"/>
    <x v="1"/>
    <m/>
    <x v="1"/>
    <x v="0"/>
    <n v="1"/>
  </r>
  <r>
    <m/>
    <d v="2024-02-13T00:00:00"/>
    <s v="SPC_1"/>
    <x v="0"/>
    <x v="1"/>
    <m/>
    <s v="reservoir SP2 =45L SP1 40L"/>
    <s v="Fuel tank =&gt; 45 L for SP2 &amp; 40 L for SP1"/>
    <s v="adaptation "/>
    <m/>
    <m/>
    <m/>
    <m/>
    <m/>
    <m/>
    <s v="o"/>
    <x v="1"/>
    <s v="TBD"/>
    <n v="1"/>
    <n v="-6"/>
    <n v="-6"/>
    <m/>
    <m/>
    <m/>
    <n v="1"/>
    <n v="1"/>
    <m/>
    <m/>
    <n v="1"/>
    <n v="1"/>
    <m/>
    <m/>
    <m/>
    <n v="1"/>
    <n v="1"/>
    <m/>
    <m/>
    <n v="1"/>
    <n v="1"/>
    <x v="1"/>
    <m/>
    <m/>
    <x v="0"/>
    <x v="0"/>
    <x v="1"/>
    <x v="0"/>
    <m/>
    <x v="0"/>
    <x v="1"/>
    <m/>
    <x v="1"/>
    <x v="0"/>
    <n v="1"/>
  </r>
  <r>
    <m/>
    <d v="2024-02-13T00:00:00"/>
    <s v="SPC_1"/>
    <x v="10"/>
    <x v="1"/>
    <s v="SYLVAIN MAGDELAINE"/>
    <s v="facade de refroidissement (cassette)  etude à faire "/>
    <s v="FR face "/>
    <m/>
    <m/>
    <m/>
    <m/>
    <m/>
    <m/>
    <m/>
    <s v="o"/>
    <x v="0"/>
    <s v="TBD"/>
    <n v="1"/>
    <m/>
    <n v="0"/>
    <m/>
    <m/>
    <m/>
    <n v="1"/>
    <n v="1"/>
    <m/>
    <m/>
    <n v="1"/>
    <n v="1"/>
    <m/>
    <m/>
    <m/>
    <n v="1"/>
    <n v="1"/>
    <m/>
    <m/>
    <n v="1"/>
    <n v="1"/>
    <x v="1"/>
    <m/>
    <m/>
    <x v="0"/>
    <x v="0"/>
    <x v="1"/>
    <x v="0"/>
    <m/>
    <x v="0"/>
    <x v="1"/>
    <m/>
    <x v="1"/>
    <x v="0"/>
    <n v="1"/>
  </r>
  <r>
    <m/>
    <d v="2024-02-13T00:00:00"/>
    <s v="SPC_1"/>
    <x v="8"/>
    <x v="1"/>
    <s v="WILFRIED DESAUNAY"/>
    <s v="fx HV en 400V blindé gain masse à determiner "/>
    <s v="harness 400v =&gt; saving mass ?"/>
    <m/>
    <m/>
    <m/>
    <m/>
    <m/>
    <m/>
    <m/>
    <s v="o"/>
    <x v="0"/>
    <s v="TBD"/>
    <n v="1"/>
    <m/>
    <n v="0"/>
    <m/>
    <m/>
    <m/>
    <n v="1"/>
    <n v="1"/>
    <m/>
    <m/>
    <n v="1"/>
    <n v="1"/>
    <m/>
    <m/>
    <m/>
    <n v="1"/>
    <n v="1"/>
    <m/>
    <m/>
    <n v="1"/>
    <n v="1"/>
    <x v="1"/>
    <m/>
    <m/>
    <x v="0"/>
    <x v="0"/>
    <x v="1"/>
    <x v="0"/>
    <m/>
    <x v="0"/>
    <x v="1"/>
    <m/>
    <x v="1"/>
    <x v="0"/>
    <n v="1"/>
  </r>
  <r>
    <m/>
    <d v="2024-02-13T00:00:00"/>
    <s v="SPC_1"/>
    <x v="8"/>
    <x v="1"/>
    <s v="WILFRIED DESAUNAY"/>
    <s v="DCDC plus petit à iso puissance . "/>
    <s v="DCDC smaller"/>
    <m/>
    <m/>
    <m/>
    <m/>
    <m/>
    <m/>
    <m/>
    <s v="o"/>
    <x v="0"/>
    <s v="TBD"/>
    <n v="1"/>
    <m/>
    <n v="0"/>
    <m/>
    <m/>
    <m/>
    <n v="1"/>
    <n v="1"/>
    <m/>
    <m/>
    <n v="1"/>
    <n v="1"/>
    <m/>
    <m/>
    <m/>
    <n v="1"/>
    <n v="1"/>
    <m/>
    <m/>
    <n v="1"/>
    <n v="1"/>
    <x v="1"/>
    <m/>
    <m/>
    <x v="0"/>
    <x v="0"/>
    <x v="1"/>
    <x v="0"/>
    <m/>
    <x v="0"/>
    <x v="1"/>
    <m/>
    <x v="1"/>
    <x v="0"/>
    <n v="1"/>
  </r>
  <r>
    <m/>
    <d v="2024-02-13T00:00:00"/>
    <s v="SPC_1"/>
    <x v="0"/>
    <x v="1"/>
    <m/>
    <s v="Scenario 1 : 1,3 kWh dérivée d’une batterie 2 kWh dédiée"/>
    <m/>
    <m/>
    <m/>
    <m/>
    <m/>
    <m/>
    <m/>
    <m/>
    <s v="?"/>
    <x v="0"/>
    <s v="TBD"/>
    <n v="1"/>
    <n v="4"/>
    <n v="4"/>
    <m/>
    <m/>
    <m/>
    <n v="1"/>
    <n v="1"/>
    <m/>
    <m/>
    <n v="1"/>
    <n v="1"/>
    <m/>
    <m/>
    <m/>
    <n v="1"/>
    <n v="1"/>
    <m/>
    <m/>
    <n v="1"/>
    <n v="1"/>
    <x v="1"/>
    <m/>
    <m/>
    <x v="0"/>
    <x v="0"/>
    <x v="1"/>
    <x v="0"/>
    <m/>
    <x v="0"/>
    <x v="1"/>
    <m/>
    <x v="1"/>
    <x v="0"/>
    <n v="1"/>
  </r>
  <r>
    <m/>
    <d v="2024-02-13T00:00:00"/>
    <s v="SPC_1"/>
    <x v="8"/>
    <x v="1"/>
    <s v="VINCENT MULOT"/>
    <s v="EP6 atmo EDCT 50kW ? Vincent mulot "/>
    <s v="EP6 atmo with EDVT 50 kw"/>
    <m/>
    <m/>
    <m/>
    <m/>
    <m/>
    <m/>
    <m/>
    <s v="o"/>
    <x v="0"/>
    <s v="TBD"/>
    <n v="1"/>
    <m/>
    <n v="0"/>
    <m/>
    <m/>
    <m/>
    <n v="1"/>
    <n v="1"/>
    <m/>
    <m/>
    <n v="1"/>
    <n v="1"/>
    <m/>
    <m/>
    <m/>
    <n v="1"/>
    <n v="1"/>
    <m/>
    <m/>
    <n v="1"/>
    <n v="1"/>
    <x v="1"/>
    <m/>
    <m/>
    <x v="0"/>
    <x v="0"/>
    <x v="1"/>
    <x v="0"/>
    <m/>
    <x v="0"/>
    <x v="1"/>
    <m/>
    <x v="1"/>
    <x v="0"/>
    <n v="1"/>
  </r>
  <r>
    <m/>
    <d v="2024-03-17T00:00:00"/>
    <s v="SPC_1"/>
    <x v="10"/>
    <x v="1"/>
    <s v="SYLVAIN MAGDELAINE"/>
    <m/>
    <s v="Cooling battery : air concept like competition (Toyota, kia)"/>
    <m/>
    <m/>
    <m/>
    <s v="step 2 "/>
    <m/>
    <m/>
    <m/>
    <s v="?"/>
    <x v="0"/>
    <s v="step2"/>
    <n v="0.2"/>
    <n v="-5"/>
    <n v="-1"/>
    <m/>
    <m/>
    <m/>
    <n v="1"/>
    <n v="1"/>
    <m/>
    <m/>
    <n v="1"/>
    <n v="1"/>
    <m/>
    <m/>
    <m/>
    <n v="1"/>
    <n v="1"/>
    <m/>
    <m/>
    <n v="1"/>
    <n v="1"/>
    <x v="1"/>
    <m/>
    <m/>
    <x v="0"/>
    <x v="0"/>
    <x v="1"/>
    <x v="0"/>
    <m/>
    <x v="0"/>
    <x v="1"/>
    <m/>
    <x v="1"/>
    <x v="0"/>
    <n v="1"/>
  </r>
  <r>
    <m/>
    <d v="2024-03-17T00:00:00"/>
    <s v="SPC_1"/>
    <x v="10"/>
    <x v="1"/>
    <s v="SYLVAIN MAGDELAINE"/>
    <m/>
    <s v="remove cooling dcdc "/>
    <m/>
    <m/>
    <m/>
    <s v="step 2 "/>
    <m/>
    <m/>
    <m/>
    <s v="?"/>
    <x v="0"/>
    <s v="TBD"/>
    <n v="1"/>
    <n v="0.5"/>
    <n v="0.5"/>
    <m/>
    <m/>
    <m/>
    <n v="1"/>
    <n v="1"/>
    <m/>
    <m/>
    <n v="1"/>
    <n v="1"/>
    <m/>
    <m/>
    <m/>
    <n v="1"/>
    <n v="1"/>
    <m/>
    <m/>
    <n v="1"/>
    <n v="1"/>
    <x v="1"/>
    <m/>
    <m/>
    <x v="0"/>
    <x v="0"/>
    <x v="1"/>
    <x v="0"/>
    <m/>
    <x v="0"/>
    <x v="1"/>
    <m/>
    <x v="1"/>
    <x v="0"/>
    <n v="1"/>
  </r>
  <r>
    <m/>
    <d v="2024-03-17T00:00:00"/>
    <s v="SPC_1"/>
    <x v="0"/>
    <x v="1"/>
    <m/>
    <m/>
    <s v="change crash SMALL SIDE RAIL"/>
    <m/>
    <s v="Process impact "/>
    <m/>
    <s v="Step 3"/>
    <m/>
    <m/>
    <m/>
    <s v="?"/>
    <x v="0"/>
    <s v="step3"/>
    <n v="1"/>
    <n v="-1"/>
    <n v="-1"/>
    <m/>
    <m/>
    <m/>
    <n v="1"/>
    <n v="1"/>
    <m/>
    <m/>
    <n v="1"/>
    <n v="1"/>
    <m/>
    <m/>
    <m/>
    <n v="1"/>
    <n v="1"/>
    <m/>
    <m/>
    <n v="1"/>
    <n v="1"/>
    <x v="1"/>
    <m/>
    <m/>
    <x v="0"/>
    <x v="0"/>
    <x v="1"/>
    <x v="0"/>
    <m/>
    <x v="0"/>
    <x v="1"/>
    <m/>
    <x v="1"/>
    <x v="0"/>
    <n v="1"/>
  </r>
  <r>
    <m/>
    <d v="2024-03-17T00:00:00"/>
    <s v="SPC_1"/>
    <x v="0"/>
    <x v="1"/>
    <s v="NICOLAS TESSIER"/>
    <m/>
    <s v="Front unit"/>
    <m/>
    <s v="Process impact "/>
    <m/>
    <s v="Step 3"/>
    <m/>
    <m/>
    <m/>
    <s v="?"/>
    <x v="0"/>
    <s v="step3"/>
    <n v="1"/>
    <n v="-8.1999999999999993"/>
    <n v="-8.1999999999999993"/>
    <m/>
    <m/>
    <m/>
    <n v="1"/>
    <n v="1"/>
    <m/>
    <m/>
    <n v="1"/>
    <n v="1"/>
    <m/>
    <m/>
    <m/>
    <n v="1"/>
    <n v="1"/>
    <m/>
    <m/>
    <n v="1"/>
    <n v="1"/>
    <x v="1"/>
    <m/>
    <m/>
    <x v="0"/>
    <x v="0"/>
    <x v="1"/>
    <x v="0"/>
    <m/>
    <x v="0"/>
    <x v="1"/>
    <m/>
    <x v="1"/>
    <x v="0"/>
    <n v="1"/>
  </r>
  <r>
    <m/>
    <d v="2024-09-09T00:00:00"/>
    <s v="SPC_1"/>
    <x v="0"/>
    <x v="1"/>
    <s v="NICOLAS TESSIER"/>
    <m/>
    <s v="reinforcement BIW "/>
    <m/>
    <s v="Process impact "/>
    <m/>
    <s v="Step 3"/>
    <m/>
    <m/>
    <m/>
    <s v="?"/>
    <x v="0"/>
    <s v="step3"/>
    <n v="1"/>
    <n v="2.84"/>
    <n v="2.84"/>
    <m/>
    <m/>
    <m/>
    <n v="1"/>
    <n v="1"/>
    <m/>
    <m/>
    <n v="1"/>
    <n v="1"/>
    <m/>
    <m/>
    <m/>
    <n v="1"/>
    <n v="1"/>
    <m/>
    <m/>
    <n v="1"/>
    <n v="1"/>
    <x v="1"/>
    <m/>
    <m/>
    <x v="0"/>
    <x v="0"/>
    <x v="1"/>
    <x v="0"/>
    <m/>
    <x v="0"/>
    <x v="1"/>
    <m/>
    <x v="1"/>
    <x v="0"/>
    <n v="1"/>
  </r>
  <r>
    <m/>
    <d v="2024-03-17T00:00:00"/>
    <s v="SPC_1"/>
    <x v="0"/>
    <x v="1"/>
    <s v="NICOLAS TESSIER"/>
    <m/>
    <s v="Dedicated central and rear units &amp; dash"/>
    <m/>
    <s v="Process impact "/>
    <m/>
    <s v="Step 3"/>
    <m/>
    <m/>
    <m/>
    <s v="?"/>
    <x v="0"/>
    <s v="step3"/>
    <n v="1"/>
    <n v="-12.33"/>
    <n v="-12.33"/>
    <m/>
    <m/>
    <m/>
    <n v="1"/>
    <n v="1"/>
    <m/>
    <m/>
    <n v="1"/>
    <n v="1"/>
    <m/>
    <m/>
    <m/>
    <n v="1"/>
    <n v="1"/>
    <m/>
    <m/>
    <n v="1"/>
    <n v="1"/>
    <x v="1"/>
    <m/>
    <m/>
    <x v="0"/>
    <x v="0"/>
    <x v="1"/>
    <x v="0"/>
    <m/>
    <x v="0"/>
    <x v="1"/>
    <m/>
    <x v="1"/>
    <x v="0"/>
    <n v="1"/>
  </r>
  <r>
    <m/>
    <d v="2024-03-17T00:00:00"/>
    <s v="SPC_1"/>
    <x v="0"/>
    <x v="1"/>
    <s v="FREDERIC GUINGAND"/>
    <m/>
    <s v="alu caliper"/>
    <m/>
    <m/>
    <m/>
    <m/>
    <m/>
    <m/>
    <m/>
    <s v="?"/>
    <x v="0"/>
    <s v="TBD"/>
    <n v="1"/>
    <m/>
    <n v="0"/>
    <m/>
    <m/>
    <m/>
    <n v="1"/>
    <n v="1"/>
    <m/>
    <m/>
    <n v="1"/>
    <n v="1"/>
    <m/>
    <m/>
    <m/>
    <n v="1"/>
    <n v="1"/>
    <m/>
    <m/>
    <n v="1"/>
    <n v="1"/>
    <x v="1"/>
    <m/>
    <m/>
    <x v="0"/>
    <x v="0"/>
    <x v="1"/>
    <x v="0"/>
    <m/>
    <x v="0"/>
    <x v="1"/>
    <m/>
    <x v="1"/>
    <x v="0"/>
    <n v="1"/>
  </r>
  <r>
    <m/>
    <d v="2024-03-17T00:00:00"/>
    <s v="SPC_1"/>
    <x v="0"/>
    <x v="1"/>
    <s v="FREDERIC GUINGAND"/>
    <m/>
    <s v="Rear discs io edrums + park lock + EPB-FSE "/>
    <m/>
    <m/>
    <m/>
    <m/>
    <m/>
    <m/>
    <m/>
    <s v="?"/>
    <x v="0"/>
    <s v="TBD"/>
    <n v="1"/>
    <n v="-7.5"/>
    <n v="-7.5"/>
    <m/>
    <m/>
    <m/>
    <n v="1"/>
    <n v="1"/>
    <m/>
    <m/>
    <n v="1"/>
    <n v="1"/>
    <m/>
    <m/>
    <m/>
    <n v="1"/>
    <n v="1"/>
    <m/>
    <m/>
    <n v="1"/>
    <n v="1"/>
    <x v="1"/>
    <m/>
    <m/>
    <x v="0"/>
    <x v="0"/>
    <x v="1"/>
    <x v="0"/>
    <m/>
    <x v="0"/>
    <x v="1"/>
    <m/>
    <x v="1"/>
    <x v="0"/>
    <n v="1"/>
  </r>
  <r>
    <m/>
    <d v="2024-03-17T00:00:00"/>
    <s v="SPC_1"/>
    <x v="4"/>
    <x v="1"/>
    <s v="FREDERIC GUINGAND"/>
    <s v="Triangle alu "/>
    <s v="alu control arm"/>
    <m/>
    <m/>
    <m/>
    <m/>
    <m/>
    <n v="14"/>
    <m/>
    <s v="o"/>
    <x v="0"/>
    <s v="Step4"/>
    <n v="1"/>
    <n v="-2"/>
    <n v="-2"/>
    <m/>
    <m/>
    <m/>
    <n v="1"/>
    <n v="1"/>
    <m/>
    <m/>
    <n v="1"/>
    <n v="1"/>
    <m/>
    <m/>
    <m/>
    <n v="1"/>
    <n v="1"/>
    <m/>
    <m/>
    <n v="1"/>
    <n v="1"/>
    <x v="1"/>
    <m/>
    <m/>
    <x v="0"/>
    <x v="0"/>
    <x v="1"/>
    <x v="0"/>
    <m/>
    <x v="0"/>
    <x v="1"/>
    <m/>
    <x v="1"/>
    <x v="0"/>
    <n v="1"/>
  </r>
  <r>
    <m/>
    <d v="2026-02-16T00:00:00"/>
    <s v="SPC_1"/>
    <x v="11"/>
    <x v="1"/>
    <m/>
    <s v="poutre arrière de la Yaris Cross "/>
    <s v="rear beam of Yaris Cross is in Steel "/>
    <s v="Poutre répa arrière =&gt; 6,6kg sur P1X versus 3,1 sur P21 pour Hybride"/>
    <m/>
    <m/>
    <m/>
    <m/>
    <m/>
    <m/>
    <s v="WS"/>
    <x v="2"/>
    <s v="TBD"/>
    <n v="1"/>
    <n v="-2.7"/>
    <n v="-2.7"/>
    <m/>
    <m/>
    <m/>
    <m/>
    <m/>
    <m/>
    <m/>
    <m/>
    <m/>
    <m/>
    <m/>
    <m/>
    <m/>
    <m/>
    <m/>
    <m/>
    <m/>
    <m/>
    <x v="1"/>
    <m/>
    <m/>
    <x v="0"/>
    <x v="0"/>
    <x v="1"/>
    <x v="1"/>
    <n v="1"/>
    <x v="0"/>
    <x v="1"/>
    <m/>
    <x v="0"/>
    <x v="0"/>
    <n v="1"/>
  </r>
  <r>
    <m/>
    <d v="2024-03-17T00:00:00"/>
    <s v="SPC_1"/>
    <x v="0"/>
    <x v="1"/>
    <s v="FREDERIC GUINGAND"/>
    <m/>
    <s v="Wheel &amp; tire size (/!\ keep RRC A++)​"/>
    <m/>
    <m/>
    <m/>
    <m/>
    <m/>
    <m/>
    <m/>
    <s v="?"/>
    <x v="0"/>
    <s v="TBD"/>
    <n v="1"/>
    <m/>
    <n v="0"/>
    <m/>
    <m/>
    <m/>
    <n v="1"/>
    <n v="1"/>
    <m/>
    <m/>
    <n v="1"/>
    <n v="1"/>
    <m/>
    <m/>
    <m/>
    <n v="1"/>
    <n v="1"/>
    <m/>
    <m/>
    <n v="1"/>
    <n v="1"/>
    <x v="1"/>
    <m/>
    <m/>
    <x v="0"/>
    <x v="0"/>
    <x v="1"/>
    <x v="0"/>
    <m/>
    <x v="0"/>
    <x v="1"/>
    <m/>
    <x v="1"/>
    <x v="0"/>
    <n v="1"/>
  </r>
  <r>
    <m/>
    <d v="2024-03-17T00:00:00"/>
    <s v="SPC_1"/>
    <x v="10"/>
    <x v="1"/>
    <s v="SYLVAIN MAGDELAINE"/>
    <m/>
    <s v="Exhaust line outer under wheelbase"/>
    <m/>
    <m/>
    <m/>
    <s v="Step2 "/>
    <m/>
    <m/>
    <m/>
    <s v="?"/>
    <x v="0"/>
    <s v="step2"/>
    <n v="1"/>
    <n v="-2"/>
    <n v="-2"/>
    <m/>
    <m/>
    <m/>
    <n v="1"/>
    <n v="1"/>
    <m/>
    <m/>
    <n v="1"/>
    <n v="1"/>
    <m/>
    <m/>
    <m/>
    <n v="1"/>
    <n v="1"/>
    <m/>
    <m/>
    <n v="1"/>
    <n v="1"/>
    <x v="1"/>
    <m/>
    <m/>
    <x v="0"/>
    <x v="0"/>
    <x v="1"/>
    <x v="0"/>
    <m/>
    <x v="0"/>
    <x v="1"/>
    <m/>
    <x v="1"/>
    <x v="0"/>
    <n v="1"/>
  </r>
  <r>
    <m/>
    <d v="2024-03-17T00:00:00"/>
    <s v="SPC_1"/>
    <x v="0"/>
    <x v="1"/>
    <s v="LOTHAR LAMBERT"/>
    <m/>
    <s v="level 0"/>
    <m/>
    <m/>
    <m/>
    <s v="Step 4 "/>
    <m/>
    <m/>
    <m/>
    <s v="?"/>
    <x v="0"/>
    <s v="step5"/>
    <n v="1"/>
    <n v="-20"/>
    <n v="-20"/>
    <m/>
    <m/>
    <m/>
    <n v="1"/>
    <n v="1"/>
    <m/>
    <m/>
    <n v="1"/>
    <n v="1"/>
    <m/>
    <m/>
    <m/>
    <n v="1"/>
    <n v="1"/>
    <m/>
    <m/>
    <n v="1"/>
    <n v="1"/>
    <x v="1"/>
    <m/>
    <m/>
    <x v="0"/>
    <x v="0"/>
    <x v="1"/>
    <x v="0"/>
    <m/>
    <x v="0"/>
    <x v="1"/>
    <m/>
    <x v="1"/>
    <x v="0"/>
    <n v="1"/>
  </r>
  <r>
    <n v="117"/>
    <d v="2024-09-01T00:00:00"/>
    <s v="SPC_1"/>
    <x v="0"/>
    <x v="0"/>
    <m/>
    <m/>
    <s v="prius like"/>
    <m/>
    <m/>
    <m/>
    <m/>
    <m/>
    <m/>
    <m/>
    <s v="?"/>
    <x v="0"/>
    <s v="step3"/>
    <n v="0"/>
    <n v="-3"/>
    <n v="0"/>
    <m/>
    <m/>
    <m/>
    <n v="1"/>
    <n v="1"/>
    <m/>
    <m/>
    <n v="1"/>
    <n v="1"/>
    <m/>
    <m/>
    <m/>
    <n v="1"/>
    <n v="1"/>
    <m/>
    <m/>
    <n v="1"/>
    <n v="1"/>
    <x v="1"/>
    <m/>
    <m/>
    <x v="0"/>
    <x v="0"/>
    <x v="1"/>
    <x v="0"/>
    <m/>
    <x v="0"/>
    <x v="1"/>
    <m/>
    <x v="1"/>
    <x v="0"/>
    <n v="1"/>
  </r>
  <r>
    <n v="117"/>
    <d v="2026-02-13T00:00:00"/>
    <s v="SPC_1"/>
    <x v="4"/>
    <x v="0"/>
    <s v="FREDERIC GUINGAND"/>
    <m/>
    <s v="wheels 17&quot;"/>
    <s v="235/60R17 sur les MHEV de J1X (=&gt; J2U ? =&gt; P3U ?). =&gt; Adrien 4kg  "/>
    <m/>
    <m/>
    <m/>
    <m/>
    <m/>
    <m/>
    <s v="DECISION ?"/>
    <x v="2"/>
    <s v="TBD"/>
    <n v="1"/>
    <n v="-4"/>
    <n v="-4"/>
    <m/>
    <m/>
    <m/>
    <n v="1"/>
    <n v="1"/>
    <m/>
    <m/>
    <n v="1"/>
    <n v="1"/>
    <m/>
    <m/>
    <m/>
    <n v="1"/>
    <n v="1"/>
    <m/>
    <m/>
    <n v="1"/>
    <n v="1"/>
    <x v="1"/>
    <m/>
    <m/>
    <x v="1"/>
    <x v="0"/>
    <x v="1"/>
    <x v="0"/>
    <m/>
    <x v="0"/>
    <x v="1"/>
    <m/>
    <x v="1"/>
    <x v="1"/>
    <n v="1"/>
  </r>
  <r>
    <n v="117"/>
    <d v="2024-09-01T00:00:00"/>
    <s v="SPC_1"/>
    <x v="0"/>
    <x v="0"/>
    <s v="NICOLAS TESSIER"/>
    <m/>
    <s v="Glazing perfo impact "/>
    <m/>
    <m/>
    <m/>
    <m/>
    <m/>
    <m/>
    <m/>
    <s v="?"/>
    <x v="0"/>
    <s v="Step4"/>
    <n v="0"/>
    <n v="-2"/>
    <n v="0"/>
    <m/>
    <m/>
    <m/>
    <n v="1"/>
    <n v="1"/>
    <m/>
    <m/>
    <n v="1"/>
    <n v="1"/>
    <m/>
    <m/>
    <m/>
    <n v="1"/>
    <n v="1"/>
    <m/>
    <m/>
    <n v="1"/>
    <n v="1"/>
    <x v="1"/>
    <m/>
    <m/>
    <x v="0"/>
    <x v="0"/>
    <x v="1"/>
    <x v="0"/>
    <m/>
    <x v="0"/>
    <x v="1"/>
    <m/>
    <x v="1"/>
    <x v="0"/>
    <n v="1"/>
  </r>
  <r>
    <n v="117"/>
    <d v="2024-09-01T00:00:00"/>
    <s v="SPC_1"/>
    <x v="19"/>
    <x v="0"/>
    <m/>
    <m/>
    <s v="Rear wiper system "/>
    <m/>
    <m/>
    <m/>
    <m/>
    <m/>
    <m/>
    <m/>
    <s v="?"/>
    <x v="0"/>
    <s v="step3"/>
    <n v="0"/>
    <n v="-1.7"/>
    <n v="0"/>
    <m/>
    <m/>
    <m/>
    <n v="1"/>
    <n v="1"/>
    <m/>
    <m/>
    <n v="1"/>
    <n v="1"/>
    <m/>
    <m/>
    <m/>
    <n v="1"/>
    <n v="1"/>
    <m/>
    <m/>
    <n v="1"/>
    <n v="1"/>
    <x v="1"/>
    <m/>
    <m/>
    <x v="0"/>
    <x v="0"/>
    <x v="1"/>
    <x v="0"/>
    <m/>
    <x v="0"/>
    <x v="1"/>
    <m/>
    <x v="1"/>
    <x v="0"/>
    <n v="1"/>
  </r>
  <r>
    <n v="117"/>
    <d v="2024-09-01T00:00:00"/>
    <s v="SPC_1"/>
    <x v="20"/>
    <x v="1"/>
    <s v="ALEXANDRE FARGE"/>
    <m/>
    <s v="DCDC on battery "/>
    <s v="GMP"/>
    <m/>
    <m/>
    <m/>
    <m/>
    <m/>
    <m/>
    <s v="?"/>
    <x v="0"/>
    <s v="Step1 "/>
    <n v="0"/>
    <n v="-0.5"/>
    <n v="0"/>
    <m/>
    <m/>
    <m/>
    <n v="1"/>
    <n v="1"/>
    <m/>
    <m/>
    <n v="1"/>
    <n v="1"/>
    <m/>
    <m/>
    <m/>
    <n v="1"/>
    <n v="1"/>
    <m/>
    <m/>
    <n v="1"/>
    <n v="1"/>
    <x v="1"/>
    <m/>
    <m/>
    <x v="0"/>
    <x v="0"/>
    <x v="1"/>
    <x v="0"/>
    <m/>
    <x v="0"/>
    <x v="1"/>
    <m/>
    <x v="1"/>
    <x v="0"/>
    <n v="1"/>
  </r>
  <r>
    <n v="117"/>
    <d v="2025-09-09T00:00:00"/>
    <s v="SPC_1"/>
    <x v="20"/>
    <x v="2"/>
    <s v="Paul patenotte"/>
    <s v="Nouvelle machine électrique. RFQ en cours mais nous espérons un gain d’environ 2 kg"/>
    <s v="New gearbox"/>
    <s v="BV"/>
    <m/>
    <m/>
    <m/>
    <m/>
    <m/>
    <m/>
    <s v="?"/>
    <x v="2"/>
    <s v="TBD"/>
    <n v="1"/>
    <n v="-2"/>
    <n v="-2"/>
    <m/>
    <m/>
    <m/>
    <n v="1"/>
    <m/>
    <m/>
    <m/>
    <n v="1"/>
    <m/>
    <m/>
    <m/>
    <m/>
    <n v="1"/>
    <m/>
    <m/>
    <m/>
    <n v="1"/>
    <m/>
    <x v="1"/>
    <m/>
    <m/>
    <x v="1"/>
    <x v="0"/>
    <x v="1"/>
    <x v="0"/>
    <m/>
    <x v="0"/>
    <x v="1"/>
    <m/>
    <x v="1"/>
    <x v="0"/>
    <n v="1"/>
  </r>
  <r>
    <n v="117"/>
    <d v="2025-09-09T00:00:00"/>
    <s v="SPC_1"/>
    <x v="20"/>
    <x v="2"/>
    <s v="Paul patenotte"/>
    <s v="Pompe à eau ELEC risque de passer en elec "/>
    <s v="Water pomp elec RISK "/>
    <s v="GMP "/>
    <m/>
    <m/>
    <m/>
    <m/>
    <m/>
    <m/>
    <s v="?"/>
    <x v="2"/>
    <s v="TBD"/>
    <n v="1"/>
    <n v="1.5"/>
    <n v="1.5"/>
    <m/>
    <m/>
    <m/>
    <n v="1"/>
    <m/>
    <m/>
    <m/>
    <n v="1"/>
    <m/>
    <m/>
    <m/>
    <m/>
    <n v="1"/>
    <m/>
    <m/>
    <m/>
    <n v="1"/>
    <m/>
    <x v="1"/>
    <m/>
    <m/>
    <x v="1"/>
    <x v="0"/>
    <x v="1"/>
    <x v="0"/>
    <m/>
    <x v="0"/>
    <x v="1"/>
    <m/>
    <x v="1"/>
    <x v="0"/>
    <n v="1"/>
  </r>
  <r>
    <n v="117"/>
    <d v="2024-09-01T00:00:00"/>
    <s v="SPC_1"/>
    <x v="20"/>
    <x v="1"/>
    <m/>
    <m/>
    <s v="EGR BP "/>
    <s v="GMP"/>
    <m/>
    <m/>
    <s v="Ecart avec EGR BP AUSTRAL "/>
    <m/>
    <m/>
    <m/>
    <s v="?"/>
    <x v="1"/>
    <s v="Step1 "/>
    <n v="1"/>
    <n v="-2.8"/>
    <n v="-2.8"/>
    <m/>
    <m/>
    <m/>
    <n v="1"/>
    <m/>
    <m/>
    <m/>
    <n v="1"/>
    <m/>
    <m/>
    <m/>
    <m/>
    <n v="1"/>
    <m/>
    <m/>
    <m/>
    <n v="1"/>
    <m/>
    <x v="0"/>
    <n v="1"/>
    <m/>
    <x v="0"/>
    <x v="1"/>
    <x v="0"/>
    <x v="0"/>
    <m/>
    <x v="1"/>
    <x v="0"/>
    <n v="1"/>
    <x v="1"/>
    <x v="0"/>
    <m/>
  </r>
  <r>
    <n v="117"/>
    <d v="2024-09-01T00:00:00"/>
    <s v="SPC_1"/>
    <x v="20"/>
    <x v="1"/>
    <m/>
    <m/>
    <s v="WACAC"/>
    <s v="GMP"/>
    <m/>
    <m/>
    <s v="Ecart avec WACAC GSE T4 "/>
    <m/>
    <m/>
    <m/>
    <s v="?"/>
    <x v="1"/>
    <s v="Step1 "/>
    <n v="1"/>
    <n v="-6.2"/>
    <n v="-6.2"/>
    <m/>
    <m/>
    <m/>
    <n v="1"/>
    <m/>
    <m/>
    <m/>
    <n v="1"/>
    <m/>
    <m/>
    <m/>
    <m/>
    <n v="1"/>
    <m/>
    <m/>
    <m/>
    <n v="1"/>
    <m/>
    <x v="0"/>
    <n v="1"/>
    <m/>
    <x v="0"/>
    <x v="1"/>
    <x v="0"/>
    <x v="0"/>
    <m/>
    <x v="1"/>
    <x v="0"/>
    <n v="1"/>
    <x v="1"/>
    <x v="0"/>
    <m/>
  </r>
  <r>
    <n v="254"/>
    <s v="11/06/2025"/>
    <s v="SP1"/>
    <x v="5"/>
    <x v="0"/>
    <s v="Damien Demougeot"/>
    <s v="Porte AR : Renfort choc Lat"/>
    <s v="optim design"/>
    <s v="Renfort choc Lat AR de P1H, mais applicable que si le résultats calcul le permettent SAF_x000a_SI ne participe pas au choc lat et ne répond qu'au GS38"/>
    <s v="20/03/2026 LM déjà en BDD_x000a_27/02/2026 LM_x000a_Bilan Choc dira si on peut appliquer retour en Juillet 26"/>
    <m/>
    <s v="11/06/2025 ECR engagé =&gt; Publi en cours ; Passe à 100% / -1kg [50% ; -0,8kg]_x000a_04/11/2024 Revoir résult Choc Lat_x000a_03/09/2024 : GT_Presta CW35 / En attente résultat Side Crash SYNC2"/>
    <m/>
    <m/>
    <m/>
    <s v="o"/>
    <x v="1"/>
    <m/>
    <n v="1"/>
    <n v="-1"/>
    <n v="-1"/>
    <n v="1"/>
    <n v="1"/>
    <n v="1"/>
    <n v="1"/>
    <n v="1"/>
    <n v="1"/>
    <n v="1"/>
    <n v="1"/>
    <n v="1"/>
    <n v="1"/>
    <n v="1"/>
    <n v="1"/>
    <n v="1"/>
    <n v="1"/>
    <n v="1"/>
    <n v="1"/>
    <n v="1"/>
    <n v="1"/>
    <x v="0"/>
    <n v="1"/>
    <n v="1"/>
    <x v="0"/>
    <x v="0"/>
    <x v="0"/>
    <x v="0"/>
    <m/>
    <x v="0"/>
    <x v="0"/>
    <n v="1"/>
    <x v="0"/>
    <x v="0"/>
    <n v="1"/>
  </r>
  <r>
    <s v="96b"/>
    <s v="07/06/2024"/>
    <s v="SP1"/>
    <x v="18"/>
    <x v="0"/>
    <s v="all"/>
    <s v="DFNu -4%"/>
    <s v="DFNu -4% (2,5% retex P1H)"/>
    <m/>
    <s v="CP P1H Sébastien Dupuis"/>
    <m/>
    <s v="07/06/2024 Proposition cotation RT RAL -4%_x000a_22/03/2024 A définir pour les DFNU"/>
    <m/>
    <m/>
    <m/>
    <s v="o"/>
    <x v="2"/>
    <m/>
    <n v="1"/>
    <n v="-16.5"/>
    <n v="-16.5"/>
    <n v="1"/>
    <n v="1"/>
    <n v="1"/>
    <n v="1"/>
    <n v="1"/>
    <n v="1"/>
    <n v="1"/>
    <n v="1"/>
    <n v="1"/>
    <n v="1"/>
    <n v="1"/>
    <n v="1"/>
    <n v="1"/>
    <n v="1"/>
    <n v="1"/>
    <n v="1"/>
    <n v="1"/>
    <n v="1"/>
    <x v="0"/>
    <n v="1"/>
    <n v="1"/>
    <x v="0"/>
    <x v="0"/>
    <x v="0"/>
    <x v="1"/>
    <n v="1"/>
    <x v="0"/>
    <x v="0"/>
    <n v="1"/>
    <x v="0"/>
    <x v="0"/>
    <n v="1"/>
  </r>
  <r>
    <m/>
    <d v="2024-09-29T00:00:00"/>
    <s v="SPC_1"/>
    <x v="21"/>
    <x v="0"/>
    <s v="HUGUES"/>
    <s v="essuie vitre et lave vitre "/>
    <s v="magic blade"/>
    <m/>
    <m/>
    <m/>
    <s v="opportunités « magic blade » Valeo / Bosch avec un gain supplémentaire de 0,4kg pour le petit réservoir / de 0,8kg pour le réservoir grande capacité."/>
    <m/>
    <m/>
    <m/>
    <s v="o"/>
    <x v="1"/>
    <s v="TBD"/>
    <n v="1"/>
    <n v="-1.2"/>
    <n v="-1.2"/>
    <n v="1"/>
    <n v="1"/>
    <n v="1"/>
    <n v="1"/>
    <n v="1"/>
    <n v="1"/>
    <n v="1"/>
    <n v="1"/>
    <n v="1"/>
    <n v="1"/>
    <n v="1"/>
    <n v="1"/>
    <n v="1"/>
    <n v="1"/>
    <n v="1"/>
    <n v="1"/>
    <n v="1"/>
    <n v="1"/>
    <x v="0"/>
    <n v="1"/>
    <n v="1"/>
    <x v="0"/>
    <x v="0"/>
    <x v="0"/>
    <x v="0"/>
    <m/>
    <x v="0"/>
    <x v="0"/>
    <n v="1"/>
    <x v="0"/>
    <x v="0"/>
    <n v="1"/>
  </r>
  <r>
    <n v="70"/>
    <d v="2024-09-01T00:00:00"/>
    <s v="SPC_1"/>
    <x v="17"/>
    <x v="0"/>
    <s v="MICHAEL BORE"/>
    <s v="Projecteurs - Dim"/>
    <s v="Headlamp size reduction (Mainstream &amp; Upper)"/>
    <m/>
    <s v="LM 10/10/25_x000a_pour P3U en attente du style"/>
    <s v="CM"/>
    <m/>
    <n v="0"/>
    <n v="0"/>
    <m/>
    <s v="o"/>
    <x v="0"/>
    <s v="TBD"/>
    <n v="0.5"/>
    <n v="-4"/>
    <n v="-2"/>
    <n v="1"/>
    <n v="1"/>
    <n v="1"/>
    <n v="1"/>
    <n v="1"/>
    <n v="1"/>
    <n v="1"/>
    <n v="1"/>
    <n v="1"/>
    <n v="1"/>
    <n v="1"/>
    <n v="1"/>
    <n v="1"/>
    <n v="1"/>
    <n v="1"/>
    <n v="1"/>
    <n v="1"/>
    <n v="1"/>
    <x v="0"/>
    <n v="1"/>
    <n v="1"/>
    <x v="0"/>
    <x v="0"/>
    <x v="0"/>
    <x v="0"/>
    <m/>
    <x v="0"/>
    <x v="0"/>
    <n v="1"/>
    <x v="0"/>
    <x v="0"/>
    <n v="1"/>
  </r>
  <r>
    <s v="95f"/>
    <s v="28/05/2025"/>
    <s v="SP1"/>
    <x v="5"/>
    <x v="0"/>
    <s v="Filipe Goncalves (P1H)/_x000a_Cyrille P1X"/>
    <s v="Coeff Num/Phys TH"/>
    <s v="num/phys"/>
    <s v="Ratio RETEX Métier selon pièces"/>
    <m/>
    <m/>
    <s v="28/05/2025 CHANTIER MASSE : Masse P1X"/>
    <m/>
    <m/>
    <m/>
    <s v="o"/>
    <x v="1"/>
    <m/>
    <n v="1"/>
    <n v="-2.5"/>
    <n v="-2.5"/>
    <n v="1"/>
    <n v="1"/>
    <n v="1"/>
    <n v="1"/>
    <n v="1"/>
    <n v="1"/>
    <n v="1"/>
    <n v="1"/>
    <n v="1"/>
    <n v="1"/>
    <n v="1"/>
    <n v="1"/>
    <n v="1"/>
    <n v="1"/>
    <n v="1"/>
    <n v="1"/>
    <n v="1"/>
    <n v="1"/>
    <x v="0"/>
    <n v="1"/>
    <n v="1"/>
    <x v="0"/>
    <x v="0"/>
    <x v="0"/>
    <x v="0"/>
    <m/>
    <x v="0"/>
    <x v="0"/>
    <n v="1"/>
    <x v="0"/>
    <x v="0"/>
    <n v="1"/>
  </r>
  <r>
    <m/>
    <d v="2026-02-06T00:00:00"/>
    <s v="SPC_1"/>
    <x v="1"/>
    <x v="0"/>
    <s v="Hugues laurant"/>
    <s v="AGS type A4U (D-CROSS)"/>
    <m/>
    <s v="verifier la BDD "/>
    <s v="20/03/2026 LM_x000a_check with Hugues OK BDD"/>
    <m/>
    <m/>
    <m/>
    <m/>
    <m/>
    <s v="o"/>
    <x v="1"/>
    <m/>
    <n v="1"/>
    <n v="-1.4"/>
    <n v="-1.4"/>
    <m/>
    <m/>
    <m/>
    <m/>
    <m/>
    <m/>
    <m/>
    <m/>
    <m/>
    <m/>
    <m/>
    <m/>
    <m/>
    <m/>
    <m/>
    <m/>
    <m/>
    <m/>
    <x v="1"/>
    <m/>
    <m/>
    <x v="0"/>
    <x v="0"/>
    <x v="1"/>
    <x v="0"/>
    <m/>
    <x v="0"/>
    <x v="1"/>
    <m/>
    <x v="1"/>
    <x v="0"/>
    <n v="1"/>
  </r>
  <r>
    <s v="95d"/>
    <s v="28/05/2025"/>
    <s v="SP1"/>
    <x v="11"/>
    <x v="0"/>
    <s v="Franck Baillon (SP1)/_x000a_Cyrille P1X"/>
    <s v="Coeff Num/Phys TH"/>
    <s v="num/phys"/>
    <s v="-2,5% (BIW=110kg)"/>
    <m/>
    <m/>
    <s v="28/05/2025 CHANTIER MASSE : Masse P1X"/>
    <m/>
    <m/>
    <m/>
    <s v="o"/>
    <x v="1"/>
    <m/>
    <n v="1"/>
    <n v="-2.75"/>
    <n v="-2.75"/>
    <n v="1"/>
    <n v="1"/>
    <n v="1"/>
    <n v="1"/>
    <n v="1"/>
    <n v="1"/>
    <n v="1"/>
    <n v="1"/>
    <n v="1"/>
    <n v="1"/>
    <n v="1"/>
    <n v="1"/>
    <n v="1"/>
    <n v="1"/>
    <n v="1"/>
    <n v="1"/>
    <n v="1"/>
    <n v="1"/>
    <x v="0"/>
    <n v="1"/>
    <n v="1"/>
    <x v="0"/>
    <x v="0"/>
    <x v="0"/>
    <x v="0"/>
    <m/>
    <x v="0"/>
    <x v="0"/>
    <n v="1"/>
    <x v="0"/>
    <x v="0"/>
    <n v="1"/>
  </r>
  <r>
    <n v="306"/>
    <s v="28/05/2025"/>
    <s v="SP1"/>
    <x v="1"/>
    <x v="0"/>
    <s v="Sébastien Bonnefoi (P1H)/_x000a_Jean Michel Gabus P1X"/>
    <s v="Volet Composite"/>
    <s v="Composite tailgate"/>
    <s v="Chgt de matière"/>
    <s v="déjà volet plastique pour SP2 et en BDD - ligne à supprimer"/>
    <m/>
    <s v="28/05/2025 CHANTIER MASSE : Eval à -6kg/ 75%_x000a_16/05/2025 Volet P1X en Composite (volet + spoiler + aerofin + lighting T2)"/>
    <m/>
    <m/>
    <m/>
    <s v="o"/>
    <x v="1"/>
    <m/>
    <n v="0.75"/>
    <n v="-6"/>
    <n v="-4.5"/>
    <n v="1"/>
    <n v="1"/>
    <n v="1"/>
    <n v="1"/>
    <n v="1"/>
    <n v="1"/>
    <n v="1"/>
    <n v="1"/>
    <n v="1"/>
    <n v="1"/>
    <n v="1"/>
    <n v="1"/>
    <n v="1"/>
    <n v="1"/>
    <n v="1"/>
    <n v="1"/>
    <n v="1"/>
    <n v="1"/>
    <x v="0"/>
    <n v="1"/>
    <n v="1"/>
    <x v="0"/>
    <x v="0"/>
    <x v="0"/>
    <x v="0"/>
    <m/>
    <x v="0"/>
    <x v="0"/>
    <n v="1"/>
    <x v="0"/>
    <x v="0"/>
    <n v="1"/>
  </r>
  <r>
    <m/>
    <d v="2024-10-14T00:00:00"/>
    <s v="SPC_1"/>
    <x v="0"/>
    <x v="0"/>
    <s v="NICOLAS TESSIER"/>
    <s v="brancard AV"/>
    <s v="Front side member"/>
    <m/>
    <m/>
    <m/>
    <m/>
    <m/>
    <m/>
    <m/>
    <s v="o"/>
    <x v="1"/>
    <s v="Step1 "/>
    <n v="1"/>
    <n v="-3.15"/>
    <n v="-3.15"/>
    <m/>
    <m/>
    <m/>
    <n v="1"/>
    <n v="1"/>
    <m/>
    <m/>
    <n v="1"/>
    <n v="1"/>
    <m/>
    <m/>
    <m/>
    <n v="1"/>
    <n v="1"/>
    <m/>
    <m/>
    <n v="1"/>
    <n v="1"/>
    <x v="1"/>
    <m/>
    <m/>
    <x v="0"/>
    <x v="0"/>
    <x v="1"/>
    <x v="0"/>
    <m/>
    <x v="0"/>
    <x v="1"/>
    <m/>
    <x v="1"/>
    <x v="0"/>
    <n v="1"/>
  </r>
  <r>
    <m/>
    <d v="2024-10-14T00:00:00"/>
    <s v="SPC_1"/>
    <x v="0"/>
    <x v="0"/>
    <s v="NICOLAS TESSIER"/>
    <s v="brancard AV"/>
    <s v="Front side member"/>
    <m/>
    <m/>
    <m/>
    <m/>
    <m/>
    <m/>
    <m/>
    <s v="o"/>
    <x v="1"/>
    <s v="Step1 "/>
    <n v="1"/>
    <n v="2.5"/>
    <n v="2.5"/>
    <m/>
    <m/>
    <m/>
    <n v="1"/>
    <n v="1"/>
    <m/>
    <m/>
    <n v="1"/>
    <n v="1"/>
    <m/>
    <m/>
    <m/>
    <n v="1"/>
    <n v="1"/>
    <m/>
    <m/>
    <n v="1"/>
    <n v="1"/>
    <x v="1"/>
    <m/>
    <m/>
    <x v="0"/>
    <x v="0"/>
    <x v="1"/>
    <x v="0"/>
    <m/>
    <x v="0"/>
    <x v="1"/>
    <m/>
    <x v="1"/>
    <x v="0"/>
    <n v="1"/>
  </r>
  <r>
    <m/>
    <d v="2024-10-14T00:00:00"/>
    <s v="SPC_1"/>
    <x v="0"/>
    <x v="0"/>
    <s v="NICOLAS TESSIER"/>
    <s v="passage roue AV"/>
    <s v="Front wheel arch"/>
    <m/>
    <m/>
    <m/>
    <m/>
    <m/>
    <m/>
    <m/>
    <s v="o"/>
    <x v="1"/>
    <s v="Step1 "/>
    <n v="1"/>
    <n v="-0.50099999999999945"/>
    <n v="-0.50099999999999945"/>
    <m/>
    <m/>
    <m/>
    <n v="1"/>
    <n v="1"/>
    <m/>
    <m/>
    <n v="1"/>
    <n v="1"/>
    <m/>
    <m/>
    <m/>
    <n v="1"/>
    <n v="1"/>
    <m/>
    <m/>
    <n v="1"/>
    <n v="1"/>
    <x v="1"/>
    <m/>
    <m/>
    <x v="0"/>
    <x v="0"/>
    <x v="1"/>
    <x v="0"/>
    <m/>
    <x v="0"/>
    <x v="1"/>
    <m/>
    <x v="1"/>
    <x v="0"/>
    <n v="1"/>
  </r>
  <r>
    <m/>
    <d v="2024-10-14T00:00:00"/>
    <s v="SPC_1"/>
    <x v="0"/>
    <x v="0"/>
    <s v="NICOLAS TESSIER"/>
    <s v="plancher AV"/>
    <s v="Front floor panel"/>
    <m/>
    <m/>
    <m/>
    <m/>
    <m/>
    <m/>
    <m/>
    <s v="o"/>
    <x v="1"/>
    <s v="Step1 "/>
    <n v="1"/>
    <n v="-32.520000000000003"/>
    <n v="-32.520000000000003"/>
    <m/>
    <m/>
    <m/>
    <n v="1"/>
    <n v="1"/>
    <m/>
    <m/>
    <n v="1"/>
    <n v="1"/>
    <m/>
    <m/>
    <m/>
    <n v="1"/>
    <n v="1"/>
    <m/>
    <m/>
    <n v="1"/>
    <n v="1"/>
    <x v="1"/>
    <m/>
    <m/>
    <x v="0"/>
    <x v="0"/>
    <x v="1"/>
    <x v="0"/>
    <m/>
    <x v="0"/>
    <x v="1"/>
    <m/>
    <x v="1"/>
    <x v="0"/>
    <n v="1"/>
  </r>
  <r>
    <m/>
    <d v="2024-10-14T00:00:00"/>
    <s v="SPC_1"/>
    <x v="0"/>
    <x v="0"/>
    <s v="NICOLAS TESSIER"/>
    <s v="longeron int Acier"/>
    <s v="Inner steel longitudinal member"/>
    <m/>
    <m/>
    <m/>
    <m/>
    <m/>
    <m/>
    <m/>
    <s v="o"/>
    <x v="1"/>
    <s v="Step1 "/>
    <n v="1"/>
    <n v="-23.159000000000002"/>
    <n v="-23.159000000000002"/>
    <m/>
    <m/>
    <m/>
    <n v="1"/>
    <n v="1"/>
    <m/>
    <m/>
    <n v="1"/>
    <n v="1"/>
    <m/>
    <m/>
    <m/>
    <n v="1"/>
    <n v="1"/>
    <m/>
    <m/>
    <n v="1"/>
    <n v="1"/>
    <x v="1"/>
    <m/>
    <m/>
    <x v="0"/>
    <x v="0"/>
    <x v="1"/>
    <x v="0"/>
    <m/>
    <x v="0"/>
    <x v="1"/>
    <m/>
    <x v="1"/>
    <x v="0"/>
    <n v="1"/>
  </r>
  <r>
    <m/>
    <d v="2024-10-14T00:00:00"/>
    <s v="SPC_1"/>
    <x v="0"/>
    <x v="0"/>
    <s v="NICOLAS TESSIER"/>
    <s v="longeron int Acier"/>
    <s v="Inner steel longitudinal member"/>
    <m/>
    <m/>
    <m/>
    <m/>
    <m/>
    <m/>
    <m/>
    <s v="o"/>
    <x v="1"/>
    <s v="Step1 "/>
    <n v="1"/>
    <n v="6.5"/>
    <n v="6.5"/>
    <m/>
    <m/>
    <m/>
    <n v="1"/>
    <n v="1"/>
    <m/>
    <m/>
    <n v="1"/>
    <n v="1"/>
    <m/>
    <m/>
    <m/>
    <n v="1"/>
    <n v="1"/>
    <m/>
    <m/>
    <n v="1"/>
    <n v="1"/>
    <x v="1"/>
    <m/>
    <m/>
    <x v="0"/>
    <x v="0"/>
    <x v="1"/>
    <x v="0"/>
    <m/>
    <x v="0"/>
    <x v="1"/>
    <m/>
    <x v="1"/>
    <x v="0"/>
    <n v="1"/>
  </r>
  <r>
    <m/>
    <d v="2024-10-14T00:00:00"/>
    <s v="SPC_1"/>
    <x v="0"/>
    <x v="0"/>
    <s v="NICOLAS TESSIER"/>
    <s v="plancher AR"/>
    <s v="Rear floor panel"/>
    <m/>
    <m/>
    <m/>
    <m/>
    <m/>
    <m/>
    <m/>
    <s v="o"/>
    <x v="1"/>
    <s v="Step1 "/>
    <n v="1"/>
    <n v="2.6170000000000009"/>
    <n v="2.6170000000000009"/>
    <m/>
    <m/>
    <m/>
    <n v="1"/>
    <n v="1"/>
    <m/>
    <m/>
    <n v="1"/>
    <n v="1"/>
    <m/>
    <m/>
    <m/>
    <n v="1"/>
    <n v="1"/>
    <m/>
    <m/>
    <n v="1"/>
    <n v="1"/>
    <x v="1"/>
    <m/>
    <m/>
    <x v="0"/>
    <x v="0"/>
    <x v="1"/>
    <x v="0"/>
    <m/>
    <x v="0"/>
    <x v="1"/>
    <m/>
    <x v="1"/>
    <x v="0"/>
    <n v="1"/>
  </r>
  <r>
    <m/>
    <d v="2024-10-14T00:00:00"/>
    <s v="SPC_1"/>
    <x v="0"/>
    <x v="0"/>
    <s v="NICOLAS TESSIER"/>
    <s v="plancher AR"/>
    <s v="Rear floor panel"/>
    <m/>
    <m/>
    <m/>
    <m/>
    <m/>
    <m/>
    <m/>
    <s v="o"/>
    <x v="1"/>
    <s v="Step1 "/>
    <n v="1"/>
    <n v="1.2"/>
    <n v="1.2"/>
    <m/>
    <m/>
    <m/>
    <n v="1"/>
    <n v="1"/>
    <m/>
    <m/>
    <n v="1"/>
    <n v="1"/>
    <m/>
    <m/>
    <m/>
    <n v="1"/>
    <n v="1"/>
    <m/>
    <m/>
    <n v="1"/>
    <n v="1"/>
    <x v="1"/>
    <m/>
    <m/>
    <x v="0"/>
    <x v="0"/>
    <x v="1"/>
    <x v="0"/>
    <m/>
    <x v="0"/>
    <x v="1"/>
    <m/>
    <x v="1"/>
    <x v="0"/>
    <n v="1"/>
  </r>
  <r>
    <m/>
    <d v="2024-10-14T00:00:00"/>
    <s v="SPC_1"/>
    <x v="0"/>
    <x v="0"/>
    <s v="NICOLAS TESSIER"/>
    <s v="longeronnet"/>
    <s v="Rear longitudinal member"/>
    <m/>
    <m/>
    <m/>
    <m/>
    <m/>
    <m/>
    <m/>
    <s v="o"/>
    <x v="1"/>
    <s v="Step1 "/>
    <n v="1"/>
    <n v="-4.389999999999997"/>
    <n v="-4.389999999999997"/>
    <m/>
    <m/>
    <m/>
    <n v="1"/>
    <n v="1"/>
    <m/>
    <m/>
    <n v="1"/>
    <n v="1"/>
    <m/>
    <m/>
    <m/>
    <n v="1"/>
    <n v="1"/>
    <m/>
    <m/>
    <n v="1"/>
    <n v="1"/>
    <x v="1"/>
    <m/>
    <m/>
    <x v="0"/>
    <x v="0"/>
    <x v="1"/>
    <x v="0"/>
    <m/>
    <x v="0"/>
    <x v="1"/>
    <m/>
    <x v="1"/>
    <x v="0"/>
    <n v="1"/>
  </r>
  <r>
    <m/>
    <d v="2024-10-14T00:00:00"/>
    <s v="SPC_1"/>
    <x v="0"/>
    <x v="0"/>
    <s v="NICOLAS TESSIER"/>
    <s v="longeronnet"/>
    <s v="Rear longitudinal member"/>
    <m/>
    <m/>
    <m/>
    <m/>
    <m/>
    <m/>
    <m/>
    <s v="o"/>
    <x v="1"/>
    <s v="Step1 "/>
    <n v="1"/>
    <n v="1.8"/>
    <n v="1.8"/>
    <m/>
    <m/>
    <m/>
    <n v="1"/>
    <n v="1"/>
    <m/>
    <m/>
    <n v="1"/>
    <n v="1"/>
    <m/>
    <m/>
    <m/>
    <n v="1"/>
    <n v="1"/>
    <m/>
    <m/>
    <n v="1"/>
    <n v="1"/>
    <x v="1"/>
    <m/>
    <m/>
    <x v="0"/>
    <x v="0"/>
    <x v="1"/>
    <x v="0"/>
    <m/>
    <x v="0"/>
    <x v="1"/>
    <m/>
    <x v="1"/>
    <x v="0"/>
    <n v="1"/>
  </r>
  <r>
    <m/>
    <d v="2005-02-23T00:00:00"/>
    <s v="SPC_1"/>
    <x v="9"/>
    <x v="0"/>
    <s v="HALIM"/>
    <s v="PACK NVH Entry"/>
    <s v="PACK NVH Entry"/>
    <s v="insono extracteur d'air test Sem 11 decision sem 12 (140g) (uniquement LEV 2)"/>
    <s v="20/04/2026 LM Appliqué en BDD_x000a_16/03/2026 Essai en cours retout CW13"/>
    <s v="20/04/2026"/>
    <m/>
    <m/>
    <m/>
    <m/>
    <s v="o"/>
    <x v="1"/>
    <s v="TBD"/>
    <n v="1"/>
    <n v="-0.14000000000000001"/>
    <n v="-0.14000000000000001"/>
    <n v="1"/>
    <n v="1"/>
    <n v="1"/>
    <n v="1"/>
    <n v="1"/>
    <m/>
    <m/>
    <m/>
    <m/>
    <m/>
    <m/>
    <m/>
    <m/>
    <m/>
    <m/>
    <m/>
    <m/>
    <m/>
    <x v="0"/>
    <n v="1"/>
    <n v="1"/>
    <x v="0"/>
    <x v="0"/>
    <x v="0"/>
    <x v="0"/>
    <m/>
    <x v="0"/>
    <x v="0"/>
    <n v="1"/>
    <x v="0"/>
    <x v="0"/>
    <n v="1"/>
  </r>
  <r>
    <m/>
    <d v="2005-02-23T00:00:00"/>
    <s v="SPC_1"/>
    <x v="9"/>
    <x v="0"/>
    <s v="HALIM"/>
    <s v="PACK NVH Entry"/>
    <s v="PACK NVH Entry"/>
    <s v="insono passage de roue (propa faible  (280g)"/>
    <s v="20/04/2026 LM Appliqué en BDD_x000a_16/03/2026 Essai en cours retout CW13"/>
    <s v="20/04/2026"/>
    <m/>
    <m/>
    <m/>
    <m/>
    <s v="o"/>
    <x v="1"/>
    <s v="TBD"/>
    <n v="1"/>
    <n v="-0.28000000000000003"/>
    <n v="-0.28000000000000003"/>
    <n v="1"/>
    <n v="1"/>
    <n v="1"/>
    <n v="1"/>
    <n v="1"/>
    <m/>
    <m/>
    <m/>
    <m/>
    <m/>
    <m/>
    <m/>
    <m/>
    <m/>
    <m/>
    <m/>
    <m/>
    <m/>
    <x v="0"/>
    <n v="1"/>
    <n v="1"/>
    <x v="0"/>
    <x v="0"/>
    <x v="0"/>
    <x v="0"/>
    <m/>
    <x v="0"/>
    <x v="0"/>
    <n v="1"/>
    <x v="0"/>
    <x v="0"/>
    <n v="1"/>
  </r>
  <r>
    <m/>
    <d v="2026-02-25T00:00:00"/>
    <s v="SPC_1"/>
    <x v="1"/>
    <x v="0"/>
    <s v="MICHAEL BORE"/>
    <s v="Volet Composite"/>
    <s v="Composite tailgate"/>
    <s v="Optimisation concept intégéré avec lighting (fusion boitier de feu avec pièce d'étanchéité)"/>
    <s v="06/03/2026 LM : Mise à jour du descriptif_x000a_"/>
    <m/>
    <m/>
    <m/>
    <m/>
    <m/>
    <s v="DECISION ?"/>
    <x v="2"/>
    <m/>
    <n v="1"/>
    <n v="-2.5"/>
    <n v="-2.5"/>
    <n v="1"/>
    <n v="1"/>
    <n v="1"/>
    <n v="1"/>
    <n v="1"/>
    <m/>
    <m/>
    <m/>
    <m/>
    <m/>
    <m/>
    <m/>
    <m/>
    <m/>
    <m/>
    <m/>
    <m/>
    <m/>
    <x v="0"/>
    <n v="1"/>
    <n v="1"/>
    <x v="0"/>
    <x v="0"/>
    <x v="0"/>
    <x v="1"/>
    <n v="1"/>
    <x v="0"/>
    <x v="0"/>
    <n v="1"/>
    <x v="0"/>
    <x v="0"/>
    <n v="1"/>
  </r>
  <r>
    <m/>
    <d v="2026-02-25T00:00:00"/>
    <s v="SPC_1"/>
    <x v="1"/>
    <x v="0"/>
    <s v="MICHAEL BORE"/>
    <s v="Volet Composite"/>
    <s v="New design"/>
    <s v="Changement de concept volet coiffant : de complet cover à upper cover with lighting"/>
    <s v="06/03/2026 LM : Mise à jour du descriptif_x000a_"/>
    <m/>
    <m/>
    <m/>
    <m/>
    <m/>
    <s v="DECISION ?"/>
    <x v="2"/>
    <m/>
    <n v="1"/>
    <n v="-4"/>
    <n v="-4"/>
    <n v="1"/>
    <n v="1"/>
    <n v="1"/>
    <n v="1"/>
    <n v="1"/>
    <m/>
    <m/>
    <m/>
    <m/>
    <m/>
    <m/>
    <m/>
    <m/>
    <m/>
    <m/>
    <m/>
    <m/>
    <m/>
    <x v="0"/>
    <n v="1"/>
    <n v="1"/>
    <x v="0"/>
    <x v="0"/>
    <x v="1"/>
    <x v="0"/>
    <m/>
    <x v="1"/>
    <x v="1"/>
    <m/>
    <x v="1"/>
    <x v="1"/>
    <m/>
  </r>
  <r>
    <m/>
    <d v="2026-02-25T00:00:00"/>
    <s v="SPC_1"/>
    <x v="1"/>
    <x v="0"/>
    <s v="MICHAEL BORE"/>
    <s v="Volet Composite"/>
    <s v="New design"/>
    <s v="passage de volet coiffant à encastré"/>
    <s v="06/03/2026 LM : Mise à jour du descriptif_x000a_"/>
    <m/>
    <m/>
    <m/>
    <m/>
    <m/>
    <s v="DECISION ?"/>
    <x v="0"/>
    <m/>
    <n v="0.1"/>
    <n v="-6"/>
    <n v="-0.60000000000000009"/>
    <n v="1"/>
    <n v="1"/>
    <n v="1"/>
    <n v="1"/>
    <n v="1"/>
    <m/>
    <m/>
    <m/>
    <m/>
    <m/>
    <m/>
    <m/>
    <m/>
    <m/>
    <m/>
    <m/>
    <m/>
    <m/>
    <x v="0"/>
    <n v="1"/>
    <n v="1"/>
    <x v="0"/>
    <x v="0"/>
    <x v="1"/>
    <x v="0"/>
    <m/>
    <x v="1"/>
    <x v="1"/>
    <m/>
    <x v="1"/>
    <x v="1"/>
    <m/>
  </r>
  <r>
    <m/>
    <d v="2026-02-25T00:00:00"/>
    <s v="SP1"/>
    <x v="10"/>
    <x v="1"/>
    <s v="SYLVAIN MAGDELAINE"/>
    <s v="supp risque "/>
    <s v="Risk cancel"/>
    <s v="Fuel tank =&gt; 40 (44, +1) et 45 (47, +0,5)  HEV préssurisé / non préssurisé MHEV (TPC ?). Goulotte métal. Voir le réservoir de CMP annoncé à 9,3kg avec une capacité de 44kg"/>
    <m/>
    <m/>
    <m/>
    <m/>
    <m/>
    <m/>
    <s v="WS"/>
    <x v="2"/>
    <m/>
    <n v="1"/>
    <n v="-8"/>
    <n v="-8"/>
    <n v="1"/>
    <n v="1"/>
    <n v="1"/>
    <n v="1"/>
    <n v="1"/>
    <m/>
    <m/>
    <m/>
    <m/>
    <m/>
    <m/>
    <m/>
    <m/>
    <m/>
    <m/>
    <m/>
    <m/>
    <m/>
    <x v="1"/>
    <m/>
    <m/>
    <x v="0"/>
    <x v="0"/>
    <x v="1"/>
    <x v="1"/>
    <n v="1"/>
    <x v="0"/>
    <x v="1"/>
    <m/>
    <x v="0"/>
    <x v="0"/>
    <n v="1"/>
  </r>
  <r>
    <m/>
    <d v="2026-02-25T00:00:00"/>
    <s v="SP1"/>
    <x v="4"/>
    <x v="0"/>
    <s v="FREDERIC GUINGAND"/>
    <s v="Roue 17&quot;"/>
    <s v="Wheel 17&quot; "/>
    <s v="17'' =&gt; 235/60R17 sur les MHEV de J1X (=&gt; J2U ? =&gt; P3U ?). =&gt; Adrien 4kg à confirmer"/>
    <m/>
    <m/>
    <m/>
    <m/>
    <m/>
    <m/>
    <s v="DECISION ?"/>
    <x v="2"/>
    <m/>
    <n v="1"/>
    <n v="-4"/>
    <n v="-4"/>
    <n v="1"/>
    <n v="1"/>
    <n v="1"/>
    <n v="1"/>
    <n v="1"/>
    <m/>
    <m/>
    <m/>
    <m/>
    <m/>
    <m/>
    <m/>
    <m/>
    <m/>
    <m/>
    <m/>
    <m/>
    <m/>
    <x v="1"/>
    <m/>
    <m/>
    <x v="0"/>
    <x v="1"/>
    <x v="1"/>
    <x v="1"/>
    <m/>
    <x v="1"/>
    <x v="1"/>
    <m/>
    <x v="0"/>
    <x v="1"/>
    <m/>
  </r>
  <r>
    <m/>
    <d v="2026-02-25T00:00:00"/>
    <s v="SPC_1"/>
    <x v="1"/>
    <x v="0"/>
    <s v="MICHAEL BORE"/>
    <s v="Feu AV "/>
    <s v="headlamp "/>
    <s v="Headlamp P3U. Proposition de déclinaison entry =&gt; -5kg"/>
    <s v="06/03/2026 LM : déjà appliqué en BDD"/>
    <m/>
    <m/>
    <m/>
    <m/>
    <m/>
    <s v="DECISION ?"/>
    <x v="1"/>
    <m/>
    <n v="1"/>
    <n v="-5"/>
    <n v="-5"/>
    <n v="1"/>
    <n v="1"/>
    <n v="1"/>
    <n v="1"/>
    <n v="1"/>
    <m/>
    <m/>
    <m/>
    <m/>
    <m/>
    <m/>
    <m/>
    <m/>
    <m/>
    <m/>
    <m/>
    <m/>
    <m/>
    <x v="0"/>
    <n v="1"/>
    <n v="1"/>
    <x v="0"/>
    <x v="0"/>
    <x v="1"/>
    <x v="0"/>
    <m/>
    <x v="1"/>
    <x v="1"/>
    <m/>
    <x v="1"/>
    <x v="1"/>
    <m/>
  </r>
  <r>
    <m/>
    <d v="2026-02-25T00:00:00"/>
    <s v="SPC_1"/>
    <x v="1"/>
    <x v="0"/>
    <s v="MICHAEL BORE"/>
    <s v="DRL "/>
    <s v="DRL "/>
    <s v="relimiter la taille des DRL en  (Y ext)"/>
    <m/>
    <m/>
    <m/>
    <m/>
    <m/>
    <m/>
    <s v="WS"/>
    <x v="2"/>
    <m/>
    <n v="1"/>
    <n v="-0.3"/>
    <n v="-0.3"/>
    <m/>
    <m/>
    <m/>
    <m/>
    <m/>
    <m/>
    <m/>
    <m/>
    <m/>
    <m/>
    <m/>
    <m/>
    <m/>
    <m/>
    <m/>
    <m/>
    <m/>
    <m/>
    <x v="0"/>
    <n v="1"/>
    <n v="1"/>
    <x v="0"/>
    <x v="0"/>
    <x v="1"/>
    <x v="0"/>
    <m/>
    <x v="1"/>
    <x v="1"/>
    <m/>
    <x v="1"/>
    <x v="1"/>
    <m/>
  </r>
  <r>
    <m/>
    <d v="2026-02-25T00:00:00"/>
    <s v="SP1"/>
    <x v="9"/>
    <x v="0"/>
    <s v="Hugues laurant "/>
    <s v="COI "/>
    <m/>
    <s v="COI  XeV = -0,5kg"/>
    <m/>
    <m/>
    <m/>
    <m/>
    <m/>
    <m/>
    <s v="x"/>
    <x v="0"/>
    <m/>
    <n v="0.25"/>
    <n v="-0.5"/>
    <n v="-0.125"/>
    <n v="1"/>
    <n v="1"/>
    <n v="1"/>
    <n v="1"/>
    <n v="1"/>
    <m/>
    <m/>
    <m/>
    <m/>
    <m/>
    <m/>
    <m/>
    <m/>
    <m/>
    <m/>
    <m/>
    <m/>
    <m/>
    <x v="0"/>
    <n v="1"/>
    <n v="1"/>
    <x v="0"/>
    <x v="0"/>
    <x v="1"/>
    <x v="0"/>
    <m/>
    <x v="1"/>
    <x v="1"/>
    <m/>
    <x v="1"/>
    <x v="1"/>
    <m/>
  </r>
  <r>
    <m/>
    <d v="2026-02-25T00:00:00"/>
    <s v="SP1"/>
    <x v="4"/>
    <x v="1"/>
    <s v="FREDERIC GUINGAND"/>
    <s v="Train  "/>
    <s v="Axle "/>
    <s v="update Nouveau point C Masse ? "/>
    <m/>
    <m/>
    <m/>
    <m/>
    <m/>
    <m/>
    <s v="WS"/>
    <x v="2"/>
    <m/>
    <n v="1"/>
    <m/>
    <n v="0"/>
    <n v="1"/>
    <n v="1"/>
    <n v="1"/>
    <n v="1"/>
    <n v="1"/>
    <m/>
    <m/>
    <m/>
    <m/>
    <m/>
    <m/>
    <m/>
    <m/>
    <m/>
    <m/>
    <m/>
    <m/>
    <m/>
    <x v="0"/>
    <n v="1"/>
    <n v="1"/>
    <x v="0"/>
    <x v="0"/>
    <x v="1"/>
    <x v="0"/>
    <m/>
    <x v="1"/>
    <x v="1"/>
    <m/>
    <x v="1"/>
    <x v="1"/>
    <m/>
  </r>
  <r>
    <m/>
    <d v="2026-02-25T00:00:00"/>
    <s v="SP1"/>
    <x v="4"/>
    <x v="1"/>
    <s v="FREDERIC GUINGAND"/>
    <s v="direction  "/>
    <s v="antitheft steering"/>
    <s v="antitheft steering masse ? Pour 20€ : UN braking topic"/>
    <m/>
    <m/>
    <m/>
    <m/>
    <m/>
    <m/>
    <s v="WS"/>
    <x v="2"/>
    <m/>
    <n v="1"/>
    <m/>
    <n v="0"/>
    <n v="1"/>
    <n v="1"/>
    <n v="1"/>
    <n v="1"/>
    <n v="1"/>
    <m/>
    <m/>
    <m/>
    <m/>
    <m/>
    <m/>
    <m/>
    <m/>
    <m/>
    <m/>
    <m/>
    <m/>
    <m/>
    <x v="0"/>
    <n v="1"/>
    <n v="1"/>
    <x v="0"/>
    <x v="0"/>
    <x v="0"/>
    <x v="1"/>
    <n v="1"/>
    <x v="0"/>
    <x v="0"/>
    <n v="1"/>
    <x v="0"/>
    <x v="0"/>
    <n v="1"/>
  </r>
  <r>
    <m/>
    <d v="2026-02-25T00:00:00"/>
    <s v="SP1"/>
    <x v="22"/>
    <x v="0"/>
    <s v="Damien Demougeot/_x000a_Cyrille P1X"/>
    <s v="Lecheur "/>
    <m/>
    <s v="Lecheur standard sur Jeep =&gt; masse ? "/>
    <m/>
    <m/>
    <m/>
    <m/>
    <m/>
    <m/>
    <s v="WS"/>
    <x v="0"/>
    <m/>
    <n v="1"/>
    <m/>
    <n v="0"/>
    <n v="1"/>
    <n v="1"/>
    <n v="1"/>
    <n v="1"/>
    <n v="1"/>
    <m/>
    <m/>
    <m/>
    <m/>
    <m/>
    <m/>
    <m/>
    <m/>
    <m/>
    <m/>
    <m/>
    <m/>
    <m/>
    <x v="1"/>
    <m/>
    <m/>
    <x v="1"/>
    <x v="1"/>
    <x v="0"/>
    <x v="1"/>
    <n v="1"/>
    <x v="0"/>
    <x v="0"/>
    <n v="1"/>
    <x v="0"/>
    <x v="0"/>
    <n v="1"/>
  </r>
  <r>
    <m/>
    <d v="2026-02-25T00:00:00"/>
    <s v="SP1"/>
    <x v="6"/>
    <x v="1"/>
    <m/>
    <s v="Batterie 12V "/>
    <s v="12V battery "/>
    <s v="Batterie li-ion =&gt;  plomb + new packaging (11+3)"/>
    <m/>
    <m/>
    <m/>
    <m/>
    <m/>
    <m/>
    <s v="DECISION ?"/>
    <x v="2"/>
    <m/>
    <n v="1"/>
    <n v="14"/>
    <n v="14"/>
    <n v="1"/>
    <n v="1"/>
    <n v="1"/>
    <n v="1"/>
    <n v="1"/>
    <m/>
    <m/>
    <m/>
    <m/>
    <m/>
    <m/>
    <m/>
    <m/>
    <m/>
    <m/>
    <m/>
    <m/>
    <m/>
    <x v="1"/>
    <m/>
    <m/>
    <x v="0"/>
    <x v="0"/>
    <x v="1"/>
    <x v="1"/>
    <n v="1"/>
    <x v="0"/>
    <x v="1"/>
    <m/>
    <x v="0"/>
    <x v="0"/>
    <n v="1"/>
  </r>
  <r>
    <m/>
    <d v="2026-02-25T00:00:00"/>
    <s v="SPC_1"/>
    <x v="9"/>
    <x v="0"/>
    <s v="HALIM"/>
    <s v="TAPIS"/>
    <s v="Carpet insulation"/>
    <s v="optim tapis XHEV / BEV =-1kg / BEV "/>
    <m/>
    <m/>
    <m/>
    <m/>
    <m/>
    <m/>
    <s v="WS"/>
    <x v="0"/>
    <m/>
    <n v="1"/>
    <m/>
    <n v="0"/>
    <n v="1"/>
    <n v="1"/>
    <n v="1"/>
    <n v="1"/>
    <n v="1"/>
    <m/>
    <m/>
    <m/>
    <m/>
    <m/>
    <m/>
    <m/>
    <m/>
    <m/>
    <m/>
    <m/>
    <m/>
    <m/>
    <x v="1"/>
    <m/>
    <m/>
    <x v="0"/>
    <x v="0"/>
    <x v="1"/>
    <x v="1"/>
    <n v="1"/>
    <x v="0"/>
    <x v="1"/>
    <m/>
    <x v="0"/>
    <x v="0"/>
    <n v="1"/>
  </r>
  <r>
    <m/>
    <d v="2026-02-25T00:00:00"/>
    <s v="SP1"/>
    <x v="6"/>
    <x v="1"/>
    <m/>
    <s v="Batterie 12V "/>
    <s v="12V battery "/>
    <s v="Batterie li-ion =&gt;  balancing battery 20ha _x000a_SAFETY ?  En partant de la version PLOMB"/>
    <m/>
    <m/>
    <m/>
    <m/>
    <m/>
    <m/>
    <s v="DECISION ?"/>
    <x v="2"/>
    <m/>
    <n v="1"/>
    <n v="-17"/>
    <n v="-17"/>
    <n v="1"/>
    <n v="1"/>
    <n v="1"/>
    <n v="1"/>
    <n v="1"/>
    <m/>
    <m/>
    <m/>
    <m/>
    <m/>
    <m/>
    <m/>
    <m/>
    <m/>
    <m/>
    <m/>
    <m/>
    <m/>
    <x v="1"/>
    <m/>
    <m/>
    <x v="0"/>
    <x v="0"/>
    <x v="1"/>
    <x v="1"/>
    <n v="1"/>
    <x v="0"/>
    <x v="1"/>
    <m/>
    <x v="0"/>
    <x v="0"/>
    <n v="1"/>
  </r>
  <r>
    <m/>
    <d v="2026-02-25T00:00:00"/>
    <s v="SPC_1"/>
    <x v="5"/>
    <x v="0"/>
    <s v="Damien Demougeot"/>
    <s v="Porte AV : Renfort "/>
    <s v="optim design"/>
    <s v="renfort choc lat en embout à chaud "/>
    <s v="13/03/2026 LM BDD à Jour_x000a_27/02/2026 LM_x000a_BDD à mettre à jour"/>
    <m/>
    <m/>
    <m/>
    <m/>
    <m/>
    <s v="o"/>
    <x v="1"/>
    <m/>
    <n v="1"/>
    <n v="-0.5"/>
    <n v="-0.5"/>
    <m/>
    <m/>
    <m/>
    <m/>
    <m/>
    <m/>
    <m/>
    <m/>
    <m/>
    <m/>
    <m/>
    <m/>
    <m/>
    <m/>
    <m/>
    <m/>
    <m/>
    <m/>
    <x v="0"/>
    <n v="1"/>
    <n v="1"/>
    <x v="0"/>
    <x v="0"/>
    <x v="0"/>
    <x v="1"/>
    <n v="1"/>
    <x v="0"/>
    <x v="0"/>
    <n v="1"/>
    <x v="0"/>
    <x v="0"/>
    <n v="1"/>
  </r>
  <r>
    <m/>
    <d v="2026-02-25T00:00:00"/>
    <s v="SPC_1"/>
    <x v="0"/>
    <x v="0"/>
    <s v="FRANK BAILLON"/>
    <s v="Pavillon AR"/>
    <s v="Rear roof reinforcer"/>
    <s v="Embout à chaud autre politech ( ex renfort pavillion)"/>
    <s v="24/03/2026 LM_x000a_point avec Mathieu Barbier"/>
    <m/>
    <m/>
    <m/>
    <m/>
    <m/>
    <m/>
    <x v="2"/>
    <m/>
    <n v="0"/>
    <m/>
    <n v="0"/>
    <m/>
    <m/>
    <m/>
    <m/>
    <m/>
    <m/>
    <m/>
    <m/>
    <m/>
    <m/>
    <m/>
    <m/>
    <m/>
    <m/>
    <m/>
    <m/>
    <m/>
    <m/>
    <x v="0"/>
    <n v="1"/>
    <n v="1"/>
    <x v="0"/>
    <x v="0"/>
    <x v="0"/>
    <x v="1"/>
    <n v="1"/>
    <x v="0"/>
    <x v="0"/>
    <n v="1"/>
    <x v="0"/>
    <x v="0"/>
    <n v="1"/>
  </r>
  <r>
    <n v="117"/>
    <d v="2025-09-09T00:00:00"/>
    <s v="SPC_1"/>
    <x v="20"/>
    <x v="2"/>
    <s v="Paul patenotte"/>
    <s v="EGR BP "/>
    <s v="EGR BP "/>
    <s v="GMP "/>
    <m/>
    <m/>
    <m/>
    <m/>
    <m/>
    <m/>
    <s v="?"/>
    <x v="2"/>
    <s v="TBD"/>
    <n v="1"/>
    <n v="-1"/>
    <n v="-1"/>
    <m/>
    <m/>
    <m/>
    <n v="1"/>
    <m/>
    <m/>
    <m/>
    <n v="1"/>
    <m/>
    <m/>
    <m/>
    <m/>
    <n v="1"/>
    <m/>
    <m/>
    <m/>
    <n v="1"/>
    <m/>
    <x v="1"/>
    <m/>
    <m/>
    <x v="1"/>
    <x v="0"/>
    <x v="1"/>
    <x v="0"/>
    <m/>
    <x v="0"/>
    <x v="1"/>
    <m/>
    <x v="1"/>
    <x v="0"/>
    <n v="1"/>
  </r>
  <r>
    <n v="233"/>
    <d v="2026-03-02T00:00:00"/>
    <s v="SPC_1"/>
    <x v="2"/>
    <x v="0"/>
    <s v="FREDERIC BRUNIER"/>
    <s v="Insono Console"/>
    <s v="optim design"/>
    <s v="Insono Lat AV Console +10/20g"/>
    <s v="16/03/2026 lm ligne à supprimer_x000a_repris dans la lihne 130"/>
    <s v="SFM"/>
    <m/>
    <m/>
    <m/>
    <m/>
    <s v="o"/>
    <x v="0"/>
    <m/>
    <n v="0.5"/>
    <m/>
    <n v="0"/>
    <n v="1"/>
    <n v="1"/>
    <n v="1"/>
    <n v="1"/>
    <n v="1"/>
    <n v="1"/>
    <n v="1"/>
    <n v="1"/>
    <n v="1"/>
    <n v="1"/>
    <n v="1"/>
    <n v="1"/>
    <n v="1"/>
    <n v="1"/>
    <n v="1"/>
    <n v="1"/>
    <n v="1"/>
    <n v="1"/>
    <x v="0"/>
    <n v="1"/>
    <n v="1"/>
    <x v="0"/>
    <x v="0"/>
    <x v="0"/>
    <x v="1"/>
    <n v="1"/>
    <x v="0"/>
    <x v="0"/>
    <n v="1"/>
    <x v="0"/>
    <x v="0"/>
    <n v="1"/>
  </r>
  <r>
    <n v="233"/>
    <d v="2026-03-02T00:00:00"/>
    <s v="SPC_1"/>
    <x v="2"/>
    <x v="0"/>
    <s v="FREDERIC BRUNIER"/>
    <s v="Insono Console"/>
    <s v="optim design"/>
    <s v="Insono AR Console -50g "/>
    <s v="16/03/2026 lm ligne à supprimer_x000a_repris dans la lihne 130"/>
    <s v="SFM"/>
    <m/>
    <m/>
    <m/>
    <m/>
    <s v="o"/>
    <x v="0"/>
    <m/>
    <n v="0.5"/>
    <m/>
    <n v="0"/>
    <n v="1"/>
    <n v="1"/>
    <n v="1"/>
    <n v="1"/>
    <n v="1"/>
    <n v="1"/>
    <n v="1"/>
    <n v="1"/>
    <n v="1"/>
    <n v="1"/>
    <n v="1"/>
    <n v="1"/>
    <n v="1"/>
    <n v="1"/>
    <n v="1"/>
    <n v="1"/>
    <n v="1"/>
    <n v="1"/>
    <x v="0"/>
    <n v="1"/>
    <n v="1"/>
    <x v="0"/>
    <x v="0"/>
    <x v="0"/>
    <x v="1"/>
    <n v="1"/>
    <x v="0"/>
    <x v="0"/>
    <n v="1"/>
    <x v="0"/>
    <x v="0"/>
    <n v="1"/>
  </r>
  <r>
    <n v="233"/>
    <d v="2026-03-02T00:00:00"/>
    <s v="SPC_1"/>
    <x v="2"/>
    <x v="0"/>
    <s v="FREDERIC BRUNIER"/>
    <s v="Insono Console"/>
    <s v="optim design"/>
    <s v="Insono Lat CENT Console -100 g"/>
    <s v="16/03/2026 lm ligne à supprimer_x000a_repris dans la lihne 130"/>
    <s v="SFM"/>
    <m/>
    <m/>
    <m/>
    <m/>
    <s v="o"/>
    <x v="0"/>
    <m/>
    <n v="0.5"/>
    <m/>
    <n v="0"/>
    <n v="1"/>
    <n v="1"/>
    <n v="1"/>
    <n v="1"/>
    <n v="1"/>
    <n v="1"/>
    <n v="1"/>
    <n v="1"/>
    <n v="1"/>
    <n v="1"/>
    <n v="1"/>
    <n v="1"/>
    <n v="1"/>
    <n v="1"/>
    <n v="1"/>
    <n v="1"/>
    <n v="1"/>
    <n v="1"/>
    <x v="0"/>
    <n v="1"/>
    <n v="1"/>
    <x v="0"/>
    <x v="0"/>
    <x v="0"/>
    <x v="1"/>
    <n v="1"/>
    <x v="0"/>
    <x v="0"/>
    <n v="1"/>
    <x v="0"/>
    <x v="0"/>
    <n v="1"/>
  </r>
  <r>
    <n v="233"/>
    <d v="2026-03-02T00:00:00"/>
    <s v="SPC_1"/>
    <x v="11"/>
    <x v="1"/>
    <s v="Maxence DHENIN"/>
    <s v="Insono Collecteur"/>
    <s v="optim design"/>
    <s v="Ins Collecteur AUVENT"/>
    <m/>
    <s v="SFM"/>
    <m/>
    <m/>
    <m/>
    <m/>
    <s v="o"/>
    <x v="2"/>
    <m/>
    <n v="0"/>
    <m/>
    <n v="0"/>
    <n v="1"/>
    <n v="1"/>
    <n v="1"/>
    <n v="1"/>
    <n v="1"/>
    <n v="1"/>
    <n v="1"/>
    <n v="1"/>
    <n v="1"/>
    <n v="1"/>
    <n v="1"/>
    <n v="1"/>
    <n v="1"/>
    <n v="1"/>
    <n v="1"/>
    <n v="1"/>
    <n v="1"/>
    <n v="1"/>
    <x v="0"/>
    <n v="1"/>
    <n v="1"/>
    <x v="0"/>
    <x v="0"/>
    <x v="0"/>
    <x v="1"/>
    <n v="1"/>
    <x v="0"/>
    <x v="0"/>
    <n v="1"/>
    <x v="0"/>
    <x v="0"/>
    <n v="1"/>
  </r>
  <r>
    <m/>
    <d v="2026-03-03T00:00:00"/>
    <s v="SPC_1"/>
    <x v="11"/>
    <x v="1"/>
    <s v="NICOLAS TESSIER"/>
    <s v="optim design Front unit "/>
    <s v="optim design Front unit "/>
    <s v="optim liaison Brancard tunnel "/>
    <m/>
    <m/>
    <m/>
    <m/>
    <m/>
    <m/>
    <s v="o"/>
    <x v="1"/>
    <s v="TBD"/>
    <n v="0.75"/>
    <n v="-1"/>
    <n v="-0.75"/>
    <n v="1"/>
    <n v="1"/>
    <m/>
    <n v="1"/>
    <n v="1"/>
    <n v="1"/>
    <m/>
    <m/>
    <n v="1"/>
    <n v="1"/>
    <n v="1"/>
    <m/>
    <m/>
    <m/>
    <m/>
    <m/>
    <m/>
    <m/>
    <x v="1"/>
    <m/>
    <m/>
    <x v="0"/>
    <x v="0"/>
    <x v="1"/>
    <x v="1"/>
    <n v="1"/>
    <x v="0"/>
    <x v="1"/>
    <m/>
    <x v="0"/>
    <x v="0"/>
    <n v="1"/>
  </r>
  <r>
    <m/>
    <d v="2026-03-03T00:00:00"/>
    <s v="SPC_1"/>
    <x v="11"/>
    <x v="1"/>
    <s v="NICOLAS TESSIER"/>
    <s v="optim design Front unit "/>
    <s v="optim design Front unit "/>
    <s v="intergration dans semelle brancard  (renfort D/G travers tab+ liaison semelle "/>
    <m/>
    <m/>
    <m/>
    <m/>
    <m/>
    <m/>
    <s v="o"/>
    <x v="1"/>
    <s v="TBD"/>
    <n v="0.75"/>
    <n v="-2.5"/>
    <n v="-1.875"/>
    <n v="1"/>
    <n v="1"/>
    <m/>
    <n v="1"/>
    <n v="1"/>
    <n v="1"/>
    <m/>
    <m/>
    <n v="1"/>
    <n v="1"/>
    <n v="1"/>
    <m/>
    <m/>
    <m/>
    <m/>
    <m/>
    <m/>
    <m/>
    <x v="1"/>
    <m/>
    <m/>
    <x v="0"/>
    <x v="0"/>
    <x v="1"/>
    <x v="1"/>
    <n v="1"/>
    <x v="0"/>
    <x v="1"/>
    <m/>
    <x v="0"/>
    <x v="0"/>
    <n v="1"/>
  </r>
  <r>
    <m/>
    <d v="2026-03-03T00:00:00"/>
    <s v="SPC_1"/>
    <x v="11"/>
    <x v="1"/>
    <s v="NICOLAS TESSIER"/>
    <s v="optim design Front unit "/>
    <s v="optim design Front unit "/>
    <s v="Supp embout travs lat de tablier "/>
    <m/>
    <m/>
    <m/>
    <m/>
    <m/>
    <m/>
    <s v="o"/>
    <x v="1"/>
    <s v="TBD"/>
    <n v="0.75"/>
    <n v="-1.45"/>
    <n v="-1.0874999999999999"/>
    <n v="1"/>
    <n v="1"/>
    <m/>
    <n v="1"/>
    <n v="1"/>
    <n v="1"/>
    <m/>
    <m/>
    <n v="1"/>
    <n v="1"/>
    <n v="1"/>
    <m/>
    <m/>
    <m/>
    <m/>
    <m/>
    <m/>
    <m/>
    <x v="1"/>
    <m/>
    <m/>
    <x v="0"/>
    <x v="0"/>
    <x v="1"/>
    <x v="1"/>
    <n v="1"/>
    <x v="0"/>
    <x v="1"/>
    <m/>
    <x v="0"/>
    <x v="0"/>
    <n v="1"/>
  </r>
  <r>
    <m/>
    <d v="2026-03-03T00:00:00"/>
    <s v="SPC_1"/>
    <x v="11"/>
    <x v="1"/>
    <s v="NICOLAS TESSIER"/>
    <s v="optim design Front unit "/>
    <s v="optim design Rr unit "/>
    <s v="Torsion caisse ( optim eppaiseur sur CAD0) "/>
    <m/>
    <m/>
    <m/>
    <m/>
    <m/>
    <m/>
    <s v="o"/>
    <x v="1"/>
    <s v="TBD"/>
    <n v="1"/>
    <n v="-5"/>
    <n v="-5"/>
    <n v="1"/>
    <n v="1"/>
    <m/>
    <n v="1"/>
    <n v="1"/>
    <n v="1"/>
    <m/>
    <m/>
    <n v="1"/>
    <n v="1"/>
    <n v="1"/>
    <m/>
    <m/>
    <m/>
    <m/>
    <m/>
    <m/>
    <m/>
    <x v="1"/>
    <m/>
    <m/>
    <x v="0"/>
    <x v="0"/>
    <x v="1"/>
    <x v="1"/>
    <n v="1"/>
    <x v="0"/>
    <x v="1"/>
    <m/>
    <x v="0"/>
    <x v="0"/>
    <n v="1"/>
  </r>
  <r>
    <m/>
    <d v="2026-03-03T00:00:00"/>
    <s v="SPC_1"/>
    <x v="11"/>
    <x v="1"/>
    <s v="NICOLAS TESSIER"/>
    <s v="optim design Front unit "/>
    <s v="optim design side "/>
    <s v="suppression des RAIDISSEUR INF PIED AV D/G "/>
    <m/>
    <m/>
    <m/>
    <m/>
    <m/>
    <m/>
    <s v="o"/>
    <x v="1"/>
    <s v="TBD"/>
    <n v="0.75"/>
    <n v="-3.17"/>
    <n v="-2.3774999999999999"/>
    <n v="1"/>
    <n v="1"/>
    <m/>
    <n v="1"/>
    <n v="1"/>
    <n v="1"/>
    <m/>
    <m/>
    <n v="1"/>
    <n v="1"/>
    <n v="1"/>
    <m/>
    <m/>
    <m/>
    <m/>
    <m/>
    <m/>
    <m/>
    <x v="1"/>
    <m/>
    <m/>
    <x v="0"/>
    <x v="0"/>
    <x v="1"/>
    <x v="1"/>
    <n v="1"/>
    <x v="0"/>
    <x v="1"/>
    <m/>
    <x v="0"/>
    <x v="0"/>
    <n v="1"/>
  </r>
  <r>
    <m/>
    <d v="2026-03-04T00:00:00"/>
    <s v="SPC_1"/>
    <x v="10"/>
    <x v="1"/>
    <s v="SYLVAIN MAGDELAINE"/>
    <s v="optim design exhaust"/>
    <s v="optim design exhaust"/>
    <s v="Echappement type clio 6"/>
    <m/>
    <m/>
    <m/>
    <m/>
    <m/>
    <m/>
    <s v="o"/>
    <x v="2"/>
    <s v="TBD"/>
    <n v="0.5"/>
    <n v="-3"/>
    <n v="-1.5"/>
    <n v="1"/>
    <n v="1"/>
    <m/>
    <n v="1"/>
    <n v="1"/>
    <n v="1"/>
    <m/>
    <m/>
    <n v="1"/>
    <n v="1"/>
    <n v="1"/>
    <m/>
    <m/>
    <m/>
    <m/>
    <m/>
    <m/>
    <m/>
    <x v="1"/>
    <m/>
    <m/>
    <x v="0"/>
    <x v="0"/>
    <x v="1"/>
    <x v="1"/>
    <n v="1"/>
    <x v="0"/>
    <x v="1"/>
    <m/>
    <x v="0"/>
    <x v="0"/>
    <n v="1"/>
  </r>
  <r>
    <m/>
    <d v="2026-03-09T00:00:00"/>
    <s v="SPC_1"/>
    <x v="9"/>
    <x v="0"/>
    <s v="HALIM"/>
    <s v="cache chappe coffre"/>
    <m/>
    <s v="2 Carter 40/20/40"/>
    <m/>
    <m/>
    <m/>
    <m/>
    <m/>
    <m/>
    <s v="o"/>
    <x v="2"/>
    <s v="TBD"/>
    <n v="1"/>
    <n v="0.14000000000000001"/>
    <n v="0.14000000000000001"/>
    <n v="1"/>
    <n v="1"/>
    <n v="1"/>
    <n v="1"/>
    <n v="1"/>
    <m/>
    <m/>
    <m/>
    <m/>
    <m/>
    <m/>
    <m/>
    <m/>
    <m/>
    <m/>
    <m/>
    <m/>
    <m/>
    <x v="0"/>
    <n v="1"/>
    <n v="1"/>
    <x v="0"/>
    <x v="0"/>
    <x v="0"/>
    <x v="0"/>
    <m/>
    <x v="0"/>
    <x v="0"/>
    <n v="1"/>
    <x v="0"/>
    <x v="0"/>
    <n v="1"/>
  </r>
  <r>
    <m/>
    <d v="2026-02-25T00:00:00"/>
    <s v="SPC_1"/>
    <x v="4"/>
    <x v="1"/>
    <s v="FREDERIC GUINGAND"/>
    <s v="Fr disk 315 =&gt; 302 "/>
    <s v="Fr disk 315 =&gt; 302 "/>
    <m/>
    <m/>
    <m/>
    <s v="Plus support etrier à prendre en compte. Masse ? "/>
    <m/>
    <m/>
    <m/>
    <s v="x"/>
    <x v="1"/>
    <s v="TBD"/>
    <n v="1"/>
    <n v="-2.5"/>
    <n v="-2.5"/>
    <m/>
    <m/>
    <m/>
    <n v="1"/>
    <n v="1"/>
    <m/>
    <m/>
    <n v="1"/>
    <n v="1"/>
    <m/>
    <m/>
    <m/>
    <n v="1"/>
    <n v="1"/>
    <m/>
    <m/>
    <n v="1"/>
    <n v="1"/>
    <x v="1"/>
    <m/>
    <m/>
    <x v="1"/>
    <x v="0"/>
    <x v="1"/>
    <x v="0"/>
    <m/>
    <x v="0"/>
    <x v="1"/>
    <m/>
    <x v="1"/>
    <x v="0"/>
    <m/>
  </r>
  <r>
    <m/>
    <d v="2026-03-16T00:00:00"/>
    <s v="SPC_1"/>
    <x v="20"/>
    <x v="2"/>
    <s v="Gilles papet"/>
    <s v="Batterie pack "/>
    <s v="Houssing battery "/>
    <s v="Steel =&gt; alu (idee STLA-M)"/>
    <m/>
    <m/>
    <m/>
    <m/>
    <m/>
    <m/>
    <s v="o"/>
    <x v="2"/>
    <s v="TBD"/>
    <n v="0"/>
    <n v="-5"/>
    <n v="0"/>
    <m/>
    <m/>
    <m/>
    <n v="1"/>
    <m/>
    <m/>
    <m/>
    <n v="1"/>
    <m/>
    <m/>
    <m/>
    <m/>
    <n v="1"/>
    <m/>
    <m/>
    <m/>
    <n v="1"/>
    <m/>
    <x v="1"/>
    <m/>
    <m/>
    <x v="1"/>
    <x v="0"/>
    <x v="1"/>
    <x v="0"/>
    <m/>
    <x v="0"/>
    <x v="1"/>
    <m/>
    <x v="1"/>
    <x v="0"/>
    <n v="1"/>
  </r>
  <r>
    <m/>
    <d v="2026-03-16T00:00:00"/>
    <s v="SPC_1"/>
    <x v="10"/>
    <x v="1"/>
    <s v="SYLVAIN MAGDELAINE"/>
    <s v="Support EGR "/>
    <s v="EGR support "/>
    <s v="risk material (cast iron) "/>
    <m/>
    <m/>
    <m/>
    <m/>
    <m/>
    <m/>
    <s v="o"/>
    <x v="2"/>
    <s v="TBD"/>
    <n v="0.2"/>
    <n v="1.5"/>
    <n v="0.30000000000000004"/>
    <m/>
    <m/>
    <m/>
    <n v="1"/>
    <m/>
    <m/>
    <m/>
    <n v="1"/>
    <m/>
    <m/>
    <m/>
    <m/>
    <n v="1"/>
    <m/>
    <m/>
    <m/>
    <n v="1"/>
    <m/>
    <x v="1"/>
    <m/>
    <m/>
    <x v="0"/>
    <x v="0"/>
    <x v="1"/>
    <x v="1"/>
    <n v="1"/>
    <x v="0"/>
    <x v="1"/>
    <m/>
    <x v="0"/>
    <x v="0"/>
    <n v="1"/>
  </r>
  <r>
    <m/>
    <d v="2026-03-17T00:00:00"/>
    <s v="SPC_1"/>
    <x v="20"/>
    <x v="2"/>
    <s v="Paul patenotte"/>
    <s v="Batterie HEV "/>
    <s v="Risk HEV battey "/>
    <s v="tris to deviation "/>
    <m/>
    <m/>
    <m/>
    <m/>
    <m/>
    <m/>
    <s v="o"/>
    <x v="2"/>
    <s v="TBD"/>
    <n v="1"/>
    <n v="3"/>
    <n v="3"/>
    <m/>
    <m/>
    <m/>
    <n v="1"/>
    <m/>
    <m/>
    <m/>
    <n v="1"/>
    <m/>
    <m/>
    <m/>
    <m/>
    <n v="1"/>
    <m/>
    <m/>
    <m/>
    <n v="1"/>
    <m/>
    <x v="1"/>
    <m/>
    <m/>
    <x v="1"/>
    <x v="0"/>
    <x v="1"/>
    <x v="0"/>
    <m/>
    <x v="0"/>
    <x v="1"/>
    <m/>
    <x v="1"/>
    <x v="0"/>
    <n v="1"/>
  </r>
  <r>
    <m/>
    <d v="2026-03-17T00:00:00"/>
    <s v="SPC_1"/>
    <x v="20"/>
    <x v="2"/>
    <s v="Paul patenotte"/>
    <s v="IDCM"/>
    <s v="IDCM"/>
    <s v="optim "/>
    <m/>
    <m/>
    <m/>
    <m/>
    <m/>
    <m/>
    <s v="o"/>
    <x v="2"/>
    <s v="TBD"/>
    <n v="1"/>
    <n v="0.2"/>
    <n v="0.2"/>
    <m/>
    <m/>
    <m/>
    <n v="1"/>
    <m/>
    <m/>
    <m/>
    <n v="1"/>
    <m/>
    <m/>
    <m/>
    <m/>
    <n v="1"/>
    <m/>
    <m/>
    <m/>
    <n v="1"/>
    <m/>
    <x v="1"/>
    <m/>
    <m/>
    <x v="1"/>
    <x v="0"/>
    <x v="1"/>
    <x v="0"/>
    <m/>
    <x v="0"/>
    <x v="1"/>
    <m/>
    <x v="1"/>
    <x v="0"/>
    <n v="1"/>
  </r>
  <r>
    <m/>
    <d v="2026-03-03T00:00:00"/>
    <s v="SPC_1"/>
    <x v="11"/>
    <x v="1"/>
    <s v="NICOLAS TESSIER"/>
    <s v="Tow hook renfort "/>
    <s v="Tow hook reinforcement "/>
    <s v="adaptation pour tow hook "/>
    <m/>
    <m/>
    <m/>
    <m/>
    <m/>
    <m/>
    <s v="o"/>
    <x v="2"/>
    <s v="TBD"/>
    <n v="0"/>
    <n v="9"/>
    <n v="0"/>
    <n v="1"/>
    <n v="1"/>
    <m/>
    <n v="1"/>
    <n v="1"/>
    <n v="1"/>
    <m/>
    <m/>
    <n v="1"/>
    <n v="1"/>
    <n v="1"/>
    <m/>
    <m/>
    <m/>
    <m/>
    <m/>
    <m/>
    <m/>
    <x v="1"/>
    <m/>
    <n v="1"/>
    <x v="1"/>
    <x v="1"/>
    <x v="1"/>
    <x v="0"/>
    <n v="1"/>
    <x v="1"/>
    <x v="1"/>
    <m/>
    <x v="1"/>
    <x v="1"/>
    <n v="1"/>
  </r>
  <r>
    <m/>
    <d v="2026-03-27T00:00:00"/>
    <s v="SPC_1"/>
    <x v="0"/>
    <x v="0"/>
    <s v="FRANK BAILLON"/>
    <s v="Renfort longeron ASS"/>
    <m/>
    <s v="optimisation design renfort longeron HEV (plan masse CDPO)"/>
    <s v="27/03/2026 LM_x000a_nouveau sujet"/>
    <m/>
    <m/>
    <m/>
    <m/>
    <m/>
    <m/>
    <x v="2"/>
    <m/>
    <n v="0"/>
    <m/>
    <n v="0"/>
    <m/>
    <m/>
    <m/>
    <m/>
    <m/>
    <m/>
    <m/>
    <m/>
    <m/>
    <m/>
    <m/>
    <m/>
    <m/>
    <m/>
    <m/>
    <m/>
    <m/>
    <m/>
    <x v="0"/>
    <n v="1"/>
    <n v="1"/>
    <x v="0"/>
    <x v="0"/>
    <x v="0"/>
    <x v="1"/>
    <n v="1"/>
    <x v="0"/>
    <x v="0"/>
    <n v="1"/>
    <x v="0"/>
    <x v="0"/>
    <n v="1"/>
  </r>
  <r>
    <m/>
    <d v="2026-03-27T00:00:00"/>
    <s v="SPC_1"/>
    <x v="0"/>
    <x v="0"/>
    <s v="FRANK BAILLON"/>
    <s v="Doublure d'aile avant"/>
    <m/>
    <s v="Passage embout à chaud"/>
    <s v="27/03/2026 LM_x000a_nouveau sujet"/>
    <m/>
    <m/>
    <m/>
    <m/>
    <m/>
    <m/>
    <x v="2"/>
    <m/>
    <n v="0"/>
    <m/>
    <n v="0"/>
    <m/>
    <m/>
    <m/>
    <m/>
    <m/>
    <m/>
    <m/>
    <m/>
    <m/>
    <m/>
    <m/>
    <m/>
    <m/>
    <m/>
    <m/>
    <m/>
    <m/>
    <m/>
    <x v="0"/>
    <n v="1"/>
    <n v="1"/>
    <x v="0"/>
    <x v="0"/>
    <x v="0"/>
    <x v="1"/>
    <n v="1"/>
    <x v="0"/>
    <x v="0"/>
    <n v="1"/>
    <x v="0"/>
    <x v="0"/>
    <n v="1"/>
  </r>
  <r>
    <m/>
    <d v="2026-03-27T00:00:00"/>
    <s v="SPC_1"/>
    <x v="0"/>
    <x v="0"/>
    <s v="FRANK BAILLON"/>
    <s v="CAISSE en blanc"/>
    <m/>
    <s v="Ajout colle structurale"/>
    <s v="27/03/2026 LM_x000a_nouveau sujet"/>
    <m/>
    <m/>
    <m/>
    <m/>
    <m/>
    <m/>
    <x v="2"/>
    <m/>
    <n v="0"/>
    <m/>
    <n v="0"/>
    <m/>
    <m/>
    <m/>
    <m/>
    <m/>
    <m/>
    <m/>
    <m/>
    <m/>
    <m/>
    <m/>
    <m/>
    <m/>
    <m/>
    <m/>
    <m/>
    <m/>
    <m/>
    <x v="0"/>
    <n v="1"/>
    <n v="1"/>
    <x v="0"/>
    <x v="0"/>
    <x v="0"/>
    <x v="1"/>
    <n v="1"/>
    <x v="0"/>
    <x v="0"/>
    <n v="1"/>
    <x v="0"/>
    <x v="0"/>
    <n v="1"/>
  </r>
  <r>
    <m/>
    <d v="2026-03-27T00:00:00"/>
    <s v="SPC_1"/>
    <x v="0"/>
    <x v="0"/>
    <s v="FRANK BAILLON"/>
    <s v="grille entrée d'air auvent"/>
    <m/>
    <s v="réduction épaisseur"/>
    <s v="27/03/2026 LM_x000a_nouveau sujet"/>
    <m/>
    <m/>
    <m/>
    <m/>
    <m/>
    <m/>
    <x v="2"/>
    <m/>
    <n v="0"/>
    <m/>
    <n v="0"/>
    <m/>
    <m/>
    <m/>
    <m/>
    <m/>
    <m/>
    <m/>
    <m/>
    <m/>
    <m/>
    <m/>
    <m/>
    <m/>
    <m/>
    <m/>
    <m/>
    <m/>
    <m/>
    <x v="0"/>
    <n v="1"/>
    <n v="1"/>
    <x v="0"/>
    <x v="0"/>
    <x v="0"/>
    <x v="1"/>
    <n v="1"/>
    <x v="0"/>
    <x v="0"/>
    <n v="1"/>
    <x v="0"/>
    <x v="0"/>
    <n v="1"/>
  </r>
  <r>
    <m/>
    <d v="2026-03-27T00:00:00"/>
    <s v="SPC_1"/>
    <x v="0"/>
    <x v="0"/>
    <s v="FRANK BAILLON"/>
    <s v="grille entrée d'air auvent"/>
    <m/>
    <s v="Optimisation multi prestation"/>
    <s v="27/03/2026 LM_x000a_nouveau sujet"/>
    <m/>
    <m/>
    <m/>
    <m/>
    <m/>
    <m/>
    <x v="2"/>
    <m/>
    <n v="0"/>
    <m/>
    <n v="0"/>
    <m/>
    <m/>
    <m/>
    <m/>
    <m/>
    <m/>
    <m/>
    <m/>
    <m/>
    <m/>
    <m/>
    <m/>
    <m/>
    <m/>
    <m/>
    <m/>
    <m/>
    <m/>
    <x v="0"/>
    <n v="1"/>
    <n v="1"/>
    <x v="0"/>
    <x v="0"/>
    <x v="0"/>
    <x v="1"/>
    <n v="1"/>
    <x v="0"/>
    <x v="0"/>
    <n v="1"/>
    <x v="0"/>
    <x v="0"/>
    <n v="1"/>
  </r>
  <r>
    <m/>
    <d v="2026-03-03T00:00:00"/>
    <s v="SPC_1"/>
    <x v="11"/>
    <x v="1"/>
    <s v="NICOLAS TESSIER"/>
    <s v="optim design planche à talon "/>
    <s v="optim design Heel Board "/>
    <s v="planche à talon raboutage "/>
    <m/>
    <m/>
    <m/>
    <m/>
    <m/>
    <m/>
    <s v="o"/>
    <x v="2"/>
    <s v="TBD"/>
    <n v="0.75"/>
    <n v="-0.91700000000000004"/>
    <n v="-0.68775000000000008"/>
    <m/>
    <m/>
    <m/>
    <n v="1"/>
    <n v="1"/>
    <m/>
    <n v="1"/>
    <n v="1"/>
    <n v="1"/>
    <m/>
    <m/>
    <n v="1"/>
    <n v="1"/>
    <n v="1"/>
    <m/>
    <m/>
    <m/>
    <m/>
    <x v="1"/>
    <m/>
    <m/>
    <x v="0"/>
    <x v="0"/>
    <x v="1"/>
    <x v="0"/>
    <m/>
    <x v="1"/>
    <x v="1"/>
    <m/>
    <x v="0"/>
    <x v="0"/>
    <n v="1"/>
  </r>
  <r>
    <m/>
    <m/>
    <m/>
    <x v="19"/>
    <x v="4"/>
    <m/>
    <m/>
    <m/>
    <m/>
    <m/>
    <m/>
    <m/>
    <m/>
    <m/>
    <m/>
    <m/>
    <x v="3"/>
    <m/>
    <m/>
    <m/>
    <m/>
    <m/>
    <m/>
    <m/>
    <m/>
    <m/>
    <m/>
    <m/>
    <m/>
    <m/>
    <m/>
    <m/>
    <m/>
    <m/>
    <m/>
    <m/>
    <m/>
    <m/>
    <m/>
    <x v="1"/>
    <m/>
    <m/>
    <x v="1"/>
    <x v="1"/>
    <x v="1"/>
    <x v="0"/>
    <m/>
    <x v="1"/>
    <x v="1"/>
    <m/>
    <x v="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81374-1F53-490A-A7BD-D217AC24E8FA}" name="Tableau croisé dynamique23"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G71:H88"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s>
  <rowFields count="2">
    <field x="4"/>
    <field x="3"/>
  </rowFields>
  <rowItems count="17">
    <i>
      <x/>
    </i>
    <i r="1">
      <x v="2"/>
    </i>
    <i r="1">
      <x v="5"/>
    </i>
    <i r="1">
      <x v="15"/>
    </i>
    <i r="1">
      <x v="20"/>
    </i>
    <i>
      <x v="2"/>
    </i>
    <i r="1">
      <x v="17"/>
    </i>
    <i>
      <x v="3"/>
    </i>
    <i r="1">
      <x/>
    </i>
    <i r="1">
      <x v="1"/>
    </i>
    <i r="1">
      <x v="6"/>
    </i>
    <i r="1">
      <x v="7"/>
    </i>
    <i r="1">
      <x v="10"/>
    </i>
    <i r="1">
      <x v="12"/>
    </i>
    <i r="1">
      <x v="13"/>
    </i>
    <i r="1">
      <x v="20"/>
    </i>
    <i t="grand">
      <x/>
    </i>
  </rowItems>
  <colItems count="1">
    <i/>
  </colItems>
  <pageFields count="2">
    <pageField fld="51"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33898-B398-403C-9D49-5D65115C9CB5}" name="Tableau croisé dynamique13"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G5:H23"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s>
  <rowFields count="2">
    <field x="4"/>
    <field x="3"/>
  </rowFields>
  <rowItems count="18">
    <i>
      <x/>
    </i>
    <i r="1">
      <x v="2"/>
    </i>
    <i r="1">
      <x v="5"/>
    </i>
    <i r="1">
      <x v="15"/>
    </i>
    <i r="1">
      <x v="20"/>
    </i>
    <i>
      <x v="2"/>
    </i>
    <i r="1">
      <x v="17"/>
    </i>
    <i>
      <x v="3"/>
    </i>
    <i r="1">
      <x/>
    </i>
    <i r="1">
      <x v="1"/>
    </i>
    <i r="1">
      <x v="2"/>
    </i>
    <i r="1">
      <x v="6"/>
    </i>
    <i r="1">
      <x v="7"/>
    </i>
    <i r="1">
      <x v="10"/>
    </i>
    <i r="1">
      <x v="12"/>
    </i>
    <i r="1">
      <x v="13"/>
    </i>
    <i r="1">
      <x v="20"/>
    </i>
    <i t="grand">
      <x/>
    </i>
  </rowItems>
  <colItems count="1">
    <i/>
  </colItems>
  <pageFields count="2">
    <pageField fld="43"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B2D06F-EB23-412B-BA7B-390DA27BD20C}" name="Tableau croisé dynamique21"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D37:E53"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s>
  <rowFields count="2">
    <field x="4"/>
    <field x="3"/>
  </rowFields>
  <rowItems count="16">
    <i>
      <x/>
    </i>
    <i r="1">
      <x v="2"/>
    </i>
    <i r="1">
      <x v="5"/>
    </i>
    <i r="1">
      <x v="15"/>
    </i>
    <i r="1">
      <x v="20"/>
    </i>
    <i>
      <x v="3"/>
    </i>
    <i r="1">
      <x/>
    </i>
    <i r="1">
      <x v="1"/>
    </i>
    <i r="1">
      <x v="2"/>
    </i>
    <i r="1">
      <x v="6"/>
    </i>
    <i r="1">
      <x v="7"/>
    </i>
    <i r="1">
      <x v="10"/>
    </i>
    <i r="1">
      <x v="12"/>
    </i>
    <i r="1">
      <x v="13"/>
    </i>
    <i r="1">
      <x v="20"/>
    </i>
    <i t="grand">
      <x/>
    </i>
  </rowItems>
  <colItems count="1">
    <i/>
  </colItems>
  <pageFields count="2">
    <pageField fld="45"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8CC91-2F8E-471F-8453-342488DEF147}" name="Tableau croisé dynamique24"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D71:E88"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2">
    <field x="4"/>
    <field x="3"/>
  </rowFields>
  <rowItems count="17">
    <i>
      <x/>
    </i>
    <i r="1">
      <x v="1"/>
    </i>
    <i r="1">
      <x v="2"/>
    </i>
    <i r="1">
      <x v="5"/>
    </i>
    <i r="1">
      <x v="15"/>
    </i>
    <i r="1">
      <x v="20"/>
    </i>
    <i>
      <x v="3"/>
    </i>
    <i r="1">
      <x/>
    </i>
    <i r="1">
      <x v="1"/>
    </i>
    <i r="1">
      <x v="2"/>
    </i>
    <i r="1">
      <x v="6"/>
    </i>
    <i r="1">
      <x v="7"/>
    </i>
    <i r="1">
      <x v="10"/>
    </i>
    <i r="1">
      <x v="12"/>
    </i>
    <i r="1">
      <x v="13"/>
    </i>
    <i r="1">
      <x v="20"/>
    </i>
    <i t="grand">
      <x/>
    </i>
  </rowItems>
  <colItems count="1">
    <i/>
  </colItems>
  <pageFields count="2">
    <pageField fld="50"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801081-58F9-4BA7-9C6B-F54EF8512563}" name="Tableau croisé dynamique20"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G37:H55"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s>
  <rowFields count="2">
    <field x="4"/>
    <field x="3"/>
  </rowFields>
  <rowItems count="18">
    <i>
      <x/>
    </i>
    <i r="1">
      <x v="2"/>
    </i>
    <i r="1">
      <x v="5"/>
    </i>
    <i r="1">
      <x v="15"/>
    </i>
    <i r="1">
      <x v="20"/>
    </i>
    <i>
      <x v="2"/>
    </i>
    <i r="1">
      <x v="17"/>
    </i>
    <i>
      <x v="3"/>
    </i>
    <i r="1">
      <x/>
    </i>
    <i r="1">
      <x v="1"/>
    </i>
    <i r="1">
      <x v="2"/>
    </i>
    <i r="1">
      <x v="6"/>
    </i>
    <i r="1">
      <x v="7"/>
    </i>
    <i r="1">
      <x v="10"/>
    </i>
    <i r="1">
      <x v="12"/>
    </i>
    <i r="1">
      <x v="13"/>
    </i>
    <i r="1">
      <x v="20"/>
    </i>
    <i t="grand">
      <x/>
    </i>
  </rowItems>
  <colItems count="1">
    <i/>
  </colItems>
  <pageFields count="2">
    <pageField fld="47"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F915F9-AB69-4B7E-9CB6-6A7D73947502}" name="Tableau croisé dynamique12"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D5:E21"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2">
    <field x="4"/>
    <field x="3"/>
  </rowFields>
  <rowItems count="16">
    <i>
      <x/>
    </i>
    <i r="1">
      <x v="2"/>
    </i>
    <i r="1">
      <x v="5"/>
    </i>
    <i r="1">
      <x v="15"/>
    </i>
    <i r="1">
      <x v="20"/>
    </i>
    <i>
      <x v="3"/>
    </i>
    <i r="1">
      <x/>
    </i>
    <i r="1">
      <x v="1"/>
    </i>
    <i r="1">
      <x v="2"/>
    </i>
    <i r="1">
      <x v="6"/>
    </i>
    <i r="1">
      <x v="7"/>
    </i>
    <i r="1">
      <x v="10"/>
    </i>
    <i r="1">
      <x v="12"/>
    </i>
    <i r="1">
      <x v="13"/>
    </i>
    <i r="1">
      <x v="20"/>
    </i>
    <i t="grand">
      <x/>
    </i>
  </rowItems>
  <colItems count="1">
    <i/>
  </colItems>
  <pageFields count="2">
    <pageField fld="42"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8B66B-2044-4271-9D69-5A60205E68F4}" name="Tableau croisé dynamique22"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7:B55"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s>
  <rowFields count="2">
    <field x="4"/>
    <field x="3"/>
  </rowFields>
  <rowItems count="18">
    <i>
      <x/>
    </i>
    <i r="1">
      <x v="1"/>
    </i>
    <i r="1">
      <x v="2"/>
    </i>
    <i r="1">
      <x v="5"/>
    </i>
    <i r="1">
      <x v="15"/>
    </i>
    <i r="1">
      <x v="20"/>
    </i>
    <i>
      <x v="2"/>
    </i>
    <i r="1">
      <x v="16"/>
    </i>
    <i>
      <x v="3"/>
    </i>
    <i r="1">
      <x/>
    </i>
    <i r="1">
      <x v="1"/>
    </i>
    <i r="1">
      <x v="6"/>
    </i>
    <i r="1">
      <x v="7"/>
    </i>
    <i r="1">
      <x v="10"/>
    </i>
    <i r="1">
      <x v="12"/>
    </i>
    <i r="1">
      <x v="13"/>
    </i>
    <i r="1">
      <x v="20"/>
    </i>
    <i t="grand">
      <x/>
    </i>
  </rowItems>
  <colItems count="1">
    <i/>
  </colItems>
  <pageFields count="2">
    <pageField fld="44"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D5C966-074F-4E14-A7CD-B20ED1DCBA31}" name="Tableau croisé dynamique25"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71:B89"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s>
  <rowFields count="2">
    <field x="4"/>
    <field x="3"/>
  </rowFields>
  <rowItems count="18">
    <i>
      <x/>
    </i>
    <i r="1">
      <x v="1"/>
    </i>
    <i r="1">
      <x v="2"/>
    </i>
    <i r="1">
      <x v="5"/>
    </i>
    <i r="1">
      <x v="15"/>
    </i>
    <i r="1">
      <x v="20"/>
    </i>
    <i>
      <x v="2"/>
    </i>
    <i r="1">
      <x v="16"/>
    </i>
    <i>
      <x v="3"/>
    </i>
    <i r="1">
      <x/>
    </i>
    <i r="1">
      <x v="1"/>
    </i>
    <i r="1">
      <x v="6"/>
    </i>
    <i r="1">
      <x v="7"/>
    </i>
    <i r="1">
      <x v="10"/>
    </i>
    <i r="1">
      <x v="12"/>
    </i>
    <i r="1">
      <x v="13"/>
    </i>
    <i r="1">
      <x v="20"/>
    </i>
    <i t="grand">
      <x/>
    </i>
  </rowItems>
  <colItems count="1">
    <i/>
  </colItems>
  <pageFields count="2">
    <pageField fld="48" item="0"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D19965-4270-4960-A79B-D5744D6A5238}" name="Tableau croisé dynamique11" cacheId="14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5:B23" firstHeaderRow="1" firstDataRow="1" firstDataCol="1" rowPageCount="2" colPageCount="1"/>
  <pivotFields count="53">
    <pivotField showAll="0"/>
    <pivotField showAll="0"/>
    <pivotField showAll="0"/>
    <pivotField axis="axisRow" showAll="0">
      <items count="24">
        <item x="18"/>
        <item x="12"/>
        <item x="4"/>
        <item x="13"/>
        <item x="17"/>
        <item x="11"/>
        <item x="0"/>
        <item x="5"/>
        <item x="22"/>
        <item x="3"/>
        <item x="1"/>
        <item x="7"/>
        <item x="2"/>
        <item x="9"/>
        <item x="21"/>
        <item x="10"/>
        <item x="8"/>
        <item x="20"/>
        <item x="15"/>
        <item x="14"/>
        <item x="6"/>
        <item x="16"/>
        <item x="19"/>
        <item t="default"/>
      </items>
    </pivotField>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18">
    <i>
      <x/>
    </i>
    <i r="1">
      <x v="1"/>
    </i>
    <i r="1">
      <x v="2"/>
    </i>
    <i r="1">
      <x v="5"/>
    </i>
    <i r="1">
      <x v="15"/>
    </i>
    <i r="1">
      <x v="20"/>
    </i>
    <i>
      <x v="2"/>
    </i>
    <i r="1">
      <x v="16"/>
    </i>
    <i>
      <x v="3"/>
    </i>
    <i r="1">
      <x/>
    </i>
    <i r="1">
      <x v="1"/>
    </i>
    <i r="1">
      <x v="6"/>
    </i>
    <i r="1">
      <x v="7"/>
    </i>
    <i r="1">
      <x v="10"/>
    </i>
    <i r="1">
      <x v="12"/>
    </i>
    <i r="1">
      <x v="13"/>
    </i>
    <i r="1">
      <x v="20"/>
    </i>
    <i t="grand">
      <x/>
    </i>
  </rowItems>
  <colItems count="1">
    <i/>
  </colItems>
  <pageFields count="2">
    <pageField fld="39" hier="-1"/>
    <pageField fld="16" hier="-1"/>
  </pageFields>
  <dataFields count="1">
    <dataField name="Somme de Ponderated mass / Ratio (kg*%)"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78" dT="2025-06-24T12:31:46.23" personId="{3400EEED-737C-4924-B861-83205F47BEE7}" id="{9C824B75-0E7E-4A35-9A97-45D240795DFF}">
    <text xml:space="preserve"> a remplacé SR par ML vu avec laurent</text>
  </threadedComment>
  <threadedComment ref="N106" dT="2024-03-14T13:20:54.84" personId="{3C53883A-1BB6-4228-BF98-183961D17CC2}" id="{7F306E6D-0554-42F2-B6D2-0A8867776663}">
    <text xml:space="preserve">P1H Acier 0,65 : 10,35 € 
P1H alu 1 : 15,98 € </text>
  </threadedComment>
  <threadedComment ref="N184" dT="2024-10-11T11:38:57.97" personId="{3400EEED-737C-4924-B861-83205F47BEE7}" id="{466959EA-6244-433D-819C-28303F9B24C2}">
    <text>Extra cost between 9 and 15 (Style)</text>
  </threadedComment>
  <threadedComment ref="N240" dT="2024-03-14T13:20:54.84" personId="{3C53883A-1BB6-4228-BF98-183961D17CC2}" id="{A8B2743D-6F8F-45CD-B28D-9981050BE470}">
    <text xml:space="preserve">P1H Acier 0,65 : 10,35 € 
P1H alu 1 : 15,98 € </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docinfogroupe.inetpsa.com/ead/doc/ref.00987_24_00014/v.vc/fiche"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docinfogroupe.inetpsa.com/ead/doc/ref.01353_24_00772/v.vc/pj" TargetMode="External"/><Relationship Id="rId1" Type="http://schemas.openxmlformats.org/officeDocument/2006/relationships/hyperlink" Target="http://docinfogroupe.inetpsa.com/ead/doc/ref.01364_22_00699/v.vc/fiche"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8DC14-847D-4FBE-982E-66F35D7C8049}">
  <dimension ref="B4:C4"/>
  <sheetViews>
    <sheetView workbookViewId="0">
      <selection activeCell="K27" sqref="K27"/>
    </sheetView>
  </sheetViews>
  <sheetFormatPr defaultColWidth="11.42578125" defaultRowHeight="14.45"/>
  <cols>
    <col min="2" max="2" width="13.5703125" bestFit="1" customWidth="1"/>
  </cols>
  <sheetData>
    <row r="4" spans="2:3">
      <c r="B4" t="s">
        <v>0</v>
      </c>
      <c r="C4" s="147" t="s">
        <v>1</v>
      </c>
    </row>
  </sheetData>
  <hyperlinks>
    <hyperlink ref="C4" r:id="rId1" xr:uid="{D4ECEE3C-D0CE-4E74-AE8C-B07FDF3555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filterMode="1">
    <tabColor rgb="FF92D050"/>
  </sheetPr>
  <dimension ref="A1:XFA1048365"/>
  <sheetViews>
    <sheetView tabSelected="1" topLeftCell="A14" zoomScale="59" zoomScaleNormal="90" workbookViewId="0">
      <pane ySplit="1" topLeftCell="A60" activePane="bottomLeft" state="frozen"/>
      <selection pane="bottomLeft" activeCell="A14" sqref="A14"/>
      <selection activeCell="A14" sqref="A14"/>
    </sheetView>
  </sheetViews>
  <sheetFormatPr defaultColWidth="11.42578125" defaultRowHeight="134.1" customHeight="1" outlineLevelRow="1" outlineLevelCol="1"/>
  <cols>
    <col min="1" max="1" width="6.28515625" style="143" customWidth="1"/>
    <col min="2" max="2" width="15.140625" style="259" customWidth="1"/>
    <col min="3" max="3" width="13.85546875" style="108" customWidth="1"/>
    <col min="4" max="4" width="15.42578125" style="316" bestFit="1" customWidth="1"/>
    <col min="5" max="5" width="9.28515625" style="1" customWidth="1"/>
    <col min="6" max="6" width="16.5703125" style="108" customWidth="1"/>
    <col min="7" max="7" width="24.42578125" style="474" customWidth="1"/>
    <col min="8" max="8" width="31" style="474" customWidth="1"/>
    <col min="9" max="9" width="61.42578125" style="106" customWidth="1"/>
    <col min="10" max="10" width="35" style="473" hidden="1" customWidth="1" outlineLevel="1"/>
    <col min="11" max="11" width="33.85546875" style="156" hidden="1" customWidth="1" outlineLevel="1"/>
    <col min="12" max="12" width="35" style="1" hidden="1" customWidth="1" outlineLevel="1"/>
    <col min="13" max="13" width="10.7109375" style="1" customWidth="1" collapsed="1"/>
    <col min="14" max="14" width="17.5703125" style="148" customWidth="1"/>
    <col min="15" max="15" width="9.85546875" style="1" customWidth="1"/>
    <col min="16" max="16" width="11.85546875" style="1" customWidth="1"/>
    <col min="17" max="17" width="16.85546875" style="1" customWidth="1"/>
    <col min="18" max="18" width="12" style="1" customWidth="1"/>
    <col min="19" max="19" width="10.140625" style="142" customWidth="1"/>
    <col min="20" max="20" width="10.7109375" style="109" customWidth="1"/>
    <col min="21" max="21" width="10.7109375" style="107" customWidth="1"/>
    <col min="22" max="39" width="10.7109375" style="107" hidden="1" customWidth="1" outlineLevel="1"/>
    <col min="40" max="40" width="11.42578125" style="391" collapsed="1"/>
    <col min="41" max="42" width="11.42578125" style="391"/>
    <col min="43" max="44" width="10.7109375" style="502" customWidth="1"/>
    <col min="45" max="45" width="11.42578125" style="391" collapsed="1"/>
    <col min="46" max="47" width="11.42578125" style="391"/>
    <col min="48" max="48" width="10.7109375" style="502" customWidth="1"/>
    <col min="49" max="49" width="11.42578125" style="391" collapsed="1"/>
    <col min="50" max="51" width="11.42578125" style="391"/>
    <col min="52" max="53" width="10.7109375" style="502" customWidth="1"/>
    <col min="54" max="16384" width="11.42578125" style="198"/>
  </cols>
  <sheetData>
    <row r="1" spans="1:53" ht="17.45" customHeight="1" outlineLevel="1">
      <c r="B1" s="143"/>
      <c r="D1" s="200" t="s">
        <v>2</v>
      </c>
      <c r="E1" s="201" t="s">
        <v>3</v>
      </c>
      <c r="G1" s="146"/>
      <c r="H1" s="146"/>
      <c r="J1" s="106"/>
      <c r="K1" s="106"/>
      <c r="Q1" s="202" t="s">
        <v>4</v>
      </c>
      <c r="S1" s="203">
        <v>0</v>
      </c>
    </row>
    <row r="2" spans="1:53" ht="17.45" customHeight="1" outlineLevel="1">
      <c r="A2" s="151"/>
      <c r="B2" s="151"/>
      <c r="C2" s="204"/>
      <c r="D2" s="144" t="s">
        <v>5</v>
      </c>
      <c r="E2" s="10" t="s">
        <v>6</v>
      </c>
      <c r="F2" s="204"/>
      <c r="G2" s="205"/>
      <c r="H2" s="205"/>
      <c r="I2" s="150"/>
      <c r="J2" s="150"/>
      <c r="K2" s="150"/>
      <c r="L2" s="10"/>
      <c r="M2" s="10"/>
      <c r="N2" s="206"/>
      <c r="O2" s="10"/>
      <c r="P2" s="10"/>
      <c r="Q2" s="10" t="s">
        <v>7</v>
      </c>
      <c r="R2" s="10"/>
      <c r="S2" s="145">
        <v>0.25</v>
      </c>
      <c r="T2" s="207"/>
      <c r="U2" s="152"/>
      <c r="V2" s="152"/>
      <c r="W2" s="152"/>
      <c r="X2" s="152"/>
      <c r="Y2" s="152"/>
      <c r="Z2" s="152"/>
      <c r="AA2" s="152"/>
      <c r="AB2" s="152"/>
      <c r="AC2" s="152"/>
      <c r="AD2" s="152"/>
      <c r="AE2" s="152"/>
      <c r="AF2" s="152"/>
      <c r="AG2" s="152"/>
      <c r="AH2" s="152"/>
      <c r="AI2" s="152"/>
      <c r="AJ2" s="152"/>
      <c r="AK2" s="152"/>
      <c r="AL2" s="152"/>
      <c r="AM2" s="152"/>
      <c r="AQ2" s="503"/>
      <c r="AZ2" s="503"/>
    </row>
    <row r="3" spans="1:53" ht="17.45" customHeight="1" outlineLevel="1">
      <c r="A3" s="151"/>
      <c r="B3" s="151"/>
      <c r="C3" s="204"/>
      <c r="D3" s="144" t="s">
        <v>8</v>
      </c>
      <c r="E3" s="10" t="s">
        <v>9</v>
      </c>
      <c r="F3" s="204"/>
      <c r="G3" s="205"/>
      <c r="H3" s="205"/>
      <c r="I3" s="150"/>
      <c r="J3" s="150"/>
      <c r="K3" s="150"/>
      <c r="L3" s="10"/>
      <c r="M3" s="10"/>
      <c r="N3" s="206"/>
      <c r="O3" s="10"/>
      <c r="P3" s="10"/>
      <c r="Q3" s="10" t="s">
        <v>10</v>
      </c>
      <c r="R3" s="10"/>
      <c r="S3" s="145">
        <v>0.5</v>
      </c>
      <c r="T3" s="207"/>
      <c r="U3" s="152"/>
      <c r="V3" s="152"/>
      <c r="W3" s="152"/>
      <c r="X3" s="152"/>
      <c r="Y3" s="152"/>
      <c r="Z3" s="152"/>
      <c r="AA3" s="152"/>
      <c r="AB3" s="152"/>
      <c r="AC3" s="152"/>
      <c r="AD3" s="152"/>
      <c r="AE3" s="152"/>
      <c r="AF3" s="152"/>
      <c r="AG3" s="152"/>
      <c r="AH3" s="152"/>
      <c r="AI3" s="152"/>
      <c r="AJ3" s="152"/>
      <c r="AK3" s="152"/>
      <c r="AL3" s="152"/>
      <c r="AM3" s="152"/>
      <c r="AQ3" s="503"/>
      <c r="AZ3" s="503"/>
    </row>
    <row r="4" spans="1:53" ht="17.45" customHeight="1" outlineLevel="1">
      <c r="A4" s="151"/>
      <c r="B4" s="151"/>
      <c r="C4" s="204"/>
      <c r="D4" s="144" t="s">
        <v>11</v>
      </c>
      <c r="E4" s="10"/>
      <c r="F4" s="204"/>
      <c r="G4" s="205"/>
      <c r="H4" s="205"/>
      <c r="I4" s="150"/>
      <c r="J4" s="150"/>
      <c r="K4" s="150"/>
      <c r="L4" s="10"/>
      <c r="M4" s="10"/>
      <c r="N4" s="206"/>
      <c r="O4" s="10"/>
      <c r="P4" s="10"/>
      <c r="Q4" s="10" t="s">
        <v>12</v>
      </c>
      <c r="R4" s="10"/>
      <c r="S4" s="145">
        <v>0.75</v>
      </c>
      <c r="T4" s="207"/>
      <c r="U4" s="152"/>
      <c r="V4" s="152"/>
      <c r="W4" s="152"/>
      <c r="X4" s="152"/>
      <c r="Y4" s="152"/>
      <c r="Z4" s="152"/>
      <c r="AA4" s="152"/>
      <c r="AB4" s="152"/>
      <c r="AC4" s="152"/>
      <c r="AD4" s="152"/>
      <c r="AE4" s="152"/>
      <c r="AF4" s="152"/>
      <c r="AG4" s="152"/>
      <c r="AH4" s="152"/>
      <c r="AI4" s="152"/>
      <c r="AJ4" s="152"/>
      <c r="AK4" s="152"/>
      <c r="AL4" s="152"/>
      <c r="AM4" s="152"/>
      <c r="AQ4" s="503"/>
      <c r="AZ4" s="503"/>
    </row>
    <row r="5" spans="1:53" ht="17.45" customHeight="1" outlineLevel="1">
      <c r="A5" s="151"/>
      <c r="B5" s="151"/>
      <c r="C5" s="204"/>
      <c r="D5" s="144" t="s">
        <v>13</v>
      </c>
      <c r="E5" s="10"/>
      <c r="F5" s="204"/>
      <c r="G5" s="205"/>
      <c r="H5" s="205"/>
      <c r="I5" s="150"/>
      <c r="J5" s="150"/>
      <c r="K5" s="150"/>
      <c r="L5" s="10"/>
      <c r="M5" s="10"/>
      <c r="N5" s="206"/>
      <c r="O5" s="10"/>
      <c r="P5" s="10"/>
      <c r="Q5" s="10"/>
      <c r="R5" s="10"/>
      <c r="S5" s="145">
        <v>1</v>
      </c>
      <c r="T5" s="207"/>
      <c r="U5" s="152"/>
      <c r="V5" s="152"/>
      <c r="W5" s="152"/>
      <c r="X5" s="152"/>
      <c r="Y5" s="152"/>
      <c r="Z5" s="152"/>
      <c r="AA5" s="152"/>
      <c r="AB5" s="152"/>
      <c r="AC5" s="152"/>
      <c r="AD5" s="152"/>
      <c r="AE5" s="152"/>
      <c r="AF5" s="152"/>
      <c r="AG5" s="152"/>
      <c r="AH5" s="152"/>
      <c r="AI5" s="152"/>
      <c r="AJ5" s="152"/>
      <c r="AK5" s="152"/>
      <c r="AL5" s="152"/>
      <c r="AM5" s="152"/>
      <c r="AQ5" s="503"/>
      <c r="AZ5" s="503"/>
    </row>
    <row r="6" spans="1:53" ht="17.45" customHeight="1" outlineLevel="1">
      <c r="A6" s="151"/>
      <c r="B6" s="151"/>
      <c r="C6" s="204"/>
      <c r="D6" s="144" t="s">
        <v>14</v>
      </c>
      <c r="E6" s="10"/>
      <c r="F6" s="204"/>
      <c r="G6" s="205"/>
      <c r="H6" s="205"/>
      <c r="I6" s="150"/>
      <c r="J6" s="150"/>
      <c r="K6" s="150"/>
      <c r="L6" s="10"/>
      <c r="M6" s="10"/>
      <c r="N6" s="206"/>
      <c r="O6" s="10"/>
      <c r="P6" s="10"/>
      <c r="Q6" s="10"/>
      <c r="R6" s="10"/>
      <c r="S6" s="145"/>
      <c r="T6" s="207"/>
      <c r="U6" s="152"/>
      <c r="V6" s="152"/>
      <c r="W6" s="152"/>
      <c r="X6" s="152"/>
      <c r="Y6" s="152"/>
      <c r="Z6" s="152"/>
      <c r="AA6" s="152"/>
      <c r="AB6" s="152"/>
      <c r="AC6" s="152"/>
      <c r="AD6" s="152"/>
      <c r="AE6" s="152"/>
      <c r="AF6" s="152"/>
      <c r="AG6" s="152"/>
      <c r="AH6" s="152"/>
      <c r="AI6" s="152"/>
      <c r="AJ6" s="152"/>
      <c r="AK6" s="152"/>
      <c r="AL6" s="152"/>
      <c r="AM6" s="152"/>
      <c r="AQ6" s="503"/>
      <c r="AZ6" s="503"/>
    </row>
    <row r="7" spans="1:53" ht="17.45" customHeight="1" outlineLevel="1">
      <c r="A7" s="151"/>
      <c r="B7" s="151"/>
      <c r="C7" s="204"/>
      <c r="D7" s="144" t="s">
        <v>15</v>
      </c>
      <c r="E7" s="10"/>
      <c r="F7" s="204"/>
      <c r="G7" s="205"/>
      <c r="H7" s="205"/>
      <c r="I7" s="150"/>
      <c r="J7" s="150"/>
      <c r="K7" s="150"/>
      <c r="L7" s="10"/>
      <c r="M7" s="10"/>
      <c r="N7" s="206"/>
      <c r="O7" s="10"/>
      <c r="P7" s="10"/>
      <c r="Q7" s="10"/>
      <c r="R7" s="10"/>
      <c r="S7" s="145"/>
      <c r="T7" s="207"/>
      <c r="U7" s="152"/>
      <c r="V7" s="152"/>
      <c r="W7" s="152"/>
      <c r="X7" s="152"/>
      <c r="Y7" s="152"/>
      <c r="Z7" s="152"/>
      <c r="AA7" s="152"/>
      <c r="AB7" s="152"/>
      <c r="AC7" s="152"/>
      <c r="AD7" s="152"/>
      <c r="AE7" s="152"/>
      <c r="AF7" s="152"/>
      <c r="AG7" s="152"/>
      <c r="AH7" s="152"/>
      <c r="AI7" s="152"/>
      <c r="AJ7" s="152"/>
      <c r="AK7" s="152"/>
      <c r="AL7" s="152"/>
      <c r="AM7" s="152"/>
      <c r="AQ7" s="503"/>
      <c r="AZ7" s="503"/>
    </row>
    <row r="8" spans="1:53" ht="17.45" customHeight="1" outlineLevel="1">
      <c r="A8" s="151"/>
      <c r="B8" s="151"/>
      <c r="C8" s="204"/>
      <c r="D8" s="144" t="s">
        <v>16</v>
      </c>
      <c r="E8" s="10"/>
      <c r="F8" s="204"/>
      <c r="G8" s="205"/>
      <c r="H8" s="205"/>
      <c r="I8" s="150"/>
      <c r="J8" s="150"/>
      <c r="K8" s="150"/>
      <c r="L8" s="10"/>
      <c r="M8" s="10"/>
      <c r="N8" s="206"/>
      <c r="O8" s="10"/>
      <c r="P8" s="10"/>
      <c r="Q8" s="10"/>
      <c r="R8" s="10"/>
      <c r="S8" s="145"/>
      <c r="T8" s="207"/>
      <c r="U8" s="152"/>
      <c r="V8" s="152"/>
      <c r="W8" s="152"/>
      <c r="X8" s="152"/>
      <c r="Y8" s="152"/>
      <c r="Z8" s="152"/>
      <c r="AA8" s="152"/>
      <c r="AB8" s="152"/>
      <c r="AC8" s="152"/>
      <c r="AD8" s="152"/>
      <c r="AE8" s="152"/>
      <c r="AF8" s="152"/>
      <c r="AG8" s="152"/>
      <c r="AH8" s="152"/>
      <c r="AI8" s="152"/>
      <c r="AJ8" s="152"/>
      <c r="AK8" s="152"/>
      <c r="AL8" s="152"/>
      <c r="AM8" s="152"/>
      <c r="AQ8" s="503"/>
      <c r="AZ8" s="503"/>
    </row>
    <row r="9" spans="1:53" ht="17.45" customHeight="1" outlineLevel="1">
      <c r="A9" s="151"/>
      <c r="B9" s="151"/>
      <c r="C9" s="204"/>
      <c r="D9" s="144" t="s">
        <v>17</v>
      </c>
      <c r="E9" s="10"/>
      <c r="F9" s="204"/>
      <c r="G9" s="205"/>
      <c r="H9" s="205"/>
      <c r="I9" s="150"/>
      <c r="J9" s="150"/>
      <c r="K9" s="150"/>
      <c r="L9" s="10"/>
      <c r="M9" s="10"/>
      <c r="N9" s="206"/>
      <c r="O9" s="10"/>
      <c r="P9" s="10"/>
      <c r="Q9" s="10"/>
      <c r="R9" s="10"/>
      <c r="S9" s="145"/>
      <c r="T9" s="207"/>
      <c r="U9" s="152"/>
      <c r="V9" s="152"/>
      <c r="W9" s="152"/>
      <c r="X9" s="152"/>
      <c r="Y9" s="152"/>
      <c r="Z9" s="152"/>
      <c r="AA9" s="152"/>
      <c r="AB9" s="152"/>
      <c r="AC9" s="152"/>
      <c r="AD9" s="152"/>
      <c r="AE9" s="152"/>
      <c r="AF9" s="152"/>
      <c r="AG9" s="152"/>
      <c r="AH9" s="152"/>
      <c r="AI9" s="152"/>
      <c r="AJ9" s="152"/>
      <c r="AK9" s="152"/>
      <c r="AL9" s="152"/>
      <c r="AM9" s="152"/>
      <c r="AQ9" s="503"/>
      <c r="AZ9" s="503"/>
    </row>
    <row r="10" spans="1:53" ht="17.45" customHeight="1" outlineLevel="1">
      <c r="A10" s="151"/>
      <c r="B10" s="151"/>
      <c r="C10" s="204"/>
      <c r="D10" s="144" t="s">
        <v>18</v>
      </c>
      <c r="E10" s="10"/>
      <c r="F10" s="204"/>
      <c r="G10" s="205"/>
      <c r="H10" s="205"/>
      <c r="I10" s="150"/>
      <c r="J10" s="150"/>
      <c r="K10" s="150"/>
      <c r="L10" s="10"/>
      <c r="M10" s="10"/>
      <c r="N10" s="206"/>
      <c r="O10" s="10"/>
      <c r="P10" s="10"/>
      <c r="Q10" s="10"/>
      <c r="R10" s="10"/>
      <c r="S10" s="145"/>
      <c r="T10" s="207"/>
      <c r="U10" s="152"/>
      <c r="V10" s="152"/>
      <c r="W10" s="152"/>
      <c r="X10" s="152"/>
      <c r="Y10" s="152"/>
      <c r="Z10" s="152"/>
      <c r="AA10" s="152"/>
      <c r="AB10" s="152"/>
      <c r="AC10" s="152"/>
      <c r="AD10" s="152"/>
      <c r="AE10" s="152"/>
      <c r="AF10" s="152"/>
      <c r="AG10" s="152"/>
      <c r="AH10" s="152"/>
      <c r="AI10" s="152"/>
      <c r="AJ10" s="152"/>
      <c r="AK10" s="152"/>
      <c r="AL10" s="152"/>
      <c r="AM10" s="152"/>
      <c r="AQ10" s="503"/>
      <c r="AZ10" s="503"/>
    </row>
    <row r="11" spans="1:53" ht="17.45" customHeight="1" outlineLevel="1">
      <c r="A11" s="151"/>
      <c r="B11" s="151"/>
      <c r="C11" s="204"/>
      <c r="D11" s="144" t="s">
        <v>19</v>
      </c>
      <c r="E11" s="10"/>
      <c r="F11" s="204"/>
      <c r="G11" s="205"/>
      <c r="H11" s="205"/>
      <c r="I11" s="150"/>
      <c r="J11" s="150"/>
      <c r="K11" s="150"/>
      <c r="L11" s="10"/>
      <c r="M11" s="10"/>
      <c r="N11" s="206"/>
      <c r="O11" s="10"/>
      <c r="P11" s="10"/>
      <c r="Q11" s="10"/>
      <c r="R11" s="10"/>
      <c r="S11" s="145"/>
      <c r="T11" s="207"/>
      <c r="U11" s="152"/>
      <c r="V11" s="152"/>
      <c r="W11" s="152"/>
      <c r="X11" s="152"/>
      <c r="Y11" s="152"/>
      <c r="Z11" s="152"/>
      <c r="AA11" s="152"/>
      <c r="AB11" s="152"/>
      <c r="AC11" s="152"/>
      <c r="AD11" s="152"/>
      <c r="AE11" s="152"/>
      <c r="AF11" s="152"/>
      <c r="AG11" s="152"/>
      <c r="AH11" s="152"/>
      <c r="AI11" s="152"/>
      <c r="AJ11" s="152"/>
      <c r="AK11" s="152"/>
      <c r="AL11" s="152"/>
      <c r="AM11" s="152"/>
      <c r="AQ11" s="503"/>
      <c r="AZ11" s="503"/>
    </row>
    <row r="12" spans="1:53" ht="17.45" customHeight="1" outlineLevel="1">
      <c r="A12" s="151"/>
      <c r="B12" s="151"/>
      <c r="C12" s="204"/>
      <c r="D12" s="144" t="s">
        <v>20</v>
      </c>
      <c r="E12" s="10"/>
      <c r="F12" s="204"/>
      <c r="G12" s="205"/>
      <c r="H12" s="205"/>
      <c r="I12" s="150"/>
      <c r="J12" s="150"/>
      <c r="K12" s="150"/>
      <c r="L12" s="10"/>
      <c r="M12" s="10"/>
      <c r="N12" s="206"/>
      <c r="O12" s="10"/>
      <c r="P12" s="10"/>
      <c r="Q12" s="10"/>
      <c r="R12" s="10"/>
      <c r="S12" s="145"/>
      <c r="T12" s="207"/>
      <c r="U12" s="152"/>
      <c r="V12" s="152"/>
      <c r="W12" s="152"/>
      <c r="X12" s="152"/>
      <c r="Y12" s="152"/>
      <c r="Z12" s="152"/>
      <c r="AA12" s="152"/>
      <c r="AB12" s="152"/>
      <c r="AC12" s="152"/>
      <c r="AD12" s="152"/>
      <c r="AE12" s="152"/>
      <c r="AF12" s="152"/>
      <c r="AG12" s="152"/>
      <c r="AH12" s="152"/>
      <c r="AI12" s="152"/>
      <c r="AJ12" s="152"/>
      <c r="AK12" s="152"/>
      <c r="AL12" s="152"/>
      <c r="AM12" s="152"/>
      <c r="AQ12" s="503"/>
      <c r="AZ12" s="503"/>
    </row>
    <row r="13" spans="1:53" ht="17.45" customHeight="1" outlineLevel="1">
      <c r="A13" s="151"/>
      <c r="B13" s="151"/>
      <c r="C13" s="204"/>
      <c r="D13" s="144" t="s">
        <v>21</v>
      </c>
      <c r="E13" s="10"/>
      <c r="F13" s="204"/>
      <c r="G13" s="205"/>
      <c r="H13" s="205"/>
      <c r="I13" s="150"/>
      <c r="J13" s="150"/>
      <c r="K13" s="150"/>
      <c r="L13" s="10"/>
      <c r="M13" s="10"/>
      <c r="N13" s="206"/>
      <c r="O13" s="10"/>
      <c r="P13" s="10"/>
      <c r="Q13" s="10"/>
      <c r="R13" s="10"/>
      <c r="S13" s="145"/>
      <c r="T13" s="207"/>
      <c r="U13" s="152"/>
      <c r="V13" s="152"/>
      <c r="W13" s="152"/>
      <c r="X13" s="152"/>
      <c r="Y13" s="152"/>
      <c r="Z13" s="152"/>
      <c r="AA13" s="152"/>
      <c r="AB13" s="152"/>
      <c r="AC13" s="152"/>
      <c r="AD13" s="152"/>
      <c r="AE13" s="152"/>
      <c r="AF13" s="152"/>
      <c r="AG13" s="152"/>
      <c r="AH13" s="152"/>
      <c r="AI13" s="152"/>
      <c r="AJ13" s="152"/>
      <c r="AK13" s="152"/>
      <c r="AL13" s="152"/>
      <c r="AM13" s="152"/>
      <c r="AQ13" s="503"/>
      <c r="AZ13" s="503"/>
    </row>
    <row r="14" spans="1:53" s="199" customFormat="1" ht="90" customHeight="1">
      <c r="A14" s="159" t="s">
        <v>22</v>
      </c>
      <c r="B14" s="250" t="s">
        <v>23</v>
      </c>
      <c r="C14" s="159" t="s">
        <v>24</v>
      </c>
      <c r="D14" s="196" t="s">
        <v>25</v>
      </c>
      <c r="E14" s="196" t="s">
        <v>26</v>
      </c>
      <c r="F14" s="196" t="s">
        <v>27</v>
      </c>
      <c r="G14" s="163" t="s">
        <v>28</v>
      </c>
      <c r="H14" s="163" t="s">
        <v>29</v>
      </c>
      <c r="I14" s="160" t="s">
        <v>30</v>
      </c>
      <c r="J14" s="161" t="s">
        <v>31</v>
      </c>
      <c r="K14" s="161" t="s">
        <v>32</v>
      </c>
      <c r="L14" s="162" t="s">
        <v>33</v>
      </c>
      <c r="M14" s="159" t="s">
        <v>34</v>
      </c>
      <c r="N14" s="159" t="s">
        <v>35</v>
      </c>
      <c r="O14" s="159" t="s">
        <v>36</v>
      </c>
      <c r="P14" s="159" t="s">
        <v>37</v>
      </c>
      <c r="Q14" s="164" t="s">
        <v>38</v>
      </c>
      <c r="R14" s="159" t="s">
        <v>39</v>
      </c>
      <c r="S14" s="164" t="s">
        <v>40</v>
      </c>
      <c r="T14" s="165" t="s">
        <v>41</v>
      </c>
      <c r="U14" s="164" t="s">
        <v>42</v>
      </c>
      <c r="V14" s="346" t="s">
        <v>43</v>
      </c>
      <c r="W14" s="346" t="s">
        <v>44</v>
      </c>
      <c r="X14" s="346" t="s">
        <v>45</v>
      </c>
      <c r="Y14" s="346" t="s">
        <v>46</v>
      </c>
      <c r="Z14" s="346" t="s">
        <v>47</v>
      </c>
      <c r="AA14" s="401" t="s">
        <v>48</v>
      </c>
      <c r="AB14" s="401" t="s">
        <v>49</v>
      </c>
      <c r="AC14" s="401" t="s">
        <v>50</v>
      </c>
      <c r="AD14" s="401" t="s">
        <v>51</v>
      </c>
      <c r="AE14" s="347" t="s">
        <v>52</v>
      </c>
      <c r="AF14" s="347" t="s">
        <v>53</v>
      </c>
      <c r="AG14" s="347" t="s">
        <v>54</v>
      </c>
      <c r="AH14" s="347" t="s">
        <v>55</v>
      </c>
      <c r="AI14" s="347" t="s">
        <v>56</v>
      </c>
      <c r="AJ14" s="402" t="s">
        <v>57</v>
      </c>
      <c r="AK14" s="402" t="s">
        <v>58</v>
      </c>
      <c r="AL14" s="402" t="s">
        <v>59</v>
      </c>
      <c r="AM14" s="402" t="s">
        <v>60</v>
      </c>
      <c r="AN14" s="348" t="s">
        <v>61</v>
      </c>
      <c r="AO14" s="348" t="s">
        <v>62</v>
      </c>
      <c r="AP14" s="348" t="s">
        <v>63</v>
      </c>
      <c r="AQ14" s="348" t="s">
        <v>64</v>
      </c>
      <c r="AR14" s="348" t="s">
        <v>65</v>
      </c>
      <c r="AS14" s="459" t="s">
        <v>66</v>
      </c>
      <c r="AT14" s="459" t="s">
        <v>67</v>
      </c>
      <c r="AU14" s="459" t="s">
        <v>68</v>
      </c>
      <c r="AV14" s="459" t="s">
        <v>69</v>
      </c>
      <c r="AW14" s="460" t="s">
        <v>70</v>
      </c>
      <c r="AX14" s="460" t="s">
        <v>71</v>
      </c>
      <c r="AY14" s="460" t="s">
        <v>72</v>
      </c>
      <c r="AZ14" s="460" t="s">
        <v>73</v>
      </c>
      <c r="BA14" s="476" t="s">
        <v>74</v>
      </c>
    </row>
    <row r="15" spans="1:53" ht="33.75" hidden="1" customHeight="1">
      <c r="A15" s="303"/>
      <c r="B15" s="444">
        <v>45632</v>
      </c>
      <c r="C15" s="196" t="s">
        <v>75</v>
      </c>
      <c r="D15" s="306" t="s">
        <v>76</v>
      </c>
      <c r="E15" s="196" t="s">
        <v>3</v>
      </c>
      <c r="F15" s="196" t="s">
        <v>77</v>
      </c>
      <c r="G15" s="306" t="s">
        <v>78</v>
      </c>
      <c r="H15" s="306" t="s">
        <v>78</v>
      </c>
      <c r="I15" s="306"/>
      <c r="J15" s="306" t="s">
        <v>79</v>
      </c>
      <c r="K15" s="306"/>
      <c r="L15" s="306"/>
      <c r="M15" s="306"/>
      <c r="N15" s="445"/>
      <c r="O15" s="159"/>
      <c r="P15" s="159" t="s">
        <v>80</v>
      </c>
      <c r="Q15" s="159" t="s">
        <v>10</v>
      </c>
      <c r="R15" s="159" t="s">
        <v>81</v>
      </c>
      <c r="S15" s="308">
        <v>0.8</v>
      </c>
      <c r="T15" s="309">
        <v>4</v>
      </c>
      <c r="U15" s="310">
        <f t="shared" ref="U15:U77" si="0">T15*S15</f>
        <v>3.2</v>
      </c>
      <c r="V15" s="311">
        <v>1</v>
      </c>
      <c r="W15" s="311">
        <v>1</v>
      </c>
      <c r="X15" s="311">
        <v>1</v>
      </c>
      <c r="Y15" s="311">
        <v>1</v>
      </c>
      <c r="Z15" s="311">
        <v>1</v>
      </c>
      <c r="AA15" s="311">
        <v>1</v>
      </c>
      <c r="AB15" s="311">
        <v>1</v>
      </c>
      <c r="AC15" s="311">
        <v>1</v>
      </c>
      <c r="AD15" s="311">
        <v>1</v>
      </c>
      <c r="AE15" s="311">
        <v>1</v>
      </c>
      <c r="AF15" s="311">
        <v>1</v>
      </c>
      <c r="AG15" s="311">
        <v>1</v>
      </c>
      <c r="AH15" s="311">
        <v>1</v>
      </c>
      <c r="AI15" s="311">
        <v>1</v>
      </c>
      <c r="AJ15" s="311">
        <v>1</v>
      </c>
      <c r="AK15" s="311">
        <v>1</v>
      </c>
      <c r="AL15" s="311">
        <v>1</v>
      </c>
      <c r="AM15" s="477">
        <v>1</v>
      </c>
      <c r="AN15" s="311">
        <v>1</v>
      </c>
      <c r="AO15" s="311">
        <v>1</v>
      </c>
      <c r="AP15" s="311">
        <v>1</v>
      </c>
      <c r="AQ15" s="311">
        <v>1</v>
      </c>
      <c r="AR15" s="311">
        <v>1</v>
      </c>
      <c r="AS15" s="311">
        <v>1</v>
      </c>
      <c r="AT15" s="311"/>
      <c r="AU15" s="311"/>
      <c r="AV15" s="311">
        <v>1</v>
      </c>
      <c r="AW15" s="311">
        <v>1</v>
      </c>
      <c r="AX15" s="311">
        <v>1</v>
      </c>
      <c r="AY15" s="311">
        <v>1</v>
      </c>
      <c r="AZ15" s="311">
        <v>1</v>
      </c>
      <c r="BA15" s="311">
        <v>1</v>
      </c>
    </row>
    <row r="16" spans="1:53" ht="33.6" hidden="1" customHeight="1">
      <c r="A16" s="168" t="s">
        <v>82</v>
      </c>
      <c r="B16" s="168" t="s">
        <v>83</v>
      </c>
      <c r="C16" s="169" t="s">
        <v>84</v>
      </c>
      <c r="D16" s="144" t="s">
        <v>85</v>
      </c>
      <c r="E16" s="169" t="s">
        <v>3</v>
      </c>
      <c r="F16" s="169" t="s">
        <v>86</v>
      </c>
      <c r="G16" s="149" t="s">
        <v>87</v>
      </c>
      <c r="H16" s="170" t="s">
        <v>88</v>
      </c>
      <c r="I16" s="170" t="s">
        <v>89</v>
      </c>
      <c r="J16" s="170" t="s">
        <v>90</v>
      </c>
      <c r="K16" s="170"/>
      <c r="L16" s="170" t="s">
        <v>91</v>
      </c>
      <c r="M16" s="170"/>
      <c r="N16" s="187"/>
      <c r="O16" s="164"/>
      <c r="P16" s="164" t="s">
        <v>80</v>
      </c>
      <c r="Q16" s="164" t="s">
        <v>10</v>
      </c>
      <c r="R16" s="164"/>
      <c r="S16" s="172">
        <v>1</v>
      </c>
      <c r="T16" s="157">
        <v>2.2000000000000002</v>
      </c>
      <c r="U16" s="173">
        <f t="shared" si="0"/>
        <v>2.2000000000000002</v>
      </c>
      <c r="V16" s="174">
        <v>1</v>
      </c>
      <c r="W16" s="174">
        <v>1</v>
      </c>
      <c r="X16" s="174">
        <v>1</v>
      </c>
      <c r="Y16" s="174">
        <v>1</v>
      </c>
      <c r="Z16" s="174">
        <v>1</v>
      </c>
      <c r="AA16" s="174">
        <v>1</v>
      </c>
      <c r="AB16" s="174">
        <v>1</v>
      </c>
      <c r="AC16" s="174">
        <v>1</v>
      </c>
      <c r="AD16" s="174">
        <v>1</v>
      </c>
      <c r="AE16" s="174">
        <v>1</v>
      </c>
      <c r="AF16" s="174">
        <v>1</v>
      </c>
      <c r="AG16" s="174">
        <v>1</v>
      </c>
      <c r="AH16" s="174">
        <v>1</v>
      </c>
      <c r="AI16" s="174">
        <v>1</v>
      </c>
      <c r="AJ16" s="174">
        <v>1</v>
      </c>
      <c r="AK16" s="174">
        <v>1</v>
      </c>
      <c r="AL16" s="174">
        <v>1</v>
      </c>
      <c r="AM16" s="478">
        <v>1</v>
      </c>
      <c r="AN16" s="174">
        <v>1</v>
      </c>
      <c r="AO16" s="174">
        <v>1</v>
      </c>
      <c r="AP16" s="174">
        <v>1</v>
      </c>
      <c r="AQ16" s="174">
        <v>1</v>
      </c>
      <c r="AR16" s="174">
        <v>1</v>
      </c>
      <c r="AS16" s="174">
        <v>1</v>
      </c>
      <c r="AT16" s="174"/>
      <c r="AU16" s="174"/>
      <c r="AV16" s="174">
        <v>1</v>
      </c>
      <c r="AW16" s="174">
        <v>1</v>
      </c>
      <c r="AX16" s="174">
        <v>1</v>
      </c>
      <c r="AY16" s="174">
        <v>1</v>
      </c>
      <c r="AZ16" s="174">
        <v>1</v>
      </c>
      <c r="BA16" s="174">
        <v>1</v>
      </c>
    </row>
    <row r="17" spans="1:53" ht="33.75" hidden="1" customHeight="1">
      <c r="A17" s="168">
        <v>220</v>
      </c>
      <c r="B17" s="251">
        <v>45536</v>
      </c>
      <c r="C17" s="236" t="s">
        <v>75</v>
      </c>
      <c r="D17" s="467" t="s">
        <v>76</v>
      </c>
      <c r="E17" s="169" t="s">
        <v>3</v>
      </c>
      <c r="F17" s="169" t="s">
        <v>77</v>
      </c>
      <c r="G17" s="319" t="s">
        <v>92</v>
      </c>
      <c r="H17" s="144" t="s">
        <v>93</v>
      </c>
      <c r="I17" s="149" t="s">
        <v>94</v>
      </c>
      <c r="J17" s="185" t="s">
        <v>95</v>
      </c>
      <c r="K17" s="209" t="s">
        <v>96</v>
      </c>
      <c r="L17" s="509"/>
      <c r="M17" s="170">
        <f>150+200</f>
        <v>350</v>
      </c>
      <c r="N17" s="171">
        <v>8.5</v>
      </c>
      <c r="O17" s="509"/>
      <c r="P17" s="164" t="s">
        <v>80</v>
      </c>
      <c r="Q17" s="164" t="s">
        <v>7</v>
      </c>
      <c r="R17" s="164" t="s">
        <v>81</v>
      </c>
      <c r="S17" s="176">
        <v>1</v>
      </c>
      <c r="T17" s="157">
        <v>1</v>
      </c>
      <c r="U17" s="173">
        <f t="shared" si="0"/>
        <v>1</v>
      </c>
      <c r="V17" s="174">
        <v>1</v>
      </c>
      <c r="W17" s="174">
        <v>1</v>
      </c>
      <c r="X17" s="174">
        <v>1</v>
      </c>
      <c r="Y17" s="174">
        <v>1</v>
      </c>
      <c r="Z17" s="174">
        <v>1</v>
      </c>
      <c r="AA17" s="174">
        <v>1</v>
      </c>
      <c r="AB17" s="174">
        <v>1</v>
      </c>
      <c r="AC17" s="174">
        <v>1</v>
      </c>
      <c r="AD17" s="174">
        <v>1</v>
      </c>
      <c r="AE17" s="174">
        <v>1</v>
      </c>
      <c r="AF17" s="174">
        <v>1</v>
      </c>
      <c r="AG17" s="174">
        <v>1</v>
      </c>
      <c r="AH17" s="174">
        <v>1</v>
      </c>
      <c r="AI17" s="174">
        <v>1</v>
      </c>
      <c r="AJ17" s="174">
        <v>1</v>
      </c>
      <c r="AK17" s="174">
        <v>1</v>
      </c>
      <c r="AL17" s="174">
        <v>1</v>
      </c>
      <c r="AM17" s="478">
        <v>1</v>
      </c>
      <c r="AN17" s="174">
        <v>1</v>
      </c>
      <c r="AO17" s="174">
        <v>1</v>
      </c>
      <c r="AP17" s="174">
        <v>1</v>
      </c>
      <c r="AQ17" s="174">
        <v>1</v>
      </c>
      <c r="AR17" s="174">
        <v>1</v>
      </c>
      <c r="AS17" s="174">
        <v>1</v>
      </c>
      <c r="AT17" s="174"/>
      <c r="AU17" s="174"/>
      <c r="AV17" s="174">
        <v>1</v>
      </c>
      <c r="AW17" s="174">
        <v>1</v>
      </c>
      <c r="AX17" s="174">
        <v>1</v>
      </c>
      <c r="AY17" s="174">
        <v>1</v>
      </c>
      <c r="AZ17" s="174">
        <v>1</v>
      </c>
      <c r="BA17" s="174">
        <v>1</v>
      </c>
    </row>
    <row r="18" spans="1:53" ht="33.75" hidden="1" customHeight="1">
      <c r="A18" s="151"/>
      <c r="B18" s="251">
        <v>45536</v>
      </c>
      <c r="C18" s="236" t="s">
        <v>75</v>
      </c>
      <c r="D18" s="467" t="s">
        <v>76</v>
      </c>
      <c r="E18" s="169" t="s">
        <v>3</v>
      </c>
      <c r="F18" s="169" t="s">
        <v>77</v>
      </c>
      <c r="G18" s="217" t="s">
        <v>97</v>
      </c>
      <c r="H18" s="217" t="s">
        <v>98</v>
      </c>
      <c r="I18" s="350" t="s">
        <v>99</v>
      </c>
      <c r="J18" s="149" t="s">
        <v>100</v>
      </c>
      <c r="K18" s="510"/>
      <c r="L18" s="509"/>
      <c r="M18" s="170">
        <v>0</v>
      </c>
      <c r="N18" s="175" t="s">
        <v>101</v>
      </c>
      <c r="O18" s="164"/>
      <c r="P18" s="164" t="s">
        <v>80</v>
      </c>
      <c r="Q18" s="164" t="s">
        <v>7</v>
      </c>
      <c r="R18" s="164" t="s">
        <v>81</v>
      </c>
      <c r="S18" s="176">
        <v>1</v>
      </c>
      <c r="T18" s="157">
        <v>0.82</v>
      </c>
      <c r="U18" s="173">
        <f t="shared" si="0"/>
        <v>0.82</v>
      </c>
      <c r="V18" s="174">
        <v>1</v>
      </c>
      <c r="W18" s="174">
        <v>1</v>
      </c>
      <c r="X18" s="174">
        <v>1</v>
      </c>
      <c r="Y18" s="174">
        <v>1</v>
      </c>
      <c r="Z18" s="174">
        <v>1</v>
      </c>
      <c r="AA18" s="174">
        <v>1</v>
      </c>
      <c r="AB18" s="174">
        <v>1</v>
      </c>
      <c r="AC18" s="174">
        <v>1</v>
      </c>
      <c r="AD18" s="174">
        <v>1</v>
      </c>
      <c r="AE18" s="174">
        <v>1</v>
      </c>
      <c r="AF18" s="174">
        <v>1</v>
      </c>
      <c r="AG18" s="174">
        <v>1</v>
      </c>
      <c r="AH18" s="174">
        <v>1</v>
      </c>
      <c r="AI18" s="174">
        <v>1</v>
      </c>
      <c r="AJ18" s="174">
        <v>1</v>
      </c>
      <c r="AK18" s="174">
        <v>1</v>
      </c>
      <c r="AL18" s="174">
        <v>1</v>
      </c>
      <c r="AM18" s="478">
        <v>1</v>
      </c>
      <c r="AN18" s="174">
        <v>1</v>
      </c>
      <c r="AO18" s="174">
        <v>1</v>
      </c>
      <c r="AP18" s="174">
        <v>1</v>
      </c>
      <c r="AQ18" s="174">
        <v>1</v>
      </c>
      <c r="AR18" s="174">
        <v>1</v>
      </c>
      <c r="AS18" s="174">
        <v>1</v>
      </c>
      <c r="AT18" s="174">
        <v>1</v>
      </c>
      <c r="AU18" s="174">
        <v>1</v>
      </c>
      <c r="AV18" s="174">
        <v>1</v>
      </c>
      <c r="AW18" s="174">
        <v>1</v>
      </c>
      <c r="AX18" s="174">
        <v>1</v>
      </c>
      <c r="AY18" s="174">
        <v>1</v>
      </c>
      <c r="AZ18" s="174">
        <v>1</v>
      </c>
      <c r="BA18" s="174">
        <v>1</v>
      </c>
    </row>
    <row r="19" spans="1:53" ht="33.75" hidden="1" customHeight="1">
      <c r="A19" s="168">
        <v>322</v>
      </c>
      <c r="B19" s="168">
        <v>45813</v>
      </c>
      <c r="C19" s="169" t="s">
        <v>84</v>
      </c>
      <c r="D19" s="144" t="s">
        <v>102</v>
      </c>
      <c r="E19" s="169" t="s">
        <v>3</v>
      </c>
      <c r="F19" s="169" t="s">
        <v>103</v>
      </c>
      <c r="G19" s="149" t="s">
        <v>104</v>
      </c>
      <c r="H19" s="385" t="s">
        <v>105</v>
      </c>
      <c r="I19" s="170" t="s">
        <v>106</v>
      </c>
      <c r="J19" s="170" t="s">
        <v>107</v>
      </c>
      <c r="K19" s="170"/>
      <c r="L19" s="170" t="s">
        <v>108</v>
      </c>
      <c r="M19" s="170"/>
      <c r="N19" s="187"/>
      <c r="O19" s="164"/>
      <c r="P19" s="164" t="s">
        <v>80</v>
      </c>
      <c r="Q19" s="164" t="s">
        <v>10</v>
      </c>
      <c r="R19" s="164"/>
      <c r="S19" s="172">
        <v>0.75</v>
      </c>
      <c r="T19" s="157">
        <v>1</v>
      </c>
      <c r="U19" s="173">
        <f t="shared" si="0"/>
        <v>0.75</v>
      </c>
      <c r="V19" s="174">
        <v>1</v>
      </c>
      <c r="W19" s="174">
        <v>1</v>
      </c>
      <c r="X19" s="174">
        <v>1</v>
      </c>
      <c r="Y19" s="174">
        <v>1</v>
      </c>
      <c r="Z19" s="174">
        <v>1</v>
      </c>
      <c r="AA19" s="174">
        <v>1</v>
      </c>
      <c r="AB19" s="174">
        <v>1</v>
      </c>
      <c r="AC19" s="174">
        <v>1</v>
      </c>
      <c r="AD19" s="174">
        <v>1</v>
      </c>
      <c r="AE19" s="174">
        <v>1</v>
      </c>
      <c r="AF19" s="174">
        <v>1</v>
      </c>
      <c r="AG19" s="174">
        <v>1</v>
      </c>
      <c r="AH19" s="174">
        <v>1</v>
      </c>
      <c r="AI19" s="174">
        <v>1</v>
      </c>
      <c r="AJ19" s="174">
        <v>1</v>
      </c>
      <c r="AK19" s="174">
        <v>1</v>
      </c>
      <c r="AL19" s="174">
        <v>1</v>
      </c>
      <c r="AM19" s="478">
        <v>1</v>
      </c>
      <c r="AN19" s="174">
        <v>1</v>
      </c>
      <c r="AO19" s="174">
        <v>1</v>
      </c>
      <c r="AP19" s="174">
        <v>1</v>
      </c>
      <c r="AQ19" s="174">
        <v>1</v>
      </c>
      <c r="AR19" s="174">
        <v>1</v>
      </c>
      <c r="AS19" s="174">
        <v>1</v>
      </c>
      <c r="AT19" s="174"/>
      <c r="AU19" s="174"/>
      <c r="AV19" s="174">
        <v>1</v>
      </c>
      <c r="AW19" s="174">
        <v>1</v>
      </c>
      <c r="AX19" s="174">
        <v>1</v>
      </c>
      <c r="AY19" s="174">
        <v>1</v>
      </c>
      <c r="AZ19" s="174">
        <v>1</v>
      </c>
      <c r="BA19" s="174">
        <v>1</v>
      </c>
    </row>
    <row r="20" spans="1:53" ht="33.75" hidden="1" customHeight="1">
      <c r="A20" s="168">
        <v>131</v>
      </c>
      <c r="B20" s="168" t="s">
        <v>109</v>
      </c>
      <c r="C20" s="169" t="s">
        <v>84</v>
      </c>
      <c r="D20" s="144" t="s">
        <v>110</v>
      </c>
      <c r="E20" s="169" t="s">
        <v>3</v>
      </c>
      <c r="F20" s="169" t="s">
        <v>103</v>
      </c>
      <c r="G20" s="149" t="s">
        <v>111</v>
      </c>
      <c r="H20" s="170" t="s">
        <v>88</v>
      </c>
      <c r="I20" s="170" t="s">
        <v>112</v>
      </c>
      <c r="J20" s="170" t="s">
        <v>113</v>
      </c>
      <c r="K20" s="170"/>
      <c r="L20" s="170" t="s">
        <v>114</v>
      </c>
      <c r="M20" s="170"/>
      <c r="N20" s="187"/>
      <c r="O20" s="164"/>
      <c r="P20" s="164" t="s">
        <v>80</v>
      </c>
      <c r="Q20" s="164" t="s">
        <v>10</v>
      </c>
      <c r="R20" s="164"/>
      <c r="S20" s="172">
        <v>0.25</v>
      </c>
      <c r="T20" s="157">
        <v>0.1</v>
      </c>
      <c r="U20" s="173">
        <f t="shared" si="0"/>
        <v>2.5000000000000001E-2</v>
      </c>
      <c r="V20" s="174">
        <v>1</v>
      </c>
      <c r="W20" s="174">
        <v>1</v>
      </c>
      <c r="X20" s="174">
        <v>1</v>
      </c>
      <c r="Y20" s="174">
        <v>1</v>
      </c>
      <c r="Z20" s="174">
        <v>1</v>
      </c>
      <c r="AA20" s="174">
        <v>1</v>
      </c>
      <c r="AB20" s="174">
        <v>1</v>
      </c>
      <c r="AC20" s="174">
        <v>1</v>
      </c>
      <c r="AD20" s="174">
        <v>1</v>
      </c>
      <c r="AE20" s="174">
        <v>1</v>
      </c>
      <c r="AF20" s="174">
        <v>1</v>
      </c>
      <c r="AG20" s="174">
        <v>1</v>
      </c>
      <c r="AH20" s="174">
        <v>1</v>
      </c>
      <c r="AI20" s="174">
        <v>1</v>
      </c>
      <c r="AJ20" s="174">
        <v>1</v>
      </c>
      <c r="AK20" s="174">
        <v>1</v>
      </c>
      <c r="AL20" s="174">
        <v>1</v>
      </c>
      <c r="AM20" s="478">
        <v>1</v>
      </c>
      <c r="AN20" s="174">
        <v>1</v>
      </c>
      <c r="AO20" s="174">
        <v>1</v>
      </c>
      <c r="AP20" s="174">
        <v>1</v>
      </c>
      <c r="AQ20" s="174">
        <v>1</v>
      </c>
      <c r="AR20" s="174">
        <v>1</v>
      </c>
      <c r="AS20" s="174">
        <v>1</v>
      </c>
      <c r="AT20" s="174"/>
      <c r="AU20" s="174"/>
      <c r="AV20" s="174">
        <v>1</v>
      </c>
      <c r="AW20" s="174">
        <v>1</v>
      </c>
      <c r="AX20" s="174">
        <v>1</v>
      </c>
      <c r="AY20" s="174">
        <v>1</v>
      </c>
      <c r="AZ20" s="174">
        <v>1</v>
      </c>
      <c r="BA20" s="174">
        <v>1</v>
      </c>
    </row>
    <row r="21" spans="1:53" ht="33.75" hidden="1" customHeight="1">
      <c r="A21" s="168">
        <v>132</v>
      </c>
      <c r="B21" s="168" t="s">
        <v>109</v>
      </c>
      <c r="C21" s="169" t="s">
        <v>84</v>
      </c>
      <c r="D21" s="144" t="s">
        <v>102</v>
      </c>
      <c r="E21" s="169" t="s">
        <v>3</v>
      </c>
      <c r="F21" s="169" t="s">
        <v>103</v>
      </c>
      <c r="G21" s="149" t="s">
        <v>115</v>
      </c>
      <c r="H21" s="170" t="s">
        <v>88</v>
      </c>
      <c r="I21" s="170" t="s">
        <v>116</v>
      </c>
      <c r="J21" s="170" t="s">
        <v>113</v>
      </c>
      <c r="K21" s="170"/>
      <c r="L21" s="170" t="s">
        <v>117</v>
      </c>
      <c r="M21" s="170"/>
      <c r="N21" s="187"/>
      <c r="O21" s="164"/>
      <c r="P21" s="164" t="s">
        <v>80</v>
      </c>
      <c r="Q21" s="164" t="s">
        <v>10</v>
      </c>
      <c r="R21" s="164"/>
      <c r="S21" s="172">
        <v>0.25</v>
      </c>
      <c r="T21" s="157">
        <v>0.1</v>
      </c>
      <c r="U21" s="173">
        <f t="shared" si="0"/>
        <v>2.5000000000000001E-2</v>
      </c>
      <c r="V21" s="174">
        <v>1</v>
      </c>
      <c r="W21" s="174">
        <v>1</v>
      </c>
      <c r="X21" s="174">
        <v>1</v>
      </c>
      <c r="Y21" s="174">
        <v>1</v>
      </c>
      <c r="Z21" s="174">
        <v>1</v>
      </c>
      <c r="AA21" s="174">
        <v>1</v>
      </c>
      <c r="AB21" s="174">
        <v>1</v>
      </c>
      <c r="AC21" s="174">
        <v>1</v>
      </c>
      <c r="AD21" s="174">
        <v>1</v>
      </c>
      <c r="AE21" s="174">
        <v>1</v>
      </c>
      <c r="AF21" s="174">
        <v>1</v>
      </c>
      <c r="AG21" s="174">
        <v>1</v>
      </c>
      <c r="AH21" s="174">
        <v>1</v>
      </c>
      <c r="AI21" s="174">
        <v>1</v>
      </c>
      <c r="AJ21" s="174">
        <v>1</v>
      </c>
      <c r="AK21" s="174">
        <v>1</v>
      </c>
      <c r="AL21" s="174">
        <v>1</v>
      </c>
      <c r="AM21" s="478">
        <v>1</v>
      </c>
      <c r="AN21" s="174">
        <v>1</v>
      </c>
      <c r="AO21" s="174">
        <v>1</v>
      </c>
      <c r="AP21" s="174">
        <v>1</v>
      </c>
      <c r="AQ21" s="174">
        <v>1</v>
      </c>
      <c r="AR21" s="174">
        <v>1</v>
      </c>
      <c r="AS21" s="174">
        <v>1</v>
      </c>
      <c r="AT21" s="174"/>
      <c r="AU21" s="174"/>
      <c r="AV21" s="174">
        <v>1</v>
      </c>
      <c r="AW21" s="174">
        <v>1</v>
      </c>
      <c r="AX21" s="174">
        <v>1</v>
      </c>
      <c r="AY21" s="174">
        <v>1</v>
      </c>
      <c r="AZ21" s="174">
        <v>1</v>
      </c>
      <c r="BA21" s="174">
        <v>1</v>
      </c>
    </row>
    <row r="22" spans="1:53" ht="33.75" hidden="1" customHeight="1">
      <c r="A22" s="168"/>
      <c r="B22" s="251">
        <v>45546</v>
      </c>
      <c r="C22" s="236" t="s">
        <v>75</v>
      </c>
      <c r="D22" s="467" t="s">
        <v>76</v>
      </c>
      <c r="E22" s="169" t="s">
        <v>3</v>
      </c>
      <c r="F22" s="177" t="s">
        <v>118</v>
      </c>
      <c r="G22" s="153" t="s">
        <v>119</v>
      </c>
      <c r="H22" s="153" t="s">
        <v>120</v>
      </c>
      <c r="I22" s="535" t="s">
        <v>121</v>
      </c>
      <c r="J22" s="149" t="s">
        <v>122</v>
      </c>
      <c r="K22" s="149" t="s">
        <v>123</v>
      </c>
      <c r="L22" s="509" t="s">
        <v>124</v>
      </c>
      <c r="M22" s="541" t="s">
        <v>125</v>
      </c>
      <c r="N22" s="228">
        <v>2</v>
      </c>
      <c r="O22" s="166"/>
      <c r="P22" s="166" t="s">
        <v>126</v>
      </c>
      <c r="Q22" s="166" t="s">
        <v>7</v>
      </c>
      <c r="R22" s="164" t="s">
        <v>81</v>
      </c>
      <c r="S22" s="176">
        <v>0.5</v>
      </c>
      <c r="T22" s="157">
        <v>1.5</v>
      </c>
      <c r="U22" s="173">
        <f t="shared" si="0"/>
        <v>0.75</v>
      </c>
      <c r="V22" s="174">
        <v>1</v>
      </c>
      <c r="W22" s="174">
        <v>1</v>
      </c>
      <c r="X22" s="174">
        <v>1</v>
      </c>
      <c r="Y22" s="174">
        <v>1</v>
      </c>
      <c r="Z22" s="174">
        <v>1</v>
      </c>
      <c r="AA22" s="174">
        <v>1</v>
      </c>
      <c r="AB22" s="174">
        <v>1</v>
      </c>
      <c r="AC22" s="174">
        <v>1</v>
      </c>
      <c r="AD22" s="174">
        <v>1</v>
      </c>
      <c r="AE22" s="174">
        <v>1</v>
      </c>
      <c r="AF22" s="174">
        <v>1</v>
      </c>
      <c r="AG22" s="174">
        <v>1</v>
      </c>
      <c r="AH22" s="174">
        <v>1</v>
      </c>
      <c r="AI22" s="174">
        <v>1</v>
      </c>
      <c r="AJ22" s="174">
        <v>1</v>
      </c>
      <c r="AK22" s="174">
        <v>1</v>
      </c>
      <c r="AL22" s="174">
        <v>1</v>
      </c>
      <c r="AM22" s="478">
        <v>1</v>
      </c>
      <c r="AN22" s="174">
        <v>1</v>
      </c>
      <c r="AO22" s="174">
        <v>1</v>
      </c>
      <c r="AP22" s="174">
        <v>1</v>
      </c>
      <c r="AQ22" s="174">
        <v>1</v>
      </c>
      <c r="AR22" s="174">
        <v>1</v>
      </c>
      <c r="AS22" s="174">
        <v>1</v>
      </c>
      <c r="AT22" s="174">
        <v>1</v>
      </c>
      <c r="AU22" s="174">
        <v>1</v>
      </c>
      <c r="AV22" s="174">
        <v>1</v>
      </c>
      <c r="AW22" s="174">
        <v>1</v>
      </c>
      <c r="AX22" s="174">
        <v>1</v>
      </c>
      <c r="AY22" s="174">
        <v>1</v>
      </c>
      <c r="AZ22" s="174">
        <v>1</v>
      </c>
      <c r="BA22" s="174">
        <v>1</v>
      </c>
    </row>
    <row r="23" spans="1:53" ht="29.25" hidden="1" customHeight="1">
      <c r="A23" s="168">
        <v>181</v>
      </c>
      <c r="B23" s="251">
        <v>46058</v>
      </c>
      <c r="C23" s="169" t="s">
        <v>84</v>
      </c>
      <c r="D23" s="144" t="s">
        <v>16</v>
      </c>
      <c r="E23" s="220" t="s">
        <v>6</v>
      </c>
      <c r="F23" s="169"/>
      <c r="G23" s="185" t="s">
        <v>127</v>
      </c>
      <c r="H23" s="149" t="s">
        <v>128</v>
      </c>
      <c r="I23" s="149" t="s">
        <v>129</v>
      </c>
      <c r="J23" s="170"/>
      <c r="K23" s="170"/>
      <c r="L23" s="511" t="s">
        <v>130</v>
      </c>
      <c r="M23" s="170"/>
      <c r="N23" s="187"/>
      <c r="O23" s="164"/>
      <c r="P23" s="164" t="s">
        <v>80</v>
      </c>
      <c r="Q23" s="164" t="s">
        <v>4</v>
      </c>
      <c r="R23" s="164"/>
      <c r="S23" s="172">
        <v>0.75</v>
      </c>
      <c r="T23" s="157">
        <v>0</v>
      </c>
      <c r="U23" s="173">
        <f t="shared" si="0"/>
        <v>0</v>
      </c>
      <c r="V23" s="174">
        <v>1</v>
      </c>
      <c r="W23" s="174">
        <v>1</v>
      </c>
      <c r="X23" s="174">
        <v>1</v>
      </c>
      <c r="Y23" s="174">
        <v>1</v>
      </c>
      <c r="Z23" s="174">
        <v>1</v>
      </c>
      <c r="AA23" s="174">
        <v>1</v>
      </c>
      <c r="AB23" s="174">
        <v>1</v>
      </c>
      <c r="AC23" s="174">
        <v>1</v>
      </c>
      <c r="AD23" s="174">
        <v>1</v>
      </c>
      <c r="AE23" s="174">
        <v>1</v>
      </c>
      <c r="AF23" s="174">
        <v>1</v>
      </c>
      <c r="AG23" s="174">
        <v>1</v>
      </c>
      <c r="AH23" s="174">
        <v>1</v>
      </c>
      <c r="AI23" s="174">
        <v>1</v>
      </c>
      <c r="AJ23" s="174">
        <v>1</v>
      </c>
      <c r="AK23" s="174">
        <v>1</v>
      </c>
      <c r="AL23" s="174">
        <v>1</v>
      </c>
      <c r="AM23" s="478">
        <v>1</v>
      </c>
      <c r="AN23" s="174">
        <v>1</v>
      </c>
      <c r="AO23" s="174">
        <v>1</v>
      </c>
      <c r="AP23" s="174">
        <v>1</v>
      </c>
      <c r="AQ23" s="174">
        <v>1</v>
      </c>
      <c r="AR23" s="174">
        <v>1</v>
      </c>
      <c r="AS23" s="174">
        <v>1</v>
      </c>
      <c r="AT23" s="174">
        <v>1</v>
      </c>
      <c r="AU23" s="174">
        <v>1</v>
      </c>
      <c r="AV23" s="174">
        <v>1</v>
      </c>
      <c r="AW23" s="174">
        <v>1</v>
      </c>
      <c r="AX23" s="174">
        <v>1</v>
      </c>
      <c r="AY23" s="174">
        <v>1</v>
      </c>
      <c r="AZ23" s="174">
        <v>1</v>
      </c>
      <c r="BA23" s="174">
        <v>1</v>
      </c>
    </row>
    <row r="24" spans="1:53" ht="33.75" hidden="1" customHeight="1">
      <c r="A24" s="243">
        <v>202</v>
      </c>
      <c r="B24" s="243" t="s">
        <v>131</v>
      </c>
      <c r="C24" s="236" t="s">
        <v>84</v>
      </c>
      <c r="D24" s="238" t="s">
        <v>132</v>
      </c>
      <c r="E24" s="236" t="s">
        <v>3</v>
      </c>
      <c r="F24" s="169" t="s">
        <v>133</v>
      </c>
      <c r="G24" s="237" t="s">
        <v>134</v>
      </c>
      <c r="H24" s="237" t="s">
        <v>135</v>
      </c>
      <c r="I24" s="237" t="s">
        <v>136</v>
      </c>
      <c r="J24" s="237" t="s">
        <v>137</v>
      </c>
      <c r="K24" s="237"/>
      <c r="L24" s="512" t="s">
        <v>138</v>
      </c>
      <c r="M24" s="170"/>
      <c r="N24" s="187"/>
      <c r="O24" s="164"/>
      <c r="P24" s="240" t="s">
        <v>80</v>
      </c>
      <c r="Q24" s="240" t="s">
        <v>10</v>
      </c>
      <c r="R24" s="240"/>
      <c r="S24" s="241">
        <v>0.5</v>
      </c>
      <c r="T24" s="242">
        <v>-0.1</v>
      </c>
      <c r="U24" s="351">
        <f t="shared" si="0"/>
        <v>-0.05</v>
      </c>
      <c r="V24" s="352">
        <v>1</v>
      </c>
      <c r="W24" s="352">
        <v>1</v>
      </c>
      <c r="X24" s="352">
        <v>1</v>
      </c>
      <c r="Y24" s="352">
        <v>1</v>
      </c>
      <c r="Z24" s="352">
        <v>1</v>
      </c>
      <c r="AA24" s="352">
        <v>1</v>
      </c>
      <c r="AB24" s="352">
        <v>1</v>
      </c>
      <c r="AC24" s="352">
        <v>1</v>
      </c>
      <c r="AD24" s="352">
        <v>1</v>
      </c>
      <c r="AE24" s="352">
        <v>1</v>
      </c>
      <c r="AF24" s="352">
        <v>1</v>
      </c>
      <c r="AG24" s="352">
        <v>1</v>
      </c>
      <c r="AH24" s="352">
        <v>1</v>
      </c>
      <c r="AI24" s="352">
        <v>1</v>
      </c>
      <c r="AJ24" s="352">
        <v>1</v>
      </c>
      <c r="AK24" s="352">
        <v>1</v>
      </c>
      <c r="AL24" s="352">
        <v>1</v>
      </c>
      <c r="AM24" s="479">
        <v>1</v>
      </c>
      <c r="AN24" s="352">
        <v>1</v>
      </c>
      <c r="AO24" s="352">
        <v>1</v>
      </c>
      <c r="AP24" s="352">
        <v>1</v>
      </c>
      <c r="AQ24" s="352">
        <v>1</v>
      </c>
      <c r="AR24" s="352">
        <v>1</v>
      </c>
      <c r="AS24" s="352">
        <v>1</v>
      </c>
      <c r="AT24" s="352"/>
      <c r="AU24" s="352"/>
      <c r="AV24" s="352">
        <v>1</v>
      </c>
      <c r="AW24" s="352">
        <v>1</v>
      </c>
      <c r="AX24" s="352">
        <v>1</v>
      </c>
      <c r="AY24" s="352">
        <v>1</v>
      </c>
      <c r="AZ24" s="352">
        <v>1</v>
      </c>
      <c r="BA24" s="352">
        <v>1</v>
      </c>
    </row>
    <row r="25" spans="1:53" ht="33.75" hidden="1" customHeight="1">
      <c r="A25" s="182"/>
      <c r="B25" s="253">
        <v>45536</v>
      </c>
      <c r="C25" s="236" t="s">
        <v>75</v>
      </c>
      <c r="D25" s="467" t="s">
        <v>76</v>
      </c>
      <c r="E25" s="220" t="s">
        <v>3</v>
      </c>
      <c r="F25" s="220" t="s">
        <v>77</v>
      </c>
      <c r="G25" s="149" t="s">
        <v>139</v>
      </c>
      <c r="H25" s="149" t="s">
        <v>139</v>
      </c>
      <c r="I25" s="154" t="s">
        <v>140</v>
      </c>
      <c r="J25" s="149" t="s">
        <v>141</v>
      </c>
      <c r="K25" s="509" t="s">
        <v>142</v>
      </c>
      <c r="L25" s="513" t="s">
        <v>124</v>
      </c>
      <c r="M25" s="149" t="s">
        <v>143</v>
      </c>
      <c r="N25" s="185">
        <v>27.1</v>
      </c>
      <c r="O25" s="186"/>
      <c r="P25" s="186" t="s">
        <v>80</v>
      </c>
      <c r="Q25" s="186" t="s">
        <v>7</v>
      </c>
      <c r="R25" s="186" t="s">
        <v>81</v>
      </c>
      <c r="S25" s="181">
        <v>0.75</v>
      </c>
      <c r="T25" s="157">
        <v>1</v>
      </c>
      <c r="U25" s="173">
        <f t="shared" si="0"/>
        <v>0.75</v>
      </c>
      <c r="V25" s="174">
        <v>1</v>
      </c>
      <c r="W25" s="174">
        <v>1</v>
      </c>
      <c r="X25" s="174">
        <v>1</v>
      </c>
      <c r="Y25" s="174">
        <v>1</v>
      </c>
      <c r="Z25" s="174">
        <v>1</v>
      </c>
      <c r="AA25" s="174">
        <v>1</v>
      </c>
      <c r="AB25" s="174">
        <v>1</v>
      </c>
      <c r="AC25" s="174">
        <v>1</v>
      </c>
      <c r="AD25" s="174">
        <v>1</v>
      </c>
      <c r="AE25" s="174">
        <v>1</v>
      </c>
      <c r="AF25" s="174">
        <v>1</v>
      </c>
      <c r="AG25" s="174">
        <v>1</v>
      </c>
      <c r="AH25" s="174">
        <v>1</v>
      </c>
      <c r="AI25" s="174">
        <v>1</v>
      </c>
      <c r="AJ25" s="174">
        <v>1</v>
      </c>
      <c r="AK25" s="174">
        <v>1</v>
      </c>
      <c r="AL25" s="174">
        <v>1</v>
      </c>
      <c r="AM25" s="478">
        <v>1</v>
      </c>
      <c r="AN25" s="174">
        <v>1</v>
      </c>
      <c r="AO25" s="174">
        <v>1</v>
      </c>
      <c r="AP25" s="174">
        <v>1</v>
      </c>
      <c r="AQ25" s="174">
        <v>1</v>
      </c>
      <c r="AR25" s="174">
        <v>1</v>
      </c>
      <c r="AS25" s="174">
        <v>1</v>
      </c>
      <c r="AT25" s="174">
        <v>1</v>
      </c>
      <c r="AU25" s="174">
        <v>1</v>
      </c>
      <c r="AV25" s="174">
        <v>1</v>
      </c>
      <c r="AW25" s="174">
        <v>1</v>
      </c>
      <c r="AX25" s="174">
        <v>1</v>
      </c>
      <c r="AY25" s="174">
        <v>1</v>
      </c>
      <c r="AZ25" s="174">
        <v>1</v>
      </c>
      <c r="BA25" s="174">
        <v>1</v>
      </c>
    </row>
    <row r="26" spans="1:53" ht="29.25" hidden="1" customHeight="1">
      <c r="A26" s="168">
        <v>215</v>
      </c>
      <c r="B26" s="251">
        <v>46058</v>
      </c>
      <c r="C26" s="169" t="s">
        <v>84</v>
      </c>
      <c r="D26" s="144" t="s">
        <v>144</v>
      </c>
      <c r="E26" s="220" t="s">
        <v>6</v>
      </c>
      <c r="F26" s="169"/>
      <c r="G26" s="185" t="s">
        <v>145</v>
      </c>
      <c r="H26" s="170" t="s">
        <v>146</v>
      </c>
      <c r="I26" s="170" t="s">
        <v>147</v>
      </c>
      <c r="J26" s="170"/>
      <c r="K26" s="170"/>
      <c r="L26" s="170" t="s">
        <v>148</v>
      </c>
      <c r="M26" s="170"/>
      <c r="N26" s="187"/>
      <c r="O26" s="164"/>
      <c r="P26" s="164" t="s">
        <v>80</v>
      </c>
      <c r="Q26" s="164" t="s">
        <v>4</v>
      </c>
      <c r="R26" s="164"/>
      <c r="S26" s="172">
        <v>0.5</v>
      </c>
      <c r="T26" s="157">
        <v>0.02</v>
      </c>
      <c r="U26" s="173">
        <f t="shared" si="0"/>
        <v>0.01</v>
      </c>
      <c r="V26" s="174">
        <v>1</v>
      </c>
      <c r="W26" s="174">
        <v>1</v>
      </c>
      <c r="X26" s="174">
        <v>1</v>
      </c>
      <c r="Y26" s="174">
        <v>1</v>
      </c>
      <c r="Z26" s="174">
        <v>1</v>
      </c>
      <c r="AA26" s="174">
        <v>1</v>
      </c>
      <c r="AB26" s="174">
        <v>1</v>
      </c>
      <c r="AC26" s="174">
        <v>1</v>
      </c>
      <c r="AD26" s="174">
        <v>1</v>
      </c>
      <c r="AE26" s="174">
        <v>1</v>
      </c>
      <c r="AF26" s="174">
        <v>1</v>
      </c>
      <c r="AG26" s="174">
        <v>1</v>
      </c>
      <c r="AH26" s="174">
        <v>1</v>
      </c>
      <c r="AI26" s="174">
        <v>1</v>
      </c>
      <c r="AJ26" s="174">
        <v>1</v>
      </c>
      <c r="AK26" s="174">
        <v>1</v>
      </c>
      <c r="AL26" s="174">
        <v>1</v>
      </c>
      <c r="AM26" s="478">
        <v>1</v>
      </c>
      <c r="AN26" s="174">
        <v>1</v>
      </c>
      <c r="AO26" s="174">
        <v>1</v>
      </c>
      <c r="AP26" s="174">
        <v>1</v>
      </c>
      <c r="AQ26" s="174">
        <v>1</v>
      </c>
      <c r="AR26" s="174">
        <v>1</v>
      </c>
      <c r="AS26" s="174">
        <v>1</v>
      </c>
      <c r="AT26" s="174">
        <v>1</v>
      </c>
      <c r="AU26" s="174">
        <v>1</v>
      </c>
      <c r="AV26" s="174">
        <v>1</v>
      </c>
      <c r="AW26" s="174">
        <v>1</v>
      </c>
      <c r="AX26" s="174">
        <v>1</v>
      </c>
      <c r="AY26" s="174">
        <v>1</v>
      </c>
      <c r="AZ26" s="174">
        <v>1</v>
      </c>
      <c r="BA26" s="174">
        <v>1</v>
      </c>
    </row>
    <row r="27" spans="1:53" ht="33.75" hidden="1" customHeight="1">
      <c r="A27" s="168">
        <v>224</v>
      </c>
      <c r="B27" s="168" t="s">
        <v>149</v>
      </c>
      <c r="C27" s="169" t="s">
        <v>84</v>
      </c>
      <c r="D27" s="144" t="s">
        <v>150</v>
      </c>
      <c r="E27" s="169" t="s">
        <v>3</v>
      </c>
      <c r="F27" s="169"/>
      <c r="G27" s="149" t="s">
        <v>151</v>
      </c>
      <c r="H27" s="170"/>
      <c r="I27" s="170" t="s">
        <v>152</v>
      </c>
      <c r="J27" s="170"/>
      <c r="K27" s="170"/>
      <c r="L27" s="170" t="s">
        <v>153</v>
      </c>
      <c r="M27" s="170"/>
      <c r="N27" s="187"/>
      <c r="O27" s="164"/>
      <c r="P27" s="164" t="s">
        <v>80</v>
      </c>
      <c r="Q27" s="164" t="s">
        <v>10</v>
      </c>
      <c r="R27" s="164"/>
      <c r="S27" s="172">
        <v>0.5</v>
      </c>
      <c r="T27" s="157">
        <v>-1.2</v>
      </c>
      <c r="U27" s="173">
        <f t="shared" si="0"/>
        <v>-0.6</v>
      </c>
      <c r="V27" s="174">
        <v>1</v>
      </c>
      <c r="W27" s="174">
        <v>1</v>
      </c>
      <c r="X27" s="174">
        <v>1</v>
      </c>
      <c r="Y27" s="174">
        <v>1</v>
      </c>
      <c r="Z27" s="174">
        <v>1</v>
      </c>
      <c r="AA27" s="174">
        <v>1</v>
      </c>
      <c r="AB27" s="174">
        <v>1</v>
      </c>
      <c r="AC27" s="174">
        <v>1</v>
      </c>
      <c r="AD27" s="174">
        <v>1</v>
      </c>
      <c r="AE27" s="174">
        <v>1</v>
      </c>
      <c r="AF27" s="174">
        <v>1</v>
      </c>
      <c r="AG27" s="174">
        <v>1</v>
      </c>
      <c r="AH27" s="174">
        <v>1</v>
      </c>
      <c r="AI27" s="174">
        <v>1</v>
      </c>
      <c r="AJ27" s="174">
        <v>1</v>
      </c>
      <c r="AK27" s="174">
        <v>1</v>
      </c>
      <c r="AL27" s="174">
        <v>1</v>
      </c>
      <c r="AM27" s="478">
        <v>1</v>
      </c>
      <c r="AN27" s="174">
        <v>1</v>
      </c>
      <c r="AO27" s="174">
        <v>1</v>
      </c>
      <c r="AP27" s="174">
        <v>1</v>
      </c>
      <c r="AQ27" s="174">
        <v>1</v>
      </c>
      <c r="AR27" s="174">
        <v>1</v>
      </c>
      <c r="AS27" s="174">
        <v>1</v>
      </c>
      <c r="AT27" s="174"/>
      <c r="AU27" s="174"/>
      <c r="AV27" s="174">
        <v>1</v>
      </c>
      <c r="AW27" s="174">
        <v>1</v>
      </c>
      <c r="AX27" s="174">
        <v>1</v>
      </c>
      <c r="AY27" s="174">
        <v>1</v>
      </c>
      <c r="AZ27" s="174">
        <v>1</v>
      </c>
      <c r="BA27" s="174">
        <v>1</v>
      </c>
    </row>
    <row r="28" spans="1:53" ht="33.75" hidden="1" customHeight="1">
      <c r="A28" s="168">
        <v>271</v>
      </c>
      <c r="B28" s="168" t="s">
        <v>154</v>
      </c>
      <c r="C28" s="169" t="s">
        <v>84</v>
      </c>
      <c r="D28" s="467" t="s">
        <v>76</v>
      </c>
      <c r="E28" s="169" t="s">
        <v>3</v>
      </c>
      <c r="F28" s="169" t="s">
        <v>155</v>
      </c>
      <c r="G28" s="149" t="s">
        <v>156</v>
      </c>
      <c r="H28" s="170" t="s">
        <v>157</v>
      </c>
      <c r="I28" s="170" t="s">
        <v>158</v>
      </c>
      <c r="J28" s="170" t="s">
        <v>159</v>
      </c>
      <c r="K28" s="170"/>
      <c r="L28" s="170" t="s">
        <v>160</v>
      </c>
      <c r="M28" s="170"/>
      <c r="N28" s="187"/>
      <c r="O28" s="164"/>
      <c r="P28" s="164" t="s">
        <v>80</v>
      </c>
      <c r="Q28" s="164" t="s">
        <v>7</v>
      </c>
      <c r="R28" s="164"/>
      <c r="S28" s="172">
        <v>1</v>
      </c>
      <c r="T28" s="157">
        <v>0.54</v>
      </c>
      <c r="U28" s="173">
        <f t="shared" si="0"/>
        <v>0.54</v>
      </c>
      <c r="V28" s="174">
        <v>1</v>
      </c>
      <c r="W28" s="174">
        <v>1</v>
      </c>
      <c r="X28" s="174">
        <v>1</v>
      </c>
      <c r="Y28" s="174">
        <v>1</v>
      </c>
      <c r="Z28" s="174">
        <v>1</v>
      </c>
      <c r="AA28" s="174">
        <v>1</v>
      </c>
      <c r="AB28" s="174">
        <v>1</v>
      </c>
      <c r="AC28" s="174">
        <v>1</v>
      </c>
      <c r="AD28" s="174">
        <v>1</v>
      </c>
      <c r="AE28" s="174">
        <v>1</v>
      </c>
      <c r="AF28" s="174">
        <v>1</v>
      </c>
      <c r="AG28" s="174">
        <v>1</v>
      </c>
      <c r="AH28" s="174">
        <v>1</v>
      </c>
      <c r="AI28" s="174">
        <v>1</v>
      </c>
      <c r="AJ28" s="174">
        <v>1</v>
      </c>
      <c r="AK28" s="174">
        <v>1</v>
      </c>
      <c r="AL28" s="174">
        <v>1</v>
      </c>
      <c r="AM28" s="478">
        <v>1</v>
      </c>
      <c r="AN28" s="174">
        <v>1</v>
      </c>
      <c r="AO28" s="174">
        <v>1</v>
      </c>
      <c r="AP28" s="174">
        <v>1</v>
      </c>
      <c r="AQ28" s="174">
        <v>1</v>
      </c>
      <c r="AR28" s="174">
        <v>1</v>
      </c>
      <c r="AS28" s="174">
        <v>1</v>
      </c>
      <c r="AT28" s="174">
        <v>1</v>
      </c>
      <c r="AU28" s="174">
        <v>1</v>
      </c>
      <c r="AV28" s="174">
        <v>1</v>
      </c>
      <c r="AW28" s="174">
        <v>1</v>
      </c>
      <c r="AX28" s="174">
        <v>1</v>
      </c>
      <c r="AY28" s="174">
        <v>1</v>
      </c>
      <c r="AZ28" s="174">
        <v>1</v>
      </c>
      <c r="BA28" s="174">
        <v>1</v>
      </c>
    </row>
    <row r="29" spans="1:53" ht="33.75" hidden="1" customHeight="1">
      <c r="A29" s="168">
        <v>323</v>
      </c>
      <c r="B29" s="168" t="s">
        <v>161</v>
      </c>
      <c r="C29" s="169" t="s">
        <v>84</v>
      </c>
      <c r="D29" s="144" t="s">
        <v>85</v>
      </c>
      <c r="E29" s="169" t="s">
        <v>3</v>
      </c>
      <c r="F29" s="169" t="s">
        <v>86</v>
      </c>
      <c r="G29" s="149" t="s">
        <v>162</v>
      </c>
      <c r="H29" s="385" t="s">
        <v>163</v>
      </c>
      <c r="I29" s="170" t="s">
        <v>164</v>
      </c>
      <c r="J29" s="170" t="s">
        <v>165</v>
      </c>
      <c r="K29" s="170"/>
      <c r="L29" s="170" t="s">
        <v>166</v>
      </c>
      <c r="M29" s="170"/>
      <c r="N29" s="187"/>
      <c r="O29" s="164"/>
      <c r="P29" s="164" t="s">
        <v>80</v>
      </c>
      <c r="Q29" s="164" t="s">
        <v>10</v>
      </c>
      <c r="R29" s="164"/>
      <c r="S29" s="172">
        <v>0.25</v>
      </c>
      <c r="T29" s="157">
        <v>2</v>
      </c>
      <c r="U29" s="173">
        <f t="shared" si="0"/>
        <v>0.5</v>
      </c>
      <c r="V29" s="174">
        <v>1</v>
      </c>
      <c r="W29" s="174">
        <v>1</v>
      </c>
      <c r="X29" s="174">
        <v>1</v>
      </c>
      <c r="Y29" s="174">
        <v>1</v>
      </c>
      <c r="Z29" s="174">
        <v>1</v>
      </c>
      <c r="AA29" s="174">
        <v>1</v>
      </c>
      <c r="AB29" s="174">
        <v>1</v>
      </c>
      <c r="AC29" s="174">
        <v>1</v>
      </c>
      <c r="AD29" s="174">
        <v>1</v>
      </c>
      <c r="AE29" s="174">
        <v>1</v>
      </c>
      <c r="AF29" s="174">
        <v>1</v>
      </c>
      <c r="AG29" s="174">
        <v>1</v>
      </c>
      <c r="AH29" s="174">
        <v>1</v>
      </c>
      <c r="AI29" s="174">
        <v>1</v>
      </c>
      <c r="AJ29" s="174">
        <v>1</v>
      </c>
      <c r="AK29" s="174">
        <v>1</v>
      </c>
      <c r="AL29" s="174">
        <v>1</v>
      </c>
      <c r="AM29" s="478">
        <v>1</v>
      </c>
      <c r="AN29" s="174">
        <v>1</v>
      </c>
      <c r="AO29" s="174">
        <v>1</v>
      </c>
      <c r="AP29" s="174">
        <v>1</v>
      </c>
      <c r="AQ29" s="174">
        <v>1</v>
      </c>
      <c r="AR29" s="174">
        <v>1</v>
      </c>
      <c r="AS29" s="174">
        <v>1</v>
      </c>
      <c r="AT29" s="174"/>
      <c r="AU29" s="174"/>
      <c r="AV29" s="174">
        <v>1</v>
      </c>
      <c r="AW29" s="174">
        <v>1</v>
      </c>
      <c r="AX29" s="174">
        <v>1</v>
      </c>
      <c r="AY29" s="174">
        <v>1</v>
      </c>
      <c r="AZ29" s="174">
        <v>1</v>
      </c>
      <c r="BA29" s="174">
        <v>1</v>
      </c>
    </row>
    <row r="30" spans="1:53" ht="33.75" hidden="1" customHeight="1">
      <c r="A30" s="168">
        <v>238</v>
      </c>
      <c r="B30" s="251">
        <v>46058</v>
      </c>
      <c r="C30" s="169" t="s">
        <v>84</v>
      </c>
      <c r="D30" s="144" t="s">
        <v>144</v>
      </c>
      <c r="E30" s="220" t="s">
        <v>6</v>
      </c>
      <c r="F30" s="169"/>
      <c r="G30" s="149" t="s">
        <v>167</v>
      </c>
      <c r="H30" s="170" t="s">
        <v>168</v>
      </c>
      <c r="I30" s="170" t="s">
        <v>169</v>
      </c>
      <c r="J30" s="170"/>
      <c r="K30" s="170"/>
      <c r="L30" s="170" t="s">
        <v>170</v>
      </c>
      <c r="M30" s="170"/>
      <c r="N30" s="187"/>
      <c r="O30" s="164"/>
      <c r="P30" s="164" t="s">
        <v>80</v>
      </c>
      <c r="Q30" s="164" t="s">
        <v>10</v>
      </c>
      <c r="R30" s="164"/>
      <c r="S30" s="172">
        <v>1</v>
      </c>
      <c r="T30" s="157">
        <v>-0.4</v>
      </c>
      <c r="U30" s="173">
        <f t="shared" si="0"/>
        <v>-0.4</v>
      </c>
      <c r="V30" s="174">
        <v>1</v>
      </c>
      <c r="W30" s="174">
        <v>1</v>
      </c>
      <c r="X30" s="174">
        <v>1</v>
      </c>
      <c r="Y30" s="174">
        <v>1</v>
      </c>
      <c r="Z30" s="174">
        <v>1</v>
      </c>
      <c r="AA30" s="174">
        <v>1</v>
      </c>
      <c r="AB30" s="174">
        <v>1</v>
      </c>
      <c r="AC30" s="174">
        <v>1</v>
      </c>
      <c r="AD30" s="174">
        <v>1</v>
      </c>
      <c r="AE30" s="174">
        <v>1</v>
      </c>
      <c r="AF30" s="174">
        <v>1</v>
      </c>
      <c r="AG30" s="174">
        <v>1</v>
      </c>
      <c r="AH30" s="174">
        <v>1</v>
      </c>
      <c r="AI30" s="174">
        <v>1</v>
      </c>
      <c r="AJ30" s="174">
        <v>1</v>
      </c>
      <c r="AK30" s="174">
        <v>1</v>
      </c>
      <c r="AL30" s="174">
        <v>1</v>
      </c>
      <c r="AM30" s="478">
        <v>1</v>
      </c>
      <c r="AN30" s="174">
        <v>1</v>
      </c>
      <c r="AO30" s="174">
        <v>1</v>
      </c>
      <c r="AP30" s="174">
        <v>1</v>
      </c>
      <c r="AQ30" s="174"/>
      <c r="AR30" s="174"/>
      <c r="AS30" s="174">
        <v>1</v>
      </c>
      <c r="AT30" s="174"/>
      <c r="AU30" s="174"/>
      <c r="AV30" s="174"/>
      <c r="AW30" s="174">
        <v>1</v>
      </c>
      <c r="AX30" s="174">
        <v>1</v>
      </c>
      <c r="AY30" s="174">
        <v>1</v>
      </c>
      <c r="AZ30" s="174"/>
      <c r="BA30" s="174"/>
    </row>
    <row r="31" spans="1:53" ht="29.25" hidden="1" customHeight="1">
      <c r="A31" s="168">
        <v>245</v>
      </c>
      <c r="B31" s="168" t="s">
        <v>171</v>
      </c>
      <c r="C31" s="169" t="s">
        <v>84</v>
      </c>
      <c r="D31" s="144" t="s">
        <v>9</v>
      </c>
      <c r="E31" s="169" t="s">
        <v>172</v>
      </c>
      <c r="F31" s="539" t="s">
        <v>173</v>
      </c>
      <c r="G31" s="185" t="s">
        <v>174</v>
      </c>
      <c r="H31" s="170" t="s">
        <v>175</v>
      </c>
      <c r="I31" s="170" t="s">
        <v>176</v>
      </c>
      <c r="J31" s="170"/>
      <c r="K31" s="170"/>
      <c r="L31" s="170" t="s">
        <v>177</v>
      </c>
      <c r="M31" s="170"/>
      <c r="N31" s="187"/>
      <c r="O31" s="164"/>
      <c r="P31" s="164" t="s">
        <v>80</v>
      </c>
      <c r="Q31" s="164" t="s">
        <v>4</v>
      </c>
      <c r="R31" s="164"/>
      <c r="S31" s="172">
        <v>0.5</v>
      </c>
      <c r="T31" s="157">
        <v>0.7</v>
      </c>
      <c r="U31" s="173">
        <f t="shared" si="0"/>
        <v>0.35</v>
      </c>
      <c r="V31" s="174">
        <v>1</v>
      </c>
      <c r="W31" s="174">
        <v>1</v>
      </c>
      <c r="X31" s="174">
        <v>1</v>
      </c>
      <c r="Y31" s="174">
        <v>1</v>
      </c>
      <c r="Z31" s="174">
        <v>1</v>
      </c>
      <c r="AA31" s="174">
        <v>1</v>
      </c>
      <c r="AB31" s="174">
        <v>1</v>
      </c>
      <c r="AC31" s="174">
        <v>1</v>
      </c>
      <c r="AD31" s="174">
        <v>1</v>
      </c>
      <c r="AE31" s="174">
        <v>1</v>
      </c>
      <c r="AF31" s="174">
        <v>1</v>
      </c>
      <c r="AG31" s="174">
        <v>1</v>
      </c>
      <c r="AH31" s="174">
        <v>1</v>
      </c>
      <c r="AI31" s="174">
        <v>1</v>
      </c>
      <c r="AJ31" s="174">
        <v>1</v>
      </c>
      <c r="AK31" s="174">
        <v>1</v>
      </c>
      <c r="AL31" s="174">
        <v>1</v>
      </c>
      <c r="AM31" s="478">
        <v>1</v>
      </c>
      <c r="AN31" s="174">
        <v>1</v>
      </c>
      <c r="AO31" s="174"/>
      <c r="AP31" s="174"/>
      <c r="AQ31" s="174"/>
      <c r="AR31" s="174"/>
      <c r="AS31" s="174">
        <v>1</v>
      </c>
      <c r="AT31" s="174"/>
      <c r="AU31" s="174"/>
      <c r="AV31" s="174"/>
      <c r="AW31" s="174">
        <v>1</v>
      </c>
      <c r="AX31" s="174"/>
      <c r="AY31" s="174"/>
      <c r="AZ31" s="174"/>
      <c r="BA31" s="174"/>
    </row>
    <row r="32" spans="1:53" ht="29.25" hidden="1" customHeight="1">
      <c r="A32" s="168">
        <v>248</v>
      </c>
      <c r="B32" s="168" t="s">
        <v>171</v>
      </c>
      <c r="C32" s="169" t="s">
        <v>84</v>
      </c>
      <c r="D32" s="144" t="s">
        <v>9</v>
      </c>
      <c r="E32" s="169" t="s">
        <v>172</v>
      </c>
      <c r="F32" s="539" t="s">
        <v>173</v>
      </c>
      <c r="G32" s="185" t="s">
        <v>178</v>
      </c>
      <c r="H32" s="170" t="s">
        <v>175</v>
      </c>
      <c r="I32" s="170"/>
      <c r="J32" s="170"/>
      <c r="K32" s="170"/>
      <c r="L32" s="514" t="s">
        <v>179</v>
      </c>
      <c r="M32" s="170"/>
      <c r="N32" s="187"/>
      <c r="O32" s="164"/>
      <c r="P32" s="164" t="s">
        <v>80</v>
      </c>
      <c r="Q32" s="164" t="s">
        <v>4</v>
      </c>
      <c r="R32" s="164"/>
      <c r="S32" s="172">
        <v>0.5</v>
      </c>
      <c r="T32" s="157">
        <v>-3</v>
      </c>
      <c r="U32" s="173">
        <f t="shared" si="0"/>
        <v>-1.5</v>
      </c>
      <c r="V32" s="174">
        <v>1</v>
      </c>
      <c r="W32" s="174">
        <v>1</v>
      </c>
      <c r="X32" s="174">
        <v>1</v>
      </c>
      <c r="Y32" s="174">
        <v>1</v>
      </c>
      <c r="Z32" s="174">
        <v>1</v>
      </c>
      <c r="AA32" s="174">
        <v>1</v>
      </c>
      <c r="AB32" s="174">
        <v>1</v>
      </c>
      <c r="AC32" s="174">
        <v>1</v>
      </c>
      <c r="AD32" s="174">
        <v>1</v>
      </c>
      <c r="AE32" s="174">
        <v>1</v>
      </c>
      <c r="AF32" s="174">
        <v>1</v>
      </c>
      <c r="AG32" s="174">
        <v>1</v>
      </c>
      <c r="AH32" s="174">
        <v>1</v>
      </c>
      <c r="AI32" s="174">
        <v>1</v>
      </c>
      <c r="AJ32" s="174">
        <v>1</v>
      </c>
      <c r="AK32" s="174">
        <v>1</v>
      </c>
      <c r="AL32" s="174">
        <v>1</v>
      </c>
      <c r="AM32" s="478">
        <v>1</v>
      </c>
      <c r="AN32" s="174">
        <v>1</v>
      </c>
      <c r="AO32" s="174"/>
      <c r="AP32" s="174"/>
      <c r="AQ32" s="174"/>
      <c r="AR32" s="174"/>
      <c r="AS32" s="174"/>
      <c r="AT32" s="174"/>
      <c r="AU32" s="174"/>
      <c r="AV32" s="174"/>
      <c r="AW32" s="174">
        <v>1</v>
      </c>
      <c r="AX32" s="174"/>
      <c r="AY32" s="174"/>
      <c r="AZ32" s="174"/>
      <c r="BA32" s="174"/>
    </row>
    <row r="33" spans="1:53" ht="33.75" hidden="1" customHeight="1">
      <c r="A33" s="168">
        <v>270</v>
      </c>
      <c r="B33" s="168" t="s">
        <v>154</v>
      </c>
      <c r="C33" s="169" t="s">
        <v>84</v>
      </c>
      <c r="D33" s="144" t="s">
        <v>180</v>
      </c>
      <c r="E33" s="169" t="s">
        <v>3</v>
      </c>
      <c r="F33" s="169" t="s">
        <v>181</v>
      </c>
      <c r="G33" s="149" t="s">
        <v>182</v>
      </c>
      <c r="H33" s="385" t="s">
        <v>183</v>
      </c>
      <c r="I33" s="170" t="s">
        <v>184</v>
      </c>
      <c r="J33" s="170" t="s">
        <v>185</v>
      </c>
      <c r="K33" s="154" t="s">
        <v>186</v>
      </c>
      <c r="L33" s="170" t="s">
        <v>187</v>
      </c>
      <c r="M33" s="170"/>
      <c r="N33" s="187"/>
      <c r="O33" s="164"/>
      <c r="P33" s="164" t="s">
        <v>80</v>
      </c>
      <c r="Q33" s="164" t="s">
        <v>10</v>
      </c>
      <c r="R33" s="164"/>
      <c r="S33" s="172">
        <v>0.25</v>
      </c>
      <c r="T33" s="157">
        <v>1.482</v>
      </c>
      <c r="U33" s="173">
        <f t="shared" si="0"/>
        <v>0.3705</v>
      </c>
      <c r="V33" s="174">
        <v>1</v>
      </c>
      <c r="W33" s="174">
        <v>1</v>
      </c>
      <c r="X33" s="174">
        <v>1</v>
      </c>
      <c r="Y33" s="174">
        <v>1</v>
      </c>
      <c r="Z33" s="174">
        <v>1</v>
      </c>
      <c r="AA33" s="174">
        <v>1</v>
      </c>
      <c r="AB33" s="174">
        <v>1</v>
      </c>
      <c r="AC33" s="174">
        <v>1</v>
      </c>
      <c r="AD33" s="174">
        <v>1</v>
      </c>
      <c r="AE33" s="174">
        <v>1</v>
      </c>
      <c r="AF33" s="174">
        <v>1</v>
      </c>
      <c r="AG33" s="174">
        <v>1</v>
      </c>
      <c r="AH33" s="174">
        <v>1</v>
      </c>
      <c r="AI33" s="174">
        <v>1</v>
      </c>
      <c r="AJ33" s="174">
        <v>1</v>
      </c>
      <c r="AK33" s="174">
        <v>1</v>
      </c>
      <c r="AL33" s="174">
        <v>1</v>
      </c>
      <c r="AM33" s="478">
        <v>1</v>
      </c>
      <c r="AN33" s="174">
        <v>1</v>
      </c>
      <c r="AO33" s="174">
        <v>1</v>
      </c>
      <c r="AP33" s="174">
        <v>1</v>
      </c>
      <c r="AQ33" s="174">
        <v>1</v>
      </c>
      <c r="AR33" s="174">
        <v>1</v>
      </c>
      <c r="AS33" s="174">
        <v>1</v>
      </c>
      <c r="AT33" s="174"/>
      <c r="AU33" s="174"/>
      <c r="AV33" s="174">
        <v>1</v>
      </c>
      <c r="AW33" s="174">
        <v>1</v>
      </c>
      <c r="AX33" s="174">
        <v>1</v>
      </c>
      <c r="AY33" s="174">
        <v>1</v>
      </c>
      <c r="AZ33" s="174">
        <v>1</v>
      </c>
      <c r="BA33" s="174">
        <v>1</v>
      </c>
    </row>
    <row r="34" spans="1:53" ht="33.75" hidden="1" customHeight="1">
      <c r="A34" s="168" t="s">
        <v>188</v>
      </c>
      <c r="B34" s="168" t="s">
        <v>189</v>
      </c>
      <c r="C34" s="169" t="s">
        <v>84</v>
      </c>
      <c r="D34" s="144" t="s">
        <v>144</v>
      </c>
      <c r="E34" s="169" t="s">
        <v>6</v>
      </c>
      <c r="F34" s="169"/>
      <c r="G34" s="149" t="s">
        <v>190</v>
      </c>
      <c r="H34" s="170"/>
      <c r="I34" s="170" t="s">
        <v>191</v>
      </c>
      <c r="J34" s="170"/>
      <c r="K34" s="170"/>
      <c r="L34" s="170" t="s">
        <v>192</v>
      </c>
      <c r="M34" s="170"/>
      <c r="N34" s="187"/>
      <c r="O34" s="164"/>
      <c r="P34" s="164" t="s">
        <v>80</v>
      </c>
      <c r="Q34" s="164" t="s">
        <v>10</v>
      </c>
      <c r="R34" s="164"/>
      <c r="S34" s="172">
        <v>0.5</v>
      </c>
      <c r="T34" s="157">
        <v>-2.6</v>
      </c>
      <c r="U34" s="173">
        <f t="shared" si="0"/>
        <v>-1.3</v>
      </c>
      <c r="V34" s="174">
        <v>1</v>
      </c>
      <c r="W34" s="174">
        <v>1</v>
      </c>
      <c r="X34" s="174">
        <v>1</v>
      </c>
      <c r="Y34" s="174">
        <v>1</v>
      </c>
      <c r="Z34" s="174">
        <v>1</v>
      </c>
      <c r="AA34" s="174">
        <v>1</v>
      </c>
      <c r="AB34" s="174">
        <v>1</v>
      </c>
      <c r="AC34" s="174">
        <v>1</v>
      </c>
      <c r="AD34" s="174">
        <v>1</v>
      </c>
      <c r="AE34" s="174">
        <v>1</v>
      </c>
      <c r="AF34" s="174">
        <v>1</v>
      </c>
      <c r="AG34" s="174">
        <v>1</v>
      </c>
      <c r="AH34" s="174">
        <v>1</v>
      </c>
      <c r="AI34" s="174">
        <v>1</v>
      </c>
      <c r="AJ34" s="174">
        <v>1</v>
      </c>
      <c r="AK34" s="174">
        <v>1</v>
      </c>
      <c r="AL34" s="174">
        <v>1</v>
      </c>
      <c r="AM34" s="478">
        <v>1</v>
      </c>
      <c r="AN34" s="174">
        <v>1</v>
      </c>
      <c r="AO34" s="174">
        <v>1</v>
      </c>
      <c r="AP34" s="174">
        <v>1</v>
      </c>
      <c r="AQ34" s="174">
        <v>1</v>
      </c>
      <c r="AR34" s="174">
        <v>1</v>
      </c>
      <c r="AS34" s="174">
        <v>1</v>
      </c>
      <c r="AT34" s="174"/>
      <c r="AU34" s="174"/>
      <c r="AV34" s="174">
        <v>1</v>
      </c>
      <c r="AW34" s="174">
        <v>1</v>
      </c>
      <c r="AX34" s="174">
        <v>1</v>
      </c>
      <c r="AY34" s="174">
        <v>1</v>
      </c>
      <c r="AZ34" s="174">
        <v>1</v>
      </c>
      <c r="BA34" s="174">
        <v>1</v>
      </c>
    </row>
    <row r="35" spans="1:53" ht="33.75" hidden="1" customHeight="1">
      <c r="A35" s="168" t="s">
        <v>193</v>
      </c>
      <c r="B35" s="168" t="s">
        <v>194</v>
      </c>
      <c r="C35" s="169" t="s">
        <v>84</v>
      </c>
      <c r="D35" s="144" t="s">
        <v>85</v>
      </c>
      <c r="E35" s="169" t="s">
        <v>3</v>
      </c>
      <c r="F35" s="169" t="s">
        <v>86</v>
      </c>
      <c r="G35" s="149" t="s">
        <v>195</v>
      </c>
      <c r="H35" s="170" t="s">
        <v>88</v>
      </c>
      <c r="I35" s="170" t="s">
        <v>196</v>
      </c>
      <c r="J35" s="170"/>
      <c r="K35" s="170"/>
      <c r="L35" s="170" t="s">
        <v>197</v>
      </c>
      <c r="M35" s="170"/>
      <c r="N35" s="187"/>
      <c r="O35" s="164"/>
      <c r="P35" s="164" t="s">
        <v>80</v>
      </c>
      <c r="Q35" s="164" t="s">
        <v>10</v>
      </c>
      <c r="R35" s="164"/>
      <c r="S35" s="172">
        <v>0.25</v>
      </c>
      <c r="T35" s="157">
        <v>0.5</v>
      </c>
      <c r="U35" s="173">
        <f t="shared" si="0"/>
        <v>0.125</v>
      </c>
      <c r="V35" s="174">
        <v>1</v>
      </c>
      <c r="W35" s="174">
        <v>1</v>
      </c>
      <c r="X35" s="174">
        <v>1</v>
      </c>
      <c r="Y35" s="174">
        <v>1</v>
      </c>
      <c r="Z35" s="174">
        <v>1</v>
      </c>
      <c r="AA35" s="174">
        <v>1</v>
      </c>
      <c r="AB35" s="174">
        <v>1</v>
      </c>
      <c r="AC35" s="174">
        <v>1</v>
      </c>
      <c r="AD35" s="174">
        <v>1</v>
      </c>
      <c r="AE35" s="174">
        <v>1</v>
      </c>
      <c r="AF35" s="174">
        <v>1</v>
      </c>
      <c r="AG35" s="174">
        <v>1</v>
      </c>
      <c r="AH35" s="174">
        <v>1</v>
      </c>
      <c r="AI35" s="174">
        <v>1</v>
      </c>
      <c r="AJ35" s="174">
        <v>1</v>
      </c>
      <c r="AK35" s="174">
        <v>1</v>
      </c>
      <c r="AL35" s="174">
        <v>1</v>
      </c>
      <c r="AM35" s="478">
        <v>1</v>
      </c>
      <c r="AN35" s="174">
        <v>1</v>
      </c>
      <c r="AO35" s="174">
        <v>1</v>
      </c>
      <c r="AP35" s="174">
        <v>1</v>
      </c>
      <c r="AQ35" s="174">
        <v>1</v>
      </c>
      <c r="AR35" s="174">
        <v>1</v>
      </c>
      <c r="AS35" s="174">
        <v>1</v>
      </c>
      <c r="AT35" s="174"/>
      <c r="AU35" s="174"/>
      <c r="AV35" s="174">
        <v>1</v>
      </c>
      <c r="AW35" s="174">
        <v>1</v>
      </c>
      <c r="AX35" s="174">
        <v>1</v>
      </c>
      <c r="AY35" s="174">
        <v>1</v>
      </c>
      <c r="AZ35" s="174">
        <v>1</v>
      </c>
      <c r="BA35" s="174">
        <v>1</v>
      </c>
    </row>
    <row r="36" spans="1:53" ht="29.25" hidden="1" customHeight="1">
      <c r="A36" s="168" t="s">
        <v>198</v>
      </c>
      <c r="B36" s="251">
        <v>46058</v>
      </c>
      <c r="C36" s="169" t="s">
        <v>84</v>
      </c>
      <c r="D36" s="144" t="s">
        <v>199</v>
      </c>
      <c r="E36" s="220" t="s">
        <v>6</v>
      </c>
      <c r="F36" s="169"/>
      <c r="G36" s="185" t="s">
        <v>200</v>
      </c>
      <c r="H36" s="170" t="s">
        <v>201</v>
      </c>
      <c r="I36" s="170" t="s">
        <v>202</v>
      </c>
      <c r="J36" s="170"/>
      <c r="K36" s="170"/>
      <c r="L36" s="149" t="s">
        <v>203</v>
      </c>
      <c r="M36" s="170"/>
      <c r="N36" s="187"/>
      <c r="O36" s="164"/>
      <c r="P36" s="164" t="s">
        <v>80</v>
      </c>
      <c r="Q36" s="164" t="s">
        <v>4</v>
      </c>
      <c r="R36" s="164"/>
      <c r="S36" s="172">
        <v>0.25</v>
      </c>
      <c r="T36" s="157">
        <v>-0.5</v>
      </c>
      <c r="U36" s="173">
        <f t="shared" si="0"/>
        <v>-0.125</v>
      </c>
      <c r="V36" s="174">
        <v>1</v>
      </c>
      <c r="W36" s="174">
        <v>1</v>
      </c>
      <c r="X36" s="174">
        <v>1</v>
      </c>
      <c r="Y36" s="174">
        <v>1</v>
      </c>
      <c r="Z36" s="174">
        <v>1</v>
      </c>
      <c r="AA36" s="174">
        <v>1</v>
      </c>
      <c r="AB36" s="174">
        <v>1</v>
      </c>
      <c r="AC36" s="174">
        <v>1</v>
      </c>
      <c r="AD36" s="174">
        <v>1</v>
      </c>
      <c r="AE36" s="174">
        <v>1</v>
      </c>
      <c r="AF36" s="174">
        <v>1</v>
      </c>
      <c r="AG36" s="174">
        <v>1</v>
      </c>
      <c r="AH36" s="174">
        <v>1</v>
      </c>
      <c r="AI36" s="174">
        <v>1</v>
      </c>
      <c r="AJ36" s="174">
        <v>1</v>
      </c>
      <c r="AK36" s="174">
        <v>1</v>
      </c>
      <c r="AL36" s="174">
        <v>1</v>
      </c>
      <c r="AM36" s="478">
        <v>1</v>
      </c>
      <c r="AN36" s="174">
        <v>1</v>
      </c>
      <c r="AO36" s="174">
        <v>1</v>
      </c>
      <c r="AP36" s="174">
        <v>1</v>
      </c>
      <c r="AQ36" s="174">
        <v>1</v>
      </c>
      <c r="AR36" s="174">
        <v>1</v>
      </c>
      <c r="AS36" s="174">
        <v>1</v>
      </c>
      <c r="AT36" s="174">
        <v>1</v>
      </c>
      <c r="AU36" s="174">
        <v>1</v>
      </c>
      <c r="AV36" s="174">
        <v>1</v>
      </c>
      <c r="AW36" s="174">
        <v>1</v>
      </c>
      <c r="AX36" s="174">
        <v>1</v>
      </c>
      <c r="AY36" s="174">
        <v>1</v>
      </c>
      <c r="AZ36" s="174">
        <v>1</v>
      </c>
      <c r="BA36" s="174">
        <v>1</v>
      </c>
    </row>
    <row r="37" spans="1:53" ht="29.25" hidden="1" customHeight="1">
      <c r="A37" s="168" t="s">
        <v>204</v>
      </c>
      <c r="B37" s="251">
        <v>46058</v>
      </c>
      <c r="C37" s="169" t="s">
        <v>84</v>
      </c>
      <c r="D37" s="144" t="s">
        <v>144</v>
      </c>
      <c r="E37" s="220" t="s">
        <v>6</v>
      </c>
      <c r="F37" s="169"/>
      <c r="G37" s="248" t="s">
        <v>205</v>
      </c>
      <c r="H37" s="170" t="s">
        <v>201</v>
      </c>
      <c r="I37" s="170" t="s">
        <v>206</v>
      </c>
      <c r="J37" s="170"/>
      <c r="K37" s="170"/>
      <c r="L37" s="515" t="s">
        <v>207</v>
      </c>
      <c r="M37" s="170"/>
      <c r="N37" s="187"/>
      <c r="O37" s="164"/>
      <c r="P37" s="164" t="s">
        <v>80</v>
      </c>
      <c r="Q37" s="164" t="s">
        <v>4</v>
      </c>
      <c r="R37" s="164"/>
      <c r="S37" s="172">
        <v>1</v>
      </c>
      <c r="T37" s="157">
        <v>-0.45</v>
      </c>
      <c r="U37" s="173">
        <f t="shared" si="0"/>
        <v>-0.45</v>
      </c>
      <c r="V37" s="174">
        <v>1</v>
      </c>
      <c r="W37" s="174">
        <v>1</v>
      </c>
      <c r="X37" s="174">
        <v>1</v>
      </c>
      <c r="Y37" s="174">
        <v>1</v>
      </c>
      <c r="Z37" s="174">
        <v>1</v>
      </c>
      <c r="AA37" s="174">
        <v>1</v>
      </c>
      <c r="AB37" s="174">
        <v>1</v>
      </c>
      <c r="AC37" s="174">
        <v>1</v>
      </c>
      <c r="AD37" s="174">
        <v>1</v>
      </c>
      <c r="AE37" s="174">
        <v>1</v>
      </c>
      <c r="AF37" s="174">
        <v>1</v>
      </c>
      <c r="AG37" s="174">
        <v>1</v>
      </c>
      <c r="AH37" s="174">
        <v>1</v>
      </c>
      <c r="AI37" s="174">
        <v>1</v>
      </c>
      <c r="AJ37" s="174">
        <v>1</v>
      </c>
      <c r="AK37" s="174">
        <v>1</v>
      </c>
      <c r="AL37" s="174">
        <v>1</v>
      </c>
      <c r="AM37" s="478">
        <v>1</v>
      </c>
      <c r="AN37" s="174">
        <v>1</v>
      </c>
      <c r="AO37" s="174">
        <v>1</v>
      </c>
      <c r="AP37" s="174">
        <v>1</v>
      </c>
      <c r="AQ37" s="174"/>
      <c r="AR37" s="174"/>
      <c r="AS37" s="174">
        <v>1</v>
      </c>
      <c r="AT37" s="174"/>
      <c r="AU37" s="174"/>
      <c r="AV37" s="174"/>
      <c r="AW37" s="174">
        <v>1</v>
      </c>
      <c r="AX37" s="174">
        <v>1</v>
      </c>
      <c r="AY37" s="174"/>
      <c r="AZ37" s="174"/>
      <c r="BA37" s="174"/>
    </row>
    <row r="38" spans="1:53" ht="33.75" hidden="1" customHeight="1">
      <c r="A38" s="168">
        <v>92</v>
      </c>
      <c r="B38" s="168" t="s">
        <v>161</v>
      </c>
      <c r="C38" s="169" t="s">
        <v>84</v>
      </c>
      <c r="D38" s="144" t="s">
        <v>132</v>
      </c>
      <c r="E38" s="169" t="s">
        <v>3</v>
      </c>
      <c r="F38" s="169" t="s">
        <v>133</v>
      </c>
      <c r="G38" s="149" t="s">
        <v>208</v>
      </c>
      <c r="H38" s="170" t="s">
        <v>135</v>
      </c>
      <c r="I38" s="170" t="s">
        <v>209</v>
      </c>
      <c r="J38" s="452" t="s">
        <v>210</v>
      </c>
      <c r="K38" s="170"/>
      <c r="L38" s="170" t="s">
        <v>211</v>
      </c>
      <c r="M38" s="170"/>
      <c r="N38" s="187"/>
      <c r="O38" s="164"/>
      <c r="P38" s="164" t="s">
        <v>80</v>
      </c>
      <c r="Q38" s="164" t="s">
        <v>10</v>
      </c>
      <c r="R38" s="164"/>
      <c r="S38" s="172">
        <v>0.25</v>
      </c>
      <c r="T38" s="157">
        <v>1.2</v>
      </c>
      <c r="U38" s="173">
        <f t="shared" si="0"/>
        <v>0.3</v>
      </c>
      <c r="V38" s="174">
        <v>1</v>
      </c>
      <c r="W38" s="174">
        <v>1</v>
      </c>
      <c r="X38" s="174">
        <v>1</v>
      </c>
      <c r="Y38" s="174">
        <v>1</v>
      </c>
      <c r="Z38" s="174">
        <v>1</v>
      </c>
      <c r="AA38" s="174">
        <v>1</v>
      </c>
      <c r="AB38" s="174">
        <v>1</v>
      </c>
      <c r="AC38" s="174">
        <v>1</v>
      </c>
      <c r="AD38" s="174">
        <v>1</v>
      </c>
      <c r="AE38" s="174">
        <v>1</v>
      </c>
      <c r="AF38" s="174">
        <v>1</v>
      </c>
      <c r="AG38" s="174">
        <v>1</v>
      </c>
      <c r="AH38" s="174">
        <v>1</v>
      </c>
      <c r="AI38" s="174">
        <v>1</v>
      </c>
      <c r="AJ38" s="174">
        <v>1</v>
      </c>
      <c r="AK38" s="174">
        <v>1</v>
      </c>
      <c r="AL38" s="174">
        <v>1</v>
      </c>
      <c r="AM38" s="478">
        <v>1</v>
      </c>
      <c r="AN38" s="174">
        <v>1</v>
      </c>
      <c r="AO38" s="174">
        <v>1</v>
      </c>
      <c r="AP38" s="174">
        <v>1</v>
      </c>
      <c r="AQ38" s="174">
        <v>1</v>
      </c>
      <c r="AR38" s="174">
        <v>1</v>
      </c>
      <c r="AS38" s="174">
        <v>1</v>
      </c>
      <c r="AT38" s="174"/>
      <c r="AU38" s="174"/>
      <c r="AV38" s="174">
        <v>1</v>
      </c>
      <c r="AW38" s="174">
        <v>1</v>
      </c>
      <c r="AX38" s="174">
        <v>1</v>
      </c>
      <c r="AY38" s="174">
        <v>1</v>
      </c>
      <c r="AZ38" s="174">
        <v>1</v>
      </c>
      <c r="BA38" s="174">
        <v>1</v>
      </c>
    </row>
    <row r="39" spans="1:53" ht="33.75" hidden="1" customHeight="1">
      <c r="A39" s="168" t="s">
        <v>212</v>
      </c>
      <c r="B39" s="168" t="s">
        <v>154</v>
      </c>
      <c r="C39" s="169" t="s">
        <v>84</v>
      </c>
      <c r="D39" s="144" t="s">
        <v>213</v>
      </c>
      <c r="E39" s="169" t="s">
        <v>3</v>
      </c>
      <c r="F39" s="177" t="s">
        <v>155</v>
      </c>
      <c r="G39" s="153" t="s">
        <v>214</v>
      </c>
      <c r="H39" s="542" t="s">
        <v>215</v>
      </c>
      <c r="I39" s="153" t="s">
        <v>216</v>
      </c>
      <c r="J39" s="170" t="s">
        <v>217</v>
      </c>
      <c r="K39" s="170"/>
      <c r="L39" s="170" t="s">
        <v>218</v>
      </c>
      <c r="M39" s="153"/>
      <c r="N39" s="543"/>
      <c r="O39" s="166"/>
      <c r="P39" s="166" t="s">
        <v>126</v>
      </c>
      <c r="Q39" s="166" t="s">
        <v>7</v>
      </c>
      <c r="R39" s="164"/>
      <c r="S39" s="172">
        <v>0.5</v>
      </c>
      <c r="T39" s="157">
        <v>0.88800000000000001</v>
      </c>
      <c r="U39" s="173">
        <f t="shared" si="0"/>
        <v>0.44400000000000001</v>
      </c>
      <c r="V39" s="174">
        <v>1</v>
      </c>
      <c r="W39" s="174">
        <v>1</v>
      </c>
      <c r="X39" s="174">
        <v>1</v>
      </c>
      <c r="Y39" s="174">
        <v>1</v>
      </c>
      <c r="Z39" s="174">
        <v>1</v>
      </c>
      <c r="AA39" s="174">
        <v>1</v>
      </c>
      <c r="AB39" s="174">
        <v>1</v>
      </c>
      <c r="AC39" s="174">
        <v>1</v>
      </c>
      <c r="AD39" s="174">
        <v>1</v>
      </c>
      <c r="AE39" s="174">
        <v>1</v>
      </c>
      <c r="AF39" s="174">
        <v>1</v>
      </c>
      <c r="AG39" s="174">
        <v>1</v>
      </c>
      <c r="AH39" s="174">
        <v>1</v>
      </c>
      <c r="AI39" s="174">
        <v>1</v>
      </c>
      <c r="AJ39" s="174">
        <v>1</v>
      </c>
      <c r="AK39" s="174">
        <v>1</v>
      </c>
      <c r="AL39" s="174">
        <v>1</v>
      </c>
      <c r="AM39" s="478">
        <v>1</v>
      </c>
      <c r="AN39" s="174">
        <v>1</v>
      </c>
      <c r="AO39" s="174">
        <v>1</v>
      </c>
      <c r="AP39" s="174">
        <v>1</v>
      </c>
      <c r="AQ39" s="174">
        <v>1</v>
      </c>
      <c r="AR39" s="174">
        <v>1</v>
      </c>
      <c r="AS39" s="174">
        <v>1</v>
      </c>
      <c r="AT39" s="174"/>
      <c r="AU39" s="174"/>
      <c r="AV39" s="174">
        <v>1</v>
      </c>
      <c r="AW39" s="174">
        <v>1</v>
      </c>
      <c r="AX39" s="174">
        <v>1</v>
      </c>
      <c r="AY39" s="174">
        <v>1</v>
      </c>
      <c r="AZ39" s="174">
        <v>1</v>
      </c>
      <c r="BA39" s="174">
        <v>1</v>
      </c>
    </row>
    <row r="40" spans="1:53" ht="29.25" hidden="1" customHeight="1">
      <c r="A40" s="151"/>
      <c r="B40" s="257">
        <v>45536</v>
      </c>
      <c r="C40" s="236" t="s">
        <v>75</v>
      </c>
      <c r="D40" s="467" t="s">
        <v>76</v>
      </c>
      <c r="E40" s="169" t="s">
        <v>3</v>
      </c>
      <c r="F40" s="169" t="s">
        <v>118</v>
      </c>
      <c r="G40" s="185" t="s">
        <v>219</v>
      </c>
      <c r="H40" s="185" t="s">
        <v>220</v>
      </c>
      <c r="I40" s="179" t="s">
        <v>221</v>
      </c>
      <c r="J40" s="185" t="s">
        <v>122</v>
      </c>
      <c r="K40" s="149" t="s">
        <v>123</v>
      </c>
      <c r="L40" s="509" t="s">
        <v>124</v>
      </c>
      <c r="M40" s="183" t="s">
        <v>222</v>
      </c>
      <c r="N40" s="171">
        <v>0.7</v>
      </c>
      <c r="O40" s="164"/>
      <c r="P40" s="164" t="s">
        <v>80</v>
      </c>
      <c r="Q40" s="164" t="s">
        <v>10</v>
      </c>
      <c r="R40" s="164" t="s">
        <v>81</v>
      </c>
      <c r="S40" s="176">
        <v>0.5</v>
      </c>
      <c r="T40" s="157">
        <v>0.43</v>
      </c>
      <c r="U40" s="173">
        <f t="shared" si="0"/>
        <v>0.215</v>
      </c>
      <c r="V40" s="332">
        <v>1</v>
      </c>
      <c r="W40" s="332">
        <v>1</v>
      </c>
      <c r="X40" s="332">
        <v>1</v>
      </c>
      <c r="Y40" s="332">
        <v>1</v>
      </c>
      <c r="Z40" s="332">
        <v>1</v>
      </c>
      <c r="AA40" s="332">
        <v>1</v>
      </c>
      <c r="AB40" s="332">
        <v>1</v>
      </c>
      <c r="AC40" s="332">
        <v>1</v>
      </c>
      <c r="AD40" s="332">
        <v>1</v>
      </c>
      <c r="AE40" s="332">
        <v>1</v>
      </c>
      <c r="AF40" s="332">
        <v>1</v>
      </c>
      <c r="AG40" s="332">
        <v>1</v>
      </c>
      <c r="AH40" s="332">
        <v>1</v>
      </c>
      <c r="AI40" s="332">
        <v>1</v>
      </c>
      <c r="AJ40" s="332">
        <v>1</v>
      </c>
      <c r="AK40" s="332">
        <v>1</v>
      </c>
      <c r="AL40" s="332">
        <v>1</v>
      </c>
      <c r="AM40" s="480">
        <v>1</v>
      </c>
      <c r="AN40" s="332">
        <v>1</v>
      </c>
      <c r="AO40" s="332">
        <v>1</v>
      </c>
      <c r="AP40" s="332">
        <v>1</v>
      </c>
      <c r="AQ40" s="332">
        <v>1</v>
      </c>
      <c r="AR40" s="332">
        <v>1</v>
      </c>
      <c r="AS40" s="332">
        <v>1</v>
      </c>
      <c r="AT40" s="332">
        <v>1</v>
      </c>
      <c r="AU40" s="332">
        <v>1</v>
      </c>
      <c r="AV40" s="332">
        <v>1</v>
      </c>
      <c r="AW40" s="332">
        <v>1</v>
      </c>
      <c r="AX40" s="332">
        <v>1</v>
      </c>
      <c r="AY40" s="332">
        <v>1</v>
      </c>
      <c r="AZ40" s="332">
        <v>1</v>
      </c>
      <c r="BA40" s="332">
        <v>1</v>
      </c>
    </row>
    <row r="41" spans="1:53" ht="29.25" hidden="1" customHeight="1">
      <c r="A41" s="151"/>
      <c r="B41" s="257">
        <v>45536</v>
      </c>
      <c r="C41" s="236" t="s">
        <v>75</v>
      </c>
      <c r="D41" s="467" t="s">
        <v>76</v>
      </c>
      <c r="E41" s="169" t="s">
        <v>3</v>
      </c>
      <c r="F41" s="169" t="s">
        <v>118</v>
      </c>
      <c r="G41" s="185" t="s">
        <v>223</v>
      </c>
      <c r="H41" s="185" t="s">
        <v>224</v>
      </c>
      <c r="I41" s="179" t="s">
        <v>225</v>
      </c>
      <c r="J41" s="185" t="s">
        <v>122</v>
      </c>
      <c r="K41" s="149" t="s">
        <v>123</v>
      </c>
      <c r="L41" s="509" t="s">
        <v>124</v>
      </c>
      <c r="M41" s="183" t="s">
        <v>226</v>
      </c>
      <c r="N41" s="171">
        <v>0.6</v>
      </c>
      <c r="O41" s="164"/>
      <c r="P41" s="164" t="s">
        <v>80</v>
      </c>
      <c r="Q41" s="164" t="s">
        <v>10</v>
      </c>
      <c r="R41" s="164" t="s">
        <v>81</v>
      </c>
      <c r="S41" s="176">
        <v>0.5</v>
      </c>
      <c r="T41" s="157">
        <v>0.4</v>
      </c>
      <c r="U41" s="173">
        <f t="shared" si="0"/>
        <v>0.2</v>
      </c>
      <c r="V41" s="332">
        <v>1</v>
      </c>
      <c r="W41" s="332">
        <v>1</v>
      </c>
      <c r="X41" s="332">
        <v>1</v>
      </c>
      <c r="Y41" s="332">
        <v>1</v>
      </c>
      <c r="Z41" s="332">
        <v>1</v>
      </c>
      <c r="AA41" s="332">
        <v>1</v>
      </c>
      <c r="AB41" s="332">
        <v>1</v>
      </c>
      <c r="AC41" s="332">
        <v>1</v>
      </c>
      <c r="AD41" s="332">
        <v>1</v>
      </c>
      <c r="AE41" s="332">
        <v>1</v>
      </c>
      <c r="AF41" s="332">
        <v>1</v>
      </c>
      <c r="AG41" s="332">
        <v>1</v>
      </c>
      <c r="AH41" s="332">
        <v>1</v>
      </c>
      <c r="AI41" s="332">
        <v>1</v>
      </c>
      <c r="AJ41" s="332">
        <v>1</v>
      </c>
      <c r="AK41" s="332">
        <v>1</v>
      </c>
      <c r="AL41" s="332">
        <v>1</v>
      </c>
      <c r="AM41" s="480">
        <v>1</v>
      </c>
      <c r="AN41" s="332">
        <v>1</v>
      </c>
      <c r="AO41" s="332">
        <v>1</v>
      </c>
      <c r="AP41" s="332">
        <v>1</v>
      </c>
      <c r="AQ41" s="332">
        <v>1</v>
      </c>
      <c r="AR41" s="332">
        <v>1</v>
      </c>
      <c r="AS41" s="332">
        <v>1</v>
      </c>
      <c r="AT41" s="332">
        <v>1</v>
      </c>
      <c r="AU41" s="332">
        <v>1</v>
      </c>
      <c r="AV41" s="332">
        <v>1</v>
      </c>
      <c r="AW41" s="332">
        <v>1</v>
      </c>
      <c r="AX41" s="332">
        <v>1</v>
      </c>
      <c r="AY41" s="332">
        <v>1</v>
      </c>
      <c r="AZ41" s="332">
        <v>1</v>
      </c>
      <c r="BA41" s="332">
        <v>1</v>
      </c>
    </row>
    <row r="42" spans="1:53" ht="29.25" hidden="1" customHeight="1">
      <c r="A42" s="168">
        <v>233</v>
      </c>
      <c r="B42" s="257">
        <v>46083</v>
      </c>
      <c r="C42" s="236" t="s">
        <v>75</v>
      </c>
      <c r="D42" s="467" t="s">
        <v>180</v>
      </c>
      <c r="E42" s="169" t="s">
        <v>3</v>
      </c>
      <c r="F42" s="169" t="s">
        <v>181</v>
      </c>
      <c r="G42" s="185" t="s">
        <v>227</v>
      </c>
      <c r="H42" s="171" t="s">
        <v>228</v>
      </c>
      <c r="I42" s="170" t="s">
        <v>229</v>
      </c>
      <c r="J42" s="516" t="s">
        <v>230</v>
      </c>
      <c r="K42" s="154" t="s">
        <v>186</v>
      </c>
      <c r="L42" s="170"/>
      <c r="M42" s="170"/>
      <c r="N42" s="187"/>
      <c r="O42" s="164"/>
      <c r="P42" s="164" t="s">
        <v>80</v>
      </c>
      <c r="Q42" s="164" t="s">
        <v>10</v>
      </c>
      <c r="R42" s="164"/>
      <c r="S42" s="172">
        <v>0.5</v>
      </c>
      <c r="T42" s="157"/>
      <c r="U42" s="173">
        <f t="shared" si="0"/>
        <v>0</v>
      </c>
      <c r="V42" s="332">
        <v>1</v>
      </c>
      <c r="W42" s="332">
        <v>1</v>
      </c>
      <c r="X42" s="332">
        <v>1</v>
      </c>
      <c r="Y42" s="332">
        <v>1</v>
      </c>
      <c r="Z42" s="332">
        <v>1</v>
      </c>
      <c r="AA42" s="332">
        <v>1</v>
      </c>
      <c r="AB42" s="332">
        <v>1</v>
      </c>
      <c r="AC42" s="332">
        <v>1</v>
      </c>
      <c r="AD42" s="332">
        <v>1</v>
      </c>
      <c r="AE42" s="332">
        <v>1</v>
      </c>
      <c r="AF42" s="332">
        <v>1</v>
      </c>
      <c r="AG42" s="332">
        <v>1</v>
      </c>
      <c r="AH42" s="332">
        <v>1</v>
      </c>
      <c r="AI42" s="332">
        <v>1</v>
      </c>
      <c r="AJ42" s="332">
        <v>1</v>
      </c>
      <c r="AK42" s="332">
        <v>1</v>
      </c>
      <c r="AL42" s="332">
        <v>1</v>
      </c>
      <c r="AM42" s="480">
        <v>1</v>
      </c>
      <c r="AN42" s="332">
        <v>1</v>
      </c>
      <c r="AO42" s="332">
        <v>1</v>
      </c>
      <c r="AP42" s="332">
        <v>1</v>
      </c>
      <c r="AQ42" s="332">
        <v>1</v>
      </c>
      <c r="AR42" s="332">
        <v>1</v>
      </c>
      <c r="AS42" s="332">
        <v>1</v>
      </c>
      <c r="AT42" s="332">
        <v>1</v>
      </c>
      <c r="AU42" s="332">
        <v>1</v>
      </c>
      <c r="AV42" s="332">
        <v>1</v>
      </c>
      <c r="AW42" s="332">
        <v>1</v>
      </c>
      <c r="AX42" s="332">
        <v>1</v>
      </c>
      <c r="AY42" s="332">
        <v>1</v>
      </c>
      <c r="AZ42" s="332">
        <v>1</v>
      </c>
      <c r="BA42" s="332">
        <v>1</v>
      </c>
    </row>
    <row r="43" spans="1:53" ht="29.25" hidden="1" customHeight="1">
      <c r="A43" s="182">
        <v>234</v>
      </c>
      <c r="B43" s="182" t="s">
        <v>231</v>
      </c>
      <c r="C43" s="220" t="s">
        <v>84</v>
      </c>
      <c r="D43" s="462" t="s">
        <v>76</v>
      </c>
      <c r="E43" s="220" t="s">
        <v>3</v>
      </c>
      <c r="F43" s="220" t="s">
        <v>118</v>
      </c>
      <c r="G43" s="185" t="s">
        <v>232</v>
      </c>
      <c r="H43" s="185" t="s">
        <v>228</v>
      </c>
      <c r="I43" s="170" t="s">
        <v>233</v>
      </c>
      <c r="J43" s="170" t="s">
        <v>234</v>
      </c>
      <c r="K43" s="154" t="s">
        <v>186</v>
      </c>
      <c r="L43" s="170" t="s">
        <v>235</v>
      </c>
      <c r="M43" s="170"/>
      <c r="N43" s="187"/>
      <c r="O43" s="164"/>
      <c r="P43" s="164" t="s">
        <v>80</v>
      </c>
      <c r="Q43" s="164" t="s">
        <v>10</v>
      </c>
      <c r="R43" s="164"/>
      <c r="S43" s="172">
        <v>0.5</v>
      </c>
      <c r="T43" s="157">
        <v>0.3</v>
      </c>
      <c r="U43" s="173">
        <f t="shared" si="0"/>
        <v>0.15</v>
      </c>
      <c r="V43" s="174">
        <v>1</v>
      </c>
      <c r="W43" s="174">
        <v>1</v>
      </c>
      <c r="X43" s="174">
        <v>1</v>
      </c>
      <c r="Y43" s="174">
        <v>1</v>
      </c>
      <c r="Z43" s="174">
        <v>1</v>
      </c>
      <c r="AA43" s="174">
        <v>1</v>
      </c>
      <c r="AB43" s="174">
        <v>1</v>
      </c>
      <c r="AC43" s="174">
        <v>1</v>
      </c>
      <c r="AD43" s="174">
        <v>1</v>
      </c>
      <c r="AE43" s="174">
        <v>1</v>
      </c>
      <c r="AF43" s="174">
        <v>1</v>
      </c>
      <c r="AG43" s="174">
        <v>1</v>
      </c>
      <c r="AH43" s="174">
        <v>1</v>
      </c>
      <c r="AI43" s="174">
        <v>1</v>
      </c>
      <c r="AJ43" s="174">
        <v>1</v>
      </c>
      <c r="AK43" s="174">
        <v>1</v>
      </c>
      <c r="AL43" s="174">
        <v>1</v>
      </c>
      <c r="AM43" s="478">
        <v>1</v>
      </c>
      <c r="AN43" s="174">
        <v>1</v>
      </c>
      <c r="AO43" s="174">
        <v>1</v>
      </c>
      <c r="AP43" s="174">
        <v>1</v>
      </c>
      <c r="AQ43" s="174">
        <v>1</v>
      </c>
      <c r="AR43" s="174">
        <v>1</v>
      </c>
      <c r="AS43" s="174">
        <v>1</v>
      </c>
      <c r="AT43" s="174">
        <v>1</v>
      </c>
      <c r="AU43" s="174">
        <v>1</v>
      </c>
      <c r="AV43" s="174">
        <v>1</v>
      </c>
      <c r="AW43" s="174">
        <v>1</v>
      </c>
      <c r="AX43" s="174">
        <v>1</v>
      </c>
      <c r="AY43" s="174">
        <v>1</v>
      </c>
      <c r="AZ43" s="174">
        <v>1</v>
      </c>
      <c r="BA43" s="174">
        <v>1</v>
      </c>
    </row>
    <row r="44" spans="1:53" ht="28.9" hidden="1" customHeight="1">
      <c r="A44" s="168" t="s">
        <v>236</v>
      </c>
      <c r="B44" s="168" t="s">
        <v>237</v>
      </c>
      <c r="C44" s="169" t="s">
        <v>84</v>
      </c>
      <c r="D44" s="144" t="s">
        <v>9</v>
      </c>
      <c r="E44" s="169" t="s">
        <v>172</v>
      </c>
      <c r="F44" s="169"/>
      <c r="G44" s="149" t="s">
        <v>238</v>
      </c>
      <c r="H44" s="170"/>
      <c r="I44" s="170" t="s">
        <v>239</v>
      </c>
      <c r="J44" s="170"/>
      <c r="K44" s="170"/>
      <c r="L44" s="170" t="s">
        <v>240</v>
      </c>
      <c r="M44" s="170"/>
      <c r="N44" s="187"/>
      <c r="O44" s="164"/>
      <c r="P44" s="164" t="s">
        <v>80</v>
      </c>
      <c r="Q44" s="164" t="s">
        <v>10</v>
      </c>
      <c r="R44" s="164"/>
      <c r="S44" s="172">
        <v>0.5</v>
      </c>
      <c r="T44" s="157">
        <v>1.8</v>
      </c>
      <c r="U44" s="173">
        <f t="shared" si="0"/>
        <v>0.9</v>
      </c>
      <c r="V44" s="174">
        <v>1</v>
      </c>
      <c r="W44" s="174">
        <v>1</v>
      </c>
      <c r="X44" s="174">
        <v>1</v>
      </c>
      <c r="Y44" s="174">
        <v>1</v>
      </c>
      <c r="Z44" s="174">
        <v>1</v>
      </c>
      <c r="AA44" s="174">
        <v>1</v>
      </c>
      <c r="AB44" s="174">
        <v>1</v>
      </c>
      <c r="AC44" s="174">
        <v>1</v>
      </c>
      <c r="AD44" s="174">
        <v>1</v>
      </c>
      <c r="AE44" s="174">
        <v>1</v>
      </c>
      <c r="AF44" s="174">
        <v>1</v>
      </c>
      <c r="AG44" s="174">
        <v>1</v>
      </c>
      <c r="AH44" s="174">
        <v>1</v>
      </c>
      <c r="AI44" s="174">
        <v>1</v>
      </c>
      <c r="AJ44" s="174">
        <v>1</v>
      </c>
      <c r="AK44" s="174">
        <v>1</v>
      </c>
      <c r="AL44" s="174">
        <v>1</v>
      </c>
      <c r="AM44" s="478">
        <v>1</v>
      </c>
      <c r="AN44" s="174">
        <v>1</v>
      </c>
      <c r="AO44" s="174">
        <v>1</v>
      </c>
      <c r="AP44" s="174">
        <v>1</v>
      </c>
      <c r="AQ44" s="174">
        <v>1</v>
      </c>
      <c r="AR44" s="174">
        <v>1</v>
      </c>
      <c r="AS44" s="174">
        <v>1</v>
      </c>
      <c r="AT44" s="174"/>
      <c r="AU44" s="174"/>
      <c r="AV44" s="174">
        <v>1</v>
      </c>
      <c r="AW44" s="174">
        <v>1</v>
      </c>
      <c r="AX44" s="174">
        <v>1</v>
      </c>
      <c r="AY44" s="174">
        <v>1</v>
      </c>
      <c r="AZ44" s="174">
        <v>1</v>
      </c>
      <c r="BA44" s="174">
        <v>1</v>
      </c>
    </row>
    <row r="45" spans="1:53" ht="29.25" hidden="1" customHeight="1">
      <c r="A45" s="168" t="s">
        <v>241</v>
      </c>
      <c r="B45" s="251">
        <v>46058</v>
      </c>
      <c r="C45" s="169" t="s">
        <v>84</v>
      </c>
      <c r="D45" s="144" t="s">
        <v>2</v>
      </c>
      <c r="E45" s="220" t="s">
        <v>6</v>
      </c>
      <c r="F45" s="169"/>
      <c r="G45" s="540" t="s">
        <v>242</v>
      </c>
      <c r="H45" s="170" t="s">
        <v>243</v>
      </c>
      <c r="I45" s="170" t="s">
        <v>244</v>
      </c>
      <c r="J45" s="170"/>
      <c r="K45" s="170"/>
      <c r="L45" s="517" t="s">
        <v>245</v>
      </c>
      <c r="M45" s="170"/>
      <c r="N45" s="187"/>
      <c r="O45" s="164"/>
      <c r="P45" s="164" t="s">
        <v>80</v>
      </c>
      <c r="Q45" s="164" t="s">
        <v>4</v>
      </c>
      <c r="R45" s="164"/>
      <c r="S45" s="172">
        <v>0.25</v>
      </c>
      <c r="T45" s="157">
        <v>-2</v>
      </c>
      <c r="U45" s="173">
        <f t="shared" si="0"/>
        <v>-0.5</v>
      </c>
      <c r="V45" s="174">
        <v>1</v>
      </c>
      <c r="W45" s="174">
        <v>1</v>
      </c>
      <c r="X45" s="174">
        <v>1</v>
      </c>
      <c r="Y45" s="174">
        <v>1</v>
      </c>
      <c r="Z45" s="174">
        <v>1</v>
      </c>
      <c r="AA45" s="174">
        <v>1</v>
      </c>
      <c r="AB45" s="174">
        <v>1</v>
      </c>
      <c r="AC45" s="174">
        <v>1</v>
      </c>
      <c r="AD45" s="174">
        <v>1</v>
      </c>
      <c r="AE45" s="174">
        <v>1</v>
      </c>
      <c r="AF45" s="174">
        <v>1</v>
      </c>
      <c r="AG45" s="174">
        <v>1</v>
      </c>
      <c r="AH45" s="174">
        <v>1</v>
      </c>
      <c r="AI45" s="174">
        <v>1</v>
      </c>
      <c r="AJ45" s="174">
        <v>1</v>
      </c>
      <c r="AK45" s="174">
        <v>1</v>
      </c>
      <c r="AL45" s="174">
        <v>1</v>
      </c>
      <c r="AM45" s="478">
        <v>1</v>
      </c>
      <c r="AN45" s="174">
        <v>1</v>
      </c>
      <c r="AO45" s="174">
        <v>1</v>
      </c>
      <c r="AP45" s="174">
        <v>1</v>
      </c>
      <c r="AQ45" s="174"/>
      <c r="AR45" s="174"/>
      <c r="AS45" s="174">
        <v>1</v>
      </c>
      <c r="AT45" s="174"/>
      <c r="AU45" s="174"/>
      <c r="AV45" s="174"/>
      <c r="AW45" s="174">
        <v>1</v>
      </c>
      <c r="AX45" s="174">
        <v>1</v>
      </c>
      <c r="AY45" s="174"/>
      <c r="AZ45" s="174"/>
      <c r="BA45" s="174"/>
    </row>
    <row r="46" spans="1:53" ht="33.75" hidden="1" customHeight="1">
      <c r="A46" s="168">
        <v>283</v>
      </c>
      <c r="B46" s="168" t="s">
        <v>246</v>
      </c>
      <c r="C46" s="169" t="s">
        <v>84</v>
      </c>
      <c r="D46" s="144" t="s">
        <v>16</v>
      </c>
      <c r="E46" s="169" t="s">
        <v>6</v>
      </c>
      <c r="F46" s="169"/>
      <c r="G46" s="149" t="s">
        <v>247</v>
      </c>
      <c r="H46" s="385" t="s">
        <v>248</v>
      </c>
      <c r="I46" s="170" t="s">
        <v>249</v>
      </c>
      <c r="J46" s="170"/>
      <c r="K46" s="170"/>
      <c r="L46" s="170" t="s">
        <v>250</v>
      </c>
      <c r="M46" s="170"/>
      <c r="N46" s="187"/>
      <c r="O46" s="164"/>
      <c r="P46" s="164" t="s">
        <v>80</v>
      </c>
      <c r="Q46" s="164" t="s">
        <v>10</v>
      </c>
      <c r="R46" s="164"/>
      <c r="S46" s="172">
        <v>0.25</v>
      </c>
      <c r="T46" s="157">
        <v>-0.7</v>
      </c>
      <c r="U46" s="173">
        <f t="shared" si="0"/>
        <v>-0.17499999999999999</v>
      </c>
      <c r="V46" s="174">
        <v>1</v>
      </c>
      <c r="W46" s="174">
        <v>1</v>
      </c>
      <c r="X46" s="174">
        <v>1</v>
      </c>
      <c r="Y46" s="174">
        <v>1</v>
      </c>
      <c r="Z46" s="174">
        <v>1</v>
      </c>
      <c r="AA46" s="174">
        <v>1</v>
      </c>
      <c r="AB46" s="174">
        <v>1</v>
      </c>
      <c r="AC46" s="174">
        <v>1</v>
      </c>
      <c r="AD46" s="174">
        <v>1</v>
      </c>
      <c r="AE46" s="174">
        <v>1</v>
      </c>
      <c r="AF46" s="174">
        <v>1</v>
      </c>
      <c r="AG46" s="174">
        <v>1</v>
      </c>
      <c r="AH46" s="174">
        <v>1</v>
      </c>
      <c r="AI46" s="174">
        <v>1</v>
      </c>
      <c r="AJ46" s="174">
        <v>1</v>
      </c>
      <c r="AK46" s="174">
        <v>1</v>
      </c>
      <c r="AL46" s="174">
        <v>1</v>
      </c>
      <c r="AM46" s="478">
        <v>1</v>
      </c>
      <c r="AN46" s="174">
        <v>1</v>
      </c>
      <c r="AO46" s="174">
        <v>1</v>
      </c>
      <c r="AP46" s="174">
        <v>1</v>
      </c>
      <c r="AQ46" s="174">
        <v>1</v>
      </c>
      <c r="AR46" s="174">
        <v>1</v>
      </c>
      <c r="AS46" s="174">
        <v>1</v>
      </c>
      <c r="AT46" s="174"/>
      <c r="AU46" s="174"/>
      <c r="AV46" s="174">
        <v>1</v>
      </c>
      <c r="AW46" s="174">
        <v>1</v>
      </c>
      <c r="AX46" s="174">
        <v>1</v>
      </c>
      <c r="AY46" s="174">
        <v>1</v>
      </c>
      <c r="AZ46" s="174">
        <v>1</v>
      </c>
      <c r="BA46" s="174">
        <v>1</v>
      </c>
    </row>
    <row r="47" spans="1:53" ht="33.75" hidden="1" customHeight="1">
      <c r="A47" s="168">
        <v>284</v>
      </c>
      <c r="B47" s="168" t="s">
        <v>246</v>
      </c>
      <c r="C47" s="169" t="s">
        <v>84</v>
      </c>
      <c r="D47" s="144" t="s">
        <v>16</v>
      </c>
      <c r="E47" s="169" t="s">
        <v>6</v>
      </c>
      <c r="F47" s="169"/>
      <c r="G47" s="149" t="s">
        <v>247</v>
      </c>
      <c r="H47" s="385" t="s">
        <v>248</v>
      </c>
      <c r="I47" s="170" t="s">
        <v>251</v>
      </c>
      <c r="J47" s="170"/>
      <c r="K47" s="170"/>
      <c r="L47" s="170" t="s">
        <v>252</v>
      </c>
      <c r="M47" s="170"/>
      <c r="N47" s="187"/>
      <c r="O47" s="164"/>
      <c r="P47" s="164" t="s">
        <v>80</v>
      </c>
      <c r="Q47" s="164" t="s">
        <v>10</v>
      </c>
      <c r="R47" s="164"/>
      <c r="S47" s="172">
        <v>1</v>
      </c>
      <c r="T47" s="157">
        <v>0.3</v>
      </c>
      <c r="U47" s="173">
        <f t="shared" si="0"/>
        <v>0.3</v>
      </c>
      <c r="V47" s="174">
        <v>1</v>
      </c>
      <c r="W47" s="174">
        <v>1</v>
      </c>
      <c r="X47" s="174">
        <v>1</v>
      </c>
      <c r="Y47" s="174">
        <v>1</v>
      </c>
      <c r="Z47" s="174">
        <v>1</v>
      </c>
      <c r="AA47" s="174">
        <v>1</v>
      </c>
      <c r="AB47" s="174">
        <v>1</v>
      </c>
      <c r="AC47" s="174">
        <v>1</v>
      </c>
      <c r="AD47" s="174">
        <v>1</v>
      </c>
      <c r="AE47" s="174">
        <v>1</v>
      </c>
      <c r="AF47" s="174">
        <v>1</v>
      </c>
      <c r="AG47" s="174">
        <v>1</v>
      </c>
      <c r="AH47" s="174">
        <v>1</v>
      </c>
      <c r="AI47" s="174">
        <v>1</v>
      </c>
      <c r="AJ47" s="174">
        <v>1</v>
      </c>
      <c r="AK47" s="174">
        <v>1</v>
      </c>
      <c r="AL47" s="174">
        <v>1</v>
      </c>
      <c r="AM47" s="478">
        <v>1</v>
      </c>
      <c r="AN47" s="174">
        <v>1</v>
      </c>
      <c r="AO47" s="174">
        <v>1</v>
      </c>
      <c r="AP47" s="174">
        <v>1</v>
      </c>
      <c r="AQ47" s="174">
        <v>1</v>
      </c>
      <c r="AR47" s="174">
        <v>1</v>
      </c>
      <c r="AS47" s="174">
        <v>1</v>
      </c>
      <c r="AT47" s="174"/>
      <c r="AU47" s="174"/>
      <c r="AV47" s="174">
        <v>1</v>
      </c>
      <c r="AW47" s="174">
        <v>1</v>
      </c>
      <c r="AX47" s="174">
        <v>1</v>
      </c>
      <c r="AY47" s="174">
        <v>1</v>
      </c>
      <c r="AZ47" s="174">
        <v>1</v>
      </c>
      <c r="BA47" s="174">
        <v>1</v>
      </c>
    </row>
    <row r="48" spans="1:53" ht="33.75" hidden="1" customHeight="1">
      <c r="A48" s="168">
        <v>287</v>
      </c>
      <c r="B48" s="168" t="s">
        <v>246</v>
      </c>
      <c r="C48" s="169" t="s">
        <v>84</v>
      </c>
      <c r="D48" s="144" t="s">
        <v>2</v>
      </c>
      <c r="E48" s="169" t="s">
        <v>6</v>
      </c>
      <c r="F48" s="169"/>
      <c r="G48" s="149" t="s">
        <v>253</v>
      </c>
      <c r="H48" s="385" t="s">
        <v>254</v>
      </c>
      <c r="I48" s="170"/>
      <c r="J48" s="170"/>
      <c r="K48" s="170"/>
      <c r="L48" s="170" t="s">
        <v>255</v>
      </c>
      <c r="M48" s="170"/>
      <c r="N48" s="187"/>
      <c r="O48" s="164"/>
      <c r="P48" s="164" t="s">
        <v>80</v>
      </c>
      <c r="Q48" s="164" t="s">
        <v>10</v>
      </c>
      <c r="R48" s="164"/>
      <c r="S48" s="172">
        <v>1</v>
      </c>
      <c r="T48" s="157">
        <v>0.5</v>
      </c>
      <c r="U48" s="173">
        <f t="shared" si="0"/>
        <v>0.5</v>
      </c>
      <c r="V48" s="174">
        <v>1</v>
      </c>
      <c r="W48" s="174">
        <v>1</v>
      </c>
      <c r="X48" s="174">
        <v>1</v>
      </c>
      <c r="Y48" s="174">
        <v>1</v>
      </c>
      <c r="Z48" s="174">
        <v>1</v>
      </c>
      <c r="AA48" s="174">
        <v>1</v>
      </c>
      <c r="AB48" s="174">
        <v>1</v>
      </c>
      <c r="AC48" s="174">
        <v>1</v>
      </c>
      <c r="AD48" s="174">
        <v>1</v>
      </c>
      <c r="AE48" s="174">
        <v>1</v>
      </c>
      <c r="AF48" s="174">
        <v>1</v>
      </c>
      <c r="AG48" s="174">
        <v>1</v>
      </c>
      <c r="AH48" s="174">
        <v>1</v>
      </c>
      <c r="AI48" s="174">
        <v>1</v>
      </c>
      <c r="AJ48" s="174">
        <v>1</v>
      </c>
      <c r="AK48" s="174">
        <v>1</v>
      </c>
      <c r="AL48" s="174">
        <v>1</v>
      </c>
      <c r="AM48" s="478">
        <v>1</v>
      </c>
      <c r="AN48" s="174">
        <v>1</v>
      </c>
      <c r="AO48" s="174">
        <v>1</v>
      </c>
      <c r="AP48" s="174">
        <v>1</v>
      </c>
      <c r="AQ48" s="174">
        <v>1</v>
      </c>
      <c r="AR48" s="174">
        <v>1</v>
      </c>
      <c r="AS48" s="174">
        <v>1</v>
      </c>
      <c r="AT48" s="174"/>
      <c r="AU48" s="174"/>
      <c r="AV48" s="174">
        <v>1</v>
      </c>
      <c r="AW48" s="174">
        <v>1</v>
      </c>
      <c r="AX48" s="174">
        <v>1</v>
      </c>
      <c r="AY48" s="174">
        <v>1</v>
      </c>
      <c r="AZ48" s="174">
        <v>1</v>
      </c>
      <c r="BA48" s="174">
        <v>1</v>
      </c>
    </row>
    <row r="49" spans="1:53" ht="29.25" hidden="1" customHeight="1">
      <c r="A49" s="168">
        <v>255</v>
      </c>
      <c r="B49" s="251">
        <v>46058</v>
      </c>
      <c r="C49" s="169" t="s">
        <v>84</v>
      </c>
      <c r="D49" s="144" t="s">
        <v>199</v>
      </c>
      <c r="E49" s="220" t="s">
        <v>6</v>
      </c>
      <c r="F49" s="169"/>
      <c r="G49" s="185" t="s">
        <v>256</v>
      </c>
      <c r="H49" s="426" t="s">
        <v>257</v>
      </c>
      <c r="I49" s="170" t="s">
        <v>258</v>
      </c>
      <c r="J49" s="170"/>
      <c r="K49" s="170"/>
      <c r="L49" s="517" t="s">
        <v>259</v>
      </c>
      <c r="M49" s="170"/>
      <c r="N49" s="187"/>
      <c r="O49" s="164"/>
      <c r="P49" s="164" t="s">
        <v>80</v>
      </c>
      <c r="Q49" s="164" t="s">
        <v>10</v>
      </c>
      <c r="R49" s="164"/>
      <c r="S49" s="172">
        <v>0.5</v>
      </c>
      <c r="T49" s="157">
        <v>-0.1</v>
      </c>
      <c r="U49" s="173">
        <f t="shared" si="0"/>
        <v>-0.05</v>
      </c>
      <c r="V49" s="174">
        <v>1</v>
      </c>
      <c r="W49" s="174">
        <v>1</v>
      </c>
      <c r="X49" s="174">
        <v>1</v>
      </c>
      <c r="Y49" s="174">
        <v>1</v>
      </c>
      <c r="Z49" s="174">
        <v>1</v>
      </c>
      <c r="AA49" s="174">
        <v>1</v>
      </c>
      <c r="AB49" s="174">
        <v>1</v>
      </c>
      <c r="AC49" s="174">
        <v>1</v>
      </c>
      <c r="AD49" s="174">
        <v>1</v>
      </c>
      <c r="AE49" s="174">
        <v>1</v>
      </c>
      <c r="AF49" s="174">
        <v>1</v>
      </c>
      <c r="AG49" s="174">
        <v>1</v>
      </c>
      <c r="AH49" s="174">
        <v>1</v>
      </c>
      <c r="AI49" s="174">
        <v>1</v>
      </c>
      <c r="AJ49" s="174">
        <v>1</v>
      </c>
      <c r="AK49" s="174">
        <v>1</v>
      </c>
      <c r="AL49" s="174">
        <v>1</v>
      </c>
      <c r="AM49" s="478">
        <v>1</v>
      </c>
      <c r="AN49" s="174">
        <v>1</v>
      </c>
      <c r="AO49" s="174">
        <v>1</v>
      </c>
      <c r="AP49" s="174">
        <v>1</v>
      </c>
      <c r="AQ49" s="174"/>
      <c r="AR49" s="174"/>
      <c r="AS49" s="174"/>
      <c r="AT49" s="174">
        <v>1</v>
      </c>
      <c r="AU49" s="174">
        <v>1</v>
      </c>
      <c r="AV49" s="174">
        <v>1</v>
      </c>
      <c r="AW49" s="174"/>
      <c r="AX49" s="174"/>
      <c r="AY49" s="174">
        <v>1</v>
      </c>
      <c r="AZ49" s="174">
        <v>1</v>
      </c>
      <c r="BA49" s="174">
        <v>1</v>
      </c>
    </row>
    <row r="50" spans="1:53" ht="29.25" hidden="1" customHeight="1">
      <c r="A50" s="168"/>
      <c r="B50" s="251" t="s">
        <v>260</v>
      </c>
      <c r="C50" s="236" t="s">
        <v>75</v>
      </c>
      <c r="D50" s="467" t="s">
        <v>76</v>
      </c>
      <c r="E50" s="169" t="s">
        <v>3</v>
      </c>
      <c r="F50" s="169" t="s">
        <v>118</v>
      </c>
      <c r="G50" s="185" t="s">
        <v>261</v>
      </c>
      <c r="H50" s="185" t="s">
        <v>262</v>
      </c>
      <c r="I50" s="179" t="s">
        <v>263</v>
      </c>
      <c r="J50" s="185" t="s">
        <v>122</v>
      </c>
      <c r="K50" s="149" t="s">
        <v>123</v>
      </c>
      <c r="L50" s="509" t="s">
        <v>124</v>
      </c>
      <c r="M50" s="183" t="s">
        <v>125</v>
      </c>
      <c r="N50" s="171">
        <v>1.6</v>
      </c>
      <c r="O50" s="164"/>
      <c r="P50" s="164" t="s">
        <v>80</v>
      </c>
      <c r="Q50" s="164" t="s">
        <v>10</v>
      </c>
      <c r="R50" s="164" t="s">
        <v>81</v>
      </c>
      <c r="S50" s="176">
        <v>0.1</v>
      </c>
      <c r="T50" s="157">
        <v>1.2</v>
      </c>
      <c r="U50" s="173">
        <f t="shared" si="0"/>
        <v>0.12</v>
      </c>
      <c r="V50" s="332">
        <v>1</v>
      </c>
      <c r="W50" s="332">
        <v>1</v>
      </c>
      <c r="X50" s="332">
        <v>1</v>
      </c>
      <c r="Y50" s="332">
        <v>1</v>
      </c>
      <c r="Z50" s="332">
        <v>1</v>
      </c>
      <c r="AA50" s="332">
        <v>1</v>
      </c>
      <c r="AB50" s="332">
        <v>1</v>
      </c>
      <c r="AC50" s="332">
        <v>1</v>
      </c>
      <c r="AD50" s="332">
        <v>1</v>
      </c>
      <c r="AE50" s="332">
        <v>1</v>
      </c>
      <c r="AF50" s="332">
        <v>1</v>
      </c>
      <c r="AG50" s="332">
        <v>1</v>
      </c>
      <c r="AH50" s="332">
        <v>1</v>
      </c>
      <c r="AI50" s="332">
        <v>1</v>
      </c>
      <c r="AJ50" s="332">
        <v>1</v>
      </c>
      <c r="AK50" s="332">
        <v>1</v>
      </c>
      <c r="AL50" s="332">
        <v>1</v>
      </c>
      <c r="AM50" s="480">
        <v>1</v>
      </c>
      <c r="AN50" s="332">
        <v>1</v>
      </c>
      <c r="AO50" s="332">
        <v>1</v>
      </c>
      <c r="AP50" s="332">
        <v>1</v>
      </c>
      <c r="AQ50" s="332">
        <v>1</v>
      </c>
      <c r="AR50" s="332">
        <v>1</v>
      </c>
      <c r="AS50" s="332">
        <v>1</v>
      </c>
      <c r="AT50" s="332">
        <v>1</v>
      </c>
      <c r="AU50" s="332">
        <v>1</v>
      </c>
      <c r="AV50" s="332">
        <v>1</v>
      </c>
      <c r="AW50" s="332">
        <v>1</v>
      </c>
      <c r="AX50" s="332">
        <v>1</v>
      </c>
      <c r="AY50" s="332">
        <v>1</v>
      </c>
      <c r="AZ50" s="332">
        <v>1</v>
      </c>
      <c r="BA50" s="332">
        <v>1</v>
      </c>
    </row>
    <row r="51" spans="1:53" ht="33.75" hidden="1" customHeight="1">
      <c r="A51" s="168">
        <v>294</v>
      </c>
      <c r="B51" s="168" t="s">
        <v>246</v>
      </c>
      <c r="C51" s="169" t="s">
        <v>84</v>
      </c>
      <c r="D51" s="144" t="s">
        <v>2</v>
      </c>
      <c r="E51" s="169" t="s">
        <v>6</v>
      </c>
      <c r="F51" s="169"/>
      <c r="G51" s="149" t="s">
        <v>264</v>
      </c>
      <c r="H51" s="385" t="s">
        <v>265</v>
      </c>
      <c r="I51" s="170" t="s">
        <v>266</v>
      </c>
      <c r="J51" s="170"/>
      <c r="K51" s="170"/>
      <c r="L51" s="170" t="s">
        <v>267</v>
      </c>
      <c r="M51" s="170"/>
      <c r="N51" s="187"/>
      <c r="O51" s="164"/>
      <c r="P51" s="164" t="s">
        <v>80</v>
      </c>
      <c r="Q51" s="164" t="s">
        <v>10</v>
      </c>
      <c r="R51" s="164"/>
      <c r="S51" s="172">
        <v>1</v>
      </c>
      <c r="T51" s="157">
        <v>-0.35</v>
      </c>
      <c r="U51" s="173">
        <f t="shared" si="0"/>
        <v>-0.35</v>
      </c>
      <c r="V51" s="174">
        <v>1</v>
      </c>
      <c r="W51" s="174">
        <v>1</v>
      </c>
      <c r="X51" s="174">
        <v>1</v>
      </c>
      <c r="Y51" s="174">
        <v>1</v>
      </c>
      <c r="Z51" s="174">
        <v>1</v>
      </c>
      <c r="AA51" s="174">
        <v>1</v>
      </c>
      <c r="AB51" s="174">
        <v>1</v>
      </c>
      <c r="AC51" s="174">
        <v>1</v>
      </c>
      <c r="AD51" s="174">
        <v>1</v>
      </c>
      <c r="AE51" s="174">
        <v>1</v>
      </c>
      <c r="AF51" s="174">
        <v>1</v>
      </c>
      <c r="AG51" s="174">
        <v>1</v>
      </c>
      <c r="AH51" s="174">
        <v>1</v>
      </c>
      <c r="AI51" s="174">
        <v>1</v>
      </c>
      <c r="AJ51" s="174">
        <v>1</v>
      </c>
      <c r="AK51" s="174">
        <v>1</v>
      </c>
      <c r="AL51" s="174">
        <v>1</v>
      </c>
      <c r="AM51" s="478">
        <v>1</v>
      </c>
      <c r="AN51" s="174">
        <v>1</v>
      </c>
      <c r="AO51" s="174">
        <v>1</v>
      </c>
      <c r="AP51" s="174">
        <v>1</v>
      </c>
      <c r="AQ51" s="174">
        <v>1</v>
      </c>
      <c r="AR51" s="174">
        <v>1</v>
      </c>
      <c r="AS51" s="174">
        <v>1</v>
      </c>
      <c r="AT51" s="174"/>
      <c r="AU51" s="174"/>
      <c r="AV51" s="174">
        <v>1</v>
      </c>
      <c r="AW51" s="174">
        <v>1</v>
      </c>
      <c r="AX51" s="174">
        <v>1</v>
      </c>
      <c r="AY51" s="174">
        <v>1</v>
      </c>
      <c r="AZ51" s="174">
        <v>1</v>
      </c>
      <c r="BA51" s="174">
        <v>1</v>
      </c>
    </row>
    <row r="52" spans="1:53" ht="29.25" hidden="1" customHeight="1">
      <c r="A52" s="168">
        <v>295</v>
      </c>
      <c r="B52" s="251">
        <v>46058</v>
      </c>
      <c r="C52" s="169" t="s">
        <v>84</v>
      </c>
      <c r="D52" s="144" t="s">
        <v>2</v>
      </c>
      <c r="E52" s="220" t="s">
        <v>6</v>
      </c>
      <c r="F52" s="169"/>
      <c r="G52" s="185" t="s">
        <v>129</v>
      </c>
      <c r="H52" s="149"/>
      <c r="I52" s="511" t="s">
        <v>130</v>
      </c>
      <c r="J52" s="170"/>
      <c r="K52" s="170"/>
      <c r="L52" s="511" t="s">
        <v>130</v>
      </c>
      <c r="M52" s="170"/>
      <c r="N52" s="187"/>
      <c r="O52" s="164"/>
      <c r="P52" s="164" t="s">
        <v>80</v>
      </c>
      <c r="Q52" s="164" t="s">
        <v>4</v>
      </c>
      <c r="R52" s="164"/>
      <c r="S52" s="172">
        <v>0.75</v>
      </c>
      <c r="T52" s="157">
        <v>0.5</v>
      </c>
      <c r="U52" s="173">
        <f t="shared" si="0"/>
        <v>0.375</v>
      </c>
      <c r="V52" s="174">
        <v>1</v>
      </c>
      <c r="W52" s="174">
        <v>1</v>
      </c>
      <c r="X52" s="174">
        <v>1</v>
      </c>
      <c r="Y52" s="174">
        <v>1</v>
      </c>
      <c r="Z52" s="174">
        <v>1</v>
      </c>
      <c r="AA52" s="174">
        <v>1</v>
      </c>
      <c r="AB52" s="174">
        <v>1</v>
      </c>
      <c r="AC52" s="174">
        <v>1</v>
      </c>
      <c r="AD52" s="174">
        <v>1</v>
      </c>
      <c r="AE52" s="174">
        <v>1</v>
      </c>
      <c r="AF52" s="174">
        <v>1</v>
      </c>
      <c r="AG52" s="174">
        <v>1</v>
      </c>
      <c r="AH52" s="174">
        <v>1</v>
      </c>
      <c r="AI52" s="174">
        <v>1</v>
      </c>
      <c r="AJ52" s="174">
        <v>1</v>
      </c>
      <c r="AK52" s="174">
        <v>1</v>
      </c>
      <c r="AL52" s="174">
        <v>1</v>
      </c>
      <c r="AM52" s="478">
        <v>1</v>
      </c>
      <c r="AN52" s="174">
        <v>1</v>
      </c>
      <c r="AO52" s="174">
        <v>1</v>
      </c>
      <c r="AP52" s="174">
        <v>1</v>
      </c>
      <c r="AQ52" s="174"/>
      <c r="AR52" s="174"/>
      <c r="AS52" s="174"/>
      <c r="AT52" s="174"/>
      <c r="AU52" s="174"/>
      <c r="AV52" s="174"/>
      <c r="AW52" s="174">
        <v>1</v>
      </c>
      <c r="AX52" s="174">
        <v>1</v>
      </c>
      <c r="AY52" s="174"/>
      <c r="AZ52" s="174"/>
      <c r="BA52" s="174"/>
    </row>
    <row r="53" spans="1:53" ht="35.450000000000003" hidden="1" customHeight="1">
      <c r="A53" s="168">
        <v>296</v>
      </c>
      <c r="B53" s="251">
        <v>46058</v>
      </c>
      <c r="C53" s="169" t="s">
        <v>84</v>
      </c>
      <c r="D53" s="144" t="s">
        <v>2</v>
      </c>
      <c r="E53" s="220" t="s">
        <v>6</v>
      </c>
      <c r="F53" s="169"/>
      <c r="G53" s="149" t="s">
        <v>268</v>
      </c>
      <c r="H53" s="385" t="s">
        <v>269</v>
      </c>
      <c r="I53" s="170" t="s">
        <v>270</v>
      </c>
      <c r="J53" s="170"/>
      <c r="K53" s="170"/>
      <c r="L53" s="170" t="s">
        <v>271</v>
      </c>
      <c r="M53" s="170"/>
      <c r="N53" s="187"/>
      <c r="O53" s="164"/>
      <c r="P53" s="164" t="s">
        <v>80</v>
      </c>
      <c r="Q53" s="164" t="s">
        <v>10</v>
      </c>
      <c r="R53" s="164"/>
      <c r="S53" s="172">
        <v>1</v>
      </c>
      <c r="T53" s="157">
        <v>0.3</v>
      </c>
      <c r="U53" s="173">
        <f t="shared" si="0"/>
        <v>0.3</v>
      </c>
      <c r="V53" s="174">
        <v>1</v>
      </c>
      <c r="W53" s="174">
        <v>1</v>
      </c>
      <c r="X53" s="174">
        <v>1</v>
      </c>
      <c r="Y53" s="174">
        <v>1</v>
      </c>
      <c r="Z53" s="174">
        <v>1</v>
      </c>
      <c r="AA53" s="174">
        <v>1</v>
      </c>
      <c r="AB53" s="174">
        <v>1</v>
      </c>
      <c r="AC53" s="174">
        <v>1</v>
      </c>
      <c r="AD53" s="174">
        <v>1</v>
      </c>
      <c r="AE53" s="174">
        <v>1</v>
      </c>
      <c r="AF53" s="174">
        <v>1</v>
      </c>
      <c r="AG53" s="174">
        <v>1</v>
      </c>
      <c r="AH53" s="174">
        <v>1</v>
      </c>
      <c r="AI53" s="174">
        <v>1</v>
      </c>
      <c r="AJ53" s="174">
        <v>1</v>
      </c>
      <c r="AK53" s="174">
        <v>1</v>
      </c>
      <c r="AL53" s="174">
        <v>1</v>
      </c>
      <c r="AM53" s="478">
        <v>1</v>
      </c>
      <c r="AN53" s="174">
        <v>1</v>
      </c>
      <c r="AO53" s="174">
        <v>1</v>
      </c>
      <c r="AP53" s="174">
        <v>1</v>
      </c>
      <c r="AQ53" s="174">
        <v>1</v>
      </c>
      <c r="AR53" s="174">
        <v>1</v>
      </c>
      <c r="AS53" s="174">
        <v>1</v>
      </c>
      <c r="AT53" s="174"/>
      <c r="AU53" s="174"/>
      <c r="AV53" s="174">
        <v>1</v>
      </c>
      <c r="AW53" s="174">
        <v>1</v>
      </c>
      <c r="AX53" s="174">
        <v>1</v>
      </c>
      <c r="AY53" s="174">
        <v>1</v>
      </c>
      <c r="AZ53" s="174">
        <v>1</v>
      </c>
      <c r="BA53" s="174">
        <v>1</v>
      </c>
    </row>
    <row r="54" spans="1:53" ht="29.25" hidden="1" customHeight="1">
      <c r="A54" s="168">
        <v>298</v>
      </c>
      <c r="B54" s="251">
        <v>46058</v>
      </c>
      <c r="C54" s="169" t="s">
        <v>84</v>
      </c>
      <c r="D54" s="144" t="s">
        <v>2</v>
      </c>
      <c r="E54" s="220" t="s">
        <v>6</v>
      </c>
      <c r="F54" s="169"/>
      <c r="G54" s="185" t="s">
        <v>272</v>
      </c>
      <c r="H54" s="385" t="s">
        <v>273</v>
      </c>
      <c r="I54" s="170"/>
      <c r="J54" s="170"/>
      <c r="K54" s="170"/>
      <c r="L54" s="511" t="s">
        <v>274</v>
      </c>
      <c r="M54" s="170"/>
      <c r="N54" s="187"/>
      <c r="O54" s="164"/>
      <c r="P54" s="164" t="s">
        <v>80</v>
      </c>
      <c r="Q54" s="164" t="s">
        <v>4</v>
      </c>
      <c r="R54" s="164"/>
      <c r="S54" s="172">
        <v>0.25</v>
      </c>
      <c r="T54" s="157">
        <v>-4.9000000000000004</v>
      </c>
      <c r="U54" s="173">
        <f t="shared" si="0"/>
        <v>-1.2250000000000001</v>
      </c>
      <c r="V54" s="174">
        <v>1</v>
      </c>
      <c r="W54" s="174">
        <v>1</v>
      </c>
      <c r="X54" s="174">
        <v>1</v>
      </c>
      <c r="Y54" s="174">
        <v>1</v>
      </c>
      <c r="Z54" s="174">
        <v>1</v>
      </c>
      <c r="AA54" s="174">
        <v>1</v>
      </c>
      <c r="AB54" s="174">
        <v>1</v>
      </c>
      <c r="AC54" s="174">
        <v>1</v>
      </c>
      <c r="AD54" s="174">
        <v>1</v>
      </c>
      <c r="AE54" s="174">
        <v>1</v>
      </c>
      <c r="AF54" s="174">
        <v>1</v>
      </c>
      <c r="AG54" s="174">
        <v>1</v>
      </c>
      <c r="AH54" s="174">
        <v>1</v>
      </c>
      <c r="AI54" s="174">
        <v>1</v>
      </c>
      <c r="AJ54" s="174">
        <v>1</v>
      </c>
      <c r="AK54" s="174">
        <v>1</v>
      </c>
      <c r="AL54" s="174">
        <v>1</v>
      </c>
      <c r="AM54" s="478">
        <v>1</v>
      </c>
      <c r="AN54" s="174">
        <v>1</v>
      </c>
      <c r="AO54" s="174">
        <v>1</v>
      </c>
      <c r="AP54" s="174">
        <v>1</v>
      </c>
      <c r="AQ54" s="174"/>
      <c r="AR54" s="174"/>
      <c r="AS54" s="174">
        <v>1</v>
      </c>
      <c r="AT54" s="174"/>
      <c r="AU54" s="174"/>
      <c r="AV54" s="174"/>
      <c r="AW54" s="174">
        <v>1</v>
      </c>
      <c r="AX54" s="174">
        <v>1</v>
      </c>
      <c r="AY54" s="174">
        <v>1</v>
      </c>
      <c r="AZ54" s="174"/>
      <c r="BA54" s="174"/>
    </row>
    <row r="55" spans="1:53" ht="33.75" hidden="1" customHeight="1">
      <c r="A55" s="168">
        <v>305</v>
      </c>
      <c r="B55" s="168" t="s">
        <v>275</v>
      </c>
      <c r="C55" s="169" t="s">
        <v>84</v>
      </c>
      <c r="D55" s="144" t="s">
        <v>102</v>
      </c>
      <c r="E55" s="169" t="s">
        <v>3</v>
      </c>
      <c r="F55" s="169" t="s">
        <v>103</v>
      </c>
      <c r="G55" s="149" t="s">
        <v>276</v>
      </c>
      <c r="H55" s="426" t="s">
        <v>215</v>
      </c>
      <c r="I55" s="170" t="s">
        <v>277</v>
      </c>
      <c r="J55" s="170" t="s">
        <v>278</v>
      </c>
      <c r="K55" s="170"/>
      <c r="L55" s="170" t="s">
        <v>279</v>
      </c>
      <c r="M55" s="170"/>
      <c r="N55" s="187"/>
      <c r="O55" s="164"/>
      <c r="P55" s="164" t="s">
        <v>80</v>
      </c>
      <c r="Q55" s="164" t="s">
        <v>10</v>
      </c>
      <c r="R55" s="164"/>
      <c r="S55" s="172">
        <v>0.25</v>
      </c>
      <c r="T55" s="157">
        <v>0.4</v>
      </c>
      <c r="U55" s="173">
        <f t="shared" si="0"/>
        <v>0.1</v>
      </c>
      <c r="V55" s="174">
        <v>1</v>
      </c>
      <c r="W55" s="174">
        <v>1</v>
      </c>
      <c r="X55" s="174">
        <v>1</v>
      </c>
      <c r="Y55" s="174">
        <v>1</v>
      </c>
      <c r="Z55" s="174">
        <v>1</v>
      </c>
      <c r="AA55" s="174">
        <v>1</v>
      </c>
      <c r="AB55" s="174">
        <v>1</v>
      </c>
      <c r="AC55" s="174">
        <v>1</v>
      </c>
      <c r="AD55" s="174">
        <v>1</v>
      </c>
      <c r="AE55" s="174">
        <v>1</v>
      </c>
      <c r="AF55" s="174">
        <v>1</v>
      </c>
      <c r="AG55" s="174">
        <v>1</v>
      </c>
      <c r="AH55" s="174">
        <v>1</v>
      </c>
      <c r="AI55" s="174">
        <v>1</v>
      </c>
      <c r="AJ55" s="174">
        <v>1</v>
      </c>
      <c r="AK55" s="174">
        <v>1</v>
      </c>
      <c r="AL55" s="174">
        <v>1</v>
      </c>
      <c r="AM55" s="478">
        <v>1</v>
      </c>
      <c r="AN55" s="174">
        <v>1</v>
      </c>
      <c r="AO55" s="174">
        <v>1</v>
      </c>
      <c r="AP55" s="174">
        <v>1</v>
      </c>
      <c r="AQ55" s="174">
        <v>1</v>
      </c>
      <c r="AR55" s="174">
        <v>1</v>
      </c>
      <c r="AS55" s="174">
        <v>1</v>
      </c>
      <c r="AT55" s="174"/>
      <c r="AU55" s="174"/>
      <c r="AV55" s="174">
        <v>1</v>
      </c>
      <c r="AW55" s="174">
        <v>1</v>
      </c>
      <c r="AX55" s="174">
        <v>1</v>
      </c>
      <c r="AY55" s="174">
        <v>1</v>
      </c>
      <c r="AZ55" s="174">
        <v>1</v>
      </c>
      <c r="BA55" s="174">
        <v>1</v>
      </c>
    </row>
    <row r="56" spans="1:53" ht="29.25" hidden="1" customHeight="1">
      <c r="A56" s="151"/>
      <c r="B56" s="257">
        <v>45536</v>
      </c>
      <c r="C56" s="236" t="s">
        <v>75</v>
      </c>
      <c r="D56" s="467" t="s">
        <v>76</v>
      </c>
      <c r="E56" s="169" t="s">
        <v>3</v>
      </c>
      <c r="F56" s="169" t="s">
        <v>118</v>
      </c>
      <c r="G56" s="185" t="s">
        <v>261</v>
      </c>
      <c r="H56" s="185" t="s">
        <v>280</v>
      </c>
      <c r="I56" s="179" t="s">
        <v>281</v>
      </c>
      <c r="J56" s="185" t="s">
        <v>122</v>
      </c>
      <c r="K56" s="149" t="s">
        <v>123</v>
      </c>
      <c r="L56" s="509" t="s">
        <v>124</v>
      </c>
      <c r="M56" s="183" t="s">
        <v>282</v>
      </c>
      <c r="N56" s="171">
        <v>0.7</v>
      </c>
      <c r="O56" s="164"/>
      <c r="P56" s="164" t="s">
        <v>80</v>
      </c>
      <c r="Q56" s="164" t="s">
        <v>10</v>
      </c>
      <c r="R56" s="164" t="s">
        <v>81</v>
      </c>
      <c r="S56" s="176">
        <v>0.1</v>
      </c>
      <c r="T56" s="157">
        <v>0.5</v>
      </c>
      <c r="U56" s="173">
        <f t="shared" si="0"/>
        <v>0.05</v>
      </c>
      <c r="V56" s="332">
        <v>1</v>
      </c>
      <c r="W56" s="332">
        <v>1</v>
      </c>
      <c r="X56" s="332">
        <v>1</v>
      </c>
      <c r="Y56" s="332">
        <v>1</v>
      </c>
      <c r="Z56" s="332">
        <v>1</v>
      </c>
      <c r="AA56" s="332">
        <v>1</v>
      </c>
      <c r="AB56" s="332">
        <v>1</v>
      </c>
      <c r="AC56" s="332">
        <v>1</v>
      </c>
      <c r="AD56" s="332">
        <v>1</v>
      </c>
      <c r="AE56" s="332">
        <v>1</v>
      </c>
      <c r="AF56" s="332">
        <v>1</v>
      </c>
      <c r="AG56" s="332">
        <v>1</v>
      </c>
      <c r="AH56" s="332">
        <v>1</v>
      </c>
      <c r="AI56" s="332">
        <v>1</v>
      </c>
      <c r="AJ56" s="332">
        <v>1</v>
      </c>
      <c r="AK56" s="332">
        <v>1</v>
      </c>
      <c r="AL56" s="332">
        <v>1</v>
      </c>
      <c r="AM56" s="480">
        <v>1</v>
      </c>
      <c r="AN56" s="332">
        <v>1</v>
      </c>
      <c r="AO56" s="332">
        <v>1</v>
      </c>
      <c r="AP56" s="332">
        <v>1</v>
      </c>
      <c r="AQ56" s="332">
        <v>1</v>
      </c>
      <c r="AR56" s="332">
        <v>1</v>
      </c>
      <c r="AS56" s="332">
        <v>1</v>
      </c>
      <c r="AT56" s="332">
        <v>1</v>
      </c>
      <c r="AU56" s="332">
        <v>1</v>
      </c>
      <c r="AV56" s="332">
        <v>1</v>
      </c>
      <c r="AW56" s="332">
        <v>1</v>
      </c>
      <c r="AX56" s="332">
        <v>1</v>
      </c>
      <c r="AY56" s="332">
        <v>1</v>
      </c>
      <c r="AZ56" s="332">
        <v>1</v>
      </c>
      <c r="BA56" s="332">
        <v>1</v>
      </c>
    </row>
    <row r="57" spans="1:53" ht="29.25" hidden="1" customHeight="1">
      <c r="A57" s="151"/>
      <c r="B57" s="257">
        <v>45536</v>
      </c>
      <c r="C57" s="236" t="s">
        <v>75</v>
      </c>
      <c r="D57" s="467" t="s">
        <v>76</v>
      </c>
      <c r="E57" s="169" t="s">
        <v>3</v>
      </c>
      <c r="F57" s="169" t="s">
        <v>118</v>
      </c>
      <c r="G57" s="185" t="s">
        <v>283</v>
      </c>
      <c r="H57" s="472" t="s">
        <v>284</v>
      </c>
      <c r="I57" s="179" t="s">
        <v>285</v>
      </c>
      <c r="J57" s="185" t="s">
        <v>122</v>
      </c>
      <c r="K57" s="149" t="s">
        <v>123</v>
      </c>
      <c r="L57" s="509" t="s">
        <v>124</v>
      </c>
      <c r="M57" s="183" t="s">
        <v>222</v>
      </c>
      <c r="N57" s="171">
        <v>0</v>
      </c>
      <c r="O57" s="164"/>
      <c r="P57" s="164" t="s">
        <v>80</v>
      </c>
      <c r="Q57" s="164" t="s">
        <v>10</v>
      </c>
      <c r="R57" s="164" t="s">
        <v>81</v>
      </c>
      <c r="S57" s="176">
        <v>0.1</v>
      </c>
      <c r="T57" s="157">
        <v>0.3</v>
      </c>
      <c r="U57" s="173">
        <f t="shared" si="0"/>
        <v>0.03</v>
      </c>
      <c r="V57" s="332">
        <v>1</v>
      </c>
      <c r="W57" s="332">
        <v>1</v>
      </c>
      <c r="X57" s="332">
        <v>1</v>
      </c>
      <c r="Y57" s="332">
        <v>1</v>
      </c>
      <c r="Z57" s="332">
        <v>1</v>
      </c>
      <c r="AA57" s="332">
        <v>1</v>
      </c>
      <c r="AB57" s="332">
        <v>1</v>
      </c>
      <c r="AC57" s="332">
        <v>1</v>
      </c>
      <c r="AD57" s="332">
        <v>1</v>
      </c>
      <c r="AE57" s="332">
        <v>1</v>
      </c>
      <c r="AF57" s="332">
        <v>1</v>
      </c>
      <c r="AG57" s="332">
        <v>1</v>
      </c>
      <c r="AH57" s="332">
        <v>1</v>
      </c>
      <c r="AI57" s="332">
        <v>1</v>
      </c>
      <c r="AJ57" s="332">
        <v>1</v>
      </c>
      <c r="AK57" s="332">
        <v>1</v>
      </c>
      <c r="AL57" s="332">
        <v>1</v>
      </c>
      <c r="AM57" s="480">
        <v>1</v>
      </c>
      <c r="AN57" s="332">
        <v>1</v>
      </c>
      <c r="AO57" s="332">
        <v>1</v>
      </c>
      <c r="AP57" s="332">
        <v>1</v>
      </c>
      <c r="AQ57" s="332">
        <v>1</v>
      </c>
      <c r="AR57" s="332">
        <v>1</v>
      </c>
      <c r="AS57" s="332">
        <v>1</v>
      </c>
      <c r="AT57" s="332">
        <v>1</v>
      </c>
      <c r="AU57" s="332">
        <v>1</v>
      </c>
      <c r="AV57" s="332">
        <v>1</v>
      </c>
      <c r="AW57" s="332">
        <v>1</v>
      </c>
      <c r="AX57" s="332">
        <v>1</v>
      </c>
      <c r="AY57" s="332">
        <v>1</v>
      </c>
      <c r="AZ57" s="332">
        <v>1</v>
      </c>
      <c r="BA57" s="332">
        <v>1</v>
      </c>
    </row>
    <row r="58" spans="1:53" s="391" customFormat="1" ht="29.25" hidden="1" customHeight="1">
      <c r="A58" s="463"/>
      <c r="B58" s="253">
        <v>45536</v>
      </c>
      <c r="C58" s="236" t="s">
        <v>75</v>
      </c>
      <c r="D58" s="467" t="s">
        <v>85</v>
      </c>
      <c r="E58" s="220" t="s">
        <v>3</v>
      </c>
      <c r="F58" s="220" t="s">
        <v>77</v>
      </c>
      <c r="G58" s="185" t="s">
        <v>286</v>
      </c>
      <c r="H58" s="185" t="s">
        <v>287</v>
      </c>
      <c r="I58" s="553" t="s">
        <v>288</v>
      </c>
      <c r="J58" s="556" t="s">
        <v>289</v>
      </c>
      <c r="K58" s="462"/>
      <c r="L58" s="554"/>
      <c r="M58" s="462">
        <v>0</v>
      </c>
      <c r="N58" s="555" t="s">
        <v>290</v>
      </c>
      <c r="O58" s="186"/>
      <c r="P58" s="186" t="s">
        <v>126</v>
      </c>
      <c r="Q58" s="186" t="s">
        <v>4</v>
      </c>
      <c r="R58" s="186" t="s">
        <v>81</v>
      </c>
      <c r="S58" s="176">
        <v>0.1</v>
      </c>
      <c r="T58" s="157">
        <v>-2</v>
      </c>
      <c r="U58" s="173">
        <f t="shared" si="0"/>
        <v>-0.2</v>
      </c>
      <c r="V58" s="332">
        <v>1</v>
      </c>
      <c r="W58" s="332"/>
      <c r="X58" s="332"/>
      <c r="Y58" s="332"/>
      <c r="Z58" s="332"/>
      <c r="AA58" s="332"/>
      <c r="AB58" s="332"/>
      <c r="AC58" s="332"/>
      <c r="AD58" s="332"/>
      <c r="AE58" s="332">
        <v>1</v>
      </c>
      <c r="AF58" s="332"/>
      <c r="AG58" s="332"/>
      <c r="AH58" s="332"/>
      <c r="AI58" s="332"/>
      <c r="AJ58" s="332"/>
      <c r="AK58" s="332"/>
      <c r="AL58" s="332"/>
      <c r="AM58" s="480"/>
      <c r="AN58" s="332">
        <v>1</v>
      </c>
      <c r="AO58" s="332">
        <v>1</v>
      </c>
      <c r="AP58" s="332">
        <v>1</v>
      </c>
      <c r="AQ58" s="332">
        <v>1</v>
      </c>
      <c r="AR58" s="332">
        <v>1</v>
      </c>
      <c r="AS58" s="332"/>
      <c r="AT58" s="332"/>
      <c r="AU58" s="332"/>
      <c r="AV58" s="332"/>
      <c r="AW58" s="332"/>
      <c r="AX58" s="332"/>
      <c r="AY58" s="332"/>
      <c r="AZ58" s="332"/>
      <c r="BA58" s="332"/>
    </row>
    <row r="59" spans="1:53" ht="29.25" hidden="1" customHeight="1">
      <c r="A59" s="168">
        <v>299</v>
      </c>
      <c r="B59" s="251">
        <v>46058</v>
      </c>
      <c r="C59" s="169" t="s">
        <v>84</v>
      </c>
      <c r="D59" s="144" t="s">
        <v>199</v>
      </c>
      <c r="E59" s="220" t="s">
        <v>6</v>
      </c>
      <c r="F59" s="169"/>
      <c r="G59" s="185" t="s">
        <v>291</v>
      </c>
      <c r="H59" s="385" t="s">
        <v>291</v>
      </c>
      <c r="I59" s="170" t="s">
        <v>292</v>
      </c>
      <c r="J59" s="170"/>
      <c r="K59" s="170"/>
      <c r="L59" s="170" t="s">
        <v>293</v>
      </c>
      <c r="M59" s="170"/>
      <c r="N59" s="187"/>
      <c r="O59" s="164"/>
      <c r="P59" s="164" t="s">
        <v>80</v>
      </c>
      <c r="Q59" s="164" t="s">
        <v>4</v>
      </c>
      <c r="R59" s="164"/>
      <c r="S59" s="172">
        <v>1</v>
      </c>
      <c r="T59" s="157">
        <v>0.2</v>
      </c>
      <c r="U59" s="173">
        <f t="shared" si="0"/>
        <v>0.2</v>
      </c>
      <c r="V59" s="174">
        <v>1</v>
      </c>
      <c r="W59" s="174">
        <v>1</v>
      </c>
      <c r="X59" s="174">
        <v>1</v>
      </c>
      <c r="Y59" s="174">
        <v>1</v>
      </c>
      <c r="Z59" s="174">
        <v>1</v>
      </c>
      <c r="AA59" s="174">
        <v>1</v>
      </c>
      <c r="AB59" s="174">
        <v>1</v>
      </c>
      <c r="AC59" s="174">
        <v>1</v>
      </c>
      <c r="AD59" s="174">
        <v>1</v>
      </c>
      <c r="AE59" s="174">
        <v>1</v>
      </c>
      <c r="AF59" s="174">
        <v>1</v>
      </c>
      <c r="AG59" s="174">
        <v>1</v>
      </c>
      <c r="AH59" s="174">
        <v>1</v>
      </c>
      <c r="AI59" s="174">
        <v>1</v>
      </c>
      <c r="AJ59" s="174">
        <v>1</v>
      </c>
      <c r="AK59" s="174">
        <v>1</v>
      </c>
      <c r="AL59" s="174">
        <v>1</v>
      </c>
      <c r="AM59" s="478">
        <v>1</v>
      </c>
      <c r="AN59" s="174">
        <v>1</v>
      </c>
      <c r="AO59" s="174">
        <v>1</v>
      </c>
      <c r="AP59" s="174">
        <v>1</v>
      </c>
      <c r="AQ59" s="174">
        <v>1</v>
      </c>
      <c r="AR59" s="174">
        <v>1</v>
      </c>
      <c r="AS59" s="174">
        <v>1</v>
      </c>
      <c r="AT59" s="174">
        <v>1</v>
      </c>
      <c r="AU59" s="174">
        <v>1</v>
      </c>
      <c r="AV59" s="174">
        <v>1</v>
      </c>
      <c r="AW59" s="174">
        <v>1</v>
      </c>
      <c r="AX59" s="174">
        <v>1</v>
      </c>
      <c r="AY59" s="174">
        <v>1</v>
      </c>
      <c r="AZ59" s="174">
        <v>1</v>
      </c>
      <c r="BA59" s="174">
        <v>1</v>
      </c>
    </row>
    <row r="60" spans="1:53" ht="55.5" customHeight="1">
      <c r="A60" s="329"/>
      <c r="B60" s="258">
        <v>45536</v>
      </c>
      <c r="C60" s="236" t="s">
        <v>75</v>
      </c>
      <c r="D60" s="462" t="s">
        <v>2</v>
      </c>
      <c r="E60" s="220" t="s">
        <v>3</v>
      </c>
      <c r="F60" s="169" t="s">
        <v>77</v>
      </c>
      <c r="G60" s="185" t="s">
        <v>294</v>
      </c>
      <c r="H60" s="472" t="s">
        <v>295</v>
      </c>
      <c r="I60" s="179" t="s">
        <v>296</v>
      </c>
      <c r="J60" s="518" t="s">
        <v>297</v>
      </c>
      <c r="K60" s="149" t="s">
        <v>142</v>
      </c>
      <c r="L60" s="519"/>
      <c r="M60" s="149" t="s">
        <v>81</v>
      </c>
      <c r="N60" s="185">
        <v>-0.23</v>
      </c>
      <c r="O60" s="186"/>
      <c r="P60" s="186" t="s">
        <v>80</v>
      </c>
      <c r="Q60" s="186" t="s">
        <v>4</v>
      </c>
      <c r="R60" s="186" t="s">
        <v>81</v>
      </c>
      <c r="S60" s="176">
        <v>0</v>
      </c>
      <c r="T60" s="157">
        <v>-1.2</v>
      </c>
      <c r="U60" s="173">
        <f t="shared" si="0"/>
        <v>0</v>
      </c>
      <c r="V60" s="332">
        <v>1</v>
      </c>
      <c r="W60" s="332">
        <v>1</v>
      </c>
      <c r="X60" s="332">
        <v>1</v>
      </c>
      <c r="Y60" s="332">
        <v>1</v>
      </c>
      <c r="Z60" s="332">
        <v>1</v>
      </c>
      <c r="AA60" s="332">
        <v>1</v>
      </c>
      <c r="AB60" s="332">
        <v>1</v>
      </c>
      <c r="AC60" s="332">
        <v>1</v>
      </c>
      <c r="AD60" s="332">
        <v>1</v>
      </c>
      <c r="AE60" s="332">
        <v>1</v>
      </c>
      <c r="AF60" s="332">
        <v>1</v>
      </c>
      <c r="AG60" s="332">
        <v>1</v>
      </c>
      <c r="AH60" s="332">
        <v>1</v>
      </c>
      <c r="AI60" s="332">
        <v>1</v>
      </c>
      <c r="AJ60" s="332">
        <v>1</v>
      </c>
      <c r="AK60" s="332">
        <v>1</v>
      </c>
      <c r="AL60" s="332">
        <v>1</v>
      </c>
      <c r="AM60" s="480">
        <v>1</v>
      </c>
      <c r="AN60" s="332">
        <v>1</v>
      </c>
      <c r="AO60" s="332">
        <v>1</v>
      </c>
      <c r="AP60" s="332">
        <v>1</v>
      </c>
      <c r="AQ60" s="332">
        <v>1</v>
      </c>
      <c r="AR60" s="332">
        <v>1</v>
      </c>
      <c r="AS60" s="332">
        <v>1</v>
      </c>
      <c r="AT60" s="332">
        <v>1</v>
      </c>
      <c r="AU60" s="332">
        <v>1</v>
      </c>
      <c r="AV60" s="332">
        <v>1</v>
      </c>
      <c r="AW60" s="332">
        <v>1</v>
      </c>
      <c r="AX60" s="332">
        <v>1</v>
      </c>
      <c r="AY60" s="332">
        <v>1</v>
      </c>
      <c r="AZ60" s="332">
        <v>1</v>
      </c>
      <c r="BA60" s="332">
        <v>1</v>
      </c>
    </row>
    <row r="61" spans="1:53" ht="56.25" customHeight="1">
      <c r="A61" s="168" t="s">
        <v>298</v>
      </c>
      <c r="B61" s="168" t="s">
        <v>299</v>
      </c>
      <c r="C61" s="169" t="s">
        <v>84</v>
      </c>
      <c r="D61" s="144" t="s">
        <v>213</v>
      </c>
      <c r="E61" s="169" t="s">
        <v>3</v>
      </c>
      <c r="F61" s="169" t="s">
        <v>155</v>
      </c>
      <c r="G61" s="149" t="s">
        <v>300</v>
      </c>
      <c r="H61" s="170" t="s">
        <v>157</v>
      </c>
      <c r="I61" s="170" t="s">
        <v>301</v>
      </c>
      <c r="J61" s="170" t="s">
        <v>302</v>
      </c>
      <c r="K61" s="170"/>
      <c r="L61" s="170" t="s">
        <v>303</v>
      </c>
      <c r="M61" s="170"/>
      <c r="N61" s="187"/>
      <c r="O61" s="164"/>
      <c r="P61" s="164" t="s">
        <v>80</v>
      </c>
      <c r="Q61" s="164" t="s">
        <v>7</v>
      </c>
      <c r="R61" s="164"/>
      <c r="S61" s="172">
        <v>1</v>
      </c>
      <c r="T61" s="157">
        <v>0.4</v>
      </c>
      <c r="U61" s="173">
        <f t="shared" si="0"/>
        <v>0.4</v>
      </c>
      <c r="V61" s="174">
        <v>1</v>
      </c>
      <c r="W61" s="174">
        <v>1</v>
      </c>
      <c r="X61" s="174">
        <v>1</v>
      </c>
      <c r="Y61" s="174">
        <v>1</v>
      </c>
      <c r="Z61" s="174">
        <v>1</v>
      </c>
      <c r="AA61" s="174">
        <v>1</v>
      </c>
      <c r="AB61" s="174">
        <v>1</v>
      </c>
      <c r="AC61" s="174">
        <v>1</v>
      </c>
      <c r="AD61" s="174">
        <v>1</v>
      </c>
      <c r="AE61" s="174">
        <v>1</v>
      </c>
      <c r="AF61" s="174">
        <v>1</v>
      </c>
      <c r="AG61" s="174">
        <v>1</v>
      </c>
      <c r="AH61" s="174">
        <v>1</v>
      </c>
      <c r="AI61" s="174">
        <v>1</v>
      </c>
      <c r="AJ61" s="174">
        <v>1</v>
      </c>
      <c r="AK61" s="174">
        <v>1</v>
      </c>
      <c r="AL61" s="174">
        <v>1</v>
      </c>
      <c r="AM61" s="478">
        <v>1</v>
      </c>
      <c r="AN61" s="174">
        <v>1</v>
      </c>
      <c r="AO61" s="174">
        <v>1</v>
      </c>
      <c r="AP61" s="174">
        <v>1</v>
      </c>
      <c r="AQ61" s="174">
        <v>1</v>
      </c>
      <c r="AR61" s="174">
        <v>1</v>
      </c>
      <c r="AS61" s="174">
        <v>1</v>
      </c>
      <c r="AT61" s="174"/>
      <c r="AU61" s="174"/>
      <c r="AV61" s="174">
        <v>1</v>
      </c>
      <c r="AW61" s="174">
        <v>1</v>
      </c>
      <c r="AX61" s="174">
        <v>1</v>
      </c>
      <c r="AY61" s="174">
        <v>1</v>
      </c>
      <c r="AZ61" s="174">
        <v>1</v>
      </c>
      <c r="BA61" s="174">
        <v>1</v>
      </c>
    </row>
    <row r="62" spans="1:53" ht="55.5" customHeight="1">
      <c r="A62" s="168" t="s">
        <v>304</v>
      </c>
      <c r="B62" s="251">
        <v>46058</v>
      </c>
      <c r="C62" s="169" t="s">
        <v>84</v>
      </c>
      <c r="D62" s="188" t="s">
        <v>213</v>
      </c>
      <c r="E62" s="220" t="s">
        <v>6</v>
      </c>
      <c r="F62" s="169"/>
      <c r="G62" s="185" t="s">
        <v>305</v>
      </c>
      <c r="H62" s="149" t="s">
        <v>305</v>
      </c>
      <c r="I62" s="149" t="s">
        <v>306</v>
      </c>
      <c r="J62" s="170"/>
      <c r="K62" s="170"/>
      <c r="L62" s="511" t="s">
        <v>307</v>
      </c>
      <c r="M62" s="170"/>
      <c r="N62" s="187"/>
      <c r="O62" s="164"/>
      <c r="P62" s="164" t="s">
        <v>80</v>
      </c>
      <c r="Q62" s="164" t="s">
        <v>4</v>
      </c>
      <c r="R62" s="164"/>
      <c r="S62" s="172">
        <v>0.75</v>
      </c>
      <c r="T62" s="157">
        <v>5.6</v>
      </c>
      <c r="U62" s="173">
        <f t="shared" si="0"/>
        <v>4.1999999999999993</v>
      </c>
      <c r="V62" s="174">
        <v>1</v>
      </c>
      <c r="W62" s="174">
        <v>1</v>
      </c>
      <c r="X62" s="174">
        <v>1</v>
      </c>
      <c r="Y62" s="174">
        <v>1</v>
      </c>
      <c r="Z62" s="174">
        <v>1</v>
      </c>
      <c r="AA62" s="174">
        <v>1</v>
      </c>
      <c r="AB62" s="174">
        <v>1</v>
      </c>
      <c r="AC62" s="174">
        <v>1</v>
      </c>
      <c r="AD62" s="174">
        <v>1</v>
      </c>
      <c r="AE62" s="174">
        <v>1</v>
      </c>
      <c r="AF62" s="174">
        <v>1</v>
      </c>
      <c r="AG62" s="174">
        <v>1</v>
      </c>
      <c r="AH62" s="174">
        <v>1</v>
      </c>
      <c r="AI62" s="174">
        <v>1</v>
      </c>
      <c r="AJ62" s="174">
        <v>1</v>
      </c>
      <c r="AK62" s="174">
        <v>1</v>
      </c>
      <c r="AL62" s="174">
        <v>1</v>
      </c>
      <c r="AM62" s="478">
        <v>1</v>
      </c>
      <c r="AN62" s="174">
        <v>1</v>
      </c>
      <c r="AO62" s="174">
        <v>1</v>
      </c>
      <c r="AP62" s="174"/>
      <c r="AQ62" s="174"/>
      <c r="AR62" s="174"/>
      <c r="AS62" s="174"/>
      <c r="AT62" s="174"/>
      <c r="AU62" s="174"/>
      <c r="AV62" s="174"/>
      <c r="AW62" s="174">
        <v>1</v>
      </c>
      <c r="AX62" s="174">
        <v>1</v>
      </c>
      <c r="AY62" s="174"/>
      <c r="AZ62" s="174"/>
      <c r="BA62" s="174"/>
    </row>
    <row r="63" spans="1:53" ht="54" customHeight="1">
      <c r="A63" s="168">
        <v>304</v>
      </c>
      <c r="B63" s="168" t="s">
        <v>154</v>
      </c>
      <c r="C63" s="169" t="s">
        <v>84</v>
      </c>
      <c r="D63" s="144" t="s">
        <v>213</v>
      </c>
      <c r="E63" s="169" t="s">
        <v>3</v>
      </c>
      <c r="F63" s="169" t="s">
        <v>155</v>
      </c>
      <c r="G63" s="149" t="s">
        <v>308</v>
      </c>
      <c r="H63" s="426" t="s">
        <v>215</v>
      </c>
      <c r="I63" s="170" t="s">
        <v>309</v>
      </c>
      <c r="J63" s="170" t="s">
        <v>310</v>
      </c>
      <c r="K63" s="170"/>
      <c r="L63" s="511" t="s">
        <v>311</v>
      </c>
      <c r="M63" s="170"/>
      <c r="N63" s="187"/>
      <c r="O63" s="164"/>
      <c r="P63" s="164" t="s">
        <v>80</v>
      </c>
      <c r="Q63" s="164" t="s">
        <v>10</v>
      </c>
      <c r="R63" s="164"/>
      <c r="S63" s="172">
        <v>0.25</v>
      </c>
      <c r="T63" s="157">
        <v>0.34100000000000003</v>
      </c>
      <c r="U63" s="173">
        <f t="shared" si="0"/>
        <v>8.5250000000000006E-2</v>
      </c>
      <c r="V63" s="174">
        <v>1</v>
      </c>
      <c r="W63" s="174">
        <v>1</v>
      </c>
      <c r="X63" s="174">
        <v>1</v>
      </c>
      <c r="Y63" s="174">
        <v>1</v>
      </c>
      <c r="Z63" s="174">
        <v>1</v>
      </c>
      <c r="AA63" s="174">
        <v>1</v>
      </c>
      <c r="AB63" s="174">
        <v>1</v>
      </c>
      <c r="AC63" s="174">
        <v>1</v>
      </c>
      <c r="AD63" s="174">
        <v>1</v>
      </c>
      <c r="AE63" s="174">
        <v>1</v>
      </c>
      <c r="AF63" s="174">
        <v>1</v>
      </c>
      <c r="AG63" s="174">
        <v>1</v>
      </c>
      <c r="AH63" s="174">
        <v>1</v>
      </c>
      <c r="AI63" s="174">
        <v>1</v>
      </c>
      <c r="AJ63" s="174">
        <v>1</v>
      </c>
      <c r="AK63" s="174">
        <v>1</v>
      </c>
      <c r="AL63" s="174">
        <v>1</v>
      </c>
      <c r="AM63" s="478">
        <v>1</v>
      </c>
      <c r="AN63" s="174">
        <v>1</v>
      </c>
      <c r="AO63" s="174">
        <v>1</v>
      </c>
      <c r="AP63" s="174">
        <v>1</v>
      </c>
      <c r="AQ63" s="174">
        <v>1</v>
      </c>
      <c r="AR63" s="174">
        <v>1</v>
      </c>
      <c r="AS63" s="174">
        <v>1</v>
      </c>
      <c r="AT63" s="174"/>
      <c r="AU63" s="174"/>
      <c r="AV63" s="174">
        <v>1</v>
      </c>
      <c r="AW63" s="174">
        <v>1</v>
      </c>
      <c r="AX63" s="174">
        <v>1</v>
      </c>
      <c r="AY63" s="174">
        <v>1</v>
      </c>
      <c r="AZ63" s="174">
        <v>1</v>
      </c>
      <c r="BA63" s="174">
        <v>1</v>
      </c>
    </row>
    <row r="64" spans="1:53" ht="66.75" customHeight="1">
      <c r="A64" s="329"/>
      <c r="B64" s="258">
        <v>45536</v>
      </c>
      <c r="C64" s="236" t="s">
        <v>75</v>
      </c>
      <c r="D64" s="467" t="s">
        <v>76</v>
      </c>
      <c r="E64" s="220" t="s">
        <v>3</v>
      </c>
      <c r="F64" s="169" t="s">
        <v>118</v>
      </c>
      <c r="G64" s="185" t="s">
        <v>312</v>
      </c>
      <c r="H64" s="185" t="s">
        <v>313</v>
      </c>
      <c r="I64" s="179" t="s">
        <v>314</v>
      </c>
      <c r="J64" s="518" t="s">
        <v>315</v>
      </c>
      <c r="K64" s="519"/>
      <c r="L64" s="519"/>
      <c r="M64" s="149" t="s">
        <v>316</v>
      </c>
      <c r="N64" s="185">
        <v>-0.9</v>
      </c>
      <c r="O64" s="186"/>
      <c r="P64" s="186" t="s">
        <v>317</v>
      </c>
      <c r="Q64" s="186" t="s">
        <v>4</v>
      </c>
      <c r="R64" s="186" t="s">
        <v>81</v>
      </c>
      <c r="S64" s="176">
        <v>1</v>
      </c>
      <c r="T64" s="157">
        <v>-0.7</v>
      </c>
      <c r="U64" s="173">
        <f t="shared" si="0"/>
        <v>-0.7</v>
      </c>
      <c r="V64" s="332">
        <v>1</v>
      </c>
      <c r="W64" s="332">
        <v>1</v>
      </c>
      <c r="X64" s="332">
        <v>1</v>
      </c>
      <c r="Y64" s="332">
        <v>1</v>
      </c>
      <c r="Z64" s="332">
        <v>1</v>
      </c>
      <c r="AA64" s="332">
        <v>1</v>
      </c>
      <c r="AB64" s="332">
        <v>1</v>
      </c>
      <c r="AC64" s="332">
        <v>1</v>
      </c>
      <c r="AD64" s="332">
        <v>1</v>
      </c>
      <c r="AE64" s="332">
        <v>1</v>
      </c>
      <c r="AF64" s="332">
        <v>1</v>
      </c>
      <c r="AG64" s="332">
        <v>1</v>
      </c>
      <c r="AH64" s="332">
        <v>1</v>
      </c>
      <c r="AI64" s="332">
        <v>1</v>
      </c>
      <c r="AJ64" s="332">
        <v>1</v>
      </c>
      <c r="AK64" s="332">
        <v>1</v>
      </c>
      <c r="AL64" s="332">
        <v>1</v>
      </c>
      <c r="AM64" s="480">
        <v>1</v>
      </c>
      <c r="AN64" s="332">
        <v>1</v>
      </c>
      <c r="AO64" s="332">
        <v>1</v>
      </c>
      <c r="AP64" s="332">
        <v>1</v>
      </c>
      <c r="AQ64" s="332">
        <v>1</v>
      </c>
      <c r="AR64" s="332">
        <v>1</v>
      </c>
      <c r="AS64" s="332">
        <v>1</v>
      </c>
      <c r="AT64" s="332">
        <v>1</v>
      </c>
      <c r="AU64" s="332">
        <v>1</v>
      </c>
      <c r="AV64" s="332">
        <v>1</v>
      </c>
      <c r="AW64" s="332">
        <v>1</v>
      </c>
      <c r="AX64" s="332">
        <v>1</v>
      </c>
      <c r="AY64" s="332">
        <v>1</v>
      </c>
      <c r="AZ64" s="332">
        <v>1</v>
      </c>
      <c r="BA64" s="332">
        <v>1</v>
      </c>
    </row>
    <row r="65" spans="1:53" ht="94.5" customHeight="1">
      <c r="A65" s="243">
        <v>222</v>
      </c>
      <c r="B65" s="429">
        <v>45536</v>
      </c>
      <c r="C65" s="236" t="s">
        <v>75</v>
      </c>
      <c r="D65" s="430" t="s">
        <v>76</v>
      </c>
      <c r="E65" s="236" t="s">
        <v>3</v>
      </c>
      <c r="F65" s="236" t="s">
        <v>77</v>
      </c>
      <c r="G65" s="443" t="s">
        <v>318</v>
      </c>
      <c r="H65" s="443" t="s">
        <v>318</v>
      </c>
      <c r="I65" s="237" t="s">
        <v>319</v>
      </c>
      <c r="J65" s="237" t="s">
        <v>320</v>
      </c>
      <c r="K65" s="246" t="s">
        <v>96</v>
      </c>
      <c r="L65" s="520"/>
      <c r="M65" s="237">
        <v>0</v>
      </c>
      <c r="N65" s="246">
        <v>0.7</v>
      </c>
      <c r="O65" s="520"/>
      <c r="P65" s="240" t="s">
        <v>80</v>
      </c>
      <c r="Q65" s="240" t="s">
        <v>10</v>
      </c>
      <c r="R65" s="240" t="s">
        <v>81</v>
      </c>
      <c r="S65" s="241">
        <v>0</v>
      </c>
      <c r="T65" s="242">
        <v>0.5</v>
      </c>
      <c r="U65" s="351">
        <f t="shared" si="0"/>
        <v>0</v>
      </c>
      <c r="V65" s="352">
        <v>1</v>
      </c>
      <c r="W65" s="352">
        <v>1</v>
      </c>
      <c r="X65" s="352">
        <v>1</v>
      </c>
      <c r="Y65" s="352">
        <v>1</v>
      </c>
      <c r="Z65" s="352">
        <v>1</v>
      </c>
      <c r="AA65" s="352">
        <v>1</v>
      </c>
      <c r="AB65" s="352">
        <v>1</v>
      </c>
      <c r="AC65" s="352">
        <v>1</v>
      </c>
      <c r="AD65" s="352">
        <v>1</v>
      </c>
      <c r="AE65" s="352">
        <v>1</v>
      </c>
      <c r="AF65" s="352">
        <v>1</v>
      </c>
      <c r="AG65" s="352">
        <v>1</v>
      </c>
      <c r="AH65" s="352">
        <v>1</v>
      </c>
      <c r="AI65" s="352">
        <v>1</v>
      </c>
      <c r="AJ65" s="352">
        <v>1</v>
      </c>
      <c r="AK65" s="352">
        <v>1</v>
      </c>
      <c r="AL65" s="352">
        <v>1</v>
      </c>
      <c r="AM65" s="479">
        <v>1</v>
      </c>
      <c r="AN65" s="174">
        <v>1</v>
      </c>
      <c r="AO65" s="174">
        <v>1</v>
      </c>
      <c r="AP65" s="174">
        <v>1</v>
      </c>
      <c r="AQ65" s="174">
        <v>1</v>
      </c>
      <c r="AR65" s="174">
        <v>1</v>
      </c>
      <c r="AS65" s="174">
        <v>1</v>
      </c>
      <c r="AT65" s="174"/>
      <c r="AU65" s="174"/>
      <c r="AV65" s="174">
        <v>1</v>
      </c>
      <c r="AW65" s="174">
        <v>1</v>
      </c>
      <c r="AX65" s="174">
        <v>1</v>
      </c>
      <c r="AY65" s="174">
        <v>1</v>
      </c>
      <c r="AZ65" s="174">
        <v>1</v>
      </c>
      <c r="BA65" s="174">
        <v>1</v>
      </c>
    </row>
    <row r="66" spans="1:53" ht="193.5" customHeight="1">
      <c r="A66" s="243"/>
      <c r="B66" s="429">
        <v>45536</v>
      </c>
      <c r="C66" s="236" t="s">
        <v>75</v>
      </c>
      <c r="D66" s="430" t="s">
        <v>76</v>
      </c>
      <c r="E66" s="236" t="s">
        <v>3</v>
      </c>
      <c r="F66" s="236" t="s">
        <v>77</v>
      </c>
      <c r="G66" s="237" t="s">
        <v>321</v>
      </c>
      <c r="H66" s="237" t="s">
        <v>322</v>
      </c>
      <c r="I66" s="521"/>
      <c r="J66" s="237" t="s">
        <v>323</v>
      </c>
      <c r="K66" s="237" t="s">
        <v>324</v>
      </c>
      <c r="L66" s="520" t="s">
        <v>124</v>
      </c>
      <c r="M66" s="237">
        <v>0</v>
      </c>
      <c r="N66" s="431" t="s">
        <v>325</v>
      </c>
      <c r="O66" s="240"/>
      <c r="P66" s="240" t="s">
        <v>80</v>
      </c>
      <c r="Q66" s="240" t="s">
        <v>10</v>
      </c>
      <c r="R66" s="240" t="s">
        <v>81</v>
      </c>
      <c r="S66" s="241">
        <v>0</v>
      </c>
      <c r="T66" s="242">
        <v>1.7</v>
      </c>
      <c r="U66" s="351">
        <f t="shared" si="0"/>
        <v>0</v>
      </c>
      <c r="V66" s="352">
        <v>1</v>
      </c>
      <c r="W66" s="352">
        <v>1</v>
      </c>
      <c r="X66" s="352">
        <v>1</v>
      </c>
      <c r="Y66" s="352">
        <v>1</v>
      </c>
      <c r="Z66" s="352">
        <v>1</v>
      </c>
      <c r="AA66" s="352">
        <v>1</v>
      </c>
      <c r="AB66" s="352">
        <v>1</v>
      </c>
      <c r="AC66" s="352">
        <v>1</v>
      </c>
      <c r="AD66" s="352">
        <v>1</v>
      </c>
      <c r="AE66" s="352">
        <v>1</v>
      </c>
      <c r="AF66" s="352">
        <v>1</v>
      </c>
      <c r="AG66" s="352">
        <v>1</v>
      </c>
      <c r="AH66" s="352">
        <v>1</v>
      </c>
      <c r="AI66" s="352">
        <v>1</v>
      </c>
      <c r="AJ66" s="352">
        <v>1</v>
      </c>
      <c r="AK66" s="352">
        <v>1</v>
      </c>
      <c r="AL66" s="352">
        <v>1</v>
      </c>
      <c r="AM66" s="479">
        <v>1</v>
      </c>
      <c r="AN66" s="174">
        <v>1</v>
      </c>
      <c r="AO66" s="174">
        <v>1</v>
      </c>
      <c r="AP66" s="174">
        <v>1</v>
      </c>
      <c r="AQ66" s="174">
        <v>1</v>
      </c>
      <c r="AR66" s="174">
        <v>1</v>
      </c>
      <c r="AS66" s="174">
        <v>1</v>
      </c>
      <c r="AT66" s="174"/>
      <c r="AU66" s="174"/>
      <c r="AV66" s="174">
        <v>1</v>
      </c>
      <c r="AW66" s="174">
        <v>1</v>
      </c>
      <c r="AX66" s="174">
        <v>1</v>
      </c>
      <c r="AY66" s="174">
        <v>1</v>
      </c>
      <c r="AZ66" s="174">
        <v>1</v>
      </c>
      <c r="BA66" s="174">
        <v>1</v>
      </c>
    </row>
    <row r="67" spans="1:53" ht="136.5" customHeight="1">
      <c r="A67" s="432"/>
      <c r="B67" s="433">
        <v>45821</v>
      </c>
      <c r="C67" s="433" t="s">
        <v>75</v>
      </c>
      <c r="D67" s="188" t="s">
        <v>213</v>
      </c>
      <c r="E67" s="434" t="s">
        <v>326</v>
      </c>
      <c r="F67" s="434"/>
      <c r="G67" s="449" t="s">
        <v>327</v>
      </c>
      <c r="H67" s="449" t="s">
        <v>328</v>
      </c>
      <c r="I67" s="449" t="s">
        <v>329</v>
      </c>
      <c r="J67" s="436" t="s">
        <v>330</v>
      </c>
      <c r="K67" s="436"/>
      <c r="L67" s="384"/>
      <c r="M67" s="384" t="s">
        <v>81</v>
      </c>
      <c r="N67" s="384" t="s">
        <v>81</v>
      </c>
      <c r="O67" s="384"/>
      <c r="P67" s="437" t="s">
        <v>80</v>
      </c>
      <c r="Q67" s="437" t="s">
        <v>10</v>
      </c>
      <c r="R67" s="384"/>
      <c r="S67" s="438"/>
      <c r="T67" s="439"/>
      <c r="U67" s="173">
        <f t="shared" si="0"/>
        <v>0</v>
      </c>
      <c r="V67" s="441"/>
      <c r="W67" s="441"/>
      <c r="X67" s="441"/>
      <c r="Y67" s="441"/>
      <c r="Z67" s="441"/>
      <c r="AA67" s="441"/>
      <c r="AB67" s="441"/>
      <c r="AC67" s="441"/>
      <c r="AD67" s="441"/>
      <c r="AE67" s="441"/>
      <c r="AF67" s="441"/>
      <c r="AG67" s="441"/>
      <c r="AH67" s="441"/>
      <c r="AI67" s="441"/>
      <c r="AJ67" s="441"/>
      <c r="AK67" s="441"/>
      <c r="AL67" s="441"/>
      <c r="AM67" s="482"/>
      <c r="AN67" s="174">
        <v>1</v>
      </c>
      <c r="AO67" s="174">
        <v>1</v>
      </c>
      <c r="AP67" s="174">
        <v>1</v>
      </c>
      <c r="AQ67" s="174">
        <v>1</v>
      </c>
      <c r="AR67" s="174">
        <v>1</v>
      </c>
      <c r="AS67" s="174">
        <v>1</v>
      </c>
      <c r="AT67" s="174">
        <v>1</v>
      </c>
      <c r="AU67" s="174">
        <v>1</v>
      </c>
      <c r="AV67" s="174">
        <v>1</v>
      </c>
      <c r="AW67" s="174">
        <v>1</v>
      </c>
      <c r="AX67" s="174">
        <v>1</v>
      </c>
      <c r="AY67" s="174">
        <v>1</v>
      </c>
      <c r="AZ67" s="174">
        <v>1</v>
      </c>
      <c r="BA67" s="174">
        <v>1</v>
      </c>
    </row>
    <row r="68" spans="1:53" ht="28.5" customHeight="1">
      <c r="A68" s="168">
        <v>309</v>
      </c>
      <c r="B68" s="168" t="s">
        <v>331</v>
      </c>
      <c r="C68" s="169" t="s">
        <v>84</v>
      </c>
      <c r="D68" s="144" t="s">
        <v>180</v>
      </c>
      <c r="E68" s="169" t="s">
        <v>3</v>
      </c>
      <c r="F68" s="169" t="s">
        <v>332</v>
      </c>
      <c r="G68" s="149" t="s">
        <v>333</v>
      </c>
      <c r="H68" s="385" t="s">
        <v>334</v>
      </c>
      <c r="I68" s="170" t="s">
        <v>335</v>
      </c>
      <c r="J68" s="170" t="s">
        <v>336</v>
      </c>
      <c r="K68" s="154" t="s">
        <v>186</v>
      </c>
      <c r="L68" s="511" t="s">
        <v>337</v>
      </c>
      <c r="M68" s="170"/>
      <c r="N68" s="187"/>
      <c r="O68" s="164"/>
      <c r="P68" s="164" t="s">
        <v>80</v>
      </c>
      <c r="Q68" s="164" t="s">
        <v>10</v>
      </c>
      <c r="R68" s="164"/>
      <c r="S68" s="172">
        <v>0.25</v>
      </c>
      <c r="T68" s="157">
        <v>-1.1000000000000001</v>
      </c>
      <c r="U68" s="173">
        <f t="shared" si="0"/>
        <v>-0.27500000000000002</v>
      </c>
      <c r="V68" s="174">
        <v>1</v>
      </c>
      <c r="W68" s="174">
        <v>1</v>
      </c>
      <c r="X68" s="174">
        <v>1</v>
      </c>
      <c r="Y68" s="174">
        <v>1</v>
      </c>
      <c r="Z68" s="174">
        <v>1</v>
      </c>
      <c r="AA68" s="174">
        <v>1</v>
      </c>
      <c r="AB68" s="174">
        <v>1</v>
      </c>
      <c r="AC68" s="174">
        <v>1</v>
      </c>
      <c r="AD68" s="174">
        <v>1</v>
      </c>
      <c r="AE68" s="174">
        <v>1</v>
      </c>
      <c r="AF68" s="174">
        <v>1</v>
      </c>
      <c r="AG68" s="174">
        <v>1</v>
      </c>
      <c r="AH68" s="174">
        <v>1</v>
      </c>
      <c r="AI68" s="174">
        <v>1</v>
      </c>
      <c r="AJ68" s="174">
        <v>1</v>
      </c>
      <c r="AK68" s="174">
        <v>1</v>
      </c>
      <c r="AL68" s="174">
        <v>1</v>
      </c>
      <c r="AM68" s="478">
        <v>1</v>
      </c>
      <c r="AN68" s="174">
        <v>1</v>
      </c>
      <c r="AO68" s="174">
        <v>1</v>
      </c>
      <c r="AP68" s="174">
        <v>1</v>
      </c>
      <c r="AQ68" s="174">
        <v>1</v>
      </c>
      <c r="AR68" s="174">
        <v>1</v>
      </c>
      <c r="AS68" s="174">
        <v>1</v>
      </c>
      <c r="AT68" s="174"/>
      <c r="AU68" s="174"/>
      <c r="AV68" s="174">
        <v>1</v>
      </c>
      <c r="AW68" s="174">
        <v>1</v>
      </c>
      <c r="AX68" s="174">
        <v>1</v>
      </c>
      <c r="AY68" s="174">
        <v>1</v>
      </c>
      <c r="AZ68" s="174">
        <v>1</v>
      </c>
      <c r="BA68" s="174">
        <v>1</v>
      </c>
    </row>
    <row r="69" spans="1:53" ht="45" customHeight="1">
      <c r="A69" s="432" t="s">
        <v>338</v>
      </c>
      <c r="B69" s="433">
        <v>45821</v>
      </c>
      <c r="C69" s="433" t="s">
        <v>75</v>
      </c>
      <c r="D69" s="435" t="s">
        <v>2</v>
      </c>
      <c r="E69" s="434" t="s">
        <v>6</v>
      </c>
      <c r="F69" s="434" t="s">
        <v>339</v>
      </c>
      <c r="G69" s="449" t="s">
        <v>340</v>
      </c>
      <c r="H69" s="435" t="s">
        <v>341</v>
      </c>
      <c r="I69" s="435" t="s">
        <v>329</v>
      </c>
      <c r="J69" s="436"/>
      <c r="K69" s="436"/>
      <c r="L69" s="170" t="s">
        <v>342</v>
      </c>
      <c r="M69" s="442" t="s">
        <v>343</v>
      </c>
      <c r="N69" s="384" t="s">
        <v>344</v>
      </c>
      <c r="O69" s="384"/>
      <c r="P69" s="437" t="s">
        <v>80</v>
      </c>
      <c r="Q69" s="437" t="s">
        <v>4</v>
      </c>
      <c r="R69" s="384"/>
      <c r="S69" s="438">
        <v>1</v>
      </c>
      <c r="T69" s="439">
        <v>-7.2</v>
      </c>
      <c r="U69" s="173">
        <f t="shared" si="0"/>
        <v>-7.2</v>
      </c>
      <c r="V69" s="441"/>
      <c r="W69" s="441"/>
      <c r="X69" s="441"/>
      <c r="Y69" s="441"/>
      <c r="Z69" s="441"/>
      <c r="AA69" s="441"/>
      <c r="AB69" s="441"/>
      <c r="AC69" s="441"/>
      <c r="AD69" s="441"/>
      <c r="AE69" s="441"/>
      <c r="AF69" s="441"/>
      <c r="AG69" s="441"/>
      <c r="AH69" s="441"/>
      <c r="AI69" s="441"/>
      <c r="AJ69" s="441"/>
      <c r="AK69" s="441"/>
      <c r="AL69" s="441"/>
      <c r="AM69" s="482"/>
      <c r="AN69" s="174">
        <v>1</v>
      </c>
      <c r="AO69" s="174">
        <v>1</v>
      </c>
      <c r="AP69" s="174">
        <v>1</v>
      </c>
      <c r="AQ69" s="174"/>
      <c r="AR69" s="174"/>
      <c r="AS69" s="174">
        <v>1</v>
      </c>
      <c r="AT69" s="174"/>
      <c r="AU69" s="174"/>
      <c r="AV69" s="174"/>
      <c r="AW69" s="174">
        <v>1</v>
      </c>
      <c r="AX69" s="174">
        <v>1</v>
      </c>
      <c r="AY69" s="174"/>
      <c r="AZ69" s="174"/>
      <c r="BA69" s="174"/>
    </row>
    <row r="70" spans="1:53" ht="29.25" hidden="1" customHeight="1">
      <c r="A70" s="182"/>
      <c r="B70" s="253">
        <v>45821</v>
      </c>
      <c r="C70" s="429" t="s">
        <v>75</v>
      </c>
      <c r="D70" s="467" t="s">
        <v>2</v>
      </c>
      <c r="E70" s="220" t="s">
        <v>3</v>
      </c>
      <c r="F70" s="220" t="s">
        <v>77</v>
      </c>
      <c r="G70" s="185" t="s">
        <v>345</v>
      </c>
      <c r="H70" s="185"/>
      <c r="I70" s="462" t="s">
        <v>329</v>
      </c>
      <c r="J70" s="455" t="s">
        <v>346</v>
      </c>
      <c r="K70" s="471"/>
      <c r="L70" s="194"/>
      <c r="M70" s="194" t="s">
        <v>347</v>
      </c>
      <c r="N70" s="194">
        <v>7.7</v>
      </c>
      <c r="O70" s="194"/>
      <c r="P70" s="186" t="s">
        <v>317</v>
      </c>
      <c r="Q70" s="186" t="s">
        <v>10</v>
      </c>
      <c r="R70" s="194"/>
      <c r="S70" s="176">
        <v>1</v>
      </c>
      <c r="T70" s="439">
        <v>-1.5</v>
      </c>
      <c r="U70" s="173">
        <f t="shared" si="0"/>
        <v>-1.5</v>
      </c>
      <c r="V70" s="332"/>
      <c r="W70" s="332"/>
      <c r="X70" s="332"/>
      <c r="Y70" s="332"/>
      <c r="Z70" s="332"/>
      <c r="AA70" s="332"/>
      <c r="AB70" s="332"/>
      <c r="AC70" s="332"/>
      <c r="AD70" s="332"/>
      <c r="AE70" s="332"/>
      <c r="AF70" s="332"/>
      <c r="AG70" s="332"/>
      <c r="AH70" s="332"/>
      <c r="AI70" s="332"/>
      <c r="AJ70" s="332"/>
      <c r="AK70" s="332"/>
      <c r="AL70" s="332"/>
      <c r="AM70" s="480"/>
      <c r="AN70" s="332">
        <v>1</v>
      </c>
      <c r="AO70" s="332">
        <v>1</v>
      </c>
      <c r="AP70" s="332">
        <v>1</v>
      </c>
      <c r="AQ70" s="332">
        <v>1</v>
      </c>
      <c r="AR70" s="332">
        <v>1</v>
      </c>
      <c r="AS70" s="332"/>
      <c r="AT70" s="332"/>
      <c r="AU70" s="332"/>
      <c r="AV70" s="332"/>
      <c r="AW70" s="332"/>
      <c r="AX70" s="332"/>
      <c r="AY70" s="332"/>
      <c r="AZ70" s="332"/>
      <c r="BA70" s="332"/>
    </row>
    <row r="71" spans="1:53" ht="33.75" hidden="1" customHeight="1">
      <c r="A71" s="303"/>
      <c r="B71" s="444">
        <v>45821</v>
      </c>
      <c r="C71" s="196" t="s">
        <v>75</v>
      </c>
      <c r="D71" s="446" t="s">
        <v>2</v>
      </c>
      <c r="E71" s="196" t="s">
        <v>3</v>
      </c>
      <c r="F71" s="196" t="s">
        <v>348</v>
      </c>
      <c r="G71" s="446" t="s">
        <v>349</v>
      </c>
      <c r="H71" s="446" t="s">
        <v>350</v>
      </c>
      <c r="I71" s="446" t="s">
        <v>329</v>
      </c>
      <c r="J71" s="453" t="s">
        <v>351</v>
      </c>
      <c r="K71" s="447"/>
      <c r="L71" s="410"/>
      <c r="M71" s="410" t="s">
        <v>81</v>
      </c>
      <c r="N71" s="410" t="s">
        <v>81</v>
      </c>
      <c r="O71" s="410"/>
      <c r="P71" s="159" t="s">
        <v>80</v>
      </c>
      <c r="Q71" s="159" t="s">
        <v>10</v>
      </c>
      <c r="R71" s="410"/>
      <c r="S71" s="308">
        <v>0</v>
      </c>
      <c r="T71" s="309"/>
      <c r="U71" s="310">
        <f t="shared" si="0"/>
        <v>0</v>
      </c>
      <c r="V71" s="311"/>
      <c r="W71" s="311"/>
      <c r="X71" s="311"/>
      <c r="Y71" s="311"/>
      <c r="Z71" s="311"/>
      <c r="AA71" s="311"/>
      <c r="AB71" s="311"/>
      <c r="AC71" s="311"/>
      <c r="AD71" s="311"/>
      <c r="AE71" s="311"/>
      <c r="AF71" s="311"/>
      <c r="AG71" s="311"/>
      <c r="AH71" s="311"/>
      <c r="AI71" s="311"/>
      <c r="AJ71" s="311"/>
      <c r="AK71" s="311"/>
      <c r="AL71" s="311"/>
      <c r="AM71" s="477"/>
      <c r="AN71" s="410"/>
      <c r="AO71" s="410"/>
      <c r="AP71" s="410"/>
      <c r="AQ71" s="311"/>
      <c r="AR71" s="311"/>
      <c r="AS71" s="410"/>
      <c r="AT71" s="410"/>
      <c r="AU71" s="410"/>
      <c r="AV71" s="311"/>
      <c r="AW71" s="410"/>
      <c r="AX71" s="410"/>
      <c r="AY71" s="410"/>
      <c r="AZ71" s="311"/>
      <c r="BA71" s="311"/>
    </row>
    <row r="72" spans="1:53" s="391" customFormat="1" ht="33.75" hidden="1" customHeight="1">
      <c r="A72" s="182" t="s">
        <v>352</v>
      </c>
      <c r="B72" s="182" t="s">
        <v>331</v>
      </c>
      <c r="C72" s="220" t="s">
        <v>84</v>
      </c>
      <c r="D72" s="462" t="s">
        <v>180</v>
      </c>
      <c r="E72" s="220" t="s">
        <v>3</v>
      </c>
      <c r="F72" s="220" t="s">
        <v>181</v>
      </c>
      <c r="G72" s="462" t="s">
        <v>353</v>
      </c>
      <c r="H72" s="464" t="s">
        <v>353</v>
      </c>
      <c r="I72" s="462"/>
      <c r="J72" s="462"/>
      <c r="K72" s="462"/>
      <c r="L72" s="462" t="s">
        <v>354</v>
      </c>
      <c r="M72" s="462"/>
      <c r="N72" s="220"/>
      <c r="O72" s="186"/>
      <c r="P72" s="186" t="s">
        <v>355</v>
      </c>
      <c r="Q72" s="186" t="s">
        <v>7</v>
      </c>
      <c r="R72" s="186"/>
      <c r="S72" s="176">
        <v>0</v>
      </c>
      <c r="T72" s="157">
        <v>-2</v>
      </c>
      <c r="U72" s="331">
        <f t="shared" si="0"/>
        <v>0</v>
      </c>
      <c r="V72" s="174">
        <v>1</v>
      </c>
      <c r="W72" s="174">
        <v>1</v>
      </c>
      <c r="X72" s="174">
        <v>1</v>
      </c>
      <c r="Y72" s="174">
        <v>1</v>
      </c>
      <c r="Z72" s="174">
        <v>1</v>
      </c>
      <c r="AA72" s="174">
        <v>1</v>
      </c>
      <c r="AB72" s="174">
        <v>1</v>
      </c>
      <c r="AC72" s="174">
        <v>1</v>
      </c>
      <c r="AD72" s="174">
        <v>1</v>
      </c>
      <c r="AE72" s="174">
        <v>1</v>
      </c>
      <c r="AF72" s="174">
        <v>1</v>
      </c>
      <c r="AG72" s="174">
        <v>1</v>
      </c>
      <c r="AH72" s="174">
        <v>1</v>
      </c>
      <c r="AI72" s="174">
        <v>1</v>
      </c>
      <c r="AJ72" s="174">
        <v>1</v>
      </c>
      <c r="AK72" s="174">
        <v>1</v>
      </c>
      <c r="AL72" s="174">
        <v>1</v>
      </c>
      <c r="AM72" s="478">
        <v>1</v>
      </c>
      <c r="AN72" s="286"/>
      <c r="AO72" s="286"/>
      <c r="AP72" s="286"/>
      <c r="AQ72" s="286"/>
      <c r="AR72" s="286"/>
      <c r="AS72" s="286">
        <v>1</v>
      </c>
      <c r="AT72" s="286">
        <v>1</v>
      </c>
      <c r="AU72" s="286">
        <v>1</v>
      </c>
      <c r="AV72" s="286">
        <v>1</v>
      </c>
      <c r="AW72" s="286">
        <v>1</v>
      </c>
      <c r="AX72" s="286">
        <v>1</v>
      </c>
      <c r="AY72" s="286">
        <v>1</v>
      </c>
      <c r="AZ72" s="286">
        <v>1</v>
      </c>
      <c r="BA72" s="286">
        <v>1</v>
      </c>
    </row>
    <row r="73" spans="1:53" ht="33.75" hidden="1" customHeight="1">
      <c r="A73" s="168" t="s">
        <v>356</v>
      </c>
      <c r="B73" s="168" t="s">
        <v>331</v>
      </c>
      <c r="C73" s="169" t="s">
        <v>84</v>
      </c>
      <c r="D73" s="144" t="s">
        <v>180</v>
      </c>
      <c r="E73" s="169" t="s">
        <v>3</v>
      </c>
      <c r="F73" s="169"/>
      <c r="G73" s="149" t="s">
        <v>357</v>
      </c>
      <c r="H73" s="170"/>
      <c r="I73" s="170" t="s">
        <v>358</v>
      </c>
      <c r="J73" s="170"/>
      <c r="K73" s="170"/>
      <c r="L73" s="170" t="s">
        <v>359</v>
      </c>
      <c r="M73" s="170"/>
      <c r="N73" s="187"/>
      <c r="O73" s="164"/>
      <c r="P73" s="164" t="s">
        <v>80</v>
      </c>
      <c r="Q73" s="164" t="s">
        <v>10</v>
      </c>
      <c r="R73" s="164"/>
      <c r="S73" s="172">
        <v>0.25</v>
      </c>
      <c r="T73" s="157">
        <v>-0.7</v>
      </c>
      <c r="U73" s="173">
        <f t="shared" si="0"/>
        <v>-0.17499999999999999</v>
      </c>
      <c r="V73" s="174">
        <v>1</v>
      </c>
      <c r="W73" s="174">
        <v>1</v>
      </c>
      <c r="X73" s="174">
        <v>1</v>
      </c>
      <c r="Y73" s="174">
        <v>1</v>
      </c>
      <c r="Z73" s="174">
        <v>1</v>
      </c>
      <c r="AA73" s="174">
        <v>1</v>
      </c>
      <c r="AB73" s="174">
        <v>1</v>
      </c>
      <c r="AC73" s="174">
        <v>1</v>
      </c>
      <c r="AD73" s="174">
        <v>1</v>
      </c>
      <c r="AE73" s="174">
        <v>1</v>
      </c>
      <c r="AF73" s="174">
        <v>1</v>
      </c>
      <c r="AG73" s="174">
        <v>1</v>
      </c>
      <c r="AH73" s="174">
        <v>1</v>
      </c>
      <c r="AI73" s="174">
        <v>1</v>
      </c>
      <c r="AJ73" s="174">
        <v>1</v>
      </c>
      <c r="AK73" s="174">
        <v>1</v>
      </c>
      <c r="AL73" s="174">
        <v>1</v>
      </c>
      <c r="AM73" s="478">
        <v>1</v>
      </c>
      <c r="AN73" s="174">
        <v>1</v>
      </c>
      <c r="AO73" s="174">
        <v>1</v>
      </c>
      <c r="AP73" s="174">
        <v>1</v>
      </c>
      <c r="AQ73" s="174">
        <v>1</v>
      </c>
      <c r="AR73" s="174">
        <v>1</v>
      </c>
      <c r="AS73" s="174">
        <v>1</v>
      </c>
      <c r="AT73" s="174"/>
      <c r="AU73" s="174"/>
      <c r="AV73" s="174">
        <v>1</v>
      </c>
      <c r="AW73" s="174">
        <v>1</v>
      </c>
      <c r="AX73" s="174">
        <v>1</v>
      </c>
      <c r="AY73" s="174">
        <v>1</v>
      </c>
      <c r="AZ73" s="174">
        <v>1</v>
      </c>
      <c r="BA73" s="174">
        <v>1</v>
      </c>
    </row>
    <row r="74" spans="1:53" ht="29.25" hidden="1" customHeight="1">
      <c r="A74" s="182"/>
      <c r="B74" s="253">
        <v>45940</v>
      </c>
      <c r="C74" s="429" t="s">
        <v>75</v>
      </c>
      <c r="D74" s="467" t="s">
        <v>132</v>
      </c>
      <c r="E74" s="220" t="s">
        <v>3</v>
      </c>
      <c r="F74" s="220" t="s">
        <v>360</v>
      </c>
      <c r="G74" s="185" t="s">
        <v>361</v>
      </c>
      <c r="H74" s="185" t="s">
        <v>350</v>
      </c>
      <c r="I74" s="462"/>
      <c r="J74" s="522" t="s">
        <v>362</v>
      </c>
      <c r="K74" s="471"/>
      <c r="L74" s="194"/>
      <c r="M74" s="194" t="s">
        <v>81</v>
      </c>
      <c r="N74" s="194" t="s">
        <v>81</v>
      </c>
      <c r="O74" s="194"/>
      <c r="P74" s="186" t="s">
        <v>80</v>
      </c>
      <c r="Q74" s="186" t="s">
        <v>4</v>
      </c>
      <c r="R74" s="194"/>
      <c r="S74" s="176">
        <v>1</v>
      </c>
      <c r="T74" s="439">
        <v>-1.5</v>
      </c>
      <c r="U74" s="173">
        <f t="shared" si="0"/>
        <v>-1.5</v>
      </c>
      <c r="V74" s="332"/>
      <c r="W74" s="332"/>
      <c r="X74" s="332"/>
      <c r="Y74" s="332"/>
      <c r="Z74" s="332"/>
      <c r="AA74" s="332"/>
      <c r="AB74" s="332"/>
      <c r="AC74" s="332"/>
      <c r="AD74" s="332"/>
      <c r="AE74" s="332"/>
      <c r="AF74" s="332"/>
      <c r="AG74" s="332"/>
      <c r="AH74" s="332"/>
      <c r="AI74" s="332"/>
      <c r="AJ74" s="332"/>
      <c r="AK74" s="332"/>
      <c r="AL74" s="332"/>
      <c r="AM74" s="480"/>
      <c r="AN74" s="332">
        <v>1</v>
      </c>
      <c r="AO74" s="332">
        <v>1</v>
      </c>
      <c r="AP74" s="332">
        <v>1</v>
      </c>
      <c r="AQ74" s="332">
        <v>1</v>
      </c>
      <c r="AR74" s="332">
        <v>1</v>
      </c>
      <c r="AS74" s="332">
        <v>1</v>
      </c>
      <c r="AT74" s="332">
        <v>1</v>
      </c>
      <c r="AU74" s="332">
        <v>1</v>
      </c>
      <c r="AV74" s="332">
        <v>1</v>
      </c>
      <c r="AW74" s="332">
        <v>1</v>
      </c>
      <c r="AX74" s="332">
        <v>1</v>
      </c>
      <c r="AY74" s="332">
        <v>1</v>
      </c>
      <c r="AZ74" s="332">
        <v>1</v>
      </c>
      <c r="BA74" s="332">
        <v>1</v>
      </c>
    </row>
    <row r="75" spans="1:53" ht="33.75" hidden="1" customHeight="1">
      <c r="A75" s="432">
        <v>202</v>
      </c>
      <c r="B75" s="433" t="s">
        <v>131</v>
      </c>
      <c r="C75" s="433" t="s">
        <v>75</v>
      </c>
      <c r="D75" s="435" t="s">
        <v>132</v>
      </c>
      <c r="E75" s="434" t="s">
        <v>3</v>
      </c>
      <c r="F75" s="434" t="s">
        <v>348</v>
      </c>
      <c r="G75" s="435" t="s">
        <v>134</v>
      </c>
      <c r="H75" s="435" t="s">
        <v>135</v>
      </c>
      <c r="I75" s="435" t="s">
        <v>136</v>
      </c>
      <c r="J75" s="453" t="s">
        <v>363</v>
      </c>
      <c r="K75" s="436"/>
      <c r="L75" s="442" t="s">
        <v>138</v>
      </c>
      <c r="M75" s="384"/>
      <c r="N75" s="384"/>
      <c r="O75" s="384"/>
      <c r="P75" s="437" t="s">
        <v>80</v>
      </c>
      <c r="Q75" s="437" t="s">
        <v>7</v>
      </c>
      <c r="R75" s="384"/>
      <c r="S75" s="438">
        <v>0</v>
      </c>
      <c r="T75" s="439">
        <v>-0.1</v>
      </c>
      <c r="U75" s="440">
        <f t="shared" si="0"/>
        <v>0</v>
      </c>
      <c r="V75" s="441">
        <v>1</v>
      </c>
      <c r="W75" s="441">
        <v>1</v>
      </c>
      <c r="X75" s="441">
        <v>1</v>
      </c>
      <c r="Y75" s="441">
        <v>1</v>
      </c>
      <c r="Z75" s="441">
        <v>1</v>
      </c>
      <c r="AA75" s="441">
        <v>1</v>
      </c>
      <c r="AB75" s="441">
        <v>1</v>
      </c>
      <c r="AC75" s="441">
        <v>1</v>
      </c>
      <c r="AD75" s="441">
        <v>1</v>
      </c>
      <c r="AE75" s="441">
        <v>1</v>
      </c>
      <c r="AF75" s="441">
        <v>1</v>
      </c>
      <c r="AG75" s="441">
        <v>1</v>
      </c>
      <c r="AH75" s="441">
        <v>1</v>
      </c>
      <c r="AI75" s="441">
        <v>1</v>
      </c>
      <c r="AJ75" s="441">
        <v>1</v>
      </c>
      <c r="AK75" s="441">
        <v>1</v>
      </c>
      <c r="AL75" s="441">
        <v>1</v>
      </c>
      <c r="AM75" s="482">
        <v>1</v>
      </c>
      <c r="AN75" s="384">
        <v>1</v>
      </c>
      <c r="AO75" s="384">
        <v>1</v>
      </c>
      <c r="AP75" s="384">
        <v>1</v>
      </c>
      <c r="AQ75" s="441">
        <v>1</v>
      </c>
      <c r="AR75" s="441">
        <v>1</v>
      </c>
      <c r="AS75" s="384">
        <v>1</v>
      </c>
      <c r="AT75" s="384"/>
      <c r="AU75" s="384"/>
      <c r="AV75" s="441">
        <v>1</v>
      </c>
      <c r="AW75" s="384">
        <v>1</v>
      </c>
      <c r="AX75" s="384">
        <v>1</v>
      </c>
      <c r="AY75" s="384">
        <v>1</v>
      </c>
      <c r="AZ75" s="441">
        <v>1</v>
      </c>
      <c r="BA75" s="441">
        <v>1</v>
      </c>
    </row>
    <row r="76" spans="1:53" ht="33.75" hidden="1" customHeight="1">
      <c r="A76" s="432"/>
      <c r="B76" s="433">
        <v>45536</v>
      </c>
      <c r="C76" s="433" t="s">
        <v>75</v>
      </c>
      <c r="D76" s="435" t="s">
        <v>132</v>
      </c>
      <c r="E76" s="434" t="s">
        <v>3</v>
      </c>
      <c r="F76" s="434" t="s">
        <v>348</v>
      </c>
      <c r="G76" s="435" t="s">
        <v>364</v>
      </c>
      <c r="H76" s="435" t="s">
        <v>365</v>
      </c>
      <c r="I76" s="435" t="s">
        <v>366</v>
      </c>
      <c r="J76" s="453" t="s">
        <v>363</v>
      </c>
      <c r="K76" s="436" t="s">
        <v>142</v>
      </c>
      <c r="L76" s="384"/>
      <c r="M76" s="384">
        <v>104</v>
      </c>
      <c r="N76" s="384">
        <v>-0.8</v>
      </c>
      <c r="O76" s="384"/>
      <c r="P76" s="437" t="s">
        <v>80</v>
      </c>
      <c r="Q76" s="437" t="s">
        <v>7</v>
      </c>
      <c r="R76" s="384" t="s">
        <v>81</v>
      </c>
      <c r="S76" s="438">
        <v>0</v>
      </c>
      <c r="T76" s="439">
        <v>-0.5</v>
      </c>
      <c r="U76" s="440">
        <f t="shared" si="0"/>
        <v>0</v>
      </c>
      <c r="V76" s="441"/>
      <c r="W76" s="441"/>
      <c r="X76" s="441"/>
      <c r="Y76" s="441">
        <v>1</v>
      </c>
      <c r="Z76" s="441">
        <v>1</v>
      </c>
      <c r="AA76" s="441"/>
      <c r="AB76" s="441"/>
      <c r="AC76" s="441">
        <v>1</v>
      </c>
      <c r="AD76" s="441">
        <v>1</v>
      </c>
      <c r="AE76" s="441"/>
      <c r="AF76" s="441"/>
      <c r="AG76" s="441"/>
      <c r="AH76" s="441">
        <v>1</v>
      </c>
      <c r="AI76" s="441">
        <v>1</v>
      </c>
      <c r="AJ76" s="441"/>
      <c r="AK76" s="441"/>
      <c r="AL76" s="441">
        <v>1</v>
      </c>
      <c r="AM76" s="482">
        <v>1</v>
      </c>
      <c r="AN76" s="384"/>
      <c r="AO76" s="384"/>
      <c r="AP76" s="384"/>
      <c r="AQ76" s="441">
        <v>1</v>
      </c>
      <c r="AR76" s="441">
        <v>1</v>
      </c>
      <c r="AS76" s="384"/>
      <c r="AT76" s="384"/>
      <c r="AU76" s="384"/>
      <c r="AV76" s="441">
        <v>1</v>
      </c>
      <c r="AW76" s="384"/>
      <c r="AX76" s="384"/>
      <c r="AY76" s="384"/>
      <c r="AZ76" s="441">
        <v>1</v>
      </c>
      <c r="BA76" s="441">
        <v>1</v>
      </c>
    </row>
    <row r="77" spans="1:53" ht="33.75" hidden="1" customHeight="1">
      <c r="A77" s="303">
        <v>26</v>
      </c>
      <c r="B77" s="304">
        <v>45758</v>
      </c>
      <c r="C77" s="196" t="s">
        <v>367</v>
      </c>
      <c r="D77" s="305" t="s">
        <v>16</v>
      </c>
      <c r="E77" s="196" t="s">
        <v>6</v>
      </c>
      <c r="F77" s="196"/>
      <c r="G77" s="306" t="s">
        <v>368</v>
      </c>
      <c r="H77" s="357" t="s">
        <v>369</v>
      </c>
      <c r="I77" s="306" t="s">
        <v>370</v>
      </c>
      <c r="J77" s="306"/>
      <c r="K77" s="306"/>
      <c r="L77" s="306" t="s">
        <v>371</v>
      </c>
      <c r="M77" s="306"/>
      <c r="N77" s="307">
        <v>40</v>
      </c>
      <c r="O77" s="159"/>
      <c r="P77" s="159"/>
      <c r="Q77" s="159" t="s">
        <v>10</v>
      </c>
      <c r="R77" s="159" t="s">
        <v>81</v>
      </c>
      <c r="S77" s="308">
        <v>1</v>
      </c>
      <c r="T77" s="309">
        <v>-1</v>
      </c>
      <c r="U77" s="310">
        <f t="shared" si="0"/>
        <v>-1</v>
      </c>
      <c r="V77" s="311">
        <v>1</v>
      </c>
      <c r="W77" s="311">
        <v>1</v>
      </c>
      <c r="X77" s="311">
        <v>1</v>
      </c>
      <c r="Y77" s="311"/>
      <c r="Z77" s="311"/>
      <c r="AA77" s="311"/>
      <c r="AB77" s="311"/>
      <c r="AC77" s="311"/>
      <c r="AD77" s="311"/>
      <c r="AE77" s="311">
        <v>1</v>
      </c>
      <c r="AF77" s="311">
        <v>1</v>
      </c>
      <c r="AG77" s="311">
        <v>1</v>
      </c>
      <c r="AH77" s="311"/>
      <c r="AI77" s="311"/>
      <c r="AJ77" s="311"/>
      <c r="AK77" s="311"/>
      <c r="AL77" s="311"/>
      <c r="AM77" s="477"/>
      <c r="AN77" s="410"/>
      <c r="AO77" s="410"/>
      <c r="AP77" s="410"/>
      <c r="AQ77" s="311">
        <v>1</v>
      </c>
      <c r="AR77" s="311"/>
      <c r="AS77" s="410"/>
      <c r="AT77" s="410"/>
      <c r="AU77" s="410"/>
      <c r="AV77" s="311"/>
      <c r="AW77" s="410"/>
      <c r="AX77" s="410"/>
      <c r="AY77" s="410"/>
      <c r="AZ77" s="311">
        <v>1</v>
      </c>
      <c r="BA77" s="311"/>
    </row>
    <row r="78" spans="1:53" ht="48.75" hidden="1" customHeight="1">
      <c r="A78" s="168">
        <v>308</v>
      </c>
      <c r="B78" s="168" t="s">
        <v>161</v>
      </c>
      <c r="C78" s="169" t="s">
        <v>84</v>
      </c>
      <c r="D78" s="467" t="s">
        <v>180</v>
      </c>
      <c r="E78" s="169" t="s">
        <v>3</v>
      </c>
      <c r="F78" s="169" t="s">
        <v>181</v>
      </c>
      <c r="G78" s="149" t="s">
        <v>372</v>
      </c>
      <c r="H78" s="385" t="s">
        <v>373</v>
      </c>
      <c r="I78" s="170" t="s">
        <v>374</v>
      </c>
      <c r="J78" s="153" t="s">
        <v>375</v>
      </c>
      <c r="K78" s="154" t="s">
        <v>186</v>
      </c>
      <c r="L78" s="170" t="s">
        <v>376</v>
      </c>
      <c r="M78" s="170"/>
      <c r="N78" s="187"/>
      <c r="O78" s="164"/>
      <c r="P78" s="164" t="s">
        <v>80</v>
      </c>
      <c r="Q78" s="164" t="s">
        <v>10</v>
      </c>
      <c r="R78" s="164"/>
      <c r="S78" s="172">
        <v>0.25</v>
      </c>
      <c r="T78" s="157">
        <v>-0.15</v>
      </c>
      <c r="U78" s="173">
        <f t="shared" ref="U78:U147" si="1">T78*S78</f>
        <v>-3.7499999999999999E-2</v>
      </c>
      <c r="V78" s="174">
        <v>1</v>
      </c>
      <c r="W78" s="174">
        <v>1</v>
      </c>
      <c r="X78" s="174">
        <v>1</v>
      </c>
      <c r="Y78" s="174">
        <v>1</v>
      </c>
      <c r="Z78" s="174">
        <v>1</v>
      </c>
      <c r="AA78" s="174">
        <v>1</v>
      </c>
      <c r="AB78" s="174">
        <v>1</v>
      </c>
      <c r="AC78" s="174">
        <v>1</v>
      </c>
      <c r="AD78" s="174">
        <v>1</v>
      </c>
      <c r="AE78" s="174">
        <v>1</v>
      </c>
      <c r="AF78" s="174">
        <v>1</v>
      </c>
      <c r="AG78" s="174">
        <v>1</v>
      </c>
      <c r="AH78" s="174">
        <v>1</v>
      </c>
      <c r="AI78" s="174">
        <v>1</v>
      </c>
      <c r="AJ78" s="174">
        <v>1</v>
      </c>
      <c r="AK78" s="174">
        <v>1</v>
      </c>
      <c r="AL78" s="174">
        <v>1</v>
      </c>
      <c r="AM78" s="478">
        <v>1</v>
      </c>
      <c r="AN78" s="174">
        <v>1</v>
      </c>
      <c r="AO78" s="174">
        <v>1</v>
      </c>
      <c r="AP78" s="174">
        <v>1</v>
      </c>
      <c r="AQ78" s="174">
        <v>1</v>
      </c>
      <c r="AR78" s="174">
        <v>1</v>
      </c>
      <c r="AS78" s="174">
        <v>1</v>
      </c>
      <c r="AT78" s="174">
        <v>1</v>
      </c>
      <c r="AU78" s="174">
        <v>1</v>
      </c>
      <c r="AV78" s="174">
        <v>1</v>
      </c>
      <c r="AW78" s="174">
        <v>1</v>
      </c>
      <c r="AX78" s="174">
        <v>1</v>
      </c>
      <c r="AY78" s="174">
        <v>1</v>
      </c>
      <c r="AZ78" s="174">
        <v>1</v>
      </c>
      <c r="BA78" s="174">
        <v>1</v>
      </c>
    </row>
    <row r="79" spans="1:53" ht="33.75" hidden="1" customHeight="1">
      <c r="A79" s="168">
        <v>50</v>
      </c>
      <c r="B79" s="168"/>
      <c r="C79" s="169" t="s">
        <v>367</v>
      </c>
      <c r="D79" s="144" t="s">
        <v>2</v>
      </c>
      <c r="E79" s="169" t="s">
        <v>6</v>
      </c>
      <c r="F79" s="169"/>
      <c r="G79" s="149" t="s">
        <v>377</v>
      </c>
      <c r="H79" s="170"/>
      <c r="I79" s="170" t="s">
        <v>378</v>
      </c>
      <c r="J79" s="170"/>
      <c r="K79" s="170"/>
      <c r="L79" s="170" t="s">
        <v>371</v>
      </c>
      <c r="M79" s="170"/>
      <c r="N79" s="187">
        <v>10</v>
      </c>
      <c r="O79" s="164"/>
      <c r="P79" s="186"/>
      <c r="Q79" s="164" t="s">
        <v>10</v>
      </c>
      <c r="R79" s="164" t="s">
        <v>81</v>
      </c>
      <c r="S79" s="172">
        <v>0.5</v>
      </c>
      <c r="T79" s="157">
        <v>-3</v>
      </c>
      <c r="U79" s="173">
        <f t="shared" si="1"/>
        <v>-1.5</v>
      </c>
      <c r="V79" s="174">
        <v>1</v>
      </c>
      <c r="W79" s="174">
        <v>1</v>
      </c>
      <c r="X79" s="174">
        <v>1</v>
      </c>
      <c r="Y79" s="174"/>
      <c r="Z79" s="174"/>
      <c r="AA79" s="174"/>
      <c r="AB79" s="174"/>
      <c r="AC79" s="174"/>
      <c r="AD79" s="174"/>
      <c r="AE79" s="174">
        <v>1</v>
      </c>
      <c r="AF79" s="174">
        <v>1</v>
      </c>
      <c r="AG79" s="174">
        <v>1</v>
      </c>
      <c r="AH79" s="174"/>
      <c r="AI79" s="174"/>
      <c r="AJ79" s="174"/>
      <c r="AK79" s="174"/>
      <c r="AL79" s="174"/>
      <c r="AM79" s="478"/>
      <c r="AN79" s="194"/>
      <c r="AO79" s="194"/>
      <c r="AP79" s="194"/>
      <c r="AQ79" s="174">
        <v>1</v>
      </c>
      <c r="AR79" s="174"/>
      <c r="AS79" s="194"/>
      <c r="AT79" s="194"/>
      <c r="AU79" s="194"/>
      <c r="AV79" s="174"/>
      <c r="AW79" s="194"/>
      <c r="AX79" s="194"/>
      <c r="AY79" s="194"/>
      <c r="AZ79" s="174">
        <v>1</v>
      </c>
      <c r="BA79" s="174"/>
    </row>
    <row r="80" spans="1:53" ht="33.75" hidden="1" customHeight="1">
      <c r="A80" s="168">
        <v>58</v>
      </c>
      <c r="B80" s="168"/>
      <c r="C80" s="169" t="s">
        <v>367</v>
      </c>
      <c r="D80" s="144" t="s">
        <v>5</v>
      </c>
      <c r="E80" s="169" t="s">
        <v>3</v>
      </c>
      <c r="F80" s="169"/>
      <c r="G80" s="149" t="s">
        <v>379</v>
      </c>
      <c r="H80" s="170" t="s">
        <v>380</v>
      </c>
      <c r="I80" s="170"/>
      <c r="J80" s="170"/>
      <c r="K80" s="170"/>
      <c r="L80" s="170" t="s">
        <v>371</v>
      </c>
      <c r="M80" s="190">
        <v>0</v>
      </c>
      <c r="N80" s="187">
        <v>200</v>
      </c>
      <c r="O80" s="164"/>
      <c r="P80" s="186"/>
      <c r="Q80" s="164" t="s">
        <v>10</v>
      </c>
      <c r="R80" s="164" t="s">
        <v>81</v>
      </c>
      <c r="S80" s="172">
        <v>1</v>
      </c>
      <c r="T80" s="157">
        <v>-22</v>
      </c>
      <c r="U80" s="173">
        <f t="shared" si="1"/>
        <v>-22</v>
      </c>
      <c r="V80" s="174">
        <v>1</v>
      </c>
      <c r="W80" s="174">
        <v>1</v>
      </c>
      <c r="X80" s="174">
        <v>1</v>
      </c>
      <c r="Y80" s="174"/>
      <c r="Z80" s="174"/>
      <c r="AA80" s="174"/>
      <c r="AB80" s="174"/>
      <c r="AC80" s="174"/>
      <c r="AD80" s="174"/>
      <c r="AE80" s="174">
        <v>1</v>
      </c>
      <c r="AF80" s="174">
        <v>1</v>
      </c>
      <c r="AG80" s="174">
        <v>1</v>
      </c>
      <c r="AH80" s="174"/>
      <c r="AI80" s="174"/>
      <c r="AJ80" s="174"/>
      <c r="AK80" s="174"/>
      <c r="AL80" s="174"/>
      <c r="AM80" s="478"/>
      <c r="AN80" s="194"/>
      <c r="AO80" s="194"/>
      <c r="AP80" s="194"/>
      <c r="AQ80" s="174">
        <v>1</v>
      </c>
      <c r="AR80" s="174"/>
      <c r="AS80" s="194"/>
      <c r="AT80" s="194"/>
      <c r="AU80" s="194"/>
      <c r="AV80" s="174"/>
      <c r="AW80" s="194"/>
      <c r="AX80" s="194"/>
      <c r="AY80" s="194"/>
      <c r="AZ80" s="174">
        <v>1</v>
      </c>
      <c r="BA80" s="174"/>
    </row>
    <row r="81" spans="1:53" ht="33.75" hidden="1" customHeight="1">
      <c r="A81" s="168">
        <v>59</v>
      </c>
      <c r="B81" s="168"/>
      <c r="C81" s="169" t="s">
        <v>367</v>
      </c>
      <c r="D81" s="144" t="s">
        <v>2</v>
      </c>
      <c r="E81" s="169" t="s">
        <v>3</v>
      </c>
      <c r="F81" s="169"/>
      <c r="G81" s="149" t="s">
        <v>381</v>
      </c>
      <c r="H81" s="170" t="s">
        <v>382</v>
      </c>
      <c r="I81" s="170"/>
      <c r="J81" s="170"/>
      <c r="K81" s="170"/>
      <c r="L81" s="170" t="s">
        <v>371</v>
      </c>
      <c r="M81" s="170"/>
      <c r="N81" s="187">
        <v>15</v>
      </c>
      <c r="O81" s="164"/>
      <c r="P81" s="186"/>
      <c r="Q81" s="164" t="s">
        <v>10</v>
      </c>
      <c r="R81" s="164" t="s">
        <v>81</v>
      </c>
      <c r="S81" s="172">
        <v>0.25</v>
      </c>
      <c r="T81" s="157">
        <v>-4</v>
      </c>
      <c r="U81" s="173">
        <f t="shared" si="1"/>
        <v>-1</v>
      </c>
      <c r="V81" s="174">
        <v>1</v>
      </c>
      <c r="W81" s="174">
        <v>1</v>
      </c>
      <c r="X81" s="174">
        <v>1</v>
      </c>
      <c r="Y81" s="174"/>
      <c r="Z81" s="174"/>
      <c r="AA81" s="174"/>
      <c r="AB81" s="174"/>
      <c r="AC81" s="174"/>
      <c r="AD81" s="174"/>
      <c r="AE81" s="174">
        <v>1</v>
      </c>
      <c r="AF81" s="174">
        <v>1</v>
      </c>
      <c r="AG81" s="174">
        <v>1</v>
      </c>
      <c r="AH81" s="174"/>
      <c r="AI81" s="174"/>
      <c r="AJ81" s="174"/>
      <c r="AK81" s="174"/>
      <c r="AL81" s="174"/>
      <c r="AM81" s="478"/>
      <c r="AN81" s="194"/>
      <c r="AO81" s="194"/>
      <c r="AP81" s="194"/>
      <c r="AQ81" s="174">
        <v>1</v>
      </c>
      <c r="AR81" s="174"/>
      <c r="AS81" s="194"/>
      <c r="AT81" s="194"/>
      <c r="AU81" s="194"/>
      <c r="AV81" s="174"/>
      <c r="AW81" s="194"/>
      <c r="AX81" s="194"/>
      <c r="AY81" s="194"/>
      <c r="AZ81" s="174">
        <v>1</v>
      </c>
      <c r="BA81" s="174"/>
    </row>
    <row r="82" spans="1:53" ht="33.75" hidden="1" customHeight="1">
      <c r="A82" s="168" t="s">
        <v>383</v>
      </c>
      <c r="B82" s="168"/>
      <c r="C82" s="169" t="s">
        <v>367</v>
      </c>
      <c r="D82" s="144" t="s">
        <v>2</v>
      </c>
      <c r="E82" s="169" t="s">
        <v>6</v>
      </c>
      <c r="F82" s="169"/>
      <c r="G82" s="170" t="s">
        <v>384</v>
      </c>
      <c r="H82" s="426" t="s">
        <v>385</v>
      </c>
      <c r="I82" s="170" t="s">
        <v>386</v>
      </c>
      <c r="J82" s="170"/>
      <c r="K82" s="170"/>
      <c r="L82" s="170" t="s">
        <v>371</v>
      </c>
      <c r="M82" s="170"/>
      <c r="N82" s="187">
        <v>10</v>
      </c>
      <c r="O82" s="164"/>
      <c r="P82" s="186"/>
      <c r="Q82" s="164" t="s">
        <v>10</v>
      </c>
      <c r="R82" s="164" t="s">
        <v>81</v>
      </c>
      <c r="S82" s="172">
        <v>1</v>
      </c>
      <c r="T82" s="157">
        <v>-3</v>
      </c>
      <c r="U82" s="173">
        <f t="shared" si="1"/>
        <v>-3</v>
      </c>
      <c r="V82" s="174">
        <v>1</v>
      </c>
      <c r="W82" s="174">
        <v>1</v>
      </c>
      <c r="X82" s="174">
        <v>1</v>
      </c>
      <c r="Y82" s="174"/>
      <c r="Z82" s="174"/>
      <c r="AA82" s="174"/>
      <c r="AB82" s="174"/>
      <c r="AC82" s="174"/>
      <c r="AD82" s="174"/>
      <c r="AE82" s="174">
        <v>1</v>
      </c>
      <c r="AF82" s="174">
        <v>1</v>
      </c>
      <c r="AG82" s="174">
        <v>1</v>
      </c>
      <c r="AH82" s="174"/>
      <c r="AI82" s="174"/>
      <c r="AJ82" s="174"/>
      <c r="AK82" s="174"/>
      <c r="AL82" s="174"/>
      <c r="AM82" s="478"/>
      <c r="AN82" s="194"/>
      <c r="AO82" s="194"/>
      <c r="AP82" s="194"/>
      <c r="AQ82" s="174">
        <v>1</v>
      </c>
      <c r="AR82" s="174"/>
      <c r="AS82" s="194"/>
      <c r="AT82" s="194"/>
      <c r="AU82" s="194"/>
      <c r="AV82" s="174"/>
      <c r="AW82" s="194"/>
      <c r="AX82" s="194"/>
      <c r="AY82" s="194"/>
      <c r="AZ82" s="174">
        <v>1</v>
      </c>
      <c r="BA82" s="174"/>
    </row>
    <row r="83" spans="1:53" ht="33.75" hidden="1" customHeight="1">
      <c r="A83" s="168" t="s">
        <v>387</v>
      </c>
      <c r="B83" s="168"/>
      <c r="C83" s="169" t="s">
        <v>367</v>
      </c>
      <c r="D83" s="144" t="s">
        <v>2</v>
      </c>
      <c r="E83" s="169" t="s">
        <v>6</v>
      </c>
      <c r="F83" s="169"/>
      <c r="G83" s="170" t="s">
        <v>384</v>
      </c>
      <c r="H83" s="170" t="s">
        <v>385</v>
      </c>
      <c r="I83" s="170" t="s">
        <v>388</v>
      </c>
      <c r="J83" s="170"/>
      <c r="K83" s="170"/>
      <c r="L83" s="170" t="s">
        <v>371</v>
      </c>
      <c r="M83" s="170"/>
      <c r="N83" s="187">
        <v>10</v>
      </c>
      <c r="O83" s="164"/>
      <c r="P83" s="186"/>
      <c r="Q83" s="164" t="s">
        <v>10</v>
      </c>
      <c r="R83" s="164" t="s">
        <v>81</v>
      </c>
      <c r="S83" s="172">
        <v>1</v>
      </c>
      <c r="T83" s="157">
        <v>-2</v>
      </c>
      <c r="U83" s="173">
        <f t="shared" si="1"/>
        <v>-2</v>
      </c>
      <c r="V83" s="174">
        <v>1</v>
      </c>
      <c r="W83" s="174">
        <v>1</v>
      </c>
      <c r="X83" s="174">
        <v>1</v>
      </c>
      <c r="Y83" s="174"/>
      <c r="Z83" s="174"/>
      <c r="AA83" s="174"/>
      <c r="AB83" s="174"/>
      <c r="AC83" s="174"/>
      <c r="AD83" s="174"/>
      <c r="AE83" s="174">
        <v>1</v>
      </c>
      <c r="AF83" s="174">
        <v>1</v>
      </c>
      <c r="AG83" s="174">
        <v>1</v>
      </c>
      <c r="AH83" s="174"/>
      <c r="AI83" s="174"/>
      <c r="AJ83" s="174"/>
      <c r="AK83" s="174"/>
      <c r="AL83" s="174"/>
      <c r="AM83" s="478"/>
      <c r="AN83" s="194"/>
      <c r="AO83" s="194"/>
      <c r="AP83" s="194"/>
      <c r="AQ83" s="174">
        <v>1</v>
      </c>
      <c r="AR83" s="174"/>
      <c r="AS83" s="194"/>
      <c r="AT83" s="194"/>
      <c r="AU83" s="194"/>
      <c r="AV83" s="174"/>
      <c r="AW83" s="194"/>
      <c r="AX83" s="194"/>
      <c r="AY83" s="194"/>
      <c r="AZ83" s="174">
        <v>1</v>
      </c>
      <c r="BA83" s="174"/>
    </row>
    <row r="84" spans="1:53" ht="33.75" hidden="1" customHeight="1">
      <c r="A84" s="168">
        <v>99</v>
      </c>
      <c r="B84" s="168"/>
      <c r="C84" s="169" t="s">
        <v>367</v>
      </c>
      <c r="D84" s="144" t="s">
        <v>20</v>
      </c>
      <c r="E84" s="169" t="s">
        <v>172</v>
      </c>
      <c r="F84" s="169"/>
      <c r="G84" s="153" t="s">
        <v>389</v>
      </c>
      <c r="H84" s="170" t="s">
        <v>390</v>
      </c>
      <c r="I84" s="170" t="s">
        <v>391</v>
      </c>
      <c r="J84" s="170"/>
      <c r="K84" s="170"/>
      <c r="L84" s="170" t="s">
        <v>371</v>
      </c>
      <c r="M84" s="170"/>
      <c r="N84" s="187"/>
      <c r="O84" s="164"/>
      <c r="P84" s="186"/>
      <c r="Q84" s="164" t="s">
        <v>10</v>
      </c>
      <c r="R84" s="164" t="s">
        <v>81</v>
      </c>
      <c r="S84" s="172">
        <v>1</v>
      </c>
      <c r="T84" s="157">
        <v>-2.5</v>
      </c>
      <c r="U84" s="173">
        <f t="shared" si="1"/>
        <v>-2.5</v>
      </c>
      <c r="V84" s="174">
        <v>1</v>
      </c>
      <c r="W84" s="174">
        <v>1</v>
      </c>
      <c r="X84" s="174">
        <v>1</v>
      </c>
      <c r="Y84" s="174"/>
      <c r="Z84" s="174"/>
      <c r="AA84" s="174"/>
      <c r="AB84" s="174"/>
      <c r="AC84" s="174"/>
      <c r="AD84" s="174"/>
      <c r="AE84" s="174">
        <v>1</v>
      </c>
      <c r="AF84" s="174">
        <v>1</v>
      </c>
      <c r="AG84" s="174">
        <v>1</v>
      </c>
      <c r="AH84" s="174"/>
      <c r="AI84" s="174"/>
      <c r="AJ84" s="174"/>
      <c r="AK84" s="174"/>
      <c r="AL84" s="174"/>
      <c r="AM84" s="478"/>
      <c r="AN84" s="194"/>
      <c r="AO84" s="194"/>
      <c r="AP84" s="194"/>
      <c r="AQ84" s="174">
        <v>1</v>
      </c>
      <c r="AR84" s="174"/>
      <c r="AS84" s="194"/>
      <c r="AT84" s="194"/>
      <c r="AU84" s="194"/>
      <c r="AV84" s="174"/>
      <c r="AW84" s="194"/>
      <c r="AX84" s="194"/>
      <c r="AY84" s="194"/>
      <c r="AZ84" s="174">
        <v>1</v>
      </c>
      <c r="BA84" s="174"/>
    </row>
    <row r="85" spans="1:53" ht="33.75" hidden="1" customHeight="1">
      <c r="A85" s="168">
        <v>103</v>
      </c>
      <c r="B85" s="168"/>
      <c r="C85" s="169" t="s">
        <v>367</v>
      </c>
      <c r="D85" s="144" t="s">
        <v>21</v>
      </c>
      <c r="E85" s="169" t="s">
        <v>172</v>
      </c>
      <c r="F85" s="169"/>
      <c r="G85" s="149" t="s">
        <v>392</v>
      </c>
      <c r="H85" s="170"/>
      <c r="I85" s="170" t="s">
        <v>393</v>
      </c>
      <c r="J85" s="170"/>
      <c r="K85" s="170"/>
      <c r="L85" s="170" t="s">
        <v>371</v>
      </c>
      <c r="M85" s="170"/>
      <c r="N85" s="187"/>
      <c r="O85" s="164"/>
      <c r="P85" s="186"/>
      <c r="Q85" s="164" t="s">
        <v>10</v>
      </c>
      <c r="R85" s="164" t="s">
        <v>81</v>
      </c>
      <c r="S85" s="172">
        <v>1</v>
      </c>
      <c r="T85" s="157">
        <v>-22</v>
      </c>
      <c r="U85" s="173">
        <f t="shared" si="1"/>
        <v>-22</v>
      </c>
      <c r="V85" s="174">
        <v>1</v>
      </c>
      <c r="W85" s="174">
        <v>1</v>
      </c>
      <c r="X85" s="174">
        <v>1</v>
      </c>
      <c r="Y85" s="174"/>
      <c r="Z85" s="174"/>
      <c r="AA85" s="174"/>
      <c r="AB85" s="174"/>
      <c r="AC85" s="174"/>
      <c r="AD85" s="174"/>
      <c r="AE85" s="174">
        <v>1</v>
      </c>
      <c r="AF85" s="174">
        <v>1</v>
      </c>
      <c r="AG85" s="174">
        <v>1</v>
      </c>
      <c r="AH85" s="174"/>
      <c r="AI85" s="174"/>
      <c r="AJ85" s="174"/>
      <c r="AK85" s="174"/>
      <c r="AL85" s="174"/>
      <c r="AM85" s="478"/>
      <c r="AN85" s="194"/>
      <c r="AO85" s="194"/>
      <c r="AP85" s="194"/>
      <c r="AQ85" s="174">
        <v>1</v>
      </c>
      <c r="AR85" s="174"/>
      <c r="AS85" s="194"/>
      <c r="AT85" s="194"/>
      <c r="AU85" s="194"/>
      <c r="AV85" s="174"/>
      <c r="AW85" s="194"/>
      <c r="AX85" s="194"/>
      <c r="AY85" s="194"/>
      <c r="AZ85" s="174">
        <v>1</v>
      </c>
      <c r="BA85" s="174"/>
    </row>
    <row r="86" spans="1:53" ht="33.75" hidden="1" customHeight="1">
      <c r="A86" s="168">
        <v>105</v>
      </c>
      <c r="B86" s="168"/>
      <c r="C86" s="169" t="s">
        <v>367</v>
      </c>
      <c r="D86" s="144" t="s">
        <v>2</v>
      </c>
      <c r="E86" s="169" t="s">
        <v>6</v>
      </c>
      <c r="F86" s="169"/>
      <c r="G86" s="170" t="s">
        <v>394</v>
      </c>
      <c r="H86" s="170"/>
      <c r="I86" s="170" t="s">
        <v>395</v>
      </c>
      <c r="J86" s="170"/>
      <c r="K86" s="170"/>
      <c r="L86" s="170" t="s">
        <v>371</v>
      </c>
      <c r="M86" s="170"/>
      <c r="N86" s="187"/>
      <c r="O86" s="164"/>
      <c r="P86" s="186"/>
      <c r="Q86" s="164" t="s">
        <v>10</v>
      </c>
      <c r="R86" s="164" t="s">
        <v>81</v>
      </c>
      <c r="S86" s="172">
        <v>0.5</v>
      </c>
      <c r="T86" s="157">
        <v>-5</v>
      </c>
      <c r="U86" s="173">
        <f t="shared" si="1"/>
        <v>-2.5</v>
      </c>
      <c r="V86" s="174">
        <v>1</v>
      </c>
      <c r="W86" s="174">
        <v>1</v>
      </c>
      <c r="X86" s="174">
        <v>1</v>
      </c>
      <c r="Y86" s="174"/>
      <c r="Z86" s="174"/>
      <c r="AA86" s="174"/>
      <c r="AB86" s="174"/>
      <c r="AC86" s="174"/>
      <c r="AD86" s="174"/>
      <c r="AE86" s="174">
        <v>1</v>
      </c>
      <c r="AF86" s="174">
        <v>1</v>
      </c>
      <c r="AG86" s="174">
        <v>1</v>
      </c>
      <c r="AH86" s="174"/>
      <c r="AI86" s="174"/>
      <c r="AJ86" s="174"/>
      <c r="AK86" s="174"/>
      <c r="AL86" s="174"/>
      <c r="AM86" s="478"/>
      <c r="AN86" s="194"/>
      <c r="AO86" s="194"/>
      <c r="AP86" s="194"/>
      <c r="AQ86" s="174">
        <v>1</v>
      </c>
      <c r="AR86" s="174"/>
      <c r="AS86" s="194"/>
      <c r="AT86" s="194"/>
      <c r="AU86" s="194"/>
      <c r="AV86" s="174"/>
      <c r="AW86" s="194"/>
      <c r="AX86" s="194"/>
      <c r="AY86" s="194"/>
      <c r="AZ86" s="174">
        <v>1</v>
      </c>
      <c r="BA86" s="174"/>
    </row>
    <row r="87" spans="1:53" ht="33.75" hidden="1" customHeight="1">
      <c r="A87" s="168">
        <v>49</v>
      </c>
      <c r="B87" s="168"/>
      <c r="C87" s="169" t="s">
        <v>367</v>
      </c>
      <c r="D87" s="144" t="s">
        <v>2</v>
      </c>
      <c r="E87" s="169" t="s">
        <v>6</v>
      </c>
      <c r="F87" s="169"/>
      <c r="G87" s="170" t="s">
        <v>396</v>
      </c>
      <c r="H87" s="170"/>
      <c r="I87" s="170" t="s">
        <v>397</v>
      </c>
      <c r="J87" s="170"/>
      <c r="K87" s="170"/>
      <c r="L87" s="170" t="s">
        <v>371</v>
      </c>
      <c r="M87" s="170"/>
      <c r="N87" s="171">
        <v>16</v>
      </c>
      <c r="O87" s="164"/>
      <c r="P87" s="164" t="s">
        <v>80</v>
      </c>
      <c r="Q87" s="164" t="s">
        <v>7</v>
      </c>
      <c r="R87" s="164" t="s">
        <v>81</v>
      </c>
      <c r="S87" s="176">
        <v>0.65</v>
      </c>
      <c r="T87" s="157">
        <v>-7</v>
      </c>
      <c r="U87" s="173">
        <f t="shared" si="1"/>
        <v>-4.55</v>
      </c>
      <c r="V87" s="174">
        <v>1</v>
      </c>
      <c r="W87" s="174">
        <v>1</v>
      </c>
      <c r="X87" s="174">
        <v>1</v>
      </c>
      <c r="Y87" s="174">
        <v>1</v>
      </c>
      <c r="Z87" s="174"/>
      <c r="AA87" s="174">
        <v>1</v>
      </c>
      <c r="AB87" s="174">
        <v>1</v>
      </c>
      <c r="AC87" s="174">
        <v>1</v>
      </c>
      <c r="AD87" s="174"/>
      <c r="AE87" s="174">
        <v>1</v>
      </c>
      <c r="AF87" s="174">
        <v>1</v>
      </c>
      <c r="AG87" s="174">
        <v>1</v>
      </c>
      <c r="AH87" s="174">
        <v>1</v>
      </c>
      <c r="AI87" s="174"/>
      <c r="AJ87" s="174">
        <v>1</v>
      </c>
      <c r="AK87" s="174">
        <v>1</v>
      </c>
      <c r="AL87" s="174">
        <v>1</v>
      </c>
      <c r="AM87" s="478"/>
      <c r="AN87" s="194"/>
      <c r="AO87" s="194"/>
      <c r="AP87" s="194"/>
      <c r="AQ87" s="174"/>
      <c r="AR87" s="174"/>
      <c r="AS87" s="194"/>
      <c r="AT87" s="194"/>
      <c r="AU87" s="194"/>
      <c r="AV87" s="174"/>
      <c r="AW87" s="194"/>
      <c r="AX87" s="194"/>
      <c r="AY87" s="194"/>
      <c r="AZ87" s="174"/>
      <c r="BA87" s="174"/>
    </row>
    <row r="88" spans="1:53" ht="33.75" hidden="1" customHeight="1">
      <c r="A88" s="168">
        <v>109</v>
      </c>
      <c r="B88" s="168"/>
      <c r="C88" s="169" t="s">
        <v>367</v>
      </c>
      <c r="D88" s="144" t="s">
        <v>17</v>
      </c>
      <c r="E88" s="169" t="s">
        <v>6</v>
      </c>
      <c r="F88" s="169"/>
      <c r="G88" s="170" t="s">
        <v>167</v>
      </c>
      <c r="H88" s="170"/>
      <c r="I88" s="170" t="s">
        <v>398</v>
      </c>
      <c r="J88" s="170"/>
      <c r="K88" s="170"/>
      <c r="L88" s="170" t="s">
        <v>371</v>
      </c>
      <c r="M88" s="170"/>
      <c r="N88" s="187">
        <v>50</v>
      </c>
      <c r="O88" s="164"/>
      <c r="P88" s="186"/>
      <c r="Q88" s="164" t="s">
        <v>10</v>
      </c>
      <c r="R88" s="164" t="s">
        <v>81</v>
      </c>
      <c r="S88" s="172">
        <v>1</v>
      </c>
      <c r="T88" s="157">
        <v>-8</v>
      </c>
      <c r="U88" s="173">
        <f t="shared" si="1"/>
        <v>-8</v>
      </c>
      <c r="V88" s="174">
        <v>1</v>
      </c>
      <c r="W88" s="174">
        <v>1</v>
      </c>
      <c r="X88" s="174">
        <v>1</v>
      </c>
      <c r="Y88" s="174"/>
      <c r="Z88" s="174"/>
      <c r="AA88" s="174"/>
      <c r="AB88" s="174"/>
      <c r="AC88" s="174"/>
      <c r="AD88" s="174"/>
      <c r="AE88" s="174">
        <v>1</v>
      </c>
      <c r="AF88" s="174">
        <v>1</v>
      </c>
      <c r="AG88" s="174">
        <v>1</v>
      </c>
      <c r="AH88" s="174"/>
      <c r="AI88" s="174"/>
      <c r="AJ88" s="174"/>
      <c r="AK88" s="174"/>
      <c r="AL88" s="174"/>
      <c r="AM88" s="478"/>
      <c r="AN88" s="194"/>
      <c r="AO88" s="194"/>
      <c r="AP88" s="194"/>
      <c r="AQ88" s="174">
        <v>1</v>
      </c>
      <c r="AR88" s="174"/>
      <c r="AS88" s="194"/>
      <c r="AT88" s="194"/>
      <c r="AU88" s="194"/>
      <c r="AV88" s="174"/>
      <c r="AW88" s="194"/>
      <c r="AX88" s="194"/>
      <c r="AY88" s="194"/>
      <c r="AZ88" s="174">
        <v>1</v>
      </c>
      <c r="BA88" s="174"/>
    </row>
    <row r="89" spans="1:53" ht="33.75" hidden="1" customHeight="1">
      <c r="A89" s="168">
        <v>117</v>
      </c>
      <c r="B89" s="168"/>
      <c r="C89" s="169" t="s">
        <v>367</v>
      </c>
      <c r="D89" s="144" t="s">
        <v>8</v>
      </c>
      <c r="E89" s="169" t="s">
        <v>3</v>
      </c>
      <c r="F89" s="169"/>
      <c r="G89" s="149" t="s">
        <v>399</v>
      </c>
      <c r="H89" s="170" t="s">
        <v>400</v>
      </c>
      <c r="I89" s="170" t="s">
        <v>401</v>
      </c>
      <c r="J89" s="170"/>
      <c r="K89" s="170"/>
      <c r="L89" s="170" t="s">
        <v>402</v>
      </c>
      <c r="M89" s="190"/>
      <c r="N89" s="187"/>
      <c r="O89" s="164"/>
      <c r="P89" s="186"/>
      <c r="Q89" s="164" t="s">
        <v>10</v>
      </c>
      <c r="R89" s="164" t="s">
        <v>81</v>
      </c>
      <c r="S89" s="172">
        <v>0.5</v>
      </c>
      <c r="T89" s="157">
        <v>-1.4</v>
      </c>
      <c r="U89" s="173">
        <f t="shared" si="1"/>
        <v>-0.7</v>
      </c>
      <c r="V89" s="174">
        <v>1</v>
      </c>
      <c r="W89" s="174">
        <v>1</v>
      </c>
      <c r="X89" s="174">
        <v>1</v>
      </c>
      <c r="Y89" s="174"/>
      <c r="Z89" s="174"/>
      <c r="AA89" s="174"/>
      <c r="AB89" s="174"/>
      <c r="AC89" s="174"/>
      <c r="AD89" s="174"/>
      <c r="AE89" s="174">
        <v>1</v>
      </c>
      <c r="AF89" s="174">
        <v>1</v>
      </c>
      <c r="AG89" s="174">
        <v>1</v>
      </c>
      <c r="AH89" s="174"/>
      <c r="AI89" s="174"/>
      <c r="AJ89" s="174"/>
      <c r="AK89" s="174"/>
      <c r="AL89" s="174"/>
      <c r="AM89" s="478"/>
      <c r="AN89" s="194"/>
      <c r="AO89" s="194"/>
      <c r="AP89" s="194"/>
      <c r="AQ89" s="174">
        <v>1</v>
      </c>
      <c r="AR89" s="174"/>
      <c r="AS89" s="194"/>
      <c r="AT89" s="194"/>
      <c r="AU89" s="194"/>
      <c r="AV89" s="174"/>
      <c r="AW89" s="194"/>
      <c r="AX89" s="194"/>
      <c r="AY89" s="194"/>
      <c r="AZ89" s="174">
        <v>1</v>
      </c>
      <c r="BA89" s="174"/>
    </row>
    <row r="90" spans="1:53" ht="38.25" hidden="1" customHeight="1">
      <c r="A90" s="182">
        <v>26</v>
      </c>
      <c r="B90" s="253"/>
      <c r="C90" s="220" t="s">
        <v>367</v>
      </c>
      <c r="D90" s="149" t="s">
        <v>8</v>
      </c>
      <c r="E90" s="220" t="s">
        <v>3</v>
      </c>
      <c r="F90" s="220"/>
      <c r="G90" s="221" t="s">
        <v>403</v>
      </c>
      <c r="H90" s="149" t="s">
        <v>404</v>
      </c>
      <c r="I90" s="149" t="s">
        <v>370</v>
      </c>
      <c r="J90" s="149" t="s">
        <v>405</v>
      </c>
      <c r="K90" s="185" t="s">
        <v>406</v>
      </c>
      <c r="L90" s="149" t="s">
        <v>371</v>
      </c>
      <c r="M90" s="149"/>
      <c r="N90" s="185">
        <v>52</v>
      </c>
      <c r="O90" s="186"/>
      <c r="P90" s="186" t="s">
        <v>80</v>
      </c>
      <c r="Q90" s="186" t="s">
        <v>7</v>
      </c>
      <c r="R90" s="186" t="s">
        <v>81</v>
      </c>
      <c r="S90" s="176">
        <v>1</v>
      </c>
      <c r="T90" s="157">
        <v>5</v>
      </c>
      <c r="U90" s="173">
        <f t="shared" si="1"/>
        <v>5</v>
      </c>
      <c r="V90" s="174"/>
      <c r="W90" s="174"/>
      <c r="X90" s="174"/>
      <c r="Y90" s="174"/>
      <c r="Z90" s="174"/>
      <c r="AA90" s="174"/>
      <c r="AB90" s="174"/>
      <c r="AC90" s="174"/>
      <c r="AD90" s="174"/>
      <c r="AE90" s="174"/>
      <c r="AF90" s="174"/>
      <c r="AG90" s="174"/>
      <c r="AH90" s="174"/>
      <c r="AI90" s="174"/>
      <c r="AJ90" s="174"/>
      <c r="AK90" s="174"/>
      <c r="AL90" s="174"/>
      <c r="AM90" s="478"/>
      <c r="AN90" s="194"/>
      <c r="AO90" s="194"/>
      <c r="AP90" s="194"/>
      <c r="AQ90" s="174">
        <v>1</v>
      </c>
      <c r="AR90" s="174"/>
      <c r="AS90" s="194"/>
      <c r="AT90" s="194"/>
      <c r="AU90" s="194"/>
      <c r="AV90" s="174"/>
      <c r="AW90" s="194"/>
      <c r="AX90" s="194"/>
      <c r="AY90" s="194"/>
      <c r="AZ90" s="174">
        <v>1</v>
      </c>
      <c r="BA90" s="174"/>
    </row>
    <row r="91" spans="1:53" ht="33.75" hidden="1" customHeight="1">
      <c r="A91" s="182">
        <v>63</v>
      </c>
      <c r="B91" s="182"/>
      <c r="C91" s="169" t="s">
        <v>367</v>
      </c>
      <c r="D91" s="144" t="s">
        <v>2</v>
      </c>
      <c r="E91" s="169" t="s">
        <v>3</v>
      </c>
      <c r="F91" s="169"/>
      <c r="G91" s="170" t="s">
        <v>407</v>
      </c>
      <c r="H91" s="10"/>
      <c r="I91" s="170" t="s">
        <v>408</v>
      </c>
      <c r="J91" s="170"/>
      <c r="K91" s="170"/>
      <c r="L91" s="170" t="s">
        <v>409</v>
      </c>
      <c r="M91" s="170"/>
      <c r="N91" s="187"/>
      <c r="O91" s="164"/>
      <c r="P91" s="186"/>
      <c r="Q91" s="164" t="s">
        <v>10</v>
      </c>
      <c r="R91" s="164" t="s">
        <v>81</v>
      </c>
      <c r="S91" s="172">
        <v>0.5</v>
      </c>
      <c r="T91" s="157">
        <v>-5</v>
      </c>
      <c r="U91" s="173">
        <f t="shared" si="1"/>
        <v>-2.5</v>
      </c>
      <c r="V91" s="174">
        <v>1</v>
      </c>
      <c r="W91" s="174">
        <v>1</v>
      </c>
      <c r="X91" s="174">
        <v>1</v>
      </c>
      <c r="Y91" s="174"/>
      <c r="Z91" s="174"/>
      <c r="AA91" s="174"/>
      <c r="AB91" s="174"/>
      <c r="AC91" s="174"/>
      <c r="AD91" s="174"/>
      <c r="AE91" s="174">
        <v>1</v>
      </c>
      <c r="AF91" s="174">
        <v>1</v>
      </c>
      <c r="AG91" s="174">
        <v>1</v>
      </c>
      <c r="AH91" s="174"/>
      <c r="AI91" s="174"/>
      <c r="AJ91" s="174"/>
      <c r="AK91" s="174"/>
      <c r="AL91" s="174"/>
      <c r="AM91" s="478"/>
      <c r="AN91" s="194"/>
      <c r="AO91" s="194"/>
      <c r="AP91" s="194"/>
      <c r="AQ91" s="174">
        <v>1</v>
      </c>
      <c r="AR91" s="174"/>
      <c r="AS91" s="194"/>
      <c r="AT91" s="194"/>
      <c r="AU91" s="194"/>
      <c r="AV91" s="174"/>
      <c r="AW91" s="194"/>
      <c r="AX91" s="194"/>
      <c r="AY91" s="194"/>
      <c r="AZ91" s="174">
        <v>1</v>
      </c>
      <c r="BA91" s="174"/>
    </row>
    <row r="92" spans="1:53" ht="97.5" hidden="1" customHeight="1">
      <c r="A92" s="264">
        <v>26</v>
      </c>
      <c r="B92" s="265"/>
      <c r="C92" s="266" t="s">
        <v>75</v>
      </c>
      <c r="D92" s="188" t="s">
        <v>16</v>
      </c>
      <c r="E92" s="266" t="s">
        <v>6</v>
      </c>
      <c r="F92" s="266" t="s">
        <v>410</v>
      </c>
      <c r="G92" s="188" t="s">
        <v>411</v>
      </c>
      <c r="H92" s="188"/>
      <c r="I92" s="188" t="s">
        <v>370</v>
      </c>
      <c r="J92" s="267"/>
      <c r="K92" s="188"/>
      <c r="L92" s="188" t="s">
        <v>412</v>
      </c>
      <c r="M92" s="188"/>
      <c r="N92" s="268">
        <v>40</v>
      </c>
      <c r="O92" s="269"/>
      <c r="P92" s="269" t="s">
        <v>413</v>
      </c>
      <c r="Q92" s="269" t="s">
        <v>10</v>
      </c>
      <c r="R92" s="166" t="s">
        <v>414</v>
      </c>
      <c r="S92" s="270">
        <v>1</v>
      </c>
      <c r="T92" s="271">
        <v>-1</v>
      </c>
      <c r="U92" s="272">
        <f t="shared" si="1"/>
        <v>-1</v>
      </c>
      <c r="V92" s="273">
        <v>1</v>
      </c>
      <c r="W92" s="273">
        <v>1</v>
      </c>
      <c r="X92" s="273">
        <v>1</v>
      </c>
      <c r="Y92" s="273"/>
      <c r="Z92" s="273"/>
      <c r="AA92" s="273"/>
      <c r="AB92" s="273"/>
      <c r="AC92" s="273"/>
      <c r="AD92" s="273"/>
      <c r="AE92" s="273">
        <v>1</v>
      </c>
      <c r="AF92" s="273">
        <v>1</v>
      </c>
      <c r="AG92" s="273">
        <v>1</v>
      </c>
      <c r="AH92" s="273"/>
      <c r="AI92" s="273"/>
      <c r="AJ92" s="273"/>
      <c r="AK92" s="273"/>
      <c r="AL92" s="273"/>
      <c r="AM92" s="483"/>
      <c r="AN92" s="273"/>
      <c r="AO92" s="273"/>
      <c r="AP92" s="504"/>
      <c r="AQ92" s="273">
        <v>1</v>
      </c>
      <c r="AR92" s="273"/>
      <c r="AS92" s="273"/>
      <c r="AT92" s="273"/>
      <c r="AU92" s="504"/>
      <c r="AV92" s="273"/>
      <c r="AW92" s="273"/>
      <c r="AX92" s="273"/>
      <c r="AY92" s="504"/>
      <c r="AZ92" s="273">
        <v>1</v>
      </c>
      <c r="BA92" s="273"/>
    </row>
    <row r="93" spans="1:53" ht="62.25" hidden="1" customHeight="1">
      <c r="A93" s="151"/>
      <c r="B93" s="258">
        <v>45536</v>
      </c>
      <c r="C93" s="236" t="s">
        <v>75</v>
      </c>
      <c r="D93" s="467" t="s">
        <v>180</v>
      </c>
      <c r="E93" s="169" t="s">
        <v>3</v>
      </c>
      <c r="F93" s="169" t="s">
        <v>181</v>
      </c>
      <c r="G93" s="185" t="s">
        <v>415</v>
      </c>
      <c r="H93" s="428" t="s">
        <v>416</v>
      </c>
      <c r="I93" s="179" t="s">
        <v>417</v>
      </c>
      <c r="J93" s="228" t="s">
        <v>375</v>
      </c>
      <c r="K93" s="154" t="s">
        <v>186</v>
      </c>
      <c r="L93" s="509" t="s">
        <v>418</v>
      </c>
      <c r="M93" s="170" t="s">
        <v>81</v>
      </c>
      <c r="N93" s="171">
        <v>-1.2</v>
      </c>
      <c r="O93" s="164"/>
      <c r="P93" s="164" t="s">
        <v>80</v>
      </c>
      <c r="Q93" s="164" t="s">
        <v>10</v>
      </c>
      <c r="R93" s="164" t="s">
        <v>81</v>
      </c>
      <c r="S93" s="176">
        <v>0.1</v>
      </c>
      <c r="T93" s="157">
        <v>-0.42</v>
      </c>
      <c r="U93" s="173">
        <f t="shared" si="1"/>
        <v>-4.2000000000000003E-2</v>
      </c>
      <c r="V93" s="332">
        <v>1</v>
      </c>
      <c r="W93" s="332">
        <v>1</v>
      </c>
      <c r="X93" s="332">
        <v>1</v>
      </c>
      <c r="Y93" s="332">
        <v>1</v>
      </c>
      <c r="Z93" s="332">
        <v>1</v>
      </c>
      <c r="AA93" s="332">
        <v>1</v>
      </c>
      <c r="AB93" s="332">
        <v>1</v>
      </c>
      <c r="AC93" s="332">
        <v>1</v>
      </c>
      <c r="AD93" s="332">
        <v>1</v>
      </c>
      <c r="AE93" s="332">
        <v>1</v>
      </c>
      <c r="AF93" s="332">
        <v>1</v>
      </c>
      <c r="AG93" s="332">
        <v>1</v>
      </c>
      <c r="AH93" s="332">
        <v>1</v>
      </c>
      <c r="AI93" s="332">
        <v>1</v>
      </c>
      <c r="AJ93" s="332">
        <v>1</v>
      </c>
      <c r="AK93" s="332">
        <v>1</v>
      </c>
      <c r="AL93" s="332">
        <v>1</v>
      </c>
      <c r="AM93" s="480">
        <v>1</v>
      </c>
      <c r="AN93" s="332">
        <v>1</v>
      </c>
      <c r="AO93" s="332">
        <v>1</v>
      </c>
      <c r="AP93" s="332">
        <v>1</v>
      </c>
      <c r="AQ93" s="332">
        <v>1</v>
      </c>
      <c r="AR93" s="332">
        <v>1</v>
      </c>
      <c r="AS93" s="332">
        <v>1</v>
      </c>
      <c r="AT93" s="332">
        <v>1</v>
      </c>
      <c r="AU93" s="332">
        <v>1</v>
      </c>
      <c r="AV93" s="332">
        <v>1</v>
      </c>
      <c r="AW93" s="332">
        <v>1</v>
      </c>
      <c r="AX93" s="332">
        <v>1</v>
      </c>
      <c r="AY93" s="332">
        <v>1</v>
      </c>
      <c r="AZ93" s="332">
        <v>1</v>
      </c>
      <c r="BA93" s="332">
        <v>1</v>
      </c>
    </row>
    <row r="94" spans="1:53" ht="33.75" hidden="1" customHeight="1">
      <c r="A94" s="184">
        <v>107</v>
      </c>
      <c r="B94" s="184"/>
      <c r="C94" s="177" t="s">
        <v>367</v>
      </c>
      <c r="D94" s="197" t="s">
        <v>17</v>
      </c>
      <c r="E94" s="177" t="s">
        <v>6</v>
      </c>
      <c r="F94" s="177"/>
      <c r="G94" s="153" t="s">
        <v>419</v>
      </c>
      <c r="H94" s="153"/>
      <c r="I94" s="153" t="s">
        <v>420</v>
      </c>
      <c r="J94" s="153"/>
      <c r="K94" s="153"/>
      <c r="L94" s="153" t="s">
        <v>421</v>
      </c>
      <c r="M94" s="153"/>
      <c r="N94" s="191">
        <v>-45</v>
      </c>
      <c r="O94" s="166"/>
      <c r="P94" s="166" t="s">
        <v>126</v>
      </c>
      <c r="Q94" s="166" t="s">
        <v>7</v>
      </c>
      <c r="R94" s="166" t="s">
        <v>81</v>
      </c>
      <c r="S94" s="178">
        <v>1</v>
      </c>
      <c r="T94" s="158">
        <v>-2.6</v>
      </c>
      <c r="U94" s="173">
        <f t="shared" si="1"/>
        <v>-2.6</v>
      </c>
      <c r="V94" s="174">
        <v>1</v>
      </c>
      <c r="W94" s="174">
        <v>1</v>
      </c>
      <c r="X94" s="174">
        <v>1</v>
      </c>
      <c r="Y94" s="174"/>
      <c r="Z94" s="174"/>
      <c r="AA94" s="174">
        <v>1</v>
      </c>
      <c r="AB94" s="174">
        <v>1</v>
      </c>
      <c r="AC94" s="174"/>
      <c r="AD94" s="174"/>
      <c r="AE94" s="174">
        <v>1</v>
      </c>
      <c r="AF94" s="174">
        <v>1</v>
      </c>
      <c r="AG94" s="174">
        <v>1</v>
      </c>
      <c r="AH94" s="174"/>
      <c r="AI94" s="174"/>
      <c r="AJ94" s="174">
        <v>1</v>
      </c>
      <c r="AK94" s="174">
        <v>1</v>
      </c>
      <c r="AL94" s="174"/>
      <c r="AM94" s="478"/>
      <c r="AN94" s="194"/>
      <c r="AO94" s="194"/>
      <c r="AP94" s="194"/>
      <c r="AQ94" s="174"/>
      <c r="AR94" s="174"/>
      <c r="AS94" s="194"/>
      <c r="AT94" s="194"/>
      <c r="AU94" s="194"/>
      <c r="AV94" s="174"/>
      <c r="AW94" s="194"/>
      <c r="AX94" s="194"/>
      <c r="AY94" s="194"/>
      <c r="AZ94" s="174"/>
      <c r="BA94" s="174"/>
    </row>
    <row r="95" spans="1:53" ht="58.5" hidden="1" customHeight="1">
      <c r="A95" s="151"/>
      <c r="B95" s="258">
        <v>45536</v>
      </c>
      <c r="C95" s="236" t="s">
        <v>75</v>
      </c>
      <c r="D95" s="467" t="s">
        <v>180</v>
      </c>
      <c r="E95" s="169" t="s">
        <v>3</v>
      </c>
      <c r="F95" s="169" t="s">
        <v>181</v>
      </c>
      <c r="G95" s="185" t="s">
        <v>422</v>
      </c>
      <c r="H95" s="185" t="s">
        <v>423</v>
      </c>
      <c r="I95" s="154" t="s">
        <v>424</v>
      </c>
      <c r="J95" s="523" t="s">
        <v>425</v>
      </c>
      <c r="K95" s="154" t="s">
        <v>426</v>
      </c>
      <c r="L95" s="509"/>
      <c r="M95" s="170">
        <v>0</v>
      </c>
      <c r="N95" s="171">
        <v>-0.1</v>
      </c>
      <c r="O95" s="164"/>
      <c r="P95" s="164" t="s">
        <v>80</v>
      </c>
      <c r="Q95" s="164" t="s">
        <v>10</v>
      </c>
      <c r="R95" s="164" t="s">
        <v>81</v>
      </c>
      <c r="S95" s="176">
        <v>0.25</v>
      </c>
      <c r="T95" s="157">
        <v>-0.24</v>
      </c>
      <c r="U95" s="173">
        <f t="shared" si="1"/>
        <v>-0.06</v>
      </c>
      <c r="V95" s="332">
        <v>1</v>
      </c>
      <c r="W95" s="332">
        <v>1</v>
      </c>
      <c r="X95" s="332">
        <v>1</v>
      </c>
      <c r="Y95" s="332">
        <v>1</v>
      </c>
      <c r="Z95" s="332">
        <v>1</v>
      </c>
      <c r="AA95" s="332">
        <v>1</v>
      </c>
      <c r="AB95" s="332">
        <v>1</v>
      </c>
      <c r="AC95" s="332">
        <v>1</v>
      </c>
      <c r="AD95" s="332">
        <v>1</v>
      </c>
      <c r="AE95" s="332">
        <v>1</v>
      </c>
      <c r="AF95" s="332">
        <v>1</v>
      </c>
      <c r="AG95" s="332">
        <v>1</v>
      </c>
      <c r="AH95" s="332">
        <v>1</v>
      </c>
      <c r="AI95" s="332">
        <v>1</v>
      </c>
      <c r="AJ95" s="332">
        <v>1</v>
      </c>
      <c r="AK95" s="332">
        <v>1</v>
      </c>
      <c r="AL95" s="332">
        <v>1</v>
      </c>
      <c r="AM95" s="480">
        <v>1</v>
      </c>
      <c r="AN95" s="332">
        <v>1</v>
      </c>
      <c r="AO95" s="332">
        <v>1</v>
      </c>
      <c r="AP95" s="332">
        <v>1</v>
      </c>
      <c r="AQ95" s="332">
        <v>1</v>
      </c>
      <c r="AR95" s="332">
        <v>1</v>
      </c>
      <c r="AS95" s="332">
        <v>1</v>
      </c>
      <c r="AT95" s="332">
        <v>1</v>
      </c>
      <c r="AU95" s="332">
        <v>1</v>
      </c>
      <c r="AV95" s="332">
        <v>1</v>
      </c>
      <c r="AW95" s="332">
        <v>1</v>
      </c>
      <c r="AX95" s="332">
        <v>1</v>
      </c>
      <c r="AY95" s="332">
        <v>1</v>
      </c>
      <c r="AZ95" s="332">
        <v>1</v>
      </c>
      <c r="BA95" s="332">
        <v>1</v>
      </c>
    </row>
    <row r="96" spans="1:53" ht="87.75" hidden="1" customHeight="1">
      <c r="A96" s="151"/>
      <c r="B96" s="257">
        <v>45536</v>
      </c>
      <c r="C96" s="169" t="s">
        <v>367</v>
      </c>
      <c r="D96" s="149" t="s">
        <v>2</v>
      </c>
      <c r="E96" s="169" t="s">
        <v>3</v>
      </c>
      <c r="F96" s="169"/>
      <c r="G96" s="149" t="s">
        <v>427</v>
      </c>
      <c r="H96" s="149" t="s">
        <v>428</v>
      </c>
      <c r="I96" s="179" t="s">
        <v>429</v>
      </c>
      <c r="J96" s="219" t="s">
        <v>430</v>
      </c>
      <c r="K96" s="149" t="s">
        <v>96</v>
      </c>
      <c r="L96" s="509"/>
      <c r="M96" s="183" t="s">
        <v>431</v>
      </c>
      <c r="N96" s="230" t="s">
        <v>432</v>
      </c>
      <c r="O96" s="164"/>
      <c r="P96" s="164" t="s">
        <v>80</v>
      </c>
      <c r="Q96" s="164" t="s">
        <v>10</v>
      </c>
      <c r="R96" s="164" t="s">
        <v>81</v>
      </c>
      <c r="S96" s="176">
        <v>0</v>
      </c>
      <c r="T96" s="157">
        <v>-2</v>
      </c>
      <c r="U96" s="173">
        <f t="shared" si="1"/>
        <v>0</v>
      </c>
      <c r="V96" s="174">
        <v>1</v>
      </c>
      <c r="W96" s="174">
        <v>1</v>
      </c>
      <c r="X96" s="174">
        <v>1</v>
      </c>
      <c r="Y96" s="174">
        <v>1</v>
      </c>
      <c r="Z96" s="174"/>
      <c r="AA96" s="174">
        <v>1</v>
      </c>
      <c r="AB96" s="174">
        <v>1</v>
      </c>
      <c r="AC96" s="174">
        <v>1</v>
      </c>
      <c r="AD96" s="174"/>
      <c r="AE96" s="174">
        <v>1</v>
      </c>
      <c r="AF96" s="174">
        <v>1</v>
      </c>
      <c r="AG96" s="174">
        <v>1</v>
      </c>
      <c r="AH96" s="174">
        <v>1</v>
      </c>
      <c r="AI96" s="174"/>
      <c r="AJ96" s="174">
        <v>1</v>
      </c>
      <c r="AK96" s="174">
        <v>1</v>
      </c>
      <c r="AL96" s="174">
        <v>1</v>
      </c>
      <c r="AM96" s="478"/>
      <c r="AN96" s="194"/>
      <c r="AO96" s="194"/>
      <c r="AP96" s="194"/>
      <c r="AQ96" s="174">
        <v>1</v>
      </c>
      <c r="AR96" s="174"/>
      <c r="AS96" s="194"/>
      <c r="AT96" s="194"/>
      <c r="AU96" s="194"/>
      <c r="AV96" s="174"/>
      <c r="AW96" s="194"/>
      <c r="AX96" s="194"/>
      <c r="AY96" s="194"/>
      <c r="AZ96" s="174">
        <v>1</v>
      </c>
      <c r="BA96" s="174"/>
    </row>
    <row r="97" spans="1:53" ht="90" hidden="1" customHeight="1">
      <c r="A97" s="210"/>
      <c r="B97" s="312">
        <v>45536</v>
      </c>
      <c r="C97" s="211" t="s">
        <v>367</v>
      </c>
      <c r="D97" s="225" t="s">
        <v>2</v>
      </c>
      <c r="E97" s="211" t="s">
        <v>3</v>
      </c>
      <c r="F97" s="211"/>
      <c r="G97" s="212" t="s">
        <v>433</v>
      </c>
      <c r="H97" s="212" t="s">
        <v>434</v>
      </c>
      <c r="I97" s="213" t="s">
        <v>435</v>
      </c>
      <c r="J97" s="153" t="s">
        <v>436</v>
      </c>
      <c r="K97" s="212" t="s">
        <v>142</v>
      </c>
      <c r="L97" s="524" t="s">
        <v>437</v>
      </c>
      <c r="M97" s="313" t="s">
        <v>438</v>
      </c>
      <c r="N97" s="214">
        <v>-2.6</v>
      </c>
      <c r="O97" s="215"/>
      <c r="P97" s="215" t="s">
        <v>80</v>
      </c>
      <c r="Q97" s="215" t="s">
        <v>7</v>
      </c>
      <c r="R97" s="215" t="s">
        <v>81</v>
      </c>
      <c r="S97" s="216">
        <v>1</v>
      </c>
      <c r="T97" s="222">
        <v>-2</v>
      </c>
      <c r="U97" s="226">
        <f t="shared" si="1"/>
        <v>-2</v>
      </c>
      <c r="V97" s="314">
        <v>1</v>
      </c>
      <c r="W97" s="314">
        <v>1</v>
      </c>
      <c r="X97" s="314">
        <v>1</v>
      </c>
      <c r="Y97" s="314">
        <v>1</v>
      </c>
      <c r="Z97" s="314"/>
      <c r="AA97" s="314">
        <v>1</v>
      </c>
      <c r="AB97" s="314">
        <v>1</v>
      </c>
      <c r="AC97" s="314">
        <v>1</v>
      </c>
      <c r="AD97" s="314"/>
      <c r="AE97" s="314">
        <v>1</v>
      </c>
      <c r="AF97" s="314">
        <v>1</v>
      </c>
      <c r="AG97" s="314">
        <v>1</v>
      </c>
      <c r="AH97" s="314">
        <v>1</v>
      </c>
      <c r="AI97" s="314"/>
      <c r="AJ97" s="314">
        <v>1</v>
      </c>
      <c r="AK97" s="314">
        <v>1</v>
      </c>
      <c r="AL97" s="314">
        <v>1</v>
      </c>
      <c r="AM97" s="484"/>
      <c r="AN97" s="505"/>
      <c r="AO97" s="505"/>
      <c r="AP97" s="505"/>
      <c r="AQ97" s="314">
        <v>1</v>
      </c>
      <c r="AR97" s="314"/>
      <c r="AS97" s="505"/>
      <c r="AT97" s="505"/>
      <c r="AU97" s="505"/>
      <c r="AV97" s="314"/>
      <c r="AW97" s="505"/>
      <c r="AX97" s="505"/>
      <c r="AY97" s="505"/>
      <c r="AZ97" s="314">
        <v>1</v>
      </c>
      <c r="BA97" s="314"/>
    </row>
    <row r="98" spans="1:53" ht="33.75" hidden="1" customHeight="1">
      <c r="A98" s="168">
        <v>231</v>
      </c>
      <c r="B98" s="168"/>
      <c r="C98" s="169" t="s">
        <v>84</v>
      </c>
      <c r="D98" s="144" t="s">
        <v>9</v>
      </c>
      <c r="E98" s="169" t="s">
        <v>172</v>
      </c>
      <c r="F98" s="169"/>
      <c r="G98" s="149" t="s">
        <v>439</v>
      </c>
      <c r="H98" s="170"/>
      <c r="I98" s="170" t="s">
        <v>440</v>
      </c>
      <c r="J98" s="150"/>
      <c r="K98" s="150"/>
      <c r="L98" s="10"/>
      <c r="M98" s="10"/>
      <c r="N98" s="171" t="s">
        <v>441</v>
      </c>
      <c r="O98" s="10"/>
      <c r="P98" s="164" t="s">
        <v>80</v>
      </c>
      <c r="Q98" s="186" t="s">
        <v>7</v>
      </c>
      <c r="R98" s="10"/>
      <c r="S98" s="181">
        <v>1</v>
      </c>
      <c r="T98" s="157">
        <v>-4.4000000000000004</v>
      </c>
      <c r="U98" s="173">
        <f t="shared" si="1"/>
        <v>-4.4000000000000004</v>
      </c>
      <c r="V98" s="152"/>
      <c r="W98" s="152"/>
      <c r="X98" s="152"/>
      <c r="Y98" s="152"/>
      <c r="Z98" s="152"/>
      <c r="AA98" s="152"/>
      <c r="AB98" s="152"/>
      <c r="AC98" s="152"/>
      <c r="AD98" s="152"/>
      <c r="AE98" s="152"/>
      <c r="AF98" s="152"/>
      <c r="AG98" s="152"/>
      <c r="AH98" s="152"/>
      <c r="AI98" s="152"/>
      <c r="AJ98" s="152"/>
      <c r="AK98" s="152"/>
      <c r="AL98" s="152"/>
      <c r="AM98" s="485"/>
      <c r="AN98" s="194"/>
      <c r="AO98" s="194"/>
      <c r="AP98" s="194"/>
      <c r="AQ98" s="503"/>
      <c r="AR98" s="503"/>
      <c r="AS98" s="194"/>
      <c r="AT98" s="194"/>
      <c r="AU98" s="194"/>
      <c r="AV98" s="503"/>
      <c r="AW98" s="194"/>
      <c r="AX98" s="194"/>
      <c r="AY98" s="194"/>
      <c r="AZ98" s="503"/>
      <c r="BA98" s="503"/>
    </row>
    <row r="99" spans="1:53" ht="33.75" hidden="1" customHeight="1">
      <c r="A99" s="168">
        <v>19</v>
      </c>
      <c r="B99" s="168"/>
      <c r="C99" s="169" t="s">
        <v>84</v>
      </c>
      <c r="D99" s="144" t="s">
        <v>9</v>
      </c>
      <c r="E99" s="169" t="s">
        <v>6</v>
      </c>
      <c r="F99" s="169"/>
      <c r="G99" s="149" t="s">
        <v>442</v>
      </c>
      <c r="H99" s="149"/>
      <c r="I99" s="154" t="s">
        <v>443</v>
      </c>
      <c r="J99" s="154"/>
      <c r="K99" s="154"/>
      <c r="L99" s="149" t="s">
        <v>444</v>
      </c>
      <c r="M99" s="170"/>
      <c r="N99" s="171">
        <f>T99*1</f>
        <v>1</v>
      </c>
      <c r="O99" s="164"/>
      <c r="P99" s="164" t="s">
        <v>80</v>
      </c>
      <c r="Q99" s="164" t="s">
        <v>10</v>
      </c>
      <c r="R99" s="164" t="s">
        <v>81</v>
      </c>
      <c r="S99" s="176">
        <v>0.25</v>
      </c>
      <c r="T99" s="157">
        <v>1</v>
      </c>
      <c r="U99" s="173">
        <f t="shared" si="1"/>
        <v>0.25</v>
      </c>
      <c r="V99" s="152"/>
      <c r="W99" s="152"/>
      <c r="X99" s="152"/>
      <c r="Y99" s="152"/>
      <c r="Z99" s="152"/>
      <c r="AA99" s="152"/>
      <c r="AB99" s="152"/>
      <c r="AC99" s="152"/>
      <c r="AD99" s="152"/>
      <c r="AE99" s="152"/>
      <c r="AF99" s="152"/>
      <c r="AG99" s="152"/>
      <c r="AH99" s="152"/>
      <c r="AI99" s="152"/>
      <c r="AJ99" s="152"/>
      <c r="AK99" s="152"/>
      <c r="AL99" s="152"/>
      <c r="AM99" s="485"/>
      <c r="AN99" s="194"/>
      <c r="AO99" s="194"/>
      <c r="AP99" s="194"/>
      <c r="AQ99" s="503"/>
      <c r="AR99" s="503"/>
      <c r="AS99" s="194"/>
      <c r="AT99" s="194"/>
      <c r="AU99" s="194"/>
      <c r="AV99" s="503"/>
      <c r="AW99" s="194"/>
      <c r="AX99" s="194"/>
      <c r="AY99" s="194"/>
      <c r="AZ99" s="503"/>
      <c r="BA99" s="503"/>
    </row>
    <row r="100" spans="1:53" ht="53.25" hidden="1" customHeight="1">
      <c r="A100" s="210"/>
      <c r="B100" s="252"/>
      <c r="C100" s="211" t="s">
        <v>367</v>
      </c>
      <c r="D100" s="223" t="s">
        <v>8</v>
      </c>
      <c r="E100" s="211" t="s">
        <v>3</v>
      </c>
      <c r="F100" s="211"/>
      <c r="G100" s="212" t="s">
        <v>445</v>
      </c>
      <c r="H100" s="212" t="s">
        <v>446</v>
      </c>
      <c r="I100" s="213" t="s">
        <v>447</v>
      </c>
      <c r="J100" s="213" t="s">
        <v>448</v>
      </c>
      <c r="K100" s="212" t="s">
        <v>406</v>
      </c>
      <c r="L100" s="524" t="s">
        <v>449</v>
      </c>
      <c r="M100" s="212" t="s">
        <v>450</v>
      </c>
      <c r="N100" s="214">
        <v>-28</v>
      </c>
      <c r="O100" s="215"/>
      <c r="P100" s="215" t="s">
        <v>80</v>
      </c>
      <c r="Q100" s="215" t="s">
        <v>7</v>
      </c>
      <c r="R100" s="215" t="s">
        <v>81</v>
      </c>
      <c r="S100" s="216">
        <v>1</v>
      </c>
      <c r="T100" s="157">
        <v>-1.5</v>
      </c>
      <c r="U100" s="173">
        <f t="shared" si="1"/>
        <v>-1.5</v>
      </c>
      <c r="V100" s="152"/>
      <c r="W100" s="152"/>
      <c r="X100" s="152"/>
      <c r="Y100" s="152"/>
      <c r="Z100" s="152"/>
      <c r="AA100" s="152"/>
      <c r="AB100" s="152"/>
      <c r="AC100" s="152"/>
      <c r="AD100" s="152"/>
      <c r="AE100" s="152"/>
      <c r="AF100" s="152"/>
      <c r="AG100" s="152"/>
      <c r="AH100" s="152"/>
      <c r="AI100" s="152"/>
      <c r="AJ100" s="152"/>
      <c r="AK100" s="152"/>
      <c r="AL100" s="152"/>
      <c r="AM100" s="485"/>
      <c r="AN100" s="194"/>
      <c r="AO100" s="194"/>
      <c r="AP100" s="194"/>
      <c r="AQ100" s="503"/>
      <c r="AR100" s="503"/>
      <c r="AS100" s="194"/>
      <c r="AT100" s="194"/>
      <c r="AU100" s="194"/>
      <c r="AV100" s="503"/>
      <c r="AW100" s="194"/>
      <c r="AX100" s="194"/>
      <c r="AY100" s="194"/>
      <c r="AZ100" s="503"/>
      <c r="BA100" s="503"/>
    </row>
    <row r="101" spans="1:53" ht="33.75" hidden="1" customHeight="1">
      <c r="A101" s="168">
        <v>23</v>
      </c>
      <c r="B101" s="168"/>
      <c r="C101" s="169" t="s">
        <v>84</v>
      </c>
      <c r="D101" s="144" t="s">
        <v>9</v>
      </c>
      <c r="E101" s="169" t="s">
        <v>6</v>
      </c>
      <c r="F101" s="169"/>
      <c r="G101" s="149" t="s">
        <v>451</v>
      </c>
      <c r="H101" s="149"/>
      <c r="I101" s="154" t="s">
        <v>452</v>
      </c>
      <c r="J101" s="154"/>
      <c r="K101" s="154"/>
      <c r="L101" s="149" t="s">
        <v>453</v>
      </c>
      <c r="M101" s="170"/>
      <c r="N101" s="171">
        <v>0</v>
      </c>
      <c r="O101" s="164"/>
      <c r="P101" s="164" t="s">
        <v>80</v>
      </c>
      <c r="Q101" s="164" t="s">
        <v>7</v>
      </c>
      <c r="R101" s="164" t="s">
        <v>81</v>
      </c>
      <c r="S101" s="176">
        <v>1</v>
      </c>
      <c r="T101" s="157">
        <v>-0.2</v>
      </c>
      <c r="U101" s="173">
        <f t="shared" si="1"/>
        <v>-0.2</v>
      </c>
      <c r="V101" s="152"/>
      <c r="W101" s="152"/>
      <c r="X101" s="152"/>
      <c r="Y101" s="152"/>
      <c r="Z101" s="152"/>
      <c r="AA101" s="152"/>
      <c r="AB101" s="152"/>
      <c r="AC101" s="152"/>
      <c r="AD101" s="152"/>
      <c r="AE101" s="152"/>
      <c r="AF101" s="152"/>
      <c r="AG101" s="152"/>
      <c r="AH101" s="152"/>
      <c r="AI101" s="152"/>
      <c r="AJ101" s="152"/>
      <c r="AK101" s="152"/>
      <c r="AL101" s="152"/>
      <c r="AM101" s="485"/>
      <c r="AN101" s="194"/>
      <c r="AO101" s="194"/>
      <c r="AP101" s="194"/>
      <c r="AQ101" s="503"/>
      <c r="AR101" s="503"/>
      <c r="AS101" s="194"/>
      <c r="AT101" s="194"/>
      <c r="AU101" s="194"/>
      <c r="AV101" s="503"/>
      <c r="AW101" s="194"/>
      <c r="AX101" s="194"/>
      <c r="AY101" s="194"/>
      <c r="AZ101" s="503"/>
      <c r="BA101" s="503"/>
    </row>
    <row r="102" spans="1:53" ht="33.75" hidden="1" customHeight="1">
      <c r="A102" s="210"/>
      <c r="B102" s="252"/>
      <c r="C102" s="211" t="s">
        <v>367</v>
      </c>
      <c r="D102" s="212" t="s">
        <v>102</v>
      </c>
      <c r="E102" s="211" t="s">
        <v>3</v>
      </c>
      <c r="F102" s="211"/>
      <c r="G102" s="212" t="s">
        <v>454</v>
      </c>
      <c r="H102" s="212" t="s">
        <v>455</v>
      </c>
      <c r="I102" s="525" t="s">
        <v>456</v>
      </c>
      <c r="J102" s="525" t="s">
        <v>457</v>
      </c>
      <c r="K102" s="525"/>
      <c r="L102" s="526" t="s">
        <v>458</v>
      </c>
      <c r="M102" s="212" t="s">
        <v>459</v>
      </c>
      <c r="N102" s="214">
        <v>13</v>
      </c>
      <c r="O102" s="215"/>
      <c r="P102" s="215" t="s">
        <v>80</v>
      </c>
      <c r="Q102" s="215" t="s">
        <v>7</v>
      </c>
      <c r="R102" s="215" t="s">
        <v>81</v>
      </c>
      <c r="S102" s="216">
        <v>1</v>
      </c>
      <c r="T102" s="157">
        <v>1.5</v>
      </c>
      <c r="U102" s="173">
        <f t="shared" si="1"/>
        <v>1.5</v>
      </c>
      <c r="V102" s="152"/>
      <c r="W102" s="152"/>
      <c r="X102" s="152"/>
      <c r="Y102" s="152"/>
      <c r="Z102" s="152"/>
      <c r="AA102" s="152"/>
      <c r="AB102" s="152"/>
      <c r="AC102" s="152"/>
      <c r="AD102" s="152"/>
      <c r="AE102" s="152"/>
      <c r="AF102" s="152"/>
      <c r="AG102" s="152"/>
      <c r="AH102" s="152"/>
      <c r="AI102" s="152"/>
      <c r="AJ102" s="152"/>
      <c r="AK102" s="152"/>
      <c r="AL102" s="152"/>
      <c r="AM102" s="485"/>
      <c r="AN102" s="194"/>
      <c r="AO102" s="194"/>
      <c r="AP102" s="194"/>
      <c r="AQ102" s="503"/>
      <c r="AR102" s="503"/>
      <c r="AS102" s="194"/>
      <c r="AT102" s="194"/>
      <c r="AU102" s="194"/>
      <c r="AV102" s="503"/>
      <c r="AW102" s="194"/>
      <c r="AX102" s="194"/>
      <c r="AY102" s="194"/>
      <c r="AZ102" s="503"/>
      <c r="BA102" s="503"/>
    </row>
    <row r="103" spans="1:53" ht="33.75" hidden="1" customHeight="1">
      <c r="A103" s="168">
        <v>25</v>
      </c>
      <c r="B103" s="168"/>
      <c r="C103" s="169" t="s">
        <v>84</v>
      </c>
      <c r="D103" s="144" t="s">
        <v>9</v>
      </c>
      <c r="E103" s="169" t="s">
        <v>6</v>
      </c>
      <c r="F103" s="169"/>
      <c r="G103" s="149" t="s">
        <v>460</v>
      </c>
      <c r="H103" s="149"/>
      <c r="I103" s="154" t="s">
        <v>461</v>
      </c>
      <c r="J103" s="154"/>
      <c r="K103" s="154"/>
      <c r="L103" s="149" t="s">
        <v>462</v>
      </c>
      <c r="M103" s="170"/>
      <c r="N103" s="171"/>
      <c r="O103" s="164"/>
      <c r="P103" s="164" t="s">
        <v>80</v>
      </c>
      <c r="Q103" s="164" t="s">
        <v>7</v>
      </c>
      <c r="R103" s="164" t="s">
        <v>81</v>
      </c>
      <c r="S103" s="176">
        <v>1</v>
      </c>
      <c r="T103" s="157">
        <v>2</v>
      </c>
      <c r="U103" s="173">
        <f t="shared" si="1"/>
        <v>2</v>
      </c>
      <c r="V103" s="152"/>
      <c r="W103" s="152"/>
      <c r="X103" s="152"/>
      <c r="Y103" s="152"/>
      <c r="Z103" s="152"/>
      <c r="AA103" s="152"/>
      <c r="AB103" s="152"/>
      <c r="AC103" s="152"/>
      <c r="AD103" s="152"/>
      <c r="AE103" s="152"/>
      <c r="AF103" s="152"/>
      <c r="AG103" s="152"/>
      <c r="AH103" s="152"/>
      <c r="AI103" s="152"/>
      <c r="AJ103" s="152"/>
      <c r="AK103" s="152"/>
      <c r="AL103" s="152"/>
      <c r="AM103" s="485"/>
      <c r="AN103" s="194"/>
      <c r="AO103" s="194"/>
      <c r="AP103" s="194"/>
      <c r="AQ103" s="503"/>
      <c r="AR103" s="503"/>
      <c r="AS103" s="194"/>
      <c r="AT103" s="194"/>
      <c r="AU103" s="194"/>
      <c r="AV103" s="503"/>
      <c r="AW103" s="194"/>
      <c r="AX103" s="194"/>
      <c r="AY103" s="194"/>
      <c r="AZ103" s="503"/>
      <c r="BA103" s="503"/>
    </row>
    <row r="104" spans="1:53" ht="33.75" hidden="1" customHeight="1">
      <c r="A104" s="168">
        <v>30</v>
      </c>
      <c r="B104" s="168"/>
      <c r="C104" s="169" t="s">
        <v>367</v>
      </c>
      <c r="D104" s="144" t="s">
        <v>16</v>
      </c>
      <c r="E104" s="169" t="s">
        <v>6</v>
      </c>
      <c r="F104" s="169"/>
      <c r="G104" s="153" t="s">
        <v>463</v>
      </c>
      <c r="H104" s="170"/>
      <c r="I104" s="170"/>
      <c r="J104" s="170"/>
      <c r="K104" s="170"/>
      <c r="L104" s="170" t="s">
        <v>371</v>
      </c>
      <c r="M104" s="170"/>
      <c r="N104" s="187"/>
      <c r="O104" s="164"/>
      <c r="P104" s="164" t="s">
        <v>80</v>
      </c>
      <c r="Q104" s="164" t="s">
        <v>7</v>
      </c>
      <c r="R104" s="164" t="s">
        <v>81</v>
      </c>
      <c r="S104" s="172">
        <v>0.5</v>
      </c>
      <c r="T104" s="157">
        <v>-7</v>
      </c>
      <c r="U104" s="173">
        <f t="shared" si="1"/>
        <v>-3.5</v>
      </c>
      <c r="V104" s="174">
        <v>1</v>
      </c>
      <c r="W104" s="174">
        <v>1</v>
      </c>
      <c r="X104" s="174">
        <v>1</v>
      </c>
      <c r="Y104" s="174"/>
      <c r="Z104" s="174"/>
      <c r="AA104" s="174"/>
      <c r="AB104" s="174"/>
      <c r="AC104" s="174"/>
      <c r="AD104" s="174"/>
      <c r="AE104" s="174">
        <v>1</v>
      </c>
      <c r="AF104" s="174">
        <v>1</v>
      </c>
      <c r="AG104" s="174">
        <v>1</v>
      </c>
      <c r="AH104" s="174"/>
      <c r="AI104" s="174"/>
      <c r="AJ104" s="174"/>
      <c r="AK104" s="174"/>
      <c r="AL104" s="174"/>
      <c r="AM104" s="478"/>
      <c r="AN104" s="194"/>
      <c r="AO104" s="194"/>
      <c r="AP104" s="194"/>
      <c r="AQ104" s="174">
        <v>1</v>
      </c>
      <c r="AR104" s="174"/>
      <c r="AS104" s="194"/>
      <c r="AT104" s="194"/>
      <c r="AU104" s="194"/>
      <c r="AV104" s="174"/>
      <c r="AW104" s="194"/>
      <c r="AX104" s="194"/>
      <c r="AY104" s="194"/>
      <c r="AZ104" s="174">
        <v>1</v>
      </c>
      <c r="BA104" s="174"/>
    </row>
    <row r="105" spans="1:53" ht="33.75" hidden="1" customHeight="1">
      <c r="A105" s="168">
        <v>34</v>
      </c>
      <c r="B105" s="168"/>
      <c r="C105" s="169" t="s">
        <v>84</v>
      </c>
      <c r="D105" s="144" t="s">
        <v>16</v>
      </c>
      <c r="E105" s="169" t="s">
        <v>6</v>
      </c>
      <c r="F105" s="169"/>
      <c r="G105" s="149" t="s">
        <v>464</v>
      </c>
      <c r="H105" s="149"/>
      <c r="I105" s="154" t="s">
        <v>465</v>
      </c>
      <c r="J105" s="154"/>
      <c r="K105" s="154"/>
      <c r="L105" s="149" t="s">
        <v>466</v>
      </c>
      <c r="M105" s="170"/>
      <c r="N105" s="171">
        <v>-3</v>
      </c>
      <c r="O105" s="164"/>
      <c r="P105" s="164" t="s">
        <v>80</v>
      </c>
      <c r="Q105" s="164" t="s">
        <v>10</v>
      </c>
      <c r="R105" s="164" t="s">
        <v>81</v>
      </c>
      <c r="S105" s="176">
        <v>0.25</v>
      </c>
      <c r="T105" s="157">
        <v>-1</v>
      </c>
      <c r="U105" s="173">
        <f t="shared" si="1"/>
        <v>-0.25</v>
      </c>
      <c r="V105" s="152"/>
      <c r="W105" s="152"/>
      <c r="X105" s="152"/>
      <c r="Y105" s="152"/>
      <c r="Z105" s="152"/>
      <c r="AA105" s="152"/>
      <c r="AB105" s="152"/>
      <c r="AC105" s="152"/>
      <c r="AD105" s="152"/>
      <c r="AE105" s="152"/>
      <c r="AF105" s="152"/>
      <c r="AG105" s="152"/>
      <c r="AH105" s="152"/>
      <c r="AI105" s="152"/>
      <c r="AJ105" s="152"/>
      <c r="AK105" s="152"/>
      <c r="AL105" s="152"/>
      <c r="AM105" s="485"/>
      <c r="AN105" s="194"/>
      <c r="AO105" s="194"/>
      <c r="AP105" s="194"/>
      <c r="AQ105" s="503"/>
      <c r="AR105" s="503"/>
      <c r="AS105" s="194"/>
      <c r="AT105" s="194"/>
      <c r="AU105" s="194"/>
      <c r="AV105" s="503"/>
      <c r="AW105" s="194"/>
      <c r="AX105" s="194"/>
      <c r="AY105" s="194"/>
      <c r="AZ105" s="503"/>
      <c r="BA105" s="503"/>
    </row>
    <row r="106" spans="1:53" ht="97.5" hidden="1" customHeight="1">
      <c r="A106" s="289">
        <v>117</v>
      </c>
      <c r="B106" s="290">
        <v>45536</v>
      </c>
      <c r="C106" s="266" t="s">
        <v>75</v>
      </c>
      <c r="D106" s="293" t="s">
        <v>8</v>
      </c>
      <c r="E106" s="291" t="s">
        <v>3</v>
      </c>
      <c r="F106" s="291"/>
      <c r="G106" s="293" t="s">
        <v>467</v>
      </c>
      <c r="H106" s="293" t="s">
        <v>468</v>
      </c>
      <c r="I106" s="293" t="s">
        <v>401</v>
      </c>
      <c r="J106" s="288" t="s">
        <v>469</v>
      </c>
      <c r="K106" s="293" t="s">
        <v>142</v>
      </c>
      <c r="L106" s="293" t="s">
        <v>470</v>
      </c>
      <c r="M106" s="293">
        <f>300+450</f>
        <v>750</v>
      </c>
      <c r="N106" s="247">
        <v>5.6</v>
      </c>
      <c r="O106" s="262"/>
      <c r="P106" s="262" t="s">
        <v>413</v>
      </c>
      <c r="Q106" s="262" t="s">
        <v>10</v>
      </c>
      <c r="R106" s="262" t="s">
        <v>471</v>
      </c>
      <c r="S106" s="294">
        <v>0</v>
      </c>
      <c r="T106" s="271">
        <v>-1.35</v>
      </c>
      <c r="U106" s="296">
        <f t="shared" si="1"/>
        <v>0</v>
      </c>
      <c r="V106" s="297"/>
      <c r="W106" s="297"/>
      <c r="X106" s="297"/>
      <c r="Y106" s="297">
        <v>1</v>
      </c>
      <c r="Z106" s="297"/>
      <c r="AA106" s="297"/>
      <c r="AB106" s="297"/>
      <c r="AC106" s="297">
        <v>1</v>
      </c>
      <c r="AD106" s="297"/>
      <c r="AE106" s="297"/>
      <c r="AF106" s="297"/>
      <c r="AG106" s="297"/>
      <c r="AH106" s="297">
        <v>1</v>
      </c>
      <c r="AI106" s="297"/>
      <c r="AJ106" s="297"/>
      <c r="AK106" s="297"/>
      <c r="AL106" s="297">
        <v>1</v>
      </c>
      <c r="AM106" s="486"/>
      <c r="AN106" s="297">
        <v>1</v>
      </c>
      <c r="AO106" s="297">
        <v>1</v>
      </c>
      <c r="AP106" s="506"/>
      <c r="AQ106" s="297">
        <v>1</v>
      </c>
      <c r="AR106" s="297"/>
      <c r="AS106" s="297">
        <v>1</v>
      </c>
      <c r="AT106" s="297"/>
      <c r="AU106" s="506"/>
      <c r="AV106" s="297"/>
      <c r="AW106" s="297">
        <v>1</v>
      </c>
      <c r="AX106" s="297">
        <v>1</v>
      </c>
      <c r="AY106" s="506"/>
      <c r="AZ106" s="297">
        <v>1</v>
      </c>
      <c r="BA106" s="297"/>
    </row>
    <row r="107" spans="1:53" ht="33.75" hidden="1" customHeight="1">
      <c r="A107" s="168">
        <v>136</v>
      </c>
      <c r="B107" s="168" t="s">
        <v>472</v>
      </c>
      <c r="C107" s="169" t="s">
        <v>84</v>
      </c>
      <c r="D107" s="144" t="s">
        <v>102</v>
      </c>
      <c r="E107" s="169" t="s">
        <v>3</v>
      </c>
      <c r="F107" s="169" t="s">
        <v>103</v>
      </c>
      <c r="G107" s="149" t="s">
        <v>473</v>
      </c>
      <c r="H107" s="170" t="s">
        <v>88</v>
      </c>
      <c r="I107" s="279" t="s">
        <v>474</v>
      </c>
      <c r="J107" s="153" t="s">
        <v>475</v>
      </c>
      <c r="K107" s="170"/>
      <c r="L107" s="170" t="s">
        <v>476</v>
      </c>
      <c r="M107" s="170"/>
      <c r="N107" s="187"/>
      <c r="O107" s="164"/>
      <c r="P107" s="164" t="s">
        <v>80</v>
      </c>
      <c r="Q107" s="164" t="s">
        <v>7</v>
      </c>
      <c r="R107" s="164"/>
      <c r="S107" s="172">
        <v>1</v>
      </c>
      <c r="T107" s="157">
        <v>-0.26800000000000002</v>
      </c>
      <c r="U107" s="173">
        <f t="shared" si="1"/>
        <v>-0.26800000000000002</v>
      </c>
      <c r="V107" s="174">
        <v>1</v>
      </c>
      <c r="W107" s="174">
        <v>1</v>
      </c>
      <c r="X107" s="174">
        <v>1</v>
      </c>
      <c r="Y107" s="174">
        <v>1</v>
      </c>
      <c r="Z107" s="174">
        <v>1</v>
      </c>
      <c r="AA107" s="174">
        <v>1</v>
      </c>
      <c r="AB107" s="174">
        <v>1</v>
      </c>
      <c r="AC107" s="174">
        <v>1</v>
      </c>
      <c r="AD107" s="174">
        <v>1</v>
      </c>
      <c r="AE107" s="174">
        <v>1</v>
      </c>
      <c r="AF107" s="174">
        <v>1</v>
      </c>
      <c r="AG107" s="174">
        <v>1</v>
      </c>
      <c r="AH107" s="174">
        <v>1</v>
      </c>
      <c r="AI107" s="174">
        <v>1</v>
      </c>
      <c r="AJ107" s="174">
        <v>1</v>
      </c>
      <c r="AK107" s="174">
        <v>1</v>
      </c>
      <c r="AL107" s="174">
        <v>1</v>
      </c>
      <c r="AM107" s="478">
        <v>1</v>
      </c>
      <c r="AN107" s="174">
        <v>1</v>
      </c>
      <c r="AO107" s="174">
        <v>1</v>
      </c>
      <c r="AP107" s="174">
        <v>1</v>
      </c>
      <c r="AQ107" s="174">
        <v>1</v>
      </c>
      <c r="AR107" s="174">
        <v>1</v>
      </c>
      <c r="AS107" s="174"/>
      <c r="AT107" s="174"/>
      <c r="AU107" s="174"/>
      <c r="AV107" s="174"/>
      <c r="AW107" s="174"/>
      <c r="AX107" s="174"/>
      <c r="AY107" s="174"/>
      <c r="AZ107" s="174"/>
      <c r="BA107" s="174"/>
    </row>
    <row r="108" spans="1:53" ht="33.75" hidden="1" customHeight="1">
      <c r="A108" s="168" t="s">
        <v>477</v>
      </c>
      <c r="B108" s="168"/>
      <c r="C108" s="169" t="s">
        <v>84</v>
      </c>
      <c r="D108" s="144" t="s">
        <v>144</v>
      </c>
      <c r="E108" s="169" t="s">
        <v>6</v>
      </c>
      <c r="F108" s="169"/>
      <c r="G108" s="170" t="s">
        <v>478</v>
      </c>
      <c r="H108" s="170"/>
      <c r="I108" s="154" t="s">
        <v>479</v>
      </c>
      <c r="J108" s="154"/>
      <c r="K108" s="154"/>
      <c r="L108" s="170" t="s">
        <v>480</v>
      </c>
      <c r="M108" s="170"/>
      <c r="N108" s="171" t="s">
        <v>481</v>
      </c>
      <c r="O108" s="164"/>
      <c r="P108" s="164"/>
      <c r="Q108" s="164" t="s">
        <v>10</v>
      </c>
      <c r="R108" s="164" t="s">
        <v>81</v>
      </c>
      <c r="S108" s="176">
        <v>0.5</v>
      </c>
      <c r="T108" s="157">
        <v>-4</v>
      </c>
      <c r="U108" s="173">
        <f t="shared" si="1"/>
        <v>-2</v>
      </c>
      <c r="V108" s="152"/>
      <c r="W108" s="152"/>
      <c r="X108" s="152"/>
      <c r="Y108" s="152"/>
      <c r="Z108" s="152"/>
      <c r="AA108" s="152"/>
      <c r="AB108" s="152"/>
      <c r="AC108" s="152"/>
      <c r="AD108" s="152"/>
      <c r="AE108" s="152"/>
      <c r="AF108" s="152"/>
      <c r="AG108" s="152"/>
      <c r="AH108" s="152"/>
      <c r="AI108" s="152"/>
      <c r="AJ108" s="152"/>
      <c r="AK108" s="152"/>
      <c r="AL108" s="152"/>
      <c r="AM108" s="485"/>
      <c r="AN108" s="194"/>
      <c r="AO108" s="194"/>
      <c r="AP108" s="194"/>
      <c r="AQ108" s="503"/>
      <c r="AR108" s="503"/>
      <c r="AS108" s="194"/>
      <c r="AT108" s="194"/>
      <c r="AU108" s="194"/>
      <c r="AV108" s="503"/>
      <c r="AW108" s="194"/>
      <c r="AX108" s="194"/>
      <c r="AY108" s="194"/>
      <c r="AZ108" s="503"/>
      <c r="BA108" s="503"/>
    </row>
    <row r="109" spans="1:53" ht="33.75" hidden="1" customHeight="1">
      <c r="A109" s="168" t="s">
        <v>482</v>
      </c>
      <c r="B109" s="168"/>
      <c r="C109" s="169" t="s">
        <v>84</v>
      </c>
      <c r="D109" s="144" t="s">
        <v>144</v>
      </c>
      <c r="E109" s="169" t="s">
        <v>6</v>
      </c>
      <c r="F109" s="169"/>
      <c r="G109" s="170" t="s">
        <v>483</v>
      </c>
      <c r="H109" s="170"/>
      <c r="I109" s="154" t="s">
        <v>484</v>
      </c>
      <c r="J109" s="154"/>
      <c r="K109" s="154"/>
      <c r="L109" s="170" t="s">
        <v>480</v>
      </c>
      <c r="M109" s="10"/>
      <c r="N109" s="171" t="s">
        <v>485</v>
      </c>
      <c r="O109" s="10"/>
      <c r="P109" s="10"/>
      <c r="Q109" s="164" t="s">
        <v>10</v>
      </c>
      <c r="R109" s="10"/>
      <c r="S109" s="176">
        <v>0</v>
      </c>
      <c r="T109" s="157">
        <v>-4</v>
      </c>
      <c r="U109" s="173">
        <f t="shared" si="1"/>
        <v>0</v>
      </c>
      <c r="V109" s="152"/>
      <c r="W109" s="152"/>
      <c r="X109" s="152"/>
      <c r="Y109" s="152"/>
      <c r="Z109" s="152"/>
      <c r="AA109" s="152"/>
      <c r="AB109" s="152"/>
      <c r="AC109" s="152"/>
      <c r="AD109" s="152"/>
      <c r="AE109" s="152"/>
      <c r="AF109" s="152"/>
      <c r="AG109" s="152"/>
      <c r="AH109" s="152"/>
      <c r="AI109" s="152"/>
      <c r="AJ109" s="152"/>
      <c r="AK109" s="152"/>
      <c r="AL109" s="152"/>
      <c r="AM109" s="485"/>
      <c r="AN109" s="194"/>
      <c r="AO109" s="194"/>
      <c r="AP109" s="194"/>
      <c r="AQ109" s="503"/>
      <c r="AR109" s="503"/>
      <c r="AS109" s="194"/>
      <c r="AT109" s="194"/>
      <c r="AU109" s="194"/>
      <c r="AV109" s="503"/>
      <c r="AW109" s="194"/>
      <c r="AX109" s="194"/>
      <c r="AY109" s="194"/>
      <c r="AZ109" s="503"/>
      <c r="BA109" s="503"/>
    </row>
    <row r="110" spans="1:53" ht="33.75" hidden="1" customHeight="1">
      <c r="A110" s="151"/>
      <c r="B110" s="151"/>
      <c r="C110" s="169" t="s">
        <v>367</v>
      </c>
      <c r="D110" s="144" t="s">
        <v>8</v>
      </c>
      <c r="E110" s="169" t="s">
        <v>3</v>
      </c>
      <c r="F110" s="169"/>
      <c r="G110" s="149" t="s">
        <v>486</v>
      </c>
      <c r="H110" s="149" t="s">
        <v>487</v>
      </c>
      <c r="I110" s="154" t="s">
        <v>488</v>
      </c>
      <c r="J110" s="154" t="s">
        <v>489</v>
      </c>
      <c r="K110" s="149" t="s">
        <v>406</v>
      </c>
      <c r="L110" s="527" t="s">
        <v>490</v>
      </c>
      <c r="M110" s="170"/>
      <c r="N110" s="175" t="s">
        <v>491</v>
      </c>
      <c r="O110" s="164"/>
      <c r="P110" s="164" t="s">
        <v>80</v>
      </c>
      <c r="Q110" s="164" t="s">
        <v>10</v>
      </c>
      <c r="R110" s="164" t="s">
        <v>81</v>
      </c>
      <c r="S110" s="176">
        <v>1</v>
      </c>
      <c r="T110" s="157">
        <v>-1.1000000000000001</v>
      </c>
      <c r="U110" s="173">
        <f t="shared" si="1"/>
        <v>-1.1000000000000001</v>
      </c>
      <c r="V110" s="152"/>
      <c r="W110" s="152"/>
      <c r="X110" s="152"/>
      <c r="Y110" s="152"/>
      <c r="Z110" s="152"/>
      <c r="AA110" s="152"/>
      <c r="AB110" s="152"/>
      <c r="AC110" s="152"/>
      <c r="AD110" s="152"/>
      <c r="AE110" s="152"/>
      <c r="AF110" s="152"/>
      <c r="AG110" s="152"/>
      <c r="AH110" s="152"/>
      <c r="AI110" s="152"/>
      <c r="AJ110" s="152"/>
      <c r="AK110" s="152"/>
      <c r="AL110" s="152"/>
      <c r="AM110" s="485"/>
      <c r="AN110" s="194"/>
      <c r="AO110" s="194"/>
      <c r="AP110" s="194"/>
      <c r="AQ110" s="503"/>
      <c r="AR110" s="503"/>
      <c r="AS110" s="194"/>
      <c r="AT110" s="194"/>
      <c r="AU110" s="194"/>
      <c r="AV110" s="503"/>
      <c r="AW110" s="194"/>
      <c r="AX110" s="194"/>
      <c r="AY110" s="194"/>
      <c r="AZ110" s="503"/>
      <c r="BA110" s="503"/>
    </row>
    <row r="111" spans="1:53" ht="81.75" hidden="1" customHeight="1">
      <c r="A111" s="210"/>
      <c r="B111" s="252"/>
      <c r="C111" s="211" t="s">
        <v>367</v>
      </c>
      <c r="D111" s="212" t="s">
        <v>180</v>
      </c>
      <c r="E111" s="211" t="s">
        <v>3</v>
      </c>
      <c r="F111" s="211"/>
      <c r="G111" s="212" t="s">
        <v>492</v>
      </c>
      <c r="H111" s="212" t="s">
        <v>493</v>
      </c>
      <c r="I111" s="213" t="s">
        <v>494</v>
      </c>
      <c r="J111" s="213" t="s">
        <v>495</v>
      </c>
      <c r="K111" s="213" t="s">
        <v>496</v>
      </c>
      <c r="L111" s="526" t="s">
        <v>497</v>
      </c>
      <c r="M111" s="212">
        <v>0</v>
      </c>
      <c r="N111" s="214">
        <v>-0.1</v>
      </c>
      <c r="O111" s="215"/>
      <c r="P111" s="215" t="s">
        <v>80</v>
      </c>
      <c r="Q111" s="215" t="s">
        <v>7</v>
      </c>
      <c r="R111" s="215" t="s">
        <v>81</v>
      </c>
      <c r="S111" s="216">
        <v>1</v>
      </c>
      <c r="T111" s="157">
        <v>-1.03</v>
      </c>
      <c r="U111" s="173">
        <f t="shared" si="1"/>
        <v>-1.03</v>
      </c>
      <c r="V111" s="152"/>
      <c r="W111" s="152"/>
      <c r="X111" s="152"/>
      <c r="Y111" s="152"/>
      <c r="Z111" s="152"/>
      <c r="AA111" s="152"/>
      <c r="AB111" s="152"/>
      <c r="AC111" s="152"/>
      <c r="AD111" s="152"/>
      <c r="AE111" s="152"/>
      <c r="AF111" s="152"/>
      <c r="AG111" s="152"/>
      <c r="AH111" s="152"/>
      <c r="AI111" s="152"/>
      <c r="AJ111" s="152"/>
      <c r="AK111" s="152"/>
      <c r="AL111" s="152"/>
      <c r="AM111" s="485"/>
      <c r="AN111" s="194"/>
      <c r="AO111" s="194"/>
      <c r="AP111" s="194"/>
      <c r="AQ111" s="503"/>
      <c r="AR111" s="503"/>
      <c r="AS111" s="194"/>
      <c r="AT111" s="194"/>
      <c r="AU111" s="194"/>
      <c r="AV111" s="503"/>
      <c r="AW111" s="194"/>
      <c r="AX111" s="194"/>
      <c r="AY111" s="194"/>
      <c r="AZ111" s="503"/>
      <c r="BA111" s="503"/>
    </row>
    <row r="112" spans="1:53" ht="33.75" hidden="1" customHeight="1">
      <c r="A112" s="168" t="s">
        <v>498</v>
      </c>
      <c r="B112" s="168"/>
      <c r="C112" s="169" t="s">
        <v>84</v>
      </c>
      <c r="D112" s="144" t="s">
        <v>16</v>
      </c>
      <c r="E112" s="169" t="s">
        <v>6</v>
      </c>
      <c r="F112" s="169"/>
      <c r="G112" s="149" t="s">
        <v>499</v>
      </c>
      <c r="H112" s="149"/>
      <c r="I112" s="154" t="s">
        <v>500</v>
      </c>
      <c r="J112" s="154"/>
      <c r="K112" s="154"/>
      <c r="L112" s="149" t="s">
        <v>501</v>
      </c>
      <c r="M112" s="170"/>
      <c r="N112" s="171">
        <v>-4</v>
      </c>
      <c r="O112" s="164"/>
      <c r="P112" s="164" t="s">
        <v>80</v>
      </c>
      <c r="Q112" s="164" t="s">
        <v>10</v>
      </c>
      <c r="R112" s="164" t="s">
        <v>81</v>
      </c>
      <c r="S112" s="176">
        <v>1</v>
      </c>
      <c r="T112" s="157">
        <v>-1.2</v>
      </c>
      <c r="U112" s="173">
        <f t="shared" si="1"/>
        <v>-1.2</v>
      </c>
      <c r="V112" s="152"/>
      <c r="W112" s="152"/>
      <c r="X112" s="152"/>
      <c r="Y112" s="152"/>
      <c r="Z112" s="152"/>
      <c r="AA112" s="152"/>
      <c r="AB112" s="152"/>
      <c r="AC112" s="152"/>
      <c r="AD112" s="152"/>
      <c r="AE112" s="152"/>
      <c r="AF112" s="152"/>
      <c r="AG112" s="152"/>
      <c r="AH112" s="152"/>
      <c r="AI112" s="152"/>
      <c r="AJ112" s="152"/>
      <c r="AK112" s="152"/>
      <c r="AL112" s="152"/>
      <c r="AM112" s="485"/>
      <c r="AN112" s="194"/>
      <c r="AO112" s="194"/>
      <c r="AP112" s="194"/>
      <c r="AQ112" s="503"/>
      <c r="AR112" s="503"/>
      <c r="AS112" s="194"/>
      <c r="AT112" s="194"/>
      <c r="AU112" s="194"/>
      <c r="AV112" s="503"/>
      <c r="AW112" s="194"/>
      <c r="AX112" s="194"/>
      <c r="AY112" s="194"/>
      <c r="AZ112" s="503"/>
      <c r="BA112" s="503"/>
    </row>
    <row r="113" spans="1:53 16364:16381" ht="33.75" hidden="1" customHeight="1">
      <c r="A113" s="151"/>
      <c r="B113" s="258">
        <v>46064</v>
      </c>
      <c r="C113" s="236" t="s">
        <v>75</v>
      </c>
      <c r="D113" s="144" t="s">
        <v>76</v>
      </c>
      <c r="E113" s="169" t="s">
        <v>6</v>
      </c>
      <c r="F113" s="169" t="s">
        <v>502</v>
      </c>
      <c r="G113" s="149" t="s">
        <v>503</v>
      </c>
      <c r="H113" s="149" t="s">
        <v>504</v>
      </c>
      <c r="I113" s="154" t="s">
        <v>505</v>
      </c>
      <c r="J113" s="170"/>
      <c r="K113" s="171"/>
      <c r="L113" s="164"/>
      <c r="M113" s="164"/>
      <c r="N113" s="164"/>
      <c r="O113" s="164"/>
      <c r="P113" s="176"/>
      <c r="Q113" s="157" t="s">
        <v>10</v>
      </c>
      <c r="R113" s="173" t="s">
        <v>81</v>
      </c>
      <c r="S113" s="172">
        <v>0.5</v>
      </c>
      <c r="T113" s="286">
        <v>2.2000000000000002</v>
      </c>
      <c r="U113" s="173">
        <f>T113*S113</f>
        <v>1.1000000000000001</v>
      </c>
      <c r="V113" s="174"/>
      <c r="W113" s="174"/>
      <c r="X113" s="174"/>
      <c r="Y113" s="174"/>
      <c r="Z113" s="174"/>
      <c r="AA113" s="174"/>
      <c r="AB113" s="174"/>
      <c r="AC113" s="174"/>
      <c r="AD113" s="174"/>
      <c r="AE113" s="174"/>
      <c r="AF113" s="174"/>
      <c r="AG113" s="198"/>
      <c r="AH113" s="198"/>
      <c r="AI113" s="198"/>
      <c r="AJ113" s="198"/>
      <c r="AK113" s="198"/>
      <c r="AL113" s="198"/>
      <c r="AM113" s="198"/>
      <c r="AN113" s="194"/>
      <c r="AO113" s="194"/>
      <c r="AP113" s="194"/>
      <c r="AQ113" s="194">
        <v>1</v>
      </c>
      <c r="AR113" s="194">
        <v>1</v>
      </c>
      <c r="AS113" s="194"/>
      <c r="AT113" s="194">
        <v>1</v>
      </c>
      <c r="AU113" s="194">
        <v>1</v>
      </c>
      <c r="AV113" s="194">
        <v>1</v>
      </c>
      <c r="AW113" s="194"/>
      <c r="AX113" s="194"/>
      <c r="AY113" s="194">
        <v>1</v>
      </c>
      <c r="AZ113" s="194">
        <v>1</v>
      </c>
      <c r="BA113" s="194">
        <v>1</v>
      </c>
      <c r="XEJ113" s="488"/>
      <c r="XEK113" s="489"/>
      <c r="XEL113" s="490"/>
      <c r="XEM113" s="491"/>
      <c r="XEN113" s="490"/>
      <c r="XEO113" s="490"/>
      <c r="XEP113" s="491"/>
      <c r="XEQ113" s="491"/>
      <c r="XER113" s="492"/>
      <c r="XES113" s="491"/>
      <c r="XET113" s="493"/>
      <c r="XEU113" s="494"/>
      <c r="XEV113" s="494"/>
      <c r="XEW113" s="494"/>
      <c r="XEX113" s="494"/>
      <c r="XEY113" s="495"/>
      <c r="XEZ113" s="496"/>
      <c r="XFA113" s="497"/>
    </row>
    <row r="114" spans="1:53 16364:16381" ht="97.5" hidden="1" customHeight="1">
      <c r="A114" s="289">
        <v>59</v>
      </c>
      <c r="B114" s="290"/>
      <c r="C114" s="266" t="s">
        <v>75</v>
      </c>
      <c r="D114" s="293" t="s">
        <v>76</v>
      </c>
      <c r="E114" s="291" t="s">
        <v>3</v>
      </c>
      <c r="F114" s="291" t="s">
        <v>502</v>
      </c>
      <c r="G114" s="293" t="s">
        <v>381</v>
      </c>
      <c r="H114" s="293" t="s">
        <v>506</v>
      </c>
      <c r="I114" s="293"/>
      <c r="J114" s="293"/>
      <c r="K114" s="293"/>
      <c r="L114" s="293" t="s">
        <v>507</v>
      </c>
      <c r="M114" s="293"/>
      <c r="N114" s="247" t="s">
        <v>508</v>
      </c>
      <c r="O114" s="262"/>
      <c r="P114" s="262" t="s">
        <v>413</v>
      </c>
      <c r="Q114" s="262" t="s">
        <v>10</v>
      </c>
      <c r="R114" s="262" t="s">
        <v>471</v>
      </c>
      <c r="S114" s="294">
        <v>0</v>
      </c>
      <c r="T114" s="295">
        <v>-4</v>
      </c>
      <c r="U114" s="296">
        <f t="shared" si="1"/>
        <v>0</v>
      </c>
      <c r="V114" s="297"/>
      <c r="W114" s="297"/>
      <c r="X114" s="297"/>
      <c r="Y114" s="297">
        <v>1</v>
      </c>
      <c r="Z114" s="297">
        <v>1</v>
      </c>
      <c r="AA114" s="297"/>
      <c r="AB114" s="297"/>
      <c r="AC114" s="297">
        <v>1</v>
      </c>
      <c r="AD114" s="297">
        <v>1</v>
      </c>
      <c r="AE114" s="297"/>
      <c r="AF114" s="297"/>
      <c r="AG114" s="297"/>
      <c r="AH114" s="297">
        <v>1</v>
      </c>
      <c r="AI114" s="297">
        <v>1</v>
      </c>
      <c r="AJ114" s="297"/>
      <c r="AK114" s="297"/>
      <c r="AL114" s="297">
        <v>1</v>
      </c>
      <c r="AM114" s="486">
        <v>1</v>
      </c>
      <c r="AN114" s="297"/>
      <c r="AO114" s="297"/>
      <c r="AP114" s="506"/>
      <c r="AQ114" s="297">
        <v>1</v>
      </c>
      <c r="AR114" s="297">
        <v>1</v>
      </c>
      <c r="AS114" s="297"/>
      <c r="AT114" s="297"/>
      <c r="AU114" s="506"/>
      <c r="AV114" s="297">
        <v>1</v>
      </c>
      <c r="AW114" s="297"/>
      <c r="AX114" s="297"/>
      <c r="AY114" s="506"/>
      <c r="AZ114" s="297">
        <v>1</v>
      </c>
      <c r="BA114" s="297">
        <v>1</v>
      </c>
    </row>
    <row r="115" spans="1:53 16364:16381" ht="29.25" hidden="1" customHeight="1">
      <c r="A115" s="182">
        <v>130</v>
      </c>
      <c r="B115" s="182" t="s">
        <v>509</v>
      </c>
      <c r="C115" s="220" t="s">
        <v>84</v>
      </c>
      <c r="D115" s="462" t="s">
        <v>102</v>
      </c>
      <c r="E115" s="220" t="s">
        <v>3</v>
      </c>
      <c r="F115" s="220" t="s">
        <v>103</v>
      </c>
      <c r="G115" s="185" t="s">
        <v>510</v>
      </c>
      <c r="H115" s="149" t="s">
        <v>228</v>
      </c>
      <c r="I115" s="170" t="s">
        <v>511</v>
      </c>
      <c r="J115" s="170" t="s">
        <v>512</v>
      </c>
      <c r="K115" s="170"/>
      <c r="L115" s="170" t="s">
        <v>513</v>
      </c>
      <c r="M115" s="170"/>
      <c r="N115" s="187"/>
      <c r="O115" s="164"/>
      <c r="P115" s="164" t="s">
        <v>80</v>
      </c>
      <c r="Q115" s="164" t="s">
        <v>4</v>
      </c>
      <c r="R115" s="164"/>
      <c r="S115" s="172">
        <v>0.25</v>
      </c>
      <c r="T115" s="157">
        <v>-0.5</v>
      </c>
      <c r="U115" s="173">
        <f t="shared" si="1"/>
        <v>-0.125</v>
      </c>
      <c r="V115" s="174">
        <v>1</v>
      </c>
      <c r="W115" s="174">
        <v>1</v>
      </c>
      <c r="X115" s="174">
        <v>1</v>
      </c>
      <c r="Y115" s="174">
        <v>1</v>
      </c>
      <c r="Z115" s="174">
        <v>1</v>
      </c>
      <c r="AA115" s="174">
        <v>1</v>
      </c>
      <c r="AB115" s="174">
        <v>1</v>
      </c>
      <c r="AC115" s="174">
        <v>1</v>
      </c>
      <c r="AD115" s="174">
        <v>1</v>
      </c>
      <c r="AE115" s="174">
        <v>1</v>
      </c>
      <c r="AF115" s="174">
        <v>1</v>
      </c>
      <c r="AG115" s="174">
        <v>1</v>
      </c>
      <c r="AH115" s="174">
        <v>1</v>
      </c>
      <c r="AI115" s="174">
        <v>1</v>
      </c>
      <c r="AJ115" s="174">
        <v>1</v>
      </c>
      <c r="AK115" s="174">
        <v>1</v>
      </c>
      <c r="AL115" s="174">
        <v>1</v>
      </c>
      <c r="AM115" s="478">
        <v>1</v>
      </c>
      <c r="AN115" s="174">
        <v>1</v>
      </c>
      <c r="AO115" s="174">
        <v>1</v>
      </c>
      <c r="AP115" s="174">
        <v>1</v>
      </c>
      <c r="AQ115" s="174">
        <v>1</v>
      </c>
      <c r="AR115" s="174">
        <v>1</v>
      </c>
      <c r="AS115" s="174">
        <v>1</v>
      </c>
      <c r="AT115" s="174">
        <v>1</v>
      </c>
      <c r="AU115" s="174">
        <v>1</v>
      </c>
      <c r="AV115" s="174">
        <v>1</v>
      </c>
      <c r="AW115" s="174">
        <v>1</v>
      </c>
      <c r="AX115" s="174">
        <v>1</v>
      </c>
      <c r="AY115" s="174">
        <v>1</v>
      </c>
      <c r="AZ115" s="174">
        <v>1</v>
      </c>
      <c r="BA115" s="174">
        <v>1</v>
      </c>
    </row>
    <row r="116" spans="1:53 16364:16381" ht="33.75" hidden="1" customHeight="1">
      <c r="A116" s="168" t="s">
        <v>514</v>
      </c>
      <c r="B116" s="168" t="s">
        <v>161</v>
      </c>
      <c r="C116" s="169" t="s">
        <v>84</v>
      </c>
      <c r="D116" s="467" t="s">
        <v>76</v>
      </c>
      <c r="E116" s="169" t="s">
        <v>3</v>
      </c>
      <c r="F116" s="169" t="s">
        <v>155</v>
      </c>
      <c r="G116" s="149" t="s">
        <v>264</v>
      </c>
      <c r="H116" s="170" t="s">
        <v>228</v>
      </c>
      <c r="I116" s="170" t="s">
        <v>266</v>
      </c>
      <c r="J116" s="170" t="s">
        <v>302</v>
      </c>
      <c r="K116" s="170"/>
      <c r="L116" s="170" t="s">
        <v>515</v>
      </c>
      <c r="M116" s="170"/>
      <c r="N116" s="187"/>
      <c r="O116" s="164"/>
      <c r="P116" s="164" t="s">
        <v>80</v>
      </c>
      <c r="Q116" s="164" t="s">
        <v>7</v>
      </c>
      <c r="R116" s="164"/>
      <c r="S116" s="172">
        <v>1</v>
      </c>
      <c r="T116" s="157">
        <v>-0.1</v>
      </c>
      <c r="U116" s="173">
        <f t="shared" si="1"/>
        <v>-0.1</v>
      </c>
      <c r="V116" s="174">
        <v>1</v>
      </c>
      <c r="W116" s="174">
        <v>1</v>
      </c>
      <c r="X116" s="174">
        <v>1</v>
      </c>
      <c r="Y116" s="174">
        <v>1</v>
      </c>
      <c r="Z116" s="174">
        <v>1</v>
      </c>
      <c r="AA116" s="174">
        <v>1</v>
      </c>
      <c r="AB116" s="174">
        <v>1</v>
      </c>
      <c r="AC116" s="174">
        <v>1</v>
      </c>
      <c r="AD116" s="174">
        <v>1</v>
      </c>
      <c r="AE116" s="174">
        <v>1</v>
      </c>
      <c r="AF116" s="174">
        <v>1</v>
      </c>
      <c r="AG116" s="174">
        <v>1</v>
      </c>
      <c r="AH116" s="174">
        <v>1</v>
      </c>
      <c r="AI116" s="174">
        <v>1</v>
      </c>
      <c r="AJ116" s="174">
        <v>1</v>
      </c>
      <c r="AK116" s="174">
        <v>1</v>
      </c>
      <c r="AL116" s="174">
        <v>1</v>
      </c>
      <c r="AM116" s="478">
        <v>1</v>
      </c>
      <c r="AN116" s="174">
        <v>1</v>
      </c>
      <c r="AO116" s="174">
        <v>1</v>
      </c>
      <c r="AP116" s="174">
        <v>1</v>
      </c>
      <c r="AQ116" s="174"/>
      <c r="AR116" s="174"/>
      <c r="AS116" s="174">
        <v>1</v>
      </c>
      <c r="AT116" s="174"/>
      <c r="AU116" s="174"/>
      <c r="AV116" s="174"/>
      <c r="AW116" s="174">
        <v>1</v>
      </c>
      <c r="AX116" s="174">
        <v>1</v>
      </c>
      <c r="AY116" s="174"/>
      <c r="AZ116" s="174"/>
      <c r="BA116" s="174"/>
    </row>
    <row r="117" spans="1:53 16364:16381" ht="33.75" hidden="1" customHeight="1">
      <c r="A117" s="168">
        <v>307</v>
      </c>
      <c r="B117" s="251">
        <v>46058</v>
      </c>
      <c r="C117" s="169" t="s">
        <v>84</v>
      </c>
      <c r="D117" s="467" t="s">
        <v>180</v>
      </c>
      <c r="E117" s="220" t="s">
        <v>3</v>
      </c>
      <c r="F117" s="169" t="s">
        <v>181</v>
      </c>
      <c r="G117" s="149" t="s">
        <v>516</v>
      </c>
      <c r="H117" s="385" t="s">
        <v>517</v>
      </c>
      <c r="I117" s="170" t="s">
        <v>518</v>
      </c>
      <c r="J117" s="153" t="s">
        <v>519</v>
      </c>
      <c r="K117" s="154" t="s">
        <v>186</v>
      </c>
      <c r="L117" s="170" t="s">
        <v>520</v>
      </c>
      <c r="M117" s="170"/>
      <c r="N117" s="187"/>
      <c r="O117" s="164"/>
      <c r="P117" s="164" t="s">
        <v>80</v>
      </c>
      <c r="Q117" s="164" t="s">
        <v>10</v>
      </c>
      <c r="R117" s="164"/>
      <c r="S117" s="172">
        <v>0.5</v>
      </c>
      <c r="T117" s="157">
        <v>-0.4</v>
      </c>
      <c r="U117" s="173">
        <f t="shared" si="1"/>
        <v>-0.2</v>
      </c>
      <c r="V117" s="174">
        <v>1</v>
      </c>
      <c r="W117" s="174">
        <v>1</v>
      </c>
      <c r="X117" s="174">
        <v>1</v>
      </c>
      <c r="Y117" s="174">
        <v>1</v>
      </c>
      <c r="Z117" s="174">
        <v>1</v>
      </c>
      <c r="AA117" s="174">
        <v>1</v>
      </c>
      <c r="AB117" s="174">
        <v>1</v>
      </c>
      <c r="AC117" s="174">
        <v>1</v>
      </c>
      <c r="AD117" s="174">
        <v>1</v>
      </c>
      <c r="AE117" s="174">
        <v>1</v>
      </c>
      <c r="AF117" s="174">
        <v>1</v>
      </c>
      <c r="AG117" s="174">
        <v>1</v>
      </c>
      <c r="AH117" s="174">
        <v>1</v>
      </c>
      <c r="AI117" s="174">
        <v>1</v>
      </c>
      <c r="AJ117" s="174">
        <v>1</v>
      </c>
      <c r="AK117" s="174">
        <v>1</v>
      </c>
      <c r="AL117" s="174">
        <v>1</v>
      </c>
      <c r="AM117" s="478">
        <v>1</v>
      </c>
      <c r="AN117" s="174">
        <v>1</v>
      </c>
      <c r="AO117" s="174">
        <v>1</v>
      </c>
      <c r="AP117" s="174">
        <v>1</v>
      </c>
      <c r="AQ117" s="174">
        <v>1</v>
      </c>
      <c r="AR117" s="174">
        <v>1</v>
      </c>
      <c r="AS117" s="174">
        <v>1</v>
      </c>
      <c r="AT117" s="174">
        <v>1</v>
      </c>
      <c r="AU117" s="174">
        <v>1</v>
      </c>
      <c r="AV117" s="174">
        <v>1</v>
      </c>
      <c r="AW117" s="174">
        <v>1</v>
      </c>
      <c r="AX117" s="174">
        <v>1</v>
      </c>
      <c r="AY117" s="174">
        <v>1</v>
      </c>
      <c r="AZ117" s="174">
        <v>1</v>
      </c>
      <c r="BA117" s="174">
        <v>1</v>
      </c>
    </row>
    <row r="118" spans="1:53 16364:16381" ht="33.75" hidden="1" customHeight="1">
      <c r="A118" s="210"/>
      <c r="B118" s="252"/>
      <c r="C118" s="211" t="s">
        <v>367</v>
      </c>
      <c r="D118" s="223" t="s">
        <v>76</v>
      </c>
      <c r="E118" s="211" t="s">
        <v>3</v>
      </c>
      <c r="F118" s="211"/>
      <c r="G118" s="212" t="s">
        <v>521</v>
      </c>
      <c r="H118" s="212" t="s">
        <v>522</v>
      </c>
      <c r="I118" s="213" t="s">
        <v>523</v>
      </c>
      <c r="J118" s="213" t="s">
        <v>524</v>
      </c>
      <c r="K118" s="212" t="s">
        <v>525</v>
      </c>
      <c r="L118" s="526"/>
      <c r="M118" s="212"/>
      <c r="N118" s="214">
        <v>-0.65</v>
      </c>
      <c r="O118" s="215"/>
      <c r="P118" s="215" t="s">
        <v>80</v>
      </c>
      <c r="Q118" s="215" t="s">
        <v>7</v>
      </c>
      <c r="R118" s="215" t="s">
        <v>81</v>
      </c>
      <c r="S118" s="216">
        <v>1</v>
      </c>
      <c r="T118" s="157">
        <v>-0.53</v>
      </c>
      <c r="U118" s="173">
        <f t="shared" si="1"/>
        <v>-0.53</v>
      </c>
      <c r="V118" s="152"/>
      <c r="W118" s="152"/>
      <c r="X118" s="152"/>
      <c r="Y118" s="152">
        <v>1</v>
      </c>
      <c r="Z118" s="152">
        <v>1</v>
      </c>
      <c r="AA118" s="152"/>
      <c r="AB118" s="152"/>
      <c r="AC118" s="152">
        <v>1</v>
      </c>
      <c r="AD118" s="152">
        <v>1</v>
      </c>
      <c r="AE118" s="152"/>
      <c r="AF118" s="152"/>
      <c r="AG118" s="152"/>
      <c r="AH118" s="152">
        <v>1</v>
      </c>
      <c r="AI118" s="152">
        <v>1</v>
      </c>
      <c r="AJ118" s="152"/>
      <c r="AK118" s="152"/>
      <c r="AL118" s="152">
        <v>1</v>
      </c>
      <c r="AM118" s="485">
        <v>1</v>
      </c>
      <c r="AN118" s="194"/>
      <c r="AO118" s="194"/>
      <c r="AP118" s="194"/>
      <c r="AQ118" s="503">
        <v>1</v>
      </c>
      <c r="AR118" s="503">
        <v>1</v>
      </c>
      <c r="AS118" s="194"/>
      <c r="AT118" s="194"/>
      <c r="AU118" s="194"/>
      <c r="AV118" s="503">
        <v>1</v>
      </c>
      <c r="AW118" s="194"/>
      <c r="AX118" s="194"/>
      <c r="AY118" s="194"/>
      <c r="AZ118" s="503">
        <v>1</v>
      </c>
      <c r="BA118" s="503">
        <v>1</v>
      </c>
    </row>
    <row r="119" spans="1:53 16364:16381" ht="33.75" hidden="1" customHeight="1">
      <c r="A119" s="235"/>
      <c r="B119" s="235"/>
      <c r="C119" s="236" t="s">
        <v>367</v>
      </c>
      <c r="D119" s="237" t="s">
        <v>76</v>
      </c>
      <c r="E119" s="236" t="s">
        <v>3</v>
      </c>
      <c r="F119" s="236"/>
      <c r="G119" s="237" t="s">
        <v>526</v>
      </c>
      <c r="H119" s="237" t="s">
        <v>527</v>
      </c>
      <c r="I119" s="528" t="s">
        <v>528</v>
      </c>
      <c r="J119" s="238" t="s">
        <v>529</v>
      </c>
      <c r="K119" s="528" t="s">
        <v>530</v>
      </c>
      <c r="L119" s="529" t="s">
        <v>531</v>
      </c>
      <c r="M119" s="237" t="s">
        <v>532</v>
      </c>
      <c r="N119" s="239">
        <v>-11</v>
      </c>
      <c r="O119" s="240"/>
      <c r="P119" s="240" t="s">
        <v>80</v>
      </c>
      <c r="Q119" s="240" t="s">
        <v>10</v>
      </c>
      <c r="R119" s="240" t="s">
        <v>81</v>
      </c>
      <c r="S119" s="241">
        <v>1</v>
      </c>
      <c r="T119" s="242">
        <v>-0.5</v>
      </c>
      <c r="U119" s="173">
        <f t="shared" si="1"/>
        <v>-0.5</v>
      </c>
      <c r="V119" s="152"/>
      <c r="W119" s="152"/>
      <c r="X119" s="152"/>
      <c r="Y119" s="152">
        <v>1</v>
      </c>
      <c r="Z119" s="152">
        <v>1</v>
      </c>
      <c r="AA119" s="152"/>
      <c r="AB119" s="152"/>
      <c r="AC119" s="152">
        <v>1</v>
      </c>
      <c r="AD119" s="152">
        <v>1</v>
      </c>
      <c r="AE119" s="152"/>
      <c r="AF119" s="152"/>
      <c r="AG119" s="152"/>
      <c r="AH119" s="152">
        <v>1</v>
      </c>
      <c r="AI119" s="152">
        <v>1</v>
      </c>
      <c r="AJ119" s="152"/>
      <c r="AK119" s="152"/>
      <c r="AL119" s="152">
        <v>1</v>
      </c>
      <c r="AM119" s="485">
        <v>1</v>
      </c>
      <c r="AN119" s="194"/>
      <c r="AO119" s="194"/>
      <c r="AP119" s="194"/>
      <c r="AQ119" s="503">
        <v>1</v>
      </c>
      <c r="AR119" s="503">
        <v>1</v>
      </c>
      <c r="AS119" s="194"/>
      <c r="AT119" s="194"/>
      <c r="AU119" s="194"/>
      <c r="AV119" s="503">
        <v>1</v>
      </c>
      <c r="AW119" s="194"/>
      <c r="AX119" s="194"/>
      <c r="AY119" s="194"/>
      <c r="AZ119" s="503">
        <v>1</v>
      </c>
      <c r="BA119" s="503">
        <v>1</v>
      </c>
    </row>
    <row r="120" spans="1:53 16364:16381" ht="33.75" hidden="1" customHeight="1">
      <c r="A120" s="329"/>
      <c r="B120" s="253">
        <v>45536</v>
      </c>
      <c r="C120" s="220" t="s">
        <v>75</v>
      </c>
      <c r="D120" s="149" t="s">
        <v>180</v>
      </c>
      <c r="E120" s="220" t="s">
        <v>3</v>
      </c>
      <c r="F120" s="220" t="s">
        <v>181</v>
      </c>
      <c r="G120" s="149" t="s">
        <v>533</v>
      </c>
      <c r="H120" s="149" t="s">
        <v>534</v>
      </c>
      <c r="I120" s="154" t="s">
        <v>535</v>
      </c>
      <c r="J120" s="530" t="s">
        <v>536</v>
      </c>
      <c r="K120" s="293" t="s">
        <v>426</v>
      </c>
      <c r="L120" s="531" t="s">
        <v>537</v>
      </c>
      <c r="M120" s="149">
        <v>0</v>
      </c>
      <c r="N120" s="185">
        <v>-0.12</v>
      </c>
      <c r="O120" s="186"/>
      <c r="P120" s="186" t="s">
        <v>80</v>
      </c>
      <c r="Q120" s="186" t="s">
        <v>10</v>
      </c>
      <c r="R120" s="186" t="s">
        <v>81</v>
      </c>
      <c r="S120" s="176">
        <v>0.5</v>
      </c>
      <c r="T120" s="295">
        <v>-0.23</v>
      </c>
      <c r="U120" s="173">
        <f t="shared" si="1"/>
        <v>-0.115</v>
      </c>
      <c r="V120" s="174">
        <v>1</v>
      </c>
      <c r="W120" s="174">
        <v>1</v>
      </c>
      <c r="X120" s="174">
        <v>1</v>
      </c>
      <c r="Y120" s="174">
        <v>1</v>
      </c>
      <c r="Z120" s="174">
        <v>1</v>
      </c>
      <c r="AA120" s="174">
        <v>1</v>
      </c>
      <c r="AB120" s="174">
        <v>1</v>
      </c>
      <c r="AC120" s="174">
        <v>1</v>
      </c>
      <c r="AD120" s="174">
        <v>1</v>
      </c>
      <c r="AE120" s="174">
        <v>1</v>
      </c>
      <c r="AF120" s="174">
        <v>1</v>
      </c>
      <c r="AG120" s="174">
        <v>1</v>
      </c>
      <c r="AH120" s="174">
        <v>1</v>
      </c>
      <c r="AI120" s="174">
        <v>1</v>
      </c>
      <c r="AJ120" s="174">
        <v>1</v>
      </c>
      <c r="AK120" s="174">
        <v>1</v>
      </c>
      <c r="AL120" s="174">
        <v>1</v>
      </c>
      <c r="AM120" s="478">
        <v>1</v>
      </c>
      <c r="AN120" s="174">
        <v>1</v>
      </c>
      <c r="AO120" s="174">
        <v>1</v>
      </c>
      <c r="AP120" s="174">
        <v>1</v>
      </c>
      <c r="AQ120" s="174">
        <v>1</v>
      </c>
      <c r="AR120" s="174">
        <v>1</v>
      </c>
      <c r="AS120" s="174">
        <v>1</v>
      </c>
      <c r="AT120" s="174">
        <v>1</v>
      </c>
      <c r="AU120" s="174">
        <v>1</v>
      </c>
      <c r="AV120" s="174">
        <v>1</v>
      </c>
      <c r="AW120" s="174">
        <v>1</v>
      </c>
      <c r="AX120" s="174">
        <v>1</v>
      </c>
      <c r="AY120" s="174">
        <v>1</v>
      </c>
      <c r="AZ120" s="174">
        <v>1</v>
      </c>
      <c r="BA120" s="174">
        <v>1</v>
      </c>
    </row>
    <row r="121" spans="1:53 16364:16381" ht="29.25" hidden="1" customHeight="1">
      <c r="A121" s="329"/>
      <c r="B121" s="253">
        <v>46059</v>
      </c>
      <c r="C121" s="236" t="s">
        <v>75</v>
      </c>
      <c r="D121" s="467" t="s">
        <v>85</v>
      </c>
      <c r="E121" s="220" t="s">
        <v>3</v>
      </c>
      <c r="F121" s="220" t="s">
        <v>77</v>
      </c>
      <c r="G121" s="185" t="s">
        <v>538</v>
      </c>
      <c r="H121" s="472"/>
      <c r="I121" s="154"/>
      <c r="J121" s="324" t="s">
        <v>539</v>
      </c>
      <c r="K121" s="149"/>
      <c r="L121" s="519"/>
      <c r="M121" s="149"/>
      <c r="N121" s="185"/>
      <c r="O121" s="186"/>
      <c r="P121" s="186" t="s">
        <v>80</v>
      </c>
      <c r="Q121" s="186" t="s">
        <v>4</v>
      </c>
      <c r="R121" s="186"/>
      <c r="S121" s="176">
        <v>1</v>
      </c>
      <c r="T121" s="157"/>
      <c r="U121" s="173">
        <f t="shared" si="1"/>
        <v>0</v>
      </c>
      <c r="V121" s="332"/>
      <c r="W121" s="332"/>
      <c r="X121" s="332"/>
      <c r="Y121" s="332"/>
      <c r="Z121" s="332"/>
      <c r="AA121" s="332"/>
      <c r="AB121" s="332"/>
      <c r="AC121" s="332"/>
      <c r="AD121" s="332"/>
      <c r="AE121" s="332"/>
      <c r="AF121" s="332"/>
      <c r="AG121" s="332"/>
      <c r="AH121" s="332"/>
      <c r="AI121" s="332"/>
      <c r="AJ121" s="332"/>
      <c r="AK121" s="332"/>
      <c r="AL121" s="332"/>
      <c r="AM121" s="480"/>
      <c r="AN121" s="332">
        <v>1</v>
      </c>
      <c r="AO121" s="332">
        <v>1</v>
      </c>
      <c r="AP121" s="332">
        <v>1</v>
      </c>
      <c r="AQ121" s="332">
        <v>1</v>
      </c>
      <c r="AR121" s="332">
        <v>1</v>
      </c>
      <c r="AS121" s="332">
        <v>1</v>
      </c>
      <c r="AT121" s="332">
        <v>1</v>
      </c>
      <c r="AU121" s="332">
        <v>1</v>
      </c>
      <c r="AV121" s="332">
        <v>1</v>
      </c>
      <c r="AW121" s="332">
        <v>1</v>
      </c>
      <c r="AX121" s="332">
        <v>1</v>
      </c>
      <c r="AY121" s="332">
        <v>1</v>
      </c>
      <c r="AZ121" s="332">
        <v>1</v>
      </c>
      <c r="BA121" s="332">
        <v>1</v>
      </c>
    </row>
    <row r="122" spans="1:53 16364:16381" ht="29.25" hidden="1" customHeight="1">
      <c r="A122" s="329"/>
      <c r="B122" s="253">
        <v>46059</v>
      </c>
      <c r="C122" s="236" t="s">
        <v>75</v>
      </c>
      <c r="D122" s="467" t="s">
        <v>76</v>
      </c>
      <c r="E122" s="169" t="s">
        <v>3</v>
      </c>
      <c r="F122" s="169" t="s">
        <v>118</v>
      </c>
      <c r="G122" s="185" t="s">
        <v>540</v>
      </c>
      <c r="H122" s="472"/>
      <c r="I122" s="532" t="s">
        <v>541</v>
      </c>
      <c r="J122" s="518"/>
      <c r="K122" s="149"/>
      <c r="L122" s="519"/>
      <c r="M122" s="149"/>
      <c r="N122" s="185"/>
      <c r="O122" s="186"/>
      <c r="P122" s="186" t="s">
        <v>80</v>
      </c>
      <c r="Q122" s="186" t="s">
        <v>7</v>
      </c>
      <c r="R122" s="186"/>
      <c r="S122" s="172">
        <v>1</v>
      </c>
      <c r="T122" s="157"/>
      <c r="U122" s="173"/>
      <c r="V122" s="332"/>
      <c r="W122" s="332"/>
      <c r="X122" s="332"/>
      <c r="Y122" s="332"/>
      <c r="Z122" s="332"/>
      <c r="AA122" s="332"/>
      <c r="AB122" s="332"/>
      <c r="AC122" s="332"/>
      <c r="AD122" s="332"/>
      <c r="AE122" s="332"/>
      <c r="AF122" s="332"/>
      <c r="AG122" s="332"/>
      <c r="AH122" s="332"/>
      <c r="AI122" s="332"/>
      <c r="AJ122" s="332"/>
      <c r="AK122" s="332"/>
      <c r="AL122" s="332"/>
      <c r="AM122" s="480"/>
      <c r="AN122" s="332">
        <v>1</v>
      </c>
      <c r="AO122" s="332">
        <v>1</v>
      </c>
      <c r="AP122" s="332">
        <v>1</v>
      </c>
      <c r="AQ122" s="332">
        <v>1</v>
      </c>
      <c r="AR122" s="332">
        <v>1</v>
      </c>
      <c r="AS122" s="332">
        <v>1</v>
      </c>
      <c r="AT122" s="332">
        <v>1</v>
      </c>
      <c r="AU122" s="332">
        <v>1</v>
      </c>
      <c r="AV122" s="332">
        <v>1</v>
      </c>
      <c r="AW122" s="332">
        <v>1</v>
      </c>
      <c r="AX122" s="332">
        <v>1</v>
      </c>
      <c r="AY122" s="332">
        <v>1</v>
      </c>
      <c r="AZ122" s="332">
        <v>1</v>
      </c>
      <c r="BA122" s="332">
        <v>1</v>
      </c>
    </row>
    <row r="123" spans="1:53 16364:16381" ht="29.25" hidden="1" customHeight="1">
      <c r="A123" s="151"/>
      <c r="B123" s="258">
        <v>45536</v>
      </c>
      <c r="C123" s="236" t="s">
        <v>75</v>
      </c>
      <c r="D123" s="467" t="s">
        <v>180</v>
      </c>
      <c r="E123" s="169" t="s">
        <v>3</v>
      </c>
      <c r="F123" s="169" t="s">
        <v>181</v>
      </c>
      <c r="G123" s="185" t="s">
        <v>542</v>
      </c>
      <c r="H123" s="472" t="s">
        <v>543</v>
      </c>
      <c r="I123" s="154" t="s">
        <v>544</v>
      </c>
      <c r="J123" s="185" t="s">
        <v>545</v>
      </c>
      <c r="K123" s="154" t="s">
        <v>546</v>
      </c>
      <c r="L123" s="509" t="s">
        <v>418</v>
      </c>
      <c r="M123" s="170" t="s">
        <v>81</v>
      </c>
      <c r="N123" s="171">
        <v>1.1000000000000001</v>
      </c>
      <c r="O123" s="164"/>
      <c r="P123" s="164" t="s">
        <v>80</v>
      </c>
      <c r="Q123" s="164" t="s">
        <v>10</v>
      </c>
      <c r="R123" s="164" t="s">
        <v>81</v>
      </c>
      <c r="S123" s="176">
        <v>0.25</v>
      </c>
      <c r="T123" s="157">
        <v>-0.55000000000000004</v>
      </c>
      <c r="U123" s="173">
        <f t="shared" ref="U123" si="2">T123*S123</f>
        <v>-0.13750000000000001</v>
      </c>
      <c r="V123" s="332">
        <v>1</v>
      </c>
      <c r="W123" s="332">
        <v>1</v>
      </c>
      <c r="X123" s="332">
        <v>1</v>
      </c>
      <c r="Y123" s="332">
        <v>1</v>
      </c>
      <c r="Z123" s="332">
        <v>1</v>
      </c>
      <c r="AA123" s="332">
        <v>1</v>
      </c>
      <c r="AB123" s="332">
        <v>1</v>
      </c>
      <c r="AC123" s="332">
        <v>1</v>
      </c>
      <c r="AD123" s="332">
        <v>1</v>
      </c>
      <c r="AE123" s="332">
        <v>1</v>
      </c>
      <c r="AF123" s="332">
        <v>1</v>
      </c>
      <c r="AG123" s="332">
        <v>1</v>
      </c>
      <c r="AH123" s="332">
        <v>1</v>
      </c>
      <c r="AI123" s="332">
        <v>1</v>
      </c>
      <c r="AJ123" s="332">
        <v>1</v>
      </c>
      <c r="AK123" s="332">
        <v>1</v>
      </c>
      <c r="AL123" s="332">
        <v>1</v>
      </c>
      <c r="AM123" s="480">
        <v>1</v>
      </c>
      <c r="AN123" s="332">
        <v>1</v>
      </c>
      <c r="AO123" s="332">
        <v>1</v>
      </c>
      <c r="AP123" s="332">
        <v>1</v>
      </c>
      <c r="AQ123" s="332">
        <v>1</v>
      </c>
      <c r="AR123" s="332">
        <v>1</v>
      </c>
      <c r="AS123" s="332">
        <v>1</v>
      </c>
      <c r="AT123" s="332">
        <v>1</v>
      </c>
      <c r="AU123" s="332">
        <v>1</v>
      </c>
      <c r="AV123" s="332">
        <v>1</v>
      </c>
      <c r="AW123" s="332">
        <v>1</v>
      </c>
      <c r="AX123" s="332">
        <v>1</v>
      </c>
      <c r="AY123" s="332">
        <v>1</v>
      </c>
      <c r="AZ123" s="332">
        <v>1</v>
      </c>
      <c r="BA123" s="332">
        <v>1</v>
      </c>
    </row>
    <row r="124" spans="1:53 16364:16381" ht="29.25" hidden="1" customHeight="1">
      <c r="A124" s="151"/>
      <c r="B124" s="258">
        <v>46062</v>
      </c>
      <c r="C124" s="236" t="s">
        <v>75</v>
      </c>
      <c r="D124" s="467" t="s">
        <v>102</v>
      </c>
      <c r="E124" s="169" t="s">
        <v>3</v>
      </c>
      <c r="F124" s="169" t="s">
        <v>181</v>
      </c>
      <c r="G124" s="185" t="s">
        <v>547</v>
      </c>
      <c r="H124" s="472"/>
      <c r="I124" s="468" t="s">
        <v>548</v>
      </c>
      <c r="J124" s="171"/>
      <c r="K124" s="154"/>
      <c r="L124" s="509"/>
      <c r="M124" s="170"/>
      <c r="N124" s="171"/>
      <c r="O124" s="164"/>
      <c r="P124" s="164"/>
      <c r="Q124" s="164" t="s">
        <v>7</v>
      </c>
      <c r="R124" s="164" t="s">
        <v>81</v>
      </c>
      <c r="S124" s="176">
        <v>1</v>
      </c>
      <c r="T124" s="157">
        <v>-0.8</v>
      </c>
      <c r="U124" s="173">
        <v>-1</v>
      </c>
      <c r="V124" s="332">
        <v>1</v>
      </c>
      <c r="W124" s="332">
        <v>1</v>
      </c>
      <c r="X124" s="332">
        <v>1</v>
      </c>
      <c r="Y124" s="332">
        <v>1</v>
      </c>
      <c r="Z124" s="332">
        <v>1</v>
      </c>
      <c r="AA124" s="198"/>
      <c r="AB124" s="198"/>
      <c r="AC124" s="198"/>
      <c r="AD124" s="198"/>
      <c r="AE124" s="198"/>
      <c r="AF124" s="198"/>
      <c r="AG124" s="198"/>
      <c r="AH124" s="198"/>
      <c r="AI124" s="198"/>
      <c r="AJ124" s="198"/>
      <c r="AK124" s="198"/>
      <c r="AL124" s="198"/>
      <c r="AM124" s="198"/>
      <c r="AN124" s="332">
        <v>1</v>
      </c>
      <c r="AO124" s="332">
        <v>1</v>
      </c>
      <c r="AP124" s="332">
        <v>1</v>
      </c>
      <c r="AQ124" s="332">
        <v>1</v>
      </c>
      <c r="AR124" s="332">
        <v>1</v>
      </c>
      <c r="AS124" s="332"/>
      <c r="AT124" s="332"/>
      <c r="AU124" s="332"/>
      <c r="AV124" s="332"/>
      <c r="AW124" s="332"/>
      <c r="AX124" s="332"/>
      <c r="AY124" s="332"/>
      <c r="AZ124" s="332"/>
      <c r="BA124" s="332"/>
    </row>
    <row r="125" spans="1:53 16364:16381" ht="29.25" hidden="1" customHeight="1">
      <c r="A125" s="151"/>
      <c r="B125" s="258">
        <v>46062</v>
      </c>
      <c r="C125" s="236" t="s">
        <v>75</v>
      </c>
      <c r="D125" s="467" t="s">
        <v>180</v>
      </c>
      <c r="E125" s="169" t="s">
        <v>3</v>
      </c>
      <c r="F125" s="544" t="s">
        <v>181</v>
      </c>
      <c r="G125" s="545" t="s">
        <v>549</v>
      </c>
      <c r="H125" s="547" t="s">
        <v>550</v>
      </c>
      <c r="I125" s="548" t="s">
        <v>551</v>
      </c>
      <c r="J125" s="171" t="s">
        <v>552</v>
      </c>
      <c r="K125" s="154"/>
      <c r="L125" s="509"/>
      <c r="M125" s="549"/>
      <c r="N125" s="545"/>
      <c r="O125" s="546"/>
      <c r="P125" s="546" t="s">
        <v>317</v>
      </c>
      <c r="Q125" s="546" t="s">
        <v>4</v>
      </c>
      <c r="R125" s="164" t="s">
        <v>81</v>
      </c>
      <c r="S125" s="176">
        <v>1</v>
      </c>
      <c r="T125" s="157">
        <v>-2</v>
      </c>
      <c r="U125" s="173">
        <f t="shared" ref="U125" si="3">T125*S125</f>
        <v>-2</v>
      </c>
      <c r="V125" s="332"/>
      <c r="W125" s="332"/>
      <c r="X125" s="332"/>
      <c r="Y125" s="332"/>
      <c r="Z125" s="332"/>
      <c r="AA125" s="332"/>
      <c r="AB125" s="332"/>
      <c r="AC125" s="332"/>
      <c r="AD125" s="332"/>
      <c r="AE125" s="332"/>
      <c r="AF125" s="332"/>
      <c r="AG125" s="332"/>
      <c r="AH125" s="332"/>
      <c r="AI125" s="332"/>
      <c r="AJ125" s="332"/>
      <c r="AK125" s="332"/>
      <c r="AL125" s="332"/>
      <c r="AM125" s="480"/>
      <c r="AN125" s="332">
        <v>1</v>
      </c>
      <c r="AO125" s="332">
        <v>1</v>
      </c>
      <c r="AP125" s="332">
        <v>1</v>
      </c>
      <c r="AQ125" s="332">
        <v>1</v>
      </c>
      <c r="AR125" s="332">
        <v>1</v>
      </c>
      <c r="AS125" s="332">
        <v>1</v>
      </c>
      <c r="AT125" s="332">
        <v>1</v>
      </c>
      <c r="AU125" s="332">
        <v>1</v>
      </c>
      <c r="AV125" s="332">
        <v>1</v>
      </c>
      <c r="AW125" s="332">
        <v>1</v>
      </c>
      <c r="AX125" s="332">
        <v>1</v>
      </c>
      <c r="AY125" s="332">
        <v>1</v>
      </c>
      <c r="AZ125" s="332">
        <v>1</v>
      </c>
      <c r="BA125" s="332">
        <v>1</v>
      </c>
    </row>
    <row r="126" spans="1:53 16364:16381" ht="33.75" hidden="1" customHeight="1">
      <c r="A126" s="168">
        <v>35</v>
      </c>
      <c r="B126" s="168"/>
      <c r="C126" s="220" t="s">
        <v>84</v>
      </c>
      <c r="D126" s="144" t="s">
        <v>76</v>
      </c>
      <c r="E126" s="169" t="s">
        <v>6</v>
      </c>
      <c r="F126" s="169"/>
      <c r="G126" s="149" t="s">
        <v>553</v>
      </c>
      <c r="H126" s="149"/>
      <c r="I126" s="154"/>
      <c r="J126" s="154"/>
      <c r="K126" s="154"/>
      <c r="L126" s="149" t="s">
        <v>554</v>
      </c>
      <c r="M126" s="170"/>
      <c r="N126" s="171">
        <v>0</v>
      </c>
      <c r="O126" s="164"/>
      <c r="P126" s="164" t="s">
        <v>80</v>
      </c>
      <c r="Q126" s="164" t="s">
        <v>7</v>
      </c>
      <c r="R126" s="164" t="s">
        <v>81</v>
      </c>
      <c r="S126" s="176">
        <v>0.5</v>
      </c>
      <c r="T126" s="157">
        <v>1.4000000000000004</v>
      </c>
      <c r="U126" s="173">
        <f t="shared" si="1"/>
        <v>0.70000000000000018</v>
      </c>
      <c r="V126" s="152"/>
      <c r="W126" s="152"/>
      <c r="X126" s="152"/>
      <c r="Y126" s="152">
        <v>1</v>
      </c>
      <c r="Z126" s="152">
        <v>1</v>
      </c>
      <c r="AA126" s="152"/>
      <c r="AB126" s="152"/>
      <c r="AC126" s="152">
        <v>1</v>
      </c>
      <c r="AD126" s="152">
        <v>1</v>
      </c>
      <c r="AE126" s="152"/>
      <c r="AF126" s="152"/>
      <c r="AG126" s="152"/>
      <c r="AH126" s="152">
        <v>1</v>
      </c>
      <c r="AI126" s="152">
        <v>1</v>
      </c>
      <c r="AJ126" s="152"/>
      <c r="AK126" s="152"/>
      <c r="AL126" s="152">
        <v>1</v>
      </c>
      <c r="AM126" s="485">
        <v>1</v>
      </c>
      <c r="AN126" s="194"/>
      <c r="AO126" s="194"/>
      <c r="AP126" s="194"/>
      <c r="AQ126" s="503">
        <v>1</v>
      </c>
      <c r="AR126" s="503">
        <v>1</v>
      </c>
      <c r="AS126" s="194"/>
      <c r="AT126" s="194"/>
      <c r="AU126" s="194"/>
      <c r="AV126" s="503">
        <v>1</v>
      </c>
      <c r="AW126" s="194"/>
      <c r="AX126" s="194"/>
      <c r="AY126" s="194"/>
      <c r="AZ126" s="503">
        <v>1</v>
      </c>
      <c r="BA126" s="503">
        <v>1</v>
      </c>
    </row>
    <row r="127" spans="1:53 16364:16381" ht="33.75" hidden="1" customHeight="1">
      <c r="A127" s="182">
        <v>172</v>
      </c>
      <c r="B127" s="182"/>
      <c r="C127" s="220" t="s">
        <v>84</v>
      </c>
      <c r="D127" s="144" t="s">
        <v>76</v>
      </c>
      <c r="E127" s="169" t="s">
        <v>6</v>
      </c>
      <c r="F127" s="169"/>
      <c r="G127" s="149" t="s">
        <v>555</v>
      </c>
      <c r="H127" s="170"/>
      <c r="I127" s="144" t="s">
        <v>556</v>
      </c>
      <c r="J127" s="144"/>
      <c r="K127" s="144"/>
      <c r="L127" s="170"/>
      <c r="M127" s="170"/>
      <c r="N127" s="171">
        <v>0</v>
      </c>
      <c r="O127" s="164"/>
      <c r="P127" s="164" t="s">
        <v>80</v>
      </c>
      <c r="Q127" s="164" t="s">
        <v>10</v>
      </c>
      <c r="R127" s="164" t="s">
        <v>81</v>
      </c>
      <c r="S127" s="176">
        <v>0.5</v>
      </c>
      <c r="T127" s="157">
        <v>-1</v>
      </c>
      <c r="U127" s="173">
        <f t="shared" si="1"/>
        <v>-0.5</v>
      </c>
      <c r="V127" s="152"/>
      <c r="W127" s="152"/>
      <c r="X127" s="152"/>
      <c r="Y127" s="152">
        <v>1</v>
      </c>
      <c r="Z127" s="152">
        <v>1</v>
      </c>
      <c r="AA127" s="152"/>
      <c r="AB127" s="152"/>
      <c r="AC127" s="152">
        <v>1</v>
      </c>
      <c r="AD127" s="152">
        <v>1</v>
      </c>
      <c r="AE127" s="152"/>
      <c r="AF127" s="152"/>
      <c r="AG127" s="152"/>
      <c r="AH127" s="152">
        <v>1</v>
      </c>
      <c r="AI127" s="152">
        <v>1</v>
      </c>
      <c r="AJ127" s="152"/>
      <c r="AK127" s="152"/>
      <c r="AL127" s="152">
        <v>1</v>
      </c>
      <c r="AM127" s="485">
        <v>1</v>
      </c>
      <c r="AN127" s="194"/>
      <c r="AO127" s="194"/>
      <c r="AP127" s="194"/>
      <c r="AQ127" s="503">
        <v>1</v>
      </c>
      <c r="AR127" s="503">
        <v>1</v>
      </c>
      <c r="AS127" s="194"/>
      <c r="AT127" s="194"/>
      <c r="AU127" s="194"/>
      <c r="AV127" s="503">
        <v>1</v>
      </c>
      <c r="AW127" s="194"/>
      <c r="AX127" s="194"/>
      <c r="AY127" s="194"/>
      <c r="AZ127" s="503">
        <v>1</v>
      </c>
      <c r="BA127" s="503">
        <v>1</v>
      </c>
    </row>
    <row r="128" spans="1:53 16364:16381" ht="33.75" hidden="1" customHeight="1">
      <c r="A128" s="168" t="s">
        <v>236</v>
      </c>
      <c r="B128" s="168"/>
      <c r="C128" s="220" t="s">
        <v>84</v>
      </c>
      <c r="D128" s="144" t="s">
        <v>76</v>
      </c>
      <c r="E128" s="169" t="s">
        <v>172</v>
      </c>
      <c r="F128" s="169"/>
      <c r="G128" s="149" t="s">
        <v>557</v>
      </c>
      <c r="H128" s="149"/>
      <c r="I128" s="154" t="s">
        <v>239</v>
      </c>
      <c r="J128" s="154"/>
      <c r="K128" s="154"/>
      <c r="L128" s="509" t="s">
        <v>558</v>
      </c>
      <c r="M128" s="170"/>
      <c r="N128" s="171"/>
      <c r="O128" s="164"/>
      <c r="P128" s="164"/>
      <c r="Q128" s="164" t="s">
        <v>10</v>
      </c>
      <c r="R128" s="164" t="s">
        <v>81</v>
      </c>
      <c r="S128" s="176">
        <v>1</v>
      </c>
      <c r="T128" s="157">
        <v>-3.76</v>
      </c>
      <c r="U128" s="173">
        <f t="shared" si="1"/>
        <v>-3.76</v>
      </c>
      <c r="V128" s="152"/>
      <c r="W128" s="152"/>
      <c r="X128" s="152"/>
      <c r="Y128" s="152">
        <v>1</v>
      </c>
      <c r="Z128" s="152">
        <v>1</v>
      </c>
      <c r="AA128" s="152"/>
      <c r="AB128" s="152"/>
      <c r="AC128" s="152">
        <v>1</v>
      </c>
      <c r="AD128" s="152">
        <v>1</v>
      </c>
      <c r="AE128" s="152"/>
      <c r="AF128" s="152"/>
      <c r="AG128" s="152"/>
      <c r="AH128" s="152">
        <v>1</v>
      </c>
      <c r="AI128" s="152">
        <v>1</v>
      </c>
      <c r="AJ128" s="152"/>
      <c r="AK128" s="152"/>
      <c r="AL128" s="152">
        <v>1</v>
      </c>
      <c r="AM128" s="485">
        <v>1</v>
      </c>
      <c r="AN128" s="194"/>
      <c r="AO128" s="194"/>
      <c r="AP128" s="194"/>
      <c r="AQ128" s="503">
        <v>1</v>
      </c>
      <c r="AR128" s="503">
        <v>1</v>
      </c>
      <c r="AS128" s="194"/>
      <c r="AT128" s="194"/>
      <c r="AU128" s="194"/>
      <c r="AV128" s="503">
        <v>1</v>
      </c>
      <c r="AW128" s="194"/>
      <c r="AX128" s="194"/>
      <c r="AY128" s="194"/>
      <c r="AZ128" s="503">
        <v>1</v>
      </c>
      <c r="BA128" s="503">
        <v>1</v>
      </c>
    </row>
    <row r="129" spans="1:53" ht="33.75" hidden="1" customHeight="1">
      <c r="A129" s="168" t="s">
        <v>559</v>
      </c>
      <c r="B129" s="168"/>
      <c r="C129" s="220" t="s">
        <v>84</v>
      </c>
      <c r="D129" s="144" t="s">
        <v>76</v>
      </c>
      <c r="E129" s="169" t="s">
        <v>6</v>
      </c>
      <c r="F129" s="169"/>
      <c r="G129" s="193" t="s">
        <v>560</v>
      </c>
      <c r="H129" s="170"/>
      <c r="I129" s="170" t="s">
        <v>561</v>
      </c>
      <c r="J129" s="170"/>
      <c r="K129" s="170"/>
      <c r="L129" s="170" t="s">
        <v>562</v>
      </c>
      <c r="M129" s="170"/>
      <c r="N129" s="171">
        <v>0</v>
      </c>
      <c r="O129" s="164"/>
      <c r="P129" s="164" t="s">
        <v>80</v>
      </c>
      <c r="Q129" s="164" t="s">
        <v>10</v>
      </c>
      <c r="R129" s="164" t="s">
        <v>81</v>
      </c>
      <c r="S129" s="172">
        <v>0</v>
      </c>
      <c r="T129" s="157">
        <v>-1</v>
      </c>
      <c r="U129" s="173">
        <f t="shared" si="1"/>
        <v>0</v>
      </c>
      <c r="V129" s="152"/>
      <c r="W129" s="152"/>
      <c r="X129" s="152"/>
      <c r="Y129" s="152">
        <v>1</v>
      </c>
      <c r="Z129" s="152">
        <v>1</v>
      </c>
      <c r="AA129" s="152"/>
      <c r="AB129" s="152"/>
      <c r="AC129" s="152">
        <v>1</v>
      </c>
      <c r="AD129" s="152">
        <v>1</v>
      </c>
      <c r="AE129" s="152"/>
      <c r="AF129" s="152"/>
      <c r="AG129" s="152"/>
      <c r="AH129" s="152">
        <v>1</v>
      </c>
      <c r="AI129" s="152">
        <v>1</v>
      </c>
      <c r="AJ129" s="152"/>
      <c r="AK129" s="152"/>
      <c r="AL129" s="152">
        <v>1</v>
      </c>
      <c r="AM129" s="485">
        <v>1</v>
      </c>
      <c r="AN129" s="194"/>
      <c r="AO129" s="194"/>
      <c r="AP129" s="194"/>
      <c r="AQ129" s="503">
        <v>1</v>
      </c>
      <c r="AR129" s="503">
        <v>1</v>
      </c>
      <c r="AS129" s="194"/>
      <c r="AT129" s="194"/>
      <c r="AU129" s="194"/>
      <c r="AV129" s="503">
        <v>1</v>
      </c>
      <c r="AW129" s="194"/>
      <c r="AX129" s="194"/>
      <c r="AY129" s="194"/>
      <c r="AZ129" s="503">
        <v>1</v>
      </c>
      <c r="BA129" s="503">
        <v>1</v>
      </c>
    </row>
    <row r="130" spans="1:53" ht="33.75" hidden="1" customHeight="1">
      <c r="A130" s="168" t="s">
        <v>563</v>
      </c>
      <c r="B130" s="168"/>
      <c r="C130" s="220" t="s">
        <v>84</v>
      </c>
      <c r="D130" s="144" t="s">
        <v>76</v>
      </c>
      <c r="E130" s="169" t="s">
        <v>6</v>
      </c>
      <c r="F130" s="169"/>
      <c r="G130" s="149" t="s">
        <v>564</v>
      </c>
      <c r="H130" s="170" t="s">
        <v>565</v>
      </c>
      <c r="I130" s="170" t="s">
        <v>566</v>
      </c>
      <c r="J130" s="170"/>
      <c r="K130" s="170"/>
      <c r="L130" s="170" t="s">
        <v>567</v>
      </c>
      <c r="M130" s="170"/>
      <c r="N130" s="171">
        <v>-10</v>
      </c>
      <c r="O130" s="164"/>
      <c r="P130" s="164"/>
      <c r="Q130" s="164" t="s">
        <v>7</v>
      </c>
      <c r="R130" s="164" t="s">
        <v>81</v>
      </c>
      <c r="S130" s="176">
        <v>1</v>
      </c>
      <c r="T130" s="157">
        <v>-1.4</v>
      </c>
      <c r="U130" s="173">
        <f t="shared" si="1"/>
        <v>-1.4</v>
      </c>
      <c r="V130" s="152"/>
      <c r="W130" s="152"/>
      <c r="X130" s="152"/>
      <c r="Y130" s="152">
        <v>1</v>
      </c>
      <c r="Z130" s="152">
        <v>1</v>
      </c>
      <c r="AA130" s="152"/>
      <c r="AB130" s="152"/>
      <c r="AC130" s="152">
        <v>1</v>
      </c>
      <c r="AD130" s="152">
        <v>1</v>
      </c>
      <c r="AE130" s="152"/>
      <c r="AF130" s="152"/>
      <c r="AG130" s="152"/>
      <c r="AH130" s="152">
        <v>1</v>
      </c>
      <c r="AI130" s="152">
        <v>1</v>
      </c>
      <c r="AJ130" s="152"/>
      <c r="AK130" s="152"/>
      <c r="AL130" s="152">
        <v>1</v>
      </c>
      <c r="AM130" s="485">
        <v>1</v>
      </c>
      <c r="AN130" s="194"/>
      <c r="AO130" s="194"/>
      <c r="AP130" s="194"/>
      <c r="AQ130" s="503">
        <v>1</v>
      </c>
      <c r="AR130" s="503">
        <v>1</v>
      </c>
      <c r="AS130" s="194"/>
      <c r="AT130" s="194"/>
      <c r="AU130" s="194"/>
      <c r="AV130" s="503">
        <v>1</v>
      </c>
      <c r="AW130" s="194"/>
      <c r="AX130" s="194"/>
      <c r="AY130" s="194"/>
      <c r="AZ130" s="503">
        <v>1</v>
      </c>
      <c r="BA130" s="503">
        <v>1</v>
      </c>
    </row>
    <row r="131" spans="1:53" ht="29.25" hidden="1" customHeight="1">
      <c r="A131" s="168"/>
      <c r="B131" s="258">
        <v>46062</v>
      </c>
      <c r="C131" s="236" t="s">
        <v>75</v>
      </c>
      <c r="D131" s="467" t="s">
        <v>102</v>
      </c>
      <c r="E131" s="169" t="s">
        <v>3</v>
      </c>
      <c r="F131" s="169" t="s">
        <v>103</v>
      </c>
      <c r="G131" s="185" t="s">
        <v>568</v>
      </c>
      <c r="H131" s="171" t="s">
        <v>569</v>
      </c>
      <c r="I131" s="170" t="s">
        <v>570</v>
      </c>
      <c r="J131" s="171" t="s">
        <v>571</v>
      </c>
      <c r="K131" s="170"/>
      <c r="L131" s="170"/>
      <c r="M131" s="170"/>
      <c r="N131" s="171"/>
      <c r="O131" s="164"/>
      <c r="P131" s="164"/>
      <c r="Q131" s="164" t="s">
        <v>4</v>
      </c>
      <c r="R131" s="164" t="s">
        <v>81</v>
      </c>
      <c r="S131" s="176">
        <v>0.1</v>
      </c>
      <c r="T131" s="157">
        <v>-0.4</v>
      </c>
      <c r="U131" s="173">
        <f t="shared" si="1"/>
        <v>-4.0000000000000008E-2</v>
      </c>
      <c r="V131" s="152"/>
      <c r="W131" s="152"/>
      <c r="X131" s="152"/>
      <c r="Y131" s="152"/>
      <c r="Z131" s="152"/>
      <c r="AN131" s="332">
        <v>1</v>
      </c>
      <c r="AO131" s="332">
        <v>1</v>
      </c>
      <c r="AP131" s="332">
        <v>1</v>
      </c>
      <c r="AQ131" s="332">
        <v>1</v>
      </c>
      <c r="AR131" s="332">
        <v>1</v>
      </c>
      <c r="AS131" s="332"/>
      <c r="AT131" s="332"/>
      <c r="AU131" s="332"/>
      <c r="AV131" s="332"/>
      <c r="AW131" s="332"/>
      <c r="AX131" s="332"/>
      <c r="AY131" s="332"/>
      <c r="AZ131" s="332"/>
      <c r="BA131" s="332"/>
    </row>
    <row r="132" spans="1:53" ht="29.25" hidden="1" customHeight="1">
      <c r="A132" s="168"/>
      <c r="B132" s="168" t="s">
        <v>131</v>
      </c>
      <c r="C132" s="236" t="s">
        <v>75</v>
      </c>
      <c r="D132" s="467" t="s">
        <v>180</v>
      </c>
      <c r="E132" s="169" t="s">
        <v>3</v>
      </c>
      <c r="F132" s="544" t="s">
        <v>181</v>
      </c>
      <c r="G132" s="545" t="s">
        <v>572</v>
      </c>
      <c r="H132" s="545" t="s">
        <v>228</v>
      </c>
      <c r="I132" s="549" t="s">
        <v>573</v>
      </c>
      <c r="J132" s="185" t="s">
        <v>574</v>
      </c>
      <c r="K132" s="154" t="s">
        <v>546</v>
      </c>
      <c r="L132" s="170"/>
      <c r="M132" s="549"/>
      <c r="N132" s="550"/>
      <c r="O132" s="546"/>
      <c r="P132" s="546" t="s">
        <v>317</v>
      </c>
      <c r="Q132" s="546" t="s">
        <v>7</v>
      </c>
      <c r="R132" s="164" t="s">
        <v>81</v>
      </c>
      <c r="S132" s="181">
        <v>1</v>
      </c>
      <c r="T132" s="157">
        <v>-2.4</v>
      </c>
      <c r="U132" s="173">
        <f t="shared" si="1"/>
        <v>-2.4</v>
      </c>
      <c r="V132" s="332">
        <v>1</v>
      </c>
      <c r="W132" s="332">
        <v>1</v>
      </c>
      <c r="X132" s="332">
        <v>1</v>
      </c>
      <c r="Y132" s="332">
        <v>1</v>
      </c>
      <c r="Z132" s="332">
        <v>1</v>
      </c>
      <c r="AA132" s="198"/>
      <c r="AB132" s="198"/>
      <c r="AC132" s="198"/>
      <c r="AD132" s="198"/>
      <c r="AE132" s="198"/>
      <c r="AF132" s="198"/>
      <c r="AG132" s="198"/>
      <c r="AH132" s="198"/>
      <c r="AI132" s="198"/>
      <c r="AJ132" s="198"/>
      <c r="AK132" s="198"/>
      <c r="AL132" s="198"/>
      <c r="AM132" s="198"/>
      <c r="AN132" s="332">
        <v>1</v>
      </c>
      <c r="AO132" s="332">
        <v>1</v>
      </c>
      <c r="AP132" s="332">
        <v>1</v>
      </c>
      <c r="AQ132" s="332">
        <v>1</v>
      </c>
      <c r="AR132" s="332">
        <v>1</v>
      </c>
      <c r="AS132" s="332"/>
      <c r="AT132" s="332"/>
      <c r="AU132" s="332"/>
      <c r="AV132" s="332"/>
      <c r="AW132" s="332"/>
      <c r="AX132" s="332"/>
      <c r="AY132" s="332"/>
      <c r="AZ132" s="332"/>
      <c r="BA132" s="332"/>
    </row>
    <row r="133" spans="1:53" ht="33.75" hidden="1" customHeight="1">
      <c r="A133" s="168">
        <v>55</v>
      </c>
      <c r="B133" s="168" t="s">
        <v>131</v>
      </c>
      <c r="C133" s="220" t="s">
        <v>75</v>
      </c>
      <c r="D133" s="144" t="s">
        <v>180</v>
      </c>
      <c r="E133" s="169" t="s">
        <v>3</v>
      </c>
      <c r="F133" s="169" t="s">
        <v>181</v>
      </c>
      <c r="G133" s="149" t="s">
        <v>575</v>
      </c>
      <c r="H133" s="170" t="s">
        <v>228</v>
      </c>
      <c r="I133" s="170" t="s">
        <v>576</v>
      </c>
      <c r="J133" s="293" t="s">
        <v>577</v>
      </c>
      <c r="K133" s="154" t="s">
        <v>186</v>
      </c>
      <c r="L133" s="170" t="s">
        <v>578</v>
      </c>
      <c r="M133" s="170"/>
      <c r="N133" s="187"/>
      <c r="O133" s="164"/>
      <c r="P133" s="164" t="s">
        <v>80</v>
      </c>
      <c r="Q133" s="164" t="s">
        <v>10</v>
      </c>
      <c r="R133" s="164" t="s">
        <v>81</v>
      </c>
      <c r="S133" s="294">
        <v>0.25</v>
      </c>
      <c r="T133" s="157"/>
      <c r="U133" s="296">
        <f t="shared" si="1"/>
        <v>0</v>
      </c>
      <c r="V133" s="174">
        <v>1</v>
      </c>
      <c r="W133" s="174">
        <v>1</v>
      </c>
      <c r="X133" s="174">
        <v>1</v>
      </c>
      <c r="Y133" s="174">
        <v>1</v>
      </c>
      <c r="Z133" s="174">
        <v>1</v>
      </c>
      <c r="AA133" s="174">
        <v>1</v>
      </c>
      <c r="AB133" s="174">
        <v>1</v>
      </c>
      <c r="AC133" s="174">
        <v>1</v>
      </c>
      <c r="AD133" s="174">
        <v>1</v>
      </c>
      <c r="AE133" s="174">
        <v>1</v>
      </c>
      <c r="AF133" s="174">
        <v>1</v>
      </c>
      <c r="AG133" s="174">
        <v>1</v>
      </c>
      <c r="AH133" s="174">
        <v>1</v>
      </c>
      <c r="AI133" s="174">
        <v>1</v>
      </c>
      <c r="AJ133" s="174">
        <v>1</v>
      </c>
      <c r="AK133" s="174">
        <v>1</v>
      </c>
      <c r="AL133" s="174">
        <v>1</v>
      </c>
      <c r="AM133" s="478">
        <v>1</v>
      </c>
      <c r="AN133" s="174">
        <v>1</v>
      </c>
      <c r="AO133" s="174">
        <v>1</v>
      </c>
      <c r="AP133" s="174">
        <v>1</v>
      </c>
      <c r="AQ133" s="174">
        <v>1</v>
      </c>
      <c r="AR133" s="174">
        <v>1</v>
      </c>
      <c r="AS133" s="174"/>
      <c r="AT133" s="174"/>
      <c r="AU133" s="174"/>
      <c r="AV133" s="174"/>
      <c r="AW133" s="174"/>
      <c r="AX133" s="174"/>
      <c r="AY133" s="174"/>
      <c r="AZ133" s="174"/>
      <c r="BA133" s="174"/>
    </row>
    <row r="134" spans="1:53" ht="33.75" hidden="1" customHeight="1">
      <c r="A134" s="182" t="s">
        <v>579</v>
      </c>
      <c r="B134" s="182"/>
      <c r="C134" s="220" t="s">
        <v>84</v>
      </c>
      <c r="D134" s="144" t="s">
        <v>76</v>
      </c>
      <c r="E134" s="169" t="s">
        <v>6</v>
      </c>
      <c r="F134" s="169"/>
      <c r="G134" s="170" t="s">
        <v>419</v>
      </c>
      <c r="H134" s="170"/>
      <c r="I134" s="170" t="s">
        <v>580</v>
      </c>
      <c r="J134" s="170"/>
      <c r="K134" s="170"/>
      <c r="L134" s="170"/>
      <c r="M134" s="170"/>
      <c r="N134" s="171"/>
      <c r="O134" s="164"/>
      <c r="P134" s="164"/>
      <c r="Q134" s="164" t="s">
        <v>7</v>
      </c>
      <c r="R134" s="164" t="s">
        <v>81</v>
      </c>
      <c r="S134" s="176">
        <v>1</v>
      </c>
      <c r="T134" s="157">
        <v>-3.8</v>
      </c>
      <c r="U134" s="173">
        <f t="shared" si="1"/>
        <v>-3.8</v>
      </c>
      <c r="V134" s="152"/>
      <c r="W134" s="152"/>
      <c r="X134" s="152"/>
      <c r="Y134" s="152">
        <v>1</v>
      </c>
      <c r="Z134" s="152">
        <v>1</v>
      </c>
      <c r="AA134" s="152"/>
      <c r="AB134" s="152"/>
      <c r="AC134" s="152">
        <v>1</v>
      </c>
      <c r="AD134" s="152">
        <v>1</v>
      </c>
      <c r="AE134" s="152"/>
      <c r="AF134" s="152"/>
      <c r="AG134" s="152"/>
      <c r="AH134" s="152">
        <v>1</v>
      </c>
      <c r="AI134" s="152">
        <v>1</v>
      </c>
      <c r="AJ134" s="152"/>
      <c r="AK134" s="152"/>
      <c r="AL134" s="152">
        <v>1</v>
      </c>
      <c r="AM134" s="485">
        <v>1</v>
      </c>
      <c r="AN134" s="194"/>
      <c r="AO134" s="194"/>
      <c r="AP134" s="194"/>
      <c r="AQ134" s="503">
        <v>1</v>
      </c>
      <c r="AR134" s="503">
        <v>1</v>
      </c>
      <c r="AS134" s="194"/>
      <c r="AT134" s="194"/>
      <c r="AU134" s="194"/>
      <c r="AV134" s="503">
        <v>1</v>
      </c>
      <c r="AW134" s="194"/>
      <c r="AX134" s="194"/>
      <c r="AY134" s="194"/>
      <c r="AZ134" s="503">
        <v>1</v>
      </c>
      <c r="BA134" s="503">
        <v>1</v>
      </c>
    </row>
    <row r="135" spans="1:53" ht="33.75" hidden="1" customHeight="1">
      <c r="A135" s="168">
        <v>36</v>
      </c>
      <c r="B135" s="168"/>
      <c r="C135" s="220" t="s">
        <v>84</v>
      </c>
      <c r="D135" s="144" t="s">
        <v>76</v>
      </c>
      <c r="E135" s="169" t="s">
        <v>6</v>
      </c>
      <c r="F135" s="169"/>
      <c r="G135" s="149" t="s">
        <v>581</v>
      </c>
      <c r="H135" s="149"/>
      <c r="I135" s="154"/>
      <c r="J135" s="154"/>
      <c r="K135" s="154"/>
      <c r="L135" s="149" t="s">
        <v>582</v>
      </c>
      <c r="M135" s="170"/>
      <c r="N135" s="171">
        <v>0</v>
      </c>
      <c r="O135" s="164"/>
      <c r="P135" s="164" t="s">
        <v>80</v>
      </c>
      <c r="Q135" s="164" t="s">
        <v>7</v>
      </c>
      <c r="R135" s="164" t="s">
        <v>81</v>
      </c>
      <c r="S135" s="176">
        <v>0.5</v>
      </c>
      <c r="T135" s="157">
        <v>1.2000000000000002</v>
      </c>
      <c r="U135" s="173">
        <f t="shared" si="1"/>
        <v>0.60000000000000009</v>
      </c>
      <c r="V135" s="152"/>
      <c r="W135" s="152"/>
      <c r="X135" s="152"/>
      <c r="Y135" s="152">
        <v>1</v>
      </c>
      <c r="Z135" s="152">
        <v>1</v>
      </c>
      <c r="AA135" s="152"/>
      <c r="AB135" s="152"/>
      <c r="AC135" s="152">
        <v>1</v>
      </c>
      <c r="AD135" s="152">
        <v>1</v>
      </c>
      <c r="AE135" s="152"/>
      <c r="AF135" s="152"/>
      <c r="AG135" s="152"/>
      <c r="AH135" s="152">
        <v>1</v>
      </c>
      <c r="AI135" s="152">
        <v>1</v>
      </c>
      <c r="AJ135" s="152"/>
      <c r="AK135" s="152"/>
      <c r="AL135" s="152">
        <v>1</v>
      </c>
      <c r="AM135" s="485">
        <v>1</v>
      </c>
      <c r="AN135" s="194"/>
      <c r="AO135" s="194"/>
      <c r="AP135" s="194"/>
      <c r="AQ135" s="503">
        <v>1</v>
      </c>
      <c r="AR135" s="503">
        <v>1</v>
      </c>
      <c r="AS135" s="194"/>
      <c r="AT135" s="194"/>
      <c r="AU135" s="194"/>
      <c r="AV135" s="503">
        <v>1</v>
      </c>
      <c r="AW135" s="194"/>
      <c r="AX135" s="194"/>
      <c r="AY135" s="194"/>
      <c r="AZ135" s="503">
        <v>1</v>
      </c>
      <c r="BA135" s="503">
        <v>1</v>
      </c>
    </row>
    <row r="136" spans="1:53" ht="33.75" hidden="1" customHeight="1">
      <c r="A136" s="243">
        <v>225</v>
      </c>
      <c r="B136" s="243"/>
      <c r="C136" s="220" t="s">
        <v>367</v>
      </c>
      <c r="D136" s="238" t="s">
        <v>76</v>
      </c>
      <c r="E136" s="236" t="s">
        <v>3</v>
      </c>
      <c r="F136" s="236"/>
      <c r="G136" s="244" t="s">
        <v>583</v>
      </c>
      <c r="H136" s="238" t="s">
        <v>583</v>
      </c>
      <c r="I136" s="237" t="s">
        <v>584</v>
      </c>
      <c r="J136" s="245" t="s">
        <v>585</v>
      </c>
      <c r="K136" s="528" t="s">
        <v>530</v>
      </c>
      <c r="L136" s="520" t="s">
        <v>586</v>
      </c>
      <c r="M136" s="237" t="s">
        <v>587</v>
      </c>
      <c r="N136" s="246">
        <v>0</v>
      </c>
      <c r="O136" s="520"/>
      <c r="P136" s="240" t="s">
        <v>80</v>
      </c>
      <c r="Q136" s="240" t="s">
        <v>10</v>
      </c>
      <c r="R136" s="240" t="s">
        <v>81</v>
      </c>
      <c r="S136" s="241">
        <v>1</v>
      </c>
      <c r="T136" s="242">
        <v>-0.2</v>
      </c>
      <c r="U136" s="173">
        <f t="shared" si="1"/>
        <v>-0.2</v>
      </c>
      <c r="V136" s="152"/>
      <c r="W136" s="152"/>
      <c r="X136" s="152"/>
      <c r="Y136" s="152">
        <v>1</v>
      </c>
      <c r="Z136" s="152">
        <v>1</v>
      </c>
      <c r="AA136" s="152"/>
      <c r="AB136" s="152"/>
      <c r="AC136" s="152">
        <v>1</v>
      </c>
      <c r="AD136" s="152">
        <v>1</v>
      </c>
      <c r="AE136" s="152"/>
      <c r="AF136" s="152"/>
      <c r="AG136" s="152"/>
      <c r="AH136" s="152">
        <v>1</v>
      </c>
      <c r="AI136" s="152">
        <v>1</v>
      </c>
      <c r="AJ136" s="152"/>
      <c r="AK136" s="152"/>
      <c r="AL136" s="152">
        <v>1</v>
      </c>
      <c r="AM136" s="485">
        <v>1</v>
      </c>
      <c r="AN136" s="194"/>
      <c r="AO136" s="194"/>
      <c r="AP136" s="194"/>
      <c r="AQ136" s="503">
        <v>1</v>
      </c>
      <c r="AR136" s="503">
        <v>1</v>
      </c>
      <c r="AS136" s="194"/>
      <c r="AT136" s="194"/>
      <c r="AU136" s="194"/>
      <c r="AV136" s="503">
        <v>1</v>
      </c>
      <c r="AW136" s="194"/>
      <c r="AX136" s="194"/>
      <c r="AY136" s="194"/>
      <c r="AZ136" s="503">
        <v>1</v>
      </c>
      <c r="BA136" s="503">
        <v>1</v>
      </c>
    </row>
    <row r="137" spans="1:53" ht="29.25" hidden="1" customHeight="1">
      <c r="A137" s="182">
        <v>122</v>
      </c>
      <c r="B137" s="182" t="s">
        <v>588</v>
      </c>
      <c r="C137" s="220" t="s">
        <v>84</v>
      </c>
      <c r="D137" s="462" t="s">
        <v>144</v>
      </c>
      <c r="E137" s="220" t="s">
        <v>3</v>
      </c>
      <c r="F137" s="220" t="s">
        <v>589</v>
      </c>
      <c r="G137" s="185" t="s">
        <v>590</v>
      </c>
      <c r="H137" s="149" t="s">
        <v>591</v>
      </c>
      <c r="I137" s="279" t="s">
        <v>592</v>
      </c>
      <c r="J137" s="170"/>
      <c r="K137" s="170"/>
      <c r="L137" s="170" t="s">
        <v>593</v>
      </c>
      <c r="M137" s="170"/>
      <c r="N137" s="187"/>
      <c r="O137" s="164"/>
      <c r="P137" s="164" t="s">
        <v>80</v>
      </c>
      <c r="Q137" s="164" t="s">
        <v>4</v>
      </c>
      <c r="R137" s="164"/>
      <c r="S137" s="172">
        <v>0.5</v>
      </c>
      <c r="T137" s="222">
        <v>-0.3</v>
      </c>
      <c r="U137" s="173">
        <f t="shared" si="1"/>
        <v>-0.15</v>
      </c>
      <c r="V137" s="174">
        <v>1</v>
      </c>
      <c r="W137" s="174">
        <v>1</v>
      </c>
      <c r="X137" s="174">
        <v>1</v>
      </c>
      <c r="Y137" s="174">
        <v>1</v>
      </c>
      <c r="Z137" s="174">
        <v>1</v>
      </c>
      <c r="AA137" s="174">
        <v>1</v>
      </c>
      <c r="AB137" s="174">
        <v>1</v>
      </c>
      <c r="AC137" s="174">
        <v>1</v>
      </c>
      <c r="AD137" s="174">
        <v>1</v>
      </c>
      <c r="AE137" s="174">
        <v>1</v>
      </c>
      <c r="AF137" s="174">
        <v>1</v>
      </c>
      <c r="AG137" s="174">
        <v>1</v>
      </c>
      <c r="AH137" s="174">
        <v>1</v>
      </c>
      <c r="AI137" s="174">
        <v>1</v>
      </c>
      <c r="AJ137" s="174">
        <v>1</v>
      </c>
      <c r="AK137" s="174">
        <v>1</v>
      </c>
      <c r="AL137" s="174">
        <v>1</v>
      </c>
      <c r="AM137" s="478">
        <v>1</v>
      </c>
      <c r="AN137" s="174">
        <v>1</v>
      </c>
      <c r="AO137" s="174">
        <v>1</v>
      </c>
      <c r="AP137" s="174">
        <v>1</v>
      </c>
      <c r="AQ137" s="174">
        <v>1</v>
      </c>
      <c r="AR137" s="174">
        <v>1</v>
      </c>
      <c r="AS137" s="174">
        <v>1</v>
      </c>
      <c r="AT137" s="174">
        <v>1</v>
      </c>
      <c r="AU137" s="174">
        <v>1</v>
      </c>
      <c r="AV137" s="174">
        <v>1</v>
      </c>
      <c r="AW137" s="174">
        <v>1</v>
      </c>
      <c r="AX137" s="174">
        <v>1</v>
      </c>
      <c r="AY137" s="174">
        <v>1</v>
      </c>
      <c r="AZ137" s="174">
        <v>1</v>
      </c>
      <c r="BA137" s="174">
        <v>1</v>
      </c>
    </row>
    <row r="138" spans="1:53" ht="33.75" hidden="1" customHeight="1">
      <c r="A138" s="317"/>
      <c r="B138" s="318">
        <v>45536</v>
      </c>
      <c r="C138" s="220" t="s">
        <v>367</v>
      </c>
      <c r="D138" s="533" t="s">
        <v>76</v>
      </c>
      <c r="E138" s="291" t="s">
        <v>3</v>
      </c>
      <c r="F138" s="291" t="s">
        <v>181</v>
      </c>
      <c r="G138" s="293" t="s">
        <v>594</v>
      </c>
      <c r="H138" s="293" t="s">
        <v>595</v>
      </c>
      <c r="I138" s="534" t="s">
        <v>596</v>
      </c>
      <c r="J138" s="237" t="s">
        <v>597</v>
      </c>
      <c r="K138" s="293" t="s">
        <v>142</v>
      </c>
      <c r="L138" s="531"/>
      <c r="M138" s="293">
        <v>0</v>
      </c>
      <c r="N138" s="247">
        <v>-0.28999999999999998</v>
      </c>
      <c r="O138" s="262"/>
      <c r="P138" s="262" t="s">
        <v>80</v>
      </c>
      <c r="Q138" s="262" t="s">
        <v>10</v>
      </c>
      <c r="R138" s="262" t="s">
        <v>81</v>
      </c>
      <c r="S138" s="294">
        <v>0.25</v>
      </c>
      <c r="T138" s="295">
        <v>-0.6</v>
      </c>
      <c r="U138" s="296">
        <f t="shared" si="1"/>
        <v>-0.15</v>
      </c>
      <c r="V138" s="174">
        <v>1</v>
      </c>
      <c r="W138" s="174">
        <v>1</v>
      </c>
      <c r="X138" s="174">
        <v>1</v>
      </c>
      <c r="Y138" s="174">
        <v>1</v>
      </c>
      <c r="Z138" s="174">
        <v>1</v>
      </c>
      <c r="AA138" s="174">
        <v>1</v>
      </c>
      <c r="AB138" s="174">
        <v>1</v>
      </c>
      <c r="AC138" s="174">
        <v>1</v>
      </c>
      <c r="AD138" s="174">
        <v>1</v>
      </c>
      <c r="AE138" s="174">
        <v>1</v>
      </c>
      <c r="AF138" s="174">
        <v>1</v>
      </c>
      <c r="AG138" s="174">
        <v>1</v>
      </c>
      <c r="AH138" s="174">
        <v>1</v>
      </c>
      <c r="AI138" s="174">
        <v>1</v>
      </c>
      <c r="AJ138" s="174">
        <v>1</v>
      </c>
      <c r="AK138" s="174">
        <v>1</v>
      </c>
      <c r="AL138" s="174">
        <v>1</v>
      </c>
      <c r="AM138" s="478">
        <v>1</v>
      </c>
      <c r="AN138" s="174">
        <v>1</v>
      </c>
      <c r="AO138" s="174">
        <v>1</v>
      </c>
      <c r="AP138" s="174">
        <v>1</v>
      </c>
      <c r="AQ138" s="174">
        <v>1</v>
      </c>
      <c r="AR138" s="174">
        <v>1</v>
      </c>
      <c r="AS138" s="174">
        <v>1</v>
      </c>
      <c r="AT138" s="174"/>
      <c r="AU138" s="174"/>
      <c r="AV138" s="174">
        <v>1</v>
      </c>
      <c r="AW138" s="174">
        <v>1</v>
      </c>
      <c r="AX138" s="174">
        <v>1</v>
      </c>
      <c r="AY138" s="174">
        <v>1</v>
      </c>
      <c r="AZ138" s="174">
        <v>1</v>
      </c>
      <c r="BA138" s="174">
        <v>1</v>
      </c>
    </row>
    <row r="139" spans="1:53" ht="33.75" hidden="1" customHeight="1">
      <c r="A139" s="168">
        <v>153</v>
      </c>
      <c r="B139" s="168"/>
      <c r="C139" s="220" t="s">
        <v>84</v>
      </c>
      <c r="D139" s="144" t="s">
        <v>76</v>
      </c>
      <c r="E139" s="169" t="s">
        <v>6</v>
      </c>
      <c r="F139" s="169"/>
      <c r="G139" s="149" t="s">
        <v>598</v>
      </c>
      <c r="H139" s="170"/>
      <c r="I139" s="180" t="s">
        <v>599</v>
      </c>
      <c r="J139" s="180"/>
      <c r="K139" s="180"/>
      <c r="L139" s="170" t="s">
        <v>600</v>
      </c>
      <c r="M139" s="10"/>
      <c r="N139" s="171">
        <v>0</v>
      </c>
      <c r="O139" s="10"/>
      <c r="P139" s="10"/>
      <c r="Q139" s="164" t="s">
        <v>10</v>
      </c>
      <c r="R139" s="10"/>
      <c r="S139" s="176"/>
      <c r="T139" s="194">
        <v>0</v>
      </c>
      <c r="U139" s="173">
        <f t="shared" si="1"/>
        <v>0</v>
      </c>
      <c r="V139" s="152"/>
      <c r="W139" s="152"/>
      <c r="X139" s="152"/>
      <c r="Y139" s="152">
        <v>1</v>
      </c>
      <c r="Z139" s="152">
        <v>1</v>
      </c>
      <c r="AA139" s="152"/>
      <c r="AB139" s="152"/>
      <c r="AC139" s="152">
        <v>1</v>
      </c>
      <c r="AD139" s="152">
        <v>1</v>
      </c>
      <c r="AE139" s="152"/>
      <c r="AF139" s="152"/>
      <c r="AG139" s="152"/>
      <c r="AH139" s="152">
        <v>1</v>
      </c>
      <c r="AI139" s="152">
        <v>1</v>
      </c>
      <c r="AJ139" s="152"/>
      <c r="AK139" s="152"/>
      <c r="AL139" s="152">
        <v>1</v>
      </c>
      <c r="AM139" s="485">
        <v>1</v>
      </c>
      <c r="AN139" s="194"/>
      <c r="AO139" s="194"/>
      <c r="AP139" s="194"/>
      <c r="AQ139" s="503">
        <v>1</v>
      </c>
      <c r="AR139" s="503">
        <v>1</v>
      </c>
      <c r="AS139" s="194"/>
      <c r="AT139" s="194"/>
      <c r="AU139" s="194"/>
      <c r="AV139" s="503">
        <v>1</v>
      </c>
      <c r="AW139" s="194"/>
      <c r="AX139" s="194"/>
      <c r="AY139" s="194"/>
      <c r="AZ139" s="503">
        <v>1</v>
      </c>
      <c r="BA139" s="503">
        <v>1</v>
      </c>
    </row>
    <row r="140" spans="1:53" ht="33.75" hidden="1" customHeight="1">
      <c r="A140" s="168">
        <v>162</v>
      </c>
      <c r="B140" s="168"/>
      <c r="C140" s="220" t="s">
        <v>84</v>
      </c>
      <c r="D140" s="144" t="s">
        <v>76</v>
      </c>
      <c r="E140" s="169" t="s">
        <v>6</v>
      </c>
      <c r="F140" s="169"/>
      <c r="G140" s="149" t="s">
        <v>601</v>
      </c>
      <c r="H140" s="170"/>
      <c r="I140" s="195" t="s">
        <v>602</v>
      </c>
      <c r="J140" s="195"/>
      <c r="K140" s="195"/>
      <c r="L140" s="170" t="s">
        <v>603</v>
      </c>
      <c r="M140" s="10"/>
      <c r="N140" s="171" t="s">
        <v>485</v>
      </c>
      <c r="O140" s="10"/>
      <c r="P140" s="10"/>
      <c r="Q140" s="164" t="s">
        <v>10</v>
      </c>
      <c r="R140" s="10"/>
      <c r="S140" s="176"/>
      <c r="T140" s="194"/>
      <c r="U140" s="173">
        <f t="shared" si="1"/>
        <v>0</v>
      </c>
      <c r="V140" s="152"/>
      <c r="W140" s="152"/>
      <c r="X140" s="152"/>
      <c r="Y140" s="152">
        <v>1</v>
      </c>
      <c r="Z140" s="152">
        <v>1</v>
      </c>
      <c r="AA140" s="152"/>
      <c r="AB140" s="152"/>
      <c r="AC140" s="152">
        <v>1</v>
      </c>
      <c r="AD140" s="152">
        <v>1</v>
      </c>
      <c r="AE140" s="152"/>
      <c r="AF140" s="152"/>
      <c r="AG140" s="152"/>
      <c r="AH140" s="152">
        <v>1</v>
      </c>
      <c r="AI140" s="152">
        <v>1</v>
      </c>
      <c r="AJ140" s="152"/>
      <c r="AK140" s="152"/>
      <c r="AL140" s="152">
        <v>1</v>
      </c>
      <c r="AM140" s="485">
        <v>1</v>
      </c>
      <c r="AN140" s="194"/>
      <c r="AO140" s="194"/>
      <c r="AP140" s="194"/>
      <c r="AQ140" s="503">
        <v>1</v>
      </c>
      <c r="AR140" s="503">
        <v>1</v>
      </c>
      <c r="AS140" s="194"/>
      <c r="AT140" s="194"/>
      <c r="AU140" s="194"/>
      <c r="AV140" s="503">
        <v>1</v>
      </c>
      <c r="AW140" s="194"/>
      <c r="AX140" s="194"/>
      <c r="AY140" s="194"/>
      <c r="AZ140" s="503">
        <v>1</v>
      </c>
      <c r="BA140" s="503">
        <v>1</v>
      </c>
    </row>
    <row r="141" spans="1:53" ht="33.75" hidden="1" customHeight="1">
      <c r="A141" s="168">
        <v>166</v>
      </c>
      <c r="B141" s="168"/>
      <c r="C141" s="220" t="s">
        <v>84</v>
      </c>
      <c r="D141" s="144" t="s">
        <v>76</v>
      </c>
      <c r="E141" s="169" t="s">
        <v>6</v>
      </c>
      <c r="F141" s="169"/>
      <c r="G141" s="149" t="s">
        <v>604</v>
      </c>
      <c r="H141" s="170"/>
      <c r="I141" s="195" t="s">
        <v>605</v>
      </c>
      <c r="J141" s="195"/>
      <c r="K141" s="195"/>
      <c r="L141" s="170" t="s">
        <v>606</v>
      </c>
      <c r="M141" s="170"/>
      <c r="N141" s="171" t="s">
        <v>485</v>
      </c>
      <c r="O141" s="164"/>
      <c r="P141" s="164" t="s">
        <v>80</v>
      </c>
      <c r="Q141" s="164" t="s">
        <v>7</v>
      </c>
      <c r="R141" s="164" t="s">
        <v>81</v>
      </c>
      <c r="S141" s="176">
        <v>0.75</v>
      </c>
      <c r="T141" s="194">
        <v>-0.2</v>
      </c>
      <c r="U141" s="173">
        <f t="shared" si="1"/>
        <v>-0.15000000000000002</v>
      </c>
      <c r="V141" s="152"/>
      <c r="W141" s="152"/>
      <c r="X141" s="152"/>
      <c r="Y141" s="152">
        <v>1</v>
      </c>
      <c r="Z141" s="152">
        <v>1</v>
      </c>
      <c r="AA141" s="152"/>
      <c r="AB141" s="152"/>
      <c r="AC141" s="152">
        <v>1</v>
      </c>
      <c r="AD141" s="152">
        <v>1</v>
      </c>
      <c r="AE141" s="152"/>
      <c r="AF141" s="152"/>
      <c r="AG141" s="152"/>
      <c r="AH141" s="152">
        <v>1</v>
      </c>
      <c r="AI141" s="152">
        <v>1</v>
      </c>
      <c r="AJ141" s="152"/>
      <c r="AK141" s="152"/>
      <c r="AL141" s="152">
        <v>1</v>
      </c>
      <c r="AM141" s="485">
        <v>1</v>
      </c>
      <c r="AN141" s="194"/>
      <c r="AO141" s="194"/>
      <c r="AP141" s="194"/>
      <c r="AQ141" s="503">
        <v>1</v>
      </c>
      <c r="AR141" s="503">
        <v>1</v>
      </c>
      <c r="AS141" s="194"/>
      <c r="AT141" s="194"/>
      <c r="AU141" s="194"/>
      <c r="AV141" s="503">
        <v>1</v>
      </c>
      <c r="AW141" s="194"/>
      <c r="AX141" s="194"/>
      <c r="AY141" s="194"/>
      <c r="AZ141" s="503">
        <v>1</v>
      </c>
      <c r="BA141" s="503">
        <v>1</v>
      </c>
    </row>
    <row r="142" spans="1:53" ht="33.75" hidden="1" customHeight="1">
      <c r="A142" s="168">
        <v>169</v>
      </c>
      <c r="B142" s="168"/>
      <c r="C142" s="220" t="s">
        <v>84</v>
      </c>
      <c r="D142" s="144" t="s">
        <v>76</v>
      </c>
      <c r="E142" s="169" t="s">
        <v>6</v>
      </c>
      <c r="F142" s="169"/>
      <c r="G142" s="149" t="s">
        <v>607</v>
      </c>
      <c r="H142" s="170"/>
      <c r="I142" s="180" t="s">
        <v>608</v>
      </c>
      <c r="J142" s="180"/>
      <c r="K142" s="180"/>
      <c r="L142" s="170" t="s">
        <v>609</v>
      </c>
      <c r="M142" s="10"/>
      <c r="N142" s="171" t="s">
        <v>610</v>
      </c>
      <c r="O142" s="10"/>
      <c r="P142" s="10"/>
      <c r="Q142" s="164" t="s">
        <v>10</v>
      </c>
      <c r="R142" s="10"/>
      <c r="S142" s="176"/>
      <c r="T142" s="194"/>
      <c r="U142" s="173">
        <f t="shared" si="1"/>
        <v>0</v>
      </c>
      <c r="V142" s="152"/>
      <c r="W142" s="152"/>
      <c r="X142" s="152"/>
      <c r="Y142" s="152">
        <v>1</v>
      </c>
      <c r="Z142" s="152">
        <v>1</v>
      </c>
      <c r="AA142" s="152"/>
      <c r="AB142" s="152"/>
      <c r="AC142" s="152">
        <v>1</v>
      </c>
      <c r="AD142" s="152">
        <v>1</v>
      </c>
      <c r="AE142" s="152"/>
      <c r="AF142" s="152"/>
      <c r="AG142" s="152"/>
      <c r="AH142" s="152">
        <v>1</v>
      </c>
      <c r="AI142" s="152">
        <v>1</v>
      </c>
      <c r="AJ142" s="152"/>
      <c r="AK142" s="152"/>
      <c r="AL142" s="152">
        <v>1</v>
      </c>
      <c r="AM142" s="485">
        <v>1</v>
      </c>
      <c r="AN142" s="194"/>
      <c r="AO142" s="194"/>
      <c r="AP142" s="194"/>
      <c r="AQ142" s="503">
        <v>1</v>
      </c>
      <c r="AR142" s="503">
        <v>1</v>
      </c>
      <c r="AS142" s="194"/>
      <c r="AT142" s="194"/>
      <c r="AU142" s="194"/>
      <c r="AV142" s="503">
        <v>1</v>
      </c>
      <c r="AW142" s="194"/>
      <c r="AX142" s="194"/>
      <c r="AY142" s="194"/>
      <c r="AZ142" s="503">
        <v>1</v>
      </c>
      <c r="BA142" s="503">
        <v>1</v>
      </c>
    </row>
    <row r="143" spans="1:53" ht="33.75" hidden="1" customHeight="1">
      <c r="A143" s="168">
        <v>170</v>
      </c>
      <c r="B143" s="168"/>
      <c r="C143" s="220" t="s">
        <v>84</v>
      </c>
      <c r="D143" s="144" t="s">
        <v>76</v>
      </c>
      <c r="E143" s="169" t="s">
        <v>6</v>
      </c>
      <c r="F143" s="169"/>
      <c r="G143" s="149" t="s">
        <v>611</v>
      </c>
      <c r="H143" s="170"/>
      <c r="I143" s="180" t="s">
        <v>612</v>
      </c>
      <c r="J143" s="180"/>
      <c r="K143" s="180"/>
      <c r="L143" s="170" t="s">
        <v>613</v>
      </c>
      <c r="M143" s="10"/>
      <c r="N143" s="171" t="s">
        <v>485</v>
      </c>
      <c r="O143" s="10"/>
      <c r="P143" s="10"/>
      <c r="Q143" s="164" t="s">
        <v>10</v>
      </c>
      <c r="R143" s="10"/>
      <c r="S143" s="176"/>
      <c r="T143" s="194"/>
      <c r="U143" s="173">
        <f t="shared" si="1"/>
        <v>0</v>
      </c>
      <c r="V143" s="152"/>
      <c r="W143" s="152"/>
      <c r="X143" s="152"/>
      <c r="Y143" s="152">
        <v>1</v>
      </c>
      <c r="Z143" s="152">
        <v>1</v>
      </c>
      <c r="AA143" s="152"/>
      <c r="AB143" s="152"/>
      <c r="AC143" s="152">
        <v>1</v>
      </c>
      <c r="AD143" s="152">
        <v>1</v>
      </c>
      <c r="AE143" s="152"/>
      <c r="AF143" s="152"/>
      <c r="AG143" s="152"/>
      <c r="AH143" s="152">
        <v>1</v>
      </c>
      <c r="AI143" s="152">
        <v>1</v>
      </c>
      <c r="AJ143" s="152"/>
      <c r="AK143" s="152"/>
      <c r="AL143" s="152">
        <v>1</v>
      </c>
      <c r="AM143" s="485">
        <v>1</v>
      </c>
      <c r="AN143" s="194"/>
      <c r="AO143" s="194"/>
      <c r="AP143" s="194"/>
      <c r="AQ143" s="503">
        <v>1</v>
      </c>
      <c r="AR143" s="503">
        <v>1</v>
      </c>
      <c r="AS143" s="194"/>
      <c r="AT143" s="194"/>
      <c r="AU143" s="194"/>
      <c r="AV143" s="503">
        <v>1</v>
      </c>
      <c r="AW143" s="194"/>
      <c r="AX143" s="194"/>
      <c r="AY143" s="194"/>
      <c r="AZ143" s="503">
        <v>1</v>
      </c>
      <c r="BA143" s="503">
        <v>1</v>
      </c>
    </row>
    <row r="144" spans="1:53" ht="33.75" hidden="1" customHeight="1">
      <c r="A144" s="168">
        <v>171</v>
      </c>
      <c r="B144" s="168"/>
      <c r="C144" s="220" t="s">
        <v>84</v>
      </c>
      <c r="D144" s="144" t="s">
        <v>76</v>
      </c>
      <c r="E144" s="169" t="s">
        <v>6</v>
      </c>
      <c r="F144" s="169"/>
      <c r="G144" s="149" t="s">
        <v>614</v>
      </c>
      <c r="H144" s="170"/>
      <c r="I144" s="195" t="s">
        <v>615</v>
      </c>
      <c r="J144" s="195"/>
      <c r="K144" s="195"/>
      <c r="L144" s="170" t="s">
        <v>613</v>
      </c>
      <c r="M144" s="10"/>
      <c r="N144" s="171" t="s">
        <v>616</v>
      </c>
      <c r="O144" s="10"/>
      <c r="P144" s="10"/>
      <c r="Q144" s="164" t="s">
        <v>10</v>
      </c>
      <c r="R144" s="10"/>
      <c r="S144" s="176"/>
      <c r="T144" s="194"/>
      <c r="U144" s="173">
        <f t="shared" si="1"/>
        <v>0</v>
      </c>
      <c r="V144" s="152"/>
      <c r="W144" s="152"/>
      <c r="X144" s="152"/>
      <c r="Y144" s="152">
        <v>1</v>
      </c>
      <c r="Z144" s="152">
        <v>1</v>
      </c>
      <c r="AA144" s="152"/>
      <c r="AB144" s="152"/>
      <c r="AC144" s="152">
        <v>1</v>
      </c>
      <c r="AD144" s="152">
        <v>1</v>
      </c>
      <c r="AE144" s="152"/>
      <c r="AF144" s="152"/>
      <c r="AG144" s="152"/>
      <c r="AH144" s="152">
        <v>1</v>
      </c>
      <c r="AI144" s="152">
        <v>1</v>
      </c>
      <c r="AJ144" s="152"/>
      <c r="AK144" s="152"/>
      <c r="AL144" s="152">
        <v>1</v>
      </c>
      <c r="AM144" s="485">
        <v>1</v>
      </c>
      <c r="AN144" s="194"/>
      <c r="AO144" s="194"/>
      <c r="AP144" s="194"/>
      <c r="AQ144" s="503">
        <v>1</v>
      </c>
      <c r="AR144" s="503">
        <v>1</v>
      </c>
      <c r="AS144" s="194"/>
      <c r="AT144" s="194"/>
      <c r="AU144" s="194"/>
      <c r="AV144" s="503">
        <v>1</v>
      </c>
      <c r="AW144" s="194"/>
      <c r="AX144" s="194"/>
      <c r="AY144" s="194"/>
      <c r="AZ144" s="503">
        <v>1</v>
      </c>
      <c r="BA144" s="503">
        <v>1</v>
      </c>
    </row>
    <row r="145" spans="1:53 16364:16381" ht="32.25" hidden="1" customHeight="1">
      <c r="A145" s="168">
        <v>54</v>
      </c>
      <c r="B145" s="168" t="s">
        <v>131</v>
      </c>
      <c r="C145" s="220" t="s">
        <v>75</v>
      </c>
      <c r="D145" s="144" t="s">
        <v>180</v>
      </c>
      <c r="E145" s="169" t="s">
        <v>3</v>
      </c>
      <c r="F145" s="169" t="s">
        <v>181</v>
      </c>
      <c r="G145" s="149" t="s">
        <v>617</v>
      </c>
      <c r="H145" s="170" t="s">
        <v>228</v>
      </c>
      <c r="I145" s="170" t="s">
        <v>576</v>
      </c>
      <c r="J145" s="293" t="s">
        <v>577</v>
      </c>
      <c r="K145" s="154" t="s">
        <v>186</v>
      </c>
      <c r="L145" s="170" t="s">
        <v>618</v>
      </c>
      <c r="M145" s="170"/>
      <c r="N145" s="187"/>
      <c r="O145" s="164"/>
      <c r="P145" s="164" t="s">
        <v>80</v>
      </c>
      <c r="Q145" s="164" t="s">
        <v>10</v>
      </c>
      <c r="R145" s="164" t="s">
        <v>81</v>
      </c>
      <c r="S145" s="294">
        <v>0.25</v>
      </c>
      <c r="T145" s="157">
        <v>-0.8</v>
      </c>
      <c r="U145" s="296">
        <f t="shared" si="1"/>
        <v>-0.2</v>
      </c>
      <c r="V145" s="174">
        <v>1</v>
      </c>
      <c r="W145" s="174">
        <v>1</v>
      </c>
      <c r="X145" s="174">
        <v>1</v>
      </c>
      <c r="Y145" s="174">
        <v>1</v>
      </c>
      <c r="Z145" s="174">
        <v>1</v>
      </c>
      <c r="AA145" s="174">
        <v>1</v>
      </c>
      <c r="AB145" s="174">
        <v>1</v>
      </c>
      <c r="AC145" s="174">
        <v>1</v>
      </c>
      <c r="AD145" s="174">
        <v>1</v>
      </c>
      <c r="AE145" s="174">
        <v>1</v>
      </c>
      <c r="AF145" s="174">
        <v>1</v>
      </c>
      <c r="AG145" s="174">
        <v>1</v>
      </c>
      <c r="AH145" s="174">
        <v>1</v>
      </c>
      <c r="AI145" s="174">
        <v>1</v>
      </c>
      <c r="AJ145" s="174">
        <v>1</v>
      </c>
      <c r="AK145" s="174">
        <v>1</v>
      </c>
      <c r="AL145" s="174">
        <v>1</v>
      </c>
      <c r="AM145" s="478">
        <v>1</v>
      </c>
      <c r="AN145" s="174">
        <v>1</v>
      </c>
      <c r="AO145" s="174">
        <v>1</v>
      </c>
      <c r="AP145" s="174">
        <v>1</v>
      </c>
      <c r="AQ145" s="174">
        <v>1</v>
      </c>
      <c r="AR145" s="174">
        <v>1</v>
      </c>
      <c r="AS145" s="174"/>
      <c r="AT145" s="174"/>
      <c r="AU145" s="174"/>
      <c r="AV145" s="174"/>
      <c r="AW145" s="174"/>
      <c r="AX145" s="174"/>
      <c r="AY145" s="174"/>
      <c r="AZ145" s="174"/>
      <c r="BA145" s="174"/>
    </row>
    <row r="146" spans="1:53 16364:16381" ht="33.75" hidden="1" customHeight="1">
      <c r="A146" s="168" t="s">
        <v>619</v>
      </c>
      <c r="B146" s="168"/>
      <c r="C146" s="169" t="s">
        <v>84</v>
      </c>
      <c r="D146" s="144" t="s">
        <v>76</v>
      </c>
      <c r="E146" s="169" t="s">
        <v>6</v>
      </c>
      <c r="F146" s="169"/>
      <c r="G146" s="193" t="s">
        <v>620</v>
      </c>
      <c r="H146" s="170"/>
      <c r="I146" s="170" t="s">
        <v>621</v>
      </c>
      <c r="J146" s="170"/>
      <c r="K146" s="170"/>
      <c r="L146" s="170" t="s">
        <v>622</v>
      </c>
      <c r="M146" s="170"/>
      <c r="N146" s="171">
        <v>-1</v>
      </c>
      <c r="O146" s="164"/>
      <c r="P146" s="164"/>
      <c r="Q146" s="164" t="s">
        <v>7</v>
      </c>
      <c r="R146" s="164" t="s">
        <v>81</v>
      </c>
      <c r="S146" s="172">
        <v>0.25</v>
      </c>
      <c r="T146" s="157">
        <v>-1</v>
      </c>
      <c r="U146" s="173">
        <f t="shared" si="1"/>
        <v>-0.25</v>
      </c>
      <c r="V146" s="152"/>
      <c r="W146" s="152"/>
      <c r="X146" s="152"/>
      <c r="Y146" s="152">
        <v>1</v>
      </c>
      <c r="Z146" s="152">
        <v>1</v>
      </c>
      <c r="AA146" s="152"/>
      <c r="AB146" s="152"/>
      <c r="AC146" s="152">
        <v>1</v>
      </c>
      <c r="AD146" s="152">
        <v>1</v>
      </c>
      <c r="AE146" s="152"/>
      <c r="AF146" s="152"/>
      <c r="AG146" s="152"/>
      <c r="AH146" s="152">
        <v>1</v>
      </c>
      <c r="AI146" s="152">
        <v>1</v>
      </c>
      <c r="AJ146" s="152"/>
      <c r="AK146" s="152"/>
      <c r="AL146" s="152">
        <v>1</v>
      </c>
      <c r="AM146" s="485">
        <v>1</v>
      </c>
      <c r="AN146" s="194"/>
      <c r="AO146" s="194"/>
      <c r="AP146" s="194"/>
      <c r="AQ146" s="503">
        <v>1</v>
      </c>
      <c r="AR146" s="503">
        <v>1</v>
      </c>
      <c r="AS146" s="194"/>
      <c r="AT146" s="194"/>
      <c r="AU146" s="194"/>
      <c r="AV146" s="503">
        <v>1</v>
      </c>
      <c r="AW146" s="194"/>
      <c r="AX146" s="194"/>
      <c r="AY146" s="194"/>
      <c r="AZ146" s="503">
        <v>1</v>
      </c>
      <c r="BA146" s="503">
        <v>1</v>
      </c>
    </row>
    <row r="147" spans="1:53 16364:16381" ht="29.25" hidden="1" customHeight="1">
      <c r="A147" s="182">
        <v>268</v>
      </c>
      <c r="B147" s="182" t="s">
        <v>623</v>
      </c>
      <c r="C147" s="220" t="s">
        <v>84</v>
      </c>
      <c r="D147" s="462" t="s">
        <v>85</v>
      </c>
      <c r="E147" s="220" t="s">
        <v>3</v>
      </c>
      <c r="F147" s="220" t="s">
        <v>86</v>
      </c>
      <c r="G147" s="185" t="s">
        <v>624</v>
      </c>
      <c r="H147" s="149" t="s">
        <v>228</v>
      </c>
      <c r="I147" s="170" t="s">
        <v>625</v>
      </c>
      <c r="J147" s="170"/>
      <c r="K147" s="170"/>
      <c r="L147" s="170" t="s">
        <v>626</v>
      </c>
      <c r="M147" s="170"/>
      <c r="N147" s="187"/>
      <c r="O147" s="164"/>
      <c r="P147" s="164" t="s">
        <v>80</v>
      </c>
      <c r="Q147" s="164" t="s">
        <v>4</v>
      </c>
      <c r="R147" s="164"/>
      <c r="S147" s="172">
        <v>1</v>
      </c>
      <c r="T147" s="222">
        <v>-0.2</v>
      </c>
      <c r="U147" s="173">
        <f t="shared" si="1"/>
        <v>-0.2</v>
      </c>
      <c r="V147" s="174">
        <v>1</v>
      </c>
      <c r="W147" s="174">
        <v>1</v>
      </c>
      <c r="X147" s="174">
        <v>1</v>
      </c>
      <c r="Y147" s="174">
        <v>1</v>
      </c>
      <c r="Z147" s="174">
        <v>1</v>
      </c>
      <c r="AA147" s="174">
        <v>1</v>
      </c>
      <c r="AB147" s="174">
        <v>1</v>
      </c>
      <c r="AC147" s="174">
        <v>1</v>
      </c>
      <c r="AD147" s="174">
        <v>1</v>
      </c>
      <c r="AE147" s="174">
        <v>1</v>
      </c>
      <c r="AF147" s="174">
        <v>1</v>
      </c>
      <c r="AG147" s="174">
        <v>1</v>
      </c>
      <c r="AH147" s="174">
        <v>1</v>
      </c>
      <c r="AI147" s="174">
        <v>1</v>
      </c>
      <c r="AJ147" s="174">
        <v>1</v>
      </c>
      <c r="AK147" s="174">
        <v>1</v>
      </c>
      <c r="AL147" s="174">
        <v>1</v>
      </c>
      <c r="AM147" s="478">
        <v>1</v>
      </c>
      <c r="AN147" s="174">
        <v>1</v>
      </c>
      <c r="AO147" s="174">
        <v>1</v>
      </c>
      <c r="AP147" s="174">
        <v>1</v>
      </c>
      <c r="AQ147" s="174">
        <v>1</v>
      </c>
      <c r="AR147" s="174">
        <v>1</v>
      </c>
      <c r="AS147" s="174">
        <v>1</v>
      </c>
      <c r="AT147" s="174">
        <v>1</v>
      </c>
      <c r="AU147" s="174">
        <v>1</v>
      </c>
      <c r="AV147" s="174">
        <v>1</v>
      </c>
      <c r="AW147" s="174">
        <v>1</v>
      </c>
      <c r="AX147" s="174">
        <v>1</v>
      </c>
      <c r="AY147" s="174">
        <v>1</v>
      </c>
      <c r="AZ147" s="174">
        <v>1</v>
      </c>
      <c r="BA147" s="174">
        <v>1</v>
      </c>
    </row>
    <row r="148" spans="1:53 16364:16381" ht="33.75" hidden="1" customHeight="1">
      <c r="A148" s="151"/>
      <c r="B148" s="151"/>
      <c r="C148" s="169" t="s">
        <v>367</v>
      </c>
      <c r="D148" s="217" t="s">
        <v>76</v>
      </c>
      <c r="E148" s="169" t="s">
        <v>3</v>
      </c>
      <c r="F148" s="169"/>
      <c r="G148" s="217" t="s">
        <v>403</v>
      </c>
      <c r="H148" s="217" t="s">
        <v>487</v>
      </c>
      <c r="I148" s="219" t="s">
        <v>627</v>
      </c>
      <c r="J148" s="219"/>
      <c r="K148" s="219"/>
      <c r="L148" s="509"/>
      <c r="M148" s="170"/>
      <c r="N148" s="171">
        <v>0</v>
      </c>
      <c r="O148" s="164"/>
      <c r="P148" s="164"/>
      <c r="Q148" s="164" t="s">
        <v>10</v>
      </c>
      <c r="R148" s="164" t="s">
        <v>81</v>
      </c>
      <c r="S148" s="218">
        <v>0</v>
      </c>
      <c r="T148" s="157">
        <v>-3</v>
      </c>
      <c r="U148" s="173">
        <f t="shared" ref="U148:U214" si="4">T148*S148</f>
        <v>0</v>
      </c>
      <c r="V148" s="152"/>
      <c r="W148" s="152"/>
      <c r="X148" s="152"/>
      <c r="Y148" s="152">
        <v>1</v>
      </c>
      <c r="Z148" s="152">
        <v>1</v>
      </c>
      <c r="AA148" s="152"/>
      <c r="AB148" s="152"/>
      <c r="AC148" s="152">
        <v>1</v>
      </c>
      <c r="AD148" s="152">
        <v>1</v>
      </c>
      <c r="AE148" s="152"/>
      <c r="AF148" s="152"/>
      <c r="AG148" s="152"/>
      <c r="AH148" s="152">
        <v>1</v>
      </c>
      <c r="AI148" s="152">
        <v>1</v>
      </c>
      <c r="AJ148" s="152"/>
      <c r="AK148" s="152"/>
      <c r="AL148" s="152">
        <v>1</v>
      </c>
      <c r="AM148" s="485">
        <v>1</v>
      </c>
      <c r="AN148" s="194"/>
      <c r="AO148" s="194"/>
      <c r="AP148" s="194"/>
      <c r="AQ148" s="174">
        <v>1</v>
      </c>
      <c r="AR148" s="174">
        <v>1</v>
      </c>
      <c r="AS148" s="194"/>
      <c r="AT148" s="194"/>
      <c r="AU148" s="194"/>
      <c r="AV148" s="174">
        <v>1</v>
      </c>
      <c r="AW148" s="194"/>
      <c r="AX148" s="194"/>
      <c r="AY148" s="194"/>
      <c r="AZ148" s="174">
        <v>1</v>
      </c>
      <c r="BA148" s="174">
        <v>1</v>
      </c>
    </row>
    <row r="149" spans="1:53 16364:16381" ht="33.75" hidden="1" customHeight="1">
      <c r="A149" s="168">
        <v>182</v>
      </c>
      <c r="B149" s="168"/>
      <c r="C149" s="169" t="s">
        <v>84</v>
      </c>
      <c r="D149" s="144" t="s">
        <v>76</v>
      </c>
      <c r="E149" s="169" t="s">
        <v>6</v>
      </c>
      <c r="F149" s="169"/>
      <c r="G149" s="193" t="s">
        <v>628</v>
      </c>
      <c r="H149" s="170"/>
      <c r="I149" s="170" t="s">
        <v>629</v>
      </c>
      <c r="J149" s="170"/>
      <c r="K149" s="170"/>
      <c r="L149" s="170" t="s">
        <v>630</v>
      </c>
      <c r="M149" s="10"/>
      <c r="N149" s="171" t="s">
        <v>485</v>
      </c>
      <c r="O149" s="10"/>
      <c r="P149" s="10"/>
      <c r="Q149" s="164" t="s">
        <v>10</v>
      </c>
      <c r="R149" s="10"/>
      <c r="S149" s="172">
        <v>0</v>
      </c>
      <c r="T149" s="157"/>
      <c r="U149" s="173">
        <f t="shared" si="4"/>
        <v>0</v>
      </c>
      <c r="V149" s="152"/>
      <c r="W149" s="152"/>
      <c r="X149" s="152"/>
      <c r="Y149" s="152">
        <v>1</v>
      </c>
      <c r="Z149" s="152">
        <v>1</v>
      </c>
      <c r="AA149" s="152"/>
      <c r="AB149" s="152"/>
      <c r="AC149" s="152">
        <v>1</v>
      </c>
      <c r="AD149" s="152">
        <v>1</v>
      </c>
      <c r="AE149" s="152"/>
      <c r="AF149" s="152"/>
      <c r="AG149" s="152"/>
      <c r="AH149" s="152">
        <v>1</v>
      </c>
      <c r="AI149" s="152">
        <v>1</v>
      </c>
      <c r="AJ149" s="152"/>
      <c r="AK149" s="152"/>
      <c r="AL149" s="152">
        <v>1</v>
      </c>
      <c r="AM149" s="485">
        <v>1</v>
      </c>
      <c r="AN149" s="194"/>
      <c r="AO149" s="194"/>
      <c r="AP149" s="194"/>
      <c r="AQ149" s="503">
        <v>1</v>
      </c>
      <c r="AR149" s="503">
        <v>1</v>
      </c>
      <c r="AS149" s="194"/>
      <c r="AT149" s="194"/>
      <c r="AU149" s="194"/>
      <c r="AV149" s="503">
        <v>1</v>
      </c>
      <c r="AW149" s="194"/>
      <c r="AX149" s="194"/>
      <c r="AY149" s="194"/>
      <c r="AZ149" s="503">
        <v>1</v>
      </c>
      <c r="BA149" s="503">
        <v>1</v>
      </c>
    </row>
    <row r="150" spans="1:53 16364:16381" ht="33.75" hidden="1" customHeight="1">
      <c r="A150" s="168">
        <v>188</v>
      </c>
      <c r="B150" s="168"/>
      <c r="C150" s="169" t="s">
        <v>84</v>
      </c>
      <c r="D150" s="144" t="s">
        <v>76</v>
      </c>
      <c r="E150" s="169" t="s">
        <v>6</v>
      </c>
      <c r="F150" s="169"/>
      <c r="G150" s="149" t="s">
        <v>631</v>
      </c>
      <c r="H150" s="149"/>
      <c r="I150" s="144" t="s">
        <v>632</v>
      </c>
      <c r="J150" s="144"/>
      <c r="K150" s="144"/>
      <c r="L150" s="149" t="s">
        <v>633</v>
      </c>
      <c r="M150" s="170"/>
      <c r="N150" s="171">
        <v>0</v>
      </c>
      <c r="O150" s="164"/>
      <c r="P150" s="164" t="s">
        <v>80</v>
      </c>
      <c r="Q150" s="164" t="s">
        <v>10</v>
      </c>
      <c r="R150" s="164" t="s">
        <v>81</v>
      </c>
      <c r="S150" s="176">
        <v>0.25</v>
      </c>
      <c r="T150" s="157">
        <v>0.5</v>
      </c>
      <c r="U150" s="173">
        <f t="shared" si="4"/>
        <v>0.125</v>
      </c>
      <c r="V150" s="152"/>
      <c r="W150" s="152"/>
      <c r="X150" s="152"/>
      <c r="Y150" s="152">
        <v>1</v>
      </c>
      <c r="Z150" s="152">
        <v>1</v>
      </c>
      <c r="AA150" s="152"/>
      <c r="AB150" s="152"/>
      <c r="AC150" s="152">
        <v>1</v>
      </c>
      <c r="AD150" s="152">
        <v>1</v>
      </c>
      <c r="AE150" s="152"/>
      <c r="AF150" s="152"/>
      <c r="AG150" s="152"/>
      <c r="AH150" s="152">
        <v>1</v>
      </c>
      <c r="AI150" s="152">
        <v>1</v>
      </c>
      <c r="AJ150" s="152"/>
      <c r="AK150" s="152"/>
      <c r="AL150" s="152">
        <v>1</v>
      </c>
      <c r="AM150" s="485">
        <v>1</v>
      </c>
      <c r="AN150" s="194"/>
      <c r="AO150" s="194"/>
      <c r="AP150" s="194"/>
      <c r="AQ150" s="503">
        <v>1</v>
      </c>
      <c r="AR150" s="503">
        <v>1</v>
      </c>
      <c r="AS150" s="194"/>
      <c r="AT150" s="194"/>
      <c r="AU150" s="194"/>
      <c r="AV150" s="503">
        <v>1</v>
      </c>
      <c r="AW150" s="194"/>
      <c r="AX150" s="194"/>
      <c r="AY150" s="194"/>
      <c r="AZ150" s="503">
        <v>1</v>
      </c>
      <c r="BA150" s="503">
        <v>1</v>
      </c>
    </row>
    <row r="151" spans="1:53 16364:16381" ht="33.75" hidden="1" customHeight="1">
      <c r="A151" s="168" t="s">
        <v>634</v>
      </c>
      <c r="B151" s="168"/>
      <c r="C151" s="169" t="s">
        <v>84</v>
      </c>
      <c r="D151" s="144" t="s">
        <v>76</v>
      </c>
      <c r="E151" s="169" t="s">
        <v>6</v>
      </c>
      <c r="F151" s="169"/>
      <c r="G151" s="193" t="s">
        <v>635</v>
      </c>
      <c r="H151" s="170"/>
      <c r="I151" s="170" t="s">
        <v>636</v>
      </c>
      <c r="J151" s="144"/>
      <c r="K151" s="144"/>
      <c r="L151" s="170" t="s">
        <v>637</v>
      </c>
      <c r="M151" s="10"/>
      <c r="N151" s="171" t="s">
        <v>485</v>
      </c>
      <c r="O151" s="10"/>
      <c r="P151" s="10"/>
      <c r="Q151" s="164" t="s">
        <v>10</v>
      </c>
      <c r="R151" s="10"/>
      <c r="S151" s="172">
        <v>0</v>
      </c>
      <c r="T151" s="157"/>
      <c r="U151" s="173">
        <f t="shared" si="4"/>
        <v>0</v>
      </c>
      <c r="V151" s="152"/>
      <c r="W151" s="152"/>
      <c r="X151" s="152"/>
      <c r="Y151" s="152">
        <v>1</v>
      </c>
      <c r="Z151" s="152">
        <v>1</v>
      </c>
      <c r="AA151" s="152"/>
      <c r="AB151" s="152"/>
      <c r="AC151" s="152">
        <v>1</v>
      </c>
      <c r="AD151" s="152">
        <v>1</v>
      </c>
      <c r="AE151" s="152"/>
      <c r="AF151" s="152"/>
      <c r="AG151" s="152"/>
      <c r="AH151" s="152">
        <v>1</v>
      </c>
      <c r="AI151" s="152">
        <v>1</v>
      </c>
      <c r="AJ151" s="152"/>
      <c r="AK151" s="152"/>
      <c r="AL151" s="152">
        <v>1</v>
      </c>
      <c r="AM151" s="485">
        <v>1</v>
      </c>
      <c r="AN151" s="194"/>
      <c r="AO151" s="194"/>
      <c r="AP151" s="194"/>
      <c r="AQ151" s="503">
        <v>1</v>
      </c>
      <c r="AR151" s="503">
        <v>1</v>
      </c>
      <c r="AS151" s="194"/>
      <c r="AT151" s="194"/>
      <c r="AU151" s="194"/>
      <c r="AV151" s="503">
        <v>1</v>
      </c>
      <c r="AW151" s="194"/>
      <c r="AX151" s="194"/>
      <c r="AY151" s="194"/>
      <c r="AZ151" s="503">
        <v>1</v>
      </c>
      <c r="BA151" s="503">
        <v>1</v>
      </c>
    </row>
    <row r="152" spans="1:53 16364:16381" ht="33.75" hidden="1" customHeight="1">
      <c r="A152" s="168" t="s">
        <v>638</v>
      </c>
      <c r="B152" s="168"/>
      <c r="C152" s="169" t="s">
        <v>84</v>
      </c>
      <c r="D152" s="144" t="s">
        <v>76</v>
      </c>
      <c r="E152" s="169" t="s">
        <v>6</v>
      </c>
      <c r="F152" s="169"/>
      <c r="G152" s="149" t="s">
        <v>639</v>
      </c>
      <c r="H152" s="149"/>
      <c r="I152" s="154" t="s">
        <v>640</v>
      </c>
      <c r="J152" s="154"/>
      <c r="K152" s="154"/>
      <c r="L152" s="170" t="s">
        <v>641</v>
      </c>
      <c r="M152" s="10"/>
      <c r="N152" s="171" t="s">
        <v>485</v>
      </c>
      <c r="O152" s="10"/>
      <c r="P152" s="10"/>
      <c r="Q152" s="164" t="s">
        <v>10</v>
      </c>
      <c r="R152" s="10"/>
      <c r="S152" s="172">
        <v>0</v>
      </c>
      <c r="T152" s="157"/>
      <c r="U152" s="173">
        <f t="shared" si="4"/>
        <v>0</v>
      </c>
      <c r="V152" s="152"/>
      <c r="W152" s="152"/>
      <c r="X152" s="152"/>
      <c r="Y152" s="152">
        <v>1</v>
      </c>
      <c r="Z152" s="152">
        <v>1</v>
      </c>
      <c r="AA152" s="152"/>
      <c r="AB152" s="152"/>
      <c r="AC152" s="152">
        <v>1</v>
      </c>
      <c r="AD152" s="152">
        <v>1</v>
      </c>
      <c r="AE152" s="152"/>
      <c r="AF152" s="152"/>
      <c r="AG152" s="152"/>
      <c r="AH152" s="152">
        <v>1</v>
      </c>
      <c r="AI152" s="152">
        <v>1</v>
      </c>
      <c r="AJ152" s="152"/>
      <c r="AK152" s="152"/>
      <c r="AL152" s="152">
        <v>1</v>
      </c>
      <c r="AM152" s="485">
        <v>1</v>
      </c>
      <c r="AN152" s="194"/>
      <c r="AO152" s="194"/>
      <c r="AP152" s="194"/>
      <c r="AQ152" s="503">
        <v>1</v>
      </c>
      <c r="AR152" s="503">
        <v>1</v>
      </c>
      <c r="AS152" s="194"/>
      <c r="AT152" s="194"/>
      <c r="AU152" s="194"/>
      <c r="AV152" s="503">
        <v>1</v>
      </c>
      <c r="AW152" s="194"/>
      <c r="AX152" s="194"/>
      <c r="AY152" s="194"/>
      <c r="AZ152" s="503">
        <v>1</v>
      </c>
      <c r="BA152" s="503">
        <v>1</v>
      </c>
    </row>
    <row r="153" spans="1:53 16364:16381" ht="33.75" hidden="1" customHeight="1">
      <c r="A153" s="168" t="s">
        <v>642</v>
      </c>
      <c r="B153" s="168"/>
      <c r="C153" s="169" t="s">
        <v>84</v>
      </c>
      <c r="D153" s="144" t="s">
        <v>76</v>
      </c>
      <c r="E153" s="169" t="s">
        <v>6</v>
      </c>
      <c r="F153" s="169"/>
      <c r="G153" s="149" t="s">
        <v>643</v>
      </c>
      <c r="H153" s="170"/>
      <c r="I153" s="170" t="s">
        <v>644</v>
      </c>
      <c r="J153" s="170"/>
      <c r="K153" s="170"/>
      <c r="L153" s="170"/>
      <c r="M153" s="170"/>
      <c r="N153" s="171"/>
      <c r="O153" s="164"/>
      <c r="P153" s="164" t="s">
        <v>80</v>
      </c>
      <c r="Q153" s="164" t="s">
        <v>7</v>
      </c>
      <c r="R153" s="164"/>
      <c r="S153" s="172">
        <v>1</v>
      </c>
      <c r="T153" s="157">
        <v>-0.6</v>
      </c>
      <c r="U153" s="173">
        <f t="shared" si="4"/>
        <v>-0.6</v>
      </c>
      <c r="V153" s="152"/>
      <c r="W153" s="152"/>
      <c r="X153" s="152"/>
      <c r="Y153" s="152">
        <v>1</v>
      </c>
      <c r="Z153" s="152">
        <v>1</v>
      </c>
      <c r="AA153" s="152"/>
      <c r="AB153" s="152"/>
      <c r="AC153" s="152">
        <v>1</v>
      </c>
      <c r="AD153" s="152">
        <v>1</v>
      </c>
      <c r="AE153" s="152"/>
      <c r="AF153" s="152"/>
      <c r="AG153" s="152"/>
      <c r="AH153" s="152">
        <v>1</v>
      </c>
      <c r="AI153" s="152">
        <v>1</v>
      </c>
      <c r="AJ153" s="152"/>
      <c r="AK153" s="152"/>
      <c r="AL153" s="152">
        <v>1</v>
      </c>
      <c r="AM153" s="485">
        <v>1</v>
      </c>
      <c r="AN153" s="194"/>
      <c r="AO153" s="194"/>
      <c r="AP153" s="194"/>
      <c r="AQ153" s="503">
        <v>1</v>
      </c>
      <c r="AR153" s="503">
        <v>1</v>
      </c>
      <c r="AS153" s="194"/>
      <c r="AT153" s="194"/>
      <c r="AU153" s="194"/>
      <c r="AV153" s="503">
        <v>1</v>
      </c>
      <c r="AW153" s="194"/>
      <c r="AX153" s="194"/>
      <c r="AY153" s="194"/>
      <c r="AZ153" s="503">
        <v>1</v>
      </c>
      <c r="BA153" s="503">
        <v>1</v>
      </c>
    </row>
    <row r="154" spans="1:53 16364:16381" ht="29.25" hidden="1" customHeight="1">
      <c r="A154" s="182">
        <v>311</v>
      </c>
      <c r="B154" s="182" t="s">
        <v>194</v>
      </c>
      <c r="C154" s="220" t="s">
        <v>84</v>
      </c>
      <c r="D154" s="462" t="s">
        <v>76</v>
      </c>
      <c r="E154" s="220" t="s">
        <v>3</v>
      </c>
      <c r="F154" s="220" t="s">
        <v>155</v>
      </c>
      <c r="G154" s="185" t="s">
        <v>645</v>
      </c>
      <c r="H154" s="428" t="s">
        <v>646</v>
      </c>
      <c r="I154" s="170" t="s">
        <v>647</v>
      </c>
      <c r="J154" s="170" t="s">
        <v>648</v>
      </c>
      <c r="K154" s="170"/>
      <c r="L154" s="170" t="s">
        <v>649</v>
      </c>
      <c r="M154" s="170"/>
      <c r="N154" s="187"/>
      <c r="O154" s="164"/>
      <c r="P154" s="164" t="s">
        <v>80</v>
      </c>
      <c r="Q154" s="164" t="s">
        <v>10</v>
      </c>
      <c r="R154" s="164"/>
      <c r="S154" s="172">
        <v>0.5</v>
      </c>
      <c r="T154" s="157">
        <v>-0.4</v>
      </c>
      <c r="U154" s="331">
        <f t="shared" si="4"/>
        <v>-0.2</v>
      </c>
      <c r="V154" s="174">
        <v>1</v>
      </c>
      <c r="W154" s="174">
        <v>1</v>
      </c>
      <c r="X154" s="174">
        <v>1</v>
      </c>
      <c r="Y154" s="174">
        <v>1</v>
      </c>
      <c r="Z154" s="174">
        <v>1</v>
      </c>
      <c r="AA154" s="174">
        <v>1</v>
      </c>
      <c r="AB154" s="174">
        <v>1</v>
      </c>
      <c r="AC154" s="174">
        <v>1</v>
      </c>
      <c r="AD154" s="174">
        <v>1</v>
      </c>
      <c r="AE154" s="174">
        <v>1</v>
      </c>
      <c r="AF154" s="174">
        <v>1</v>
      </c>
      <c r="AG154" s="174">
        <v>1</v>
      </c>
      <c r="AH154" s="174">
        <v>1</v>
      </c>
      <c r="AI154" s="174">
        <v>1</v>
      </c>
      <c r="AJ154" s="174">
        <v>1</v>
      </c>
      <c r="AK154" s="174">
        <v>1</v>
      </c>
      <c r="AL154" s="174">
        <v>1</v>
      </c>
      <c r="AM154" s="478">
        <v>1</v>
      </c>
      <c r="AN154" s="332">
        <v>1</v>
      </c>
      <c r="AO154" s="332">
        <v>1</v>
      </c>
      <c r="AP154" s="332">
        <v>1</v>
      </c>
      <c r="AQ154" s="332">
        <v>1</v>
      </c>
      <c r="AR154" s="332">
        <v>1</v>
      </c>
      <c r="AS154" s="332">
        <v>1</v>
      </c>
      <c r="AT154" s="332">
        <v>1</v>
      </c>
      <c r="AU154" s="332">
        <v>1</v>
      </c>
      <c r="AV154" s="332">
        <v>1</v>
      </c>
      <c r="AW154" s="332">
        <v>1</v>
      </c>
      <c r="AX154" s="332">
        <v>1</v>
      </c>
      <c r="AY154" s="332">
        <v>1</v>
      </c>
      <c r="AZ154" s="332">
        <v>1</v>
      </c>
      <c r="BA154" s="332">
        <v>1</v>
      </c>
    </row>
    <row r="155" spans="1:53 16364:16381" ht="33.75" hidden="1" customHeight="1">
      <c r="A155" s="227"/>
      <c r="B155" s="227"/>
      <c r="C155" s="177" t="s">
        <v>367</v>
      </c>
      <c r="D155" s="153" t="s">
        <v>76</v>
      </c>
      <c r="E155" s="177" t="s">
        <v>3</v>
      </c>
      <c r="F155" s="177"/>
      <c r="G155" s="153" t="s">
        <v>111</v>
      </c>
      <c r="H155" s="153" t="s">
        <v>650</v>
      </c>
      <c r="I155" s="535" t="s">
        <v>651</v>
      </c>
      <c r="J155" s="535" t="s">
        <v>652</v>
      </c>
      <c r="K155" s="535" t="s">
        <v>653</v>
      </c>
      <c r="L155" s="536"/>
      <c r="M155" s="153" t="s">
        <v>654</v>
      </c>
      <c r="N155" s="228" t="s">
        <v>654</v>
      </c>
      <c r="O155" s="166"/>
      <c r="P155" s="166" t="s">
        <v>80</v>
      </c>
      <c r="Q155" s="166" t="s">
        <v>10</v>
      </c>
      <c r="R155" s="166" t="s">
        <v>81</v>
      </c>
      <c r="S155" s="178">
        <v>1</v>
      </c>
      <c r="T155" s="158">
        <v>0.6</v>
      </c>
      <c r="U155" s="229">
        <f t="shared" si="4"/>
        <v>0.6</v>
      </c>
      <c r="V155" s="152"/>
      <c r="W155" s="152"/>
      <c r="X155" s="152"/>
      <c r="Y155" s="152">
        <v>1</v>
      </c>
      <c r="Z155" s="152">
        <v>1</v>
      </c>
      <c r="AA155" s="152"/>
      <c r="AB155" s="152"/>
      <c r="AC155" s="152">
        <v>1</v>
      </c>
      <c r="AD155" s="152">
        <v>1</v>
      </c>
      <c r="AE155" s="152"/>
      <c r="AF155" s="152"/>
      <c r="AG155" s="152"/>
      <c r="AH155" s="152">
        <v>1</v>
      </c>
      <c r="AI155" s="152">
        <v>1</v>
      </c>
      <c r="AJ155" s="152"/>
      <c r="AK155" s="152"/>
      <c r="AL155" s="152">
        <v>1</v>
      </c>
      <c r="AM155" s="485">
        <v>1</v>
      </c>
      <c r="AN155" s="194"/>
      <c r="AO155" s="194"/>
      <c r="AP155" s="194"/>
      <c r="AQ155" s="503">
        <v>1</v>
      </c>
      <c r="AR155" s="503">
        <v>1</v>
      </c>
      <c r="AS155" s="194"/>
      <c r="AT155" s="194"/>
      <c r="AU155" s="194"/>
      <c r="AV155" s="503">
        <v>1</v>
      </c>
      <c r="AW155" s="194"/>
      <c r="AX155" s="194"/>
      <c r="AY155" s="194"/>
      <c r="AZ155" s="503">
        <v>1</v>
      </c>
      <c r="BA155" s="503">
        <v>1</v>
      </c>
    </row>
    <row r="156" spans="1:53 16364:16381" ht="44.25" hidden="1" customHeight="1">
      <c r="A156" s="210"/>
      <c r="B156" s="210"/>
      <c r="C156" s="211" t="s">
        <v>367</v>
      </c>
      <c r="D156" s="223" t="s">
        <v>76</v>
      </c>
      <c r="E156" s="211" t="s">
        <v>3</v>
      </c>
      <c r="F156" s="211"/>
      <c r="G156" s="212" t="s">
        <v>445</v>
      </c>
      <c r="H156" s="212" t="s">
        <v>446</v>
      </c>
      <c r="I156" s="213" t="s">
        <v>655</v>
      </c>
      <c r="J156" s="213" t="s">
        <v>656</v>
      </c>
      <c r="K156" s="212" t="s">
        <v>142</v>
      </c>
      <c r="L156" s="526"/>
      <c r="M156" s="212">
        <v>0</v>
      </c>
      <c r="N156" s="214">
        <v>-0.1</v>
      </c>
      <c r="O156" s="215"/>
      <c r="P156" s="215" t="s">
        <v>80</v>
      </c>
      <c r="Q156" s="215" t="s">
        <v>10</v>
      </c>
      <c r="R156" s="215" t="s">
        <v>81</v>
      </c>
      <c r="S156" s="216">
        <v>0</v>
      </c>
      <c r="T156" s="157">
        <v>1</v>
      </c>
      <c r="U156" s="173">
        <f t="shared" si="4"/>
        <v>0</v>
      </c>
      <c r="V156" s="152"/>
      <c r="W156" s="152"/>
      <c r="X156" s="152"/>
      <c r="Y156" s="152">
        <v>1</v>
      </c>
      <c r="Z156" s="152">
        <v>1</v>
      </c>
      <c r="AA156" s="152"/>
      <c r="AB156" s="152"/>
      <c r="AC156" s="152">
        <v>1</v>
      </c>
      <c r="AD156" s="152">
        <v>1</v>
      </c>
      <c r="AE156" s="152"/>
      <c r="AF156" s="152"/>
      <c r="AG156" s="152"/>
      <c r="AH156" s="152">
        <v>1</v>
      </c>
      <c r="AI156" s="152">
        <v>1</v>
      </c>
      <c r="AJ156" s="152"/>
      <c r="AK156" s="152"/>
      <c r="AL156" s="152">
        <v>1</v>
      </c>
      <c r="AM156" s="485">
        <v>1</v>
      </c>
      <c r="AN156" s="194"/>
      <c r="AO156" s="194"/>
      <c r="AP156" s="194"/>
      <c r="AQ156" s="503">
        <v>1</v>
      </c>
      <c r="AR156" s="503">
        <v>1</v>
      </c>
      <c r="AS156" s="194"/>
      <c r="AT156" s="194"/>
      <c r="AU156" s="194"/>
      <c r="AV156" s="503">
        <v>1</v>
      </c>
      <c r="AW156" s="194"/>
      <c r="AX156" s="194"/>
      <c r="AY156" s="194"/>
      <c r="AZ156" s="503">
        <v>1</v>
      </c>
      <c r="BA156" s="503">
        <v>1</v>
      </c>
    </row>
    <row r="157" spans="1:53 16364:16381" ht="29.25" hidden="1" customHeight="1">
      <c r="A157" s="182">
        <v>312</v>
      </c>
      <c r="B157" s="182" t="s">
        <v>194</v>
      </c>
      <c r="C157" s="220" t="s">
        <v>84</v>
      </c>
      <c r="D157" s="462" t="s">
        <v>102</v>
      </c>
      <c r="E157" s="220" t="s">
        <v>3</v>
      </c>
      <c r="F157" s="220" t="s">
        <v>103</v>
      </c>
      <c r="G157" s="185" t="s">
        <v>657</v>
      </c>
      <c r="H157" s="385" t="s">
        <v>658</v>
      </c>
      <c r="I157" s="149" t="s">
        <v>659</v>
      </c>
      <c r="J157" s="153" t="s">
        <v>660</v>
      </c>
      <c r="K157" s="187"/>
      <c r="L157" s="164" t="s">
        <v>661</v>
      </c>
      <c r="M157" s="186"/>
      <c r="N157" s="186"/>
      <c r="O157" s="186"/>
      <c r="P157" s="176" t="s">
        <v>80</v>
      </c>
      <c r="Q157" s="186" t="s">
        <v>10</v>
      </c>
      <c r="R157" s="331"/>
      <c r="S157" s="176">
        <v>0.25</v>
      </c>
      <c r="T157" s="157">
        <v>-0.8</v>
      </c>
      <c r="U157" s="173">
        <f t="shared" si="4"/>
        <v>-0.2</v>
      </c>
      <c r="V157" s="174">
        <v>1</v>
      </c>
      <c r="W157" s="174">
        <v>1</v>
      </c>
      <c r="X157" s="174">
        <v>1</v>
      </c>
      <c r="Y157" s="174">
        <v>1</v>
      </c>
      <c r="Z157" s="174">
        <v>1</v>
      </c>
      <c r="AA157" s="174">
        <v>1</v>
      </c>
      <c r="AB157" s="174">
        <v>1</v>
      </c>
      <c r="AC157" s="174">
        <v>1</v>
      </c>
      <c r="AD157" s="174">
        <v>1</v>
      </c>
      <c r="AE157" s="174">
        <v>1</v>
      </c>
      <c r="AF157" s="174">
        <v>1</v>
      </c>
      <c r="AG157" s="353">
        <v>1</v>
      </c>
      <c r="AH157" s="353">
        <v>1</v>
      </c>
      <c r="AI157" s="353">
        <v>1</v>
      </c>
      <c r="AJ157" s="353">
        <v>1</v>
      </c>
      <c r="AK157" s="353">
        <v>1</v>
      </c>
      <c r="AL157" s="353">
        <v>1</v>
      </c>
      <c r="AM157" s="353">
        <v>1</v>
      </c>
      <c r="AN157" s="194">
        <v>1</v>
      </c>
      <c r="AO157" s="194">
        <v>1</v>
      </c>
      <c r="AP157" s="194">
        <v>1</v>
      </c>
      <c r="AQ157" s="194">
        <v>1</v>
      </c>
      <c r="AR157" s="194">
        <v>1</v>
      </c>
      <c r="AS157" s="194">
        <v>1</v>
      </c>
      <c r="AT157" s="194">
        <v>1</v>
      </c>
      <c r="AU157" s="194">
        <v>1</v>
      </c>
      <c r="AV157" s="194">
        <v>1</v>
      </c>
      <c r="AW157" s="194">
        <v>1</v>
      </c>
      <c r="AX157" s="194">
        <v>1</v>
      </c>
      <c r="AY157" s="194">
        <v>1</v>
      </c>
      <c r="AZ157" s="194">
        <v>1</v>
      </c>
      <c r="BA157" s="194">
        <v>1</v>
      </c>
      <c r="XEJ157" s="498"/>
      <c r="XEK157" s="498"/>
      <c r="XEL157" s="490"/>
      <c r="XEM157" s="499"/>
      <c r="XEN157" s="490"/>
      <c r="XEO157" s="490"/>
      <c r="XEP157" s="491"/>
      <c r="XEQ157"/>
      <c r="XER157" s="491"/>
      <c r="XES157" s="491"/>
      <c r="XET157" s="500"/>
      <c r="XEU157" s="494"/>
      <c r="XEV157" s="494"/>
      <c r="XEW157" s="494"/>
      <c r="XEX157" s="494"/>
      <c r="XEY157" s="495"/>
      <c r="XEZ157" s="496"/>
      <c r="XFA157" s="497"/>
    </row>
    <row r="158" spans="1:53 16364:16381" ht="29.25" hidden="1" customHeight="1">
      <c r="A158" s="182">
        <v>313</v>
      </c>
      <c r="B158" s="182" t="s">
        <v>194</v>
      </c>
      <c r="C158" s="220" t="s">
        <v>84</v>
      </c>
      <c r="D158" s="462" t="s">
        <v>144</v>
      </c>
      <c r="E158" s="220" t="s">
        <v>3</v>
      </c>
      <c r="F158" s="220" t="s">
        <v>662</v>
      </c>
      <c r="G158" s="185" t="s">
        <v>663</v>
      </c>
      <c r="H158" s="385" t="s">
        <v>664</v>
      </c>
      <c r="I158" s="149" t="s">
        <v>665</v>
      </c>
      <c r="J158" s="170"/>
      <c r="K158" s="170"/>
      <c r="L158" s="170" t="s">
        <v>666</v>
      </c>
      <c r="M158" s="149"/>
      <c r="N158" s="475"/>
      <c r="O158" s="186"/>
      <c r="P158" s="186" t="s">
        <v>80</v>
      </c>
      <c r="Q158" s="186" t="s">
        <v>4</v>
      </c>
      <c r="R158" s="186"/>
      <c r="S158" s="176">
        <v>0.25</v>
      </c>
      <c r="T158" s="157">
        <v>-1</v>
      </c>
      <c r="U158" s="173">
        <f t="shared" si="4"/>
        <v>-0.25</v>
      </c>
      <c r="V158" s="174">
        <v>1</v>
      </c>
      <c r="W158" s="174">
        <v>1</v>
      </c>
      <c r="X158" s="174">
        <v>1</v>
      </c>
      <c r="Y158" s="174">
        <v>1</v>
      </c>
      <c r="Z158" s="174">
        <v>1</v>
      </c>
      <c r="AA158" s="174">
        <v>1</v>
      </c>
      <c r="AB158" s="174">
        <v>1</v>
      </c>
      <c r="AC158" s="174">
        <v>1</v>
      </c>
      <c r="AD158" s="174">
        <v>1</v>
      </c>
      <c r="AE158" s="174">
        <v>1</v>
      </c>
      <c r="AF158" s="174">
        <v>1</v>
      </c>
      <c r="AG158" s="174">
        <v>1</v>
      </c>
      <c r="AH158" s="174">
        <v>1</v>
      </c>
      <c r="AI158" s="174">
        <v>1</v>
      </c>
      <c r="AJ158" s="174">
        <v>1</v>
      </c>
      <c r="AK158" s="174">
        <v>1</v>
      </c>
      <c r="AL158" s="174">
        <v>1</v>
      </c>
      <c r="AM158" s="478">
        <v>1</v>
      </c>
      <c r="AN158" s="332">
        <v>1</v>
      </c>
      <c r="AO158" s="332">
        <v>1</v>
      </c>
      <c r="AP158" s="332">
        <v>1</v>
      </c>
      <c r="AQ158" s="332">
        <v>1</v>
      </c>
      <c r="AR158" s="332">
        <v>1</v>
      </c>
      <c r="AS158" s="332">
        <v>1</v>
      </c>
      <c r="AT158" s="332">
        <v>1</v>
      </c>
      <c r="AU158" s="332">
        <v>1</v>
      </c>
      <c r="AV158" s="332">
        <v>1</v>
      </c>
      <c r="AW158" s="332">
        <v>1</v>
      </c>
      <c r="AX158" s="332">
        <v>1</v>
      </c>
      <c r="AY158" s="332">
        <v>1</v>
      </c>
      <c r="AZ158" s="332">
        <v>1</v>
      </c>
      <c r="BA158" s="332">
        <v>1</v>
      </c>
    </row>
    <row r="159" spans="1:53 16364:16381" ht="63" hidden="1" customHeight="1">
      <c r="A159" s="192">
        <v>223</v>
      </c>
      <c r="B159" s="192"/>
      <c r="C159" s="211" t="s">
        <v>367</v>
      </c>
      <c r="D159" s="223" t="s">
        <v>76</v>
      </c>
      <c r="E159" s="211" t="s">
        <v>3</v>
      </c>
      <c r="F159" s="211"/>
      <c r="G159" s="224" t="s">
        <v>667</v>
      </c>
      <c r="H159" s="224" t="s">
        <v>667</v>
      </c>
      <c r="I159" s="212" t="s">
        <v>668</v>
      </c>
      <c r="J159" s="225" t="s">
        <v>669</v>
      </c>
      <c r="K159" s="224" t="s">
        <v>670</v>
      </c>
      <c r="L159" s="524" t="s">
        <v>671</v>
      </c>
      <c r="M159" s="212"/>
      <c r="N159" s="214">
        <v>1.5</v>
      </c>
      <c r="O159" s="526"/>
      <c r="P159" s="215" t="s">
        <v>80</v>
      </c>
      <c r="Q159" s="215" t="s">
        <v>10</v>
      </c>
      <c r="R159" s="215" t="s">
        <v>81</v>
      </c>
      <c r="S159" s="216">
        <v>0.75</v>
      </c>
      <c r="T159" s="222">
        <v>1</v>
      </c>
      <c r="U159" s="226">
        <f t="shared" si="4"/>
        <v>0.75</v>
      </c>
      <c r="V159" s="152"/>
      <c r="W159" s="152"/>
      <c r="X159" s="152"/>
      <c r="Y159" s="152">
        <v>1</v>
      </c>
      <c r="Z159" s="152">
        <v>1</v>
      </c>
      <c r="AA159" s="152"/>
      <c r="AB159" s="152"/>
      <c r="AC159" s="152">
        <v>1</v>
      </c>
      <c r="AD159" s="152">
        <v>1</v>
      </c>
      <c r="AE159" s="152"/>
      <c r="AF159" s="152"/>
      <c r="AG159" s="152"/>
      <c r="AH159" s="152">
        <v>1</v>
      </c>
      <c r="AI159" s="152">
        <v>1</v>
      </c>
      <c r="AJ159" s="152"/>
      <c r="AK159" s="152"/>
      <c r="AL159" s="152">
        <v>1</v>
      </c>
      <c r="AM159" s="485">
        <v>1</v>
      </c>
      <c r="AN159" s="194"/>
      <c r="AO159" s="194"/>
      <c r="AP159" s="194"/>
      <c r="AQ159" s="503">
        <v>1</v>
      </c>
      <c r="AR159" s="503">
        <v>1</v>
      </c>
      <c r="AS159" s="194"/>
      <c r="AT159" s="194"/>
      <c r="AU159" s="194"/>
      <c r="AV159" s="503">
        <v>1</v>
      </c>
      <c r="AW159" s="194"/>
      <c r="AX159" s="194"/>
      <c r="AY159" s="194"/>
      <c r="AZ159" s="503">
        <v>1</v>
      </c>
      <c r="BA159" s="503">
        <v>1</v>
      </c>
    </row>
    <row r="160" spans="1:53 16364:16381" ht="33.75" hidden="1" customHeight="1">
      <c r="A160" s="184">
        <v>221</v>
      </c>
      <c r="B160" s="184"/>
      <c r="C160" s="177" t="s">
        <v>367</v>
      </c>
      <c r="D160" s="197" t="s">
        <v>76</v>
      </c>
      <c r="E160" s="177" t="s">
        <v>3</v>
      </c>
      <c r="F160" s="177"/>
      <c r="G160" s="232" t="s">
        <v>672</v>
      </c>
      <c r="H160" s="197"/>
      <c r="I160" s="153" t="s">
        <v>673</v>
      </c>
      <c r="J160" s="233" t="s">
        <v>674</v>
      </c>
      <c r="K160" s="234" t="s">
        <v>675</v>
      </c>
      <c r="L160" s="536"/>
      <c r="M160" s="153">
        <v>0</v>
      </c>
      <c r="N160" s="228">
        <v>1.3</v>
      </c>
      <c r="O160" s="536"/>
      <c r="P160" s="166" t="s">
        <v>80</v>
      </c>
      <c r="Q160" s="166" t="s">
        <v>10</v>
      </c>
      <c r="R160" s="166" t="s">
        <v>81</v>
      </c>
      <c r="S160" s="178">
        <v>0.1</v>
      </c>
      <c r="T160" s="157">
        <v>1</v>
      </c>
      <c r="U160" s="173">
        <f t="shared" si="4"/>
        <v>0.1</v>
      </c>
      <c r="V160" s="152"/>
      <c r="W160" s="152"/>
      <c r="X160" s="152"/>
      <c r="Y160" s="152">
        <v>1</v>
      </c>
      <c r="Z160" s="152">
        <v>1</v>
      </c>
      <c r="AA160" s="152"/>
      <c r="AB160" s="152"/>
      <c r="AC160" s="152">
        <v>1</v>
      </c>
      <c r="AD160" s="152">
        <v>1</v>
      </c>
      <c r="AE160" s="152"/>
      <c r="AF160" s="152"/>
      <c r="AG160" s="152"/>
      <c r="AH160" s="152">
        <v>1</v>
      </c>
      <c r="AI160" s="152">
        <v>1</v>
      </c>
      <c r="AJ160" s="152"/>
      <c r="AK160" s="152"/>
      <c r="AL160" s="152">
        <v>1</v>
      </c>
      <c r="AM160" s="485">
        <v>1</v>
      </c>
      <c r="AN160" s="194"/>
      <c r="AO160" s="194"/>
      <c r="AP160" s="194"/>
      <c r="AQ160" s="503">
        <v>1</v>
      </c>
      <c r="AR160" s="503">
        <v>1</v>
      </c>
      <c r="AS160" s="194"/>
      <c r="AT160" s="194"/>
      <c r="AU160" s="194"/>
      <c r="AV160" s="503">
        <v>1</v>
      </c>
      <c r="AW160" s="194"/>
      <c r="AX160" s="194"/>
      <c r="AY160" s="194"/>
      <c r="AZ160" s="503">
        <v>1</v>
      </c>
      <c r="BA160" s="503">
        <v>1</v>
      </c>
    </row>
    <row r="161" spans="1:53" ht="29.25" hidden="1" customHeight="1">
      <c r="A161" s="182">
        <v>324</v>
      </c>
      <c r="B161" s="182" t="s">
        <v>676</v>
      </c>
      <c r="C161" s="220" t="s">
        <v>84</v>
      </c>
      <c r="D161" s="462" t="s">
        <v>677</v>
      </c>
      <c r="E161" s="220" t="s">
        <v>3</v>
      </c>
      <c r="F161" s="220" t="s">
        <v>678</v>
      </c>
      <c r="G161" s="185" t="s">
        <v>679</v>
      </c>
      <c r="H161" s="385" t="s">
        <v>646</v>
      </c>
      <c r="I161" s="149" t="s">
        <v>680</v>
      </c>
      <c r="J161" s="237" t="s">
        <v>681</v>
      </c>
      <c r="K161" s="237"/>
      <c r="L161" s="511" t="s">
        <v>682</v>
      </c>
      <c r="M161" s="149"/>
      <c r="N161" s="475"/>
      <c r="O161" s="186"/>
      <c r="P161" s="186" t="s">
        <v>80</v>
      </c>
      <c r="Q161" s="186" t="s">
        <v>4</v>
      </c>
      <c r="R161" s="186"/>
      <c r="S161" s="176">
        <v>1</v>
      </c>
      <c r="T161" s="157">
        <v>-1</v>
      </c>
      <c r="U161" s="173">
        <f t="shared" si="4"/>
        <v>-1</v>
      </c>
      <c r="V161" s="174">
        <v>1</v>
      </c>
      <c r="W161" s="174">
        <v>1</v>
      </c>
      <c r="X161" s="174">
        <v>1</v>
      </c>
      <c r="Y161" s="174">
        <v>1</v>
      </c>
      <c r="Z161" s="174">
        <v>1</v>
      </c>
      <c r="AA161" s="174">
        <v>1</v>
      </c>
      <c r="AB161" s="174">
        <v>1</v>
      </c>
      <c r="AC161" s="174">
        <v>1</v>
      </c>
      <c r="AD161" s="174">
        <v>1</v>
      </c>
      <c r="AE161" s="174">
        <v>1</v>
      </c>
      <c r="AF161" s="174">
        <v>1</v>
      </c>
      <c r="AG161" s="174">
        <v>1</v>
      </c>
      <c r="AH161" s="174">
        <v>1</v>
      </c>
      <c r="AI161" s="174">
        <v>1</v>
      </c>
      <c r="AJ161" s="174">
        <v>1</v>
      </c>
      <c r="AK161" s="174">
        <v>1</v>
      </c>
      <c r="AL161" s="174">
        <v>1</v>
      </c>
      <c r="AM161" s="478">
        <v>1</v>
      </c>
      <c r="AN161" s="332">
        <v>1</v>
      </c>
      <c r="AO161" s="332">
        <v>1</v>
      </c>
      <c r="AP161" s="332">
        <v>1</v>
      </c>
      <c r="AQ161" s="332">
        <v>1</v>
      </c>
      <c r="AR161" s="332">
        <v>1</v>
      </c>
      <c r="AS161" s="332">
        <v>1</v>
      </c>
      <c r="AT161" s="332">
        <v>1</v>
      </c>
      <c r="AU161" s="332">
        <v>1</v>
      </c>
      <c r="AV161" s="332">
        <v>1</v>
      </c>
      <c r="AW161" s="332">
        <v>1</v>
      </c>
      <c r="AX161" s="332">
        <v>1</v>
      </c>
      <c r="AY161" s="332">
        <v>1</v>
      </c>
      <c r="AZ161" s="332">
        <v>1</v>
      </c>
      <c r="BA161" s="332">
        <v>1</v>
      </c>
    </row>
    <row r="162" spans="1:53" ht="33.75" hidden="1" customHeight="1">
      <c r="A162" s="192"/>
      <c r="B162" s="254"/>
      <c r="C162" s="211" t="s">
        <v>367</v>
      </c>
      <c r="D162" s="223" t="s">
        <v>76</v>
      </c>
      <c r="E162" s="211" t="s">
        <v>3</v>
      </c>
      <c r="F162" s="211"/>
      <c r="G162" s="212" t="s">
        <v>97</v>
      </c>
      <c r="H162" s="212" t="s">
        <v>522</v>
      </c>
      <c r="I162" s="213" t="s">
        <v>683</v>
      </c>
      <c r="J162" s="213" t="s">
        <v>684</v>
      </c>
      <c r="K162" s="212" t="s">
        <v>525</v>
      </c>
      <c r="L162" s="526"/>
      <c r="M162" s="212"/>
      <c r="N162" s="214">
        <v>-0.65</v>
      </c>
      <c r="O162" s="215"/>
      <c r="P162" s="215" t="s">
        <v>80</v>
      </c>
      <c r="Q162" s="215" t="s">
        <v>7</v>
      </c>
      <c r="R162" s="215" t="s">
        <v>81</v>
      </c>
      <c r="S162" s="216">
        <v>1</v>
      </c>
      <c r="T162" s="157">
        <v>1.46</v>
      </c>
      <c r="U162" s="173">
        <f t="shared" si="4"/>
        <v>1.46</v>
      </c>
      <c r="V162" s="152"/>
      <c r="W162" s="152"/>
      <c r="X162" s="152"/>
      <c r="Y162" s="152">
        <v>1</v>
      </c>
      <c r="Z162" s="152">
        <v>1</v>
      </c>
      <c r="AA162" s="152"/>
      <c r="AB162" s="152"/>
      <c r="AC162" s="152">
        <v>1</v>
      </c>
      <c r="AD162" s="152">
        <v>1</v>
      </c>
      <c r="AE162" s="152"/>
      <c r="AF162" s="152"/>
      <c r="AG162" s="152"/>
      <c r="AH162" s="152">
        <v>1</v>
      </c>
      <c r="AI162" s="152">
        <v>1</v>
      </c>
      <c r="AJ162" s="152"/>
      <c r="AK162" s="152"/>
      <c r="AL162" s="152">
        <v>1</v>
      </c>
      <c r="AM162" s="485">
        <v>1</v>
      </c>
      <c r="AN162" s="194"/>
      <c r="AO162" s="194"/>
      <c r="AP162" s="194"/>
      <c r="AQ162" s="503">
        <v>1</v>
      </c>
      <c r="AR162" s="503">
        <v>1</v>
      </c>
      <c r="AS162" s="194"/>
      <c r="AT162" s="194"/>
      <c r="AU162" s="194"/>
      <c r="AV162" s="503">
        <v>1</v>
      </c>
      <c r="AW162" s="194"/>
      <c r="AX162" s="194"/>
      <c r="AY162" s="194"/>
      <c r="AZ162" s="503">
        <v>1</v>
      </c>
      <c r="BA162" s="503">
        <v>1</v>
      </c>
    </row>
    <row r="163" spans="1:53" ht="43.5" hidden="1" customHeight="1">
      <c r="A163" s="322">
        <v>243</v>
      </c>
      <c r="B163" s="323">
        <v>45536</v>
      </c>
      <c r="C163" s="169" t="s">
        <v>84</v>
      </c>
      <c r="D163" s="144" t="s">
        <v>102</v>
      </c>
      <c r="E163" s="169" t="s">
        <v>3</v>
      </c>
      <c r="F163" s="169" t="s">
        <v>103</v>
      </c>
      <c r="G163" s="185" t="s">
        <v>583</v>
      </c>
      <c r="H163" s="185" t="s">
        <v>328</v>
      </c>
      <c r="I163" s="185" t="s">
        <v>329</v>
      </c>
      <c r="J163" s="455" t="s">
        <v>685</v>
      </c>
      <c r="K163" s="324" t="s">
        <v>686</v>
      </c>
      <c r="L163" s="206"/>
      <c r="M163" s="206" t="s">
        <v>81</v>
      </c>
      <c r="N163" s="206" t="s">
        <v>81</v>
      </c>
      <c r="O163" s="206"/>
      <c r="P163" s="325" t="s">
        <v>80</v>
      </c>
      <c r="Q163" s="326" t="s">
        <v>10</v>
      </c>
      <c r="R163" s="206"/>
      <c r="S163" s="327">
        <v>0.5</v>
      </c>
      <c r="T163" s="157">
        <v>-0.67</v>
      </c>
      <c r="U163" s="328">
        <f t="shared" si="4"/>
        <v>-0.33500000000000002</v>
      </c>
      <c r="V163" s="174">
        <v>1</v>
      </c>
      <c r="W163" s="174">
        <v>1</v>
      </c>
      <c r="X163" s="174">
        <v>1</v>
      </c>
      <c r="Y163" s="174">
        <v>1</v>
      </c>
      <c r="Z163" s="174">
        <v>1</v>
      </c>
      <c r="AA163" s="174">
        <v>1</v>
      </c>
      <c r="AB163" s="174">
        <v>1</v>
      </c>
      <c r="AC163" s="174">
        <v>1</v>
      </c>
      <c r="AD163" s="174">
        <v>1</v>
      </c>
      <c r="AE163" s="174">
        <v>1</v>
      </c>
      <c r="AF163" s="174">
        <v>1</v>
      </c>
      <c r="AG163" s="174">
        <v>1</v>
      </c>
      <c r="AH163" s="174">
        <v>1</v>
      </c>
      <c r="AI163" s="174">
        <v>1</v>
      </c>
      <c r="AJ163" s="174">
        <v>1</v>
      </c>
      <c r="AK163" s="174">
        <v>1</v>
      </c>
      <c r="AL163" s="174">
        <v>1</v>
      </c>
      <c r="AM163" s="478">
        <v>1</v>
      </c>
      <c r="AN163" s="174">
        <v>1</v>
      </c>
      <c r="AO163" s="174">
        <v>1</v>
      </c>
      <c r="AP163" s="174">
        <v>1</v>
      </c>
      <c r="AQ163" s="174">
        <v>1</v>
      </c>
      <c r="AR163" s="174">
        <v>1</v>
      </c>
      <c r="AS163" s="174"/>
      <c r="AT163" s="174"/>
      <c r="AU163" s="174"/>
      <c r="AV163" s="174"/>
      <c r="AW163" s="174"/>
      <c r="AX163" s="174"/>
      <c r="AY163" s="174"/>
      <c r="AZ163" s="174"/>
      <c r="BA163" s="174"/>
    </row>
    <row r="164" spans="1:53" ht="29.25" hidden="1" customHeight="1">
      <c r="A164" s="322"/>
      <c r="B164" s="323">
        <v>46069</v>
      </c>
      <c r="C164" s="236" t="s">
        <v>75</v>
      </c>
      <c r="D164" s="467" t="s">
        <v>687</v>
      </c>
      <c r="E164" s="169" t="s">
        <v>3</v>
      </c>
      <c r="F164" s="169" t="s">
        <v>688</v>
      </c>
      <c r="G164" s="185" t="s">
        <v>689</v>
      </c>
      <c r="H164" s="185" t="s">
        <v>690</v>
      </c>
      <c r="I164" s="559" t="s">
        <v>691</v>
      </c>
      <c r="J164" s="324" t="s">
        <v>692</v>
      </c>
      <c r="K164" s="324"/>
      <c r="L164" s="206"/>
      <c r="M164" s="206"/>
      <c r="N164" s="206"/>
      <c r="O164" s="206"/>
      <c r="P164" s="240" t="s">
        <v>80</v>
      </c>
      <c r="Q164" s="240" t="s">
        <v>7</v>
      </c>
      <c r="R164" s="240"/>
      <c r="S164" s="241">
        <v>1</v>
      </c>
      <c r="T164" s="242">
        <v>-1.1499999999999999</v>
      </c>
      <c r="U164" s="173">
        <f t="shared" si="4"/>
        <v>-1.1499999999999999</v>
      </c>
      <c r="V164" s="332"/>
      <c r="W164" s="332"/>
      <c r="X164" s="332"/>
      <c r="Y164" s="332"/>
      <c r="Z164" s="332"/>
      <c r="AA164" s="332"/>
      <c r="AB164" s="332"/>
      <c r="AC164" s="332"/>
      <c r="AD164" s="332"/>
      <c r="AE164" s="332"/>
      <c r="AF164" s="332"/>
      <c r="AG164" s="332"/>
      <c r="AH164" s="332"/>
      <c r="AI164" s="332"/>
      <c r="AJ164" s="332"/>
      <c r="AK164" s="332"/>
      <c r="AL164" s="332"/>
      <c r="AM164" s="480"/>
      <c r="AN164" s="332">
        <v>1</v>
      </c>
      <c r="AO164" s="332">
        <v>1</v>
      </c>
      <c r="AP164" s="332">
        <v>1</v>
      </c>
      <c r="AQ164" s="332">
        <v>1</v>
      </c>
      <c r="AR164" s="332">
        <v>1</v>
      </c>
      <c r="AS164" s="332"/>
      <c r="AT164" s="332"/>
      <c r="AU164" s="332"/>
      <c r="AV164" s="332"/>
      <c r="AW164" s="332"/>
      <c r="AX164" s="332"/>
      <c r="AY164" s="332"/>
      <c r="AZ164" s="332"/>
      <c r="BA164" s="332"/>
    </row>
    <row r="165" spans="1:53" ht="29.25" hidden="1" customHeight="1">
      <c r="A165" s="182">
        <v>203</v>
      </c>
      <c r="B165" s="182" t="s">
        <v>154</v>
      </c>
      <c r="C165" s="220" t="s">
        <v>84</v>
      </c>
      <c r="D165" s="462" t="s">
        <v>76</v>
      </c>
      <c r="E165" s="220" t="s">
        <v>3</v>
      </c>
      <c r="F165" s="169" t="s">
        <v>118</v>
      </c>
      <c r="G165" s="185" t="s">
        <v>693</v>
      </c>
      <c r="H165" s="185" t="s">
        <v>135</v>
      </c>
      <c r="I165" s="149" t="s">
        <v>694</v>
      </c>
      <c r="J165" s="149" t="s">
        <v>695</v>
      </c>
      <c r="K165" s="149"/>
      <c r="L165" s="149" t="s">
        <v>696</v>
      </c>
      <c r="M165" s="149"/>
      <c r="N165" s="475"/>
      <c r="O165" s="186"/>
      <c r="P165" s="186" t="s">
        <v>80</v>
      </c>
      <c r="Q165" s="186" t="s">
        <v>4</v>
      </c>
      <c r="R165" s="186"/>
      <c r="S165" s="176">
        <v>0.5</v>
      </c>
      <c r="T165" s="242">
        <v>-0.34</v>
      </c>
      <c r="U165" s="173">
        <f t="shared" si="4"/>
        <v>-0.17</v>
      </c>
      <c r="V165" s="352">
        <v>1</v>
      </c>
      <c r="W165" s="352">
        <v>1</v>
      </c>
      <c r="X165" s="352">
        <v>1</v>
      </c>
      <c r="Y165" s="352">
        <v>1</v>
      </c>
      <c r="Z165" s="352">
        <v>1</v>
      </c>
      <c r="AA165" s="352">
        <v>1</v>
      </c>
      <c r="AB165" s="352">
        <v>1</v>
      </c>
      <c r="AC165" s="352">
        <v>1</v>
      </c>
      <c r="AD165" s="352">
        <v>1</v>
      </c>
      <c r="AE165" s="352">
        <v>1</v>
      </c>
      <c r="AF165" s="352">
        <v>1</v>
      </c>
      <c r="AG165" s="352">
        <v>1</v>
      </c>
      <c r="AH165" s="352">
        <v>1</v>
      </c>
      <c r="AI165" s="352">
        <v>1</v>
      </c>
      <c r="AJ165" s="352">
        <v>1</v>
      </c>
      <c r="AK165" s="352">
        <v>1</v>
      </c>
      <c r="AL165" s="352">
        <v>1</v>
      </c>
      <c r="AM165" s="479">
        <v>1</v>
      </c>
      <c r="AN165" s="332">
        <v>1</v>
      </c>
      <c r="AO165" s="332">
        <v>1</v>
      </c>
      <c r="AP165" s="332">
        <v>1</v>
      </c>
      <c r="AQ165" s="332">
        <v>1</v>
      </c>
      <c r="AR165" s="332">
        <v>1</v>
      </c>
      <c r="AS165" s="332">
        <v>1</v>
      </c>
      <c r="AT165" s="332">
        <v>1</v>
      </c>
      <c r="AU165" s="332">
        <v>1</v>
      </c>
      <c r="AV165" s="332">
        <v>1</v>
      </c>
      <c r="AW165" s="332">
        <v>1</v>
      </c>
      <c r="AX165" s="332">
        <v>1</v>
      </c>
      <c r="AY165" s="332">
        <v>1</v>
      </c>
      <c r="AZ165" s="332">
        <v>1</v>
      </c>
      <c r="BA165" s="332">
        <v>1</v>
      </c>
    </row>
    <row r="166" spans="1:53" ht="33.75" hidden="1" customHeight="1">
      <c r="A166" s="168" t="s">
        <v>697</v>
      </c>
      <c r="B166" s="168" t="s">
        <v>698</v>
      </c>
      <c r="C166" s="169" t="s">
        <v>84</v>
      </c>
      <c r="D166" s="144" t="s">
        <v>132</v>
      </c>
      <c r="E166" s="169" t="s">
        <v>3</v>
      </c>
      <c r="F166" s="169" t="s">
        <v>699</v>
      </c>
      <c r="G166" s="149" t="s">
        <v>700</v>
      </c>
      <c r="H166" s="385" t="s">
        <v>701</v>
      </c>
      <c r="I166" s="170" t="s">
        <v>702</v>
      </c>
      <c r="J166" s="452" t="s">
        <v>703</v>
      </c>
      <c r="K166" s="170"/>
      <c r="L166" s="170" t="s">
        <v>704</v>
      </c>
      <c r="M166" s="170"/>
      <c r="N166" s="187"/>
      <c r="O166" s="164"/>
      <c r="P166" s="164" t="s">
        <v>80</v>
      </c>
      <c r="Q166" s="164" t="s">
        <v>7</v>
      </c>
      <c r="R166" s="164"/>
      <c r="S166" s="172">
        <v>1</v>
      </c>
      <c r="T166" s="157">
        <v>-0.48</v>
      </c>
      <c r="U166" s="173">
        <f t="shared" si="4"/>
        <v>-0.48</v>
      </c>
      <c r="V166" s="174">
        <v>1</v>
      </c>
      <c r="W166" s="174">
        <v>1</v>
      </c>
      <c r="X166" s="174">
        <v>1</v>
      </c>
      <c r="Y166" s="174">
        <v>1</v>
      </c>
      <c r="Z166" s="174">
        <v>1</v>
      </c>
      <c r="AA166" s="174">
        <v>1</v>
      </c>
      <c r="AB166" s="174">
        <v>1</v>
      </c>
      <c r="AC166" s="174">
        <v>1</v>
      </c>
      <c r="AD166" s="174">
        <v>1</v>
      </c>
      <c r="AE166" s="174">
        <v>1</v>
      </c>
      <c r="AF166" s="174">
        <v>1</v>
      </c>
      <c r="AG166" s="174">
        <v>1</v>
      </c>
      <c r="AH166" s="174">
        <v>1</v>
      </c>
      <c r="AI166" s="174">
        <v>1</v>
      </c>
      <c r="AJ166" s="174">
        <v>1</v>
      </c>
      <c r="AK166" s="174">
        <v>1</v>
      </c>
      <c r="AL166" s="174">
        <v>1</v>
      </c>
      <c r="AM166" s="478">
        <v>1</v>
      </c>
      <c r="AN166" s="174">
        <v>1</v>
      </c>
      <c r="AO166" s="174">
        <v>1</v>
      </c>
      <c r="AP166" s="174">
        <v>1</v>
      </c>
      <c r="AQ166" s="174">
        <v>1</v>
      </c>
      <c r="AR166" s="174">
        <v>1</v>
      </c>
      <c r="AS166" s="174">
        <v>1</v>
      </c>
      <c r="AT166" s="174"/>
      <c r="AU166" s="174"/>
      <c r="AV166" s="174">
        <v>1</v>
      </c>
      <c r="AW166" s="174">
        <v>1</v>
      </c>
      <c r="AX166" s="174">
        <v>1</v>
      </c>
      <c r="AY166" s="174">
        <v>1</v>
      </c>
      <c r="AZ166" s="174">
        <v>1</v>
      </c>
      <c r="BA166" s="174">
        <v>1</v>
      </c>
    </row>
    <row r="167" spans="1:53" ht="33.75" hidden="1" customHeight="1">
      <c r="A167" s="168" t="s">
        <v>705</v>
      </c>
      <c r="B167" s="168"/>
      <c r="C167" s="169" t="s">
        <v>84</v>
      </c>
      <c r="D167" s="144" t="s">
        <v>76</v>
      </c>
      <c r="E167" s="169" t="s">
        <v>6</v>
      </c>
      <c r="F167" s="169"/>
      <c r="G167" s="193" t="s">
        <v>706</v>
      </c>
      <c r="H167" s="170"/>
      <c r="I167" s="170"/>
      <c r="J167" s="170"/>
      <c r="K167" s="170"/>
      <c r="L167" s="170" t="s">
        <v>707</v>
      </c>
      <c r="M167" s="170"/>
      <c r="N167" s="171">
        <v>10</v>
      </c>
      <c r="O167" s="164"/>
      <c r="P167" s="164" t="s">
        <v>80</v>
      </c>
      <c r="Q167" s="164" t="s">
        <v>7</v>
      </c>
      <c r="R167" s="164" t="s">
        <v>81</v>
      </c>
      <c r="S167" s="172">
        <v>0.2</v>
      </c>
      <c r="T167" s="157">
        <v>-0.4</v>
      </c>
      <c r="U167" s="173">
        <f t="shared" si="4"/>
        <v>-8.0000000000000016E-2</v>
      </c>
      <c r="V167" s="152"/>
      <c r="W167" s="152"/>
      <c r="X167" s="152"/>
      <c r="Y167" s="152">
        <v>1</v>
      </c>
      <c r="Z167" s="152">
        <v>1</v>
      </c>
      <c r="AA167" s="152"/>
      <c r="AB167" s="152"/>
      <c r="AC167" s="152">
        <v>1</v>
      </c>
      <c r="AD167" s="152">
        <v>1</v>
      </c>
      <c r="AE167" s="152"/>
      <c r="AF167" s="152"/>
      <c r="AG167" s="152"/>
      <c r="AH167" s="152">
        <v>1</v>
      </c>
      <c r="AI167" s="152">
        <v>1</v>
      </c>
      <c r="AJ167" s="152"/>
      <c r="AK167" s="152"/>
      <c r="AL167" s="152">
        <v>1</v>
      </c>
      <c r="AM167" s="485">
        <v>1</v>
      </c>
      <c r="AN167" s="194"/>
      <c r="AO167" s="194"/>
      <c r="AP167" s="194"/>
      <c r="AQ167" s="503">
        <v>1</v>
      </c>
      <c r="AR167" s="503">
        <v>1</v>
      </c>
      <c r="AS167" s="194"/>
      <c r="AT167" s="194"/>
      <c r="AU167" s="194"/>
      <c r="AV167" s="503">
        <v>1</v>
      </c>
      <c r="AW167" s="194"/>
      <c r="AX167" s="194"/>
      <c r="AY167" s="194"/>
      <c r="AZ167" s="503">
        <v>1</v>
      </c>
      <c r="BA167" s="503">
        <v>1</v>
      </c>
    </row>
    <row r="168" spans="1:53" ht="33.75" hidden="1" customHeight="1">
      <c r="A168" s="168">
        <v>21</v>
      </c>
      <c r="B168" s="168"/>
      <c r="C168" s="169" t="s">
        <v>84</v>
      </c>
      <c r="D168" s="144" t="s">
        <v>76</v>
      </c>
      <c r="E168" s="169" t="s">
        <v>6</v>
      </c>
      <c r="F168" s="169"/>
      <c r="G168" s="153" t="s">
        <v>708</v>
      </c>
      <c r="H168" s="149"/>
      <c r="I168" s="154" t="s">
        <v>709</v>
      </c>
      <c r="J168" s="154"/>
      <c r="K168" s="154"/>
      <c r="L168" s="149" t="s">
        <v>710</v>
      </c>
      <c r="M168" s="170"/>
      <c r="N168" s="171">
        <v>-0.1</v>
      </c>
      <c r="O168" s="164"/>
      <c r="P168" s="164" t="s">
        <v>80</v>
      </c>
      <c r="Q168" s="164" t="s">
        <v>7</v>
      </c>
      <c r="R168" s="164" t="s">
        <v>81</v>
      </c>
      <c r="S168" s="176">
        <v>0.75</v>
      </c>
      <c r="T168" s="157">
        <v>-0.2</v>
      </c>
      <c r="U168" s="173">
        <f t="shared" si="4"/>
        <v>-0.15000000000000002</v>
      </c>
      <c r="V168" s="152"/>
      <c r="W168" s="152"/>
      <c r="X168" s="152"/>
      <c r="Y168" s="152">
        <v>1</v>
      </c>
      <c r="Z168" s="152">
        <v>1</v>
      </c>
      <c r="AA168" s="152"/>
      <c r="AB168" s="152"/>
      <c r="AC168" s="152">
        <v>1</v>
      </c>
      <c r="AD168" s="152">
        <v>1</v>
      </c>
      <c r="AE168" s="152"/>
      <c r="AF168" s="152"/>
      <c r="AG168" s="152"/>
      <c r="AH168" s="152">
        <v>1</v>
      </c>
      <c r="AI168" s="152">
        <v>1</v>
      </c>
      <c r="AJ168" s="152"/>
      <c r="AK168" s="152"/>
      <c r="AL168" s="152">
        <v>1</v>
      </c>
      <c r="AM168" s="485">
        <v>1</v>
      </c>
      <c r="AN168" s="194"/>
      <c r="AO168" s="194"/>
      <c r="AP168" s="194"/>
      <c r="AQ168" s="503">
        <v>1</v>
      </c>
      <c r="AR168" s="503">
        <v>1</v>
      </c>
      <c r="AS168" s="194"/>
      <c r="AT168" s="194"/>
      <c r="AU168" s="194"/>
      <c r="AV168" s="503">
        <v>1</v>
      </c>
      <c r="AW168" s="194"/>
      <c r="AX168" s="194"/>
      <c r="AY168" s="194"/>
      <c r="AZ168" s="503">
        <v>1</v>
      </c>
      <c r="BA168" s="503">
        <v>1</v>
      </c>
    </row>
    <row r="169" spans="1:53" ht="33.75" hidden="1" customHeight="1">
      <c r="A169" s="289">
        <v>225</v>
      </c>
      <c r="B169" s="290">
        <v>45536</v>
      </c>
      <c r="C169" s="291" t="s">
        <v>367</v>
      </c>
      <c r="D169" s="320" t="s">
        <v>76</v>
      </c>
      <c r="E169" s="291" t="s">
        <v>3</v>
      </c>
      <c r="F169" s="177" t="s">
        <v>413</v>
      </c>
      <c r="G169" s="234" t="s">
        <v>711</v>
      </c>
      <c r="H169" s="197" t="s">
        <v>712</v>
      </c>
      <c r="I169" s="153"/>
      <c r="J169" s="454" t="s">
        <v>713</v>
      </c>
      <c r="K169" s="321" t="s">
        <v>714</v>
      </c>
      <c r="L169" s="531" t="s">
        <v>124</v>
      </c>
      <c r="M169" s="153">
        <v>320</v>
      </c>
      <c r="N169" s="228">
        <v>17</v>
      </c>
      <c r="O169" s="536"/>
      <c r="P169" s="166" t="s">
        <v>126</v>
      </c>
      <c r="Q169" s="166" t="s">
        <v>7</v>
      </c>
      <c r="R169" s="262" t="s">
        <v>81</v>
      </c>
      <c r="S169" s="178">
        <v>0.8</v>
      </c>
      <c r="T169" s="295">
        <v>2.2000000000000002</v>
      </c>
      <c r="U169" s="296">
        <f t="shared" si="4"/>
        <v>1.7600000000000002</v>
      </c>
      <c r="V169" s="174"/>
      <c r="W169" s="174"/>
      <c r="X169" s="174"/>
      <c r="Y169" s="174"/>
      <c r="Z169" s="174"/>
      <c r="AA169" s="174"/>
      <c r="AB169" s="174"/>
      <c r="AC169" s="174"/>
      <c r="AD169" s="174"/>
      <c r="AE169" s="174">
        <v>1</v>
      </c>
      <c r="AF169" s="174">
        <v>1</v>
      </c>
      <c r="AG169" s="174">
        <v>1</v>
      </c>
      <c r="AH169" s="174">
        <v>1</v>
      </c>
      <c r="AI169" s="174">
        <v>1</v>
      </c>
      <c r="AJ169" s="174">
        <v>1</v>
      </c>
      <c r="AK169" s="174">
        <v>1</v>
      </c>
      <c r="AL169" s="174">
        <v>1</v>
      </c>
      <c r="AM169" s="478">
        <v>1</v>
      </c>
      <c r="AN169" s="174">
        <v>1</v>
      </c>
      <c r="AO169" s="174">
        <v>1</v>
      </c>
      <c r="AP169" s="174">
        <v>1</v>
      </c>
      <c r="AQ169" s="174">
        <v>1</v>
      </c>
      <c r="AR169" s="174">
        <v>1</v>
      </c>
      <c r="AS169" s="174">
        <v>1</v>
      </c>
      <c r="AT169" s="174"/>
      <c r="AU169" s="174"/>
      <c r="AV169" s="174">
        <v>1</v>
      </c>
      <c r="AW169" s="174">
        <v>1</v>
      </c>
      <c r="AX169" s="174">
        <v>1</v>
      </c>
      <c r="AY169" s="174">
        <v>1</v>
      </c>
      <c r="AZ169" s="174">
        <v>1</v>
      </c>
      <c r="BA169" s="174">
        <v>1</v>
      </c>
    </row>
    <row r="170" spans="1:53" ht="33.75" hidden="1" customHeight="1">
      <c r="A170" s="168"/>
      <c r="B170" s="168"/>
      <c r="C170" s="169" t="s">
        <v>367</v>
      </c>
      <c r="D170" s="149" t="s">
        <v>76</v>
      </c>
      <c r="E170" s="169" t="s">
        <v>3</v>
      </c>
      <c r="F170" s="169"/>
      <c r="G170" s="149" t="s">
        <v>715</v>
      </c>
      <c r="H170" s="149" t="s">
        <v>715</v>
      </c>
      <c r="I170" s="179" t="s">
        <v>716</v>
      </c>
      <c r="J170" s="179"/>
      <c r="K170" s="149" t="s">
        <v>324</v>
      </c>
      <c r="L170" s="509"/>
      <c r="M170" s="170"/>
      <c r="N170" s="171">
        <v>-31</v>
      </c>
      <c r="O170" s="164"/>
      <c r="P170" s="164"/>
      <c r="Q170" s="164" t="s">
        <v>10</v>
      </c>
      <c r="R170" s="164" t="s">
        <v>81</v>
      </c>
      <c r="S170" s="176"/>
      <c r="T170" s="157">
        <v>-1.35</v>
      </c>
      <c r="U170" s="173">
        <f t="shared" si="4"/>
        <v>0</v>
      </c>
      <c r="V170" s="152"/>
      <c r="W170" s="152"/>
      <c r="X170" s="152"/>
      <c r="Y170" s="152">
        <v>1</v>
      </c>
      <c r="Z170" s="152">
        <v>1</v>
      </c>
      <c r="AA170" s="152"/>
      <c r="AB170" s="152"/>
      <c r="AC170" s="152">
        <v>1</v>
      </c>
      <c r="AD170" s="152">
        <v>1</v>
      </c>
      <c r="AE170" s="152"/>
      <c r="AF170" s="152"/>
      <c r="AG170" s="152"/>
      <c r="AH170" s="152">
        <v>1</v>
      </c>
      <c r="AI170" s="152">
        <v>1</v>
      </c>
      <c r="AJ170" s="152"/>
      <c r="AK170" s="152"/>
      <c r="AL170" s="152">
        <v>1</v>
      </c>
      <c r="AM170" s="485">
        <v>1</v>
      </c>
      <c r="AN170" s="194"/>
      <c r="AO170" s="194"/>
      <c r="AP170" s="194"/>
      <c r="AQ170" s="503">
        <v>1</v>
      </c>
      <c r="AR170" s="503">
        <v>1</v>
      </c>
      <c r="AS170" s="194"/>
      <c r="AT170" s="194"/>
      <c r="AU170" s="194"/>
      <c r="AV170" s="503">
        <v>1</v>
      </c>
      <c r="AW170" s="194"/>
      <c r="AX170" s="194"/>
      <c r="AY170" s="194"/>
      <c r="AZ170" s="503">
        <v>1</v>
      </c>
      <c r="BA170" s="503">
        <v>1</v>
      </c>
    </row>
    <row r="171" spans="1:53" ht="33.75" hidden="1" customHeight="1">
      <c r="A171" s="168"/>
      <c r="B171" s="168"/>
      <c r="C171" s="169" t="s">
        <v>367</v>
      </c>
      <c r="D171" s="149" t="s">
        <v>76</v>
      </c>
      <c r="E171" s="169" t="s">
        <v>3</v>
      </c>
      <c r="F171" s="169"/>
      <c r="G171" s="149" t="s">
        <v>717</v>
      </c>
      <c r="H171" s="149" t="s">
        <v>717</v>
      </c>
      <c r="I171" s="179" t="s">
        <v>718</v>
      </c>
      <c r="J171" s="149" t="s">
        <v>719</v>
      </c>
      <c r="K171" s="149" t="s">
        <v>720</v>
      </c>
      <c r="L171" s="509"/>
      <c r="M171" s="170"/>
      <c r="N171" s="171"/>
      <c r="O171" s="164"/>
      <c r="P171" s="164"/>
      <c r="Q171" s="164" t="s">
        <v>10</v>
      </c>
      <c r="R171" s="164" t="s">
        <v>81</v>
      </c>
      <c r="S171" s="176"/>
      <c r="T171" s="157">
        <v>-2.2000000000000002</v>
      </c>
      <c r="U171" s="173">
        <f t="shared" si="4"/>
        <v>0</v>
      </c>
      <c r="V171" s="152"/>
      <c r="W171" s="152"/>
      <c r="X171" s="152"/>
      <c r="Y171" s="152">
        <v>1</v>
      </c>
      <c r="Z171" s="152">
        <v>1</v>
      </c>
      <c r="AA171" s="152"/>
      <c r="AB171" s="152"/>
      <c r="AC171" s="152">
        <v>1</v>
      </c>
      <c r="AD171" s="152">
        <v>1</v>
      </c>
      <c r="AE171" s="152"/>
      <c r="AF171" s="152"/>
      <c r="AG171" s="152"/>
      <c r="AH171" s="152">
        <v>1</v>
      </c>
      <c r="AI171" s="152">
        <v>1</v>
      </c>
      <c r="AJ171" s="152"/>
      <c r="AK171" s="152"/>
      <c r="AL171" s="152">
        <v>1</v>
      </c>
      <c r="AM171" s="485">
        <v>1</v>
      </c>
      <c r="AN171" s="194"/>
      <c r="AO171" s="194"/>
      <c r="AP171" s="194"/>
      <c r="AQ171" s="503">
        <v>1</v>
      </c>
      <c r="AR171" s="503">
        <v>1</v>
      </c>
      <c r="AS171" s="194"/>
      <c r="AT171" s="194"/>
      <c r="AU171" s="194"/>
      <c r="AV171" s="503">
        <v>1</v>
      </c>
      <c r="AW171" s="194"/>
      <c r="AX171" s="194"/>
      <c r="AY171" s="194"/>
      <c r="AZ171" s="503">
        <v>1</v>
      </c>
      <c r="BA171" s="503">
        <v>1</v>
      </c>
    </row>
    <row r="172" spans="1:53" ht="33.75" hidden="1" customHeight="1">
      <c r="A172" s="168"/>
      <c r="B172" s="168"/>
      <c r="C172" s="169" t="s">
        <v>367</v>
      </c>
      <c r="D172" s="144" t="s">
        <v>76</v>
      </c>
      <c r="E172" s="169" t="s">
        <v>3</v>
      </c>
      <c r="F172" s="169"/>
      <c r="G172" s="149" t="s">
        <v>721</v>
      </c>
      <c r="H172" s="149"/>
      <c r="I172" s="179" t="s">
        <v>722</v>
      </c>
      <c r="J172" s="179" t="s">
        <v>723</v>
      </c>
      <c r="K172" s="179" t="s">
        <v>186</v>
      </c>
      <c r="L172" s="509"/>
      <c r="M172" s="170"/>
      <c r="N172" s="171">
        <v>-6</v>
      </c>
      <c r="O172" s="164"/>
      <c r="P172" s="164"/>
      <c r="Q172" s="164" t="s">
        <v>10</v>
      </c>
      <c r="R172" s="164" t="s">
        <v>81</v>
      </c>
      <c r="S172" s="176"/>
      <c r="T172" s="157"/>
      <c r="U172" s="173">
        <f t="shared" si="4"/>
        <v>0</v>
      </c>
      <c r="V172" s="152"/>
      <c r="W172" s="152"/>
      <c r="X172" s="152"/>
      <c r="Y172" s="152">
        <v>1</v>
      </c>
      <c r="Z172" s="152">
        <v>1</v>
      </c>
      <c r="AA172" s="152"/>
      <c r="AB172" s="152"/>
      <c r="AC172" s="152">
        <v>1</v>
      </c>
      <c r="AD172" s="152">
        <v>1</v>
      </c>
      <c r="AE172" s="152"/>
      <c r="AF172" s="152"/>
      <c r="AG172" s="152"/>
      <c r="AH172" s="152">
        <v>1</v>
      </c>
      <c r="AI172" s="152">
        <v>1</v>
      </c>
      <c r="AJ172" s="152"/>
      <c r="AK172" s="152"/>
      <c r="AL172" s="152">
        <v>1</v>
      </c>
      <c r="AM172" s="485">
        <v>1</v>
      </c>
      <c r="AN172" s="194"/>
      <c r="AO172" s="194"/>
      <c r="AP172" s="194"/>
      <c r="AQ172" s="503">
        <v>1</v>
      </c>
      <c r="AR172" s="503">
        <v>1</v>
      </c>
      <c r="AS172" s="194"/>
      <c r="AT172" s="194"/>
      <c r="AU172" s="194"/>
      <c r="AV172" s="503">
        <v>1</v>
      </c>
      <c r="AW172" s="194"/>
      <c r="AX172" s="194"/>
      <c r="AY172" s="194"/>
      <c r="AZ172" s="503">
        <v>1</v>
      </c>
      <c r="BA172" s="503">
        <v>1</v>
      </c>
    </row>
    <row r="173" spans="1:53" ht="33.75" hidden="1" customHeight="1">
      <c r="A173" s="168" t="s">
        <v>724</v>
      </c>
      <c r="B173" s="168"/>
      <c r="C173" s="169" t="s">
        <v>84</v>
      </c>
      <c r="D173" s="144" t="s">
        <v>76</v>
      </c>
      <c r="E173" s="169" t="s">
        <v>6</v>
      </c>
      <c r="F173" s="169"/>
      <c r="G173" s="149" t="s">
        <v>725</v>
      </c>
      <c r="H173" s="170"/>
      <c r="I173" s="170" t="s">
        <v>726</v>
      </c>
      <c r="J173" s="150"/>
      <c r="K173" s="150"/>
      <c r="L173" s="149" t="s">
        <v>727</v>
      </c>
      <c r="M173" s="10"/>
      <c r="N173" s="171"/>
      <c r="O173" s="10"/>
      <c r="P173" s="164" t="s">
        <v>80</v>
      </c>
      <c r="Q173" s="186" t="s">
        <v>7</v>
      </c>
      <c r="R173" s="10"/>
      <c r="S173" s="181">
        <v>1</v>
      </c>
      <c r="T173" s="157">
        <v>-1</v>
      </c>
      <c r="U173" s="173">
        <f t="shared" si="4"/>
        <v>-1</v>
      </c>
      <c r="V173" s="152"/>
      <c r="W173" s="152"/>
      <c r="X173" s="152"/>
      <c r="Y173" s="152">
        <v>1</v>
      </c>
      <c r="Z173" s="152">
        <v>1</v>
      </c>
      <c r="AA173" s="152"/>
      <c r="AB173" s="152"/>
      <c r="AC173" s="152">
        <v>1</v>
      </c>
      <c r="AD173" s="152">
        <v>1</v>
      </c>
      <c r="AE173" s="152"/>
      <c r="AF173" s="152"/>
      <c r="AG173" s="152"/>
      <c r="AH173" s="152">
        <v>1</v>
      </c>
      <c r="AI173" s="152">
        <v>1</v>
      </c>
      <c r="AJ173" s="152"/>
      <c r="AK173" s="152"/>
      <c r="AL173" s="152">
        <v>1</v>
      </c>
      <c r="AM173" s="485">
        <v>1</v>
      </c>
      <c r="AN173" s="194"/>
      <c r="AO173" s="194"/>
      <c r="AP173" s="194"/>
      <c r="AQ173" s="503">
        <v>1</v>
      </c>
      <c r="AR173" s="503">
        <v>1</v>
      </c>
      <c r="AS173" s="194"/>
      <c r="AT173" s="194"/>
      <c r="AU173" s="194"/>
      <c r="AV173" s="503">
        <v>1</v>
      </c>
      <c r="AW173" s="194"/>
      <c r="AX173" s="194"/>
      <c r="AY173" s="194"/>
      <c r="AZ173" s="503">
        <v>1</v>
      </c>
      <c r="BA173" s="503">
        <v>1</v>
      </c>
    </row>
    <row r="174" spans="1:53" ht="33.75" hidden="1" customHeight="1">
      <c r="A174" s="192">
        <v>224</v>
      </c>
      <c r="B174" s="192"/>
      <c r="C174" s="211" t="s">
        <v>367</v>
      </c>
      <c r="D174" s="223" t="s">
        <v>76</v>
      </c>
      <c r="E174" s="211" t="s">
        <v>3</v>
      </c>
      <c r="F174" s="211"/>
      <c r="G174" s="224" t="s">
        <v>583</v>
      </c>
      <c r="H174" s="223" t="s">
        <v>583</v>
      </c>
      <c r="I174" s="212" t="s">
        <v>728</v>
      </c>
      <c r="J174" s="213" t="s">
        <v>729</v>
      </c>
      <c r="K174" s="224"/>
      <c r="L174" s="526"/>
      <c r="M174" s="212"/>
      <c r="N174" s="214" t="s">
        <v>730</v>
      </c>
      <c r="O174" s="526"/>
      <c r="P174" s="215"/>
      <c r="Q174" s="215" t="s">
        <v>10</v>
      </c>
      <c r="R174" s="215" t="s">
        <v>81</v>
      </c>
      <c r="S174" s="216">
        <v>0</v>
      </c>
      <c r="T174" s="157">
        <v>0.55000000000000004</v>
      </c>
      <c r="U174" s="173">
        <f t="shared" si="4"/>
        <v>0</v>
      </c>
      <c r="V174" s="152"/>
      <c r="W174" s="152"/>
      <c r="X174" s="152"/>
      <c r="Y174" s="152">
        <v>1</v>
      </c>
      <c r="Z174" s="152">
        <v>1</v>
      </c>
      <c r="AA174" s="152"/>
      <c r="AB174" s="152"/>
      <c r="AC174" s="152">
        <v>1</v>
      </c>
      <c r="AD174" s="152">
        <v>1</v>
      </c>
      <c r="AE174" s="152"/>
      <c r="AF174" s="152"/>
      <c r="AG174" s="152"/>
      <c r="AH174" s="152">
        <v>1</v>
      </c>
      <c r="AI174" s="152">
        <v>1</v>
      </c>
      <c r="AJ174" s="152"/>
      <c r="AK174" s="152"/>
      <c r="AL174" s="152">
        <v>1</v>
      </c>
      <c r="AM174" s="485">
        <v>1</v>
      </c>
      <c r="AN174" s="194"/>
      <c r="AO174" s="194"/>
      <c r="AP174" s="194"/>
      <c r="AQ174" s="503">
        <v>1</v>
      </c>
      <c r="AR174" s="503">
        <v>1</v>
      </c>
      <c r="AS174" s="194"/>
      <c r="AT174" s="194"/>
      <c r="AU174" s="194"/>
      <c r="AV174" s="503">
        <v>1</v>
      </c>
      <c r="AW174" s="194"/>
      <c r="AX174" s="194"/>
      <c r="AY174" s="194"/>
      <c r="AZ174" s="503">
        <v>1</v>
      </c>
      <c r="BA174" s="503">
        <v>1</v>
      </c>
    </row>
    <row r="175" spans="1:53" ht="97.5" hidden="1" customHeight="1">
      <c r="A175" s="289" t="s">
        <v>731</v>
      </c>
      <c r="B175" s="290"/>
      <c r="C175" s="266" t="s">
        <v>75</v>
      </c>
      <c r="D175" s="293" t="s">
        <v>76</v>
      </c>
      <c r="E175" s="291" t="s">
        <v>3</v>
      </c>
      <c r="F175" s="291" t="s">
        <v>502</v>
      </c>
      <c r="G175" s="293" t="s">
        <v>732</v>
      </c>
      <c r="H175" s="293" t="s">
        <v>733</v>
      </c>
      <c r="I175" s="293" t="s">
        <v>636</v>
      </c>
      <c r="J175" s="292"/>
      <c r="K175" s="293" t="s">
        <v>142</v>
      </c>
      <c r="L175" s="293" t="s">
        <v>734</v>
      </c>
      <c r="M175" s="293"/>
      <c r="N175" s="247"/>
      <c r="O175" s="262"/>
      <c r="P175" s="262" t="s">
        <v>413</v>
      </c>
      <c r="Q175" s="262" t="s">
        <v>10</v>
      </c>
      <c r="R175" s="262" t="s">
        <v>471</v>
      </c>
      <c r="S175" s="294">
        <v>0</v>
      </c>
      <c r="T175" s="295">
        <v>-4</v>
      </c>
      <c r="U175" s="296">
        <f t="shared" si="4"/>
        <v>0</v>
      </c>
      <c r="V175" s="297"/>
      <c r="W175" s="297"/>
      <c r="X175" s="297"/>
      <c r="Y175" s="297">
        <v>1</v>
      </c>
      <c r="Z175" s="297">
        <v>1</v>
      </c>
      <c r="AA175" s="297"/>
      <c r="AB175" s="297"/>
      <c r="AC175" s="297">
        <v>1</v>
      </c>
      <c r="AD175" s="297">
        <v>1</v>
      </c>
      <c r="AE175" s="297"/>
      <c r="AF175" s="297"/>
      <c r="AG175" s="297"/>
      <c r="AH175" s="297">
        <v>1</v>
      </c>
      <c r="AI175" s="297">
        <v>1</v>
      </c>
      <c r="AJ175" s="297"/>
      <c r="AK175" s="297"/>
      <c r="AL175" s="297">
        <v>1</v>
      </c>
      <c r="AM175" s="486">
        <v>1</v>
      </c>
      <c r="AN175" s="297"/>
      <c r="AO175" s="297"/>
      <c r="AP175" s="506"/>
      <c r="AQ175" s="297">
        <v>1</v>
      </c>
      <c r="AR175" s="297">
        <v>1</v>
      </c>
      <c r="AS175" s="297"/>
      <c r="AT175" s="297"/>
      <c r="AU175" s="506"/>
      <c r="AV175" s="297">
        <v>1</v>
      </c>
      <c r="AW175" s="297"/>
      <c r="AX175" s="297"/>
      <c r="AY175" s="506"/>
      <c r="AZ175" s="297">
        <v>1</v>
      </c>
      <c r="BA175" s="297">
        <v>1</v>
      </c>
    </row>
    <row r="176" spans="1:53" ht="33.75" hidden="1" customHeight="1">
      <c r="A176" s="168">
        <v>20</v>
      </c>
      <c r="B176" s="168"/>
      <c r="C176" s="169" t="s">
        <v>84</v>
      </c>
      <c r="D176" s="144" t="s">
        <v>76</v>
      </c>
      <c r="E176" s="169" t="s">
        <v>6</v>
      </c>
      <c r="F176" s="169"/>
      <c r="G176" s="149" t="s">
        <v>735</v>
      </c>
      <c r="H176" s="149"/>
      <c r="I176" s="154" t="s">
        <v>736</v>
      </c>
      <c r="J176" s="154"/>
      <c r="K176" s="154"/>
      <c r="L176" s="149" t="s">
        <v>737</v>
      </c>
      <c r="M176" s="170"/>
      <c r="N176" s="171">
        <f>T176*1</f>
        <v>0.1</v>
      </c>
      <c r="O176" s="164"/>
      <c r="P176" s="164" t="s">
        <v>80</v>
      </c>
      <c r="Q176" s="164" t="s">
        <v>7</v>
      </c>
      <c r="R176" s="164" t="s">
        <v>81</v>
      </c>
      <c r="S176" s="176">
        <v>1</v>
      </c>
      <c r="T176" s="157">
        <v>0.1</v>
      </c>
      <c r="U176" s="173">
        <f t="shared" si="4"/>
        <v>0.1</v>
      </c>
      <c r="V176" s="152"/>
      <c r="W176" s="152"/>
      <c r="X176" s="152"/>
      <c r="Y176" s="152">
        <v>1</v>
      </c>
      <c r="Z176" s="152">
        <v>1</v>
      </c>
      <c r="AA176" s="152"/>
      <c r="AB176" s="152"/>
      <c r="AC176" s="152">
        <v>1</v>
      </c>
      <c r="AD176" s="152">
        <v>1</v>
      </c>
      <c r="AE176" s="152"/>
      <c r="AF176" s="152"/>
      <c r="AG176" s="152"/>
      <c r="AH176" s="152">
        <v>1</v>
      </c>
      <c r="AI176" s="152">
        <v>1</v>
      </c>
      <c r="AJ176" s="152"/>
      <c r="AK176" s="152"/>
      <c r="AL176" s="152">
        <v>1</v>
      </c>
      <c r="AM176" s="485">
        <v>1</v>
      </c>
      <c r="AN176" s="194"/>
      <c r="AO176" s="194"/>
      <c r="AP176" s="194"/>
      <c r="AQ176" s="503">
        <v>1</v>
      </c>
      <c r="AR176" s="503">
        <v>1</v>
      </c>
      <c r="AS176" s="194"/>
      <c r="AT176" s="194"/>
      <c r="AU176" s="194"/>
      <c r="AV176" s="503">
        <v>1</v>
      </c>
      <c r="AW176" s="194"/>
      <c r="AX176" s="194"/>
      <c r="AY176" s="194"/>
      <c r="AZ176" s="503">
        <v>1</v>
      </c>
      <c r="BA176" s="503">
        <v>1</v>
      </c>
    </row>
    <row r="177" spans="1:53" s="501" customFormat="1" ht="90.75" hidden="1" customHeight="1">
      <c r="A177" s="168" t="s">
        <v>738</v>
      </c>
      <c r="B177" s="168" t="s">
        <v>161</v>
      </c>
      <c r="C177" s="169" t="s">
        <v>84</v>
      </c>
      <c r="D177" s="144" t="s">
        <v>85</v>
      </c>
      <c r="E177" s="169" t="s">
        <v>3</v>
      </c>
      <c r="F177" s="169" t="s">
        <v>86</v>
      </c>
      <c r="G177" s="149" t="s">
        <v>739</v>
      </c>
      <c r="H177" s="170" t="s">
        <v>740</v>
      </c>
      <c r="I177" s="170"/>
      <c r="J177" s="170"/>
      <c r="K177" s="170"/>
      <c r="L177" s="170" t="s">
        <v>741</v>
      </c>
      <c r="M177" s="170"/>
      <c r="N177" s="187"/>
      <c r="O177" s="164"/>
      <c r="P177" s="164" t="s">
        <v>80</v>
      </c>
      <c r="Q177" s="326" t="s">
        <v>10</v>
      </c>
      <c r="R177" s="164"/>
      <c r="S177" s="172">
        <v>1</v>
      </c>
      <c r="T177" s="157">
        <v>-0.5</v>
      </c>
      <c r="U177" s="173">
        <f t="shared" si="4"/>
        <v>-0.5</v>
      </c>
      <c r="V177" s="174">
        <v>1</v>
      </c>
      <c r="W177" s="174">
        <v>1</v>
      </c>
      <c r="X177" s="174">
        <v>1</v>
      </c>
      <c r="Y177" s="174">
        <v>1</v>
      </c>
      <c r="Z177" s="174">
        <v>1</v>
      </c>
      <c r="AA177" s="174">
        <v>1</v>
      </c>
      <c r="AB177" s="174">
        <v>1</v>
      </c>
      <c r="AC177" s="174">
        <v>1</v>
      </c>
      <c r="AD177" s="174">
        <v>1</v>
      </c>
      <c r="AE177" s="174">
        <v>1</v>
      </c>
      <c r="AF177" s="174">
        <v>1</v>
      </c>
      <c r="AG177" s="174">
        <v>1</v>
      </c>
      <c r="AH177" s="174">
        <v>1</v>
      </c>
      <c r="AI177" s="174">
        <v>1</v>
      </c>
      <c r="AJ177" s="174">
        <v>1</v>
      </c>
      <c r="AK177" s="174">
        <v>1</v>
      </c>
      <c r="AL177" s="174">
        <v>1</v>
      </c>
      <c r="AM177" s="478">
        <v>1</v>
      </c>
      <c r="AN177" s="174">
        <v>1</v>
      </c>
      <c r="AO177" s="174">
        <v>1</v>
      </c>
      <c r="AP177" s="174">
        <v>1</v>
      </c>
      <c r="AQ177" s="174">
        <v>1</v>
      </c>
      <c r="AR177" s="174">
        <v>1</v>
      </c>
      <c r="AS177" s="174">
        <v>1</v>
      </c>
      <c r="AT177" s="174">
        <v>1</v>
      </c>
      <c r="AU177" s="174">
        <v>1</v>
      </c>
      <c r="AV177" s="174">
        <v>1</v>
      </c>
      <c r="AW177" s="174">
        <v>1</v>
      </c>
      <c r="AX177" s="174">
        <v>1</v>
      </c>
      <c r="AY177" s="174">
        <v>1</v>
      </c>
      <c r="AZ177" s="174">
        <v>1</v>
      </c>
      <c r="BA177" s="174">
        <v>1</v>
      </c>
    </row>
    <row r="178" spans="1:53" ht="33.75" hidden="1" customHeight="1">
      <c r="A178" s="182">
        <v>41</v>
      </c>
      <c r="B178" s="182"/>
      <c r="C178" s="169" t="s">
        <v>84</v>
      </c>
      <c r="D178" s="144" t="s">
        <v>76</v>
      </c>
      <c r="E178" s="169" t="s">
        <v>6</v>
      </c>
      <c r="F178" s="169"/>
      <c r="G178" s="149" t="s">
        <v>742</v>
      </c>
      <c r="H178" s="149"/>
      <c r="I178" s="154"/>
      <c r="J178" s="154"/>
      <c r="K178" s="154"/>
      <c r="L178" s="149" t="s">
        <v>743</v>
      </c>
      <c r="M178" s="170"/>
      <c r="N178" s="171" t="s">
        <v>485</v>
      </c>
      <c r="O178" s="164"/>
      <c r="P178" s="164" t="s">
        <v>80</v>
      </c>
      <c r="Q178" s="164" t="s">
        <v>10</v>
      </c>
      <c r="R178" s="164" t="s">
        <v>81</v>
      </c>
      <c r="S178" s="176">
        <v>1</v>
      </c>
      <c r="T178" s="189"/>
      <c r="U178" s="173">
        <f t="shared" si="4"/>
        <v>0</v>
      </c>
      <c r="V178" s="152"/>
      <c r="W178" s="152"/>
      <c r="X178" s="152"/>
      <c r="Y178" s="152">
        <v>1</v>
      </c>
      <c r="Z178" s="152">
        <v>1</v>
      </c>
      <c r="AA178" s="152"/>
      <c r="AB178" s="152"/>
      <c r="AC178" s="152">
        <v>1</v>
      </c>
      <c r="AD178" s="152">
        <v>1</v>
      </c>
      <c r="AE178" s="152"/>
      <c r="AF178" s="152"/>
      <c r="AG178" s="152"/>
      <c r="AH178" s="152">
        <v>1</v>
      </c>
      <c r="AI178" s="152">
        <v>1</v>
      </c>
      <c r="AJ178" s="152"/>
      <c r="AK178" s="152"/>
      <c r="AL178" s="152">
        <v>1</v>
      </c>
      <c r="AM178" s="485">
        <v>1</v>
      </c>
      <c r="AN178" s="194"/>
      <c r="AO178" s="194"/>
      <c r="AP178" s="194"/>
      <c r="AQ178" s="503">
        <v>1</v>
      </c>
      <c r="AR178" s="503">
        <v>1</v>
      </c>
      <c r="AS178" s="194"/>
      <c r="AT178" s="194"/>
      <c r="AU178" s="194"/>
      <c r="AV178" s="503">
        <v>1</v>
      </c>
      <c r="AW178" s="194"/>
      <c r="AX178" s="194"/>
      <c r="AY178" s="194"/>
      <c r="AZ178" s="503">
        <v>1</v>
      </c>
      <c r="BA178" s="503">
        <v>1</v>
      </c>
    </row>
    <row r="179" spans="1:53" ht="33.75" hidden="1" customHeight="1">
      <c r="A179" s="168" t="s">
        <v>188</v>
      </c>
      <c r="B179" s="168"/>
      <c r="C179" s="169" t="s">
        <v>84</v>
      </c>
      <c r="D179" s="144" t="s">
        <v>76</v>
      </c>
      <c r="E179" s="169" t="s">
        <v>6</v>
      </c>
      <c r="F179" s="169"/>
      <c r="G179" s="170" t="s">
        <v>190</v>
      </c>
      <c r="H179" s="170"/>
      <c r="I179" s="149" t="s">
        <v>191</v>
      </c>
      <c r="J179" s="149"/>
      <c r="K179" s="149"/>
      <c r="L179" s="170" t="s">
        <v>744</v>
      </c>
      <c r="M179" s="170"/>
      <c r="N179" s="171"/>
      <c r="O179" s="164"/>
      <c r="P179" s="164"/>
      <c r="Q179" s="186" t="s">
        <v>10</v>
      </c>
      <c r="R179" s="164" t="s">
        <v>81</v>
      </c>
      <c r="S179" s="181">
        <v>1</v>
      </c>
      <c r="T179" s="189">
        <v>-2.6</v>
      </c>
      <c r="U179" s="173">
        <f t="shared" si="4"/>
        <v>-2.6</v>
      </c>
      <c r="V179" s="152"/>
      <c r="W179" s="152"/>
      <c r="X179" s="152"/>
      <c r="Y179" s="152">
        <v>1</v>
      </c>
      <c r="Z179" s="152">
        <v>1</v>
      </c>
      <c r="AA179" s="152"/>
      <c r="AB179" s="152"/>
      <c r="AC179" s="152">
        <v>1</v>
      </c>
      <c r="AD179" s="152">
        <v>1</v>
      </c>
      <c r="AE179" s="152"/>
      <c r="AF179" s="152"/>
      <c r="AG179" s="152"/>
      <c r="AH179" s="152">
        <v>1</v>
      </c>
      <c r="AI179" s="152">
        <v>1</v>
      </c>
      <c r="AJ179" s="152"/>
      <c r="AK179" s="152"/>
      <c r="AL179" s="152">
        <v>1</v>
      </c>
      <c r="AM179" s="485">
        <v>1</v>
      </c>
      <c r="AN179" s="194"/>
      <c r="AO179" s="194"/>
      <c r="AP179" s="194"/>
      <c r="AQ179" s="503">
        <v>1</v>
      </c>
      <c r="AR179" s="503">
        <v>1</v>
      </c>
      <c r="AS179" s="194"/>
      <c r="AT179" s="194"/>
      <c r="AU179" s="194"/>
      <c r="AV179" s="503">
        <v>1</v>
      </c>
      <c r="AW179" s="194"/>
      <c r="AX179" s="194"/>
      <c r="AY179" s="194"/>
      <c r="AZ179" s="503">
        <v>1</v>
      </c>
      <c r="BA179" s="503">
        <v>1</v>
      </c>
    </row>
    <row r="180" spans="1:53" ht="95.25" hidden="1" customHeight="1">
      <c r="A180" s="182"/>
      <c r="B180" s="251">
        <v>45536</v>
      </c>
      <c r="C180" s="220" t="s">
        <v>367</v>
      </c>
      <c r="D180" s="462" t="s">
        <v>76</v>
      </c>
      <c r="E180" s="220" t="s">
        <v>3</v>
      </c>
      <c r="F180" s="220"/>
      <c r="G180" s="149" t="s">
        <v>745</v>
      </c>
      <c r="H180" s="149" t="s">
        <v>746</v>
      </c>
      <c r="I180" s="154" t="s">
        <v>747</v>
      </c>
      <c r="J180" s="537" t="s">
        <v>748</v>
      </c>
      <c r="K180" s="154" t="s">
        <v>749</v>
      </c>
      <c r="L180" s="513"/>
      <c r="M180" s="149" t="s">
        <v>750</v>
      </c>
      <c r="N180" s="249">
        <v>1</v>
      </c>
      <c r="O180" s="186"/>
      <c r="P180" s="186" t="s">
        <v>80</v>
      </c>
      <c r="Q180" s="186" t="s">
        <v>7</v>
      </c>
      <c r="R180" s="186" t="s">
        <v>81</v>
      </c>
      <c r="S180" s="181">
        <v>0.4</v>
      </c>
      <c r="T180" s="157">
        <v>1</v>
      </c>
      <c r="U180" s="173">
        <f t="shared" si="4"/>
        <v>0.4</v>
      </c>
      <c r="V180" s="174"/>
      <c r="W180" s="174"/>
      <c r="X180" s="174"/>
      <c r="Y180" s="174">
        <v>1</v>
      </c>
      <c r="Z180" s="174">
        <v>1</v>
      </c>
      <c r="AA180" s="174"/>
      <c r="AB180" s="174"/>
      <c r="AC180" s="174">
        <v>1</v>
      </c>
      <c r="AD180" s="174">
        <v>1</v>
      </c>
      <c r="AE180" s="174"/>
      <c r="AF180" s="174"/>
      <c r="AG180" s="174"/>
      <c r="AH180" s="174">
        <v>1</v>
      </c>
      <c r="AI180" s="174">
        <v>1</v>
      </c>
      <c r="AJ180" s="174"/>
      <c r="AK180" s="174"/>
      <c r="AL180" s="174">
        <v>1</v>
      </c>
      <c r="AM180" s="478">
        <v>1</v>
      </c>
      <c r="AN180" s="194"/>
      <c r="AO180" s="194"/>
      <c r="AP180" s="194"/>
      <c r="AQ180" s="174">
        <v>1</v>
      </c>
      <c r="AR180" s="174">
        <v>1</v>
      </c>
      <c r="AS180" s="194"/>
      <c r="AT180" s="194"/>
      <c r="AU180" s="194"/>
      <c r="AV180" s="174">
        <v>1</v>
      </c>
      <c r="AW180" s="194"/>
      <c r="AX180" s="194"/>
      <c r="AY180" s="194"/>
      <c r="AZ180" s="174">
        <v>1</v>
      </c>
      <c r="BA180" s="174">
        <v>1</v>
      </c>
    </row>
    <row r="181" spans="1:53" ht="25.9" hidden="1" customHeight="1">
      <c r="A181" s="329"/>
      <c r="B181" s="253">
        <v>45536</v>
      </c>
      <c r="C181" s="236" t="s">
        <v>75</v>
      </c>
      <c r="D181" s="467" t="s">
        <v>85</v>
      </c>
      <c r="E181" s="220" t="s">
        <v>3</v>
      </c>
      <c r="F181" s="220" t="s">
        <v>77</v>
      </c>
      <c r="G181" s="149" t="s">
        <v>751</v>
      </c>
      <c r="H181" s="149" t="s">
        <v>752</v>
      </c>
      <c r="I181" s="154" t="s">
        <v>753</v>
      </c>
      <c r="J181" s="154" t="s">
        <v>754</v>
      </c>
      <c r="K181" s="149" t="s">
        <v>755</v>
      </c>
      <c r="L181" s="519" t="s">
        <v>756</v>
      </c>
      <c r="M181" s="149" t="s">
        <v>757</v>
      </c>
      <c r="N181" s="330" t="s">
        <v>758</v>
      </c>
      <c r="O181" s="186"/>
      <c r="P181" s="186" t="s">
        <v>80</v>
      </c>
      <c r="Q181" s="186" t="s">
        <v>10</v>
      </c>
      <c r="R181" s="186" t="s">
        <v>81</v>
      </c>
      <c r="S181" s="176">
        <v>0.5</v>
      </c>
      <c r="T181" s="157">
        <v>-1</v>
      </c>
      <c r="U181" s="331">
        <f t="shared" si="4"/>
        <v>-0.5</v>
      </c>
      <c r="V181" s="332">
        <v>1</v>
      </c>
      <c r="W181" s="332"/>
      <c r="X181" s="332"/>
      <c r="Y181" s="332"/>
      <c r="Z181" s="332"/>
      <c r="AA181" s="332"/>
      <c r="AB181" s="332"/>
      <c r="AC181" s="332"/>
      <c r="AD181" s="332"/>
      <c r="AE181" s="332">
        <v>1</v>
      </c>
      <c r="AF181" s="332"/>
      <c r="AG181" s="332"/>
      <c r="AH181" s="332"/>
      <c r="AI181" s="332"/>
      <c r="AJ181" s="332"/>
      <c r="AK181" s="332"/>
      <c r="AL181" s="332"/>
      <c r="AM181" s="480"/>
      <c r="AN181" s="174">
        <v>1</v>
      </c>
      <c r="AO181" s="174">
        <v>1</v>
      </c>
      <c r="AP181" s="174">
        <v>1</v>
      </c>
      <c r="AQ181" s="174">
        <v>1</v>
      </c>
      <c r="AR181" s="174">
        <v>1</v>
      </c>
      <c r="AS181" s="174"/>
      <c r="AT181" s="174"/>
      <c r="AU181" s="174"/>
      <c r="AV181" s="174"/>
      <c r="AW181" s="174"/>
      <c r="AX181" s="174"/>
      <c r="AY181" s="174"/>
      <c r="AZ181" s="174"/>
      <c r="BA181" s="174"/>
    </row>
    <row r="182" spans="1:53" ht="48" hidden="1" customHeight="1">
      <c r="A182" s="182"/>
      <c r="B182" s="251">
        <v>45536</v>
      </c>
      <c r="C182" s="220" t="s">
        <v>367</v>
      </c>
      <c r="D182" s="462" t="s">
        <v>76</v>
      </c>
      <c r="E182" s="220" t="s">
        <v>3</v>
      </c>
      <c r="F182" s="220"/>
      <c r="G182" s="149" t="s">
        <v>364</v>
      </c>
      <c r="H182" s="427" t="s">
        <v>365</v>
      </c>
      <c r="I182" s="149" t="s">
        <v>366</v>
      </c>
      <c r="J182" s="153" t="s">
        <v>759</v>
      </c>
      <c r="K182" s="149" t="s">
        <v>142</v>
      </c>
      <c r="L182" s="149"/>
      <c r="M182" s="149">
        <v>104</v>
      </c>
      <c r="N182" s="185">
        <v>-0.8</v>
      </c>
      <c r="O182" s="186"/>
      <c r="P182" s="186" t="s">
        <v>80</v>
      </c>
      <c r="Q182" s="186" t="s">
        <v>7</v>
      </c>
      <c r="R182" s="186" t="s">
        <v>81</v>
      </c>
      <c r="S182" s="176">
        <v>1</v>
      </c>
      <c r="T182" s="157">
        <v>-0.5</v>
      </c>
      <c r="U182" s="173">
        <f t="shared" si="4"/>
        <v>-0.5</v>
      </c>
      <c r="V182" s="174"/>
      <c r="W182" s="174"/>
      <c r="X182" s="174"/>
      <c r="Y182" s="174">
        <v>1</v>
      </c>
      <c r="Z182" s="174">
        <v>1</v>
      </c>
      <c r="AA182" s="174"/>
      <c r="AB182" s="174"/>
      <c r="AC182" s="174">
        <v>1</v>
      </c>
      <c r="AD182" s="174">
        <v>1</v>
      </c>
      <c r="AE182" s="174"/>
      <c r="AF182" s="174"/>
      <c r="AG182" s="174"/>
      <c r="AH182" s="174">
        <v>1</v>
      </c>
      <c r="AI182" s="174">
        <v>1</v>
      </c>
      <c r="AJ182" s="174"/>
      <c r="AK182" s="174"/>
      <c r="AL182" s="174">
        <v>1</v>
      </c>
      <c r="AM182" s="478">
        <v>1</v>
      </c>
      <c r="AN182" s="194"/>
      <c r="AO182" s="194"/>
      <c r="AP182" s="194"/>
      <c r="AQ182" s="174">
        <v>1</v>
      </c>
      <c r="AR182" s="174">
        <v>1</v>
      </c>
      <c r="AS182" s="194"/>
      <c r="AT182" s="194"/>
      <c r="AU182" s="194"/>
      <c r="AV182" s="174">
        <v>1</v>
      </c>
      <c r="AW182" s="194"/>
      <c r="AX182" s="194"/>
      <c r="AY182" s="194"/>
      <c r="AZ182" s="174">
        <v>1</v>
      </c>
      <c r="BA182" s="174">
        <v>1</v>
      </c>
    </row>
    <row r="183" spans="1:53" ht="97.5" hidden="1" customHeight="1">
      <c r="A183" s="182"/>
      <c r="B183" s="251">
        <v>45536</v>
      </c>
      <c r="C183" s="220" t="s">
        <v>367</v>
      </c>
      <c r="D183" s="462" t="s">
        <v>76</v>
      </c>
      <c r="E183" s="220" t="s">
        <v>3</v>
      </c>
      <c r="F183" s="220"/>
      <c r="G183" s="149" t="s">
        <v>760</v>
      </c>
      <c r="H183" s="149" t="s">
        <v>761</v>
      </c>
      <c r="I183" s="149" t="s">
        <v>762</v>
      </c>
      <c r="J183" s="288" t="s">
        <v>763</v>
      </c>
      <c r="K183" s="149" t="s">
        <v>142</v>
      </c>
      <c r="L183" s="149"/>
      <c r="M183" s="149">
        <v>120</v>
      </c>
      <c r="N183" s="185">
        <v>1.5</v>
      </c>
      <c r="O183" s="186"/>
      <c r="P183" s="186" t="s">
        <v>80</v>
      </c>
      <c r="Q183" s="186" t="s">
        <v>7</v>
      </c>
      <c r="R183" s="186" t="s">
        <v>81</v>
      </c>
      <c r="S183" s="176">
        <v>1</v>
      </c>
      <c r="T183" s="222">
        <v>-1</v>
      </c>
      <c r="U183" s="173">
        <f t="shared" si="4"/>
        <v>-1</v>
      </c>
      <c r="V183" s="174"/>
      <c r="W183" s="174"/>
      <c r="X183" s="174"/>
      <c r="Y183" s="174">
        <v>1</v>
      </c>
      <c r="Z183" s="174">
        <v>1</v>
      </c>
      <c r="AA183" s="174"/>
      <c r="AB183" s="174"/>
      <c r="AC183" s="174">
        <v>1</v>
      </c>
      <c r="AD183" s="174">
        <v>1</v>
      </c>
      <c r="AE183" s="174"/>
      <c r="AF183" s="174"/>
      <c r="AG183" s="174"/>
      <c r="AH183" s="174">
        <v>1</v>
      </c>
      <c r="AI183" s="174">
        <v>1</v>
      </c>
      <c r="AJ183" s="174"/>
      <c r="AK183" s="174"/>
      <c r="AL183" s="174">
        <v>1</v>
      </c>
      <c r="AM183" s="478">
        <v>1</v>
      </c>
      <c r="AN183" s="194"/>
      <c r="AO183" s="194"/>
      <c r="AP183" s="194"/>
      <c r="AQ183" s="174">
        <v>1</v>
      </c>
      <c r="AR183" s="174">
        <v>1</v>
      </c>
      <c r="AS183" s="194"/>
      <c r="AT183" s="194"/>
      <c r="AU183" s="194"/>
      <c r="AV183" s="174">
        <v>1</v>
      </c>
      <c r="AW183" s="194"/>
      <c r="AX183" s="194"/>
      <c r="AY183" s="194"/>
      <c r="AZ183" s="174">
        <v>1</v>
      </c>
      <c r="BA183" s="174">
        <v>1</v>
      </c>
    </row>
    <row r="184" spans="1:53" ht="38.25" hidden="1" customHeight="1">
      <c r="A184" s="182"/>
      <c r="B184" s="253">
        <v>45576</v>
      </c>
      <c r="C184" s="220" t="s">
        <v>367</v>
      </c>
      <c r="D184" s="149" t="s">
        <v>76</v>
      </c>
      <c r="E184" s="220" t="s">
        <v>3</v>
      </c>
      <c r="F184" s="220"/>
      <c r="G184" s="221" t="s">
        <v>403</v>
      </c>
      <c r="H184" s="149" t="s">
        <v>764</v>
      </c>
      <c r="I184" s="149" t="s">
        <v>765</v>
      </c>
      <c r="J184" s="149" t="s">
        <v>766</v>
      </c>
      <c r="K184" s="185" t="s">
        <v>406</v>
      </c>
      <c r="L184" s="149"/>
      <c r="M184" s="149" t="s">
        <v>767</v>
      </c>
      <c r="N184" s="185">
        <v>9</v>
      </c>
      <c r="O184" s="186"/>
      <c r="P184" s="186" t="s">
        <v>80</v>
      </c>
      <c r="Q184" s="186" t="s">
        <v>7</v>
      </c>
      <c r="R184" s="186" t="s">
        <v>81</v>
      </c>
      <c r="S184" s="176">
        <v>1</v>
      </c>
      <c r="T184" s="157">
        <v>0.7</v>
      </c>
      <c r="U184" s="173">
        <f t="shared" si="4"/>
        <v>0.7</v>
      </c>
      <c r="V184" s="174"/>
      <c r="W184" s="174"/>
      <c r="X184" s="174"/>
      <c r="Y184" s="174">
        <v>1</v>
      </c>
      <c r="Z184" s="174">
        <v>1</v>
      </c>
      <c r="AA184" s="174"/>
      <c r="AB184" s="174"/>
      <c r="AC184" s="174">
        <v>1</v>
      </c>
      <c r="AD184" s="174">
        <v>1</v>
      </c>
      <c r="AE184" s="174"/>
      <c r="AF184" s="174"/>
      <c r="AG184" s="174"/>
      <c r="AH184" s="174">
        <v>1</v>
      </c>
      <c r="AI184" s="174">
        <v>1</v>
      </c>
      <c r="AJ184" s="174"/>
      <c r="AK184" s="174"/>
      <c r="AL184" s="174">
        <v>1</v>
      </c>
      <c r="AM184" s="478">
        <v>1</v>
      </c>
      <c r="AN184" s="194"/>
      <c r="AO184" s="194"/>
      <c r="AP184" s="194"/>
      <c r="AQ184" s="174">
        <v>1</v>
      </c>
      <c r="AR184" s="174">
        <v>1</v>
      </c>
      <c r="AS184" s="194"/>
      <c r="AT184" s="194"/>
      <c r="AU184" s="194"/>
      <c r="AV184" s="174">
        <v>1</v>
      </c>
      <c r="AW184" s="194"/>
      <c r="AX184" s="194"/>
      <c r="AY184" s="194"/>
      <c r="AZ184" s="174">
        <v>1</v>
      </c>
      <c r="BA184" s="174">
        <v>1</v>
      </c>
    </row>
    <row r="185" spans="1:53" ht="48" hidden="1" customHeight="1">
      <c r="A185" s="182"/>
      <c r="B185" s="253">
        <v>45576</v>
      </c>
      <c r="C185" s="220" t="s">
        <v>367</v>
      </c>
      <c r="D185" s="149" t="s">
        <v>76</v>
      </c>
      <c r="E185" s="220" t="s">
        <v>3</v>
      </c>
      <c r="F185" s="220"/>
      <c r="G185" s="549" t="s">
        <v>768</v>
      </c>
      <c r="H185" s="549" t="s">
        <v>769</v>
      </c>
      <c r="I185" s="549" t="s">
        <v>770</v>
      </c>
      <c r="J185" s="149" t="s">
        <v>771</v>
      </c>
      <c r="K185" s="149" t="s">
        <v>142</v>
      </c>
      <c r="L185" s="149"/>
      <c r="M185" s="549" t="s">
        <v>772</v>
      </c>
      <c r="N185" s="545">
        <v>0.9</v>
      </c>
      <c r="O185" s="546"/>
      <c r="P185" s="546" t="s">
        <v>126</v>
      </c>
      <c r="Q185" s="546" t="s">
        <v>7</v>
      </c>
      <c r="R185" s="546" t="s">
        <v>81</v>
      </c>
      <c r="S185" s="551">
        <v>1</v>
      </c>
      <c r="T185" s="157">
        <v>1</v>
      </c>
      <c r="U185" s="173">
        <f t="shared" si="4"/>
        <v>1</v>
      </c>
      <c r="V185" s="174"/>
      <c r="W185" s="174"/>
      <c r="X185" s="174"/>
      <c r="Y185" s="174">
        <v>1</v>
      </c>
      <c r="Z185" s="174">
        <v>1</v>
      </c>
      <c r="AA185" s="174"/>
      <c r="AB185" s="174"/>
      <c r="AC185" s="174">
        <v>1</v>
      </c>
      <c r="AD185" s="174">
        <v>1</v>
      </c>
      <c r="AE185" s="174"/>
      <c r="AF185" s="174"/>
      <c r="AG185" s="174"/>
      <c r="AH185" s="174">
        <v>1</v>
      </c>
      <c r="AI185" s="174">
        <v>1</v>
      </c>
      <c r="AJ185" s="174"/>
      <c r="AK185" s="174"/>
      <c r="AL185" s="174">
        <v>1</v>
      </c>
      <c r="AM185" s="478">
        <v>1</v>
      </c>
      <c r="AN185" s="194"/>
      <c r="AO185" s="194"/>
      <c r="AP185" s="194"/>
      <c r="AQ185" s="174">
        <v>1</v>
      </c>
      <c r="AR185" s="174">
        <v>1</v>
      </c>
      <c r="AS185" s="194"/>
      <c r="AT185" s="194"/>
      <c r="AU185" s="194"/>
      <c r="AV185" s="174">
        <v>1</v>
      </c>
      <c r="AW185" s="194"/>
      <c r="AX185" s="194"/>
      <c r="AY185" s="194"/>
      <c r="AZ185" s="174">
        <v>1</v>
      </c>
      <c r="BA185" s="174">
        <v>1</v>
      </c>
    </row>
    <row r="186" spans="1:53" ht="25.9" hidden="1" customHeight="1">
      <c r="A186" s="168" t="s">
        <v>773</v>
      </c>
      <c r="B186" s="251">
        <v>46058</v>
      </c>
      <c r="C186" s="169" t="s">
        <v>84</v>
      </c>
      <c r="D186" s="144" t="s">
        <v>213</v>
      </c>
      <c r="E186" s="211" t="s">
        <v>3</v>
      </c>
      <c r="F186" s="169" t="s">
        <v>155</v>
      </c>
      <c r="G186" s="149" t="s">
        <v>774</v>
      </c>
      <c r="H186" s="170" t="s">
        <v>775</v>
      </c>
      <c r="I186" s="538" t="s">
        <v>776</v>
      </c>
      <c r="J186" s="170"/>
      <c r="K186" s="170"/>
      <c r="L186" s="517" t="s">
        <v>777</v>
      </c>
      <c r="M186" s="170"/>
      <c r="N186" s="187"/>
      <c r="O186" s="164"/>
      <c r="P186" s="164" t="s">
        <v>80</v>
      </c>
      <c r="Q186" s="164" t="s">
        <v>10</v>
      </c>
      <c r="R186" s="164"/>
      <c r="S186" s="172">
        <v>0.5</v>
      </c>
      <c r="T186" s="222">
        <v>-11.5</v>
      </c>
      <c r="U186" s="173">
        <f t="shared" si="4"/>
        <v>-5.75</v>
      </c>
      <c r="V186" s="174">
        <v>1</v>
      </c>
      <c r="W186" s="174">
        <v>1</v>
      </c>
      <c r="X186" s="174">
        <v>1</v>
      </c>
      <c r="Y186" s="174">
        <v>1</v>
      </c>
      <c r="Z186" s="174">
        <v>1</v>
      </c>
      <c r="AA186" s="174">
        <v>1</v>
      </c>
      <c r="AB186" s="174">
        <v>1</v>
      </c>
      <c r="AC186" s="174">
        <v>1</v>
      </c>
      <c r="AD186" s="174">
        <v>1</v>
      </c>
      <c r="AE186" s="174">
        <v>1</v>
      </c>
      <c r="AF186" s="174">
        <v>1</v>
      </c>
      <c r="AG186" s="174">
        <v>1</v>
      </c>
      <c r="AH186" s="174">
        <v>1</v>
      </c>
      <c r="AI186" s="174">
        <v>1</v>
      </c>
      <c r="AJ186" s="174">
        <v>1</v>
      </c>
      <c r="AK186" s="174">
        <v>1</v>
      </c>
      <c r="AL186" s="174">
        <v>1</v>
      </c>
      <c r="AM186" s="478">
        <v>1</v>
      </c>
      <c r="AN186" s="174">
        <v>1</v>
      </c>
      <c r="AO186" s="174">
        <v>1</v>
      </c>
      <c r="AP186" s="174">
        <v>1</v>
      </c>
      <c r="AQ186" s="174">
        <v>1</v>
      </c>
      <c r="AR186" s="174">
        <v>1</v>
      </c>
      <c r="AS186" s="174">
        <v>1</v>
      </c>
      <c r="AT186" s="174"/>
      <c r="AU186" s="174"/>
      <c r="AV186" s="174">
        <v>1</v>
      </c>
      <c r="AW186" s="174">
        <v>1</v>
      </c>
      <c r="AX186" s="174">
        <v>1</v>
      </c>
      <c r="AY186" s="174">
        <v>1</v>
      </c>
      <c r="AZ186" s="174">
        <v>1</v>
      </c>
      <c r="BA186" s="174">
        <v>1</v>
      </c>
    </row>
    <row r="187" spans="1:53" ht="97.5" hidden="1" customHeight="1">
      <c r="A187" s="264"/>
      <c r="B187" s="265">
        <v>45536</v>
      </c>
      <c r="C187" s="266" t="s">
        <v>75</v>
      </c>
      <c r="D187" s="188" t="s">
        <v>76</v>
      </c>
      <c r="E187" s="266" t="s">
        <v>6</v>
      </c>
      <c r="F187" s="266"/>
      <c r="G187" s="188" t="s">
        <v>778</v>
      </c>
      <c r="H187" s="188" t="s">
        <v>779</v>
      </c>
      <c r="I187" s="188" t="s">
        <v>780</v>
      </c>
      <c r="J187" s="267"/>
      <c r="K187" s="188" t="s">
        <v>142</v>
      </c>
      <c r="L187" s="188"/>
      <c r="M187" s="188"/>
      <c r="N187" s="268"/>
      <c r="O187" s="269"/>
      <c r="P187" s="269" t="s">
        <v>80</v>
      </c>
      <c r="Q187" s="269" t="s">
        <v>10</v>
      </c>
      <c r="R187" s="166" t="s">
        <v>414</v>
      </c>
      <c r="S187" s="270">
        <v>1</v>
      </c>
      <c r="T187" s="271">
        <v>-2.5</v>
      </c>
      <c r="U187" s="272">
        <f t="shared" si="4"/>
        <v>-2.5</v>
      </c>
      <c r="V187" s="273"/>
      <c r="W187" s="273"/>
      <c r="X187" s="273"/>
      <c r="Y187" s="273">
        <v>1</v>
      </c>
      <c r="Z187" s="273">
        <v>1</v>
      </c>
      <c r="AA187" s="273"/>
      <c r="AB187" s="273"/>
      <c r="AC187" s="273">
        <v>1</v>
      </c>
      <c r="AD187" s="273">
        <v>1</v>
      </c>
      <c r="AE187" s="273"/>
      <c r="AF187" s="273"/>
      <c r="AG187" s="273"/>
      <c r="AH187" s="273">
        <v>1</v>
      </c>
      <c r="AI187" s="273">
        <v>1</v>
      </c>
      <c r="AJ187" s="273"/>
      <c r="AK187" s="273"/>
      <c r="AL187" s="273">
        <v>1</v>
      </c>
      <c r="AM187" s="483">
        <v>1</v>
      </c>
      <c r="AN187" s="273"/>
      <c r="AO187" s="273"/>
      <c r="AP187" s="504"/>
      <c r="AQ187" s="273">
        <v>1</v>
      </c>
      <c r="AR187" s="273">
        <v>1</v>
      </c>
      <c r="AS187" s="273"/>
      <c r="AT187" s="273"/>
      <c r="AU187" s="504"/>
      <c r="AV187" s="273">
        <v>1</v>
      </c>
      <c r="AW187" s="273"/>
      <c r="AX187" s="273"/>
      <c r="AY187" s="504"/>
      <c r="AZ187" s="273">
        <v>1</v>
      </c>
      <c r="BA187" s="273">
        <v>1</v>
      </c>
    </row>
    <row r="188" spans="1:53" ht="97.5" hidden="1" customHeight="1">
      <c r="A188" s="182"/>
      <c r="B188" s="251">
        <v>45536</v>
      </c>
      <c r="C188" s="220" t="s">
        <v>367</v>
      </c>
      <c r="D188" s="149" t="s">
        <v>76</v>
      </c>
      <c r="E188" s="169" t="s">
        <v>6</v>
      </c>
      <c r="F188" s="169"/>
      <c r="G188" s="149" t="s">
        <v>781</v>
      </c>
      <c r="H188" s="149" t="s">
        <v>782</v>
      </c>
      <c r="I188" s="149"/>
      <c r="J188" s="231"/>
      <c r="K188" s="149" t="s">
        <v>142</v>
      </c>
      <c r="L188" s="149"/>
      <c r="M188" s="149"/>
      <c r="N188" s="185"/>
      <c r="O188" s="186"/>
      <c r="P188" s="186" t="s">
        <v>80</v>
      </c>
      <c r="Q188" s="186" t="s">
        <v>7</v>
      </c>
      <c r="R188" s="186" t="s">
        <v>81</v>
      </c>
      <c r="S188" s="176">
        <v>1</v>
      </c>
      <c r="T188" s="222">
        <v>-5</v>
      </c>
      <c r="U188" s="173">
        <f t="shared" si="4"/>
        <v>-5</v>
      </c>
      <c r="V188" s="174"/>
      <c r="W188" s="174"/>
      <c r="X188" s="174"/>
      <c r="Y188" s="174">
        <v>1</v>
      </c>
      <c r="Z188" s="174">
        <v>1</v>
      </c>
      <c r="AA188" s="174"/>
      <c r="AB188" s="174"/>
      <c r="AC188" s="174">
        <v>1</v>
      </c>
      <c r="AD188" s="174">
        <v>1</v>
      </c>
      <c r="AE188" s="174"/>
      <c r="AF188" s="174"/>
      <c r="AG188" s="174"/>
      <c r="AH188" s="174">
        <v>1</v>
      </c>
      <c r="AI188" s="174">
        <v>1</v>
      </c>
      <c r="AJ188" s="174"/>
      <c r="AK188" s="174"/>
      <c r="AL188" s="174">
        <v>1</v>
      </c>
      <c r="AM188" s="478">
        <v>1</v>
      </c>
      <c r="AN188" s="194"/>
      <c r="AO188" s="194"/>
      <c r="AP188" s="194"/>
      <c r="AQ188" s="174">
        <v>1</v>
      </c>
      <c r="AR188" s="174">
        <v>1</v>
      </c>
      <c r="AS188" s="194"/>
      <c r="AT188" s="194"/>
      <c r="AU188" s="194"/>
      <c r="AV188" s="174">
        <v>1</v>
      </c>
      <c r="AW188" s="194"/>
      <c r="AX188" s="194"/>
      <c r="AY188" s="194"/>
      <c r="AZ188" s="174">
        <v>1</v>
      </c>
      <c r="BA188" s="174">
        <v>1</v>
      </c>
    </row>
    <row r="189" spans="1:53" ht="97.5" hidden="1" customHeight="1">
      <c r="A189" s="264"/>
      <c r="B189" s="265">
        <v>45335</v>
      </c>
      <c r="C189" s="266" t="s">
        <v>75</v>
      </c>
      <c r="D189" s="188" t="s">
        <v>76</v>
      </c>
      <c r="E189" s="266" t="s">
        <v>6</v>
      </c>
      <c r="F189" s="266"/>
      <c r="G189" s="188" t="s">
        <v>783</v>
      </c>
      <c r="H189" s="188" t="s">
        <v>783</v>
      </c>
      <c r="I189" s="188" t="s">
        <v>784</v>
      </c>
      <c r="J189" s="267"/>
      <c r="K189" s="188"/>
      <c r="L189" s="188" t="s">
        <v>785</v>
      </c>
      <c r="M189" s="188"/>
      <c r="N189" s="268"/>
      <c r="O189" s="269"/>
      <c r="P189" s="269" t="s">
        <v>80</v>
      </c>
      <c r="Q189" s="269" t="s">
        <v>10</v>
      </c>
      <c r="R189" s="269" t="s">
        <v>81</v>
      </c>
      <c r="S189" s="270">
        <v>1</v>
      </c>
      <c r="T189" s="271">
        <v>-8</v>
      </c>
      <c r="U189" s="272">
        <f t="shared" si="4"/>
        <v>-8</v>
      </c>
      <c r="V189" s="273"/>
      <c r="W189" s="273"/>
      <c r="X189" s="273"/>
      <c r="Y189" s="273">
        <v>1</v>
      </c>
      <c r="Z189" s="273">
        <v>1</v>
      </c>
      <c r="AA189" s="273"/>
      <c r="AB189" s="273"/>
      <c r="AC189" s="273">
        <v>1</v>
      </c>
      <c r="AD189" s="273">
        <v>1</v>
      </c>
      <c r="AE189" s="273"/>
      <c r="AF189" s="273"/>
      <c r="AG189" s="273"/>
      <c r="AH189" s="273">
        <v>1</v>
      </c>
      <c r="AI189" s="273">
        <v>1</v>
      </c>
      <c r="AJ189" s="273"/>
      <c r="AK189" s="273"/>
      <c r="AL189" s="273">
        <v>1</v>
      </c>
      <c r="AM189" s="483">
        <v>1</v>
      </c>
      <c r="AN189" s="273"/>
      <c r="AO189" s="273"/>
      <c r="AP189" s="504"/>
      <c r="AQ189" s="273">
        <v>1</v>
      </c>
      <c r="AR189" s="273">
        <v>1</v>
      </c>
      <c r="AS189" s="273"/>
      <c r="AT189" s="273"/>
      <c r="AU189" s="504"/>
      <c r="AV189" s="273">
        <v>1</v>
      </c>
      <c r="AW189" s="273"/>
      <c r="AX189" s="273"/>
      <c r="AY189" s="504"/>
      <c r="AZ189" s="273">
        <v>1</v>
      </c>
      <c r="BA189" s="273">
        <v>1</v>
      </c>
    </row>
    <row r="190" spans="1:53" ht="29.25" customHeight="1">
      <c r="A190" s="264"/>
      <c r="B190" s="265">
        <v>46063</v>
      </c>
      <c r="C190" s="266" t="s">
        <v>75</v>
      </c>
      <c r="D190" s="188" t="s">
        <v>213</v>
      </c>
      <c r="E190" s="266" t="s">
        <v>6</v>
      </c>
      <c r="F190" s="266" t="s">
        <v>502</v>
      </c>
      <c r="G190" s="268"/>
      <c r="H190" s="188" t="s">
        <v>786</v>
      </c>
      <c r="I190" s="188" t="s">
        <v>787</v>
      </c>
      <c r="J190" s="267"/>
      <c r="K190" s="188"/>
      <c r="L190" s="188"/>
      <c r="M190" s="188"/>
      <c r="N190" s="268"/>
      <c r="O190" s="269"/>
      <c r="P190" s="269" t="s">
        <v>80</v>
      </c>
      <c r="Q190" s="269" t="s">
        <v>4</v>
      </c>
      <c r="R190" s="269" t="s">
        <v>81</v>
      </c>
      <c r="S190" s="270">
        <v>0</v>
      </c>
      <c r="T190" s="271">
        <v>-3.7</v>
      </c>
      <c r="U190" s="173">
        <f t="shared" si="4"/>
        <v>0</v>
      </c>
      <c r="V190" s="273"/>
      <c r="W190" s="273"/>
      <c r="X190" s="273"/>
      <c r="Y190" s="273"/>
      <c r="Z190" s="273"/>
      <c r="AA190" s="273"/>
      <c r="AB190" s="273"/>
      <c r="AC190" s="273"/>
      <c r="AD190" s="273"/>
      <c r="AE190" s="273"/>
      <c r="AF190" s="273"/>
      <c r="AG190" s="273"/>
      <c r="AH190" s="273"/>
      <c r="AI190" s="273"/>
      <c r="AJ190" s="273"/>
      <c r="AK190" s="273"/>
      <c r="AL190" s="273"/>
      <c r="AM190" s="483"/>
      <c r="AN190" s="273"/>
      <c r="AO190" s="273"/>
      <c r="AP190" s="504"/>
      <c r="AQ190" s="273">
        <v>1</v>
      </c>
      <c r="AR190" s="273">
        <v>1</v>
      </c>
      <c r="AS190" s="273"/>
      <c r="AT190" s="273">
        <v>1</v>
      </c>
      <c r="AU190" s="273">
        <v>1</v>
      </c>
      <c r="AV190" s="273">
        <v>1</v>
      </c>
      <c r="AW190" s="273"/>
      <c r="AX190" s="273"/>
      <c r="AY190" s="273">
        <v>1</v>
      </c>
      <c r="AZ190" s="273">
        <v>1</v>
      </c>
      <c r="BA190" s="273">
        <v>1</v>
      </c>
    </row>
    <row r="191" spans="1:53" ht="29.25" customHeight="1">
      <c r="A191" s="264"/>
      <c r="B191" s="265">
        <v>46063</v>
      </c>
      <c r="C191" s="266" t="s">
        <v>75</v>
      </c>
      <c r="D191" s="188" t="s">
        <v>213</v>
      </c>
      <c r="E191" s="266" t="s">
        <v>6</v>
      </c>
      <c r="F191" s="266" t="s">
        <v>502</v>
      </c>
      <c r="G191" s="268"/>
      <c r="H191" s="188" t="s">
        <v>788</v>
      </c>
      <c r="I191" s="188" t="s">
        <v>787</v>
      </c>
      <c r="J191" s="267"/>
      <c r="K191" s="188"/>
      <c r="L191" s="188"/>
      <c r="M191" s="188"/>
      <c r="N191" s="268"/>
      <c r="O191" s="269"/>
      <c r="P191" s="269" t="s">
        <v>80</v>
      </c>
      <c r="Q191" s="269" t="s">
        <v>4</v>
      </c>
      <c r="R191" s="269" t="s">
        <v>81</v>
      </c>
      <c r="S191" s="270">
        <v>0</v>
      </c>
      <c r="T191" s="271">
        <v>-4.3</v>
      </c>
      <c r="U191" s="173">
        <f t="shared" si="4"/>
        <v>0</v>
      </c>
      <c r="V191" s="273"/>
      <c r="W191" s="273"/>
      <c r="X191" s="273"/>
      <c r="Y191" s="273"/>
      <c r="Z191" s="273"/>
      <c r="AA191" s="273"/>
      <c r="AB191" s="273"/>
      <c r="AC191" s="273"/>
      <c r="AD191" s="273"/>
      <c r="AE191" s="273"/>
      <c r="AF191" s="273"/>
      <c r="AG191" s="273"/>
      <c r="AH191" s="273"/>
      <c r="AI191" s="273"/>
      <c r="AJ191" s="273"/>
      <c r="AK191" s="273"/>
      <c r="AL191" s="273"/>
      <c r="AM191" s="483"/>
      <c r="AN191" s="273"/>
      <c r="AO191" s="273"/>
      <c r="AP191" s="504"/>
      <c r="AQ191" s="273">
        <v>1</v>
      </c>
      <c r="AR191" s="273">
        <v>1</v>
      </c>
      <c r="AS191" s="273"/>
      <c r="AT191" s="273">
        <v>1</v>
      </c>
      <c r="AU191" s="273">
        <v>1</v>
      </c>
      <c r="AV191" s="273">
        <v>1</v>
      </c>
      <c r="AW191" s="273"/>
      <c r="AX191" s="273"/>
      <c r="AY191" s="273">
        <v>1</v>
      </c>
      <c r="AZ191" s="273">
        <v>1</v>
      </c>
      <c r="BA191" s="273">
        <v>1</v>
      </c>
    </row>
    <row r="192" spans="1:53" ht="97.5" hidden="1" customHeight="1">
      <c r="A192" s="264"/>
      <c r="B192" s="265">
        <v>45335</v>
      </c>
      <c r="C192" s="266" t="s">
        <v>75</v>
      </c>
      <c r="D192" s="188" t="s">
        <v>76</v>
      </c>
      <c r="E192" s="266" t="s">
        <v>6</v>
      </c>
      <c r="F192" s="266"/>
      <c r="G192" s="188" t="s">
        <v>789</v>
      </c>
      <c r="H192" s="188" t="s">
        <v>790</v>
      </c>
      <c r="I192" s="188" t="s">
        <v>784</v>
      </c>
      <c r="J192" s="267"/>
      <c r="K192" s="188"/>
      <c r="L192" s="188" t="s">
        <v>791</v>
      </c>
      <c r="M192" s="188"/>
      <c r="N192" s="268"/>
      <c r="O192" s="269"/>
      <c r="P192" s="269" t="s">
        <v>80</v>
      </c>
      <c r="Q192" s="269" t="s">
        <v>7</v>
      </c>
      <c r="R192" s="269" t="s">
        <v>81</v>
      </c>
      <c r="S192" s="270">
        <v>1</v>
      </c>
      <c r="T192" s="271">
        <v>-7</v>
      </c>
      <c r="U192" s="272">
        <f t="shared" si="4"/>
        <v>-7</v>
      </c>
      <c r="V192" s="273"/>
      <c r="W192" s="273"/>
      <c r="X192" s="273"/>
      <c r="Y192" s="273">
        <v>1</v>
      </c>
      <c r="Z192" s="273">
        <v>1</v>
      </c>
      <c r="AA192" s="273"/>
      <c r="AB192" s="273"/>
      <c r="AC192" s="273">
        <v>1</v>
      </c>
      <c r="AD192" s="273">
        <v>1</v>
      </c>
      <c r="AE192" s="273"/>
      <c r="AF192" s="273"/>
      <c r="AG192" s="273"/>
      <c r="AH192" s="273">
        <v>1</v>
      </c>
      <c r="AI192" s="273">
        <v>1</v>
      </c>
      <c r="AJ192" s="273"/>
      <c r="AK192" s="273"/>
      <c r="AL192" s="273">
        <v>1</v>
      </c>
      <c r="AM192" s="483">
        <v>1</v>
      </c>
      <c r="AN192" s="273"/>
      <c r="AO192" s="273"/>
      <c r="AP192" s="504"/>
      <c r="AQ192" s="273">
        <v>1</v>
      </c>
      <c r="AR192" s="273">
        <v>1</v>
      </c>
      <c r="AS192" s="273"/>
      <c r="AT192" s="273"/>
      <c r="AU192" s="504"/>
      <c r="AV192" s="273">
        <v>1</v>
      </c>
      <c r="AW192" s="273"/>
      <c r="AX192" s="273"/>
      <c r="AY192" s="504"/>
      <c r="AZ192" s="273">
        <v>1</v>
      </c>
      <c r="BA192" s="273">
        <v>1</v>
      </c>
    </row>
    <row r="193" spans="1:53" ht="97.5" hidden="1" customHeight="1">
      <c r="A193" s="264"/>
      <c r="B193" s="265">
        <v>45335</v>
      </c>
      <c r="C193" s="266" t="s">
        <v>75</v>
      </c>
      <c r="D193" s="188" t="s">
        <v>16</v>
      </c>
      <c r="E193" s="266" t="s">
        <v>6</v>
      </c>
      <c r="F193" s="266" t="s">
        <v>410</v>
      </c>
      <c r="G193" s="188" t="s">
        <v>792</v>
      </c>
      <c r="H193" s="188" t="s">
        <v>793</v>
      </c>
      <c r="I193" s="188" t="s">
        <v>794</v>
      </c>
      <c r="J193" s="267"/>
      <c r="K193" s="188"/>
      <c r="L193" s="188"/>
      <c r="M193" s="188"/>
      <c r="N193" s="268"/>
      <c r="O193" s="269"/>
      <c r="P193" s="269" t="s">
        <v>80</v>
      </c>
      <c r="Q193" s="269" t="s">
        <v>10</v>
      </c>
      <c r="R193" s="166" t="s">
        <v>414</v>
      </c>
      <c r="S193" s="270">
        <v>1</v>
      </c>
      <c r="T193" s="271">
        <v>-5</v>
      </c>
      <c r="U193" s="272">
        <f t="shared" si="4"/>
        <v>-5</v>
      </c>
      <c r="V193" s="273"/>
      <c r="W193" s="273"/>
      <c r="X193" s="273"/>
      <c r="Y193" s="273">
        <v>1</v>
      </c>
      <c r="Z193" s="273">
        <v>1</v>
      </c>
      <c r="AA193" s="273"/>
      <c r="AB193" s="273"/>
      <c r="AC193" s="273">
        <v>1</v>
      </c>
      <c r="AD193" s="273">
        <v>1</v>
      </c>
      <c r="AE193" s="273"/>
      <c r="AF193" s="273"/>
      <c r="AG193" s="273"/>
      <c r="AH193" s="273">
        <v>1</v>
      </c>
      <c r="AI193" s="273">
        <v>1</v>
      </c>
      <c r="AJ193" s="273"/>
      <c r="AK193" s="273"/>
      <c r="AL193" s="273">
        <v>1</v>
      </c>
      <c r="AM193" s="483">
        <v>1</v>
      </c>
      <c r="AN193" s="273"/>
      <c r="AO193" s="273"/>
      <c r="AP193" s="504"/>
      <c r="AQ193" s="273">
        <v>1</v>
      </c>
      <c r="AR193" s="273">
        <v>1</v>
      </c>
      <c r="AS193" s="273"/>
      <c r="AT193" s="273"/>
      <c r="AU193" s="504"/>
      <c r="AV193" s="273">
        <v>1</v>
      </c>
      <c r="AW193" s="273"/>
      <c r="AX193" s="273"/>
      <c r="AY193" s="504"/>
      <c r="AZ193" s="273">
        <v>1</v>
      </c>
      <c r="BA193" s="273">
        <v>1</v>
      </c>
    </row>
    <row r="194" spans="1:53" s="391" customFormat="1" ht="29.25" customHeight="1">
      <c r="A194" s="182"/>
      <c r="B194" s="253">
        <v>46078</v>
      </c>
      <c r="C194" s="220" t="s">
        <v>75</v>
      </c>
      <c r="D194" s="462" t="s">
        <v>16</v>
      </c>
      <c r="E194" s="220" t="s">
        <v>6</v>
      </c>
      <c r="F194" s="220" t="s">
        <v>410</v>
      </c>
      <c r="G194" s="185" t="s">
        <v>795</v>
      </c>
      <c r="H194" s="391" t="s">
        <v>796</v>
      </c>
      <c r="I194" s="462"/>
      <c r="J194" s="465"/>
      <c r="K194" s="462"/>
      <c r="L194" s="462" t="s">
        <v>797</v>
      </c>
      <c r="M194" s="462"/>
      <c r="N194" s="462"/>
      <c r="O194" s="186"/>
      <c r="P194" s="186" t="s">
        <v>126</v>
      </c>
      <c r="Q194" s="186" t="s">
        <v>4</v>
      </c>
      <c r="R194" s="186"/>
      <c r="S194" s="176">
        <v>1</v>
      </c>
      <c r="T194" s="157">
        <v>-0.5</v>
      </c>
      <c r="U194" s="173">
        <f t="shared" si="4"/>
        <v>-0.5</v>
      </c>
      <c r="V194" s="273"/>
      <c r="W194" s="273"/>
      <c r="X194" s="273"/>
      <c r="Y194" s="273">
        <v>1</v>
      </c>
      <c r="Z194" s="273">
        <v>1</v>
      </c>
      <c r="AA194" s="273"/>
      <c r="AB194" s="273"/>
      <c r="AC194" s="273">
        <v>1</v>
      </c>
      <c r="AD194" s="273">
        <v>1</v>
      </c>
      <c r="AE194" s="273"/>
      <c r="AF194" s="273"/>
      <c r="AG194" s="273"/>
      <c r="AH194" s="273">
        <v>1</v>
      </c>
      <c r="AI194" s="273">
        <v>1</v>
      </c>
      <c r="AJ194" s="273"/>
      <c r="AK194" s="273"/>
      <c r="AL194" s="273">
        <v>1</v>
      </c>
      <c r="AM194" s="483">
        <v>1</v>
      </c>
      <c r="AN194" s="332"/>
      <c r="AO194" s="332"/>
      <c r="AP194" s="194"/>
      <c r="AQ194" s="332">
        <v>1</v>
      </c>
      <c r="AR194" s="332">
        <v>1</v>
      </c>
      <c r="AS194" s="332"/>
      <c r="AT194" s="332">
        <v>1</v>
      </c>
      <c r="AU194" s="332">
        <v>1</v>
      </c>
      <c r="AV194" s="332">
        <v>1</v>
      </c>
      <c r="AW194" s="332"/>
      <c r="AX194" s="332"/>
      <c r="AY194" s="194">
        <v>1</v>
      </c>
      <c r="AZ194" s="332">
        <v>1</v>
      </c>
      <c r="BA194" s="332">
        <v>1</v>
      </c>
    </row>
    <row r="195" spans="1:53" ht="97.5" hidden="1" customHeight="1">
      <c r="A195" s="264"/>
      <c r="B195" s="265">
        <v>45335</v>
      </c>
      <c r="C195" s="266" t="s">
        <v>75</v>
      </c>
      <c r="D195" s="188" t="s">
        <v>16</v>
      </c>
      <c r="E195" s="266" t="s">
        <v>6</v>
      </c>
      <c r="F195" s="266" t="s">
        <v>410</v>
      </c>
      <c r="G195" s="188" t="s">
        <v>798</v>
      </c>
      <c r="H195" s="188" t="s">
        <v>799</v>
      </c>
      <c r="I195" s="188"/>
      <c r="J195" s="267"/>
      <c r="K195" s="188"/>
      <c r="L195" s="188" t="s">
        <v>800</v>
      </c>
      <c r="M195" s="188"/>
      <c r="N195" s="268"/>
      <c r="O195" s="269"/>
      <c r="P195" s="269" t="s">
        <v>80</v>
      </c>
      <c r="Q195" s="269" t="s">
        <v>10</v>
      </c>
      <c r="R195" s="269" t="s">
        <v>81</v>
      </c>
      <c r="S195" s="270">
        <v>1</v>
      </c>
      <c r="T195" s="271"/>
      <c r="U195" s="272">
        <f t="shared" si="4"/>
        <v>0</v>
      </c>
      <c r="V195" s="273"/>
      <c r="W195" s="273"/>
      <c r="X195" s="273"/>
      <c r="Y195" s="273">
        <v>1</v>
      </c>
      <c r="Z195" s="273">
        <v>1</v>
      </c>
      <c r="AA195" s="273"/>
      <c r="AB195" s="273"/>
      <c r="AC195" s="273">
        <v>1</v>
      </c>
      <c r="AD195" s="273">
        <v>1</v>
      </c>
      <c r="AE195" s="273"/>
      <c r="AF195" s="273"/>
      <c r="AG195" s="273"/>
      <c r="AH195" s="273">
        <v>1</v>
      </c>
      <c r="AI195" s="273">
        <v>1</v>
      </c>
      <c r="AJ195" s="273"/>
      <c r="AK195" s="273"/>
      <c r="AL195" s="273">
        <v>1</v>
      </c>
      <c r="AM195" s="483">
        <v>1</v>
      </c>
      <c r="AN195" s="273"/>
      <c r="AO195" s="273"/>
      <c r="AP195" s="504"/>
      <c r="AQ195" s="273">
        <v>1</v>
      </c>
      <c r="AR195" s="273">
        <v>1</v>
      </c>
      <c r="AS195" s="273"/>
      <c r="AT195" s="273"/>
      <c r="AU195" s="504"/>
      <c r="AV195" s="273">
        <v>1</v>
      </c>
      <c r="AW195" s="273"/>
      <c r="AX195" s="273"/>
      <c r="AY195" s="504"/>
      <c r="AZ195" s="273">
        <v>1</v>
      </c>
      <c r="BA195" s="273">
        <v>1</v>
      </c>
    </row>
    <row r="196" spans="1:53" ht="97.5" hidden="1" customHeight="1">
      <c r="A196" s="264"/>
      <c r="B196" s="265">
        <v>45335</v>
      </c>
      <c r="C196" s="266" t="s">
        <v>75</v>
      </c>
      <c r="D196" s="188" t="s">
        <v>16</v>
      </c>
      <c r="E196" s="266" t="s">
        <v>6</v>
      </c>
      <c r="F196" s="266" t="s">
        <v>410</v>
      </c>
      <c r="G196" s="188" t="s">
        <v>801</v>
      </c>
      <c r="H196" s="188" t="s">
        <v>802</v>
      </c>
      <c r="I196" s="188" t="s">
        <v>803</v>
      </c>
      <c r="J196" s="267"/>
      <c r="K196" s="188"/>
      <c r="L196" s="274" t="s">
        <v>804</v>
      </c>
      <c r="M196" s="188"/>
      <c r="N196" s="268"/>
      <c r="O196" s="269"/>
      <c r="P196" s="269" t="s">
        <v>413</v>
      </c>
      <c r="Q196" s="269" t="s">
        <v>10</v>
      </c>
      <c r="R196" s="166" t="s">
        <v>414</v>
      </c>
      <c r="S196" s="270">
        <v>1</v>
      </c>
      <c r="T196" s="271">
        <v>1.3</v>
      </c>
      <c r="U196" s="272">
        <f t="shared" si="4"/>
        <v>1.3</v>
      </c>
      <c r="V196" s="273"/>
      <c r="W196" s="273"/>
      <c r="X196" s="273"/>
      <c r="Y196" s="273">
        <v>1</v>
      </c>
      <c r="Z196" s="273">
        <v>1</v>
      </c>
      <c r="AA196" s="273"/>
      <c r="AB196" s="273"/>
      <c r="AC196" s="273">
        <v>1</v>
      </c>
      <c r="AD196" s="273">
        <v>1</v>
      </c>
      <c r="AE196" s="273"/>
      <c r="AF196" s="273"/>
      <c r="AG196" s="273"/>
      <c r="AH196" s="273">
        <v>1</v>
      </c>
      <c r="AI196" s="273">
        <v>1</v>
      </c>
      <c r="AJ196" s="273"/>
      <c r="AK196" s="273"/>
      <c r="AL196" s="273">
        <v>1</v>
      </c>
      <c r="AM196" s="483">
        <v>1</v>
      </c>
      <c r="AN196" s="273"/>
      <c r="AO196" s="273"/>
      <c r="AP196" s="504"/>
      <c r="AQ196" s="273">
        <v>1</v>
      </c>
      <c r="AR196" s="273">
        <v>1</v>
      </c>
      <c r="AS196" s="273"/>
      <c r="AT196" s="273"/>
      <c r="AU196" s="504"/>
      <c r="AV196" s="273">
        <v>1</v>
      </c>
      <c r="AW196" s="273"/>
      <c r="AX196" s="273"/>
      <c r="AY196" s="504"/>
      <c r="AZ196" s="273">
        <v>1</v>
      </c>
      <c r="BA196" s="273">
        <v>1</v>
      </c>
    </row>
    <row r="197" spans="1:53" ht="97.5" hidden="1" customHeight="1">
      <c r="A197" s="264"/>
      <c r="B197" s="265">
        <v>45335</v>
      </c>
      <c r="C197" s="266" t="s">
        <v>75</v>
      </c>
      <c r="D197" s="188" t="s">
        <v>16</v>
      </c>
      <c r="E197" s="266" t="s">
        <v>6</v>
      </c>
      <c r="F197" s="266" t="s">
        <v>410</v>
      </c>
      <c r="G197" s="188" t="s">
        <v>805</v>
      </c>
      <c r="H197" s="188" t="s">
        <v>806</v>
      </c>
      <c r="I197" s="188" t="s">
        <v>803</v>
      </c>
      <c r="J197" s="267"/>
      <c r="K197" s="188"/>
      <c r="L197" s="188"/>
      <c r="M197" s="188"/>
      <c r="N197" s="268"/>
      <c r="O197" s="269"/>
      <c r="P197" s="269" t="s">
        <v>80</v>
      </c>
      <c r="Q197" s="269" t="s">
        <v>7</v>
      </c>
      <c r="R197" s="166" t="s">
        <v>414</v>
      </c>
      <c r="S197" s="270">
        <v>1</v>
      </c>
      <c r="T197" s="271">
        <v>-0.6</v>
      </c>
      <c r="U197" s="272">
        <f t="shared" si="4"/>
        <v>-0.6</v>
      </c>
      <c r="V197" s="273"/>
      <c r="W197" s="273"/>
      <c r="X197" s="273"/>
      <c r="Y197" s="273">
        <v>1</v>
      </c>
      <c r="Z197" s="273">
        <v>1</v>
      </c>
      <c r="AA197" s="273"/>
      <c r="AB197" s="273"/>
      <c r="AC197" s="273">
        <v>1</v>
      </c>
      <c r="AD197" s="273">
        <v>1</v>
      </c>
      <c r="AE197" s="273"/>
      <c r="AF197" s="273"/>
      <c r="AG197" s="273"/>
      <c r="AH197" s="273">
        <v>1</v>
      </c>
      <c r="AI197" s="273">
        <v>1</v>
      </c>
      <c r="AJ197" s="273"/>
      <c r="AK197" s="273"/>
      <c r="AL197" s="273">
        <v>1</v>
      </c>
      <c r="AM197" s="483">
        <v>1</v>
      </c>
      <c r="AN197" s="273"/>
      <c r="AO197" s="273"/>
      <c r="AP197" s="504"/>
      <c r="AQ197" s="273">
        <v>1</v>
      </c>
      <c r="AR197" s="273">
        <v>1</v>
      </c>
      <c r="AS197" s="273"/>
      <c r="AT197" s="273"/>
      <c r="AU197" s="504"/>
      <c r="AV197" s="273">
        <v>1</v>
      </c>
      <c r="AW197" s="273"/>
      <c r="AX197" s="273"/>
      <c r="AY197" s="504"/>
      <c r="AZ197" s="273">
        <v>1</v>
      </c>
      <c r="BA197" s="273">
        <v>1</v>
      </c>
    </row>
    <row r="198" spans="1:53" s="391" customFormat="1" ht="29.25" customHeight="1">
      <c r="A198" s="182"/>
      <c r="B198" s="253">
        <v>45335</v>
      </c>
      <c r="C198" s="220" t="s">
        <v>75</v>
      </c>
      <c r="D198" s="462" t="s">
        <v>16</v>
      </c>
      <c r="E198" s="220" t="s">
        <v>6</v>
      </c>
      <c r="F198" s="220" t="s">
        <v>410</v>
      </c>
      <c r="G198" s="185" t="s">
        <v>807</v>
      </c>
      <c r="H198" s="391" t="s">
        <v>793</v>
      </c>
      <c r="I198" s="462"/>
      <c r="J198" s="465"/>
      <c r="K198" s="462"/>
      <c r="L198" s="462" t="s">
        <v>808</v>
      </c>
      <c r="M198" s="462"/>
      <c r="N198" s="462"/>
      <c r="O198" s="186"/>
      <c r="P198" s="186" t="s">
        <v>126</v>
      </c>
      <c r="Q198" s="186" t="s">
        <v>4</v>
      </c>
      <c r="R198" s="186"/>
      <c r="S198" s="176">
        <v>1</v>
      </c>
      <c r="T198" s="157">
        <v>-0.8</v>
      </c>
      <c r="U198" s="173">
        <f>T198*S198</f>
        <v>-0.8</v>
      </c>
      <c r="V198" s="273"/>
      <c r="W198" s="273"/>
      <c r="X198" s="273"/>
      <c r="Y198" s="273">
        <v>1</v>
      </c>
      <c r="Z198" s="273">
        <v>1</v>
      </c>
      <c r="AA198" s="273"/>
      <c r="AB198" s="273"/>
      <c r="AC198" s="273">
        <v>1</v>
      </c>
      <c r="AD198" s="273">
        <v>1</v>
      </c>
      <c r="AE198" s="273"/>
      <c r="AF198" s="273"/>
      <c r="AG198" s="273"/>
      <c r="AH198" s="273">
        <v>1</v>
      </c>
      <c r="AI198" s="273">
        <v>1</v>
      </c>
      <c r="AJ198" s="273"/>
      <c r="AK198" s="273"/>
      <c r="AL198" s="273">
        <v>1</v>
      </c>
      <c r="AM198" s="483">
        <v>1</v>
      </c>
      <c r="AN198" s="332"/>
      <c r="AO198" s="332"/>
      <c r="AP198" s="194"/>
      <c r="AQ198" s="332">
        <v>1</v>
      </c>
      <c r="AR198" s="332">
        <v>1</v>
      </c>
      <c r="AS198" s="332"/>
      <c r="AT198" s="332">
        <v>1</v>
      </c>
      <c r="AU198" s="332">
        <v>1</v>
      </c>
      <c r="AV198" s="332">
        <v>1</v>
      </c>
      <c r="AW198" s="332"/>
      <c r="AX198" s="332"/>
      <c r="AY198" s="194">
        <v>1</v>
      </c>
      <c r="AZ198" s="332">
        <v>1</v>
      </c>
      <c r="BA198" s="332">
        <v>1</v>
      </c>
    </row>
    <row r="199" spans="1:53" ht="97.5" hidden="1" customHeight="1">
      <c r="A199" s="264"/>
      <c r="B199" s="265">
        <v>45335</v>
      </c>
      <c r="C199" s="266" t="s">
        <v>75</v>
      </c>
      <c r="D199" s="188" t="s">
        <v>76</v>
      </c>
      <c r="E199" s="266" t="s">
        <v>6</v>
      </c>
      <c r="F199" s="266" t="s">
        <v>410</v>
      </c>
      <c r="G199" s="188" t="s">
        <v>809</v>
      </c>
      <c r="H199" s="188" t="s">
        <v>809</v>
      </c>
      <c r="I199" s="188"/>
      <c r="J199" s="267"/>
      <c r="K199" s="188"/>
      <c r="L199" s="188"/>
      <c r="M199" s="188"/>
      <c r="N199" s="268"/>
      <c r="O199" s="269"/>
      <c r="P199" s="269" t="s">
        <v>80</v>
      </c>
      <c r="Q199" s="269" t="s">
        <v>10</v>
      </c>
      <c r="R199" s="269" t="s">
        <v>81</v>
      </c>
      <c r="S199" s="270">
        <v>1</v>
      </c>
      <c r="T199" s="271"/>
      <c r="U199" s="272">
        <f t="shared" si="4"/>
        <v>0</v>
      </c>
      <c r="V199" s="273"/>
      <c r="W199" s="273"/>
      <c r="X199" s="273"/>
      <c r="Y199" s="273">
        <v>1</v>
      </c>
      <c r="Z199" s="273">
        <v>1</v>
      </c>
      <c r="AA199" s="273"/>
      <c r="AB199" s="273"/>
      <c r="AC199" s="273">
        <v>1</v>
      </c>
      <c r="AD199" s="273">
        <v>1</v>
      </c>
      <c r="AE199" s="273"/>
      <c r="AF199" s="273"/>
      <c r="AG199" s="273"/>
      <c r="AH199" s="273">
        <v>1</v>
      </c>
      <c r="AI199" s="273">
        <v>1</v>
      </c>
      <c r="AJ199" s="273"/>
      <c r="AK199" s="273"/>
      <c r="AL199" s="273">
        <v>1</v>
      </c>
      <c r="AM199" s="483">
        <v>1</v>
      </c>
      <c r="AN199" s="273"/>
      <c r="AO199" s="273"/>
      <c r="AP199" s="504"/>
      <c r="AQ199" s="273">
        <v>1</v>
      </c>
      <c r="AR199" s="273">
        <v>1</v>
      </c>
      <c r="AS199" s="273"/>
      <c r="AT199" s="273"/>
      <c r="AU199" s="504"/>
      <c r="AV199" s="273">
        <v>1</v>
      </c>
      <c r="AW199" s="273"/>
      <c r="AX199" s="273"/>
      <c r="AY199" s="504"/>
      <c r="AZ199" s="273">
        <v>1</v>
      </c>
      <c r="BA199" s="273">
        <v>1</v>
      </c>
    </row>
    <row r="200" spans="1:53" ht="97.5" hidden="1" customHeight="1">
      <c r="A200" s="264"/>
      <c r="B200" s="265">
        <v>45335</v>
      </c>
      <c r="C200" s="266" t="s">
        <v>75</v>
      </c>
      <c r="D200" s="188" t="s">
        <v>76</v>
      </c>
      <c r="E200" s="266" t="s">
        <v>6</v>
      </c>
      <c r="F200" s="266" t="s">
        <v>410</v>
      </c>
      <c r="G200" s="188" t="s">
        <v>810</v>
      </c>
      <c r="H200" s="188" t="s">
        <v>811</v>
      </c>
      <c r="I200" s="188"/>
      <c r="J200" s="267"/>
      <c r="K200" s="188"/>
      <c r="L200" s="188" t="s">
        <v>812</v>
      </c>
      <c r="M200" s="188"/>
      <c r="N200" s="268"/>
      <c r="O200" s="269"/>
      <c r="P200" s="269" t="s">
        <v>80</v>
      </c>
      <c r="Q200" s="269" t="s">
        <v>10</v>
      </c>
      <c r="R200" s="166" t="s">
        <v>414</v>
      </c>
      <c r="S200" s="270">
        <v>1</v>
      </c>
      <c r="T200" s="271"/>
      <c r="U200" s="272">
        <f t="shared" si="4"/>
        <v>0</v>
      </c>
      <c r="V200" s="273"/>
      <c r="W200" s="273"/>
      <c r="X200" s="273"/>
      <c r="Y200" s="273">
        <v>1</v>
      </c>
      <c r="Z200" s="273">
        <v>1</v>
      </c>
      <c r="AA200" s="273"/>
      <c r="AB200" s="273"/>
      <c r="AC200" s="273">
        <v>1</v>
      </c>
      <c r="AD200" s="273">
        <v>1</v>
      </c>
      <c r="AE200" s="273"/>
      <c r="AF200" s="273"/>
      <c r="AG200" s="273"/>
      <c r="AH200" s="273">
        <v>1</v>
      </c>
      <c r="AI200" s="273">
        <v>1</v>
      </c>
      <c r="AJ200" s="273"/>
      <c r="AK200" s="273"/>
      <c r="AL200" s="273">
        <v>1</v>
      </c>
      <c r="AM200" s="483">
        <v>1</v>
      </c>
      <c r="AN200" s="273"/>
      <c r="AO200" s="273"/>
      <c r="AP200" s="504"/>
      <c r="AQ200" s="273">
        <v>1</v>
      </c>
      <c r="AR200" s="273">
        <v>1</v>
      </c>
      <c r="AS200" s="273"/>
      <c r="AT200" s="273"/>
      <c r="AU200" s="504"/>
      <c r="AV200" s="273">
        <v>1</v>
      </c>
      <c r="AW200" s="273"/>
      <c r="AX200" s="273"/>
      <c r="AY200" s="504"/>
      <c r="AZ200" s="273">
        <v>1</v>
      </c>
      <c r="BA200" s="273">
        <v>1</v>
      </c>
    </row>
    <row r="201" spans="1:53" ht="97.5" hidden="1" customHeight="1">
      <c r="A201" s="264"/>
      <c r="B201" s="265">
        <v>45335</v>
      </c>
      <c r="C201" s="266" t="s">
        <v>75</v>
      </c>
      <c r="D201" s="188" t="s">
        <v>16</v>
      </c>
      <c r="E201" s="266" t="s">
        <v>6</v>
      </c>
      <c r="F201" s="266" t="s">
        <v>410</v>
      </c>
      <c r="G201" s="188" t="s">
        <v>813</v>
      </c>
      <c r="H201" s="188" t="s">
        <v>814</v>
      </c>
      <c r="I201" s="188" t="s">
        <v>815</v>
      </c>
      <c r="J201" s="267"/>
      <c r="K201" s="188"/>
      <c r="L201" s="188" t="s">
        <v>816</v>
      </c>
      <c r="M201" s="188"/>
      <c r="N201" s="268"/>
      <c r="O201" s="269"/>
      <c r="P201" s="269" t="s">
        <v>80</v>
      </c>
      <c r="Q201" s="269" t="s">
        <v>10</v>
      </c>
      <c r="R201" s="166" t="s">
        <v>414</v>
      </c>
      <c r="S201" s="270">
        <v>0.4</v>
      </c>
      <c r="T201" s="271">
        <f>-3.3</f>
        <v>-3.3</v>
      </c>
      <c r="U201" s="272">
        <f t="shared" si="4"/>
        <v>-1.32</v>
      </c>
      <c r="V201" s="273"/>
      <c r="W201" s="273"/>
      <c r="X201" s="273"/>
      <c r="Y201" s="273">
        <v>1</v>
      </c>
      <c r="Z201" s="273">
        <v>1</v>
      </c>
      <c r="AA201" s="273"/>
      <c r="AB201" s="273"/>
      <c r="AC201" s="273">
        <v>1</v>
      </c>
      <c r="AD201" s="273">
        <v>1</v>
      </c>
      <c r="AE201" s="273"/>
      <c r="AF201" s="273"/>
      <c r="AG201" s="273"/>
      <c r="AH201" s="273">
        <v>1</v>
      </c>
      <c r="AI201" s="273">
        <v>1</v>
      </c>
      <c r="AJ201" s="273"/>
      <c r="AK201" s="273"/>
      <c r="AL201" s="273">
        <v>1</v>
      </c>
      <c r="AM201" s="483">
        <v>1</v>
      </c>
      <c r="AN201" s="273"/>
      <c r="AO201" s="273"/>
      <c r="AP201" s="504"/>
      <c r="AQ201" s="273">
        <v>1</v>
      </c>
      <c r="AR201" s="273">
        <v>1</v>
      </c>
      <c r="AS201" s="273"/>
      <c r="AT201" s="273"/>
      <c r="AU201" s="504"/>
      <c r="AV201" s="273">
        <v>1</v>
      </c>
      <c r="AW201" s="273"/>
      <c r="AX201" s="273"/>
      <c r="AY201" s="504"/>
      <c r="AZ201" s="273">
        <v>1</v>
      </c>
      <c r="BA201" s="273">
        <v>1</v>
      </c>
    </row>
    <row r="202" spans="1:53" ht="97.5" hidden="1" customHeight="1">
      <c r="A202" s="264"/>
      <c r="B202" s="265">
        <v>45335</v>
      </c>
      <c r="C202" s="266" t="s">
        <v>75</v>
      </c>
      <c r="D202" s="188" t="s">
        <v>16</v>
      </c>
      <c r="E202" s="266" t="s">
        <v>6</v>
      </c>
      <c r="F202" s="266" t="s">
        <v>410</v>
      </c>
      <c r="G202" s="188" t="s">
        <v>817</v>
      </c>
      <c r="H202" s="188" t="s">
        <v>818</v>
      </c>
      <c r="I202" s="188" t="s">
        <v>819</v>
      </c>
      <c r="J202" s="267"/>
      <c r="K202" s="188"/>
      <c r="L202" s="188" t="s">
        <v>820</v>
      </c>
      <c r="M202" s="188"/>
      <c r="N202" s="268"/>
      <c r="O202" s="269"/>
      <c r="P202" s="269" t="s">
        <v>80</v>
      </c>
      <c r="Q202" s="269" t="s">
        <v>7</v>
      </c>
      <c r="R202" s="166" t="s">
        <v>414</v>
      </c>
      <c r="S202" s="270">
        <v>1</v>
      </c>
      <c r="T202" s="271">
        <v>-0.9</v>
      </c>
      <c r="U202" s="272">
        <f t="shared" si="4"/>
        <v>-0.9</v>
      </c>
      <c r="V202" s="273"/>
      <c r="W202" s="273"/>
      <c r="X202" s="273"/>
      <c r="Y202" s="273">
        <v>1</v>
      </c>
      <c r="Z202" s="273">
        <v>1</v>
      </c>
      <c r="AA202" s="273"/>
      <c r="AB202" s="273"/>
      <c r="AC202" s="273">
        <v>1</v>
      </c>
      <c r="AD202" s="273">
        <v>1</v>
      </c>
      <c r="AE202" s="273"/>
      <c r="AF202" s="273"/>
      <c r="AG202" s="273"/>
      <c r="AH202" s="273">
        <v>1</v>
      </c>
      <c r="AI202" s="273">
        <v>1</v>
      </c>
      <c r="AJ202" s="273"/>
      <c r="AK202" s="273"/>
      <c r="AL202" s="273">
        <v>1</v>
      </c>
      <c r="AM202" s="483">
        <v>1</v>
      </c>
      <c r="AN202" s="273"/>
      <c r="AO202" s="273"/>
      <c r="AP202" s="504"/>
      <c r="AQ202" s="273">
        <v>1</v>
      </c>
      <c r="AR202" s="273">
        <v>1</v>
      </c>
      <c r="AS202" s="273"/>
      <c r="AT202" s="273"/>
      <c r="AU202" s="504"/>
      <c r="AV202" s="273">
        <v>1</v>
      </c>
      <c r="AW202" s="273"/>
      <c r="AX202" s="273"/>
      <c r="AY202" s="504"/>
      <c r="AZ202" s="273">
        <v>1</v>
      </c>
      <c r="BA202" s="273">
        <v>1</v>
      </c>
    </row>
    <row r="203" spans="1:53" ht="97.5" hidden="1" customHeight="1">
      <c r="A203" s="275"/>
      <c r="B203" s="276">
        <v>45335</v>
      </c>
      <c r="C203" s="266" t="s">
        <v>75</v>
      </c>
      <c r="D203" s="279" t="s">
        <v>76</v>
      </c>
      <c r="E203" s="277" t="s">
        <v>6</v>
      </c>
      <c r="F203" s="277"/>
      <c r="G203" s="279" t="s">
        <v>821</v>
      </c>
      <c r="H203" s="279" t="s">
        <v>822</v>
      </c>
      <c r="I203" s="279"/>
      <c r="J203" s="280"/>
      <c r="K203" s="279"/>
      <c r="L203" s="279"/>
      <c r="M203" s="279"/>
      <c r="N203" s="281"/>
      <c r="O203" s="282"/>
      <c r="P203" s="282" t="s">
        <v>80</v>
      </c>
      <c r="Q203" s="282" t="s">
        <v>10</v>
      </c>
      <c r="R203" s="282" t="s">
        <v>81</v>
      </c>
      <c r="S203" s="283">
        <v>1</v>
      </c>
      <c r="T203" s="284">
        <v>-25</v>
      </c>
      <c r="U203" s="285">
        <f t="shared" si="4"/>
        <v>-25</v>
      </c>
      <c r="V203" s="286"/>
      <c r="W203" s="286"/>
      <c r="X203" s="286"/>
      <c r="Y203" s="286">
        <v>1</v>
      </c>
      <c r="Z203" s="286">
        <v>1</v>
      </c>
      <c r="AA203" s="286"/>
      <c r="AB203" s="286"/>
      <c r="AC203" s="286">
        <v>1</v>
      </c>
      <c r="AD203" s="286">
        <v>1</v>
      </c>
      <c r="AE203" s="286"/>
      <c r="AF203" s="286"/>
      <c r="AG203" s="286"/>
      <c r="AH203" s="286">
        <v>1</v>
      </c>
      <c r="AI203" s="286">
        <v>1</v>
      </c>
      <c r="AJ203" s="286"/>
      <c r="AK203" s="286"/>
      <c r="AL203" s="286">
        <v>1</v>
      </c>
      <c r="AM203" s="481">
        <v>1</v>
      </c>
      <c r="AN203" s="286"/>
      <c r="AO203" s="286"/>
      <c r="AP203" s="507"/>
      <c r="AQ203" s="286">
        <v>1</v>
      </c>
      <c r="AR203" s="286">
        <v>1</v>
      </c>
      <c r="AS203" s="286"/>
      <c r="AT203" s="286"/>
      <c r="AU203" s="507"/>
      <c r="AV203" s="286">
        <v>1</v>
      </c>
      <c r="AW203" s="286"/>
      <c r="AX203" s="286"/>
      <c r="AY203" s="507"/>
      <c r="AZ203" s="286">
        <v>1</v>
      </c>
      <c r="BA203" s="286">
        <v>1</v>
      </c>
    </row>
    <row r="204" spans="1:53" ht="97.5" hidden="1" customHeight="1">
      <c r="A204" s="264"/>
      <c r="B204" s="265">
        <v>45335</v>
      </c>
      <c r="C204" s="266" t="s">
        <v>75</v>
      </c>
      <c r="D204" s="188" t="s">
        <v>76</v>
      </c>
      <c r="E204" s="266" t="s">
        <v>6</v>
      </c>
      <c r="F204" s="266"/>
      <c r="G204" s="188" t="s">
        <v>823</v>
      </c>
      <c r="H204" s="188" t="s">
        <v>824</v>
      </c>
      <c r="I204" s="188"/>
      <c r="J204" s="267"/>
      <c r="K204" s="188"/>
      <c r="L204" s="188"/>
      <c r="M204" s="188"/>
      <c r="N204" s="268"/>
      <c r="O204" s="269"/>
      <c r="P204" s="269" t="s">
        <v>80</v>
      </c>
      <c r="Q204" s="269" t="s">
        <v>10</v>
      </c>
      <c r="R204" s="166" t="s">
        <v>414</v>
      </c>
      <c r="S204" s="270">
        <v>0.5</v>
      </c>
      <c r="T204" s="271">
        <v>-1.8</v>
      </c>
      <c r="U204" s="272">
        <f t="shared" si="4"/>
        <v>-0.9</v>
      </c>
      <c r="V204" s="273"/>
      <c r="W204" s="273"/>
      <c r="X204" s="273"/>
      <c r="Y204" s="273">
        <v>1</v>
      </c>
      <c r="Z204" s="273">
        <v>1</v>
      </c>
      <c r="AA204" s="273"/>
      <c r="AB204" s="273"/>
      <c r="AC204" s="273">
        <v>1</v>
      </c>
      <c r="AD204" s="273">
        <v>1</v>
      </c>
      <c r="AE204" s="273"/>
      <c r="AF204" s="273"/>
      <c r="AG204" s="273"/>
      <c r="AH204" s="273">
        <v>1</v>
      </c>
      <c r="AI204" s="273">
        <v>1</v>
      </c>
      <c r="AJ204" s="273"/>
      <c r="AK204" s="273"/>
      <c r="AL204" s="273">
        <v>1</v>
      </c>
      <c r="AM204" s="483">
        <v>1</v>
      </c>
      <c r="AN204" s="273"/>
      <c r="AO204" s="273"/>
      <c r="AP204" s="504"/>
      <c r="AQ204" s="273">
        <v>1</v>
      </c>
      <c r="AR204" s="273">
        <v>1</v>
      </c>
      <c r="AS204" s="273"/>
      <c r="AT204" s="273"/>
      <c r="AU204" s="504"/>
      <c r="AV204" s="273">
        <v>1</v>
      </c>
      <c r="AW204" s="273"/>
      <c r="AX204" s="273"/>
      <c r="AY204" s="504"/>
      <c r="AZ204" s="273">
        <v>1</v>
      </c>
      <c r="BA204" s="273">
        <v>1</v>
      </c>
    </row>
    <row r="205" spans="1:53" ht="97.5" hidden="1" customHeight="1">
      <c r="A205" s="264"/>
      <c r="B205" s="265">
        <v>45335</v>
      </c>
      <c r="C205" s="266" t="s">
        <v>75</v>
      </c>
      <c r="D205" s="188" t="s">
        <v>76</v>
      </c>
      <c r="E205" s="266" t="s">
        <v>6</v>
      </c>
      <c r="F205" s="266"/>
      <c r="G205" s="188" t="s">
        <v>825</v>
      </c>
      <c r="H205" s="188" t="s">
        <v>826</v>
      </c>
      <c r="I205" s="188"/>
      <c r="J205" s="267"/>
      <c r="K205" s="188"/>
      <c r="L205" s="188" t="s">
        <v>827</v>
      </c>
      <c r="M205" s="188"/>
      <c r="N205" s="268"/>
      <c r="O205" s="269"/>
      <c r="P205" s="269" t="s">
        <v>80</v>
      </c>
      <c r="Q205" s="269" t="s">
        <v>10</v>
      </c>
      <c r="R205" s="269" t="s">
        <v>81</v>
      </c>
      <c r="S205" s="270">
        <v>1</v>
      </c>
      <c r="T205" s="271">
        <v>-2</v>
      </c>
      <c r="U205" s="272">
        <f t="shared" si="4"/>
        <v>-2</v>
      </c>
      <c r="V205" s="273"/>
      <c r="W205" s="273"/>
      <c r="X205" s="273"/>
      <c r="Y205" s="273">
        <v>1</v>
      </c>
      <c r="Z205" s="273">
        <v>1</v>
      </c>
      <c r="AA205" s="273"/>
      <c r="AB205" s="273"/>
      <c r="AC205" s="273">
        <v>1</v>
      </c>
      <c r="AD205" s="273">
        <v>1</v>
      </c>
      <c r="AE205" s="273"/>
      <c r="AF205" s="273"/>
      <c r="AG205" s="273"/>
      <c r="AH205" s="273">
        <v>1</v>
      </c>
      <c r="AI205" s="273">
        <v>1</v>
      </c>
      <c r="AJ205" s="273"/>
      <c r="AK205" s="273"/>
      <c r="AL205" s="273">
        <v>1</v>
      </c>
      <c r="AM205" s="483">
        <v>1</v>
      </c>
      <c r="AN205" s="273"/>
      <c r="AO205" s="273"/>
      <c r="AP205" s="504"/>
      <c r="AQ205" s="273">
        <v>1</v>
      </c>
      <c r="AR205" s="273">
        <v>1</v>
      </c>
      <c r="AS205" s="273"/>
      <c r="AT205" s="273"/>
      <c r="AU205" s="504"/>
      <c r="AV205" s="273">
        <v>1</v>
      </c>
      <c r="AW205" s="273"/>
      <c r="AX205" s="273"/>
      <c r="AY205" s="504"/>
      <c r="AZ205" s="273">
        <v>1</v>
      </c>
      <c r="BA205" s="273">
        <v>1</v>
      </c>
    </row>
    <row r="206" spans="1:53" ht="97.5" hidden="1" customHeight="1">
      <c r="A206" s="184"/>
      <c r="B206" s="256">
        <v>45335</v>
      </c>
      <c r="C206" s="266" t="s">
        <v>75</v>
      </c>
      <c r="D206" s="153" t="s">
        <v>76</v>
      </c>
      <c r="E206" s="177" t="s">
        <v>6</v>
      </c>
      <c r="F206" s="177"/>
      <c r="G206" s="153" t="s">
        <v>828</v>
      </c>
      <c r="H206" s="153" t="s">
        <v>829</v>
      </c>
      <c r="I206" s="153"/>
      <c r="J206" s="288"/>
      <c r="K206" s="153"/>
      <c r="L206" s="153"/>
      <c r="M206" s="153"/>
      <c r="N206" s="228"/>
      <c r="O206" s="166"/>
      <c r="P206" s="166" t="s">
        <v>413</v>
      </c>
      <c r="Q206" s="166" t="s">
        <v>10</v>
      </c>
      <c r="R206" s="166" t="s">
        <v>830</v>
      </c>
      <c r="S206" s="178">
        <v>1</v>
      </c>
      <c r="T206" s="158">
        <v>-3</v>
      </c>
      <c r="U206" s="229">
        <f t="shared" si="4"/>
        <v>-3</v>
      </c>
      <c r="V206" s="208"/>
      <c r="W206" s="208"/>
      <c r="X206" s="208"/>
      <c r="Y206" s="208">
        <v>1</v>
      </c>
      <c r="Z206" s="208">
        <v>1</v>
      </c>
      <c r="AA206" s="208"/>
      <c r="AB206" s="208"/>
      <c r="AC206" s="208">
        <v>1</v>
      </c>
      <c r="AD206" s="208">
        <v>1</v>
      </c>
      <c r="AE206" s="208"/>
      <c r="AF206" s="208"/>
      <c r="AG206" s="208"/>
      <c r="AH206" s="208">
        <v>1</v>
      </c>
      <c r="AI206" s="208">
        <v>1</v>
      </c>
      <c r="AJ206" s="208"/>
      <c r="AK206" s="208"/>
      <c r="AL206" s="208">
        <v>1</v>
      </c>
      <c r="AM206" s="487">
        <v>1</v>
      </c>
      <c r="AN206" s="208"/>
      <c r="AO206" s="208"/>
      <c r="AP206" s="508"/>
      <c r="AQ206" s="208">
        <v>1</v>
      </c>
      <c r="AR206" s="208">
        <v>1</v>
      </c>
      <c r="AS206" s="208"/>
      <c r="AT206" s="208"/>
      <c r="AU206" s="508"/>
      <c r="AV206" s="208">
        <v>1</v>
      </c>
      <c r="AW206" s="208"/>
      <c r="AX206" s="208"/>
      <c r="AY206" s="508"/>
      <c r="AZ206" s="208">
        <v>1</v>
      </c>
      <c r="BA206" s="208">
        <v>1</v>
      </c>
    </row>
    <row r="207" spans="1:53" ht="97.5" hidden="1" customHeight="1">
      <c r="A207" s="184"/>
      <c r="B207" s="256">
        <v>45335</v>
      </c>
      <c r="C207" s="266" t="s">
        <v>75</v>
      </c>
      <c r="D207" s="153" t="s">
        <v>76</v>
      </c>
      <c r="E207" s="177" t="s">
        <v>6</v>
      </c>
      <c r="F207" s="177" t="s">
        <v>502</v>
      </c>
      <c r="G207" s="153" t="s">
        <v>831</v>
      </c>
      <c r="H207" s="153" t="s">
        <v>832</v>
      </c>
      <c r="I207" s="153"/>
      <c r="J207" s="288"/>
      <c r="K207" s="153"/>
      <c r="L207" s="153"/>
      <c r="M207" s="153"/>
      <c r="N207" s="228"/>
      <c r="O207" s="166"/>
      <c r="P207" s="166" t="s">
        <v>413</v>
      </c>
      <c r="Q207" s="166" t="s">
        <v>10</v>
      </c>
      <c r="R207" s="166" t="s">
        <v>830</v>
      </c>
      <c r="S207" s="178">
        <v>1</v>
      </c>
      <c r="T207" s="158">
        <v>-8.4</v>
      </c>
      <c r="U207" s="229">
        <f t="shared" si="4"/>
        <v>-8.4</v>
      </c>
      <c r="V207" s="208"/>
      <c r="W207" s="208"/>
      <c r="X207" s="208"/>
      <c r="Y207" s="208">
        <v>1</v>
      </c>
      <c r="Z207" s="208">
        <v>1</v>
      </c>
      <c r="AA207" s="208"/>
      <c r="AB207" s="208"/>
      <c r="AC207" s="208">
        <v>1</v>
      </c>
      <c r="AD207" s="208">
        <v>1</v>
      </c>
      <c r="AE207" s="208"/>
      <c r="AF207" s="208"/>
      <c r="AG207" s="208"/>
      <c r="AH207" s="208">
        <v>1</v>
      </c>
      <c r="AI207" s="208">
        <v>1</v>
      </c>
      <c r="AJ207" s="208"/>
      <c r="AK207" s="208"/>
      <c r="AL207" s="208">
        <v>1</v>
      </c>
      <c r="AM207" s="487">
        <v>1</v>
      </c>
      <c r="AN207" s="208"/>
      <c r="AO207" s="208"/>
      <c r="AP207" s="508"/>
      <c r="AQ207" s="208">
        <v>1</v>
      </c>
      <c r="AR207" s="208">
        <v>1</v>
      </c>
      <c r="AS207" s="208"/>
      <c r="AT207" s="208"/>
      <c r="AU207" s="508"/>
      <c r="AV207" s="208">
        <v>1</v>
      </c>
      <c r="AW207" s="208"/>
      <c r="AX207" s="208"/>
      <c r="AY207" s="508"/>
      <c r="AZ207" s="208">
        <v>1</v>
      </c>
      <c r="BA207" s="208">
        <v>1</v>
      </c>
    </row>
    <row r="208" spans="1:53" ht="97.5" hidden="1" customHeight="1">
      <c r="A208" s="184"/>
      <c r="B208" s="256">
        <v>45335</v>
      </c>
      <c r="C208" s="266" t="s">
        <v>75</v>
      </c>
      <c r="D208" s="153" t="s">
        <v>76</v>
      </c>
      <c r="E208" s="177" t="s">
        <v>6</v>
      </c>
      <c r="F208" s="177"/>
      <c r="G208" s="153" t="s">
        <v>831</v>
      </c>
      <c r="H208" s="153" t="s">
        <v>833</v>
      </c>
      <c r="I208" s="153"/>
      <c r="J208" s="288"/>
      <c r="K208" s="153"/>
      <c r="L208" s="153" t="s">
        <v>834</v>
      </c>
      <c r="M208" s="153"/>
      <c r="N208" s="228"/>
      <c r="O208" s="166"/>
      <c r="P208" s="166" t="s">
        <v>413</v>
      </c>
      <c r="Q208" s="166" t="s">
        <v>10</v>
      </c>
      <c r="R208" s="166" t="s">
        <v>830</v>
      </c>
      <c r="S208" s="178">
        <v>0.25</v>
      </c>
      <c r="T208" s="158">
        <v>-2.7</v>
      </c>
      <c r="U208" s="229">
        <f t="shared" si="4"/>
        <v>-0.67500000000000004</v>
      </c>
      <c r="V208" s="208"/>
      <c r="W208" s="208"/>
      <c r="X208" s="208"/>
      <c r="Y208" s="208">
        <v>1</v>
      </c>
      <c r="Z208" s="208">
        <v>1</v>
      </c>
      <c r="AA208" s="208"/>
      <c r="AB208" s="208"/>
      <c r="AC208" s="208">
        <v>1</v>
      </c>
      <c r="AD208" s="208">
        <v>1</v>
      </c>
      <c r="AE208" s="208"/>
      <c r="AF208" s="208"/>
      <c r="AG208" s="208"/>
      <c r="AH208" s="208">
        <v>1</v>
      </c>
      <c r="AI208" s="208">
        <v>1</v>
      </c>
      <c r="AJ208" s="208"/>
      <c r="AK208" s="208"/>
      <c r="AL208" s="208">
        <v>1</v>
      </c>
      <c r="AM208" s="487">
        <v>1</v>
      </c>
      <c r="AN208" s="208"/>
      <c r="AO208" s="208"/>
      <c r="AP208" s="508"/>
      <c r="AQ208" s="208">
        <v>1</v>
      </c>
      <c r="AR208" s="208">
        <v>1</v>
      </c>
      <c r="AS208" s="208"/>
      <c r="AT208" s="208"/>
      <c r="AU208" s="508"/>
      <c r="AV208" s="208">
        <v>1</v>
      </c>
      <c r="AW208" s="208"/>
      <c r="AX208" s="208"/>
      <c r="AY208" s="508"/>
      <c r="AZ208" s="208">
        <v>1</v>
      </c>
      <c r="BA208" s="208">
        <v>1</v>
      </c>
    </row>
    <row r="209" spans="1:53" ht="97.5" hidden="1" customHeight="1">
      <c r="A209" s="264"/>
      <c r="B209" s="265">
        <v>45335</v>
      </c>
      <c r="C209" s="266" t="s">
        <v>75</v>
      </c>
      <c r="D209" s="188" t="s">
        <v>76</v>
      </c>
      <c r="E209" s="266" t="s">
        <v>6</v>
      </c>
      <c r="F209" s="266" t="s">
        <v>502</v>
      </c>
      <c r="G209" s="188" t="s">
        <v>835</v>
      </c>
      <c r="H209" s="188" t="s">
        <v>836</v>
      </c>
      <c r="I209" s="188"/>
      <c r="J209" s="267"/>
      <c r="K209" s="188"/>
      <c r="L209" s="188"/>
      <c r="M209" s="188"/>
      <c r="N209" s="268"/>
      <c r="O209" s="269"/>
      <c r="P209" s="269" t="s">
        <v>80</v>
      </c>
      <c r="Q209" s="269" t="s">
        <v>10</v>
      </c>
      <c r="R209" s="166" t="s">
        <v>414</v>
      </c>
      <c r="S209" s="270">
        <v>1</v>
      </c>
      <c r="T209" s="271">
        <v>1.6</v>
      </c>
      <c r="U209" s="272">
        <f t="shared" si="4"/>
        <v>1.6</v>
      </c>
      <c r="V209" s="273"/>
      <c r="W209" s="273"/>
      <c r="X209" s="273"/>
      <c r="Y209" s="273">
        <v>1</v>
      </c>
      <c r="Z209" s="273">
        <v>1</v>
      </c>
      <c r="AA209" s="273"/>
      <c r="AB209" s="273"/>
      <c r="AC209" s="273">
        <v>1</v>
      </c>
      <c r="AD209" s="273">
        <v>1</v>
      </c>
      <c r="AE209" s="273"/>
      <c r="AF209" s="273"/>
      <c r="AG209" s="273"/>
      <c r="AH209" s="273">
        <v>1</v>
      </c>
      <c r="AI209" s="273">
        <v>1</v>
      </c>
      <c r="AJ209" s="273"/>
      <c r="AK209" s="273"/>
      <c r="AL209" s="273">
        <v>1</v>
      </c>
      <c r="AM209" s="483">
        <v>1</v>
      </c>
      <c r="AN209" s="273"/>
      <c r="AO209" s="273"/>
      <c r="AP209" s="504"/>
      <c r="AQ209" s="273">
        <v>1</v>
      </c>
      <c r="AR209" s="273">
        <v>1</v>
      </c>
      <c r="AS209" s="273"/>
      <c r="AT209" s="273"/>
      <c r="AU209" s="504"/>
      <c r="AV209" s="273">
        <v>1</v>
      </c>
      <c r="AW209" s="273"/>
      <c r="AX209" s="273"/>
      <c r="AY209" s="504"/>
      <c r="AZ209" s="273">
        <v>1</v>
      </c>
      <c r="BA209" s="273">
        <v>1</v>
      </c>
    </row>
    <row r="210" spans="1:53" ht="97.5" hidden="1" customHeight="1">
      <c r="A210" s="264"/>
      <c r="B210" s="265">
        <v>45335</v>
      </c>
      <c r="C210" s="266" t="s">
        <v>75</v>
      </c>
      <c r="D210" s="188" t="s">
        <v>76</v>
      </c>
      <c r="E210" s="266" t="s">
        <v>6</v>
      </c>
      <c r="F210" s="266" t="s">
        <v>502</v>
      </c>
      <c r="G210" s="188" t="s">
        <v>837</v>
      </c>
      <c r="H210" s="188" t="s">
        <v>838</v>
      </c>
      <c r="I210" s="188"/>
      <c r="J210" s="267"/>
      <c r="K210" s="188"/>
      <c r="L210" s="188"/>
      <c r="M210" s="188"/>
      <c r="N210" s="268"/>
      <c r="O210" s="269"/>
      <c r="P210" s="269" t="s">
        <v>80</v>
      </c>
      <c r="Q210" s="269" t="s">
        <v>10</v>
      </c>
      <c r="R210" s="166" t="s">
        <v>414</v>
      </c>
      <c r="S210" s="270">
        <v>0.25</v>
      </c>
      <c r="T210" s="271">
        <v>-0.75</v>
      </c>
      <c r="U210" s="272">
        <f t="shared" si="4"/>
        <v>-0.1875</v>
      </c>
      <c r="V210" s="273"/>
      <c r="W210" s="273"/>
      <c r="X210" s="273"/>
      <c r="Y210" s="273">
        <v>1</v>
      </c>
      <c r="Z210" s="273">
        <v>1</v>
      </c>
      <c r="AA210" s="273"/>
      <c r="AB210" s="273"/>
      <c r="AC210" s="273">
        <v>1</v>
      </c>
      <c r="AD210" s="273">
        <v>1</v>
      </c>
      <c r="AE210" s="273"/>
      <c r="AF210" s="273"/>
      <c r="AG210" s="273"/>
      <c r="AH210" s="273">
        <v>1</v>
      </c>
      <c r="AI210" s="273">
        <v>1</v>
      </c>
      <c r="AJ210" s="273"/>
      <c r="AK210" s="273"/>
      <c r="AL210" s="273">
        <v>1</v>
      </c>
      <c r="AM210" s="483">
        <v>1</v>
      </c>
      <c r="AN210" s="273"/>
      <c r="AO210" s="273"/>
      <c r="AP210" s="504"/>
      <c r="AQ210" s="273">
        <v>1</v>
      </c>
      <c r="AR210" s="273">
        <v>1</v>
      </c>
      <c r="AS210" s="273"/>
      <c r="AT210" s="273"/>
      <c r="AU210" s="504"/>
      <c r="AV210" s="273">
        <v>1</v>
      </c>
      <c r="AW210" s="273"/>
      <c r="AX210" s="273"/>
      <c r="AY210" s="504"/>
      <c r="AZ210" s="273">
        <v>1</v>
      </c>
      <c r="BA210" s="273">
        <v>1</v>
      </c>
    </row>
    <row r="211" spans="1:53" ht="97.5" hidden="1" customHeight="1">
      <c r="A211" s="264"/>
      <c r="B211" s="265">
        <v>45335</v>
      </c>
      <c r="C211" s="266" t="s">
        <v>75</v>
      </c>
      <c r="D211" s="188" t="s">
        <v>76</v>
      </c>
      <c r="E211" s="266" t="s">
        <v>6</v>
      </c>
      <c r="F211" s="266" t="s">
        <v>502</v>
      </c>
      <c r="G211" s="188" t="s">
        <v>839</v>
      </c>
      <c r="H211" s="188" t="s">
        <v>840</v>
      </c>
      <c r="I211" s="188"/>
      <c r="J211" s="267"/>
      <c r="K211" s="188"/>
      <c r="L211" s="188" t="s">
        <v>841</v>
      </c>
      <c r="M211" s="188"/>
      <c r="N211" s="268"/>
      <c r="O211" s="269"/>
      <c r="P211" s="269" t="s">
        <v>80</v>
      </c>
      <c r="Q211" s="269" t="s">
        <v>10</v>
      </c>
      <c r="R211" s="166" t="s">
        <v>414</v>
      </c>
      <c r="S211" s="270">
        <v>0.25</v>
      </c>
      <c r="T211" s="271">
        <v>-1</v>
      </c>
      <c r="U211" s="272">
        <f t="shared" si="4"/>
        <v>-0.25</v>
      </c>
      <c r="V211" s="273"/>
      <c r="W211" s="273"/>
      <c r="X211" s="273"/>
      <c r="Y211" s="273">
        <v>1</v>
      </c>
      <c r="Z211" s="273">
        <v>1</v>
      </c>
      <c r="AA211" s="273"/>
      <c r="AB211" s="273"/>
      <c r="AC211" s="273">
        <v>1</v>
      </c>
      <c r="AD211" s="273">
        <v>1</v>
      </c>
      <c r="AE211" s="273"/>
      <c r="AF211" s="273"/>
      <c r="AG211" s="273"/>
      <c r="AH211" s="273">
        <v>1</v>
      </c>
      <c r="AI211" s="273">
        <v>1</v>
      </c>
      <c r="AJ211" s="273"/>
      <c r="AK211" s="273"/>
      <c r="AL211" s="273">
        <v>1</v>
      </c>
      <c r="AM211" s="483">
        <v>1</v>
      </c>
      <c r="AN211" s="273"/>
      <c r="AO211" s="273"/>
      <c r="AP211" s="504"/>
      <c r="AQ211" s="273">
        <v>1</v>
      </c>
      <c r="AR211" s="273">
        <v>1</v>
      </c>
      <c r="AS211" s="273"/>
      <c r="AT211" s="273"/>
      <c r="AU211" s="504"/>
      <c r="AV211" s="273">
        <v>1</v>
      </c>
      <c r="AW211" s="273"/>
      <c r="AX211" s="273"/>
      <c r="AY211" s="504"/>
      <c r="AZ211" s="273">
        <v>1</v>
      </c>
      <c r="BA211" s="273">
        <v>1</v>
      </c>
    </row>
    <row r="212" spans="1:53" ht="97.5" hidden="1" customHeight="1">
      <c r="A212" s="264"/>
      <c r="B212" s="265">
        <v>45335</v>
      </c>
      <c r="C212" s="266" t="s">
        <v>75</v>
      </c>
      <c r="D212" s="188" t="s">
        <v>76</v>
      </c>
      <c r="E212" s="266" t="s">
        <v>6</v>
      </c>
      <c r="F212" s="266"/>
      <c r="G212" s="188" t="s">
        <v>842</v>
      </c>
      <c r="H212" s="188" t="s">
        <v>843</v>
      </c>
      <c r="I212" s="188"/>
      <c r="J212" s="267"/>
      <c r="K212" s="188"/>
      <c r="L212" s="188"/>
      <c r="M212" s="188"/>
      <c r="N212" s="268"/>
      <c r="O212" s="269"/>
      <c r="P212" s="269" t="s">
        <v>80</v>
      </c>
      <c r="Q212" s="269" t="s">
        <v>10</v>
      </c>
      <c r="R212" s="166" t="s">
        <v>414</v>
      </c>
      <c r="S212" s="270">
        <v>1</v>
      </c>
      <c r="T212" s="271"/>
      <c r="U212" s="272">
        <f t="shared" si="4"/>
        <v>0</v>
      </c>
      <c r="V212" s="273"/>
      <c r="W212" s="273"/>
      <c r="X212" s="273"/>
      <c r="Y212" s="273">
        <v>1</v>
      </c>
      <c r="Z212" s="273">
        <v>1</v>
      </c>
      <c r="AA212" s="273"/>
      <c r="AB212" s="273"/>
      <c r="AC212" s="273">
        <v>1</v>
      </c>
      <c r="AD212" s="273">
        <v>1</v>
      </c>
      <c r="AE212" s="273"/>
      <c r="AF212" s="273"/>
      <c r="AG212" s="273"/>
      <c r="AH212" s="273">
        <v>1</v>
      </c>
      <c r="AI212" s="273">
        <v>1</v>
      </c>
      <c r="AJ212" s="273"/>
      <c r="AK212" s="273"/>
      <c r="AL212" s="273">
        <v>1</v>
      </c>
      <c r="AM212" s="483">
        <v>1</v>
      </c>
      <c r="AN212" s="273"/>
      <c r="AO212" s="273"/>
      <c r="AP212" s="504"/>
      <c r="AQ212" s="273">
        <v>1</v>
      </c>
      <c r="AR212" s="273">
        <v>1</v>
      </c>
      <c r="AS212" s="273"/>
      <c r="AT212" s="273"/>
      <c r="AU212" s="504"/>
      <c r="AV212" s="273">
        <v>1</v>
      </c>
      <c r="AW212" s="273"/>
      <c r="AX212" s="273"/>
      <c r="AY212" s="504"/>
      <c r="AZ212" s="273">
        <v>1</v>
      </c>
      <c r="BA212" s="273">
        <v>1</v>
      </c>
    </row>
    <row r="213" spans="1:53" ht="97.5" hidden="1" customHeight="1">
      <c r="A213" s="264"/>
      <c r="B213" s="265">
        <v>45335</v>
      </c>
      <c r="C213" s="266" t="s">
        <v>75</v>
      </c>
      <c r="D213" s="188" t="s">
        <v>76</v>
      </c>
      <c r="E213" s="266" t="s">
        <v>6</v>
      </c>
      <c r="F213" s="266" t="s">
        <v>502</v>
      </c>
      <c r="G213" s="188" t="s">
        <v>844</v>
      </c>
      <c r="H213" s="188" t="s">
        <v>845</v>
      </c>
      <c r="I213" s="188"/>
      <c r="J213" s="267"/>
      <c r="K213" s="188"/>
      <c r="L213" s="188" t="s">
        <v>846</v>
      </c>
      <c r="M213" s="188"/>
      <c r="N213" s="268"/>
      <c r="O213" s="269"/>
      <c r="P213" s="269" t="s">
        <v>80</v>
      </c>
      <c r="Q213" s="269" t="s">
        <v>10</v>
      </c>
      <c r="R213" s="166" t="s">
        <v>414</v>
      </c>
      <c r="S213" s="270">
        <v>1</v>
      </c>
      <c r="T213" s="271">
        <v>-21.56</v>
      </c>
      <c r="U213" s="272">
        <f t="shared" si="4"/>
        <v>-21.56</v>
      </c>
      <c r="V213" s="273"/>
      <c r="W213" s="273"/>
      <c r="X213" s="273"/>
      <c r="Y213" s="273">
        <v>1</v>
      </c>
      <c r="Z213" s="273">
        <v>1</v>
      </c>
      <c r="AA213" s="273"/>
      <c r="AB213" s="273"/>
      <c r="AC213" s="273">
        <v>1</v>
      </c>
      <c r="AD213" s="273">
        <v>1</v>
      </c>
      <c r="AE213" s="273"/>
      <c r="AF213" s="273"/>
      <c r="AG213" s="273"/>
      <c r="AH213" s="273">
        <v>1</v>
      </c>
      <c r="AI213" s="273">
        <v>1</v>
      </c>
      <c r="AJ213" s="273"/>
      <c r="AK213" s="273"/>
      <c r="AL213" s="273">
        <v>1</v>
      </c>
      <c r="AM213" s="483">
        <v>1</v>
      </c>
      <c r="AN213" s="273"/>
      <c r="AO213" s="273"/>
      <c r="AP213" s="504"/>
      <c r="AQ213" s="273">
        <v>1</v>
      </c>
      <c r="AR213" s="273">
        <v>1</v>
      </c>
      <c r="AS213" s="273"/>
      <c r="AT213" s="273"/>
      <c r="AU213" s="504"/>
      <c r="AV213" s="273">
        <v>1</v>
      </c>
      <c r="AW213" s="273"/>
      <c r="AX213" s="273"/>
      <c r="AY213" s="504"/>
      <c r="AZ213" s="273">
        <v>1</v>
      </c>
      <c r="BA213" s="273">
        <v>1</v>
      </c>
    </row>
    <row r="214" spans="1:53" ht="97.5" hidden="1" customHeight="1">
      <c r="A214" s="264"/>
      <c r="B214" s="265">
        <v>45839</v>
      </c>
      <c r="C214" s="266" t="s">
        <v>75</v>
      </c>
      <c r="D214" s="188" t="s">
        <v>16</v>
      </c>
      <c r="E214" s="266" t="s">
        <v>3</v>
      </c>
      <c r="F214" s="266" t="s">
        <v>410</v>
      </c>
      <c r="G214" s="188" t="s">
        <v>847</v>
      </c>
      <c r="H214" s="188" t="s">
        <v>848</v>
      </c>
      <c r="I214" s="188"/>
      <c r="J214" s="267"/>
      <c r="K214" s="188"/>
      <c r="L214" s="188"/>
      <c r="M214" s="188"/>
      <c r="N214" s="268"/>
      <c r="O214" s="269"/>
      <c r="P214" s="269" t="s">
        <v>80</v>
      </c>
      <c r="Q214" s="269" t="s">
        <v>10</v>
      </c>
      <c r="R214" s="166" t="s">
        <v>414</v>
      </c>
      <c r="S214" s="270">
        <v>0.5</v>
      </c>
      <c r="T214" s="271">
        <v>-2</v>
      </c>
      <c r="U214" s="272">
        <f t="shared" si="4"/>
        <v>-1</v>
      </c>
      <c r="V214" s="273"/>
      <c r="W214" s="273"/>
      <c r="X214" s="273"/>
      <c r="Y214" s="273">
        <v>1</v>
      </c>
      <c r="Z214" s="273">
        <v>1</v>
      </c>
      <c r="AA214" s="273"/>
      <c r="AB214" s="273"/>
      <c r="AC214" s="273">
        <v>1</v>
      </c>
      <c r="AD214" s="273">
        <v>1</v>
      </c>
      <c r="AE214" s="273"/>
      <c r="AF214" s="273"/>
      <c r="AG214" s="273"/>
      <c r="AH214" s="273">
        <v>1</v>
      </c>
      <c r="AI214" s="273">
        <v>1</v>
      </c>
      <c r="AJ214" s="273"/>
      <c r="AK214" s="273"/>
      <c r="AL214" s="273">
        <v>1</v>
      </c>
      <c r="AM214" s="483">
        <v>1</v>
      </c>
      <c r="AN214" s="273"/>
      <c r="AO214" s="273"/>
      <c r="AP214" s="504"/>
      <c r="AQ214" s="273">
        <v>1</v>
      </c>
      <c r="AR214" s="273">
        <v>1</v>
      </c>
      <c r="AS214" s="273"/>
      <c r="AT214" s="273"/>
      <c r="AU214" s="504"/>
      <c r="AV214" s="273">
        <v>1</v>
      </c>
      <c r="AW214" s="273"/>
      <c r="AX214" s="273"/>
      <c r="AY214" s="504"/>
      <c r="AZ214" s="273">
        <v>1</v>
      </c>
      <c r="BA214" s="273">
        <v>1</v>
      </c>
    </row>
    <row r="215" spans="1:53" ht="97.5" hidden="1" customHeight="1">
      <c r="A215" s="264"/>
      <c r="B215" s="265">
        <v>45335</v>
      </c>
      <c r="C215" s="266" t="s">
        <v>75</v>
      </c>
      <c r="D215" s="188" t="s">
        <v>76</v>
      </c>
      <c r="E215" s="266" t="s">
        <v>3</v>
      </c>
      <c r="F215" s="266" t="s">
        <v>502</v>
      </c>
      <c r="G215" s="188" t="s">
        <v>849</v>
      </c>
      <c r="H215" s="188" t="s">
        <v>850</v>
      </c>
      <c r="I215" s="188"/>
      <c r="J215" s="267"/>
      <c r="K215" s="188"/>
      <c r="L215" s="188"/>
      <c r="M215" s="188"/>
      <c r="N215" s="268"/>
      <c r="O215" s="269"/>
      <c r="P215" s="269" t="s">
        <v>80</v>
      </c>
      <c r="Q215" s="269" t="s">
        <v>10</v>
      </c>
      <c r="R215" s="166" t="s">
        <v>414</v>
      </c>
      <c r="S215" s="270">
        <v>1</v>
      </c>
      <c r="T215" s="271"/>
      <c r="U215" s="272">
        <f t="shared" ref="U215:U259" si="5">T215*S215</f>
        <v>0</v>
      </c>
      <c r="V215" s="273"/>
      <c r="W215" s="273"/>
      <c r="X215" s="273"/>
      <c r="Y215" s="273">
        <v>1</v>
      </c>
      <c r="Z215" s="273">
        <v>1</v>
      </c>
      <c r="AA215" s="273"/>
      <c r="AB215" s="273"/>
      <c r="AC215" s="273">
        <v>1</v>
      </c>
      <c r="AD215" s="273">
        <v>1</v>
      </c>
      <c r="AE215" s="273"/>
      <c r="AF215" s="273"/>
      <c r="AG215" s="273"/>
      <c r="AH215" s="273">
        <v>1</v>
      </c>
      <c r="AI215" s="273">
        <v>1</v>
      </c>
      <c r="AJ215" s="273"/>
      <c r="AK215" s="273"/>
      <c r="AL215" s="273">
        <v>1</v>
      </c>
      <c r="AM215" s="483">
        <v>1</v>
      </c>
      <c r="AN215" s="273"/>
      <c r="AO215" s="273"/>
      <c r="AP215" s="504"/>
      <c r="AQ215" s="273">
        <v>1</v>
      </c>
      <c r="AR215" s="273">
        <v>1</v>
      </c>
      <c r="AS215" s="273"/>
      <c r="AT215" s="273"/>
      <c r="AU215" s="504"/>
      <c r="AV215" s="273">
        <v>1</v>
      </c>
      <c r="AW215" s="273"/>
      <c r="AX215" s="273"/>
      <c r="AY215" s="504"/>
      <c r="AZ215" s="273">
        <v>1</v>
      </c>
      <c r="BA215" s="273">
        <v>1</v>
      </c>
    </row>
    <row r="216" spans="1:53" ht="97.5" hidden="1" customHeight="1">
      <c r="A216" s="264"/>
      <c r="B216" s="265">
        <v>45832</v>
      </c>
      <c r="C216" s="266" t="s">
        <v>75</v>
      </c>
      <c r="D216" s="188" t="s">
        <v>76</v>
      </c>
      <c r="E216" s="266" t="s">
        <v>3</v>
      </c>
      <c r="F216" s="266"/>
      <c r="G216" s="188" t="s">
        <v>851</v>
      </c>
      <c r="H216" s="188" t="s">
        <v>852</v>
      </c>
      <c r="I216" s="188"/>
      <c r="J216" s="267"/>
      <c r="K216" s="188"/>
      <c r="L216" s="188"/>
      <c r="M216" s="188"/>
      <c r="N216" s="268"/>
      <c r="O216" s="269"/>
      <c r="P216" s="269" t="s">
        <v>80</v>
      </c>
      <c r="Q216" s="269" t="s">
        <v>10</v>
      </c>
      <c r="R216" s="166" t="s">
        <v>414</v>
      </c>
      <c r="S216" s="270">
        <v>1</v>
      </c>
      <c r="T216" s="271">
        <v>17</v>
      </c>
      <c r="U216" s="272">
        <f t="shared" si="5"/>
        <v>17</v>
      </c>
      <c r="V216" s="273"/>
      <c r="W216" s="273"/>
      <c r="X216" s="273"/>
      <c r="Y216" s="273">
        <v>1</v>
      </c>
      <c r="Z216" s="273">
        <v>1</v>
      </c>
      <c r="AA216" s="273"/>
      <c r="AB216" s="273"/>
      <c r="AC216" s="273">
        <v>1</v>
      </c>
      <c r="AD216" s="273">
        <v>1</v>
      </c>
      <c r="AE216" s="273"/>
      <c r="AF216" s="273"/>
      <c r="AG216" s="273"/>
      <c r="AH216" s="273">
        <v>1</v>
      </c>
      <c r="AI216" s="273">
        <v>1</v>
      </c>
      <c r="AJ216" s="273"/>
      <c r="AK216" s="273"/>
      <c r="AL216" s="273">
        <v>1</v>
      </c>
      <c r="AM216" s="483">
        <v>1</v>
      </c>
      <c r="AN216" s="273"/>
      <c r="AO216" s="273"/>
      <c r="AP216" s="504"/>
      <c r="AQ216" s="273">
        <v>1</v>
      </c>
      <c r="AR216" s="273">
        <v>1</v>
      </c>
      <c r="AS216" s="273"/>
      <c r="AT216" s="273"/>
      <c r="AU216" s="504"/>
      <c r="AV216" s="273">
        <v>1</v>
      </c>
      <c r="AW216" s="273"/>
      <c r="AX216" s="273"/>
      <c r="AY216" s="504"/>
      <c r="AZ216" s="273">
        <v>1</v>
      </c>
      <c r="BA216" s="273">
        <v>1</v>
      </c>
    </row>
    <row r="217" spans="1:53" ht="97.5" hidden="1" customHeight="1">
      <c r="A217" s="264"/>
      <c r="B217" s="265">
        <v>45335</v>
      </c>
      <c r="C217" s="266" t="s">
        <v>75</v>
      </c>
      <c r="D217" s="188" t="s">
        <v>76</v>
      </c>
      <c r="E217" s="266" t="s">
        <v>3</v>
      </c>
      <c r="F217" s="266" t="s">
        <v>502</v>
      </c>
      <c r="G217" s="188" t="s">
        <v>853</v>
      </c>
      <c r="H217" s="188" t="s">
        <v>854</v>
      </c>
      <c r="I217" s="188"/>
      <c r="J217" s="267"/>
      <c r="K217" s="188"/>
      <c r="L217" s="188"/>
      <c r="M217" s="188"/>
      <c r="N217" s="268"/>
      <c r="O217" s="269"/>
      <c r="P217" s="269" t="s">
        <v>80</v>
      </c>
      <c r="Q217" s="269" t="s">
        <v>10</v>
      </c>
      <c r="R217" s="166" t="s">
        <v>414</v>
      </c>
      <c r="S217" s="270">
        <v>1</v>
      </c>
      <c r="T217" s="271"/>
      <c r="U217" s="272">
        <f t="shared" si="5"/>
        <v>0</v>
      </c>
      <c r="V217" s="273"/>
      <c r="W217" s="273"/>
      <c r="X217" s="273"/>
      <c r="Y217" s="273">
        <v>1</v>
      </c>
      <c r="Z217" s="273">
        <v>1</v>
      </c>
      <c r="AA217" s="273"/>
      <c r="AB217" s="273"/>
      <c r="AC217" s="273">
        <v>1</v>
      </c>
      <c r="AD217" s="273">
        <v>1</v>
      </c>
      <c r="AE217" s="273"/>
      <c r="AF217" s="273"/>
      <c r="AG217" s="273"/>
      <c r="AH217" s="273">
        <v>1</v>
      </c>
      <c r="AI217" s="273">
        <v>1</v>
      </c>
      <c r="AJ217" s="273"/>
      <c r="AK217" s="273"/>
      <c r="AL217" s="273">
        <v>1</v>
      </c>
      <c r="AM217" s="483">
        <v>1</v>
      </c>
      <c r="AN217" s="273"/>
      <c r="AO217" s="273"/>
      <c r="AP217" s="504"/>
      <c r="AQ217" s="273">
        <v>1</v>
      </c>
      <c r="AR217" s="273">
        <v>1</v>
      </c>
      <c r="AS217" s="273"/>
      <c r="AT217" s="273"/>
      <c r="AU217" s="504"/>
      <c r="AV217" s="273">
        <v>1</v>
      </c>
      <c r="AW217" s="273"/>
      <c r="AX217" s="273"/>
      <c r="AY217" s="504"/>
      <c r="AZ217" s="273">
        <v>1</v>
      </c>
      <c r="BA217" s="273">
        <v>1</v>
      </c>
    </row>
    <row r="218" spans="1:53" ht="97.5" hidden="1" customHeight="1">
      <c r="A218" s="264"/>
      <c r="B218" s="265">
        <v>45335</v>
      </c>
      <c r="C218" s="266" t="s">
        <v>75</v>
      </c>
      <c r="D218" s="188" t="s">
        <v>76</v>
      </c>
      <c r="E218" s="266" t="s">
        <v>3</v>
      </c>
      <c r="F218" s="266" t="s">
        <v>502</v>
      </c>
      <c r="G218" s="188" t="s">
        <v>855</v>
      </c>
      <c r="H218" s="188" t="s">
        <v>856</v>
      </c>
      <c r="I218" s="188"/>
      <c r="J218" s="267"/>
      <c r="K218" s="188"/>
      <c r="L218" s="188"/>
      <c r="M218" s="188"/>
      <c r="N218" s="268"/>
      <c r="O218" s="269"/>
      <c r="P218" s="269" t="s">
        <v>80</v>
      </c>
      <c r="Q218" s="269" t="s">
        <v>10</v>
      </c>
      <c r="R218" s="166" t="s">
        <v>414</v>
      </c>
      <c r="S218" s="270">
        <v>1</v>
      </c>
      <c r="T218" s="271"/>
      <c r="U218" s="272">
        <f t="shared" si="5"/>
        <v>0</v>
      </c>
      <c r="V218" s="273"/>
      <c r="W218" s="273"/>
      <c r="X218" s="273"/>
      <c r="Y218" s="273">
        <v>1</v>
      </c>
      <c r="Z218" s="273">
        <v>1</v>
      </c>
      <c r="AA218" s="273"/>
      <c r="AB218" s="273"/>
      <c r="AC218" s="273">
        <v>1</v>
      </c>
      <c r="AD218" s="273">
        <v>1</v>
      </c>
      <c r="AE218" s="273"/>
      <c r="AF218" s="273"/>
      <c r="AG218" s="273"/>
      <c r="AH218" s="273">
        <v>1</v>
      </c>
      <c r="AI218" s="273">
        <v>1</v>
      </c>
      <c r="AJ218" s="273"/>
      <c r="AK218" s="273"/>
      <c r="AL218" s="273">
        <v>1</v>
      </c>
      <c r="AM218" s="483">
        <v>1</v>
      </c>
      <c r="AN218" s="273"/>
      <c r="AO218" s="273"/>
      <c r="AP218" s="504"/>
      <c r="AQ218" s="273">
        <v>1</v>
      </c>
      <c r="AR218" s="273">
        <v>1</v>
      </c>
      <c r="AS218" s="273"/>
      <c r="AT218" s="273"/>
      <c r="AU218" s="504"/>
      <c r="AV218" s="273">
        <v>1</v>
      </c>
      <c r="AW218" s="273"/>
      <c r="AX218" s="273"/>
      <c r="AY218" s="504"/>
      <c r="AZ218" s="273">
        <v>1</v>
      </c>
      <c r="BA218" s="273">
        <v>1</v>
      </c>
    </row>
    <row r="219" spans="1:53" ht="97.5" hidden="1" customHeight="1">
      <c r="A219" s="275"/>
      <c r="B219" s="276">
        <v>45335</v>
      </c>
      <c r="C219" s="266" t="s">
        <v>75</v>
      </c>
      <c r="D219" s="279" t="s">
        <v>76</v>
      </c>
      <c r="E219" s="277" t="s">
        <v>3</v>
      </c>
      <c r="F219" s="277" t="s">
        <v>502</v>
      </c>
      <c r="G219" s="279" t="s">
        <v>857</v>
      </c>
      <c r="H219" s="287" t="s">
        <v>858</v>
      </c>
      <c r="I219" s="279"/>
      <c r="J219" s="280"/>
      <c r="K219" s="279"/>
      <c r="L219" s="279"/>
      <c r="M219" s="279"/>
      <c r="N219" s="281"/>
      <c r="O219" s="282"/>
      <c r="P219" s="282" t="s">
        <v>80</v>
      </c>
      <c r="Q219" s="282" t="s">
        <v>10</v>
      </c>
      <c r="R219" s="282" t="s">
        <v>81</v>
      </c>
      <c r="S219" s="283">
        <v>1</v>
      </c>
      <c r="T219" s="284"/>
      <c r="U219" s="285">
        <f t="shared" si="5"/>
        <v>0</v>
      </c>
      <c r="V219" s="286"/>
      <c r="W219" s="286"/>
      <c r="X219" s="286"/>
      <c r="Y219" s="286">
        <v>1</v>
      </c>
      <c r="Z219" s="286">
        <v>1</v>
      </c>
      <c r="AA219" s="286"/>
      <c r="AB219" s="286"/>
      <c r="AC219" s="286">
        <v>1</v>
      </c>
      <c r="AD219" s="286">
        <v>1</v>
      </c>
      <c r="AE219" s="286"/>
      <c r="AF219" s="286"/>
      <c r="AG219" s="286"/>
      <c r="AH219" s="286">
        <v>1</v>
      </c>
      <c r="AI219" s="286">
        <v>1</v>
      </c>
      <c r="AJ219" s="286"/>
      <c r="AK219" s="286"/>
      <c r="AL219" s="286">
        <v>1</v>
      </c>
      <c r="AM219" s="481">
        <v>1</v>
      </c>
      <c r="AN219" s="286"/>
      <c r="AO219" s="286"/>
      <c r="AP219" s="507"/>
      <c r="AQ219" s="286">
        <v>1</v>
      </c>
      <c r="AR219" s="286">
        <v>1</v>
      </c>
      <c r="AS219" s="286"/>
      <c r="AT219" s="286"/>
      <c r="AU219" s="507"/>
      <c r="AV219" s="286">
        <v>1</v>
      </c>
      <c r="AW219" s="286"/>
      <c r="AX219" s="286"/>
      <c r="AY219" s="507"/>
      <c r="AZ219" s="286">
        <v>1</v>
      </c>
      <c r="BA219" s="286">
        <v>1</v>
      </c>
    </row>
    <row r="220" spans="1:53" ht="97.5" hidden="1" customHeight="1">
      <c r="A220" s="264"/>
      <c r="B220" s="265">
        <v>45335</v>
      </c>
      <c r="C220" s="266" t="s">
        <v>75</v>
      </c>
      <c r="D220" s="188" t="s">
        <v>76</v>
      </c>
      <c r="E220" s="266" t="s">
        <v>3</v>
      </c>
      <c r="F220" s="266" t="s">
        <v>502</v>
      </c>
      <c r="G220" s="188" t="s">
        <v>859</v>
      </c>
      <c r="H220" s="188" t="s">
        <v>860</v>
      </c>
      <c r="I220" s="188"/>
      <c r="J220" s="267"/>
      <c r="K220" s="188"/>
      <c r="L220" s="188"/>
      <c r="M220" s="188"/>
      <c r="N220" s="268"/>
      <c r="O220" s="269"/>
      <c r="P220" s="269" t="s">
        <v>80</v>
      </c>
      <c r="Q220" s="269" t="s">
        <v>10</v>
      </c>
      <c r="R220" s="269" t="s">
        <v>81</v>
      </c>
      <c r="S220" s="270">
        <v>1</v>
      </c>
      <c r="T220" s="271"/>
      <c r="U220" s="272">
        <f t="shared" si="5"/>
        <v>0</v>
      </c>
      <c r="V220" s="273"/>
      <c r="W220" s="273"/>
      <c r="X220" s="273"/>
      <c r="Y220" s="273">
        <v>1</v>
      </c>
      <c r="Z220" s="273">
        <v>1</v>
      </c>
      <c r="AA220" s="273"/>
      <c r="AB220" s="273"/>
      <c r="AC220" s="273">
        <v>1</v>
      </c>
      <c r="AD220" s="273">
        <v>1</v>
      </c>
      <c r="AE220" s="273"/>
      <c r="AF220" s="273"/>
      <c r="AG220" s="273"/>
      <c r="AH220" s="273">
        <v>1</v>
      </c>
      <c r="AI220" s="273">
        <v>1</v>
      </c>
      <c r="AJ220" s="273"/>
      <c r="AK220" s="273"/>
      <c r="AL220" s="273">
        <v>1</v>
      </c>
      <c r="AM220" s="483">
        <v>1</v>
      </c>
      <c r="AN220" s="273"/>
      <c r="AO220" s="273"/>
      <c r="AP220" s="504"/>
      <c r="AQ220" s="273">
        <v>1</v>
      </c>
      <c r="AR220" s="273">
        <v>1</v>
      </c>
      <c r="AS220" s="273"/>
      <c r="AT220" s="273"/>
      <c r="AU220" s="504"/>
      <c r="AV220" s="273">
        <v>1</v>
      </c>
      <c r="AW220" s="273"/>
      <c r="AX220" s="273"/>
      <c r="AY220" s="504"/>
      <c r="AZ220" s="273">
        <v>1</v>
      </c>
      <c r="BA220" s="273">
        <v>1</v>
      </c>
    </row>
    <row r="221" spans="1:53" ht="97.5" hidden="1" customHeight="1">
      <c r="A221" s="264"/>
      <c r="B221" s="265">
        <v>45335</v>
      </c>
      <c r="C221" s="266" t="s">
        <v>75</v>
      </c>
      <c r="D221" s="188" t="s">
        <v>76</v>
      </c>
      <c r="E221" s="266" t="s">
        <v>6</v>
      </c>
      <c r="F221" s="266"/>
      <c r="G221" s="188" t="s">
        <v>861</v>
      </c>
      <c r="H221" s="188" t="s">
        <v>862</v>
      </c>
      <c r="I221" s="188" t="s">
        <v>815</v>
      </c>
      <c r="J221" s="267"/>
      <c r="K221" s="188"/>
      <c r="L221" s="188"/>
      <c r="M221" s="188"/>
      <c r="N221" s="268"/>
      <c r="O221" s="269"/>
      <c r="P221" s="269" t="s">
        <v>80</v>
      </c>
      <c r="Q221" s="269" t="s">
        <v>7</v>
      </c>
      <c r="R221" s="269" t="s">
        <v>81</v>
      </c>
      <c r="S221" s="270">
        <v>1</v>
      </c>
      <c r="T221" s="271">
        <v>-6</v>
      </c>
      <c r="U221" s="272">
        <f t="shared" si="5"/>
        <v>-6</v>
      </c>
      <c r="V221" s="273"/>
      <c r="W221" s="273"/>
      <c r="X221" s="273"/>
      <c r="Y221" s="273">
        <v>1</v>
      </c>
      <c r="Z221" s="273">
        <v>1</v>
      </c>
      <c r="AA221" s="273"/>
      <c r="AB221" s="273"/>
      <c r="AC221" s="273">
        <v>1</v>
      </c>
      <c r="AD221" s="273">
        <v>1</v>
      </c>
      <c r="AE221" s="273"/>
      <c r="AF221" s="273"/>
      <c r="AG221" s="273"/>
      <c r="AH221" s="273">
        <v>1</v>
      </c>
      <c r="AI221" s="273">
        <v>1</v>
      </c>
      <c r="AJ221" s="273"/>
      <c r="AK221" s="273"/>
      <c r="AL221" s="273">
        <v>1</v>
      </c>
      <c r="AM221" s="483">
        <v>1</v>
      </c>
      <c r="AN221" s="273"/>
      <c r="AO221" s="273"/>
      <c r="AP221" s="504"/>
      <c r="AQ221" s="273">
        <v>1</v>
      </c>
      <c r="AR221" s="273">
        <v>1</v>
      </c>
      <c r="AS221" s="273"/>
      <c r="AT221" s="273"/>
      <c r="AU221" s="504"/>
      <c r="AV221" s="273">
        <v>1</v>
      </c>
      <c r="AW221" s="273"/>
      <c r="AX221" s="273"/>
      <c r="AY221" s="504"/>
      <c r="AZ221" s="273">
        <v>1</v>
      </c>
      <c r="BA221" s="273">
        <v>1</v>
      </c>
    </row>
    <row r="222" spans="1:53" ht="97.5" hidden="1" customHeight="1">
      <c r="A222" s="264"/>
      <c r="B222" s="265">
        <v>45335</v>
      </c>
      <c r="C222" s="266" t="s">
        <v>75</v>
      </c>
      <c r="D222" s="153" t="s">
        <v>199</v>
      </c>
      <c r="E222" s="266" t="s">
        <v>6</v>
      </c>
      <c r="F222" s="266" t="s">
        <v>863</v>
      </c>
      <c r="G222" s="188" t="s">
        <v>864</v>
      </c>
      <c r="H222" s="188" t="s">
        <v>865</v>
      </c>
      <c r="I222" s="188"/>
      <c r="J222" s="267"/>
      <c r="K222" s="188"/>
      <c r="L222" s="188"/>
      <c r="M222" s="188"/>
      <c r="N222" s="268"/>
      <c r="O222" s="269"/>
      <c r="P222" s="269" t="s">
        <v>80</v>
      </c>
      <c r="Q222" s="269" t="s">
        <v>10</v>
      </c>
      <c r="R222" s="269" t="s">
        <v>81</v>
      </c>
      <c r="S222" s="270">
        <v>1</v>
      </c>
      <c r="T222" s="271"/>
      <c r="U222" s="272">
        <f t="shared" si="5"/>
        <v>0</v>
      </c>
      <c r="V222" s="273"/>
      <c r="W222" s="273"/>
      <c r="X222" s="273"/>
      <c r="Y222" s="273">
        <v>1</v>
      </c>
      <c r="Z222" s="273">
        <v>1</v>
      </c>
      <c r="AA222" s="273"/>
      <c r="AB222" s="273"/>
      <c r="AC222" s="273">
        <v>1</v>
      </c>
      <c r="AD222" s="273">
        <v>1</v>
      </c>
      <c r="AE222" s="273"/>
      <c r="AF222" s="273"/>
      <c r="AG222" s="273"/>
      <c r="AH222" s="273">
        <v>1</v>
      </c>
      <c r="AI222" s="273">
        <v>1</v>
      </c>
      <c r="AJ222" s="273"/>
      <c r="AK222" s="273"/>
      <c r="AL222" s="273">
        <v>1</v>
      </c>
      <c r="AM222" s="483">
        <v>1</v>
      </c>
      <c r="AN222" s="273"/>
      <c r="AO222" s="273"/>
      <c r="AP222" s="504"/>
      <c r="AQ222" s="273">
        <v>1</v>
      </c>
      <c r="AR222" s="273">
        <v>1</v>
      </c>
      <c r="AS222" s="273"/>
      <c r="AT222" s="273"/>
      <c r="AU222" s="504"/>
      <c r="AV222" s="273">
        <v>1</v>
      </c>
      <c r="AW222" s="273"/>
      <c r="AX222" s="273"/>
      <c r="AY222" s="504"/>
      <c r="AZ222" s="273">
        <v>1</v>
      </c>
      <c r="BA222" s="273">
        <v>1</v>
      </c>
    </row>
    <row r="223" spans="1:53" ht="97.5" hidden="1" customHeight="1">
      <c r="A223" s="264"/>
      <c r="B223" s="265">
        <v>45335</v>
      </c>
      <c r="C223" s="266" t="s">
        <v>75</v>
      </c>
      <c r="D223" s="188" t="s">
        <v>9</v>
      </c>
      <c r="E223" s="169" t="s">
        <v>6</v>
      </c>
      <c r="F223" s="266" t="s">
        <v>866</v>
      </c>
      <c r="G223" s="188" t="s">
        <v>867</v>
      </c>
      <c r="H223" s="188" t="s">
        <v>868</v>
      </c>
      <c r="I223" s="188"/>
      <c r="J223" s="267"/>
      <c r="K223" s="188"/>
      <c r="L223" s="188"/>
      <c r="M223" s="188"/>
      <c r="N223" s="268"/>
      <c r="O223" s="269"/>
      <c r="P223" s="269" t="s">
        <v>80</v>
      </c>
      <c r="Q223" s="269" t="s">
        <v>10</v>
      </c>
      <c r="R223" s="269" t="s">
        <v>81</v>
      </c>
      <c r="S223" s="270">
        <v>1</v>
      </c>
      <c r="T223" s="271"/>
      <c r="U223" s="272">
        <f t="shared" si="5"/>
        <v>0</v>
      </c>
      <c r="V223" s="273"/>
      <c r="W223" s="273"/>
      <c r="X223" s="273"/>
      <c r="Y223" s="273">
        <v>1</v>
      </c>
      <c r="Z223" s="273">
        <v>1</v>
      </c>
      <c r="AA223" s="273"/>
      <c r="AB223" s="273"/>
      <c r="AC223" s="273">
        <v>1</v>
      </c>
      <c r="AD223" s="273">
        <v>1</v>
      </c>
      <c r="AE223" s="273"/>
      <c r="AF223" s="273"/>
      <c r="AG223" s="273"/>
      <c r="AH223" s="273">
        <v>1</v>
      </c>
      <c r="AI223" s="273">
        <v>1</v>
      </c>
      <c r="AJ223" s="273"/>
      <c r="AK223" s="273"/>
      <c r="AL223" s="273">
        <v>1</v>
      </c>
      <c r="AM223" s="483">
        <v>1</v>
      </c>
      <c r="AN223" s="273"/>
      <c r="AO223" s="273"/>
      <c r="AP223" s="504"/>
      <c r="AQ223" s="273">
        <v>1</v>
      </c>
      <c r="AR223" s="273">
        <v>1</v>
      </c>
      <c r="AS223" s="273"/>
      <c r="AT223" s="273"/>
      <c r="AU223" s="504"/>
      <c r="AV223" s="273">
        <v>1</v>
      </c>
      <c r="AW223" s="273"/>
      <c r="AX223" s="273"/>
      <c r="AY223" s="504"/>
      <c r="AZ223" s="273">
        <v>1</v>
      </c>
      <c r="BA223" s="273">
        <v>1</v>
      </c>
    </row>
    <row r="224" spans="1:53" ht="97.5" hidden="1" customHeight="1">
      <c r="A224" s="264"/>
      <c r="B224" s="265">
        <v>45335</v>
      </c>
      <c r="C224" s="266" t="s">
        <v>75</v>
      </c>
      <c r="D224" s="188" t="s">
        <v>9</v>
      </c>
      <c r="E224" s="169" t="s">
        <v>6</v>
      </c>
      <c r="F224" s="266" t="s">
        <v>866</v>
      </c>
      <c r="G224" s="188" t="s">
        <v>869</v>
      </c>
      <c r="H224" s="188" t="s">
        <v>870</v>
      </c>
      <c r="I224" s="188"/>
      <c r="J224" s="267"/>
      <c r="K224" s="188"/>
      <c r="L224" s="188"/>
      <c r="M224" s="188"/>
      <c r="N224" s="268"/>
      <c r="O224" s="269"/>
      <c r="P224" s="269" t="s">
        <v>80</v>
      </c>
      <c r="Q224" s="269" t="s">
        <v>10</v>
      </c>
      <c r="R224" s="269" t="s">
        <v>81</v>
      </c>
      <c r="S224" s="270">
        <v>1</v>
      </c>
      <c r="T224" s="271"/>
      <c r="U224" s="272">
        <f t="shared" si="5"/>
        <v>0</v>
      </c>
      <c r="V224" s="273"/>
      <c r="W224" s="273"/>
      <c r="X224" s="273"/>
      <c r="Y224" s="273">
        <v>1</v>
      </c>
      <c r="Z224" s="273">
        <v>1</v>
      </c>
      <c r="AA224" s="273"/>
      <c r="AB224" s="273"/>
      <c r="AC224" s="273">
        <v>1</v>
      </c>
      <c r="AD224" s="273">
        <v>1</v>
      </c>
      <c r="AE224" s="273"/>
      <c r="AF224" s="273"/>
      <c r="AG224" s="273"/>
      <c r="AH224" s="273">
        <v>1</v>
      </c>
      <c r="AI224" s="273">
        <v>1</v>
      </c>
      <c r="AJ224" s="273"/>
      <c r="AK224" s="273"/>
      <c r="AL224" s="273">
        <v>1</v>
      </c>
      <c r="AM224" s="483">
        <v>1</v>
      </c>
      <c r="AN224" s="273"/>
      <c r="AO224" s="273"/>
      <c r="AP224" s="504"/>
      <c r="AQ224" s="273">
        <v>1</v>
      </c>
      <c r="AR224" s="273">
        <v>1</v>
      </c>
      <c r="AS224" s="273"/>
      <c r="AT224" s="273"/>
      <c r="AU224" s="504"/>
      <c r="AV224" s="273">
        <v>1</v>
      </c>
      <c r="AW224" s="273"/>
      <c r="AX224" s="273"/>
      <c r="AY224" s="504"/>
      <c r="AZ224" s="273">
        <v>1</v>
      </c>
      <c r="BA224" s="273">
        <v>1</v>
      </c>
    </row>
    <row r="225" spans="1:53" ht="97.5" hidden="1" customHeight="1">
      <c r="A225" s="264"/>
      <c r="B225" s="265">
        <v>45335</v>
      </c>
      <c r="C225" s="266" t="s">
        <v>75</v>
      </c>
      <c r="D225" s="188" t="s">
        <v>76</v>
      </c>
      <c r="E225" s="266" t="s">
        <v>6</v>
      </c>
      <c r="F225" s="266"/>
      <c r="G225" s="188" t="s">
        <v>871</v>
      </c>
      <c r="H225" s="188"/>
      <c r="I225" s="188"/>
      <c r="J225" s="267"/>
      <c r="K225" s="188"/>
      <c r="L225" s="188"/>
      <c r="M225" s="188"/>
      <c r="N225" s="268"/>
      <c r="O225" s="269"/>
      <c r="P225" s="269" t="s">
        <v>413</v>
      </c>
      <c r="Q225" s="269" t="s">
        <v>10</v>
      </c>
      <c r="R225" s="269" t="s">
        <v>81</v>
      </c>
      <c r="S225" s="270">
        <v>1</v>
      </c>
      <c r="T225" s="271">
        <v>4</v>
      </c>
      <c r="U225" s="272">
        <f t="shared" si="5"/>
        <v>4</v>
      </c>
      <c r="V225" s="273"/>
      <c r="W225" s="273"/>
      <c r="X225" s="273"/>
      <c r="Y225" s="273">
        <v>1</v>
      </c>
      <c r="Z225" s="273">
        <v>1</v>
      </c>
      <c r="AA225" s="273"/>
      <c r="AB225" s="273"/>
      <c r="AC225" s="273">
        <v>1</v>
      </c>
      <c r="AD225" s="273">
        <v>1</v>
      </c>
      <c r="AE225" s="273"/>
      <c r="AF225" s="273"/>
      <c r="AG225" s="273"/>
      <c r="AH225" s="273">
        <v>1</v>
      </c>
      <c r="AI225" s="273">
        <v>1</v>
      </c>
      <c r="AJ225" s="273"/>
      <c r="AK225" s="273"/>
      <c r="AL225" s="273">
        <v>1</v>
      </c>
      <c r="AM225" s="483">
        <v>1</v>
      </c>
      <c r="AN225" s="273"/>
      <c r="AO225" s="273"/>
      <c r="AP225" s="504"/>
      <c r="AQ225" s="273">
        <v>1</v>
      </c>
      <c r="AR225" s="273">
        <v>1</v>
      </c>
      <c r="AS225" s="273"/>
      <c r="AT225" s="273"/>
      <c r="AU225" s="504"/>
      <c r="AV225" s="273">
        <v>1</v>
      </c>
      <c r="AW225" s="273"/>
      <c r="AX225" s="273"/>
      <c r="AY225" s="504"/>
      <c r="AZ225" s="273">
        <v>1</v>
      </c>
      <c r="BA225" s="273">
        <v>1</v>
      </c>
    </row>
    <row r="226" spans="1:53" ht="97.5" hidden="1" customHeight="1">
      <c r="A226" s="264"/>
      <c r="B226" s="265">
        <v>45335</v>
      </c>
      <c r="C226" s="266" t="s">
        <v>75</v>
      </c>
      <c r="D226" s="188" t="s">
        <v>9</v>
      </c>
      <c r="E226" s="169" t="s">
        <v>6</v>
      </c>
      <c r="F226" s="266" t="s">
        <v>872</v>
      </c>
      <c r="G226" s="188" t="s">
        <v>873</v>
      </c>
      <c r="H226" s="188" t="s">
        <v>874</v>
      </c>
      <c r="I226" s="188"/>
      <c r="J226" s="267"/>
      <c r="K226" s="188"/>
      <c r="L226" s="188"/>
      <c r="M226" s="188"/>
      <c r="N226" s="268"/>
      <c r="O226" s="269"/>
      <c r="P226" s="269" t="s">
        <v>80</v>
      </c>
      <c r="Q226" s="269" t="s">
        <v>10</v>
      </c>
      <c r="R226" s="269" t="s">
        <v>81</v>
      </c>
      <c r="S226" s="270">
        <v>1</v>
      </c>
      <c r="T226" s="271"/>
      <c r="U226" s="272">
        <f t="shared" si="5"/>
        <v>0</v>
      </c>
      <c r="V226" s="273"/>
      <c r="W226" s="273"/>
      <c r="X226" s="273"/>
      <c r="Y226" s="273">
        <v>1</v>
      </c>
      <c r="Z226" s="273">
        <v>1</v>
      </c>
      <c r="AA226" s="273"/>
      <c r="AB226" s="273"/>
      <c r="AC226" s="273">
        <v>1</v>
      </c>
      <c r="AD226" s="273">
        <v>1</v>
      </c>
      <c r="AE226" s="273"/>
      <c r="AF226" s="273"/>
      <c r="AG226" s="273"/>
      <c r="AH226" s="273">
        <v>1</v>
      </c>
      <c r="AI226" s="273">
        <v>1</v>
      </c>
      <c r="AJ226" s="273"/>
      <c r="AK226" s="273"/>
      <c r="AL226" s="273">
        <v>1</v>
      </c>
      <c r="AM226" s="483">
        <v>1</v>
      </c>
      <c r="AN226" s="273"/>
      <c r="AO226" s="273"/>
      <c r="AP226" s="504"/>
      <c r="AQ226" s="273">
        <v>1</v>
      </c>
      <c r="AR226" s="273">
        <v>1</v>
      </c>
      <c r="AS226" s="273"/>
      <c r="AT226" s="273"/>
      <c r="AU226" s="504"/>
      <c r="AV226" s="273">
        <v>1</v>
      </c>
      <c r="AW226" s="273"/>
      <c r="AX226" s="273"/>
      <c r="AY226" s="504"/>
      <c r="AZ226" s="273">
        <v>1</v>
      </c>
      <c r="BA226" s="273">
        <v>1</v>
      </c>
    </row>
    <row r="227" spans="1:53" ht="97.5" hidden="1" customHeight="1">
      <c r="A227" s="184"/>
      <c r="B227" s="256">
        <v>45368</v>
      </c>
      <c r="C227" s="266" t="s">
        <v>75</v>
      </c>
      <c r="D227" s="153" t="s">
        <v>199</v>
      </c>
      <c r="E227" s="177" t="s">
        <v>6</v>
      </c>
      <c r="F227" s="177" t="s">
        <v>863</v>
      </c>
      <c r="G227" s="153"/>
      <c r="H227" s="153" t="s">
        <v>875</v>
      </c>
      <c r="I227" s="153"/>
      <c r="J227" s="288"/>
      <c r="K227" s="153"/>
      <c r="L227" s="288" t="s">
        <v>876</v>
      </c>
      <c r="M227" s="153"/>
      <c r="N227" s="228"/>
      <c r="O227" s="166"/>
      <c r="P227" s="166" t="s">
        <v>413</v>
      </c>
      <c r="Q227" s="166" t="s">
        <v>10</v>
      </c>
      <c r="R227" s="166" t="s">
        <v>830</v>
      </c>
      <c r="S227" s="178">
        <v>0.2</v>
      </c>
      <c r="T227" s="158">
        <v>-5</v>
      </c>
      <c r="U227" s="229">
        <f t="shared" si="5"/>
        <v>-1</v>
      </c>
      <c r="V227" s="208"/>
      <c r="W227" s="208"/>
      <c r="X227" s="208"/>
      <c r="Y227" s="208">
        <v>1</v>
      </c>
      <c r="Z227" s="208">
        <v>1</v>
      </c>
      <c r="AA227" s="208"/>
      <c r="AB227" s="208"/>
      <c r="AC227" s="208">
        <v>1</v>
      </c>
      <c r="AD227" s="208">
        <v>1</v>
      </c>
      <c r="AE227" s="208"/>
      <c r="AF227" s="208"/>
      <c r="AG227" s="208"/>
      <c r="AH227" s="208">
        <v>1</v>
      </c>
      <c r="AI227" s="208">
        <v>1</v>
      </c>
      <c r="AJ227" s="208"/>
      <c r="AK227" s="208"/>
      <c r="AL227" s="208">
        <v>1</v>
      </c>
      <c r="AM227" s="487">
        <v>1</v>
      </c>
      <c r="AN227" s="208"/>
      <c r="AO227" s="208"/>
      <c r="AP227" s="508"/>
      <c r="AQ227" s="208">
        <v>1</v>
      </c>
      <c r="AR227" s="208">
        <v>1</v>
      </c>
      <c r="AS227" s="208"/>
      <c r="AT227" s="208"/>
      <c r="AU227" s="508"/>
      <c r="AV227" s="208">
        <v>1</v>
      </c>
      <c r="AW227" s="208"/>
      <c r="AX227" s="208"/>
      <c r="AY227" s="508"/>
      <c r="AZ227" s="208">
        <v>1</v>
      </c>
      <c r="BA227" s="208">
        <v>1</v>
      </c>
    </row>
    <row r="228" spans="1:53" ht="97.5" hidden="1" customHeight="1">
      <c r="A228" s="184"/>
      <c r="B228" s="256">
        <v>45368</v>
      </c>
      <c r="C228" s="266" t="s">
        <v>75</v>
      </c>
      <c r="D228" s="153" t="s">
        <v>199</v>
      </c>
      <c r="E228" s="177" t="s">
        <v>6</v>
      </c>
      <c r="F228" s="177" t="s">
        <v>863</v>
      </c>
      <c r="G228" s="153"/>
      <c r="H228" s="228" t="s">
        <v>877</v>
      </c>
      <c r="I228" s="153"/>
      <c r="J228" s="288"/>
      <c r="K228" s="153"/>
      <c r="L228" s="288" t="s">
        <v>876</v>
      </c>
      <c r="M228" s="153"/>
      <c r="N228" s="228"/>
      <c r="O228" s="166"/>
      <c r="P228" s="166" t="s">
        <v>413</v>
      </c>
      <c r="Q228" s="166" t="s">
        <v>10</v>
      </c>
      <c r="R228" s="166" t="s">
        <v>81</v>
      </c>
      <c r="S228" s="178">
        <v>1</v>
      </c>
      <c r="T228" s="298">
        <v>0.5</v>
      </c>
      <c r="U228" s="229">
        <f t="shared" si="5"/>
        <v>0.5</v>
      </c>
      <c r="V228" s="208"/>
      <c r="W228" s="208"/>
      <c r="X228" s="208"/>
      <c r="Y228" s="208">
        <v>1</v>
      </c>
      <c r="Z228" s="208">
        <v>1</v>
      </c>
      <c r="AA228" s="208"/>
      <c r="AB228" s="208"/>
      <c r="AC228" s="208">
        <v>1</v>
      </c>
      <c r="AD228" s="208">
        <v>1</v>
      </c>
      <c r="AE228" s="208"/>
      <c r="AF228" s="208"/>
      <c r="AG228" s="208"/>
      <c r="AH228" s="208">
        <v>1</v>
      </c>
      <c r="AI228" s="208">
        <v>1</v>
      </c>
      <c r="AJ228" s="208"/>
      <c r="AK228" s="208"/>
      <c r="AL228" s="208">
        <v>1</v>
      </c>
      <c r="AM228" s="487">
        <v>1</v>
      </c>
      <c r="AN228" s="208"/>
      <c r="AO228" s="208"/>
      <c r="AP228" s="508"/>
      <c r="AQ228" s="208">
        <v>1</v>
      </c>
      <c r="AR228" s="208">
        <v>1</v>
      </c>
      <c r="AS228" s="208"/>
      <c r="AT228" s="208"/>
      <c r="AU228" s="508"/>
      <c r="AV228" s="208">
        <v>1</v>
      </c>
      <c r="AW228" s="208"/>
      <c r="AX228" s="208"/>
      <c r="AY228" s="508"/>
      <c r="AZ228" s="208">
        <v>1</v>
      </c>
      <c r="BA228" s="208">
        <v>1</v>
      </c>
    </row>
    <row r="229" spans="1:53" ht="97.5" hidden="1" customHeight="1">
      <c r="A229" s="184"/>
      <c r="B229" s="256">
        <v>45368</v>
      </c>
      <c r="C229" s="266" t="s">
        <v>75</v>
      </c>
      <c r="D229" s="153" t="s">
        <v>76</v>
      </c>
      <c r="E229" s="177" t="s">
        <v>6</v>
      </c>
      <c r="F229" s="177"/>
      <c r="G229" s="153"/>
      <c r="H229" s="228" t="s">
        <v>878</v>
      </c>
      <c r="I229" s="153"/>
      <c r="J229" s="288" t="s">
        <v>879</v>
      </c>
      <c r="K229" s="153"/>
      <c r="L229" s="153" t="s">
        <v>880</v>
      </c>
      <c r="M229" s="153"/>
      <c r="N229" s="228"/>
      <c r="O229" s="166"/>
      <c r="P229" s="166" t="s">
        <v>413</v>
      </c>
      <c r="Q229" s="166" t="s">
        <v>10</v>
      </c>
      <c r="R229" s="166" t="s">
        <v>881</v>
      </c>
      <c r="S229" s="178">
        <v>1</v>
      </c>
      <c r="T229" s="158">
        <f>-1</f>
        <v>-1</v>
      </c>
      <c r="U229" s="229">
        <f t="shared" si="5"/>
        <v>-1</v>
      </c>
      <c r="V229" s="208"/>
      <c r="W229" s="208"/>
      <c r="X229" s="208"/>
      <c r="Y229" s="208">
        <v>1</v>
      </c>
      <c r="Z229" s="208">
        <v>1</v>
      </c>
      <c r="AA229" s="208"/>
      <c r="AB229" s="208"/>
      <c r="AC229" s="208">
        <v>1</v>
      </c>
      <c r="AD229" s="208">
        <v>1</v>
      </c>
      <c r="AE229" s="208"/>
      <c r="AF229" s="208"/>
      <c r="AG229" s="208"/>
      <c r="AH229" s="208">
        <v>1</v>
      </c>
      <c r="AI229" s="208">
        <v>1</v>
      </c>
      <c r="AJ229" s="208"/>
      <c r="AK229" s="208"/>
      <c r="AL229" s="208">
        <v>1</v>
      </c>
      <c r="AM229" s="487">
        <v>1</v>
      </c>
      <c r="AN229" s="208"/>
      <c r="AO229" s="208"/>
      <c r="AP229" s="508"/>
      <c r="AQ229" s="208">
        <v>1</v>
      </c>
      <c r="AR229" s="208">
        <v>1</v>
      </c>
      <c r="AS229" s="208"/>
      <c r="AT229" s="208"/>
      <c r="AU229" s="508"/>
      <c r="AV229" s="208">
        <v>1</v>
      </c>
      <c r="AW229" s="208"/>
      <c r="AX229" s="208"/>
      <c r="AY229" s="508"/>
      <c r="AZ229" s="208">
        <v>1</v>
      </c>
      <c r="BA229" s="208">
        <v>1</v>
      </c>
    </row>
    <row r="230" spans="1:53" ht="97.5" hidden="1" customHeight="1">
      <c r="A230" s="184"/>
      <c r="B230" s="256">
        <v>45368</v>
      </c>
      <c r="C230" s="266" t="s">
        <v>75</v>
      </c>
      <c r="D230" s="153" t="s">
        <v>76</v>
      </c>
      <c r="E230" s="177" t="s">
        <v>6</v>
      </c>
      <c r="F230" s="177" t="s">
        <v>502</v>
      </c>
      <c r="G230" s="153"/>
      <c r="H230" s="228" t="s">
        <v>836</v>
      </c>
      <c r="I230" s="153"/>
      <c r="J230" s="288" t="s">
        <v>879</v>
      </c>
      <c r="K230" s="153"/>
      <c r="L230" s="153" t="s">
        <v>880</v>
      </c>
      <c r="M230" s="153"/>
      <c r="N230" s="228"/>
      <c r="O230" s="166"/>
      <c r="P230" s="166" t="s">
        <v>413</v>
      </c>
      <c r="Q230" s="166" t="s">
        <v>10</v>
      </c>
      <c r="R230" s="166" t="s">
        <v>881</v>
      </c>
      <c r="S230" s="178">
        <v>1</v>
      </c>
      <c r="T230" s="158">
        <v>-8.1999999999999993</v>
      </c>
      <c r="U230" s="229">
        <f t="shared" si="5"/>
        <v>-8.1999999999999993</v>
      </c>
      <c r="V230" s="208"/>
      <c r="W230" s="208"/>
      <c r="X230" s="208"/>
      <c r="Y230" s="208">
        <v>1</v>
      </c>
      <c r="Z230" s="208">
        <v>1</v>
      </c>
      <c r="AA230" s="208"/>
      <c r="AB230" s="208"/>
      <c r="AC230" s="208">
        <v>1</v>
      </c>
      <c r="AD230" s="208">
        <v>1</v>
      </c>
      <c r="AE230" s="208"/>
      <c r="AF230" s="208"/>
      <c r="AG230" s="208"/>
      <c r="AH230" s="208">
        <v>1</v>
      </c>
      <c r="AI230" s="208">
        <v>1</v>
      </c>
      <c r="AJ230" s="208"/>
      <c r="AK230" s="208"/>
      <c r="AL230" s="208">
        <v>1</v>
      </c>
      <c r="AM230" s="487">
        <v>1</v>
      </c>
      <c r="AN230" s="208"/>
      <c r="AO230" s="208"/>
      <c r="AP230" s="508"/>
      <c r="AQ230" s="208">
        <v>1</v>
      </c>
      <c r="AR230" s="208">
        <v>1</v>
      </c>
      <c r="AS230" s="208"/>
      <c r="AT230" s="208"/>
      <c r="AU230" s="508"/>
      <c r="AV230" s="208">
        <v>1</v>
      </c>
      <c r="AW230" s="208"/>
      <c r="AX230" s="208"/>
      <c r="AY230" s="508"/>
      <c r="AZ230" s="208">
        <v>1</v>
      </c>
      <c r="BA230" s="208">
        <v>1</v>
      </c>
    </row>
    <row r="231" spans="1:53" ht="97.5" hidden="1" customHeight="1">
      <c r="A231" s="184"/>
      <c r="B231" s="256">
        <v>45544</v>
      </c>
      <c r="C231" s="266" t="s">
        <v>75</v>
      </c>
      <c r="D231" s="153" t="s">
        <v>76</v>
      </c>
      <c r="E231" s="177" t="s">
        <v>6</v>
      </c>
      <c r="F231" s="177" t="s">
        <v>502</v>
      </c>
      <c r="G231" s="153"/>
      <c r="H231" s="228" t="s">
        <v>882</v>
      </c>
      <c r="I231" s="153"/>
      <c r="J231" s="288" t="s">
        <v>879</v>
      </c>
      <c r="K231" s="153"/>
      <c r="L231" s="153" t="s">
        <v>880</v>
      </c>
      <c r="M231" s="153"/>
      <c r="N231" s="228"/>
      <c r="O231" s="166"/>
      <c r="P231" s="166" t="s">
        <v>413</v>
      </c>
      <c r="Q231" s="166" t="s">
        <v>10</v>
      </c>
      <c r="R231" s="166" t="s">
        <v>881</v>
      </c>
      <c r="S231" s="178">
        <v>1</v>
      </c>
      <c r="T231" s="158">
        <v>2.84</v>
      </c>
      <c r="U231" s="229">
        <f t="shared" si="5"/>
        <v>2.84</v>
      </c>
      <c r="V231" s="208"/>
      <c r="W231" s="208"/>
      <c r="X231" s="208"/>
      <c r="Y231" s="208">
        <v>1</v>
      </c>
      <c r="Z231" s="208">
        <v>1</v>
      </c>
      <c r="AA231" s="208"/>
      <c r="AB231" s="208"/>
      <c r="AC231" s="208">
        <v>1</v>
      </c>
      <c r="AD231" s="208">
        <v>1</v>
      </c>
      <c r="AE231" s="208"/>
      <c r="AF231" s="208"/>
      <c r="AG231" s="208"/>
      <c r="AH231" s="208">
        <v>1</v>
      </c>
      <c r="AI231" s="208">
        <v>1</v>
      </c>
      <c r="AJ231" s="208"/>
      <c r="AK231" s="208"/>
      <c r="AL231" s="208">
        <v>1</v>
      </c>
      <c r="AM231" s="487">
        <v>1</v>
      </c>
      <c r="AN231" s="208"/>
      <c r="AO231" s="208"/>
      <c r="AP231" s="508"/>
      <c r="AQ231" s="208">
        <v>1</v>
      </c>
      <c r="AR231" s="208">
        <v>1</v>
      </c>
      <c r="AS231" s="208"/>
      <c r="AT231" s="208"/>
      <c r="AU231" s="508"/>
      <c r="AV231" s="208">
        <v>1</v>
      </c>
      <c r="AW231" s="208"/>
      <c r="AX231" s="208"/>
      <c r="AY231" s="508"/>
      <c r="AZ231" s="208">
        <v>1</v>
      </c>
      <c r="BA231" s="208">
        <v>1</v>
      </c>
    </row>
    <row r="232" spans="1:53" ht="97.5" hidden="1" customHeight="1">
      <c r="A232" s="184"/>
      <c r="B232" s="256">
        <v>45368</v>
      </c>
      <c r="C232" s="266" t="s">
        <v>75</v>
      </c>
      <c r="D232" s="153" t="s">
        <v>76</v>
      </c>
      <c r="E232" s="177" t="s">
        <v>6</v>
      </c>
      <c r="F232" s="177" t="s">
        <v>502</v>
      </c>
      <c r="G232" s="153"/>
      <c r="H232" s="228" t="s">
        <v>883</v>
      </c>
      <c r="I232" s="153"/>
      <c r="J232" s="288" t="s">
        <v>879</v>
      </c>
      <c r="K232" s="153"/>
      <c r="L232" s="153" t="s">
        <v>880</v>
      </c>
      <c r="M232" s="153"/>
      <c r="N232" s="228"/>
      <c r="O232" s="166"/>
      <c r="P232" s="166" t="s">
        <v>413</v>
      </c>
      <c r="Q232" s="166" t="s">
        <v>10</v>
      </c>
      <c r="R232" s="166" t="s">
        <v>881</v>
      </c>
      <c r="S232" s="178">
        <v>1</v>
      </c>
      <c r="T232" s="158">
        <v>-12.33</v>
      </c>
      <c r="U232" s="229">
        <f t="shared" si="5"/>
        <v>-12.33</v>
      </c>
      <c r="V232" s="208"/>
      <c r="W232" s="208"/>
      <c r="X232" s="208"/>
      <c r="Y232" s="208">
        <v>1</v>
      </c>
      <c r="Z232" s="208">
        <v>1</v>
      </c>
      <c r="AA232" s="208"/>
      <c r="AB232" s="208"/>
      <c r="AC232" s="208">
        <v>1</v>
      </c>
      <c r="AD232" s="208">
        <v>1</v>
      </c>
      <c r="AE232" s="208"/>
      <c r="AF232" s="208"/>
      <c r="AG232" s="208"/>
      <c r="AH232" s="208">
        <v>1</v>
      </c>
      <c r="AI232" s="208">
        <v>1</v>
      </c>
      <c r="AJ232" s="208"/>
      <c r="AK232" s="208"/>
      <c r="AL232" s="208">
        <v>1</v>
      </c>
      <c r="AM232" s="487">
        <v>1</v>
      </c>
      <c r="AN232" s="208"/>
      <c r="AO232" s="208"/>
      <c r="AP232" s="508"/>
      <c r="AQ232" s="208">
        <v>1</v>
      </c>
      <c r="AR232" s="208">
        <v>1</v>
      </c>
      <c r="AS232" s="208"/>
      <c r="AT232" s="208"/>
      <c r="AU232" s="508"/>
      <c r="AV232" s="208">
        <v>1</v>
      </c>
      <c r="AW232" s="208"/>
      <c r="AX232" s="208"/>
      <c r="AY232" s="508"/>
      <c r="AZ232" s="208">
        <v>1</v>
      </c>
      <c r="BA232" s="208">
        <v>1</v>
      </c>
    </row>
    <row r="233" spans="1:53" ht="97.5" hidden="1" customHeight="1">
      <c r="A233" s="184"/>
      <c r="B233" s="256">
        <v>45368</v>
      </c>
      <c r="C233" s="266" t="s">
        <v>75</v>
      </c>
      <c r="D233" s="153" t="s">
        <v>76</v>
      </c>
      <c r="E233" s="177" t="s">
        <v>6</v>
      </c>
      <c r="F233" s="266" t="s">
        <v>410</v>
      </c>
      <c r="G233" s="153"/>
      <c r="H233" s="153" t="s">
        <v>884</v>
      </c>
      <c r="I233" s="153"/>
      <c r="J233" s="288"/>
      <c r="K233" s="153"/>
      <c r="L233" s="153"/>
      <c r="M233" s="153"/>
      <c r="N233" s="228"/>
      <c r="O233" s="166"/>
      <c r="P233" s="166" t="s">
        <v>413</v>
      </c>
      <c r="Q233" s="166" t="s">
        <v>10</v>
      </c>
      <c r="R233" s="166" t="s">
        <v>81</v>
      </c>
      <c r="S233" s="178">
        <v>1</v>
      </c>
      <c r="T233" s="158"/>
      <c r="U233" s="229">
        <f t="shared" si="5"/>
        <v>0</v>
      </c>
      <c r="V233" s="208"/>
      <c r="W233" s="208"/>
      <c r="X233" s="208"/>
      <c r="Y233" s="208">
        <v>1</v>
      </c>
      <c r="Z233" s="208">
        <v>1</v>
      </c>
      <c r="AA233" s="208"/>
      <c r="AB233" s="208"/>
      <c r="AC233" s="208">
        <v>1</v>
      </c>
      <c r="AD233" s="208">
        <v>1</v>
      </c>
      <c r="AE233" s="208"/>
      <c r="AF233" s="208"/>
      <c r="AG233" s="208"/>
      <c r="AH233" s="208">
        <v>1</v>
      </c>
      <c r="AI233" s="208">
        <v>1</v>
      </c>
      <c r="AJ233" s="208"/>
      <c r="AK233" s="208"/>
      <c r="AL233" s="208">
        <v>1</v>
      </c>
      <c r="AM233" s="487">
        <v>1</v>
      </c>
      <c r="AN233" s="208"/>
      <c r="AO233" s="208"/>
      <c r="AP233" s="508"/>
      <c r="AQ233" s="208">
        <v>1</v>
      </c>
      <c r="AR233" s="208">
        <v>1</v>
      </c>
      <c r="AS233" s="208"/>
      <c r="AT233" s="208"/>
      <c r="AU233" s="508"/>
      <c r="AV233" s="208">
        <v>1</v>
      </c>
      <c r="AW233" s="208"/>
      <c r="AX233" s="208"/>
      <c r="AY233" s="508"/>
      <c r="AZ233" s="208">
        <v>1</v>
      </c>
      <c r="BA233" s="208">
        <v>1</v>
      </c>
    </row>
    <row r="234" spans="1:53" ht="97.5" hidden="1" customHeight="1">
      <c r="A234" s="264"/>
      <c r="B234" s="265">
        <v>45368</v>
      </c>
      <c r="C234" s="266" t="s">
        <v>75</v>
      </c>
      <c r="D234" s="188" t="s">
        <v>76</v>
      </c>
      <c r="E234" s="266" t="s">
        <v>6</v>
      </c>
      <c r="F234" s="266" t="s">
        <v>410</v>
      </c>
      <c r="G234" s="188"/>
      <c r="H234" s="188" t="s">
        <v>885</v>
      </c>
      <c r="I234" s="188"/>
      <c r="J234" s="267"/>
      <c r="K234" s="188"/>
      <c r="L234" s="188"/>
      <c r="M234" s="188"/>
      <c r="N234" s="268"/>
      <c r="O234" s="269"/>
      <c r="P234" s="269" t="s">
        <v>413</v>
      </c>
      <c r="Q234" s="269" t="s">
        <v>10</v>
      </c>
      <c r="R234" s="269" t="s">
        <v>81</v>
      </c>
      <c r="S234" s="270">
        <v>1</v>
      </c>
      <c r="T234" s="271">
        <v>-7.5</v>
      </c>
      <c r="U234" s="272">
        <f t="shared" si="5"/>
        <v>-7.5</v>
      </c>
      <c r="V234" s="273"/>
      <c r="W234" s="273"/>
      <c r="X234" s="273"/>
      <c r="Y234" s="273">
        <v>1</v>
      </c>
      <c r="Z234" s="273">
        <v>1</v>
      </c>
      <c r="AA234" s="273"/>
      <c r="AB234" s="273"/>
      <c r="AC234" s="273">
        <v>1</v>
      </c>
      <c r="AD234" s="273">
        <v>1</v>
      </c>
      <c r="AE234" s="273"/>
      <c r="AF234" s="273"/>
      <c r="AG234" s="273"/>
      <c r="AH234" s="273">
        <v>1</v>
      </c>
      <c r="AI234" s="273">
        <v>1</v>
      </c>
      <c r="AJ234" s="273"/>
      <c r="AK234" s="273"/>
      <c r="AL234" s="273">
        <v>1</v>
      </c>
      <c r="AM234" s="483">
        <v>1</v>
      </c>
      <c r="AN234" s="273"/>
      <c r="AO234" s="273"/>
      <c r="AP234" s="504"/>
      <c r="AQ234" s="273">
        <v>1</v>
      </c>
      <c r="AR234" s="273">
        <v>1</v>
      </c>
      <c r="AS234" s="273"/>
      <c r="AT234" s="273"/>
      <c r="AU234" s="504"/>
      <c r="AV234" s="273">
        <v>1</v>
      </c>
      <c r="AW234" s="273"/>
      <c r="AX234" s="273"/>
      <c r="AY234" s="504"/>
      <c r="AZ234" s="273">
        <v>1</v>
      </c>
      <c r="BA234" s="273">
        <v>1</v>
      </c>
    </row>
    <row r="235" spans="1:53" ht="97.5" hidden="1" customHeight="1">
      <c r="A235" s="289"/>
      <c r="B235" s="290">
        <v>45368</v>
      </c>
      <c r="C235" s="266" t="s">
        <v>75</v>
      </c>
      <c r="D235" s="188" t="s">
        <v>16</v>
      </c>
      <c r="E235" s="291" t="s">
        <v>6</v>
      </c>
      <c r="F235" s="291" t="s">
        <v>410</v>
      </c>
      <c r="G235" s="293" t="s">
        <v>886</v>
      </c>
      <c r="H235" s="293" t="s">
        <v>887</v>
      </c>
      <c r="I235" s="293"/>
      <c r="J235" s="292"/>
      <c r="K235" s="293"/>
      <c r="L235" s="293"/>
      <c r="M235" s="293"/>
      <c r="N235" s="247">
        <v>14</v>
      </c>
      <c r="O235" s="262"/>
      <c r="P235" s="262" t="s">
        <v>80</v>
      </c>
      <c r="Q235" s="262" t="s">
        <v>10</v>
      </c>
      <c r="R235" s="262" t="s">
        <v>471</v>
      </c>
      <c r="S235" s="294">
        <v>1</v>
      </c>
      <c r="T235" s="295">
        <v>-2</v>
      </c>
      <c r="U235" s="296">
        <f t="shared" si="5"/>
        <v>-2</v>
      </c>
      <c r="V235" s="297"/>
      <c r="W235" s="297"/>
      <c r="X235" s="297"/>
      <c r="Y235" s="297">
        <v>1</v>
      </c>
      <c r="Z235" s="297">
        <v>1</v>
      </c>
      <c r="AA235" s="297"/>
      <c r="AB235" s="297"/>
      <c r="AC235" s="297">
        <v>1</v>
      </c>
      <c r="AD235" s="297">
        <v>1</v>
      </c>
      <c r="AE235" s="297"/>
      <c r="AF235" s="297"/>
      <c r="AG235" s="297"/>
      <c r="AH235" s="297">
        <v>1</v>
      </c>
      <c r="AI235" s="297">
        <v>1</v>
      </c>
      <c r="AJ235" s="297"/>
      <c r="AK235" s="297"/>
      <c r="AL235" s="297">
        <v>1</v>
      </c>
      <c r="AM235" s="486">
        <v>1</v>
      </c>
      <c r="AN235" s="297"/>
      <c r="AO235" s="297"/>
      <c r="AP235" s="506"/>
      <c r="AQ235" s="297">
        <v>1</v>
      </c>
      <c r="AR235" s="297">
        <v>1</v>
      </c>
      <c r="AS235" s="297"/>
      <c r="AT235" s="297"/>
      <c r="AU235" s="506"/>
      <c r="AV235" s="297">
        <v>1</v>
      </c>
      <c r="AW235" s="297"/>
      <c r="AX235" s="297"/>
      <c r="AY235" s="506"/>
      <c r="AZ235" s="297">
        <v>1</v>
      </c>
      <c r="BA235" s="297">
        <v>1</v>
      </c>
    </row>
    <row r="236" spans="1:53" s="391" customFormat="1" ht="29.25" customHeight="1">
      <c r="A236" s="182"/>
      <c r="B236" s="253">
        <v>46069</v>
      </c>
      <c r="C236" s="220" t="s">
        <v>75</v>
      </c>
      <c r="D236" s="462" t="s">
        <v>213</v>
      </c>
      <c r="E236" s="220" t="s">
        <v>6</v>
      </c>
      <c r="F236" s="220"/>
      <c r="G236" s="185" t="s">
        <v>888</v>
      </c>
      <c r="H236" s="462" t="s">
        <v>889</v>
      </c>
      <c r="I236" s="462" t="s">
        <v>890</v>
      </c>
      <c r="J236" s="465"/>
      <c r="K236" s="462"/>
      <c r="L236" s="462"/>
      <c r="M236" s="462"/>
      <c r="N236" s="462"/>
      <c r="O236" s="186"/>
      <c r="P236" s="186" t="s">
        <v>355</v>
      </c>
      <c r="Q236" s="186" t="s">
        <v>4</v>
      </c>
      <c r="R236" s="186" t="s">
        <v>81</v>
      </c>
      <c r="S236" s="176">
        <v>1</v>
      </c>
      <c r="T236" s="157">
        <v>-2.7</v>
      </c>
      <c r="U236" s="173">
        <f t="shared" si="5"/>
        <v>-2.7</v>
      </c>
      <c r="V236" s="273"/>
      <c r="W236" s="273"/>
      <c r="X236" s="349"/>
      <c r="Y236" s="273"/>
      <c r="Z236" s="273"/>
      <c r="AA236" s="274"/>
      <c r="AB236" s="274"/>
      <c r="AC236" s="274"/>
      <c r="AD236" s="274"/>
      <c r="AE236" s="274"/>
      <c r="AF236" s="274"/>
      <c r="AG236" s="274"/>
      <c r="AH236" s="274"/>
      <c r="AI236" s="274"/>
      <c r="AJ236" s="274"/>
      <c r="AK236" s="274"/>
      <c r="AL236" s="274"/>
      <c r="AM236" s="274"/>
      <c r="AN236" s="332"/>
      <c r="AO236" s="332"/>
      <c r="AP236" s="194"/>
      <c r="AQ236" s="332">
        <v>1</v>
      </c>
      <c r="AR236" s="332">
        <v>1</v>
      </c>
      <c r="AS236" s="332"/>
      <c r="AT236" s="332">
        <v>1</v>
      </c>
      <c r="AU236" s="194">
        <v>1</v>
      </c>
      <c r="AV236" s="332">
        <v>1</v>
      </c>
      <c r="AW236" s="332"/>
      <c r="AX236" s="332"/>
      <c r="AY236" s="194">
        <v>1</v>
      </c>
      <c r="AZ236" s="332">
        <v>1</v>
      </c>
      <c r="BA236" s="332">
        <v>1</v>
      </c>
    </row>
    <row r="237" spans="1:53" ht="97.5" hidden="1" customHeight="1">
      <c r="A237" s="264"/>
      <c r="B237" s="265">
        <v>45368</v>
      </c>
      <c r="C237" s="266" t="s">
        <v>75</v>
      </c>
      <c r="D237" s="188" t="s">
        <v>76</v>
      </c>
      <c r="E237" s="266" t="s">
        <v>6</v>
      </c>
      <c r="F237" s="266" t="s">
        <v>410</v>
      </c>
      <c r="G237" s="188"/>
      <c r="H237" s="188" t="s">
        <v>891</v>
      </c>
      <c r="I237" s="188"/>
      <c r="J237" s="267"/>
      <c r="K237" s="188"/>
      <c r="L237" s="188"/>
      <c r="M237" s="188"/>
      <c r="N237" s="268"/>
      <c r="O237" s="269"/>
      <c r="P237" s="269" t="s">
        <v>413</v>
      </c>
      <c r="Q237" s="269" t="s">
        <v>10</v>
      </c>
      <c r="R237" s="269" t="s">
        <v>81</v>
      </c>
      <c r="S237" s="270">
        <v>1</v>
      </c>
      <c r="T237" s="271"/>
      <c r="U237" s="272">
        <f t="shared" si="5"/>
        <v>0</v>
      </c>
      <c r="V237" s="273"/>
      <c r="W237" s="273"/>
      <c r="X237" s="273"/>
      <c r="Y237" s="273">
        <v>1</v>
      </c>
      <c r="Z237" s="273">
        <v>1</v>
      </c>
      <c r="AA237" s="273"/>
      <c r="AB237" s="273"/>
      <c r="AC237" s="273">
        <v>1</v>
      </c>
      <c r="AD237" s="273">
        <v>1</v>
      </c>
      <c r="AE237" s="273"/>
      <c r="AF237" s="273"/>
      <c r="AG237" s="273"/>
      <c r="AH237" s="273">
        <v>1</v>
      </c>
      <c r="AI237" s="273">
        <v>1</v>
      </c>
      <c r="AJ237" s="273"/>
      <c r="AK237" s="273"/>
      <c r="AL237" s="273">
        <v>1</v>
      </c>
      <c r="AM237" s="483">
        <v>1</v>
      </c>
      <c r="AN237" s="273"/>
      <c r="AO237" s="273"/>
      <c r="AP237" s="504"/>
      <c r="AQ237" s="273">
        <v>1</v>
      </c>
      <c r="AR237" s="273">
        <v>1</v>
      </c>
      <c r="AS237" s="273"/>
      <c r="AT237" s="273"/>
      <c r="AU237" s="504"/>
      <c r="AV237" s="273">
        <v>1</v>
      </c>
      <c r="AW237" s="273"/>
      <c r="AX237" s="273"/>
      <c r="AY237" s="504"/>
      <c r="AZ237" s="273">
        <v>1</v>
      </c>
      <c r="BA237" s="273">
        <v>1</v>
      </c>
    </row>
    <row r="238" spans="1:53" ht="97.5" hidden="1" customHeight="1">
      <c r="A238" s="184"/>
      <c r="B238" s="256">
        <v>45368</v>
      </c>
      <c r="C238" s="266" t="s">
        <v>75</v>
      </c>
      <c r="D238" s="153" t="s">
        <v>199</v>
      </c>
      <c r="E238" s="177" t="s">
        <v>6</v>
      </c>
      <c r="F238" s="177" t="s">
        <v>863</v>
      </c>
      <c r="G238" s="153"/>
      <c r="H238" s="153" t="s">
        <v>892</v>
      </c>
      <c r="I238" s="153"/>
      <c r="J238" s="288"/>
      <c r="K238" s="153"/>
      <c r="L238" s="153" t="s">
        <v>893</v>
      </c>
      <c r="M238" s="153"/>
      <c r="N238" s="228"/>
      <c r="O238" s="166"/>
      <c r="P238" s="166" t="s">
        <v>413</v>
      </c>
      <c r="Q238" s="166" t="s">
        <v>10</v>
      </c>
      <c r="R238" s="166" t="s">
        <v>830</v>
      </c>
      <c r="S238" s="178">
        <v>1</v>
      </c>
      <c r="T238" s="158">
        <v>-2</v>
      </c>
      <c r="U238" s="229">
        <f t="shared" si="5"/>
        <v>-2</v>
      </c>
      <c r="V238" s="208"/>
      <c r="W238" s="208"/>
      <c r="X238" s="208"/>
      <c r="Y238" s="208">
        <v>1</v>
      </c>
      <c r="Z238" s="208">
        <v>1</v>
      </c>
      <c r="AA238" s="208"/>
      <c r="AB238" s="208"/>
      <c r="AC238" s="208">
        <v>1</v>
      </c>
      <c r="AD238" s="208">
        <v>1</v>
      </c>
      <c r="AE238" s="208"/>
      <c r="AF238" s="208"/>
      <c r="AG238" s="208"/>
      <c r="AH238" s="208">
        <v>1</v>
      </c>
      <c r="AI238" s="208">
        <v>1</v>
      </c>
      <c r="AJ238" s="208"/>
      <c r="AK238" s="208"/>
      <c r="AL238" s="208">
        <v>1</v>
      </c>
      <c r="AM238" s="487">
        <v>1</v>
      </c>
      <c r="AN238" s="208"/>
      <c r="AO238" s="208"/>
      <c r="AP238" s="508"/>
      <c r="AQ238" s="208">
        <v>1</v>
      </c>
      <c r="AR238" s="208">
        <v>1</v>
      </c>
      <c r="AS238" s="208"/>
      <c r="AT238" s="208"/>
      <c r="AU238" s="508"/>
      <c r="AV238" s="208">
        <v>1</v>
      </c>
      <c r="AW238" s="208"/>
      <c r="AX238" s="208"/>
      <c r="AY238" s="508"/>
      <c r="AZ238" s="208">
        <v>1</v>
      </c>
      <c r="BA238" s="208">
        <v>1</v>
      </c>
    </row>
    <row r="239" spans="1:53" ht="97.5" hidden="1" customHeight="1">
      <c r="A239" s="264"/>
      <c r="B239" s="265">
        <v>45368</v>
      </c>
      <c r="C239" s="266" t="s">
        <v>75</v>
      </c>
      <c r="D239" s="188" t="s">
        <v>76</v>
      </c>
      <c r="E239" s="266" t="s">
        <v>6</v>
      </c>
      <c r="F239" s="266" t="s">
        <v>894</v>
      </c>
      <c r="G239" s="188"/>
      <c r="H239" s="188" t="s">
        <v>895</v>
      </c>
      <c r="I239" s="188"/>
      <c r="J239" s="267"/>
      <c r="K239" s="188"/>
      <c r="L239" s="188" t="s">
        <v>896</v>
      </c>
      <c r="M239" s="188"/>
      <c r="N239" s="268"/>
      <c r="O239" s="269"/>
      <c r="P239" s="269" t="s">
        <v>413</v>
      </c>
      <c r="Q239" s="269" t="s">
        <v>10</v>
      </c>
      <c r="R239" s="166" t="s">
        <v>897</v>
      </c>
      <c r="S239" s="270">
        <v>1</v>
      </c>
      <c r="T239" s="271">
        <v>-20</v>
      </c>
      <c r="U239" s="272">
        <f t="shared" si="5"/>
        <v>-20</v>
      </c>
      <c r="V239" s="273"/>
      <c r="W239" s="273"/>
      <c r="X239" s="273"/>
      <c r="Y239" s="273">
        <v>1</v>
      </c>
      <c r="Z239" s="273">
        <v>1</v>
      </c>
      <c r="AA239" s="273"/>
      <c r="AB239" s="273"/>
      <c r="AC239" s="273">
        <v>1</v>
      </c>
      <c r="AD239" s="273">
        <v>1</v>
      </c>
      <c r="AE239" s="273"/>
      <c r="AF239" s="273"/>
      <c r="AG239" s="273"/>
      <c r="AH239" s="273">
        <v>1</v>
      </c>
      <c r="AI239" s="273">
        <v>1</v>
      </c>
      <c r="AJ239" s="273"/>
      <c r="AK239" s="273"/>
      <c r="AL239" s="273">
        <v>1</v>
      </c>
      <c r="AM239" s="483">
        <v>1</v>
      </c>
      <c r="AN239" s="273"/>
      <c r="AO239" s="273"/>
      <c r="AP239" s="504"/>
      <c r="AQ239" s="273">
        <v>1</v>
      </c>
      <c r="AR239" s="273">
        <v>1</v>
      </c>
      <c r="AS239" s="273"/>
      <c r="AT239" s="273"/>
      <c r="AU239" s="504"/>
      <c r="AV239" s="273">
        <v>1</v>
      </c>
      <c r="AW239" s="273"/>
      <c r="AX239" s="273"/>
      <c r="AY239" s="504"/>
      <c r="AZ239" s="273">
        <v>1</v>
      </c>
      <c r="BA239" s="273">
        <v>1</v>
      </c>
    </row>
    <row r="240" spans="1:53" ht="97.5" hidden="1" customHeight="1">
      <c r="A240" s="264">
        <v>117</v>
      </c>
      <c r="B240" s="265">
        <v>45536</v>
      </c>
      <c r="C240" s="266" t="s">
        <v>75</v>
      </c>
      <c r="D240" s="188" t="s">
        <v>76</v>
      </c>
      <c r="E240" s="266" t="s">
        <v>3</v>
      </c>
      <c r="F240" s="266"/>
      <c r="G240" s="188"/>
      <c r="H240" s="188" t="s">
        <v>898</v>
      </c>
      <c r="I240" s="188"/>
      <c r="J240" s="267"/>
      <c r="K240" s="188"/>
      <c r="L240" s="188"/>
      <c r="M240" s="188"/>
      <c r="N240" s="268"/>
      <c r="O240" s="269"/>
      <c r="P240" s="269" t="s">
        <v>413</v>
      </c>
      <c r="Q240" s="269" t="s">
        <v>10</v>
      </c>
      <c r="R240" s="166" t="s">
        <v>881</v>
      </c>
      <c r="S240" s="270">
        <v>0</v>
      </c>
      <c r="T240" s="271">
        <v>-3</v>
      </c>
      <c r="U240" s="272">
        <f t="shared" si="5"/>
        <v>0</v>
      </c>
      <c r="V240" s="273"/>
      <c r="W240" s="273"/>
      <c r="X240" s="273"/>
      <c r="Y240" s="273">
        <v>1</v>
      </c>
      <c r="Z240" s="273">
        <v>1</v>
      </c>
      <c r="AA240" s="273"/>
      <c r="AB240" s="273"/>
      <c r="AC240" s="273">
        <v>1</v>
      </c>
      <c r="AD240" s="273">
        <v>1</v>
      </c>
      <c r="AE240" s="273"/>
      <c r="AF240" s="273"/>
      <c r="AG240" s="273"/>
      <c r="AH240" s="273">
        <v>1</v>
      </c>
      <c r="AI240" s="273">
        <v>1</v>
      </c>
      <c r="AJ240" s="273"/>
      <c r="AK240" s="273"/>
      <c r="AL240" s="273">
        <v>1</v>
      </c>
      <c r="AM240" s="483">
        <v>1</v>
      </c>
      <c r="AN240" s="273"/>
      <c r="AO240" s="273"/>
      <c r="AP240" s="504"/>
      <c r="AQ240" s="273">
        <v>1</v>
      </c>
      <c r="AR240" s="273">
        <v>1</v>
      </c>
      <c r="AS240" s="273"/>
      <c r="AT240" s="273"/>
      <c r="AU240" s="504"/>
      <c r="AV240" s="273">
        <v>1</v>
      </c>
      <c r="AW240" s="273"/>
      <c r="AX240" s="273"/>
      <c r="AY240" s="504"/>
      <c r="AZ240" s="273">
        <v>1</v>
      </c>
      <c r="BA240" s="273">
        <v>1</v>
      </c>
    </row>
    <row r="241" spans="1:53" ht="29.25" hidden="1" customHeight="1">
      <c r="A241" s="264">
        <v>117</v>
      </c>
      <c r="B241" s="265">
        <v>46066</v>
      </c>
      <c r="C241" s="266" t="s">
        <v>75</v>
      </c>
      <c r="D241" s="188" t="s">
        <v>16</v>
      </c>
      <c r="E241" s="220" t="s">
        <v>3</v>
      </c>
      <c r="F241" s="266" t="s">
        <v>410</v>
      </c>
      <c r="G241" s="268"/>
      <c r="H241" s="188" t="s">
        <v>899</v>
      </c>
      <c r="I241" s="188" t="s">
        <v>900</v>
      </c>
      <c r="J241" s="267"/>
      <c r="K241" s="188"/>
      <c r="L241" s="188"/>
      <c r="M241" s="188"/>
      <c r="N241" s="268"/>
      <c r="O241" s="269"/>
      <c r="P241" s="269" t="s">
        <v>317</v>
      </c>
      <c r="Q241" s="269" t="s">
        <v>4</v>
      </c>
      <c r="R241" s="269" t="s">
        <v>81</v>
      </c>
      <c r="S241" s="270">
        <v>1</v>
      </c>
      <c r="T241" s="222">
        <v>-4</v>
      </c>
      <c r="U241" s="173">
        <f t="shared" si="5"/>
        <v>-4</v>
      </c>
      <c r="V241" s="273"/>
      <c r="W241" s="273"/>
      <c r="X241" s="349"/>
      <c r="Y241" s="273">
        <v>1</v>
      </c>
      <c r="Z241" s="273">
        <v>1</v>
      </c>
      <c r="AA241" s="274"/>
      <c r="AB241" s="274"/>
      <c r="AC241" s="274">
        <v>1</v>
      </c>
      <c r="AD241" s="274">
        <v>1</v>
      </c>
      <c r="AE241" s="274"/>
      <c r="AF241" s="274"/>
      <c r="AG241" s="274"/>
      <c r="AH241" s="274">
        <v>1</v>
      </c>
      <c r="AI241" s="274">
        <v>1</v>
      </c>
      <c r="AJ241" s="274"/>
      <c r="AK241" s="274"/>
      <c r="AL241" s="274">
        <v>1</v>
      </c>
      <c r="AM241" s="274">
        <v>1</v>
      </c>
      <c r="AN241" s="504"/>
      <c r="AO241" s="504"/>
      <c r="AP241" s="504"/>
      <c r="AQ241" s="504"/>
      <c r="AR241" s="504">
        <v>1</v>
      </c>
      <c r="AS241" s="504"/>
      <c r="AT241" s="504"/>
      <c r="AU241" s="504"/>
      <c r="AV241" s="504">
        <v>1</v>
      </c>
      <c r="AW241" s="504"/>
      <c r="AX241" s="504"/>
      <c r="AY241" s="504"/>
      <c r="AZ241" s="504"/>
      <c r="BA241" s="504">
        <v>1</v>
      </c>
    </row>
    <row r="242" spans="1:53" ht="97.5" hidden="1" customHeight="1">
      <c r="A242" s="289">
        <v>117</v>
      </c>
      <c r="B242" s="290">
        <v>45536</v>
      </c>
      <c r="C242" s="266" t="s">
        <v>75</v>
      </c>
      <c r="D242" s="293" t="s">
        <v>76</v>
      </c>
      <c r="E242" s="291" t="s">
        <v>3</v>
      </c>
      <c r="F242" s="291" t="s">
        <v>502</v>
      </c>
      <c r="G242" s="293"/>
      <c r="H242" s="293" t="s">
        <v>901</v>
      </c>
      <c r="I242" s="293"/>
      <c r="J242" s="292"/>
      <c r="K242" s="293"/>
      <c r="L242" s="293"/>
      <c r="M242" s="293"/>
      <c r="N242" s="247"/>
      <c r="O242" s="262"/>
      <c r="P242" s="262" t="s">
        <v>413</v>
      </c>
      <c r="Q242" s="262" t="s">
        <v>10</v>
      </c>
      <c r="R242" s="262" t="s">
        <v>471</v>
      </c>
      <c r="S242" s="294">
        <v>0</v>
      </c>
      <c r="T242" s="295">
        <v>-2</v>
      </c>
      <c r="U242" s="296">
        <f t="shared" si="5"/>
        <v>0</v>
      </c>
      <c r="V242" s="297"/>
      <c r="W242" s="297"/>
      <c r="X242" s="297"/>
      <c r="Y242" s="297">
        <v>1</v>
      </c>
      <c r="Z242" s="297">
        <v>1</v>
      </c>
      <c r="AA242" s="297"/>
      <c r="AB242" s="297"/>
      <c r="AC242" s="297">
        <v>1</v>
      </c>
      <c r="AD242" s="297">
        <v>1</v>
      </c>
      <c r="AE242" s="297"/>
      <c r="AF242" s="297"/>
      <c r="AG242" s="297"/>
      <c r="AH242" s="297">
        <v>1</v>
      </c>
      <c r="AI242" s="297">
        <v>1</v>
      </c>
      <c r="AJ242" s="297"/>
      <c r="AK242" s="297"/>
      <c r="AL242" s="297">
        <v>1</v>
      </c>
      <c r="AM242" s="486">
        <v>1</v>
      </c>
      <c r="AN242" s="297"/>
      <c r="AO242" s="297"/>
      <c r="AP242" s="506"/>
      <c r="AQ242" s="297">
        <v>1</v>
      </c>
      <c r="AR242" s="297">
        <v>1</v>
      </c>
      <c r="AS242" s="297"/>
      <c r="AT242" s="297"/>
      <c r="AU242" s="506"/>
      <c r="AV242" s="297">
        <v>1</v>
      </c>
      <c r="AW242" s="297"/>
      <c r="AX242" s="297"/>
      <c r="AY242" s="506"/>
      <c r="AZ242" s="297">
        <v>1</v>
      </c>
      <c r="BA242" s="297">
        <v>1</v>
      </c>
    </row>
    <row r="243" spans="1:53" ht="97.5" hidden="1" customHeight="1">
      <c r="A243" s="264">
        <v>117</v>
      </c>
      <c r="B243" s="265">
        <v>45536</v>
      </c>
      <c r="C243" s="266" t="s">
        <v>75</v>
      </c>
      <c r="D243" s="188"/>
      <c r="E243" s="266" t="s">
        <v>3</v>
      </c>
      <c r="F243" s="266"/>
      <c r="G243" s="188"/>
      <c r="H243" s="188" t="s">
        <v>902</v>
      </c>
      <c r="I243" s="188"/>
      <c r="J243" s="267"/>
      <c r="K243" s="188"/>
      <c r="L243" s="188"/>
      <c r="M243" s="188"/>
      <c r="N243" s="268"/>
      <c r="O243" s="269"/>
      <c r="P243" s="269" t="s">
        <v>413</v>
      </c>
      <c r="Q243" s="269" t="s">
        <v>10</v>
      </c>
      <c r="R243" s="166" t="s">
        <v>881</v>
      </c>
      <c r="S243" s="270">
        <v>0</v>
      </c>
      <c r="T243" s="271">
        <v>-1.7</v>
      </c>
      <c r="U243" s="272">
        <f t="shared" si="5"/>
        <v>0</v>
      </c>
      <c r="V243" s="273"/>
      <c r="W243" s="273"/>
      <c r="X243" s="273"/>
      <c r="Y243" s="273">
        <v>1</v>
      </c>
      <c r="Z243" s="273">
        <v>1</v>
      </c>
      <c r="AA243" s="273"/>
      <c r="AB243" s="273"/>
      <c r="AC243" s="273">
        <v>1</v>
      </c>
      <c r="AD243" s="273">
        <v>1</v>
      </c>
      <c r="AE243" s="273"/>
      <c r="AF243" s="273"/>
      <c r="AG243" s="273"/>
      <c r="AH243" s="273">
        <v>1</v>
      </c>
      <c r="AI243" s="273">
        <v>1</v>
      </c>
      <c r="AJ243" s="273"/>
      <c r="AK243" s="273"/>
      <c r="AL243" s="273">
        <v>1</v>
      </c>
      <c r="AM243" s="483">
        <v>1</v>
      </c>
      <c r="AN243" s="273"/>
      <c r="AO243" s="273"/>
      <c r="AP243" s="504"/>
      <c r="AQ243" s="273">
        <v>1</v>
      </c>
      <c r="AR243" s="273">
        <v>1</v>
      </c>
      <c r="AS243" s="273"/>
      <c r="AT243" s="273"/>
      <c r="AU243" s="504"/>
      <c r="AV243" s="273">
        <v>1</v>
      </c>
      <c r="AW243" s="273"/>
      <c r="AX243" s="273"/>
      <c r="AY243" s="504"/>
      <c r="AZ243" s="273">
        <v>1</v>
      </c>
      <c r="BA243" s="273">
        <v>1</v>
      </c>
    </row>
    <row r="244" spans="1:53" ht="97.5" hidden="1" customHeight="1">
      <c r="A244" s="264">
        <v>117</v>
      </c>
      <c r="B244" s="265">
        <v>45536</v>
      </c>
      <c r="C244" s="266" t="s">
        <v>75</v>
      </c>
      <c r="D244" s="188" t="s">
        <v>903</v>
      </c>
      <c r="E244" s="169" t="s">
        <v>6</v>
      </c>
      <c r="F244" s="266" t="s">
        <v>904</v>
      </c>
      <c r="G244" s="188"/>
      <c r="H244" s="188" t="s">
        <v>905</v>
      </c>
      <c r="I244" s="188" t="s">
        <v>780</v>
      </c>
      <c r="J244" s="267"/>
      <c r="K244" s="188"/>
      <c r="L244" s="188"/>
      <c r="M244" s="188"/>
      <c r="N244" s="268"/>
      <c r="O244" s="269"/>
      <c r="P244" s="269" t="s">
        <v>413</v>
      </c>
      <c r="Q244" s="269" t="s">
        <v>10</v>
      </c>
      <c r="R244" s="166" t="s">
        <v>414</v>
      </c>
      <c r="S244" s="270">
        <v>0</v>
      </c>
      <c r="T244" s="271">
        <v>-0.5</v>
      </c>
      <c r="U244" s="272">
        <f t="shared" si="5"/>
        <v>0</v>
      </c>
      <c r="V244" s="273"/>
      <c r="W244" s="273"/>
      <c r="X244" s="273"/>
      <c r="Y244" s="273">
        <v>1</v>
      </c>
      <c r="Z244" s="273">
        <v>1</v>
      </c>
      <c r="AA244" s="273"/>
      <c r="AB244" s="273"/>
      <c r="AC244" s="273">
        <v>1</v>
      </c>
      <c r="AD244" s="273">
        <v>1</v>
      </c>
      <c r="AE244" s="273"/>
      <c r="AF244" s="273"/>
      <c r="AG244" s="273"/>
      <c r="AH244" s="273">
        <v>1</v>
      </c>
      <c r="AI244" s="273">
        <v>1</v>
      </c>
      <c r="AJ244" s="273"/>
      <c r="AK244" s="273"/>
      <c r="AL244" s="273">
        <v>1</v>
      </c>
      <c r="AM244" s="483">
        <v>1</v>
      </c>
      <c r="AN244" s="273"/>
      <c r="AO244" s="273"/>
      <c r="AP244" s="504"/>
      <c r="AQ244" s="273">
        <v>1</v>
      </c>
      <c r="AR244" s="273">
        <v>1</v>
      </c>
      <c r="AS244" s="273"/>
      <c r="AT244" s="273"/>
      <c r="AU244" s="504"/>
      <c r="AV244" s="273">
        <v>1</v>
      </c>
      <c r="AW244" s="273"/>
      <c r="AX244" s="273"/>
      <c r="AY244" s="504"/>
      <c r="AZ244" s="273">
        <v>1</v>
      </c>
      <c r="BA244" s="273">
        <v>1</v>
      </c>
    </row>
    <row r="245" spans="1:53" ht="33.75" hidden="1" customHeight="1">
      <c r="A245" s="264">
        <v>117</v>
      </c>
      <c r="B245" s="265">
        <v>45909</v>
      </c>
      <c r="C245" s="266" t="s">
        <v>75</v>
      </c>
      <c r="D245" s="188" t="s">
        <v>903</v>
      </c>
      <c r="E245" s="169" t="s">
        <v>172</v>
      </c>
      <c r="F245" s="266" t="s">
        <v>906</v>
      </c>
      <c r="G245" s="268" t="s">
        <v>907</v>
      </c>
      <c r="H245" s="188" t="s">
        <v>908</v>
      </c>
      <c r="I245" s="188" t="s">
        <v>909</v>
      </c>
      <c r="J245" s="267"/>
      <c r="K245" s="188"/>
      <c r="L245" s="188"/>
      <c r="M245" s="188"/>
      <c r="N245" s="268"/>
      <c r="O245" s="269"/>
      <c r="P245" s="269" t="s">
        <v>413</v>
      </c>
      <c r="Q245" s="269" t="s">
        <v>4</v>
      </c>
      <c r="R245" s="269" t="s">
        <v>81</v>
      </c>
      <c r="S245" s="270">
        <v>1</v>
      </c>
      <c r="T245" s="451">
        <v>-2</v>
      </c>
      <c r="U245" s="173">
        <f t="shared" si="5"/>
        <v>-2</v>
      </c>
      <c r="V245" s="273"/>
      <c r="W245" s="273"/>
      <c r="X245" s="273"/>
      <c r="Y245" s="273">
        <v>1</v>
      </c>
      <c r="Z245" s="273"/>
      <c r="AA245" s="273"/>
      <c r="AB245" s="273"/>
      <c r="AC245" s="273">
        <v>1</v>
      </c>
      <c r="AD245" s="273"/>
      <c r="AE245" s="273"/>
      <c r="AF245" s="273"/>
      <c r="AG245" s="273"/>
      <c r="AH245" s="273">
        <v>1</v>
      </c>
      <c r="AI245" s="273"/>
      <c r="AJ245" s="273"/>
      <c r="AK245" s="273"/>
      <c r="AL245" s="273">
        <v>1</v>
      </c>
      <c r="AM245" s="483"/>
      <c r="AN245" s="273"/>
      <c r="AO245" s="273"/>
      <c r="AP245" s="504"/>
      <c r="AQ245" s="273"/>
      <c r="AR245" s="273">
        <v>1</v>
      </c>
      <c r="AS245" s="273"/>
      <c r="AT245" s="273"/>
      <c r="AU245" s="504"/>
      <c r="AV245" s="273">
        <v>1</v>
      </c>
      <c r="AW245" s="273"/>
      <c r="AX245" s="273"/>
      <c r="AY245" s="504"/>
      <c r="AZ245" s="273">
        <v>1</v>
      </c>
      <c r="BA245" s="273">
        <v>1</v>
      </c>
    </row>
    <row r="246" spans="1:53" ht="33.75" hidden="1" customHeight="1">
      <c r="A246" s="264">
        <v>117</v>
      </c>
      <c r="B246" s="265">
        <v>45909</v>
      </c>
      <c r="C246" s="266" t="s">
        <v>75</v>
      </c>
      <c r="D246" s="188" t="s">
        <v>903</v>
      </c>
      <c r="E246" s="169" t="s">
        <v>172</v>
      </c>
      <c r="F246" s="266" t="s">
        <v>906</v>
      </c>
      <c r="G246" s="268" t="s">
        <v>910</v>
      </c>
      <c r="H246" s="188" t="s">
        <v>911</v>
      </c>
      <c r="I246" s="188" t="s">
        <v>912</v>
      </c>
      <c r="J246" s="267"/>
      <c r="K246" s="188"/>
      <c r="L246" s="188"/>
      <c r="M246" s="188"/>
      <c r="N246" s="268"/>
      <c r="O246" s="269"/>
      <c r="P246" s="269" t="s">
        <v>413</v>
      </c>
      <c r="Q246" s="269" t="s">
        <v>4</v>
      </c>
      <c r="R246" s="269" t="s">
        <v>81</v>
      </c>
      <c r="S246" s="270">
        <v>1</v>
      </c>
      <c r="T246" s="298">
        <v>1.5</v>
      </c>
      <c r="U246" s="173">
        <f t="shared" si="5"/>
        <v>1.5</v>
      </c>
      <c r="V246" s="273"/>
      <c r="W246" s="273"/>
      <c r="X246" s="273"/>
      <c r="Y246" s="273">
        <v>1</v>
      </c>
      <c r="Z246" s="273"/>
      <c r="AA246" s="273"/>
      <c r="AB246" s="273"/>
      <c r="AC246" s="273">
        <v>1</v>
      </c>
      <c r="AD246" s="273"/>
      <c r="AE246" s="273"/>
      <c r="AF246" s="273"/>
      <c r="AG246" s="273"/>
      <c r="AH246" s="273">
        <v>1</v>
      </c>
      <c r="AI246" s="273"/>
      <c r="AJ246" s="273"/>
      <c r="AK246" s="273"/>
      <c r="AL246" s="273">
        <v>1</v>
      </c>
      <c r="AM246" s="483"/>
      <c r="AN246" s="273"/>
      <c r="AO246" s="273"/>
      <c r="AP246" s="504"/>
      <c r="AQ246" s="273"/>
      <c r="AR246" s="273">
        <v>1</v>
      </c>
      <c r="AS246" s="273"/>
      <c r="AT246" s="273"/>
      <c r="AU246" s="273"/>
      <c r="AV246" s="273">
        <v>1</v>
      </c>
      <c r="AW246" s="273"/>
      <c r="AX246" s="273"/>
      <c r="AY246" s="273"/>
      <c r="AZ246" s="273">
        <v>1</v>
      </c>
      <c r="BA246" s="273">
        <v>1</v>
      </c>
    </row>
    <row r="247" spans="1:53" ht="97.5" hidden="1" customHeight="1">
      <c r="A247" s="264">
        <v>117</v>
      </c>
      <c r="B247" s="265">
        <v>45536</v>
      </c>
      <c r="C247" s="266" t="s">
        <v>75</v>
      </c>
      <c r="D247" s="188" t="s">
        <v>903</v>
      </c>
      <c r="E247" s="169" t="s">
        <v>6</v>
      </c>
      <c r="F247" s="266"/>
      <c r="G247" s="188"/>
      <c r="H247" s="188" t="s">
        <v>913</v>
      </c>
      <c r="I247" s="188" t="s">
        <v>780</v>
      </c>
      <c r="J247" s="267"/>
      <c r="K247" s="188"/>
      <c r="L247" s="188" t="s">
        <v>914</v>
      </c>
      <c r="M247" s="188"/>
      <c r="N247" s="268"/>
      <c r="O247" s="269"/>
      <c r="P247" s="269" t="s">
        <v>413</v>
      </c>
      <c r="Q247" s="269" t="s">
        <v>7</v>
      </c>
      <c r="R247" s="166" t="s">
        <v>414</v>
      </c>
      <c r="S247" s="270">
        <v>1</v>
      </c>
      <c r="T247" s="271">
        <v>-2.8</v>
      </c>
      <c r="U247" s="272">
        <f>T247*S247</f>
        <v>-2.8</v>
      </c>
      <c r="V247" s="273"/>
      <c r="W247" s="273"/>
      <c r="X247" s="273"/>
      <c r="Y247" s="273">
        <v>1</v>
      </c>
      <c r="Z247" s="273"/>
      <c r="AA247" s="273"/>
      <c r="AB247" s="273"/>
      <c r="AC247" s="273">
        <v>1</v>
      </c>
      <c r="AD247" s="273"/>
      <c r="AE247" s="273"/>
      <c r="AF247" s="273"/>
      <c r="AG247" s="273"/>
      <c r="AH247" s="273">
        <v>1</v>
      </c>
      <c r="AI247" s="273"/>
      <c r="AJ247" s="273"/>
      <c r="AK247" s="273"/>
      <c r="AL247" s="273">
        <v>1</v>
      </c>
      <c r="AM247" s="483"/>
      <c r="AN247" s="273">
        <v>1</v>
      </c>
      <c r="AO247" s="273">
        <v>1</v>
      </c>
      <c r="AP247" s="504"/>
      <c r="AQ247" s="273">
        <v>1</v>
      </c>
      <c r="AR247" s="273"/>
      <c r="AS247" s="273">
        <v>1</v>
      </c>
      <c r="AT247" s="273"/>
      <c r="AU247" s="504"/>
      <c r="AV247" s="273"/>
      <c r="AW247" s="273">
        <v>1</v>
      </c>
      <c r="AX247" s="273">
        <v>1</v>
      </c>
      <c r="AY247" s="504"/>
      <c r="AZ247" s="273">
        <v>1</v>
      </c>
      <c r="BA247" s="273"/>
    </row>
    <row r="248" spans="1:53" ht="97.5" hidden="1" customHeight="1">
      <c r="A248" s="264">
        <v>117</v>
      </c>
      <c r="B248" s="265">
        <v>45536</v>
      </c>
      <c r="C248" s="266" t="s">
        <v>75</v>
      </c>
      <c r="D248" s="188" t="s">
        <v>903</v>
      </c>
      <c r="E248" s="169" t="s">
        <v>6</v>
      </c>
      <c r="F248" s="266"/>
      <c r="G248" s="188"/>
      <c r="H248" s="188" t="s">
        <v>915</v>
      </c>
      <c r="I248" s="188" t="s">
        <v>780</v>
      </c>
      <c r="J248" s="267"/>
      <c r="K248" s="188"/>
      <c r="L248" s="188" t="s">
        <v>916</v>
      </c>
      <c r="M248" s="188"/>
      <c r="N248" s="268"/>
      <c r="O248" s="269"/>
      <c r="P248" s="269" t="s">
        <v>413</v>
      </c>
      <c r="Q248" s="269" t="s">
        <v>7</v>
      </c>
      <c r="R248" s="166" t="s">
        <v>414</v>
      </c>
      <c r="S248" s="270">
        <v>1</v>
      </c>
      <c r="T248" s="271">
        <v>-6.2</v>
      </c>
      <c r="U248" s="272">
        <f>T248*S248</f>
        <v>-6.2</v>
      </c>
      <c r="V248" s="273"/>
      <c r="W248" s="273"/>
      <c r="X248" s="273"/>
      <c r="Y248" s="273">
        <v>1</v>
      </c>
      <c r="Z248" s="273"/>
      <c r="AA248" s="273"/>
      <c r="AB248" s="273"/>
      <c r="AC248" s="273">
        <v>1</v>
      </c>
      <c r="AD248" s="273"/>
      <c r="AE248" s="273"/>
      <c r="AF248" s="273"/>
      <c r="AG248" s="273"/>
      <c r="AH248" s="273">
        <v>1</v>
      </c>
      <c r="AI248" s="273"/>
      <c r="AJ248" s="273"/>
      <c r="AK248" s="273"/>
      <c r="AL248" s="273">
        <v>1</v>
      </c>
      <c r="AM248" s="483"/>
      <c r="AN248" s="273">
        <v>1</v>
      </c>
      <c r="AO248" s="273">
        <v>1</v>
      </c>
      <c r="AP248" s="504"/>
      <c r="AQ248" s="273">
        <v>1</v>
      </c>
      <c r="AR248" s="273"/>
      <c r="AS248" s="273">
        <v>1</v>
      </c>
      <c r="AT248" s="273"/>
      <c r="AU248" s="504"/>
      <c r="AV248" s="273"/>
      <c r="AW248" s="273">
        <v>1</v>
      </c>
      <c r="AX248" s="273">
        <v>1</v>
      </c>
      <c r="AY248" s="504"/>
      <c r="AZ248" s="273">
        <v>1</v>
      </c>
      <c r="BA248" s="273"/>
    </row>
    <row r="249" spans="1:53" s="391" customFormat="1" ht="29.25" hidden="1" customHeight="1">
      <c r="A249" s="182">
        <v>254</v>
      </c>
      <c r="B249" s="182" t="s">
        <v>131</v>
      </c>
      <c r="C249" s="220" t="s">
        <v>84</v>
      </c>
      <c r="D249" s="462" t="s">
        <v>132</v>
      </c>
      <c r="E249" s="220" t="s">
        <v>3</v>
      </c>
      <c r="F249" s="220" t="s">
        <v>917</v>
      </c>
      <c r="G249" s="185" t="s">
        <v>918</v>
      </c>
      <c r="H249" s="149" t="s">
        <v>228</v>
      </c>
      <c r="I249" s="149" t="s">
        <v>919</v>
      </c>
      <c r="J249" s="153" t="s">
        <v>920</v>
      </c>
      <c r="K249" s="170"/>
      <c r="L249" s="170" t="s">
        <v>921</v>
      </c>
      <c r="M249" s="149"/>
      <c r="N249" s="475"/>
      <c r="O249" s="186"/>
      <c r="P249" s="186" t="s">
        <v>80</v>
      </c>
      <c r="Q249" s="186" t="s">
        <v>7</v>
      </c>
      <c r="R249" s="186"/>
      <c r="S249" s="176">
        <v>1</v>
      </c>
      <c r="T249" s="157">
        <v>-1</v>
      </c>
      <c r="U249" s="173">
        <f t="shared" ref="U249:U250" si="6">T249*S249</f>
        <v>-1</v>
      </c>
      <c r="V249" s="174">
        <v>1</v>
      </c>
      <c r="W249" s="174">
        <v>1</v>
      </c>
      <c r="X249" s="174">
        <v>1</v>
      </c>
      <c r="Y249" s="174">
        <v>1</v>
      </c>
      <c r="Z249" s="174">
        <v>1</v>
      </c>
      <c r="AA249" s="174">
        <v>1</v>
      </c>
      <c r="AB249" s="174">
        <v>1</v>
      </c>
      <c r="AC249" s="174">
        <v>1</v>
      </c>
      <c r="AD249" s="174">
        <v>1</v>
      </c>
      <c r="AE249" s="174">
        <v>1</v>
      </c>
      <c r="AF249" s="174">
        <v>1</v>
      </c>
      <c r="AG249" s="174">
        <v>1</v>
      </c>
      <c r="AH249" s="174">
        <v>1</v>
      </c>
      <c r="AI249" s="174">
        <v>1</v>
      </c>
      <c r="AJ249" s="174">
        <v>1</v>
      </c>
      <c r="AK249" s="174">
        <v>1</v>
      </c>
      <c r="AL249" s="174">
        <v>1</v>
      </c>
      <c r="AM249" s="478">
        <v>1</v>
      </c>
      <c r="AN249" s="332">
        <v>1</v>
      </c>
      <c r="AO249" s="332">
        <v>1</v>
      </c>
      <c r="AP249" s="332">
        <v>1</v>
      </c>
      <c r="AQ249" s="332">
        <v>1</v>
      </c>
      <c r="AR249" s="332">
        <v>1</v>
      </c>
      <c r="AS249" s="332">
        <v>1</v>
      </c>
      <c r="AT249" s="332"/>
      <c r="AU249" s="332"/>
      <c r="AV249" s="332">
        <v>1</v>
      </c>
      <c r="AW249" s="332">
        <v>1</v>
      </c>
      <c r="AX249" s="332">
        <v>1</v>
      </c>
      <c r="AY249" s="332">
        <v>1</v>
      </c>
      <c r="AZ249" s="332">
        <v>1</v>
      </c>
      <c r="BA249" s="332">
        <v>1</v>
      </c>
    </row>
    <row r="250" spans="1:53" s="391" customFormat="1" ht="29.25" hidden="1" customHeight="1">
      <c r="A250" s="182" t="s">
        <v>922</v>
      </c>
      <c r="B250" s="182" t="s">
        <v>923</v>
      </c>
      <c r="C250" s="220" t="s">
        <v>84</v>
      </c>
      <c r="D250" s="462" t="s">
        <v>677</v>
      </c>
      <c r="E250" s="220" t="s">
        <v>3</v>
      </c>
      <c r="F250" s="149" t="s">
        <v>677</v>
      </c>
      <c r="G250" s="185" t="s">
        <v>924</v>
      </c>
      <c r="H250" s="149" t="s">
        <v>925</v>
      </c>
      <c r="I250" s="149"/>
      <c r="J250" s="237" t="s">
        <v>681</v>
      </c>
      <c r="K250" s="237"/>
      <c r="L250" s="237" t="s">
        <v>926</v>
      </c>
      <c r="M250" s="149"/>
      <c r="N250" s="475"/>
      <c r="O250" s="186"/>
      <c r="P250" s="186" t="s">
        <v>80</v>
      </c>
      <c r="Q250" s="186" t="s">
        <v>4</v>
      </c>
      <c r="R250" s="186"/>
      <c r="S250" s="176">
        <v>1</v>
      </c>
      <c r="T250" s="157">
        <v>-16.5</v>
      </c>
      <c r="U250" s="173">
        <f t="shared" si="6"/>
        <v>-16.5</v>
      </c>
      <c r="V250" s="174">
        <v>1</v>
      </c>
      <c r="W250" s="174">
        <v>1</v>
      </c>
      <c r="X250" s="174">
        <v>1</v>
      </c>
      <c r="Y250" s="174">
        <v>1</v>
      </c>
      <c r="Z250" s="174">
        <v>1</v>
      </c>
      <c r="AA250" s="174">
        <v>1</v>
      </c>
      <c r="AB250" s="174">
        <v>1</v>
      </c>
      <c r="AC250" s="174">
        <v>1</v>
      </c>
      <c r="AD250" s="174">
        <v>1</v>
      </c>
      <c r="AE250" s="174">
        <v>1</v>
      </c>
      <c r="AF250" s="174">
        <v>1</v>
      </c>
      <c r="AG250" s="174">
        <v>1</v>
      </c>
      <c r="AH250" s="174">
        <v>1</v>
      </c>
      <c r="AI250" s="174">
        <v>1</v>
      </c>
      <c r="AJ250" s="174">
        <v>1</v>
      </c>
      <c r="AK250" s="174">
        <v>1</v>
      </c>
      <c r="AL250" s="174">
        <v>1</v>
      </c>
      <c r="AM250" s="478">
        <v>1</v>
      </c>
      <c r="AN250" s="332">
        <v>1</v>
      </c>
      <c r="AO250" s="332">
        <v>1</v>
      </c>
      <c r="AP250" s="332">
        <v>1</v>
      </c>
      <c r="AQ250" s="332">
        <v>1</v>
      </c>
      <c r="AR250" s="332">
        <v>1</v>
      </c>
      <c r="AS250" s="332">
        <v>1</v>
      </c>
      <c r="AT250" s="332">
        <v>1</v>
      </c>
      <c r="AU250" s="332">
        <v>1</v>
      </c>
      <c r="AV250" s="332">
        <v>1</v>
      </c>
      <c r="AW250" s="332">
        <v>1</v>
      </c>
      <c r="AX250" s="332">
        <v>1</v>
      </c>
      <c r="AY250" s="332">
        <v>1</v>
      </c>
      <c r="AZ250" s="332">
        <v>1</v>
      </c>
      <c r="BA250" s="332">
        <v>1</v>
      </c>
    </row>
    <row r="251" spans="1:53" s="391" customFormat="1" ht="31.5" hidden="1" customHeight="1">
      <c r="A251" s="168"/>
      <c r="B251" s="251">
        <v>45564</v>
      </c>
      <c r="C251" s="169" t="s">
        <v>75</v>
      </c>
      <c r="D251" s="245" t="s">
        <v>927</v>
      </c>
      <c r="E251" s="169" t="s">
        <v>3</v>
      </c>
      <c r="F251" s="169" t="s">
        <v>928</v>
      </c>
      <c r="G251" s="149" t="s">
        <v>929</v>
      </c>
      <c r="H251" s="149" t="s">
        <v>930</v>
      </c>
      <c r="I251" s="179"/>
      <c r="J251" s="179"/>
      <c r="K251" s="149"/>
      <c r="L251" s="509" t="s">
        <v>931</v>
      </c>
      <c r="M251" s="183"/>
      <c r="N251" s="171"/>
      <c r="O251" s="164"/>
      <c r="P251" s="164" t="s">
        <v>80</v>
      </c>
      <c r="Q251" s="164" t="s">
        <v>7</v>
      </c>
      <c r="R251" s="164" t="s">
        <v>81</v>
      </c>
      <c r="S251" s="176">
        <v>1</v>
      </c>
      <c r="T251" s="157">
        <v>-1.2</v>
      </c>
      <c r="U251" s="173">
        <f t="shared" si="5"/>
        <v>-1.2</v>
      </c>
      <c r="V251" s="174">
        <v>1</v>
      </c>
      <c r="W251" s="174">
        <v>1</v>
      </c>
      <c r="X251" s="174">
        <v>1</v>
      </c>
      <c r="Y251" s="174">
        <v>1</v>
      </c>
      <c r="Z251" s="174">
        <v>1</v>
      </c>
      <c r="AA251" s="174">
        <v>1</v>
      </c>
      <c r="AB251" s="174">
        <v>1</v>
      </c>
      <c r="AC251" s="174">
        <v>1</v>
      </c>
      <c r="AD251" s="174">
        <v>1</v>
      </c>
      <c r="AE251" s="174">
        <v>1</v>
      </c>
      <c r="AF251" s="174">
        <v>1</v>
      </c>
      <c r="AG251" s="174">
        <v>1</v>
      </c>
      <c r="AH251" s="174">
        <v>1</v>
      </c>
      <c r="AI251" s="174">
        <v>1</v>
      </c>
      <c r="AJ251" s="174">
        <v>1</v>
      </c>
      <c r="AK251" s="174">
        <v>1</v>
      </c>
      <c r="AL251" s="174">
        <v>1</v>
      </c>
      <c r="AM251" s="478">
        <v>1</v>
      </c>
      <c r="AN251" s="174">
        <v>1</v>
      </c>
      <c r="AO251" s="174">
        <v>1</v>
      </c>
      <c r="AP251" s="174">
        <v>1</v>
      </c>
      <c r="AQ251" s="174">
        <v>1</v>
      </c>
      <c r="AR251" s="174">
        <v>1</v>
      </c>
      <c r="AS251" s="174">
        <v>1</v>
      </c>
      <c r="AT251" s="174"/>
      <c r="AU251" s="174"/>
      <c r="AV251" s="174">
        <v>1</v>
      </c>
      <c r="AW251" s="174">
        <v>1</v>
      </c>
      <c r="AX251" s="174">
        <v>1</v>
      </c>
      <c r="AY251" s="174">
        <v>1</v>
      </c>
      <c r="AZ251" s="174">
        <v>1</v>
      </c>
      <c r="BA251" s="174">
        <v>1</v>
      </c>
    </row>
    <row r="252" spans="1:53" s="391" customFormat="1" ht="58.9" hidden="1" customHeight="1">
      <c r="A252" s="168">
        <v>70</v>
      </c>
      <c r="B252" s="251">
        <v>45536</v>
      </c>
      <c r="C252" s="169" t="s">
        <v>75</v>
      </c>
      <c r="D252" s="467" t="s">
        <v>8</v>
      </c>
      <c r="E252" s="169" t="s">
        <v>3</v>
      </c>
      <c r="F252" s="220" t="s">
        <v>77</v>
      </c>
      <c r="G252" s="170" t="s">
        <v>932</v>
      </c>
      <c r="H252" s="170" t="s">
        <v>933</v>
      </c>
      <c r="I252" s="170"/>
      <c r="J252" s="237" t="s">
        <v>934</v>
      </c>
      <c r="K252" s="170" t="s">
        <v>426</v>
      </c>
      <c r="L252" s="170"/>
      <c r="M252" s="170">
        <v>0</v>
      </c>
      <c r="N252" s="171">
        <v>0</v>
      </c>
      <c r="O252" s="164"/>
      <c r="P252" s="164" t="s">
        <v>80</v>
      </c>
      <c r="Q252" s="164" t="s">
        <v>10</v>
      </c>
      <c r="R252" s="164" t="s">
        <v>81</v>
      </c>
      <c r="S252" s="176">
        <v>0.5</v>
      </c>
      <c r="T252" s="157">
        <v>-4</v>
      </c>
      <c r="U252" s="173">
        <f t="shared" si="5"/>
        <v>-2</v>
      </c>
      <c r="V252" s="174">
        <v>1</v>
      </c>
      <c r="W252" s="174">
        <v>1</v>
      </c>
      <c r="X252" s="174">
        <v>1</v>
      </c>
      <c r="Y252" s="174">
        <v>1</v>
      </c>
      <c r="Z252" s="174">
        <v>1</v>
      </c>
      <c r="AA252" s="174">
        <v>1</v>
      </c>
      <c r="AB252" s="174">
        <v>1</v>
      </c>
      <c r="AC252" s="174">
        <v>1</v>
      </c>
      <c r="AD252" s="174">
        <v>1</v>
      </c>
      <c r="AE252" s="174">
        <v>1</v>
      </c>
      <c r="AF252" s="174">
        <v>1</v>
      </c>
      <c r="AG252" s="174">
        <v>1</v>
      </c>
      <c r="AH252" s="174">
        <v>1</v>
      </c>
      <c r="AI252" s="174">
        <v>1</v>
      </c>
      <c r="AJ252" s="174">
        <v>1</v>
      </c>
      <c r="AK252" s="174">
        <v>1</v>
      </c>
      <c r="AL252" s="174">
        <v>1</v>
      </c>
      <c r="AM252" s="478">
        <v>1</v>
      </c>
      <c r="AN252" s="174">
        <v>1</v>
      </c>
      <c r="AO252" s="174">
        <v>1</v>
      </c>
      <c r="AP252" s="174">
        <v>1</v>
      </c>
      <c r="AQ252" s="174">
        <v>1</v>
      </c>
      <c r="AR252" s="174">
        <v>1</v>
      </c>
      <c r="AS252" s="174">
        <v>1</v>
      </c>
      <c r="AT252" s="174"/>
      <c r="AU252" s="174"/>
      <c r="AV252" s="174">
        <v>1</v>
      </c>
      <c r="AW252" s="174">
        <v>1</v>
      </c>
      <c r="AX252" s="174">
        <v>1</v>
      </c>
      <c r="AY252" s="174">
        <v>1</v>
      </c>
      <c r="AZ252" s="174">
        <v>1</v>
      </c>
      <c r="BA252" s="174">
        <v>1</v>
      </c>
    </row>
    <row r="253" spans="1:53" s="391" customFormat="1" ht="58.9" hidden="1" customHeight="1">
      <c r="A253" s="168" t="s">
        <v>935</v>
      </c>
      <c r="B253" s="168" t="s">
        <v>194</v>
      </c>
      <c r="C253" s="169" t="s">
        <v>84</v>
      </c>
      <c r="D253" s="144" t="s">
        <v>132</v>
      </c>
      <c r="E253" s="169" t="s">
        <v>3</v>
      </c>
      <c r="F253" s="169" t="s">
        <v>133</v>
      </c>
      <c r="G253" s="149" t="s">
        <v>739</v>
      </c>
      <c r="H253" s="170" t="s">
        <v>740</v>
      </c>
      <c r="I253" s="170" t="s">
        <v>936</v>
      </c>
      <c r="J253" s="170"/>
      <c r="K253" s="170"/>
      <c r="L253" s="170" t="s">
        <v>937</v>
      </c>
      <c r="M253" s="170"/>
      <c r="N253" s="187"/>
      <c r="O253" s="164"/>
      <c r="P253" s="164" t="s">
        <v>80</v>
      </c>
      <c r="Q253" s="164" t="s">
        <v>7</v>
      </c>
      <c r="R253" s="164"/>
      <c r="S253" s="172">
        <v>1</v>
      </c>
      <c r="T253" s="157">
        <v>-2.5</v>
      </c>
      <c r="U253" s="173">
        <f t="shared" si="5"/>
        <v>-2.5</v>
      </c>
      <c r="V253" s="174">
        <v>1</v>
      </c>
      <c r="W253" s="174">
        <v>1</v>
      </c>
      <c r="X253" s="174">
        <v>1</v>
      </c>
      <c r="Y253" s="174">
        <v>1</v>
      </c>
      <c r="Z253" s="174">
        <v>1</v>
      </c>
      <c r="AA253" s="174">
        <v>1</v>
      </c>
      <c r="AB253" s="174">
        <v>1</v>
      </c>
      <c r="AC253" s="174">
        <v>1</v>
      </c>
      <c r="AD253" s="174">
        <v>1</v>
      </c>
      <c r="AE253" s="174">
        <v>1</v>
      </c>
      <c r="AF253" s="174">
        <v>1</v>
      </c>
      <c r="AG253" s="174">
        <v>1</v>
      </c>
      <c r="AH253" s="174">
        <v>1</v>
      </c>
      <c r="AI253" s="174">
        <v>1</v>
      </c>
      <c r="AJ253" s="174">
        <v>1</v>
      </c>
      <c r="AK253" s="174">
        <v>1</v>
      </c>
      <c r="AL253" s="174">
        <v>1</v>
      </c>
      <c r="AM253" s="478">
        <v>1</v>
      </c>
      <c r="AN253" s="174">
        <v>1</v>
      </c>
      <c r="AO253" s="174">
        <v>1</v>
      </c>
      <c r="AP253" s="174">
        <v>1</v>
      </c>
      <c r="AQ253" s="174">
        <v>1</v>
      </c>
      <c r="AR253" s="174">
        <v>1</v>
      </c>
      <c r="AS253" s="174">
        <v>1</v>
      </c>
      <c r="AT253" s="174"/>
      <c r="AU253" s="174"/>
      <c r="AV253" s="174">
        <v>1</v>
      </c>
      <c r="AW253" s="174">
        <v>1</v>
      </c>
      <c r="AX253" s="174">
        <v>1</v>
      </c>
      <c r="AY253" s="174">
        <v>1</v>
      </c>
      <c r="AZ253" s="174">
        <v>1</v>
      </c>
      <c r="BA253" s="174">
        <v>1</v>
      </c>
    </row>
    <row r="254" spans="1:53" s="391" customFormat="1" ht="29.25" hidden="1" customHeight="1">
      <c r="A254" s="168"/>
      <c r="B254" s="251">
        <v>46059</v>
      </c>
      <c r="C254" s="236" t="s">
        <v>75</v>
      </c>
      <c r="D254" s="467" t="s">
        <v>85</v>
      </c>
      <c r="E254" s="220" t="s">
        <v>3</v>
      </c>
      <c r="F254" s="169" t="s">
        <v>688</v>
      </c>
      <c r="G254" s="185" t="s">
        <v>938</v>
      </c>
      <c r="H254" s="171"/>
      <c r="I254" s="558" t="s">
        <v>939</v>
      </c>
      <c r="J254" s="324" t="s">
        <v>940</v>
      </c>
      <c r="K254" s="170"/>
      <c r="L254" s="170"/>
      <c r="M254" s="170"/>
      <c r="N254" s="187"/>
      <c r="O254" s="164"/>
      <c r="P254" s="164" t="s">
        <v>941</v>
      </c>
      <c r="Q254" s="186" t="s">
        <v>7</v>
      </c>
      <c r="R254" s="164"/>
      <c r="S254" s="172">
        <v>1</v>
      </c>
      <c r="T254" s="157">
        <v>-1.4</v>
      </c>
      <c r="U254" s="173">
        <f t="shared" si="5"/>
        <v>-1.4</v>
      </c>
      <c r="V254" s="332"/>
      <c r="W254" s="332"/>
      <c r="X254" s="332"/>
      <c r="Y254" s="332"/>
      <c r="Z254" s="332"/>
      <c r="AA254" s="332"/>
      <c r="AB254" s="332"/>
      <c r="AC254" s="332"/>
      <c r="AD254" s="332"/>
      <c r="AE254" s="332"/>
      <c r="AF254" s="332"/>
      <c r="AG254" s="332"/>
      <c r="AH254" s="332"/>
      <c r="AI254" s="332"/>
      <c r="AJ254" s="332"/>
      <c r="AK254" s="332"/>
      <c r="AL254" s="332"/>
      <c r="AM254" s="480"/>
      <c r="AN254" s="332"/>
      <c r="AO254" s="332"/>
      <c r="AP254" s="332"/>
      <c r="AQ254" s="332">
        <v>1</v>
      </c>
      <c r="AR254" s="332">
        <v>1</v>
      </c>
      <c r="AS254" s="332"/>
      <c r="AT254" s="332"/>
      <c r="AU254" s="332"/>
      <c r="AV254" s="332">
        <v>1</v>
      </c>
      <c r="AW254" s="332"/>
      <c r="AX254" s="332"/>
      <c r="AY254" s="332"/>
      <c r="AZ254" s="332">
        <v>1</v>
      </c>
      <c r="BA254" s="332">
        <v>1</v>
      </c>
    </row>
    <row r="255" spans="1:53" s="391" customFormat="1" ht="58.9" hidden="1" customHeight="1">
      <c r="A255" s="168" t="s">
        <v>942</v>
      </c>
      <c r="B255" s="168" t="s">
        <v>194</v>
      </c>
      <c r="C255" s="169" t="s">
        <v>84</v>
      </c>
      <c r="D255" s="144" t="s">
        <v>213</v>
      </c>
      <c r="E255" s="169" t="s">
        <v>3</v>
      </c>
      <c r="F255" s="169" t="s">
        <v>155</v>
      </c>
      <c r="G255" s="149" t="s">
        <v>739</v>
      </c>
      <c r="H255" s="170" t="s">
        <v>740</v>
      </c>
      <c r="I255" s="170" t="s">
        <v>943</v>
      </c>
      <c r="J255" s="170"/>
      <c r="K255" s="170"/>
      <c r="L255" s="170" t="s">
        <v>937</v>
      </c>
      <c r="M255" s="170"/>
      <c r="N255" s="187"/>
      <c r="O255" s="164"/>
      <c r="P255" s="164" t="s">
        <v>80</v>
      </c>
      <c r="Q255" s="186" t="s">
        <v>7</v>
      </c>
      <c r="R255" s="164"/>
      <c r="S255" s="172">
        <v>1</v>
      </c>
      <c r="T255" s="157">
        <v>-2.75</v>
      </c>
      <c r="U255" s="173">
        <f t="shared" si="5"/>
        <v>-2.75</v>
      </c>
      <c r="V255" s="174">
        <v>1</v>
      </c>
      <c r="W255" s="174">
        <v>1</v>
      </c>
      <c r="X255" s="174">
        <v>1</v>
      </c>
      <c r="Y255" s="174">
        <v>1</v>
      </c>
      <c r="Z255" s="174">
        <v>1</v>
      </c>
      <c r="AA255" s="174">
        <v>1</v>
      </c>
      <c r="AB255" s="174">
        <v>1</v>
      </c>
      <c r="AC255" s="174">
        <v>1</v>
      </c>
      <c r="AD255" s="174">
        <v>1</v>
      </c>
      <c r="AE255" s="174">
        <v>1</v>
      </c>
      <c r="AF255" s="174">
        <v>1</v>
      </c>
      <c r="AG255" s="174">
        <v>1</v>
      </c>
      <c r="AH255" s="174">
        <v>1</v>
      </c>
      <c r="AI255" s="174">
        <v>1</v>
      </c>
      <c r="AJ255" s="174">
        <v>1</v>
      </c>
      <c r="AK255" s="174">
        <v>1</v>
      </c>
      <c r="AL255" s="174">
        <v>1</v>
      </c>
      <c r="AM255" s="478">
        <v>1</v>
      </c>
      <c r="AN255" s="174">
        <v>1</v>
      </c>
      <c r="AO255" s="174">
        <v>1</v>
      </c>
      <c r="AP255" s="174">
        <v>1</v>
      </c>
      <c r="AQ255" s="174">
        <v>1</v>
      </c>
      <c r="AR255" s="174">
        <v>1</v>
      </c>
      <c r="AS255" s="174">
        <v>1</v>
      </c>
      <c r="AT255" s="174"/>
      <c r="AU255" s="174"/>
      <c r="AV255" s="174">
        <v>1</v>
      </c>
      <c r="AW255" s="174">
        <v>1</v>
      </c>
      <c r="AX255" s="174">
        <v>1</v>
      </c>
      <c r="AY255" s="174">
        <v>1</v>
      </c>
      <c r="AZ255" s="174">
        <v>1</v>
      </c>
      <c r="BA255" s="174">
        <v>1</v>
      </c>
    </row>
    <row r="256" spans="1:53" s="391" customFormat="1" ht="58.9" hidden="1" customHeight="1">
      <c r="A256" s="243">
        <v>306</v>
      </c>
      <c r="B256" s="243" t="s">
        <v>194</v>
      </c>
      <c r="C256" s="236" t="s">
        <v>84</v>
      </c>
      <c r="D256" s="238" t="s">
        <v>85</v>
      </c>
      <c r="E256" s="236" t="s">
        <v>3</v>
      </c>
      <c r="F256" s="169" t="s">
        <v>86</v>
      </c>
      <c r="G256" s="237" t="s">
        <v>944</v>
      </c>
      <c r="H256" s="385" t="s">
        <v>945</v>
      </c>
      <c r="I256" s="237" t="s">
        <v>946</v>
      </c>
      <c r="J256" s="237" t="s">
        <v>947</v>
      </c>
      <c r="K256" s="237"/>
      <c r="L256" s="237" t="s">
        <v>948</v>
      </c>
      <c r="M256" s="170"/>
      <c r="N256" s="187"/>
      <c r="O256" s="164"/>
      <c r="P256" s="240" t="s">
        <v>80</v>
      </c>
      <c r="Q256" s="240" t="s">
        <v>7</v>
      </c>
      <c r="R256" s="240"/>
      <c r="S256" s="241">
        <v>0.75</v>
      </c>
      <c r="T256" s="242">
        <v>-6</v>
      </c>
      <c r="U256" s="351">
        <f t="shared" si="5"/>
        <v>-4.5</v>
      </c>
      <c r="V256" s="352">
        <v>1</v>
      </c>
      <c r="W256" s="352">
        <v>1</v>
      </c>
      <c r="X256" s="352">
        <v>1</v>
      </c>
      <c r="Y256" s="352">
        <v>1</v>
      </c>
      <c r="Z256" s="352">
        <v>1</v>
      </c>
      <c r="AA256" s="352">
        <v>1</v>
      </c>
      <c r="AB256" s="352">
        <v>1</v>
      </c>
      <c r="AC256" s="352">
        <v>1</v>
      </c>
      <c r="AD256" s="352">
        <v>1</v>
      </c>
      <c r="AE256" s="352">
        <v>1</v>
      </c>
      <c r="AF256" s="352">
        <v>1</v>
      </c>
      <c r="AG256" s="352">
        <v>1</v>
      </c>
      <c r="AH256" s="352">
        <v>1</v>
      </c>
      <c r="AI256" s="352">
        <v>1</v>
      </c>
      <c r="AJ256" s="352">
        <v>1</v>
      </c>
      <c r="AK256" s="352">
        <v>1</v>
      </c>
      <c r="AL256" s="352">
        <v>1</v>
      </c>
      <c r="AM256" s="479">
        <v>1</v>
      </c>
      <c r="AN256" s="174">
        <v>1</v>
      </c>
      <c r="AO256" s="174">
        <v>1</v>
      </c>
      <c r="AP256" s="174">
        <v>1</v>
      </c>
      <c r="AQ256" s="174">
        <v>1</v>
      </c>
      <c r="AR256" s="174">
        <v>1</v>
      </c>
      <c r="AS256" s="174">
        <v>1</v>
      </c>
      <c r="AT256" s="174"/>
      <c r="AU256" s="174"/>
      <c r="AV256" s="174">
        <v>1</v>
      </c>
      <c r="AW256" s="174">
        <v>1</v>
      </c>
      <c r="AX256" s="174">
        <v>1</v>
      </c>
      <c r="AY256" s="174">
        <v>1</v>
      </c>
      <c r="AZ256" s="174">
        <v>1</v>
      </c>
      <c r="BA256" s="174">
        <v>1</v>
      </c>
    </row>
    <row r="257" spans="1:53" ht="25.9" hidden="1" customHeight="1">
      <c r="A257" s="264"/>
      <c r="B257" s="265">
        <v>45579</v>
      </c>
      <c r="C257" s="266" t="s">
        <v>75</v>
      </c>
      <c r="D257" s="448" t="s">
        <v>76</v>
      </c>
      <c r="E257" s="266" t="s">
        <v>3</v>
      </c>
      <c r="F257" s="266" t="s">
        <v>502</v>
      </c>
      <c r="G257" s="266" t="s">
        <v>949</v>
      </c>
      <c r="H257" s="266" t="s">
        <v>950</v>
      </c>
      <c r="I257" s="266"/>
      <c r="J257" s="266"/>
      <c r="K257" s="266"/>
      <c r="L257" s="266"/>
      <c r="M257" s="266"/>
      <c r="N257" s="266"/>
      <c r="O257" s="266"/>
      <c r="P257" s="266" t="s">
        <v>80</v>
      </c>
      <c r="Q257" s="266" t="s">
        <v>7</v>
      </c>
      <c r="R257" s="166" t="s">
        <v>414</v>
      </c>
      <c r="S257" s="178">
        <v>1</v>
      </c>
      <c r="T257" s="158">
        <v>-3.15</v>
      </c>
      <c r="U257" s="440">
        <f>T257*S257</f>
        <v>-3.15</v>
      </c>
      <c r="V257" s="273"/>
      <c r="W257" s="273"/>
      <c r="X257" s="273"/>
      <c r="Y257" s="273">
        <v>1</v>
      </c>
      <c r="Z257" s="273">
        <v>1</v>
      </c>
      <c r="AA257" s="273"/>
      <c r="AB257" s="273"/>
      <c r="AC257" s="273">
        <v>1</v>
      </c>
      <c r="AD257" s="273">
        <v>1</v>
      </c>
      <c r="AE257" s="273"/>
      <c r="AF257" s="273"/>
      <c r="AG257" s="273"/>
      <c r="AH257" s="273">
        <v>1</v>
      </c>
      <c r="AI257" s="273">
        <v>1</v>
      </c>
      <c r="AJ257" s="273"/>
      <c r="AK257" s="273"/>
      <c r="AL257" s="273">
        <v>1</v>
      </c>
      <c r="AM257" s="483">
        <v>1</v>
      </c>
      <c r="AN257" s="273"/>
      <c r="AO257" s="273"/>
      <c r="AP257" s="504"/>
      <c r="AQ257" s="273">
        <v>1</v>
      </c>
      <c r="AR257" s="273">
        <v>1</v>
      </c>
      <c r="AS257" s="273"/>
      <c r="AT257" s="273"/>
      <c r="AU257" s="504"/>
      <c r="AV257" s="273">
        <v>1</v>
      </c>
      <c r="AW257" s="273"/>
      <c r="AX257" s="273"/>
      <c r="AY257" s="504"/>
      <c r="AZ257" s="273">
        <v>1</v>
      </c>
      <c r="BA257" s="273">
        <v>1</v>
      </c>
    </row>
    <row r="258" spans="1:53" ht="25.9" hidden="1" customHeight="1">
      <c r="A258" s="264"/>
      <c r="B258" s="265">
        <v>45579</v>
      </c>
      <c r="C258" s="266" t="s">
        <v>75</v>
      </c>
      <c r="D258" s="448" t="s">
        <v>76</v>
      </c>
      <c r="E258" s="266" t="s">
        <v>3</v>
      </c>
      <c r="F258" s="266" t="s">
        <v>502</v>
      </c>
      <c r="G258" s="266" t="s">
        <v>949</v>
      </c>
      <c r="H258" s="266" t="s">
        <v>950</v>
      </c>
      <c r="I258" s="266"/>
      <c r="J258" s="266"/>
      <c r="K258" s="266"/>
      <c r="L258" s="266"/>
      <c r="M258" s="266"/>
      <c r="N258" s="266"/>
      <c r="O258" s="266"/>
      <c r="P258" s="266" t="s">
        <v>80</v>
      </c>
      <c r="Q258" s="266" t="s">
        <v>7</v>
      </c>
      <c r="R258" s="166" t="s">
        <v>414</v>
      </c>
      <c r="S258" s="178">
        <v>1</v>
      </c>
      <c r="T258" s="158">
        <v>2.5</v>
      </c>
      <c r="U258" s="440">
        <f t="shared" si="5"/>
        <v>2.5</v>
      </c>
      <c r="V258" s="273"/>
      <c r="W258" s="273"/>
      <c r="X258" s="273"/>
      <c r="Y258" s="273">
        <v>1</v>
      </c>
      <c r="Z258" s="273">
        <v>1</v>
      </c>
      <c r="AA258" s="273"/>
      <c r="AB258" s="273"/>
      <c r="AC258" s="273">
        <v>1</v>
      </c>
      <c r="AD258" s="273">
        <v>1</v>
      </c>
      <c r="AE258" s="273"/>
      <c r="AF258" s="273"/>
      <c r="AG258" s="273"/>
      <c r="AH258" s="273">
        <v>1</v>
      </c>
      <c r="AI258" s="273">
        <v>1</v>
      </c>
      <c r="AJ258" s="273"/>
      <c r="AK258" s="273"/>
      <c r="AL258" s="273">
        <v>1</v>
      </c>
      <c r="AM258" s="483">
        <v>1</v>
      </c>
      <c r="AN258" s="273"/>
      <c r="AO258" s="273"/>
      <c r="AP258" s="504"/>
      <c r="AQ258" s="273">
        <v>1</v>
      </c>
      <c r="AR258" s="273">
        <v>1</v>
      </c>
      <c r="AS258" s="273"/>
      <c r="AT258" s="273"/>
      <c r="AU258" s="504"/>
      <c r="AV258" s="273">
        <v>1</v>
      </c>
      <c r="AW258" s="273"/>
      <c r="AX258" s="273"/>
      <c r="AY258" s="504"/>
      <c r="AZ258" s="273">
        <v>1</v>
      </c>
      <c r="BA258" s="273">
        <v>1</v>
      </c>
    </row>
    <row r="259" spans="1:53" ht="25.9" hidden="1" customHeight="1">
      <c r="A259" s="264"/>
      <c r="B259" s="265">
        <v>45579</v>
      </c>
      <c r="C259" s="266" t="s">
        <v>75</v>
      </c>
      <c r="D259" s="448" t="s">
        <v>76</v>
      </c>
      <c r="E259" s="266" t="s">
        <v>3</v>
      </c>
      <c r="F259" s="266" t="s">
        <v>502</v>
      </c>
      <c r="G259" s="266" t="s">
        <v>951</v>
      </c>
      <c r="H259" s="266" t="s">
        <v>952</v>
      </c>
      <c r="I259" s="266"/>
      <c r="J259" s="266"/>
      <c r="K259" s="266"/>
      <c r="L259" s="266"/>
      <c r="M259" s="266"/>
      <c r="N259" s="266"/>
      <c r="O259" s="266"/>
      <c r="P259" s="266" t="s">
        <v>80</v>
      </c>
      <c r="Q259" s="266" t="s">
        <v>7</v>
      </c>
      <c r="R259" s="166" t="s">
        <v>414</v>
      </c>
      <c r="S259" s="178">
        <v>1</v>
      </c>
      <c r="T259" s="158">
        <v>-0.50099999999999945</v>
      </c>
      <c r="U259" s="440">
        <f t="shared" si="5"/>
        <v>-0.50099999999999945</v>
      </c>
      <c r="V259" s="273"/>
      <c r="W259" s="273"/>
      <c r="X259" s="273"/>
      <c r="Y259" s="273">
        <v>1</v>
      </c>
      <c r="Z259" s="273">
        <v>1</v>
      </c>
      <c r="AA259" s="273"/>
      <c r="AB259" s="273"/>
      <c r="AC259" s="273">
        <v>1</v>
      </c>
      <c r="AD259" s="273">
        <v>1</v>
      </c>
      <c r="AE259" s="273"/>
      <c r="AF259" s="273"/>
      <c r="AG259" s="273"/>
      <c r="AH259" s="273">
        <v>1</v>
      </c>
      <c r="AI259" s="273">
        <v>1</v>
      </c>
      <c r="AJ259" s="273"/>
      <c r="AK259" s="273"/>
      <c r="AL259" s="273">
        <v>1</v>
      </c>
      <c r="AM259" s="483">
        <v>1</v>
      </c>
      <c r="AN259" s="273"/>
      <c r="AO259" s="273"/>
      <c r="AP259" s="504"/>
      <c r="AQ259" s="273">
        <v>1</v>
      </c>
      <c r="AR259" s="273">
        <v>1</v>
      </c>
      <c r="AS259" s="273"/>
      <c r="AT259" s="273"/>
      <c r="AU259" s="504"/>
      <c r="AV259" s="273">
        <v>1</v>
      </c>
      <c r="AW259" s="273"/>
      <c r="AX259" s="273"/>
      <c r="AY259" s="504"/>
      <c r="AZ259" s="273">
        <v>1</v>
      </c>
      <c r="BA259" s="273">
        <v>1</v>
      </c>
    </row>
    <row r="260" spans="1:53" ht="25.9" hidden="1" customHeight="1">
      <c r="A260" s="264"/>
      <c r="B260" s="265">
        <v>45579</v>
      </c>
      <c r="C260" s="266" t="s">
        <v>75</v>
      </c>
      <c r="D260" s="448" t="s">
        <v>76</v>
      </c>
      <c r="E260" s="266" t="s">
        <v>3</v>
      </c>
      <c r="F260" s="266" t="s">
        <v>502</v>
      </c>
      <c r="G260" s="266" t="s">
        <v>953</v>
      </c>
      <c r="H260" s="266" t="s">
        <v>954</v>
      </c>
      <c r="I260" s="266"/>
      <c r="J260" s="266"/>
      <c r="K260" s="266"/>
      <c r="L260" s="266"/>
      <c r="M260" s="266"/>
      <c r="N260" s="266"/>
      <c r="O260" s="266"/>
      <c r="P260" s="266" t="s">
        <v>80</v>
      </c>
      <c r="Q260" s="266" t="s">
        <v>7</v>
      </c>
      <c r="R260" s="166" t="s">
        <v>414</v>
      </c>
      <c r="S260" s="178">
        <v>1</v>
      </c>
      <c r="T260" s="158">
        <v>-32.520000000000003</v>
      </c>
      <c r="U260" s="440">
        <f t="shared" ref="U260:U263" si="7">T260*S260</f>
        <v>-32.520000000000003</v>
      </c>
      <c r="V260" s="273"/>
      <c r="W260" s="273"/>
      <c r="X260" s="273"/>
      <c r="Y260" s="273">
        <v>1</v>
      </c>
      <c r="Z260" s="273">
        <v>1</v>
      </c>
      <c r="AA260" s="273"/>
      <c r="AB260" s="273"/>
      <c r="AC260" s="273">
        <v>1</v>
      </c>
      <c r="AD260" s="273">
        <v>1</v>
      </c>
      <c r="AE260" s="273"/>
      <c r="AF260" s="273"/>
      <c r="AG260" s="273"/>
      <c r="AH260" s="273">
        <v>1</v>
      </c>
      <c r="AI260" s="273">
        <v>1</v>
      </c>
      <c r="AJ260" s="273"/>
      <c r="AK260" s="273"/>
      <c r="AL260" s="273">
        <v>1</v>
      </c>
      <c r="AM260" s="483">
        <v>1</v>
      </c>
      <c r="AN260" s="273"/>
      <c r="AO260" s="273"/>
      <c r="AP260" s="504"/>
      <c r="AQ260" s="273">
        <v>1</v>
      </c>
      <c r="AR260" s="273">
        <v>1</v>
      </c>
      <c r="AS260" s="273"/>
      <c r="AT260" s="273"/>
      <c r="AU260" s="504"/>
      <c r="AV260" s="273">
        <v>1</v>
      </c>
      <c r="AW260" s="273"/>
      <c r="AX260" s="273"/>
      <c r="AY260" s="504"/>
      <c r="AZ260" s="273">
        <v>1</v>
      </c>
      <c r="BA260" s="273">
        <v>1</v>
      </c>
    </row>
    <row r="261" spans="1:53" ht="25.9" hidden="1" customHeight="1">
      <c r="A261" s="264"/>
      <c r="B261" s="265">
        <v>45579</v>
      </c>
      <c r="C261" s="266" t="s">
        <v>75</v>
      </c>
      <c r="D261" s="448" t="s">
        <v>76</v>
      </c>
      <c r="E261" s="266" t="s">
        <v>3</v>
      </c>
      <c r="F261" s="266" t="s">
        <v>502</v>
      </c>
      <c r="G261" s="266" t="s">
        <v>955</v>
      </c>
      <c r="H261" s="266" t="s">
        <v>956</v>
      </c>
      <c r="I261" s="266"/>
      <c r="J261" s="266"/>
      <c r="K261" s="266"/>
      <c r="L261" s="266"/>
      <c r="M261" s="266"/>
      <c r="N261" s="266"/>
      <c r="O261" s="266"/>
      <c r="P261" s="266" t="s">
        <v>80</v>
      </c>
      <c r="Q261" s="266" t="s">
        <v>7</v>
      </c>
      <c r="R261" s="166" t="s">
        <v>414</v>
      </c>
      <c r="S261" s="178">
        <v>1</v>
      </c>
      <c r="T261" s="158">
        <v>-23.159000000000002</v>
      </c>
      <c r="U261" s="440">
        <f t="shared" si="7"/>
        <v>-23.159000000000002</v>
      </c>
      <c r="V261" s="273"/>
      <c r="W261" s="273"/>
      <c r="X261" s="273"/>
      <c r="Y261" s="273">
        <v>1</v>
      </c>
      <c r="Z261" s="273">
        <v>1</v>
      </c>
      <c r="AA261" s="273"/>
      <c r="AB261" s="273"/>
      <c r="AC261" s="273">
        <v>1</v>
      </c>
      <c r="AD261" s="273">
        <v>1</v>
      </c>
      <c r="AE261" s="273"/>
      <c r="AF261" s="273"/>
      <c r="AG261" s="273"/>
      <c r="AH261" s="273">
        <v>1</v>
      </c>
      <c r="AI261" s="273">
        <v>1</v>
      </c>
      <c r="AJ261" s="273"/>
      <c r="AK261" s="273"/>
      <c r="AL261" s="273">
        <v>1</v>
      </c>
      <c r="AM261" s="483">
        <v>1</v>
      </c>
      <c r="AN261" s="273"/>
      <c r="AO261" s="273"/>
      <c r="AP261" s="504"/>
      <c r="AQ261" s="273">
        <v>1</v>
      </c>
      <c r="AR261" s="273">
        <v>1</v>
      </c>
      <c r="AS261" s="273"/>
      <c r="AT261" s="273"/>
      <c r="AU261" s="504"/>
      <c r="AV261" s="273">
        <v>1</v>
      </c>
      <c r="AW261" s="273"/>
      <c r="AX261" s="273"/>
      <c r="AY261" s="504"/>
      <c r="AZ261" s="273">
        <v>1</v>
      </c>
      <c r="BA261" s="273">
        <v>1</v>
      </c>
    </row>
    <row r="262" spans="1:53" ht="25.9" hidden="1" customHeight="1">
      <c r="A262" s="264"/>
      <c r="B262" s="265">
        <v>45579</v>
      </c>
      <c r="C262" s="266" t="s">
        <v>75</v>
      </c>
      <c r="D262" s="448" t="s">
        <v>76</v>
      </c>
      <c r="E262" s="266" t="s">
        <v>3</v>
      </c>
      <c r="F262" s="266" t="s">
        <v>502</v>
      </c>
      <c r="G262" s="266" t="s">
        <v>955</v>
      </c>
      <c r="H262" s="266" t="s">
        <v>956</v>
      </c>
      <c r="I262" s="266"/>
      <c r="J262" s="266"/>
      <c r="K262" s="266"/>
      <c r="L262" s="266"/>
      <c r="M262" s="266"/>
      <c r="N262" s="266"/>
      <c r="O262" s="266"/>
      <c r="P262" s="266" t="s">
        <v>80</v>
      </c>
      <c r="Q262" s="266" t="s">
        <v>7</v>
      </c>
      <c r="R262" s="166" t="s">
        <v>414</v>
      </c>
      <c r="S262" s="178">
        <v>1</v>
      </c>
      <c r="T262" s="158">
        <v>6.5</v>
      </c>
      <c r="U262" s="440">
        <f t="shared" ref="U262" si="8">T262*S262</f>
        <v>6.5</v>
      </c>
      <c r="V262" s="273"/>
      <c r="W262" s="273"/>
      <c r="X262" s="273"/>
      <c r="Y262" s="273">
        <v>1</v>
      </c>
      <c r="Z262" s="273">
        <v>1</v>
      </c>
      <c r="AA262" s="273"/>
      <c r="AB262" s="273"/>
      <c r="AC262" s="273">
        <v>1</v>
      </c>
      <c r="AD262" s="273">
        <v>1</v>
      </c>
      <c r="AE262" s="273"/>
      <c r="AF262" s="273"/>
      <c r="AG262" s="273"/>
      <c r="AH262" s="273">
        <v>1</v>
      </c>
      <c r="AI262" s="273">
        <v>1</v>
      </c>
      <c r="AJ262" s="273"/>
      <c r="AK262" s="273"/>
      <c r="AL262" s="273">
        <v>1</v>
      </c>
      <c r="AM262" s="483">
        <v>1</v>
      </c>
      <c r="AN262" s="273"/>
      <c r="AO262" s="273"/>
      <c r="AP262" s="504"/>
      <c r="AQ262" s="273">
        <v>1</v>
      </c>
      <c r="AR262" s="273">
        <v>1</v>
      </c>
      <c r="AS262" s="273"/>
      <c r="AT262" s="273"/>
      <c r="AU262" s="504"/>
      <c r="AV262" s="273">
        <v>1</v>
      </c>
      <c r="AW262" s="273"/>
      <c r="AX262" s="273"/>
      <c r="AY262" s="504"/>
      <c r="AZ262" s="273">
        <v>1</v>
      </c>
      <c r="BA262" s="273">
        <v>1</v>
      </c>
    </row>
    <row r="263" spans="1:53" ht="25.9" hidden="1" customHeight="1">
      <c r="A263" s="264"/>
      <c r="B263" s="265">
        <v>45579</v>
      </c>
      <c r="C263" s="266" t="s">
        <v>75</v>
      </c>
      <c r="D263" s="448" t="s">
        <v>76</v>
      </c>
      <c r="E263" s="266" t="s">
        <v>3</v>
      </c>
      <c r="F263" s="266" t="s">
        <v>502</v>
      </c>
      <c r="G263" s="266" t="s">
        <v>957</v>
      </c>
      <c r="H263" s="266" t="s">
        <v>958</v>
      </c>
      <c r="I263" s="266"/>
      <c r="J263" s="266"/>
      <c r="K263" s="266"/>
      <c r="L263" s="266"/>
      <c r="M263" s="266"/>
      <c r="N263" s="266"/>
      <c r="O263" s="266"/>
      <c r="P263" s="266" t="s">
        <v>80</v>
      </c>
      <c r="Q263" s="266" t="s">
        <v>7</v>
      </c>
      <c r="R263" s="166" t="s">
        <v>414</v>
      </c>
      <c r="S263" s="178">
        <v>1</v>
      </c>
      <c r="T263" s="158">
        <v>2.6170000000000009</v>
      </c>
      <c r="U263" s="440">
        <f t="shared" si="7"/>
        <v>2.6170000000000009</v>
      </c>
      <c r="V263" s="273"/>
      <c r="W263" s="273"/>
      <c r="X263" s="273"/>
      <c r="Y263" s="273">
        <v>1</v>
      </c>
      <c r="Z263" s="273">
        <v>1</v>
      </c>
      <c r="AA263" s="273"/>
      <c r="AB263" s="273"/>
      <c r="AC263" s="273">
        <v>1</v>
      </c>
      <c r="AD263" s="273">
        <v>1</v>
      </c>
      <c r="AE263" s="273"/>
      <c r="AF263" s="273"/>
      <c r="AG263" s="273"/>
      <c r="AH263" s="273">
        <v>1</v>
      </c>
      <c r="AI263" s="273">
        <v>1</v>
      </c>
      <c r="AJ263" s="273"/>
      <c r="AK263" s="273"/>
      <c r="AL263" s="273">
        <v>1</v>
      </c>
      <c r="AM263" s="483">
        <v>1</v>
      </c>
      <c r="AN263" s="273"/>
      <c r="AO263" s="273"/>
      <c r="AP263" s="504"/>
      <c r="AQ263" s="273">
        <v>1</v>
      </c>
      <c r="AR263" s="273">
        <v>1</v>
      </c>
      <c r="AS263" s="273"/>
      <c r="AT263" s="273"/>
      <c r="AU263" s="504"/>
      <c r="AV263" s="273">
        <v>1</v>
      </c>
      <c r="AW263" s="273"/>
      <c r="AX263" s="273"/>
      <c r="AY263" s="504"/>
      <c r="AZ263" s="273">
        <v>1</v>
      </c>
      <c r="BA263" s="273">
        <v>1</v>
      </c>
    </row>
    <row r="264" spans="1:53" ht="25.9" hidden="1" customHeight="1">
      <c r="A264" s="264"/>
      <c r="B264" s="265">
        <v>45579</v>
      </c>
      <c r="C264" s="266" t="s">
        <v>75</v>
      </c>
      <c r="D264" s="448" t="s">
        <v>76</v>
      </c>
      <c r="E264" s="266" t="s">
        <v>3</v>
      </c>
      <c r="F264" s="266" t="s">
        <v>502</v>
      </c>
      <c r="G264" s="266" t="s">
        <v>957</v>
      </c>
      <c r="H264" s="266" t="s">
        <v>958</v>
      </c>
      <c r="I264" s="266"/>
      <c r="J264" s="266"/>
      <c r="K264" s="266"/>
      <c r="L264" s="266"/>
      <c r="M264" s="266"/>
      <c r="N264" s="266"/>
      <c r="O264" s="266"/>
      <c r="P264" s="266" t="s">
        <v>80</v>
      </c>
      <c r="Q264" s="266" t="s">
        <v>7</v>
      </c>
      <c r="R264" s="166" t="s">
        <v>414</v>
      </c>
      <c r="S264" s="178">
        <v>1</v>
      </c>
      <c r="T264" s="158">
        <v>1.2</v>
      </c>
      <c r="U264" s="440">
        <f t="shared" ref="U264" si="9">T264*S264</f>
        <v>1.2</v>
      </c>
      <c r="V264" s="273"/>
      <c r="W264" s="273"/>
      <c r="X264" s="273"/>
      <c r="Y264" s="273">
        <v>1</v>
      </c>
      <c r="Z264" s="273">
        <v>1</v>
      </c>
      <c r="AA264" s="273"/>
      <c r="AB264" s="273"/>
      <c r="AC264" s="273">
        <v>1</v>
      </c>
      <c r="AD264" s="273">
        <v>1</v>
      </c>
      <c r="AE264" s="273"/>
      <c r="AF264" s="273"/>
      <c r="AG264" s="273"/>
      <c r="AH264" s="273">
        <v>1</v>
      </c>
      <c r="AI264" s="273">
        <v>1</v>
      </c>
      <c r="AJ264" s="273"/>
      <c r="AK264" s="273"/>
      <c r="AL264" s="273">
        <v>1</v>
      </c>
      <c r="AM264" s="483">
        <v>1</v>
      </c>
      <c r="AN264" s="273"/>
      <c r="AO264" s="273"/>
      <c r="AP264" s="504"/>
      <c r="AQ264" s="273">
        <v>1</v>
      </c>
      <c r="AR264" s="273">
        <v>1</v>
      </c>
      <c r="AS264" s="273"/>
      <c r="AT264" s="273"/>
      <c r="AU264" s="504"/>
      <c r="AV264" s="273">
        <v>1</v>
      </c>
      <c r="AW264" s="273"/>
      <c r="AX264" s="273"/>
      <c r="AY264" s="504"/>
      <c r="AZ264" s="273">
        <v>1</v>
      </c>
      <c r="BA264" s="273">
        <v>1</v>
      </c>
    </row>
    <row r="265" spans="1:53" ht="25.9" hidden="1" customHeight="1">
      <c r="A265" s="264"/>
      <c r="B265" s="265">
        <v>45579</v>
      </c>
      <c r="C265" s="266" t="s">
        <v>75</v>
      </c>
      <c r="D265" s="448" t="s">
        <v>76</v>
      </c>
      <c r="E265" s="266" t="s">
        <v>3</v>
      </c>
      <c r="F265" s="266" t="s">
        <v>502</v>
      </c>
      <c r="G265" s="266" t="s">
        <v>959</v>
      </c>
      <c r="H265" s="266" t="s">
        <v>960</v>
      </c>
      <c r="I265" s="266"/>
      <c r="J265" s="266"/>
      <c r="K265" s="266"/>
      <c r="L265" s="266"/>
      <c r="M265" s="266"/>
      <c r="N265" s="266"/>
      <c r="O265" s="266"/>
      <c r="P265" s="266" t="s">
        <v>80</v>
      </c>
      <c r="Q265" s="266" t="s">
        <v>7</v>
      </c>
      <c r="R265" s="166" t="s">
        <v>414</v>
      </c>
      <c r="S265" s="178">
        <v>1</v>
      </c>
      <c r="T265" s="158">
        <v>-4.389999999999997</v>
      </c>
      <c r="U265" s="440">
        <f t="shared" ref="U265" si="10">T265*S265</f>
        <v>-4.389999999999997</v>
      </c>
      <c r="V265" s="273"/>
      <c r="W265" s="273"/>
      <c r="X265" s="273"/>
      <c r="Y265" s="273">
        <v>1</v>
      </c>
      <c r="Z265" s="273">
        <v>1</v>
      </c>
      <c r="AA265" s="273"/>
      <c r="AB265" s="273"/>
      <c r="AC265" s="273">
        <v>1</v>
      </c>
      <c r="AD265" s="273">
        <v>1</v>
      </c>
      <c r="AE265" s="273"/>
      <c r="AF265" s="273"/>
      <c r="AG265" s="273"/>
      <c r="AH265" s="273">
        <v>1</v>
      </c>
      <c r="AI265" s="273">
        <v>1</v>
      </c>
      <c r="AJ265" s="273"/>
      <c r="AK265" s="273"/>
      <c r="AL265" s="273">
        <v>1</v>
      </c>
      <c r="AM265" s="483">
        <v>1</v>
      </c>
      <c r="AN265" s="273"/>
      <c r="AO265" s="273"/>
      <c r="AP265" s="504"/>
      <c r="AQ265" s="273">
        <v>1</v>
      </c>
      <c r="AR265" s="273">
        <v>1</v>
      </c>
      <c r="AS265" s="273"/>
      <c r="AT265" s="273"/>
      <c r="AU265" s="504"/>
      <c r="AV265" s="273">
        <v>1</v>
      </c>
      <c r="AW265" s="273"/>
      <c r="AX265" s="273"/>
      <c r="AY265" s="504"/>
      <c r="AZ265" s="273">
        <v>1</v>
      </c>
      <c r="BA265" s="273">
        <v>1</v>
      </c>
    </row>
    <row r="266" spans="1:53" ht="25.9" hidden="1" customHeight="1">
      <c r="A266" s="264"/>
      <c r="B266" s="265">
        <v>45579</v>
      </c>
      <c r="C266" s="266" t="s">
        <v>75</v>
      </c>
      <c r="D266" s="448" t="s">
        <v>76</v>
      </c>
      <c r="E266" s="266" t="s">
        <v>3</v>
      </c>
      <c r="F266" s="266" t="s">
        <v>502</v>
      </c>
      <c r="G266" s="266" t="s">
        <v>959</v>
      </c>
      <c r="H266" s="266" t="s">
        <v>960</v>
      </c>
      <c r="I266" s="266"/>
      <c r="J266" s="266"/>
      <c r="K266" s="266"/>
      <c r="L266" s="266"/>
      <c r="M266" s="266"/>
      <c r="N266" s="266"/>
      <c r="O266" s="266"/>
      <c r="P266" s="266" t="s">
        <v>80</v>
      </c>
      <c r="Q266" s="266" t="s">
        <v>7</v>
      </c>
      <c r="R266" s="166" t="s">
        <v>414</v>
      </c>
      <c r="S266" s="178">
        <v>1</v>
      </c>
      <c r="T266" s="158">
        <v>1.8</v>
      </c>
      <c r="U266" s="440">
        <f t="shared" ref="U266:U278" si="11">T266*S266</f>
        <v>1.8</v>
      </c>
      <c r="V266" s="273"/>
      <c r="W266" s="273"/>
      <c r="X266" s="273"/>
      <c r="Y266" s="273">
        <v>1</v>
      </c>
      <c r="Z266" s="273">
        <v>1</v>
      </c>
      <c r="AA266" s="273"/>
      <c r="AB266" s="273"/>
      <c r="AC266" s="273">
        <v>1</v>
      </c>
      <c r="AD266" s="273">
        <v>1</v>
      </c>
      <c r="AE266" s="273"/>
      <c r="AF266" s="273"/>
      <c r="AG266" s="273"/>
      <c r="AH266" s="273">
        <v>1</v>
      </c>
      <c r="AI266" s="273">
        <v>1</v>
      </c>
      <c r="AJ266" s="273"/>
      <c r="AK266" s="273"/>
      <c r="AL266" s="273">
        <v>1</v>
      </c>
      <c r="AM266" s="483">
        <v>1</v>
      </c>
      <c r="AN266" s="273"/>
      <c r="AO266" s="273"/>
      <c r="AP266" s="504"/>
      <c r="AQ266" s="273">
        <v>1</v>
      </c>
      <c r="AR266" s="273">
        <v>1</v>
      </c>
      <c r="AS266" s="273"/>
      <c r="AT266" s="273"/>
      <c r="AU266" s="504"/>
      <c r="AV266" s="273">
        <v>1</v>
      </c>
      <c r="AW266" s="273"/>
      <c r="AX266" s="273"/>
      <c r="AY266" s="504"/>
      <c r="AZ266" s="273">
        <v>1</v>
      </c>
      <c r="BA266" s="273">
        <v>1</v>
      </c>
    </row>
    <row r="267" spans="1:53" ht="29.25" hidden="1" customHeight="1">
      <c r="A267" s="168"/>
      <c r="B267" s="251">
        <v>38406</v>
      </c>
      <c r="C267" s="236" t="s">
        <v>75</v>
      </c>
      <c r="D267" s="467" t="s">
        <v>180</v>
      </c>
      <c r="E267" s="169" t="s">
        <v>3</v>
      </c>
      <c r="F267" s="169" t="s">
        <v>181</v>
      </c>
      <c r="G267" s="171" t="s">
        <v>961</v>
      </c>
      <c r="H267" s="171" t="s">
        <v>961</v>
      </c>
      <c r="I267" s="170" t="s">
        <v>962</v>
      </c>
      <c r="J267" s="185" t="s">
        <v>963</v>
      </c>
      <c r="K267" s="154" t="s">
        <v>546</v>
      </c>
      <c r="L267" s="170"/>
      <c r="M267" s="170"/>
      <c r="N267" s="187"/>
      <c r="O267" s="164"/>
      <c r="P267" s="164" t="s">
        <v>80</v>
      </c>
      <c r="Q267" s="164" t="s">
        <v>7</v>
      </c>
      <c r="R267" s="164" t="s">
        <v>81</v>
      </c>
      <c r="S267" s="172">
        <v>1</v>
      </c>
      <c r="T267" s="157">
        <v>-0.14000000000000001</v>
      </c>
      <c r="U267" s="173">
        <f t="shared" si="11"/>
        <v>-0.14000000000000001</v>
      </c>
      <c r="V267" s="332">
        <v>1</v>
      </c>
      <c r="W267" s="332">
        <v>1</v>
      </c>
      <c r="X267" s="332">
        <v>1</v>
      </c>
      <c r="Y267" s="332">
        <v>1</v>
      </c>
      <c r="Z267" s="332">
        <v>1</v>
      </c>
      <c r="AA267" s="198"/>
      <c r="AB267" s="198"/>
      <c r="AC267" s="198"/>
      <c r="AD267" s="198"/>
      <c r="AE267" s="198"/>
      <c r="AF267" s="198"/>
      <c r="AG267" s="198"/>
      <c r="AH267" s="198"/>
      <c r="AI267" s="198"/>
      <c r="AJ267" s="198"/>
      <c r="AK267" s="198"/>
      <c r="AL267" s="198"/>
      <c r="AM267" s="198"/>
      <c r="AN267" s="332">
        <v>1</v>
      </c>
      <c r="AO267" s="332">
        <v>1</v>
      </c>
      <c r="AP267" s="332">
        <v>1</v>
      </c>
      <c r="AQ267" s="332">
        <v>1</v>
      </c>
      <c r="AR267" s="332">
        <v>1</v>
      </c>
      <c r="AS267" s="332">
        <v>1</v>
      </c>
      <c r="AT267" s="332"/>
      <c r="AU267" s="332"/>
      <c r="AV267" s="332">
        <v>1</v>
      </c>
      <c r="AW267" s="332">
        <v>1</v>
      </c>
      <c r="AX267" s="332">
        <v>1</v>
      </c>
      <c r="AY267" s="332">
        <v>1</v>
      </c>
      <c r="AZ267" s="332">
        <v>1</v>
      </c>
      <c r="BA267" s="332">
        <v>1</v>
      </c>
    </row>
    <row r="268" spans="1:53" ht="29.25" hidden="1" customHeight="1">
      <c r="A268" s="168"/>
      <c r="B268" s="251">
        <v>38406</v>
      </c>
      <c r="C268" s="236" t="s">
        <v>75</v>
      </c>
      <c r="D268" s="467" t="s">
        <v>180</v>
      </c>
      <c r="E268" s="169" t="s">
        <v>3</v>
      </c>
      <c r="F268" s="169" t="s">
        <v>181</v>
      </c>
      <c r="G268" s="171" t="s">
        <v>961</v>
      </c>
      <c r="H268" s="171" t="s">
        <v>961</v>
      </c>
      <c r="I268" s="170" t="s">
        <v>964</v>
      </c>
      <c r="J268" s="185" t="s">
        <v>963</v>
      </c>
      <c r="K268" s="154" t="s">
        <v>546</v>
      </c>
      <c r="L268" s="170"/>
      <c r="M268" s="170"/>
      <c r="N268" s="187"/>
      <c r="O268" s="164"/>
      <c r="P268" s="164" t="s">
        <v>80</v>
      </c>
      <c r="Q268" s="164" t="s">
        <v>7</v>
      </c>
      <c r="R268" s="164" t="s">
        <v>81</v>
      </c>
      <c r="S268" s="172">
        <v>1</v>
      </c>
      <c r="T268" s="157">
        <v>-0.28000000000000003</v>
      </c>
      <c r="U268" s="173">
        <f>T268*S268</f>
        <v>-0.28000000000000003</v>
      </c>
      <c r="V268" s="332">
        <v>1</v>
      </c>
      <c r="W268" s="332">
        <v>1</v>
      </c>
      <c r="X268" s="332">
        <v>1</v>
      </c>
      <c r="Y268" s="332">
        <v>1</v>
      </c>
      <c r="Z268" s="332">
        <v>1</v>
      </c>
      <c r="AA268" s="198"/>
      <c r="AB268" s="198"/>
      <c r="AC268" s="198"/>
      <c r="AD268" s="198"/>
      <c r="AE268" s="198"/>
      <c r="AF268" s="198"/>
      <c r="AG268" s="198"/>
      <c r="AH268" s="198"/>
      <c r="AI268" s="198"/>
      <c r="AJ268" s="198"/>
      <c r="AK268" s="198"/>
      <c r="AL268" s="198"/>
      <c r="AM268" s="198"/>
      <c r="AN268" s="332">
        <v>1</v>
      </c>
      <c r="AO268" s="332">
        <v>1</v>
      </c>
      <c r="AP268" s="332">
        <v>1</v>
      </c>
      <c r="AQ268" s="332">
        <v>1</v>
      </c>
      <c r="AR268" s="332">
        <v>1</v>
      </c>
      <c r="AS268" s="332">
        <v>1</v>
      </c>
      <c r="AT268" s="332"/>
      <c r="AU268" s="332"/>
      <c r="AV268" s="332">
        <v>1</v>
      </c>
      <c r="AW268" s="332">
        <v>1</v>
      </c>
      <c r="AX268" s="332">
        <v>1</v>
      </c>
      <c r="AY268" s="332">
        <v>1</v>
      </c>
      <c r="AZ268" s="332">
        <v>1</v>
      </c>
      <c r="BA268" s="332">
        <v>1</v>
      </c>
    </row>
    <row r="269" spans="1:53" s="391" customFormat="1" ht="29.25" hidden="1" customHeight="1">
      <c r="A269" s="466"/>
      <c r="B269" s="253">
        <v>46078</v>
      </c>
      <c r="C269" s="236" t="s">
        <v>75</v>
      </c>
      <c r="D269" s="462" t="s">
        <v>85</v>
      </c>
      <c r="E269" s="220" t="s">
        <v>3</v>
      </c>
      <c r="F269" s="220" t="s">
        <v>77</v>
      </c>
      <c r="G269" s="185" t="s">
        <v>944</v>
      </c>
      <c r="H269" s="382" t="s">
        <v>945</v>
      </c>
      <c r="I269" s="462" t="s">
        <v>965</v>
      </c>
      <c r="J269" s="324" t="s">
        <v>966</v>
      </c>
      <c r="K269" s="462"/>
      <c r="L269" s="462"/>
      <c r="M269" s="462"/>
      <c r="N269" s="220"/>
      <c r="O269" s="186"/>
      <c r="P269" s="186" t="s">
        <v>317</v>
      </c>
      <c r="Q269" s="186" t="s">
        <v>4</v>
      </c>
      <c r="R269" s="186"/>
      <c r="S269" s="176">
        <v>1</v>
      </c>
      <c r="T269" s="157">
        <v>-2.5</v>
      </c>
      <c r="U269" s="173">
        <f t="shared" si="11"/>
        <v>-2.5</v>
      </c>
      <c r="V269" s="332">
        <v>1</v>
      </c>
      <c r="W269" s="332">
        <v>1</v>
      </c>
      <c r="X269" s="332">
        <v>1</v>
      </c>
      <c r="Y269" s="332">
        <v>1</v>
      </c>
      <c r="Z269" s="332">
        <v>1</v>
      </c>
      <c r="AA269" s="107"/>
      <c r="AB269" s="107"/>
      <c r="AC269" s="107"/>
      <c r="AD269" s="107"/>
      <c r="AE269" s="107"/>
      <c r="AF269" s="107"/>
      <c r="AG269" s="107"/>
      <c r="AH269" s="107"/>
      <c r="AI269" s="107"/>
      <c r="AJ269" s="107"/>
      <c r="AK269" s="107"/>
      <c r="AL269" s="107"/>
      <c r="AM269" s="107"/>
      <c r="AN269" s="332">
        <v>1</v>
      </c>
      <c r="AO269" s="332">
        <v>1</v>
      </c>
      <c r="AP269" s="332">
        <v>1</v>
      </c>
      <c r="AQ269" s="332">
        <v>1</v>
      </c>
      <c r="AR269" s="332">
        <v>1</v>
      </c>
      <c r="AS269" s="332">
        <v>1</v>
      </c>
      <c r="AT269" s="332">
        <v>1</v>
      </c>
      <c r="AU269" s="332">
        <v>1</v>
      </c>
      <c r="AV269" s="332">
        <v>1</v>
      </c>
      <c r="AW269" s="332">
        <v>1</v>
      </c>
      <c r="AX269" s="332">
        <v>1</v>
      </c>
      <c r="AY269" s="332">
        <v>1</v>
      </c>
      <c r="AZ269" s="332">
        <v>1</v>
      </c>
      <c r="BA269" s="332">
        <v>1</v>
      </c>
    </row>
    <row r="270" spans="1:53" s="391" customFormat="1" ht="29.25" hidden="1" customHeight="1">
      <c r="A270" s="466"/>
      <c r="B270" s="253">
        <v>46078</v>
      </c>
      <c r="C270" s="236" t="s">
        <v>75</v>
      </c>
      <c r="D270" s="462" t="s">
        <v>85</v>
      </c>
      <c r="E270" s="220" t="s">
        <v>3</v>
      </c>
      <c r="F270" s="220" t="s">
        <v>77</v>
      </c>
      <c r="G270" s="185" t="s">
        <v>944</v>
      </c>
      <c r="H270" s="462" t="s">
        <v>967</v>
      </c>
      <c r="I270" s="462" t="s">
        <v>968</v>
      </c>
      <c r="J270" s="324" t="s">
        <v>966</v>
      </c>
      <c r="K270" s="462"/>
      <c r="L270" s="462"/>
      <c r="M270" s="462"/>
      <c r="N270" s="220"/>
      <c r="O270" s="186"/>
      <c r="P270" s="186" t="s">
        <v>317</v>
      </c>
      <c r="Q270" s="186" t="s">
        <v>4</v>
      </c>
      <c r="R270" s="186"/>
      <c r="S270" s="181">
        <v>1</v>
      </c>
      <c r="T270" s="157">
        <v>-4</v>
      </c>
      <c r="U270" s="173">
        <f>T270*S270</f>
        <v>-4</v>
      </c>
      <c r="V270" s="332">
        <v>1</v>
      </c>
      <c r="W270" s="332">
        <v>1</v>
      </c>
      <c r="X270" s="332">
        <v>1</v>
      </c>
      <c r="Y270" s="332">
        <v>1</v>
      </c>
      <c r="Z270" s="332">
        <v>1</v>
      </c>
      <c r="AA270" s="107"/>
      <c r="AB270" s="107"/>
      <c r="AC270" s="107"/>
      <c r="AD270" s="107"/>
      <c r="AE270" s="107"/>
      <c r="AF270" s="107"/>
      <c r="AG270" s="107"/>
      <c r="AH270" s="107"/>
      <c r="AI270" s="107"/>
      <c r="AJ270" s="107"/>
      <c r="AK270" s="107"/>
      <c r="AL270" s="107"/>
      <c r="AM270" s="107"/>
      <c r="AN270" s="332">
        <v>1</v>
      </c>
      <c r="AO270" s="332">
        <v>1</v>
      </c>
      <c r="AP270" s="332">
        <v>1</v>
      </c>
      <c r="AQ270" s="332">
        <v>1</v>
      </c>
      <c r="AR270" s="332">
        <v>1</v>
      </c>
      <c r="AS270" s="332"/>
      <c r="AT270" s="332"/>
      <c r="AU270" s="332"/>
      <c r="AV270" s="332"/>
      <c r="AW270" s="332"/>
      <c r="AX270" s="332"/>
      <c r="AY270" s="332"/>
      <c r="AZ270" s="332"/>
      <c r="BA270" s="332"/>
    </row>
    <row r="271" spans="1:53" s="391" customFormat="1" ht="29.25" hidden="1" customHeight="1">
      <c r="A271" s="466"/>
      <c r="B271" s="253">
        <v>46078</v>
      </c>
      <c r="C271" s="236" t="s">
        <v>75</v>
      </c>
      <c r="D271" s="462" t="s">
        <v>85</v>
      </c>
      <c r="E271" s="220" t="s">
        <v>3</v>
      </c>
      <c r="F271" s="220" t="s">
        <v>77</v>
      </c>
      <c r="G271" s="185" t="s">
        <v>944</v>
      </c>
      <c r="H271" s="462" t="s">
        <v>967</v>
      </c>
      <c r="I271" s="462" t="s">
        <v>969</v>
      </c>
      <c r="J271" s="324" t="s">
        <v>966</v>
      </c>
      <c r="K271" s="462"/>
      <c r="L271" s="462"/>
      <c r="M271" s="462"/>
      <c r="N271" s="220"/>
      <c r="O271" s="186"/>
      <c r="P271" s="186" t="s">
        <v>317</v>
      </c>
      <c r="Q271" s="186" t="s">
        <v>10</v>
      </c>
      <c r="R271" s="186"/>
      <c r="S271" s="176">
        <v>0.1</v>
      </c>
      <c r="T271" s="157">
        <v>-6</v>
      </c>
      <c r="U271" s="173">
        <f>T271*S271</f>
        <v>-0.60000000000000009</v>
      </c>
      <c r="V271" s="332">
        <v>1</v>
      </c>
      <c r="W271" s="332">
        <v>1</v>
      </c>
      <c r="X271" s="332">
        <v>1</v>
      </c>
      <c r="Y271" s="332">
        <v>1</v>
      </c>
      <c r="Z271" s="332">
        <v>1</v>
      </c>
      <c r="AA271" s="107"/>
      <c r="AB271" s="107"/>
      <c r="AC271" s="107"/>
      <c r="AD271" s="107"/>
      <c r="AE271" s="107"/>
      <c r="AF271" s="107"/>
      <c r="AG271" s="107"/>
      <c r="AH271" s="107"/>
      <c r="AI271" s="107"/>
      <c r="AJ271" s="107"/>
      <c r="AK271" s="107"/>
      <c r="AL271" s="107"/>
      <c r="AM271" s="107"/>
      <c r="AN271" s="332">
        <v>1</v>
      </c>
      <c r="AO271" s="332">
        <v>1</v>
      </c>
      <c r="AP271" s="332">
        <v>1</v>
      </c>
      <c r="AQ271" s="332">
        <v>1</v>
      </c>
      <c r="AR271" s="332">
        <v>1</v>
      </c>
      <c r="AS271" s="332"/>
      <c r="AT271" s="332"/>
      <c r="AU271" s="332"/>
      <c r="AV271" s="332"/>
      <c r="AW271" s="332"/>
      <c r="AX271" s="332"/>
      <c r="AY271" s="332"/>
      <c r="AZ271" s="332"/>
      <c r="BA271" s="332"/>
    </row>
    <row r="272" spans="1:53" s="391" customFormat="1" ht="45" hidden="1" customHeight="1">
      <c r="A272" s="466"/>
      <c r="B272" s="253">
        <v>46078</v>
      </c>
      <c r="C272" s="220" t="s">
        <v>84</v>
      </c>
      <c r="D272" s="462" t="s">
        <v>199</v>
      </c>
      <c r="E272" s="220" t="s">
        <v>6</v>
      </c>
      <c r="F272" s="220" t="s">
        <v>863</v>
      </c>
      <c r="G272" s="185" t="s">
        <v>970</v>
      </c>
      <c r="H272" s="462" t="s">
        <v>971</v>
      </c>
      <c r="I272" s="462" t="s">
        <v>972</v>
      </c>
      <c r="J272" s="462"/>
      <c r="K272" s="462"/>
      <c r="L272" s="462"/>
      <c r="M272" s="462"/>
      <c r="N272" s="220"/>
      <c r="O272" s="186"/>
      <c r="P272" s="186" t="s">
        <v>355</v>
      </c>
      <c r="Q272" s="186" t="s">
        <v>4</v>
      </c>
      <c r="R272" s="186"/>
      <c r="S272" s="176">
        <v>1</v>
      </c>
      <c r="T272" s="157">
        <v>-8</v>
      </c>
      <c r="U272" s="173">
        <f t="shared" si="11"/>
        <v>-8</v>
      </c>
      <c r="V272" s="332">
        <v>1</v>
      </c>
      <c r="W272" s="332">
        <v>1</v>
      </c>
      <c r="X272" s="332">
        <v>1</v>
      </c>
      <c r="Y272" s="332">
        <v>1</v>
      </c>
      <c r="Z272" s="332">
        <v>1</v>
      </c>
      <c r="AA272" s="107"/>
      <c r="AB272" s="107"/>
      <c r="AC272" s="107"/>
      <c r="AD272" s="107"/>
      <c r="AE272" s="107"/>
      <c r="AF272" s="107"/>
      <c r="AG272" s="107"/>
      <c r="AH272" s="107"/>
      <c r="AI272" s="107"/>
      <c r="AJ272" s="107"/>
      <c r="AK272" s="107"/>
      <c r="AL272" s="107"/>
      <c r="AM272" s="107"/>
      <c r="AN272" s="332"/>
      <c r="AO272" s="332"/>
      <c r="AP272" s="194"/>
      <c r="AQ272" s="332">
        <v>1</v>
      </c>
      <c r="AR272" s="332">
        <v>1</v>
      </c>
      <c r="AS272" s="332"/>
      <c r="AT272" s="332">
        <v>1</v>
      </c>
      <c r="AU272" s="332">
        <v>1</v>
      </c>
      <c r="AV272" s="332">
        <v>1</v>
      </c>
      <c r="AW272" s="332"/>
      <c r="AX272" s="332"/>
      <c r="AY272" s="194">
        <v>1</v>
      </c>
      <c r="AZ272" s="332">
        <v>1</v>
      </c>
      <c r="BA272" s="332">
        <v>1</v>
      </c>
    </row>
    <row r="273" spans="1:53" s="391" customFormat="1" ht="29.25" hidden="1" customHeight="1">
      <c r="A273" s="466"/>
      <c r="B273" s="253">
        <v>46078</v>
      </c>
      <c r="C273" s="220" t="s">
        <v>84</v>
      </c>
      <c r="D273" s="462" t="s">
        <v>16</v>
      </c>
      <c r="E273" s="220" t="s">
        <v>3</v>
      </c>
      <c r="F273" s="220" t="s">
        <v>410</v>
      </c>
      <c r="G273" s="185" t="s">
        <v>973</v>
      </c>
      <c r="H273" s="462" t="s">
        <v>974</v>
      </c>
      <c r="I273" s="462" t="s">
        <v>975</v>
      </c>
      <c r="J273" s="462"/>
      <c r="K273" s="462"/>
      <c r="L273" s="462"/>
      <c r="M273" s="462"/>
      <c r="N273" s="220"/>
      <c r="O273" s="186"/>
      <c r="P273" s="186" t="s">
        <v>317</v>
      </c>
      <c r="Q273" s="186" t="s">
        <v>4</v>
      </c>
      <c r="R273" s="186"/>
      <c r="S273" s="176">
        <v>1</v>
      </c>
      <c r="T273" s="157">
        <v>-4</v>
      </c>
      <c r="U273" s="173">
        <f t="shared" si="11"/>
        <v>-4</v>
      </c>
      <c r="V273" s="332">
        <v>1</v>
      </c>
      <c r="W273" s="332">
        <v>1</v>
      </c>
      <c r="X273" s="332">
        <v>1</v>
      </c>
      <c r="Y273" s="332">
        <v>1</v>
      </c>
      <c r="Z273" s="332">
        <v>1</v>
      </c>
      <c r="AA273" s="107"/>
      <c r="AB273" s="107"/>
      <c r="AC273" s="107"/>
      <c r="AD273" s="107"/>
      <c r="AE273" s="107"/>
      <c r="AF273" s="107"/>
      <c r="AG273" s="107"/>
      <c r="AH273" s="107"/>
      <c r="AI273" s="107"/>
      <c r="AJ273" s="107"/>
      <c r="AK273" s="107"/>
      <c r="AL273" s="107"/>
      <c r="AM273" s="107"/>
      <c r="AN273" s="332"/>
      <c r="AO273" s="332"/>
      <c r="AP273" s="332"/>
      <c r="AQ273" s="332">
        <v>1</v>
      </c>
      <c r="AR273" s="332"/>
      <c r="AS273" s="332"/>
      <c r="AT273" s="332">
        <v>1</v>
      </c>
      <c r="AU273" s="332"/>
      <c r="AV273" s="332"/>
      <c r="AW273" s="332"/>
      <c r="AX273" s="332"/>
      <c r="AY273" s="332">
        <v>1</v>
      </c>
      <c r="AZ273" s="332"/>
      <c r="BA273" s="332"/>
    </row>
    <row r="274" spans="1:53" s="391" customFormat="1" ht="29.25" hidden="1" customHeight="1">
      <c r="A274" s="466"/>
      <c r="B274" s="253">
        <v>46078</v>
      </c>
      <c r="C274" s="236" t="s">
        <v>75</v>
      </c>
      <c r="D274" s="462" t="s">
        <v>85</v>
      </c>
      <c r="E274" s="220" t="s">
        <v>3</v>
      </c>
      <c r="F274" s="220" t="s">
        <v>77</v>
      </c>
      <c r="G274" s="185" t="s">
        <v>976</v>
      </c>
      <c r="H274" s="462" t="s">
        <v>977</v>
      </c>
      <c r="I274" s="333" t="s">
        <v>978</v>
      </c>
      <c r="J274" s="455" t="s">
        <v>979</v>
      </c>
      <c r="K274" s="462"/>
      <c r="L274" s="462"/>
      <c r="M274" s="462"/>
      <c r="N274" s="220"/>
      <c r="O274" s="186"/>
      <c r="P274" s="186" t="s">
        <v>317</v>
      </c>
      <c r="Q274" s="186" t="s">
        <v>7</v>
      </c>
      <c r="R274" s="186"/>
      <c r="S274" s="176">
        <v>1</v>
      </c>
      <c r="T274" s="157">
        <v>-5</v>
      </c>
      <c r="U274" s="173">
        <f t="shared" si="11"/>
        <v>-5</v>
      </c>
      <c r="V274" s="332">
        <v>1</v>
      </c>
      <c r="W274" s="332">
        <v>1</v>
      </c>
      <c r="X274" s="332">
        <v>1</v>
      </c>
      <c r="Y274" s="332">
        <v>1</v>
      </c>
      <c r="Z274" s="332">
        <v>1</v>
      </c>
      <c r="AA274" s="107"/>
      <c r="AB274" s="107"/>
      <c r="AC274" s="107"/>
      <c r="AD274" s="107"/>
      <c r="AE274" s="107"/>
      <c r="AF274" s="107"/>
      <c r="AG274" s="107"/>
      <c r="AH274" s="107"/>
      <c r="AI274" s="107"/>
      <c r="AJ274" s="107"/>
      <c r="AK274" s="107"/>
      <c r="AL274" s="107"/>
      <c r="AM274" s="107"/>
      <c r="AN274" s="332">
        <v>1</v>
      </c>
      <c r="AO274" s="332">
        <v>1</v>
      </c>
      <c r="AP274" s="332">
        <v>1</v>
      </c>
      <c r="AQ274" s="332">
        <v>1</v>
      </c>
      <c r="AR274" s="332">
        <v>1</v>
      </c>
      <c r="AS274" s="332"/>
      <c r="AT274" s="332"/>
      <c r="AU274" s="332"/>
      <c r="AV274" s="332"/>
      <c r="AW274" s="332"/>
      <c r="AX274" s="332"/>
      <c r="AY274" s="332"/>
      <c r="AZ274" s="332"/>
      <c r="BA274" s="332"/>
    </row>
    <row r="275" spans="1:53" s="391" customFormat="1" ht="29.25" hidden="1" customHeight="1">
      <c r="A275" s="466"/>
      <c r="B275" s="253">
        <v>46078</v>
      </c>
      <c r="C275" s="236" t="s">
        <v>75</v>
      </c>
      <c r="D275" s="462" t="s">
        <v>85</v>
      </c>
      <c r="E275" s="220" t="s">
        <v>3</v>
      </c>
      <c r="F275" s="220" t="s">
        <v>77</v>
      </c>
      <c r="G275" s="185" t="s">
        <v>980</v>
      </c>
      <c r="H275" s="462" t="s">
        <v>980</v>
      </c>
      <c r="I275" s="462" t="s">
        <v>981</v>
      </c>
      <c r="J275" s="462"/>
      <c r="K275" s="220"/>
      <c r="L275" s="186"/>
      <c r="M275" s="186"/>
      <c r="N275" s="186"/>
      <c r="O275" s="186"/>
      <c r="P275" s="186" t="s">
        <v>355</v>
      </c>
      <c r="Q275" s="186" t="s">
        <v>4</v>
      </c>
      <c r="R275" s="186"/>
      <c r="S275" s="176">
        <v>1</v>
      </c>
      <c r="T275" s="157">
        <v>-0.3</v>
      </c>
      <c r="U275" s="173">
        <f t="shared" si="11"/>
        <v>-0.3</v>
      </c>
      <c r="V275" s="332"/>
      <c r="W275" s="332"/>
      <c r="X275" s="332"/>
      <c r="Y275" s="332"/>
      <c r="Z275" s="332"/>
      <c r="AA275" s="107"/>
      <c r="AB275" s="107"/>
      <c r="AC275" s="107"/>
      <c r="AD275" s="107"/>
      <c r="AE275" s="107"/>
      <c r="AF275" s="107"/>
      <c r="AG275" s="107"/>
      <c r="AH275" s="107"/>
      <c r="AI275" s="107"/>
      <c r="AJ275" s="107"/>
      <c r="AK275" s="107"/>
      <c r="AL275" s="107"/>
      <c r="AM275" s="107"/>
      <c r="AN275" s="332">
        <v>1</v>
      </c>
      <c r="AO275" s="332">
        <v>1</v>
      </c>
      <c r="AP275" s="332">
        <v>1</v>
      </c>
      <c r="AQ275" s="332">
        <v>1</v>
      </c>
      <c r="AR275" s="332">
        <v>1</v>
      </c>
      <c r="AS275" s="332"/>
      <c r="AT275" s="332"/>
      <c r="AU275" s="332"/>
      <c r="AV275" s="332"/>
      <c r="AW275" s="332"/>
      <c r="AX275" s="332"/>
      <c r="AY275" s="332"/>
      <c r="AZ275" s="332"/>
      <c r="BA275" s="332"/>
    </row>
    <row r="276" spans="1:53" s="391" customFormat="1" ht="29.25" hidden="1" customHeight="1">
      <c r="A276" s="466"/>
      <c r="B276" s="253">
        <v>46078</v>
      </c>
      <c r="C276" s="220" t="s">
        <v>84</v>
      </c>
      <c r="D276" s="462" t="s">
        <v>180</v>
      </c>
      <c r="E276" s="220" t="s">
        <v>3</v>
      </c>
      <c r="F276" s="220" t="s">
        <v>982</v>
      </c>
      <c r="G276" s="185" t="s">
        <v>983</v>
      </c>
      <c r="H276" s="462"/>
      <c r="I276" s="462" t="s">
        <v>984</v>
      </c>
      <c r="J276" s="462"/>
      <c r="K276" s="462"/>
      <c r="L276" s="462"/>
      <c r="M276" s="462"/>
      <c r="N276" s="220"/>
      <c r="O276" s="186"/>
      <c r="P276" s="186" t="s">
        <v>126</v>
      </c>
      <c r="Q276" s="186" t="s">
        <v>10</v>
      </c>
      <c r="R276" s="186"/>
      <c r="S276" s="176">
        <v>0.25</v>
      </c>
      <c r="T276" s="157">
        <v>-0.5</v>
      </c>
      <c r="U276" s="173">
        <f t="shared" si="11"/>
        <v>-0.125</v>
      </c>
      <c r="V276" s="332">
        <v>1</v>
      </c>
      <c r="W276" s="332">
        <v>1</v>
      </c>
      <c r="X276" s="332">
        <v>1</v>
      </c>
      <c r="Y276" s="332">
        <v>1</v>
      </c>
      <c r="Z276" s="332">
        <v>1</v>
      </c>
      <c r="AA276" s="107"/>
      <c r="AB276" s="107"/>
      <c r="AC276" s="107"/>
      <c r="AD276" s="107"/>
      <c r="AE276" s="107"/>
      <c r="AF276" s="107"/>
      <c r="AG276" s="107"/>
      <c r="AH276" s="107"/>
      <c r="AI276" s="107"/>
      <c r="AJ276" s="107"/>
      <c r="AK276" s="107"/>
      <c r="AL276" s="107"/>
      <c r="AM276" s="107"/>
      <c r="AN276" s="332">
        <v>1</v>
      </c>
      <c r="AO276" s="332">
        <v>1</v>
      </c>
      <c r="AP276" s="332">
        <v>1</v>
      </c>
      <c r="AQ276" s="332">
        <v>1</v>
      </c>
      <c r="AR276" s="332">
        <v>1</v>
      </c>
      <c r="AS276" s="332"/>
      <c r="AT276" s="332"/>
      <c r="AU276" s="332"/>
      <c r="AV276" s="332"/>
      <c r="AW276" s="332"/>
      <c r="AX276" s="332"/>
      <c r="AY276" s="332"/>
      <c r="AZ276" s="332"/>
      <c r="BA276" s="332"/>
    </row>
    <row r="277" spans="1:53" s="391" customFormat="1" ht="29.25" hidden="1" customHeight="1">
      <c r="A277" s="466"/>
      <c r="B277" s="253">
        <v>46078</v>
      </c>
      <c r="C277" s="220" t="s">
        <v>84</v>
      </c>
      <c r="D277" s="462" t="s">
        <v>16</v>
      </c>
      <c r="E277" s="220" t="s">
        <v>6</v>
      </c>
      <c r="F277" s="220" t="s">
        <v>410</v>
      </c>
      <c r="G277" s="185" t="s">
        <v>985</v>
      </c>
      <c r="H277" s="462" t="s">
        <v>986</v>
      </c>
      <c r="I277" s="462" t="s">
        <v>987</v>
      </c>
      <c r="J277" s="462"/>
      <c r="K277" s="462"/>
      <c r="L277" s="462"/>
      <c r="M277" s="462"/>
      <c r="N277" s="220"/>
      <c r="O277" s="186"/>
      <c r="P277" s="186" t="s">
        <v>355</v>
      </c>
      <c r="Q277" s="186" t="s">
        <v>4</v>
      </c>
      <c r="R277" s="186"/>
      <c r="S277" s="176">
        <v>1</v>
      </c>
      <c r="T277" s="157"/>
      <c r="U277" s="173">
        <f t="shared" si="11"/>
        <v>0</v>
      </c>
      <c r="V277" s="332">
        <v>1</v>
      </c>
      <c r="W277" s="332">
        <v>1</v>
      </c>
      <c r="X277" s="332">
        <v>1</v>
      </c>
      <c r="Y277" s="332">
        <v>1</v>
      </c>
      <c r="Z277" s="332">
        <v>1</v>
      </c>
      <c r="AA277" s="107"/>
      <c r="AB277" s="107"/>
      <c r="AC277" s="107"/>
      <c r="AD277" s="107"/>
      <c r="AE277" s="107"/>
      <c r="AF277" s="107"/>
      <c r="AG277" s="107"/>
      <c r="AH277" s="107"/>
      <c r="AI277" s="107"/>
      <c r="AJ277" s="107"/>
      <c r="AK277" s="107"/>
      <c r="AL277" s="107"/>
      <c r="AM277" s="107"/>
      <c r="AN277" s="332">
        <v>1</v>
      </c>
      <c r="AO277" s="332">
        <v>1</v>
      </c>
      <c r="AP277" s="332">
        <v>1</v>
      </c>
      <c r="AQ277" s="332">
        <v>1</v>
      </c>
      <c r="AR277" s="332">
        <v>1</v>
      </c>
      <c r="AS277" s="332"/>
      <c r="AT277" s="332"/>
      <c r="AU277" s="332"/>
      <c r="AV277" s="332"/>
      <c r="AW277" s="332"/>
      <c r="AX277" s="332"/>
      <c r="AY277" s="332"/>
      <c r="AZ277" s="332"/>
      <c r="BA277" s="332"/>
    </row>
    <row r="278" spans="1:53" s="391" customFormat="1" ht="29.25" hidden="1" customHeight="1">
      <c r="A278" s="466"/>
      <c r="B278" s="253">
        <v>46078</v>
      </c>
      <c r="C278" s="220" t="s">
        <v>84</v>
      </c>
      <c r="D278" s="462" t="s">
        <v>16</v>
      </c>
      <c r="E278" s="220" t="s">
        <v>6</v>
      </c>
      <c r="F278" s="220" t="s">
        <v>410</v>
      </c>
      <c r="G278" s="185" t="s">
        <v>988</v>
      </c>
      <c r="H278" s="462" t="s">
        <v>989</v>
      </c>
      <c r="I278" s="462" t="s">
        <v>990</v>
      </c>
      <c r="J278" s="462"/>
      <c r="K278" s="462"/>
      <c r="L278" s="462"/>
      <c r="M278" s="462"/>
      <c r="N278" s="220"/>
      <c r="O278" s="186"/>
      <c r="P278" s="186" t="s">
        <v>355</v>
      </c>
      <c r="Q278" s="186" t="s">
        <v>4</v>
      </c>
      <c r="R278" s="186"/>
      <c r="S278" s="176">
        <v>1</v>
      </c>
      <c r="T278" s="157"/>
      <c r="U278" s="173">
        <f t="shared" si="11"/>
        <v>0</v>
      </c>
      <c r="V278" s="332">
        <v>1</v>
      </c>
      <c r="W278" s="332">
        <v>1</v>
      </c>
      <c r="X278" s="332">
        <v>1</v>
      </c>
      <c r="Y278" s="332">
        <v>1</v>
      </c>
      <c r="Z278" s="332">
        <v>1</v>
      </c>
      <c r="AA278" s="107"/>
      <c r="AB278" s="107"/>
      <c r="AC278" s="107"/>
      <c r="AD278" s="107"/>
      <c r="AE278" s="107"/>
      <c r="AF278" s="107"/>
      <c r="AG278" s="107"/>
      <c r="AH278" s="107"/>
      <c r="AI278" s="107"/>
      <c r="AJ278" s="107"/>
      <c r="AK278" s="107"/>
      <c r="AL278" s="107"/>
      <c r="AM278" s="107"/>
      <c r="AN278" s="332">
        <v>1</v>
      </c>
      <c r="AO278" s="332">
        <v>1</v>
      </c>
      <c r="AP278" s="332">
        <v>1</v>
      </c>
      <c r="AQ278" s="332">
        <v>1</v>
      </c>
      <c r="AR278" s="332">
        <v>1</v>
      </c>
      <c r="AS278" s="332">
        <v>1</v>
      </c>
      <c r="AT278" s="332">
        <v>1</v>
      </c>
      <c r="AU278" s="332">
        <v>1</v>
      </c>
      <c r="AV278" s="332">
        <v>1</v>
      </c>
      <c r="AW278" s="332">
        <v>1</v>
      </c>
      <c r="AX278" s="332">
        <v>1</v>
      </c>
      <c r="AY278" s="332">
        <v>1</v>
      </c>
      <c r="AZ278" s="332">
        <v>1</v>
      </c>
      <c r="BA278" s="332">
        <v>1</v>
      </c>
    </row>
    <row r="279" spans="1:53" s="391" customFormat="1" ht="41.45" hidden="1">
      <c r="A279" s="466"/>
      <c r="B279" s="253">
        <v>46078</v>
      </c>
      <c r="C279" s="220" t="s">
        <v>84</v>
      </c>
      <c r="D279" s="462" t="s">
        <v>991</v>
      </c>
      <c r="E279" s="220" t="s">
        <v>3</v>
      </c>
      <c r="F279" s="220" t="s">
        <v>699</v>
      </c>
      <c r="G279" s="462" t="s">
        <v>992</v>
      </c>
      <c r="H279" s="462"/>
      <c r="I279" s="462" t="s">
        <v>993</v>
      </c>
      <c r="J279" s="462"/>
      <c r="K279" s="462"/>
      <c r="L279" s="462"/>
      <c r="M279" s="462"/>
      <c r="N279" s="220"/>
      <c r="O279" s="186"/>
      <c r="P279" s="186" t="s">
        <v>355</v>
      </c>
      <c r="Q279" s="186" t="s">
        <v>10</v>
      </c>
      <c r="R279" s="186"/>
      <c r="S279" s="176">
        <v>1</v>
      </c>
      <c r="T279" s="157"/>
      <c r="U279" s="331">
        <f t="shared" ref="U279:U280" si="12">T279*S279</f>
        <v>0</v>
      </c>
      <c r="V279" s="332">
        <v>1</v>
      </c>
      <c r="W279" s="332">
        <v>1</v>
      </c>
      <c r="X279" s="332">
        <v>1</v>
      </c>
      <c r="Y279" s="332">
        <v>1</v>
      </c>
      <c r="Z279" s="332">
        <v>1</v>
      </c>
      <c r="AA279" s="107"/>
      <c r="AB279" s="107"/>
      <c r="AC279" s="107"/>
      <c r="AD279" s="107"/>
      <c r="AE279" s="107"/>
      <c r="AF279" s="107"/>
      <c r="AG279" s="107"/>
      <c r="AH279" s="107"/>
      <c r="AI279" s="107"/>
      <c r="AJ279" s="107"/>
      <c r="AK279" s="107"/>
      <c r="AL279" s="107"/>
      <c r="AM279" s="107"/>
      <c r="AN279" s="332"/>
      <c r="AO279" s="332"/>
      <c r="AP279" s="332"/>
      <c r="AQ279" s="332"/>
      <c r="AR279" s="332"/>
      <c r="AS279" s="332">
        <v>1</v>
      </c>
      <c r="AT279" s="332">
        <v>1</v>
      </c>
      <c r="AU279" s="332">
        <v>1</v>
      </c>
      <c r="AV279" s="332">
        <v>1</v>
      </c>
      <c r="AW279" s="332">
        <v>1</v>
      </c>
      <c r="AX279" s="332">
        <v>1</v>
      </c>
      <c r="AY279" s="332">
        <v>1</v>
      </c>
      <c r="AZ279" s="332">
        <v>1</v>
      </c>
      <c r="BA279" s="332">
        <v>1</v>
      </c>
    </row>
    <row r="280" spans="1:53" s="391" customFormat="1" ht="29.25" hidden="1" customHeight="1">
      <c r="A280" s="466"/>
      <c r="B280" s="253">
        <v>46078</v>
      </c>
      <c r="C280" s="220" t="s">
        <v>84</v>
      </c>
      <c r="D280" s="144" t="s">
        <v>144</v>
      </c>
      <c r="E280" s="220" t="s">
        <v>6</v>
      </c>
      <c r="F280" s="220"/>
      <c r="G280" s="185" t="s">
        <v>994</v>
      </c>
      <c r="H280" s="462" t="s">
        <v>168</v>
      </c>
      <c r="I280" s="462" t="s">
        <v>995</v>
      </c>
      <c r="J280" s="462"/>
      <c r="K280" s="462"/>
      <c r="L280" s="462"/>
      <c r="M280" s="462"/>
      <c r="N280" s="220"/>
      <c r="O280" s="186"/>
      <c r="P280" s="186" t="s">
        <v>317</v>
      </c>
      <c r="Q280" s="186" t="s">
        <v>4</v>
      </c>
      <c r="R280" s="186"/>
      <c r="S280" s="176">
        <v>1</v>
      </c>
      <c r="T280" s="157">
        <v>14</v>
      </c>
      <c r="U280" s="173">
        <f t="shared" si="12"/>
        <v>14</v>
      </c>
      <c r="V280" s="332">
        <v>1</v>
      </c>
      <c r="W280" s="332">
        <v>1</v>
      </c>
      <c r="X280" s="332">
        <v>1</v>
      </c>
      <c r="Y280" s="332">
        <v>1</v>
      </c>
      <c r="Z280" s="332">
        <v>1</v>
      </c>
      <c r="AA280" s="107"/>
      <c r="AB280" s="107"/>
      <c r="AC280" s="107"/>
      <c r="AD280" s="107"/>
      <c r="AE280" s="107"/>
      <c r="AF280" s="107"/>
      <c r="AG280" s="107"/>
      <c r="AH280" s="107"/>
      <c r="AI280" s="107"/>
      <c r="AJ280" s="107"/>
      <c r="AK280" s="107"/>
      <c r="AL280" s="107"/>
      <c r="AM280" s="107"/>
      <c r="AN280" s="332"/>
      <c r="AO280" s="332"/>
      <c r="AP280" s="332"/>
      <c r="AQ280" s="332">
        <v>1</v>
      </c>
      <c r="AR280" s="332">
        <v>1</v>
      </c>
      <c r="AS280" s="332"/>
      <c r="AT280" s="332">
        <v>1</v>
      </c>
      <c r="AU280" s="332">
        <v>1</v>
      </c>
      <c r="AV280" s="332">
        <v>1</v>
      </c>
      <c r="AW280" s="332"/>
      <c r="AX280" s="332"/>
      <c r="AY280" s="332">
        <v>1</v>
      </c>
      <c r="AZ280" s="332">
        <v>1</v>
      </c>
      <c r="BA280" s="332">
        <v>1</v>
      </c>
    </row>
    <row r="281" spans="1:53" s="391" customFormat="1" ht="134.1" hidden="1" customHeight="1">
      <c r="A281" s="466"/>
      <c r="B281" s="253">
        <v>46078</v>
      </c>
      <c r="C281" s="220" t="s">
        <v>75</v>
      </c>
      <c r="D281" s="462" t="s">
        <v>180</v>
      </c>
      <c r="E281" s="220" t="s">
        <v>3</v>
      </c>
      <c r="F281" s="220" t="s">
        <v>181</v>
      </c>
      <c r="G281" s="462" t="s">
        <v>549</v>
      </c>
      <c r="H281" s="382" t="s">
        <v>183</v>
      </c>
      <c r="I281" s="382" t="s">
        <v>996</v>
      </c>
      <c r="J281" s="462"/>
      <c r="K281" s="462"/>
      <c r="L281" s="462"/>
      <c r="M281" s="462"/>
      <c r="N281" s="220"/>
      <c r="O281" s="186"/>
      <c r="P281" s="186" t="s">
        <v>355</v>
      </c>
      <c r="Q281" s="186" t="s">
        <v>10</v>
      </c>
      <c r="R281" s="186"/>
      <c r="S281" s="176">
        <v>1</v>
      </c>
      <c r="T281" s="157"/>
      <c r="U281" s="331">
        <f t="shared" ref="U281:U295" si="13">T281*S281</f>
        <v>0</v>
      </c>
      <c r="V281" s="332">
        <v>1</v>
      </c>
      <c r="W281" s="332">
        <v>1</v>
      </c>
      <c r="X281" s="332">
        <v>1</v>
      </c>
      <c r="Y281" s="332">
        <v>1</v>
      </c>
      <c r="Z281" s="332">
        <v>1</v>
      </c>
      <c r="AA281" s="107"/>
      <c r="AB281" s="107"/>
      <c r="AC281" s="107"/>
      <c r="AD281" s="107"/>
      <c r="AE281" s="107"/>
      <c r="AF281" s="107"/>
      <c r="AG281" s="107"/>
      <c r="AH281" s="107"/>
      <c r="AI281" s="107"/>
      <c r="AJ281" s="107"/>
      <c r="AK281" s="107"/>
      <c r="AL281" s="107"/>
      <c r="AM281" s="107"/>
      <c r="AN281" s="332"/>
      <c r="AO281" s="332"/>
      <c r="AP281" s="332"/>
      <c r="AQ281" s="332">
        <v>1</v>
      </c>
      <c r="AR281" s="332">
        <v>1</v>
      </c>
      <c r="AS281" s="332"/>
      <c r="AT281" s="332">
        <v>1</v>
      </c>
      <c r="AU281" s="332">
        <v>1</v>
      </c>
      <c r="AV281" s="332">
        <v>1</v>
      </c>
      <c r="AW281" s="332"/>
      <c r="AX281" s="332"/>
      <c r="AY281" s="332">
        <v>1</v>
      </c>
      <c r="AZ281" s="332">
        <v>1</v>
      </c>
      <c r="BA281" s="332">
        <v>1</v>
      </c>
    </row>
    <row r="282" spans="1:53" s="391" customFormat="1" ht="29.25" hidden="1" customHeight="1">
      <c r="A282" s="466"/>
      <c r="B282" s="253">
        <v>46078</v>
      </c>
      <c r="C282" s="220" t="s">
        <v>84</v>
      </c>
      <c r="D282" s="144" t="s">
        <v>144</v>
      </c>
      <c r="E282" s="220" t="s">
        <v>6</v>
      </c>
      <c r="F282" s="220"/>
      <c r="G282" s="185" t="s">
        <v>994</v>
      </c>
      <c r="H282" s="462" t="s">
        <v>168</v>
      </c>
      <c r="I282" s="462" t="s">
        <v>997</v>
      </c>
      <c r="J282" s="462"/>
      <c r="K282" s="462"/>
      <c r="L282" s="462"/>
      <c r="M282" s="462"/>
      <c r="N282" s="220"/>
      <c r="O282" s="186"/>
      <c r="P282" s="186" t="s">
        <v>317</v>
      </c>
      <c r="Q282" s="186" t="s">
        <v>4</v>
      </c>
      <c r="R282" s="186"/>
      <c r="S282" s="176">
        <v>1</v>
      </c>
      <c r="T282" s="157">
        <v>-17</v>
      </c>
      <c r="U282" s="173">
        <f t="shared" si="13"/>
        <v>-17</v>
      </c>
      <c r="V282" s="332">
        <v>1</v>
      </c>
      <c r="W282" s="332">
        <v>1</v>
      </c>
      <c r="X282" s="332">
        <v>1</v>
      </c>
      <c r="Y282" s="332">
        <v>1</v>
      </c>
      <c r="Z282" s="332">
        <v>1</v>
      </c>
      <c r="AA282" s="107"/>
      <c r="AB282" s="107"/>
      <c r="AC282" s="107"/>
      <c r="AD282" s="107"/>
      <c r="AE282" s="107"/>
      <c r="AF282" s="107"/>
      <c r="AG282" s="107"/>
      <c r="AH282" s="107"/>
      <c r="AI282" s="107"/>
      <c r="AJ282" s="107"/>
      <c r="AK282" s="107"/>
      <c r="AL282" s="107"/>
      <c r="AM282" s="107"/>
      <c r="AN282" s="332"/>
      <c r="AO282" s="332"/>
      <c r="AP282" s="332"/>
      <c r="AQ282" s="332">
        <v>1</v>
      </c>
      <c r="AR282" s="332">
        <v>1</v>
      </c>
      <c r="AS282" s="332"/>
      <c r="AT282" s="332">
        <v>1</v>
      </c>
      <c r="AU282" s="332">
        <v>1</v>
      </c>
      <c r="AV282" s="332">
        <v>1</v>
      </c>
      <c r="AW282" s="332"/>
      <c r="AX282" s="332"/>
      <c r="AY282" s="332">
        <v>1</v>
      </c>
      <c r="AZ282" s="332">
        <v>1</v>
      </c>
      <c r="BA282" s="332">
        <v>1</v>
      </c>
    </row>
    <row r="283" spans="1:53" ht="29.25" hidden="1" customHeight="1">
      <c r="B283" s="253">
        <v>46078</v>
      </c>
      <c r="C283" s="236" t="s">
        <v>75</v>
      </c>
      <c r="D283" s="467" t="s">
        <v>132</v>
      </c>
      <c r="E283" s="169" t="s">
        <v>3</v>
      </c>
      <c r="F283" s="169" t="s">
        <v>917</v>
      </c>
      <c r="G283" s="185" t="s">
        <v>998</v>
      </c>
      <c r="H283" s="171" t="s">
        <v>228</v>
      </c>
      <c r="I283" s="150" t="s">
        <v>999</v>
      </c>
      <c r="J283" s="455" t="s">
        <v>1000</v>
      </c>
      <c r="K283" s="470"/>
      <c r="L283" s="10"/>
      <c r="M283" s="10"/>
      <c r="N283" s="206"/>
      <c r="O283" s="10"/>
      <c r="P283" s="164" t="s">
        <v>80</v>
      </c>
      <c r="Q283" s="186" t="s">
        <v>7</v>
      </c>
      <c r="R283" s="10"/>
      <c r="S283" s="469">
        <v>1</v>
      </c>
      <c r="T283" s="157">
        <v>-0.5</v>
      </c>
      <c r="U283" s="173">
        <f t="shared" si="13"/>
        <v>-0.5</v>
      </c>
      <c r="AN283" s="332">
        <v>1</v>
      </c>
      <c r="AO283" s="332">
        <v>1</v>
      </c>
      <c r="AP283" s="332">
        <v>1</v>
      </c>
      <c r="AQ283" s="332">
        <v>1</v>
      </c>
      <c r="AR283" s="332">
        <v>1</v>
      </c>
      <c r="AS283" s="332">
        <v>1</v>
      </c>
      <c r="AT283" s="332">
        <v>1</v>
      </c>
      <c r="AU283" s="332">
        <v>1</v>
      </c>
      <c r="AV283" s="332">
        <v>1</v>
      </c>
      <c r="AW283" s="332">
        <v>1</v>
      </c>
      <c r="AX283" s="332">
        <v>1</v>
      </c>
      <c r="AY283" s="332">
        <v>1</v>
      </c>
      <c r="AZ283" s="332">
        <v>1</v>
      </c>
      <c r="BA283" s="332">
        <v>1</v>
      </c>
    </row>
    <row r="284" spans="1:53" ht="29.25" hidden="1" customHeight="1">
      <c r="A284" s="151"/>
      <c r="B284" s="253">
        <v>46078</v>
      </c>
      <c r="C284" s="236" t="s">
        <v>75</v>
      </c>
      <c r="D284" s="467" t="s">
        <v>76</v>
      </c>
      <c r="E284" s="169" t="s">
        <v>3</v>
      </c>
      <c r="F284" s="169" t="s">
        <v>118</v>
      </c>
      <c r="G284" s="185" t="s">
        <v>283</v>
      </c>
      <c r="H284" s="472" t="s">
        <v>284</v>
      </c>
      <c r="I284" s="150" t="s">
        <v>1001</v>
      </c>
      <c r="J284" s="560" t="s">
        <v>1002</v>
      </c>
      <c r="K284" s="470"/>
      <c r="L284" s="10"/>
      <c r="M284" s="10"/>
      <c r="N284" s="206"/>
      <c r="O284" s="10"/>
      <c r="P284" s="10"/>
      <c r="Q284" s="186" t="s">
        <v>4</v>
      </c>
      <c r="R284" s="10"/>
      <c r="S284" s="469">
        <v>0</v>
      </c>
      <c r="T284" s="207"/>
      <c r="U284" s="173">
        <f t="shared" si="13"/>
        <v>0</v>
      </c>
      <c r="AN284" s="332">
        <v>1</v>
      </c>
      <c r="AO284" s="332">
        <v>1</v>
      </c>
      <c r="AP284" s="332">
        <v>1</v>
      </c>
      <c r="AQ284" s="332">
        <v>1</v>
      </c>
      <c r="AR284" s="332">
        <v>1</v>
      </c>
      <c r="AS284" s="332">
        <v>1</v>
      </c>
      <c r="AT284" s="332">
        <v>1</v>
      </c>
      <c r="AU284" s="332">
        <v>1</v>
      </c>
      <c r="AV284" s="332">
        <v>1</v>
      </c>
      <c r="AW284" s="332">
        <v>1</v>
      </c>
      <c r="AX284" s="332">
        <v>1</v>
      </c>
      <c r="AY284" s="332">
        <v>1</v>
      </c>
      <c r="AZ284" s="332">
        <v>1</v>
      </c>
      <c r="BA284" s="332">
        <v>1</v>
      </c>
    </row>
    <row r="285" spans="1:53" ht="29.25" hidden="1" customHeight="1">
      <c r="A285" s="264">
        <v>117</v>
      </c>
      <c r="B285" s="265">
        <v>45909</v>
      </c>
      <c r="C285" s="266" t="s">
        <v>75</v>
      </c>
      <c r="D285" s="188" t="s">
        <v>903</v>
      </c>
      <c r="E285" s="169" t="s">
        <v>172</v>
      </c>
      <c r="F285" s="266" t="s">
        <v>906</v>
      </c>
      <c r="G285" s="268" t="s">
        <v>913</v>
      </c>
      <c r="H285" s="188" t="s">
        <v>913</v>
      </c>
      <c r="I285" s="188" t="s">
        <v>912</v>
      </c>
      <c r="J285" s="267"/>
      <c r="K285" s="188"/>
      <c r="L285" s="188"/>
      <c r="M285" s="188"/>
      <c r="N285" s="268"/>
      <c r="O285" s="269"/>
      <c r="P285" s="269" t="s">
        <v>413</v>
      </c>
      <c r="Q285" s="269" t="s">
        <v>4</v>
      </c>
      <c r="R285" s="269" t="s">
        <v>81</v>
      </c>
      <c r="S285" s="270">
        <v>1</v>
      </c>
      <c r="T285" s="298">
        <v>-1</v>
      </c>
      <c r="U285" s="173">
        <f t="shared" si="13"/>
        <v>-1</v>
      </c>
      <c r="V285" s="273"/>
      <c r="W285" s="273"/>
      <c r="X285" s="273"/>
      <c r="Y285" s="273">
        <v>1</v>
      </c>
      <c r="Z285" s="273"/>
      <c r="AA285" s="273"/>
      <c r="AB285" s="273"/>
      <c r="AC285" s="273">
        <v>1</v>
      </c>
      <c r="AD285" s="273"/>
      <c r="AE285" s="273"/>
      <c r="AF285" s="273"/>
      <c r="AG285" s="273"/>
      <c r="AH285" s="273">
        <v>1</v>
      </c>
      <c r="AI285" s="273"/>
      <c r="AJ285" s="273"/>
      <c r="AK285" s="273"/>
      <c r="AL285" s="273">
        <v>1</v>
      </c>
      <c r="AM285" s="483"/>
      <c r="AN285" s="273"/>
      <c r="AO285" s="273"/>
      <c r="AP285" s="504"/>
      <c r="AQ285" s="273"/>
      <c r="AR285" s="273">
        <v>1</v>
      </c>
      <c r="AS285" s="273"/>
      <c r="AT285" s="273"/>
      <c r="AU285" s="504"/>
      <c r="AV285" s="273">
        <v>1</v>
      </c>
      <c r="AW285" s="273"/>
      <c r="AX285" s="273"/>
      <c r="AY285" s="504"/>
      <c r="AZ285" s="273">
        <v>1</v>
      </c>
      <c r="BA285" s="273">
        <v>1</v>
      </c>
    </row>
    <row r="286" spans="1:53" ht="29.25" hidden="1" customHeight="1">
      <c r="A286" s="168">
        <v>233</v>
      </c>
      <c r="B286" s="251">
        <v>46083</v>
      </c>
      <c r="C286" s="236" t="s">
        <v>75</v>
      </c>
      <c r="D286" s="467" t="s">
        <v>102</v>
      </c>
      <c r="E286" s="169" t="s">
        <v>3</v>
      </c>
      <c r="F286" s="169" t="s">
        <v>103</v>
      </c>
      <c r="G286" s="185" t="s">
        <v>1003</v>
      </c>
      <c r="H286" s="171" t="s">
        <v>228</v>
      </c>
      <c r="I286" s="170" t="s">
        <v>1004</v>
      </c>
      <c r="J286" s="153" t="s">
        <v>1005</v>
      </c>
      <c r="K286" s="154" t="s">
        <v>186</v>
      </c>
      <c r="L286" s="170"/>
      <c r="M286" s="170"/>
      <c r="N286" s="187"/>
      <c r="O286" s="164"/>
      <c r="P286" s="164" t="s">
        <v>80</v>
      </c>
      <c r="Q286" s="186" t="s">
        <v>10</v>
      </c>
      <c r="R286" s="164"/>
      <c r="S286" s="172">
        <v>0.5</v>
      </c>
      <c r="T286" s="157"/>
      <c r="U286" s="173">
        <f t="shared" si="13"/>
        <v>0</v>
      </c>
      <c r="V286" s="332">
        <v>1</v>
      </c>
      <c r="W286" s="332">
        <v>1</v>
      </c>
      <c r="X286" s="332">
        <v>1</v>
      </c>
      <c r="Y286" s="332">
        <v>1</v>
      </c>
      <c r="Z286" s="332">
        <v>1</v>
      </c>
      <c r="AA286" s="332">
        <v>1</v>
      </c>
      <c r="AB286" s="332">
        <v>1</v>
      </c>
      <c r="AC286" s="332">
        <v>1</v>
      </c>
      <c r="AD286" s="332">
        <v>1</v>
      </c>
      <c r="AE286" s="332">
        <v>1</v>
      </c>
      <c r="AF286" s="332">
        <v>1</v>
      </c>
      <c r="AG286" s="332">
        <v>1</v>
      </c>
      <c r="AH286" s="332">
        <v>1</v>
      </c>
      <c r="AI286" s="332">
        <v>1</v>
      </c>
      <c r="AJ286" s="332">
        <v>1</v>
      </c>
      <c r="AK286" s="332">
        <v>1</v>
      </c>
      <c r="AL286" s="332">
        <v>1</v>
      </c>
      <c r="AM286" s="480">
        <v>1</v>
      </c>
      <c r="AN286" s="332">
        <v>1</v>
      </c>
      <c r="AO286" s="332">
        <v>1</v>
      </c>
      <c r="AP286" s="332">
        <v>1</v>
      </c>
      <c r="AQ286" s="332">
        <v>1</v>
      </c>
      <c r="AR286" s="332">
        <v>1</v>
      </c>
      <c r="AS286" s="332">
        <v>1</v>
      </c>
      <c r="AT286" s="332">
        <v>1</v>
      </c>
      <c r="AU286" s="332">
        <v>1</v>
      </c>
      <c r="AV286" s="332">
        <v>1</v>
      </c>
      <c r="AW286" s="332">
        <v>1</v>
      </c>
      <c r="AX286" s="332">
        <v>1</v>
      </c>
      <c r="AY286" s="332">
        <v>1</v>
      </c>
      <c r="AZ286" s="332">
        <v>1</v>
      </c>
      <c r="BA286" s="332">
        <v>1</v>
      </c>
    </row>
    <row r="287" spans="1:53" ht="29.25" hidden="1" customHeight="1">
      <c r="A287" s="168">
        <v>233</v>
      </c>
      <c r="B287" s="251">
        <v>46083</v>
      </c>
      <c r="C287" s="236" t="s">
        <v>75</v>
      </c>
      <c r="D287" s="467" t="s">
        <v>102</v>
      </c>
      <c r="E287" s="169" t="s">
        <v>3</v>
      </c>
      <c r="F287" s="169" t="s">
        <v>103</v>
      </c>
      <c r="G287" s="185" t="s">
        <v>1003</v>
      </c>
      <c r="H287" s="171" t="s">
        <v>228</v>
      </c>
      <c r="I287" s="170" t="s">
        <v>1006</v>
      </c>
      <c r="J287" s="153" t="s">
        <v>1005</v>
      </c>
      <c r="K287" s="154" t="s">
        <v>186</v>
      </c>
      <c r="L287" s="170"/>
      <c r="M287" s="170"/>
      <c r="N287" s="187"/>
      <c r="O287" s="164"/>
      <c r="P287" s="164" t="s">
        <v>80</v>
      </c>
      <c r="Q287" s="164" t="s">
        <v>10</v>
      </c>
      <c r="R287" s="164"/>
      <c r="S287" s="172">
        <v>0.5</v>
      </c>
      <c r="T287" s="157"/>
      <c r="U287" s="173">
        <f t="shared" si="13"/>
        <v>0</v>
      </c>
      <c r="V287" s="332">
        <v>1</v>
      </c>
      <c r="W287" s="332">
        <v>1</v>
      </c>
      <c r="X287" s="332">
        <v>1</v>
      </c>
      <c r="Y287" s="332">
        <v>1</v>
      </c>
      <c r="Z287" s="332">
        <v>1</v>
      </c>
      <c r="AA287" s="332">
        <v>1</v>
      </c>
      <c r="AB287" s="332">
        <v>1</v>
      </c>
      <c r="AC287" s="332">
        <v>1</v>
      </c>
      <c r="AD287" s="332">
        <v>1</v>
      </c>
      <c r="AE287" s="332">
        <v>1</v>
      </c>
      <c r="AF287" s="332">
        <v>1</v>
      </c>
      <c r="AG287" s="332">
        <v>1</v>
      </c>
      <c r="AH287" s="332">
        <v>1</v>
      </c>
      <c r="AI287" s="332">
        <v>1</v>
      </c>
      <c r="AJ287" s="332">
        <v>1</v>
      </c>
      <c r="AK287" s="332">
        <v>1</v>
      </c>
      <c r="AL287" s="332">
        <v>1</v>
      </c>
      <c r="AM287" s="480">
        <v>1</v>
      </c>
      <c r="AN287" s="332">
        <v>1</v>
      </c>
      <c r="AO287" s="332">
        <v>1</v>
      </c>
      <c r="AP287" s="332">
        <v>1</v>
      </c>
      <c r="AQ287" s="332">
        <v>1</v>
      </c>
      <c r="AR287" s="332">
        <v>1</v>
      </c>
      <c r="AS287" s="332">
        <v>1</v>
      </c>
      <c r="AT287" s="332">
        <v>1</v>
      </c>
      <c r="AU287" s="332">
        <v>1</v>
      </c>
      <c r="AV287" s="332">
        <v>1</v>
      </c>
      <c r="AW287" s="332">
        <v>1</v>
      </c>
      <c r="AX287" s="332">
        <v>1</v>
      </c>
      <c r="AY287" s="332">
        <v>1</v>
      </c>
      <c r="AZ287" s="332">
        <v>1</v>
      </c>
      <c r="BA287" s="332">
        <v>1</v>
      </c>
    </row>
    <row r="288" spans="1:53" ht="29.25" hidden="1" customHeight="1">
      <c r="A288" s="168">
        <v>233</v>
      </c>
      <c r="B288" s="251">
        <v>46083</v>
      </c>
      <c r="C288" s="236" t="s">
        <v>75</v>
      </c>
      <c r="D288" s="467" t="s">
        <v>102</v>
      </c>
      <c r="E288" s="169" t="s">
        <v>3</v>
      </c>
      <c r="F288" s="169" t="s">
        <v>103</v>
      </c>
      <c r="G288" s="185" t="s">
        <v>1003</v>
      </c>
      <c r="H288" s="171" t="s">
        <v>228</v>
      </c>
      <c r="I288" s="170" t="s">
        <v>1007</v>
      </c>
      <c r="J288" s="153" t="s">
        <v>1005</v>
      </c>
      <c r="K288" s="154" t="s">
        <v>186</v>
      </c>
      <c r="L288" s="170"/>
      <c r="M288" s="170"/>
      <c r="N288" s="187"/>
      <c r="O288" s="164"/>
      <c r="P288" s="164" t="s">
        <v>80</v>
      </c>
      <c r="Q288" s="164" t="s">
        <v>10</v>
      </c>
      <c r="R288" s="164"/>
      <c r="S288" s="172">
        <v>0.5</v>
      </c>
      <c r="T288" s="157"/>
      <c r="U288" s="173">
        <f t="shared" si="13"/>
        <v>0</v>
      </c>
      <c r="V288" s="332">
        <v>1</v>
      </c>
      <c r="W288" s="332">
        <v>1</v>
      </c>
      <c r="X288" s="332">
        <v>1</v>
      </c>
      <c r="Y288" s="332">
        <v>1</v>
      </c>
      <c r="Z288" s="332">
        <v>1</v>
      </c>
      <c r="AA288" s="332">
        <v>1</v>
      </c>
      <c r="AB288" s="332">
        <v>1</v>
      </c>
      <c r="AC288" s="332">
        <v>1</v>
      </c>
      <c r="AD288" s="332">
        <v>1</v>
      </c>
      <c r="AE288" s="332">
        <v>1</v>
      </c>
      <c r="AF288" s="332">
        <v>1</v>
      </c>
      <c r="AG288" s="332">
        <v>1</v>
      </c>
      <c r="AH288" s="332">
        <v>1</v>
      </c>
      <c r="AI288" s="332">
        <v>1</v>
      </c>
      <c r="AJ288" s="332">
        <v>1</v>
      </c>
      <c r="AK288" s="332">
        <v>1</v>
      </c>
      <c r="AL288" s="332">
        <v>1</v>
      </c>
      <c r="AM288" s="480">
        <v>1</v>
      </c>
      <c r="AN288" s="332">
        <v>1</v>
      </c>
      <c r="AO288" s="332">
        <v>1</v>
      </c>
      <c r="AP288" s="332">
        <v>1</v>
      </c>
      <c r="AQ288" s="332">
        <v>1</v>
      </c>
      <c r="AR288" s="332">
        <v>1</v>
      </c>
      <c r="AS288" s="332">
        <v>1</v>
      </c>
      <c r="AT288" s="332">
        <v>1</v>
      </c>
      <c r="AU288" s="332">
        <v>1</v>
      </c>
      <c r="AV288" s="332">
        <v>1</v>
      </c>
      <c r="AW288" s="332">
        <v>1</v>
      </c>
      <c r="AX288" s="332">
        <v>1</v>
      </c>
      <c r="AY288" s="332">
        <v>1</v>
      </c>
      <c r="AZ288" s="332">
        <v>1</v>
      </c>
      <c r="BA288" s="332">
        <v>1</v>
      </c>
    </row>
    <row r="289" spans="1:53" ht="29.25" customHeight="1">
      <c r="A289" s="168">
        <v>233</v>
      </c>
      <c r="B289" s="251">
        <v>46083</v>
      </c>
      <c r="C289" s="236" t="s">
        <v>75</v>
      </c>
      <c r="D289" s="467" t="s">
        <v>213</v>
      </c>
      <c r="E289" s="169" t="s">
        <v>6</v>
      </c>
      <c r="F289" s="169" t="s">
        <v>1008</v>
      </c>
      <c r="G289" s="185" t="s">
        <v>1009</v>
      </c>
      <c r="H289" s="171" t="s">
        <v>228</v>
      </c>
      <c r="I289" s="170" t="s">
        <v>1010</v>
      </c>
      <c r="J289" s="185"/>
      <c r="K289" s="154" t="s">
        <v>186</v>
      </c>
      <c r="L289" s="170"/>
      <c r="M289" s="170"/>
      <c r="N289" s="187"/>
      <c r="O289" s="164"/>
      <c r="P289" s="164" t="s">
        <v>80</v>
      </c>
      <c r="Q289" s="164" t="s">
        <v>4</v>
      </c>
      <c r="R289" s="164"/>
      <c r="S289" s="469">
        <v>0</v>
      </c>
      <c r="T289" s="157"/>
      <c r="U289" s="173">
        <f t="shared" si="13"/>
        <v>0</v>
      </c>
      <c r="V289" s="332">
        <v>1</v>
      </c>
      <c r="W289" s="332">
        <v>1</v>
      </c>
      <c r="X289" s="332">
        <v>1</v>
      </c>
      <c r="Y289" s="332">
        <v>1</v>
      </c>
      <c r="Z289" s="332">
        <v>1</v>
      </c>
      <c r="AA289" s="332">
        <v>1</v>
      </c>
      <c r="AB289" s="332">
        <v>1</v>
      </c>
      <c r="AC289" s="332">
        <v>1</v>
      </c>
      <c r="AD289" s="332">
        <v>1</v>
      </c>
      <c r="AE289" s="332">
        <v>1</v>
      </c>
      <c r="AF289" s="332">
        <v>1</v>
      </c>
      <c r="AG289" s="332">
        <v>1</v>
      </c>
      <c r="AH289" s="332">
        <v>1</v>
      </c>
      <c r="AI289" s="332">
        <v>1</v>
      </c>
      <c r="AJ289" s="332">
        <v>1</v>
      </c>
      <c r="AK289" s="332">
        <v>1</v>
      </c>
      <c r="AL289" s="332">
        <v>1</v>
      </c>
      <c r="AM289" s="480">
        <v>1</v>
      </c>
      <c r="AN289" s="332">
        <v>1</v>
      </c>
      <c r="AO289" s="332">
        <v>1</v>
      </c>
      <c r="AP289" s="332">
        <v>1</v>
      </c>
      <c r="AQ289" s="332">
        <v>1</v>
      </c>
      <c r="AR289" s="332">
        <v>1</v>
      </c>
      <c r="AS289" s="332">
        <v>1</v>
      </c>
      <c r="AT289" s="332">
        <v>1</v>
      </c>
      <c r="AU289" s="332">
        <v>1</v>
      </c>
      <c r="AV289" s="332">
        <v>1</v>
      </c>
      <c r="AW289" s="332">
        <v>1</v>
      </c>
      <c r="AX289" s="332">
        <v>1</v>
      </c>
      <c r="AY289" s="332">
        <v>1</v>
      </c>
      <c r="AZ289" s="332">
        <v>1</v>
      </c>
      <c r="BA289" s="332">
        <v>1</v>
      </c>
    </row>
    <row r="290" spans="1:53" ht="30.75" hidden="1" customHeight="1">
      <c r="A290" s="264"/>
      <c r="B290" s="265">
        <v>46084</v>
      </c>
      <c r="C290" s="266" t="s">
        <v>75</v>
      </c>
      <c r="D290" s="188" t="s">
        <v>213</v>
      </c>
      <c r="E290" s="266" t="s">
        <v>6</v>
      </c>
      <c r="F290" s="266" t="s">
        <v>502</v>
      </c>
      <c r="G290" s="171" t="s">
        <v>1011</v>
      </c>
      <c r="H290" s="171" t="s">
        <v>1011</v>
      </c>
      <c r="I290" s="188" t="s">
        <v>1012</v>
      </c>
      <c r="J290" s="188"/>
      <c r="K290" s="268"/>
      <c r="L290" s="269"/>
      <c r="M290" s="269"/>
      <c r="N290" s="269"/>
      <c r="O290" s="269"/>
      <c r="P290" s="164" t="s">
        <v>80</v>
      </c>
      <c r="Q290" s="164" t="s">
        <v>7</v>
      </c>
      <c r="R290" s="269" t="s">
        <v>81</v>
      </c>
      <c r="S290" s="270">
        <v>0.75</v>
      </c>
      <c r="T290" s="222">
        <v>-1</v>
      </c>
      <c r="U290" s="173">
        <f t="shared" si="13"/>
        <v>-0.75</v>
      </c>
      <c r="V290" s="273">
        <v>1</v>
      </c>
      <c r="W290" s="273">
        <v>1</v>
      </c>
      <c r="X290" s="273"/>
      <c r="Y290" s="273">
        <v>1</v>
      </c>
      <c r="Z290" s="273">
        <v>1</v>
      </c>
      <c r="AA290" s="273">
        <v>1</v>
      </c>
      <c r="AB290" s="273"/>
      <c r="AC290" s="273"/>
      <c r="AD290" s="273">
        <v>1</v>
      </c>
      <c r="AE290" s="273">
        <v>1</v>
      </c>
      <c r="AF290" s="273">
        <v>1</v>
      </c>
      <c r="AG290" s="274"/>
      <c r="AH290" s="274"/>
      <c r="AI290" s="274"/>
      <c r="AJ290" s="274"/>
      <c r="AK290" s="274"/>
      <c r="AL290" s="274"/>
      <c r="AM290" s="274"/>
      <c r="AN290" s="332"/>
      <c r="AO290" s="332"/>
      <c r="AP290" s="332"/>
      <c r="AQ290" s="332">
        <v>1</v>
      </c>
      <c r="AR290" s="332">
        <v>1</v>
      </c>
      <c r="AS290" s="332"/>
      <c r="AT290" s="332">
        <v>1</v>
      </c>
      <c r="AU290" s="332">
        <v>1</v>
      </c>
      <c r="AV290" s="332">
        <v>1</v>
      </c>
      <c r="AW290" s="332"/>
      <c r="AX290" s="332"/>
      <c r="AY290" s="332">
        <v>1</v>
      </c>
      <c r="AZ290" s="332">
        <v>1</v>
      </c>
      <c r="BA290" s="332">
        <v>1</v>
      </c>
    </row>
    <row r="291" spans="1:53" ht="30.75" hidden="1" customHeight="1">
      <c r="A291" s="264"/>
      <c r="B291" s="265">
        <v>46084</v>
      </c>
      <c r="C291" s="266" t="s">
        <v>75</v>
      </c>
      <c r="D291" s="188" t="s">
        <v>213</v>
      </c>
      <c r="E291" s="266" t="s">
        <v>6</v>
      </c>
      <c r="F291" s="266" t="s">
        <v>502</v>
      </c>
      <c r="G291" s="171" t="s">
        <v>1011</v>
      </c>
      <c r="H291" s="171" t="s">
        <v>1011</v>
      </c>
      <c r="I291" s="188" t="s">
        <v>1013</v>
      </c>
      <c r="J291" s="188"/>
      <c r="K291" s="268"/>
      <c r="L291" s="269"/>
      <c r="M291" s="269"/>
      <c r="N291" s="269"/>
      <c r="O291" s="269"/>
      <c r="P291" s="164" t="s">
        <v>80</v>
      </c>
      <c r="Q291" s="164" t="s">
        <v>7</v>
      </c>
      <c r="R291" s="269" t="s">
        <v>81</v>
      </c>
      <c r="S291" s="270">
        <v>0.75</v>
      </c>
      <c r="T291" s="222">
        <v>-2.5</v>
      </c>
      <c r="U291" s="173">
        <f t="shared" si="13"/>
        <v>-1.875</v>
      </c>
      <c r="V291" s="273">
        <v>1</v>
      </c>
      <c r="W291" s="273">
        <v>1</v>
      </c>
      <c r="X291" s="273"/>
      <c r="Y291" s="273">
        <v>1</v>
      </c>
      <c r="Z291" s="273">
        <v>1</v>
      </c>
      <c r="AA291" s="273">
        <v>1</v>
      </c>
      <c r="AB291" s="273"/>
      <c r="AC291" s="273"/>
      <c r="AD291" s="273">
        <v>1</v>
      </c>
      <c r="AE291" s="273">
        <v>1</v>
      </c>
      <c r="AF291" s="273">
        <v>1</v>
      </c>
      <c r="AG291" s="274"/>
      <c r="AH291" s="274"/>
      <c r="AI291" s="274"/>
      <c r="AJ291" s="274"/>
      <c r="AK291" s="274"/>
      <c r="AL291" s="274"/>
      <c r="AM291" s="274"/>
      <c r="AN291" s="332"/>
      <c r="AO291" s="332"/>
      <c r="AP291" s="332"/>
      <c r="AQ291" s="332">
        <v>1</v>
      </c>
      <c r="AR291" s="332">
        <v>1</v>
      </c>
      <c r="AS291" s="332"/>
      <c r="AT291" s="332">
        <v>1</v>
      </c>
      <c r="AU291" s="332">
        <v>1</v>
      </c>
      <c r="AV291" s="332">
        <v>1</v>
      </c>
      <c r="AW291" s="332"/>
      <c r="AX291" s="332"/>
      <c r="AY291" s="332">
        <v>1</v>
      </c>
      <c r="AZ291" s="332">
        <v>1</v>
      </c>
      <c r="BA291" s="332">
        <v>1</v>
      </c>
    </row>
    <row r="292" spans="1:53" ht="30.75" hidden="1" customHeight="1">
      <c r="A292" s="264"/>
      <c r="B292" s="265">
        <v>46084</v>
      </c>
      <c r="C292" s="266" t="s">
        <v>75</v>
      </c>
      <c r="D292" s="188" t="s">
        <v>213</v>
      </c>
      <c r="E292" s="266" t="s">
        <v>6</v>
      </c>
      <c r="F292" s="266" t="s">
        <v>502</v>
      </c>
      <c r="G292" s="171" t="s">
        <v>1011</v>
      </c>
      <c r="H292" s="171" t="s">
        <v>1011</v>
      </c>
      <c r="I292" s="188" t="s">
        <v>1014</v>
      </c>
      <c r="J292" s="188"/>
      <c r="K292" s="268"/>
      <c r="L292" s="269"/>
      <c r="M292" s="269"/>
      <c r="N292" s="269"/>
      <c r="O292" s="269"/>
      <c r="P292" s="164" t="s">
        <v>80</v>
      </c>
      <c r="Q292" s="164" t="s">
        <v>7</v>
      </c>
      <c r="R292" s="269" t="s">
        <v>81</v>
      </c>
      <c r="S292" s="270">
        <v>0.75</v>
      </c>
      <c r="T292" s="222">
        <v>-1.45</v>
      </c>
      <c r="U292" s="173">
        <f t="shared" si="13"/>
        <v>-1.0874999999999999</v>
      </c>
      <c r="V292" s="273">
        <v>1</v>
      </c>
      <c r="W292" s="273">
        <v>1</v>
      </c>
      <c r="X292" s="273"/>
      <c r="Y292" s="273">
        <v>1</v>
      </c>
      <c r="Z292" s="273">
        <v>1</v>
      </c>
      <c r="AA292" s="273">
        <v>1</v>
      </c>
      <c r="AB292" s="273"/>
      <c r="AC292" s="273"/>
      <c r="AD292" s="273">
        <v>1</v>
      </c>
      <c r="AE292" s="273">
        <v>1</v>
      </c>
      <c r="AF292" s="273">
        <v>1</v>
      </c>
      <c r="AG292" s="274"/>
      <c r="AH292" s="274"/>
      <c r="AI292" s="274"/>
      <c r="AJ292" s="274"/>
      <c r="AK292" s="274"/>
      <c r="AL292" s="274"/>
      <c r="AM292" s="274"/>
      <c r="AN292" s="332"/>
      <c r="AO292" s="332"/>
      <c r="AP292" s="332"/>
      <c r="AQ292" s="332">
        <v>1</v>
      </c>
      <c r="AR292" s="332">
        <v>1</v>
      </c>
      <c r="AS292" s="332"/>
      <c r="AT292" s="332">
        <v>1</v>
      </c>
      <c r="AU292" s="332">
        <v>1</v>
      </c>
      <c r="AV292" s="332">
        <v>1</v>
      </c>
      <c r="AW292" s="332"/>
      <c r="AX292" s="332"/>
      <c r="AY292" s="332">
        <v>1</v>
      </c>
      <c r="AZ292" s="332">
        <v>1</v>
      </c>
      <c r="BA292" s="332">
        <v>1</v>
      </c>
    </row>
    <row r="293" spans="1:53" ht="30.75" hidden="1" customHeight="1">
      <c r="A293" s="264"/>
      <c r="B293" s="265">
        <v>46084</v>
      </c>
      <c r="C293" s="266" t="s">
        <v>75</v>
      </c>
      <c r="D293" s="188" t="s">
        <v>213</v>
      </c>
      <c r="E293" s="266" t="s">
        <v>6</v>
      </c>
      <c r="F293" s="266" t="s">
        <v>502</v>
      </c>
      <c r="G293" s="171" t="s">
        <v>1011</v>
      </c>
      <c r="H293" s="171" t="s">
        <v>1015</v>
      </c>
      <c r="I293" s="188" t="s">
        <v>1016</v>
      </c>
      <c r="J293" s="188"/>
      <c r="K293" s="268"/>
      <c r="L293" s="269"/>
      <c r="M293" s="269"/>
      <c r="N293" s="269"/>
      <c r="O293" s="269"/>
      <c r="P293" s="164" t="s">
        <v>80</v>
      </c>
      <c r="Q293" s="164" t="s">
        <v>7</v>
      </c>
      <c r="R293" s="269" t="s">
        <v>81</v>
      </c>
      <c r="S293" s="270">
        <v>1</v>
      </c>
      <c r="T293" s="222">
        <v>-5</v>
      </c>
      <c r="U293" s="173">
        <f t="shared" si="13"/>
        <v>-5</v>
      </c>
      <c r="V293" s="273">
        <v>1</v>
      </c>
      <c r="W293" s="273">
        <v>1</v>
      </c>
      <c r="X293" s="273"/>
      <c r="Y293" s="273">
        <v>1</v>
      </c>
      <c r="Z293" s="273">
        <v>1</v>
      </c>
      <c r="AA293" s="273">
        <v>1</v>
      </c>
      <c r="AB293" s="273"/>
      <c r="AC293" s="273"/>
      <c r="AD293" s="273">
        <v>1</v>
      </c>
      <c r="AE293" s="273">
        <v>1</v>
      </c>
      <c r="AF293" s="273">
        <v>1</v>
      </c>
      <c r="AG293" s="274"/>
      <c r="AH293" s="274"/>
      <c r="AI293" s="274"/>
      <c r="AJ293" s="274"/>
      <c r="AK293" s="274"/>
      <c r="AL293" s="274"/>
      <c r="AM293" s="274"/>
      <c r="AN293" s="332"/>
      <c r="AO293" s="332"/>
      <c r="AP293" s="332"/>
      <c r="AQ293" s="332">
        <v>1</v>
      </c>
      <c r="AR293" s="332">
        <v>1</v>
      </c>
      <c r="AS293" s="332"/>
      <c r="AT293" s="332">
        <v>1</v>
      </c>
      <c r="AU293" s="332">
        <v>1</v>
      </c>
      <c r="AV293" s="332">
        <v>1</v>
      </c>
      <c r="AW293" s="332"/>
      <c r="AX293" s="332"/>
      <c r="AY293" s="332">
        <v>1</v>
      </c>
      <c r="AZ293" s="332">
        <v>1</v>
      </c>
      <c r="BA293" s="332">
        <v>1</v>
      </c>
    </row>
    <row r="294" spans="1:53" ht="30.75" hidden="1" customHeight="1">
      <c r="A294" s="264"/>
      <c r="B294" s="265">
        <v>46084</v>
      </c>
      <c r="C294" s="266" t="s">
        <v>75</v>
      </c>
      <c r="D294" s="188" t="s">
        <v>213</v>
      </c>
      <c r="E294" s="266" t="s">
        <v>6</v>
      </c>
      <c r="F294" s="266" t="s">
        <v>502</v>
      </c>
      <c r="G294" s="171" t="s">
        <v>1011</v>
      </c>
      <c r="H294" s="171" t="s">
        <v>1017</v>
      </c>
      <c r="I294" s="188" t="s">
        <v>1018</v>
      </c>
      <c r="J294" s="188"/>
      <c r="K294" s="268"/>
      <c r="L294" s="269"/>
      <c r="M294" s="269"/>
      <c r="N294" s="269"/>
      <c r="O294" s="269"/>
      <c r="P294" s="164" t="s">
        <v>80</v>
      </c>
      <c r="Q294" s="164" t="s">
        <v>7</v>
      </c>
      <c r="R294" s="269" t="s">
        <v>81</v>
      </c>
      <c r="S294" s="270">
        <v>0.75</v>
      </c>
      <c r="T294" s="222">
        <v>-3.17</v>
      </c>
      <c r="U294" s="173">
        <f t="shared" si="13"/>
        <v>-2.3774999999999999</v>
      </c>
      <c r="V294" s="273">
        <v>1</v>
      </c>
      <c r="W294" s="273">
        <v>1</v>
      </c>
      <c r="X294" s="273"/>
      <c r="Y294" s="273">
        <v>1</v>
      </c>
      <c r="Z294" s="273">
        <v>1</v>
      </c>
      <c r="AA294" s="273">
        <v>1</v>
      </c>
      <c r="AB294" s="273"/>
      <c r="AC294" s="273"/>
      <c r="AD294" s="273">
        <v>1</v>
      </c>
      <c r="AE294" s="273">
        <v>1</v>
      </c>
      <c r="AF294" s="273">
        <v>1</v>
      </c>
      <c r="AG294" s="274"/>
      <c r="AH294" s="274"/>
      <c r="AI294" s="274"/>
      <c r="AJ294" s="274"/>
      <c r="AK294" s="274"/>
      <c r="AL294" s="274"/>
      <c r="AM294" s="274"/>
      <c r="AN294" s="332"/>
      <c r="AO294" s="332"/>
      <c r="AP294" s="332"/>
      <c r="AQ294" s="332">
        <v>1</v>
      </c>
      <c r="AR294" s="332">
        <v>1</v>
      </c>
      <c r="AS294" s="332"/>
      <c r="AT294" s="332">
        <v>1</v>
      </c>
      <c r="AU294" s="332">
        <v>1</v>
      </c>
      <c r="AV294" s="332">
        <v>1</v>
      </c>
      <c r="AW294" s="332"/>
      <c r="AX294" s="332"/>
      <c r="AY294" s="332">
        <v>1</v>
      </c>
      <c r="AZ294" s="332">
        <v>1</v>
      </c>
      <c r="BA294" s="332">
        <v>1</v>
      </c>
    </row>
    <row r="295" spans="1:53" ht="30.75" customHeight="1">
      <c r="A295" s="264"/>
      <c r="B295" s="265">
        <v>46085</v>
      </c>
      <c r="C295" s="266" t="s">
        <v>75</v>
      </c>
      <c r="D295" s="188" t="s">
        <v>199</v>
      </c>
      <c r="E295" s="266" t="s">
        <v>6</v>
      </c>
      <c r="F295" s="266" t="s">
        <v>863</v>
      </c>
      <c r="G295" s="171" t="s">
        <v>1019</v>
      </c>
      <c r="H295" s="171" t="s">
        <v>1019</v>
      </c>
      <c r="I295" s="188" t="s">
        <v>1020</v>
      </c>
      <c r="J295" s="188"/>
      <c r="K295" s="268"/>
      <c r="L295" s="269"/>
      <c r="M295" s="269"/>
      <c r="N295" s="269"/>
      <c r="O295" s="269"/>
      <c r="P295" s="164" t="s">
        <v>80</v>
      </c>
      <c r="Q295" s="164" t="s">
        <v>4</v>
      </c>
      <c r="R295" s="269" t="s">
        <v>81</v>
      </c>
      <c r="S295" s="270">
        <v>0.5</v>
      </c>
      <c r="T295" s="222">
        <v>-3</v>
      </c>
      <c r="U295" s="173">
        <f t="shared" si="13"/>
        <v>-1.5</v>
      </c>
      <c r="V295" s="273">
        <v>1</v>
      </c>
      <c r="W295" s="273">
        <v>1</v>
      </c>
      <c r="X295" s="273"/>
      <c r="Y295" s="273">
        <v>1</v>
      </c>
      <c r="Z295" s="273">
        <v>1</v>
      </c>
      <c r="AA295" s="273">
        <v>1</v>
      </c>
      <c r="AB295" s="273"/>
      <c r="AC295" s="273"/>
      <c r="AD295" s="273">
        <v>1</v>
      </c>
      <c r="AE295" s="273">
        <v>1</v>
      </c>
      <c r="AF295" s="273">
        <v>1</v>
      </c>
      <c r="AG295" s="274"/>
      <c r="AH295" s="274"/>
      <c r="AI295" s="274"/>
      <c r="AJ295" s="274"/>
      <c r="AK295" s="274"/>
      <c r="AL295" s="274"/>
      <c r="AM295" s="274"/>
      <c r="AN295" s="332"/>
      <c r="AO295" s="332"/>
      <c r="AP295" s="332"/>
      <c r="AQ295" s="332">
        <v>1</v>
      </c>
      <c r="AR295" s="332">
        <v>1</v>
      </c>
      <c r="AS295" s="332"/>
      <c r="AT295" s="332">
        <v>1</v>
      </c>
      <c r="AU295" s="332">
        <v>1</v>
      </c>
      <c r="AV295" s="332">
        <v>1</v>
      </c>
      <c r="AW295" s="332"/>
      <c r="AX295" s="332"/>
      <c r="AY295" s="332">
        <v>1</v>
      </c>
      <c r="AZ295" s="332">
        <v>1</v>
      </c>
      <c r="BA295" s="332">
        <v>1</v>
      </c>
    </row>
    <row r="296" spans="1:53" ht="44.25" hidden="1" customHeight="1">
      <c r="A296" s="168"/>
      <c r="B296" s="251">
        <v>46090</v>
      </c>
      <c r="C296" s="236" t="s">
        <v>75</v>
      </c>
      <c r="D296" s="467" t="s">
        <v>180</v>
      </c>
      <c r="E296" s="169" t="s">
        <v>3</v>
      </c>
      <c r="F296" s="169" t="s">
        <v>181</v>
      </c>
      <c r="G296" s="171" t="s">
        <v>1021</v>
      </c>
      <c r="H296" s="171"/>
      <c r="I296" s="170" t="s">
        <v>1022</v>
      </c>
      <c r="J296" s="185"/>
      <c r="K296" s="154"/>
      <c r="L296" s="170"/>
      <c r="M296" s="170"/>
      <c r="N296" s="187"/>
      <c r="O296" s="164"/>
      <c r="P296" s="164" t="s">
        <v>80</v>
      </c>
      <c r="Q296" s="164" t="s">
        <v>4</v>
      </c>
      <c r="R296" s="164" t="s">
        <v>81</v>
      </c>
      <c r="S296" s="172">
        <v>1</v>
      </c>
      <c r="T296" s="157">
        <v>0.14000000000000001</v>
      </c>
      <c r="U296" s="173">
        <f t="shared" ref="U296:U303" si="14">T296*S296</f>
        <v>0.14000000000000001</v>
      </c>
      <c r="V296" s="332">
        <v>1</v>
      </c>
      <c r="W296" s="332">
        <v>1</v>
      </c>
      <c r="X296" s="332">
        <v>1</v>
      </c>
      <c r="Y296" s="332">
        <v>1</v>
      </c>
      <c r="Z296" s="332">
        <v>1</v>
      </c>
      <c r="AA296" s="198"/>
      <c r="AB296" s="198"/>
      <c r="AC296" s="198"/>
      <c r="AD296" s="198"/>
      <c r="AE296" s="198"/>
      <c r="AF296" s="198"/>
      <c r="AG296" s="198"/>
      <c r="AH296" s="198"/>
      <c r="AI296" s="198"/>
      <c r="AJ296" s="198"/>
      <c r="AK296" s="198"/>
      <c r="AL296" s="198"/>
      <c r="AM296" s="198"/>
      <c r="AN296" s="332">
        <v>1</v>
      </c>
      <c r="AO296" s="332">
        <v>1</v>
      </c>
      <c r="AP296" s="332">
        <v>1</v>
      </c>
      <c r="AQ296" s="332">
        <v>1</v>
      </c>
      <c r="AR296" s="332">
        <v>1</v>
      </c>
      <c r="AS296" s="332">
        <v>1</v>
      </c>
      <c r="AT296" s="332"/>
      <c r="AU296" s="332"/>
      <c r="AV296" s="332">
        <v>1</v>
      </c>
      <c r="AW296" s="332">
        <v>1</v>
      </c>
      <c r="AX296" s="332">
        <v>1</v>
      </c>
      <c r="AY296" s="332">
        <v>1</v>
      </c>
      <c r="AZ296" s="332">
        <v>1</v>
      </c>
      <c r="BA296" s="332">
        <v>1</v>
      </c>
    </row>
    <row r="297" spans="1:53" s="391" customFormat="1" ht="29.25" hidden="1" customHeight="1">
      <c r="A297" s="182"/>
      <c r="B297" s="253">
        <v>46078</v>
      </c>
      <c r="C297" s="220" t="s">
        <v>75</v>
      </c>
      <c r="D297" s="462" t="s">
        <v>16</v>
      </c>
      <c r="E297" s="220" t="s">
        <v>6</v>
      </c>
      <c r="F297" s="220" t="s">
        <v>410</v>
      </c>
      <c r="G297" s="185" t="s">
        <v>1023</v>
      </c>
      <c r="H297" s="185" t="s">
        <v>1023</v>
      </c>
      <c r="I297" s="462"/>
      <c r="J297" s="552"/>
      <c r="K297" s="462"/>
      <c r="L297" s="462" t="s">
        <v>797</v>
      </c>
      <c r="M297" s="462"/>
      <c r="N297" s="462"/>
      <c r="O297" s="186"/>
      <c r="P297" s="186" t="s">
        <v>126</v>
      </c>
      <c r="Q297" s="186" t="s">
        <v>7</v>
      </c>
      <c r="R297" s="186" t="s">
        <v>81</v>
      </c>
      <c r="S297" s="181">
        <v>1</v>
      </c>
      <c r="T297" s="157">
        <v>-2.5</v>
      </c>
      <c r="U297" s="173">
        <f t="shared" si="14"/>
        <v>-2.5</v>
      </c>
      <c r="V297" s="273"/>
      <c r="W297" s="273"/>
      <c r="X297" s="273"/>
      <c r="Y297" s="273">
        <v>1</v>
      </c>
      <c r="Z297" s="273">
        <v>1</v>
      </c>
      <c r="AA297" s="273"/>
      <c r="AB297" s="273"/>
      <c r="AC297" s="273">
        <v>1</v>
      </c>
      <c r="AD297" s="273">
        <v>1</v>
      </c>
      <c r="AE297" s="273"/>
      <c r="AF297" s="273"/>
      <c r="AG297" s="273"/>
      <c r="AH297" s="273">
        <v>1</v>
      </c>
      <c r="AI297" s="273">
        <v>1</v>
      </c>
      <c r="AJ297" s="273"/>
      <c r="AK297" s="273"/>
      <c r="AL297" s="273">
        <v>1</v>
      </c>
      <c r="AM297" s="483">
        <v>1</v>
      </c>
      <c r="AN297" s="332"/>
      <c r="AO297" s="332"/>
      <c r="AP297" s="194"/>
      <c r="AQ297" s="332"/>
      <c r="AR297" s="332">
        <v>1</v>
      </c>
      <c r="AS297" s="332"/>
      <c r="AT297" s="332"/>
      <c r="AU297" s="332"/>
      <c r="AV297" s="332">
        <v>1</v>
      </c>
      <c r="AW297" s="332"/>
      <c r="AX297" s="332"/>
      <c r="AY297" s="194"/>
      <c r="AZ297" s="332">
        <v>1</v>
      </c>
      <c r="BA297" s="332"/>
    </row>
    <row r="298" spans="1:53" ht="30.6" hidden="1" customHeight="1">
      <c r="A298" s="264"/>
      <c r="B298" s="265">
        <v>46097</v>
      </c>
      <c r="C298" s="266" t="s">
        <v>75</v>
      </c>
      <c r="D298" s="188" t="s">
        <v>903</v>
      </c>
      <c r="E298" s="169" t="s">
        <v>172</v>
      </c>
      <c r="F298" s="266" t="s">
        <v>1024</v>
      </c>
      <c r="G298" s="268" t="s">
        <v>1025</v>
      </c>
      <c r="H298" s="188" t="s">
        <v>1026</v>
      </c>
      <c r="I298" s="188" t="s">
        <v>1027</v>
      </c>
      <c r="J298" s="557"/>
      <c r="K298" s="188"/>
      <c r="L298" s="188"/>
      <c r="M298" s="188"/>
      <c r="N298" s="268"/>
      <c r="O298" s="269"/>
      <c r="P298" s="269" t="s">
        <v>80</v>
      </c>
      <c r="Q298" s="269" t="s">
        <v>4</v>
      </c>
      <c r="R298" s="269" t="s">
        <v>81</v>
      </c>
      <c r="S298" s="270">
        <v>0</v>
      </c>
      <c r="T298" s="158">
        <v>-5</v>
      </c>
      <c r="U298" s="173">
        <f t="shared" si="14"/>
        <v>0</v>
      </c>
      <c r="V298" s="273"/>
      <c r="W298" s="273"/>
      <c r="X298" s="273"/>
      <c r="Y298" s="273">
        <v>1</v>
      </c>
      <c r="Z298" s="273"/>
      <c r="AA298" s="273"/>
      <c r="AB298" s="273"/>
      <c r="AC298" s="273">
        <v>1</v>
      </c>
      <c r="AD298" s="273"/>
      <c r="AE298" s="273"/>
      <c r="AF298" s="273"/>
      <c r="AG298" s="273"/>
      <c r="AH298" s="273">
        <v>1</v>
      </c>
      <c r="AI298" s="273"/>
      <c r="AJ298" s="273"/>
      <c r="AK298" s="273"/>
      <c r="AL298" s="273">
        <v>1</v>
      </c>
      <c r="AM298" s="483"/>
      <c r="AN298" s="273"/>
      <c r="AO298" s="273"/>
      <c r="AP298" s="504"/>
      <c r="AQ298" s="273"/>
      <c r="AR298" s="273">
        <v>1</v>
      </c>
      <c r="AS298" s="273"/>
      <c r="AT298" s="273"/>
      <c r="AU298" s="504"/>
      <c r="AV298" s="273">
        <v>1</v>
      </c>
      <c r="AW298" s="273"/>
      <c r="AX298" s="273"/>
      <c r="AY298" s="504"/>
      <c r="AZ298" s="273">
        <v>1</v>
      </c>
      <c r="BA298" s="273">
        <v>1</v>
      </c>
    </row>
    <row r="299" spans="1:53" ht="30.6" customHeight="1">
      <c r="A299" s="264"/>
      <c r="B299" s="265">
        <v>46097</v>
      </c>
      <c r="C299" s="266" t="s">
        <v>75</v>
      </c>
      <c r="D299" s="188" t="s">
        <v>199</v>
      </c>
      <c r="E299" s="169" t="s">
        <v>6</v>
      </c>
      <c r="F299" s="266" t="s">
        <v>863</v>
      </c>
      <c r="G299" s="268" t="s">
        <v>1028</v>
      </c>
      <c r="H299" s="188" t="s">
        <v>1029</v>
      </c>
      <c r="I299" s="188" t="s">
        <v>1030</v>
      </c>
      <c r="J299" s="557"/>
      <c r="K299" s="188"/>
      <c r="L299" s="188"/>
      <c r="M299" s="188"/>
      <c r="N299" s="268"/>
      <c r="O299" s="269"/>
      <c r="P299" s="269" t="s">
        <v>80</v>
      </c>
      <c r="Q299" s="269" t="s">
        <v>4</v>
      </c>
      <c r="R299" s="269" t="s">
        <v>81</v>
      </c>
      <c r="S299" s="270">
        <v>0.2</v>
      </c>
      <c r="T299" s="158">
        <v>1.5</v>
      </c>
      <c r="U299" s="173">
        <f t="shared" si="14"/>
        <v>0.30000000000000004</v>
      </c>
      <c r="V299" s="273"/>
      <c r="W299" s="273"/>
      <c r="X299" s="273"/>
      <c r="Y299" s="273">
        <v>1</v>
      </c>
      <c r="Z299" s="273"/>
      <c r="AA299" s="273"/>
      <c r="AB299" s="273"/>
      <c r="AC299" s="273">
        <v>1</v>
      </c>
      <c r="AD299" s="273"/>
      <c r="AE299" s="273"/>
      <c r="AF299" s="273"/>
      <c r="AG299" s="273"/>
      <c r="AH299" s="273">
        <v>1</v>
      </c>
      <c r="AI299" s="273"/>
      <c r="AJ299" s="273"/>
      <c r="AK299" s="273"/>
      <c r="AL299" s="273">
        <v>1</v>
      </c>
      <c r="AM299" s="483"/>
      <c r="AN299" s="273"/>
      <c r="AO299" s="273"/>
      <c r="AP299" s="504"/>
      <c r="AQ299" s="273">
        <v>1</v>
      </c>
      <c r="AR299" s="273">
        <v>1</v>
      </c>
      <c r="AS299" s="273"/>
      <c r="AT299" s="273">
        <v>1</v>
      </c>
      <c r="AU299" s="273">
        <v>1</v>
      </c>
      <c r="AV299" s="273">
        <v>1</v>
      </c>
      <c r="AW299" s="273"/>
      <c r="AX299" s="273"/>
      <c r="AY299" s="273">
        <v>1</v>
      </c>
      <c r="AZ299" s="273">
        <v>1</v>
      </c>
      <c r="BA299" s="273">
        <v>1</v>
      </c>
    </row>
    <row r="300" spans="1:53" ht="30.6" hidden="1" customHeight="1">
      <c r="A300" s="264"/>
      <c r="B300" s="265">
        <v>46098</v>
      </c>
      <c r="C300" s="266" t="s">
        <v>75</v>
      </c>
      <c r="D300" s="188" t="s">
        <v>903</v>
      </c>
      <c r="E300" s="169" t="s">
        <v>172</v>
      </c>
      <c r="F300" s="266" t="s">
        <v>906</v>
      </c>
      <c r="G300" s="268" t="s">
        <v>1031</v>
      </c>
      <c r="H300" s="188" t="s">
        <v>1032</v>
      </c>
      <c r="I300" s="188" t="s">
        <v>1033</v>
      </c>
      <c r="J300" s="557"/>
      <c r="K300" s="188"/>
      <c r="L300" s="188"/>
      <c r="M300" s="188"/>
      <c r="N300" s="268"/>
      <c r="O300" s="269"/>
      <c r="P300" s="269" t="s">
        <v>80</v>
      </c>
      <c r="Q300" s="269" t="s">
        <v>4</v>
      </c>
      <c r="R300" s="269" t="s">
        <v>81</v>
      </c>
      <c r="S300" s="270">
        <v>1</v>
      </c>
      <c r="T300" s="158">
        <v>3</v>
      </c>
      <c r="U300" s="173">
        <f t="shared" si="14"/>
        <v>3</v>
      </c>
      <c r="V300" s="273"/>
      <c r="W300" s="273"/>
      <c r="X300" s="273"/>
      <c r="Y300" s="273">
        <v>1</v>
      </c>
      <c r="Z300" s="273"/>
      <c r="AA300" s="273"/>
      <c r="AB300" s="273"/>
      <c r="AC300" s="273">
        <v>1</v>
      </c>
      <c r="AD300" s="273"/>
      <c r="AE300" s="273"/>
      <c r="AF300" s="273"/>
      <c r="AG300" s="273"/>
      <c r="AH300" s="273">
        <v>1</v>
      </c>
      <c r="AI300" s="273"/>
      <c r="AJ300" s="273"/>
      <c r="AK300" s="273"/>
      <c r="AL300" s="273">
        <v>1</v>
      </c>
      <c r="AM300" s="483"/>
      <c r="AN300" s="273"/>
      <c r="AO300" s="273"/>
      <c r="AP300" s="504"/>
      <c r="AQ300" s="273"/>
      <c r="AR300" s="273">
        <v>1</v>
      </c>
      <c r="AS300" s="273"/>
      <c r="AT300" s="273"/>
      <c r="AU300" s="273"/>
      <c r="AV300" s="273">
        <v>1</v>
      </c>
      <c r="AW300" s="273"/>
      <c r="AX300" s="273"/>
      <c r="AY300" s="273"/>
      <c r="AZ300" s="273">
        <v>1</v>
      </c>
      <c r="BA300" s="273">
        <v>1</v>
      </c>
    </row>
    <row r="301" spans="1:53" ht="30.6" hidden="1" customHeight="1">
      <c r="A301" s="264"/>
      <c r="B301" s="265">
        <v>46098</v>
      </c>
      <c r="C301" s="266" t="s">
        <v>75</v>
      </c>
      <c r="D301" s="188" t="s">
        <v>903</v>
      </c>
      <c r="E301" s="169" t="s">
        <v>172</v>
      </c>
      <c r="F301" s="266" t="s">
        <v>906</v>
      </c>
      <c r="G301" s="268" t="s">
        <v>439</v>
      </c>
      <c r="H301" s="188" t="s">
        <v>439</v>
      </c>
      <c r="I301" s="188" t="s">
        <v>1034</v>
      </c>
      <c r="J301" s="557"/>
      <c r="K301" s="188"/>
      <c r="L301" s="188"/>
      <c r="M301" s="188"/>
      <c r="N301" s="268"/>
      <c r="O301" s="269"/>
      <c r="P301" s="269" t="s">
        <v>80</v>
      </c>
      <c r="Q301" s="269" t="s">
        <v>4</v>
      </c>
      <c r="R301" s="269" t="s">
        <v>81</v>
      </c>
      <c r="S301" s="270">
        <v>1</v>
      </c>
      <c r="T301" s="158">
        <v>0.2</v>
      </c>
      <c r="U301" s="173">
        <f t="shared" si="14"/>
        <v>0.2</v>
      </c>
      <c r="V301" s="273"/>
      <c r="W301" s="273"/>
      <c r="X301" s="273"/>
      <c r="Y301" s="273">
        <v>1</v>
      </c>
      <c r="Z301" s="273"/>
      <c r="AA301" s="273"/>
      <c r="AB301" s="273"/>
      <c r="AC301" s="273">
        <v>1</v>
      </c>
      <c r="AD301" s="273"/>
      <c r="AE301" s="273"/>
      <c r="AF301" s="273"/>
      <c r="AG301" s="273"/>
      <c r="AH301" s="273">
        <v>1</v>
      </c>
      <c r="AI301" s="273"/>
      <c r="AJ301" s="273"/>
      <c r="AK301" s="273"/>
      <c r="AL301" s="273">
        <v>1</v>
      </c>
      <c r="AM301" s="483"/>
      <c r="AN301" s="273"/>
      <c r="AO301" s="273"/>
      <c r="AP301" s="504"/>
      <c r="AQ301" s="273"/>
      <c r="AR301" s="273">
        <v>1</v>
      </c>
      <c r="AS301" s="273"/>
      <c r="AT301" s="273"/>
      <c r="AU301" s="273"/>
      <c r="AV301" s="273">
        <v>1</v>
      </c>
      <c r="AW301" s="273"/>
      <c r="AX301" s="273"/>
      <c r="AY301" s="273"/>
      <c r="AZ301" s="273">
        <v>1</v>
      </c>
      <c r="BA301" s="273">
        <v>1</v>
      </c>
    </row>
    <row r="302" spans="1:53" ht="30.75" customHeight="1">
      <c r="A302" s="264"/>
      <c r="B302" s="265">
        <v>46084</v>
      </c>
      <c r="C302" s="266" t="s">
        <v>75</v>
      </c>
      <c r="D302" s="188" t="s">
        <v>213</v>
      </c>
      <c r="E302" s="266" t="s">
        <v>6</v>
      </c>
      <c r="F302" s="266" t="s">
        <v>502</v>
      </c>
      <c r="G302" s="171" t="s">
        <v>1035</v>
      </c>
      <c r="H302" s="171" t="s">
        <v>1036</v>
      </c>
      <c r="I302" s="188" t="s">
        <v>1037</v>
      </c>
      <c r="J302" s="188"/>
      <c r="K302" s="268"/>
      <c r="L302" s="269"/>
      <c r="M302" s="269"/>
      <c r="N302" s="269"/>
      <c r="O302" s="269"/>
      <c r="P302" s="164" t="s">
        <v>80</v>
      </c>
      <c r="Q302" s="269" t="s">
        <v>4</v>
      </c>
      <c r="R302" s="269" t="s">
        <v>81</v>
      </c>
      <c r="S302" s="270">
        <v>0</v>
      </c>
      <c r="T302" s="222">
        <v>9</v>
      </c>
      <c r="U302" s="173">
        <f t="shared" si="14"/>
        <v>0</v>
      </c>
      <c r="V302" s="273">
        <v>1</v>
      </c>
      <c r="W302" s="273">
        <v>1</v>
      </c>
      <c r="X302" s="273"/>
      <c r="Y302" s="273">
        <v>1</v>
      </c>
      <c r="Z302" s="273">
        <v>1</v>
      </c>
      <c r="AA302" s="273">
        <v>1</v>
      </c>
      <c r="AB302" s="273"/>
      <c r="AC302" s="273"/>
      <c r="AD302" s="273">
        <v>1</v>
      </c>
      <c r="AE302" s="273">
        <v>1</v>
      </c>
      <c r="AF302" s="273">
        <v>1</v>
      </c>
      <c r="AG302" s="274"/>
      <c r="AH302" s="274"/>
      <c r="AI302" s="274"/>
      <c r="AJ302" s="274"/>
      <c r="AK302" s="274"/>
      <c r="AL302" s="274"/>
      <c r="AM302" s="274"/>
      <c r="AN302" s="332"/>
      <c r="AO302" s="332"/>
      <c r="AP302" s="332">
        <v>1</v>
      </c>
      <c r="AQ302" s="332"/>
      <c r="AR302" s="332"/>
      <c r="AS302" s="332"/>
      <c r="AT302" s="332"/>
      <c r="AU302" s="332">
        <v>1</v>
      </c>
      <c r="AV302" s="332"/>
      <c r="AW302" s="332"/>
      <c r="AX302" s="332"/>
      <c r="AY302" s="332"/>
      <c r="AZ302" s="332"/>
      <c r="BA302" s="332">
        <v>1</v>
      </c>
    </row>
    <row r="303" spans="1:53" ht="29.25" hidden="1" customHeight="1">
      <c r="A303" s="151"/>
      <c r="B303" s="253">
        <v>46108</v>
      </c>
      <c r="C303" s="236" t="s">
        <v>75</v>
      </c>
      <c r="D303" s="467" t="s">
        <v>76</v>
      </c>
      <c r="E303" s="169" t="s">
        <v>3</v>
      </c>
      <c r="F303" s="169" t="s">
        <v>118</v>
      </c>
      <c r="G303" s="185" t="s">
        <v>1038</v>
      </c>
      <c r="H303" s="472"/>
      <c r="I303" s="150" t="s">
        <v>1039</v>
      </c>
      <c r="J303" s="560" t="s">
        <v>1040</v>
      </c>
      <c r="K303" s="470"/>
      <c r="L303" s="10"/>
      <c r="M303" s="10"/>
      <c r="N303" s="206"/>
      <c r="O303" s="10"/>
      <c r="P303" s="10"/>
      <c r="Q303" s="186" t="s">
        <v>4</v>
      </c>
      <c r="R303" s="10"/>
      <c r="S303" s="469">
        <v>0</v>
      </c>
      <c r="T303" s="207"/>
      <c r="U303" s="173">
        <f t="shared" si="14"/>
        <v>0</v>
      </c>
      <c r="AN303" s="332">
        <v>1</v>
      </c>
      <c r="AO303" s="332">
        <v>1</v>
      </c>
      <c r="AP303" s="332">
        <v>1</v>
      </c>
      <c r="AQ303" s="332">
        <v>1</v>
      </c>
      <c r="AR303" s="332">
        <v>1</v>
      </c>
      <c r="AS303" s="332">
        <v>1</v>
      </c>
      <c r="AT303" s="332">
        <v>1</v>
      </c>
      <c r="AU303" s="332">
        <v>1</v>
      </c>
      <c r="AV303" s="332">
        <v>1</v>
      </c>
      <c r="AW303" s="332">
        <v>1</v>
      </c>
      <c r="AX303" s="332">
        <v>1</v>
      </c>
      <c r="AY303" s="332">
        <v>1</v>
      </c>
      <c r="AZ303" s="332">
        <v>1</v>
      </c>
      <c r="BA303" s="332">
        <v>1</v>
      </c>
    </row>
    <row r="304" spans="1:53" ht="29.25" hidden="1" customHeight="1">
      <c r="A304" s="151"/>
      <c r="B304" s="253">
        <v>46108</v>
      </c>
      <c r="C304" s="236" t="s">
        <v>75</v>
      </c>
      <c r="D304" s="467" t="s">
        <v>76</v>
      </c>
      <c r="E304" s="169" t="s">
        <v>3</v>
      </c>
      <c r="F304" s="169" t="s">
        <v>118</v>
      </c>
      <c r="G304" s="185" t="s">
        <v>1041</v>
      </c>
      <c r="H304" s="472"/>
      <c r="I304" s="150" t="s">
        <v>1042</v>
      </c>
      <c r="J304" s="560" t="s">
        <v>1040</v>
      </c>
      <c r="K304" s="470"/>
      <c r="L304" s="10"/>
      <c r="M304" s="10"/>
      <c r="N304" s="206"/>
      <c r="O304" s="10"/>
      <c r="P304" s="10"/>
      <c r="Q304" s="186" t="s">
        <v>4</v>
      </c>
      <c r="R304" s="10"/>
      <c r="S304" s="469">
        <v>0</v>
      </c>
      <c r="T304" s="207"/>
      <c r="U304" s="173">
        <f t="shared" ref="U304" si="15">T304*S304</f>
        <v>0</v>
      </c>
      <c r="AN304" s="332">
        <v>1</v>
      </c>
      <c r="AO304" s="332">
        <v>1</v>
      </c>
      <c r="AP304" s="332">
        <v>1</v>
      </c>
      <c r="AQ304" s="332">
        <v>1</v>
      </c>
      <c r="AR304" s="332">
        <v>1</v>
      </c>
      <c r="AS304" s="332">
        <v>1</v>
      </c>
      <c r="AT304" s="332">
        <v>1</v>
      </c>
      <c r="AU304" s="332">
        <v>1</v>
      </c>
      <c r="AV304" s="332">
        <v>1</v>
      </c>
      <c r="AW304" s="332">
        <v>1</v>
      </c>
      <c r="AX304" s="332">
        <v>1</v>
      </c>
      <c r="AY304" s="332">
        <v>1</v>
      </c>
      <c r="AZ304" s="332">
        <v>1</v>
      </c>
      <c r="BA304" s="332">
        <v>1</v>
      </c>
    </row>
    <row r="305" spans="1:53" ht="29.25" hidden="1" customHeight="1">
      <c r="A305" s="151"/>
      <c r="B305" s="253">
        <v>46108</v>
      </c>
      <c r="C305" s="236" t="s">
        <v>75</v>
      </c>
      <c r="D305" s="467" t="s">
        <v>76</v>
      </c>
      <c r="E305" s="169" t="s">
        <v>3</v>
      </c>
      <c r="F305" s="169" t="s">
        <v>118</v>
      </c>
      <c r="G305" s="185" t="s">
        <v>1043</v>
      </c>
      <c r="H305" s="472"/>
      <c r="I305" s="150" t="s">
        <v>1044</v>
      </c>
      <c r="J305" s="560" t="s">
        <v>1040</v>
      </c>
      <c r="K305" s="470"/>
      <c r="L305" s="10"/>
      <c r="M305" s="10"/>
      <c r="N305" s="206"/>
      <c r="O305" s="10"/>
      <c r="P305" s="10"/>
      <c r="Q305" s="186" t="s">
        <v>4</v>
      </c>
      <c r="R305" s="10"/>
      <c r="S305" s="469">
        <v>0</v>
      </c>
      <c r="T305" s="207"/>
      <c r="U305" s="173">
        <f t="shared" ref="U305" si="16">T305*S305</f>
        <v>0</v>
      </c>
      <c r="AN305" s="332">
        <v>1</v>
      </c>
      <c r="AO305" s="332">
        <v>1</v>
      </c>
      <c r="AP305" s="332">
        <v>1</v>
      </c>
      <c r="AQ305" s="332">
        <v>1</v>
      </c>
      <c r="AR305" s="332">
        <v>1</v>
      </c>
      <c r="AS305" s="332">
        <v>1</v>
      </c>
      <c r="AT305" s="332">
        <v>1</v>
      </c>
      <c r="AU305" s="332">
        <v>1</v>
      </c>
      <c r="AV305" s="332">
        <v>1</v>
      </c>
      <c r="AW305" s="332">
        <v>1</v>
      </c>
      <c r="AX305" s="332">
        <v>1</v>
      </c>
      <c r="AY305" s="332">
        <v>1</v>
      </c>
      <c r="AZ305" s="332">
        <v>1</v>
      </c>
      <c r="BA305" s="332">
        <v>1</v>
      </c>
    </row>
    <row r="306" spans="1:53" ht="29.25" hidden="1" customHeight="1">
      <c r="A306" s="151"/>
      <c r="B306" s="253">
        <v>46108</v>
      </c>
      <c r="C306" s="236" t="s">
        <v>75</v>
      </c>
      <c r="D306" s="467" t="s">
        <v>76</v>
      </c>
      <c r="E306" s="169" t="s">
        <v>3</v>
      </c>
      <c r="F306" s="169" t="s">
        <v>118</v>
      </c>
      <c r="G306" s="185" t="s">
        <v>1045</v>
      </c>
      <c r="H306" s="472"/>
      <c r="I306" s="150" t="s">
        <v>1046</v>
      </c>
      <c r="J306" s="560" t="s">
        <v>1040</v>
      </c>
      <c r="K306" s="470"/>
      <c r="L306" s="10"/>
      <c r="M306" s="10"/>
      <c r="N306" s="206"/>
      <c r="O306" s="10"/>
      <c r="P306" s="10"/>
      <c r="Q306" s="186" t="s">
        <v>4</v>
      </c>
      <c r="R306" s="10"/>
      <c r="S306" s="469">
        <v>0</v>
      </c>
      <c r="T306" s="207"/>
      <c r="U306" s="173">
        <f t="shared" ref="U306" si="17">T306*S306</f>
        <v>0</v>
      </c>
      <c r="AN306" s="332">
        <v>1</v>
      </c>
      <c r="AO306" s="332">
        <v>1</v>
      </c>
      <c r="AP306" s="332">
        <v>1</v>
      </c>
      <c r="AQ306" s="332">
        <v>1</v>
      </c>
      <c r="AR306" s="332">
        <v>1</v>
      </c>
      <c r="AS306" s="332">
        <v>1</v>
      </c>
      <c r="AT306" s="332">
        <v>1</v>
      </c>
      <c r="AU306" s="332">
        <v>1</v>
      </c>
      <c r="AV306" s="332">
        <v>1</v>
      </c>
      <c r="AW306" s="332">
        <v>1</v>
      </c>
      <c r="AX306" s="332">
        <v>1</v>
      </c>
      <c r="AY306" s="332">
        <v>1</v>
      </c>
      <c r="AZ306" s="332">
        <v>1</v>
      </c>
      <c r="BA306" s="332">
        <v>1</v>
      </c>
    </row>
    <row r="307" spans="1:53" ht="29.25" hidden="1" customHeight="1">
      <c r="A307" s="151"/>
      <c r="B307" s="253">
        <v>46108</v>
      </c>
      <c r="C307" s="236" t="s">
        <v>75</v>
      </c>
      <c r="D307" s="467" t="s">
        <v>76</v>
      </c>
      <c r="E307" s="169" t="s">
        <v>3</v>
      </c>
      <c r="F307" s="169" t="s">
        <v>118</v>
      </c>
      <c r="G307" s="185" t="s">
        <v>1045</v>
      </c>
      <c r="H307" s="472"/>
      <c r="I307" s="150" t="s">
        <v>1047</v>
      </c>
      <c r="J307" s="560" t="s">
        <v>1040</v>
      </c>
      <c r="K307" s="470"/>
      <c r="L307" s="10"/>
      <c r="M307" s="10"/>
      <c r="N307" s="206"/>
      <c r="O307" s="10"/>
      <c r="P307" s="10"/>
      <c r="Q307" s="186" t="s">
        <v>4</v>
      </c>
      <c r="R307" s="10"/>
      <c r="S307" s="469">
        <v>0</v>
      </c>
      <c r="T307" s="207"/>
      <c r="U307" s="173">
        <f t="shared" ref="U307" si="18">T307*S307</f>
        <v>0</v>
      </c>
      <c r="AN307" s="332">
        <v>1</v>
      </c>
      <c r="AO307" s="332">
        <v>1</v>
      </c>
      <c r="AP307" s="332">
        <v>1</v>
      </c>
      <c r="AQ307" s="332">
        <v>1</v>
      </c>
      <c r="AR307" s="332">
        <v>1</v>
      </c>
      <c r="AS307" s="332">
        <v>1</v>
      </c>
      <c r="AT307" s="332">
        <v>1</v>
      </c>
      <c r="AU307" s="332">
        <v>1</v>
      </c>
      <c r="AV307" s="332">
        <v>1</v>
      </c>
      <c r="AW307" s="332">
        <v>1</v>
      </c>
      <c r="AX307" s="332">
        <v>1</v>
      </c>
      <c r="AY307" s="332">
        <v>1</v>
      </c>
      <c r="AZ307" s="332">
        <v>1</v>
      </c>
      <c r="BA307" s="332">
        <v>1</v>
      </c>
    </row>
    <row r="308" spans="1:53" ht="24" customHeight="1">
      <c r="A308" s="264"/>
      <c r="B308" s="265">
        <v>46084</v>
      </c>
      <c r="C308" s="266" t="s">
        <v>75</v>
      </c>
      <c r="D308" s="188" t="s">
        <v>213</v>
      </c>
      <c r="E308" s="266" t="s">
        <v>6</v>
      </c>
      <c r="F308" s="266" t="s">
        <v>502</v>
      </c>
      <c r="G308" s="171" t="s">
        <v>1048</v>
      </c>
      <c r="H308" s="171" t="s">
        <v>1049</v>
      </c>
      <c r="I308" s="150" t="s">
        <v>1050</v>
      </c>
      <c r="J308" s="188"/>
      <c r="K308" s="268"/>
      <c r="L308" s="269"/>
      <c r="M308" s="269"/>
      <c r="N308" s="269"/>
      <c r="O308" s="269"/>
      <c r="P308" s="164" t="s">
        <v>80</v>
      </c>
      <c r="Q308" s="164" t="s">
        <v>4</v>
      </c>
      <c r="R308" s="269" t="s">
        <v>81</v>
      </c>
      <c r="S308" s="270">
        <v>0.75</v>
      </c>
      <c r="T308" s="222">
        <v>-0.91700000000000004</v>
      </c>
      <c r="U308" s="173">
        <f>T308*S308</f>
        <v>-0.68775000000000008</v>
      </c>
      <c r="V308" s="332"/>
      <c r="W308" s="332"/>
      <c r="X308" s="332"/>
      <c r="Y308" s="332">
        <v>1</v>
      </c>
      <c r="Z308" s="332">
        <v>1</v>
      </c>
      <c r="AA308" s="332"/>
      <c r="AB308" s="332">
        <v>1</v>
      </c>
      <c r="AC308" s="332">
        <v>1</v>
      </c>
      <c r="AD308" s="332">
        <v>1</v>
      </c>
      <c r="AE308" s="332"/>
      <c r="AF308" s="332"/>
      <c r="AG308" s="332">
        <v>1</v>
      </c>
      <c r="AH308" s="332">
        <v>1</v>
      </c>
      <c r="AI308" s="332">
        <v>1</v>
      </c>
      <c r="AN308" s="332"/>
      <c r="AO308" s="332"/>
      <c r="AP308" s="332"/>
      <c r="AQ308" s="332">
        <v>1</v>
      </c>
      <c r="AR308" s="332">
        <v>1</v>
      </c>
      <c r="AS308" s="332"/>
      <c r="AT308" s="332"/>
      <c r="AU308" s="332"/>
      <c r="AV308" s="332"/>
      <c r="AW308" s="332"/>
      <c r="AX308" s="332"/>
      <c r="AY308" s="332">
        <v>1</v>
      </c>
      <c r="AZ308" s="332">
        <v>1</v>
      </c>
      <c r="BA308" s="332">
        <v>1</v>
      </c>
    </row>
    <row r="1048365" spans="4:4" ht="134.1" customHeight="1">
      <c r="D1048365" s="315" t="s">
        <v>8</v>
      </c>
    </row>
  </sheetData>
  <autoFilter ref="A14:BA308" xr:uid="{00000000-0001-0000-0000-000000000000}">
    <filterColumn colId="2">
      <filters>
        <filter val="SPC_1"/>
      </filters>
    </filterColumn>
    <filterColumn colId="4">
      <filters>
        <filter val="PTF"/>
      </filters>
    </filterColumn>
    <filterColumn colId="16">
      <filters>
        <filter val="IN PROGRESS"/>
      </filters>
    </filterColumn>
  </autoFilter>
  <phoneticPr fontId="31" type="noConversion"/>
  <conditionalFormatting sqref="Q113 XEZ113">
    <cfRule type="expression" dxfId="54" priority="44">
      <formula>Q113&lt;0</formula>
    </cfRule>
    <cfRule type="expression" dxfId="53" priority="45">
      <formula>Q113&gt;0</formula>
    </cfRule>
  </conditionalFormatting>
  <conditionalFormatting sqref="T90">
    <cfRule type="colorScale" priority="129">
      <colorScale>
        <cfvo type="min"/>
        <cfvo type="percentile" val="50"/>
        <cfvo type="max"/>
        <color rgb="FF63BE7B"/>
        <color rgb="FFFCFCFF"/>
        <color rgb="FFF8696B"/>
      </colorScale>
    </cfRule>
  </conditionalFormatting>
  <conditionalFormatting sqref="T92">
    <cfRule type="colorScale" priority="120">
      <colorScale>
        <cfvo type="min"/>
        <cfvo type="percentile" val="50"/>
        <cfvo type="max"/>
        <color rgb="FF63BE7B"/>
        <color rgb="FFFCFCFF"/>
        <color rgb="FFF8696B"/>
      </colorScale>
    </cfRule>
  </conditionalFormatting>
  <conditionalFormatting sqref="T93 T91 T15:T89">
    <cfRule type="colorScale" priority="2473">
      <colorScale>
        <cfvo type="min"/>
        <cfvo type="percentile" val="50"/>
        <cfvo type="max"/>
        <color rgb="FF63BE7B"/>
        <color rgb="FFFCFCFF"/>
        <color rgb="FFF8696B"/>
      </colorScale>
    </cfRule>
  </conditionalFormatting>
  <conditionalFormatting sqref="T94">
    <cfRule type="colorScale" priority="207">
      <colorScale>
        <cfvo type="min"/>
        <cfvo type="percentile" val="50"/>
        <cfvo type="max"/>
        <color rgb="FF63BE7B"/>
        <color rgb="FFFCFCFF"/>
        <color rgb="FFF8696B"/>
      </colorScale>
    </cfRule>
  </conditionalFormatting>
  <conditionalFormatting sqref="T95:T96">
    <cfRule type="expression" dxfId="52" priority="245">
      <formula>T95&gt;0</formula>
    </cfRule>
    <cfRule type="expression" dxfId="51" priority="244">
      <formula>T95&lt;0</formula>
    </cfRule>
  </conditionalFormatting>
  <conditionalFormatting sqref="T96 T98">
    <cfRule type="expression" dxfId="50" priority="247">
      <formula>T96&gt;0</formula>
    </cfRule>
    <cfRule type="expression" dxfId="49" priority="246">
      <formula>T96&lt;0</formula>
    </cfRule>
  </conditionalFormatting>
  <conditionalFormatting sqref="T97">
    <cfRule type="colorScale" priority="210">
      <colorScale>
        <cfvo type="min"/>
        <cfvo type="percentile" val="50"/>
        <cfvo type="max"/>
        <color rgb="FF63BE7B"/>
        <color rgb="FFFCFCFF"/>
        <color rgb="FFF8696B"/>
      </colorScale>
    </cfRule>
    <cfRule type="cellIs" dxfId="48" priority="209" operator="greaterThan">
      <formula>0</formula>
    </cfRule>
    <cfRule type="cellIs" dxfId="47" priority="208" operator="lessThan">
      <formula>0</formula>
    </cfRule>
  </conditionalFormatting>
  <conditionalFormatting sqref="T99:T105 T107:T112 T115:T136 T151:T172">
    <cfRule type="colorScale" priority="2672">
      <colorScale>
        <cfvo type="min"/>
        <cfvo type="percentile" val="50"/>
        <cfvo type="max"/>
        <color rgb="FF63BE7B"/>
        <color rgb="FFFCFCFF"/>
        <color rgb="FFF8696B"/>
      </colorScale>
    </cfRule>
  </conditionalFormatting>
  <conditionalFormatting sqref="T106">
    <cfRule type="colorScale" priority="117">
      <colorScale>
        <cfvo type="min"/>
        <cfvo type="percentile" val="50"/>
        <cfvo type="max"/>
        <color rgb="FF63BE7B"/>
        <color rgb="FFFCFCFF"/>
        <color rgb="FFF8696B"/>
      </colorScale>
    </cfRule>
    <cfRule type="colorScale" priority="84">
      <colorScale>
        <cfvo type="min"/>
        <cfvo type="percentile" val="50"/>
        <cfvo type="max"/>
        <color rgb="FF63BE7B"/>
        <color rgb="FFFCFCFF"/>
        <color rgb="FFF8696B"/>
      </colorScale>
    </cfRule>
  </conditionalFormatting>
  <conditionalFormatting sqref="T114">
    <cfRule type="colorScale" priority="114">
      <colorScale>
        <cfvo type="min"/>
        <cfvo type="percentile" val="50"/>
        <cfvo type="max"/>
        <color rgb="FF63BE7B"/>
        <color rgb="FFFCFCFF"/>
        <color rgb="FFF8696B"/>
      </colorScale>
    </cfRule>
  </conditionalFormatting>
  <conditionalFormatting sqref="T138">
    <cfRule type="colorScale" priority="2683">
      <colorScale>
        <cfvo type="min"/>
        <cfvo type="percentile" val="50"/>
        <cfvo type="max"/>
        <color rgb="FF63BE7B"/>
        <color rgb="FFFCFCFF"/>
        <color rgb="FFF8696B"/>
      </colorScale>
    </cfRule>
  </conditionalFormatting>
  <conditionalFormatting sqref="T138:T146 T15:T94 T148:T185 T99:T112 T114:T136 T296">
    <cfRule type="cellIs" dxfId="46" priority="887" operator="greaterThan">
      <formula>0</formula>
    </cfRule>
    <cfRule type="cellIs" dxfId="45" priority="886" operator="lessThan">
      <formula>0</formula>
    </cfRule>
  </conditionalFormatting>
  <conditionalFormatting sqref="T139:T145">
    <cfRule type="colorScale" priority="229">
      <colorScale>
        <cfvo type="min"/>
        <cfvo type="percentile" val="50"/>
        <cfvo type="max"/>
        <color rgb="FF63BE7B"/>
        <color rgb="FFFCFCFF"/>
        <color rgb="FFF8696B"/>
      </colorScale>
    </cfRule>
  </conditionalFormatting>
  <conditionalFormatting sqref="T148:T150 T146">
    <cfRule type="colorScale" priority="2678">
      <colorScale>
        <cfvo type="min"/>
        <cfvo type="percentile" val="50"/>
        <cfvo type="max"/>
        <color rgb="FF63BE7B"/>
        <color rgb="FFFCFCFF"/>
        <color rgb="FFF8696B"/>
      </colorScale>
    </cfRule>
  </conditionalFormatting>
  <conditionalFormatting sqref="T173:T174">
    <cfRule type="colorScale" priority="2613">
      <colorScale>
        <cfvo type="min"/>
        <cfvo type="percentile" val="50"/>
        <cfvo type="max"/>
        <color rgb="FF63BE7B"/>
        <color rgb="FFFCFCFF"/>
        <color rgb="FFF8696B"/>
      </colorScale>
    </cfRule>
  </conditionalFormatting>
  <conditionalFormatting sqref="T175">
    <cfRule type="colorScale" priority="108">
      <colorScale>
        <cfvo type="min"/>
        <cfvo type="percentile" val="50"/>
        <cfvo type="max"/>
        <color rgb="FF63BE7B"/>
        <color rgb="FFFCFCFF"/>
        <color rgb="FFF8696B"/>
      </colorScale>
    </cfRule>
  </conditionalFormatting>
  <conditionalFormatting sqref="T176:T177">
    <cfRule type="colorScale" priority="2693">
      <colorScale>
        <cfvo type="min"/>
        <cfvo type="percentile" val="50"/>
        <cfvo type="max"/>
        <color rgb="FF63BE7B"/>
        <color rgb="FFFCFCFF"/>
        <color rgb="FFF8696B"/>
      </colorScale>
    </cfRule>
  </conditionalFormatting>
  <conditionalFormatting sqref="T178:T179">
    <cfRule type="colorScale" priority="2688">
      <colorScale>
        <cfvo type="min"/>
        <cfvo type="percentile" val="50"/>
        <cfvo type="max"/>
        <color rgb="FF63BE7B"/>
        <color rgb="FFFCFCFF"/>
        <color rgb="FFF8696B"/>
      </colorScale>
    </cfRule>
  </conditionalFormatting>
  <conditionalFormatting sqref="T180:T181">
    <cfRule type="colorScale" priority="156">
      <colorScale>
        <cfvo type="min"/>
        <cfvo type="percentile" val="50"/>
        <cfvo type="max"/>
        <color rgb="FF63BE7B"/>
        <color rgb="FFFCFCFF"/>
        <color rgb="FFF8696B"/>
      </colorScale>
    </cfRule>
  </conditionalFormatting>
  <conditionalFormatting sqref="T182">
    <cfRule type="colorScale" priority="146">
      <colorScale>
        <cfvo type="min"/>
        <cfvo type="percentile" val="50"/>
        <cfvo type="max"/>
        <color rgb="FF63BE7B"/>
        <color rgb="FFFCFCFF"/>
        <color rgb="FFF8696B"/>
      </colorScale>
    </cfRule>
  </conditionalFormatting>
  <conditionalFormatting sqref="T183">
    <cfRule type="colorScale" priority="140">
      <colorScale>
        <cfvo type="min"/>
        <cfvo type="percentile" val="50"/>
        <cfvo type="max"/>
        <color rgb="FF63BE7B"/>
        <color rgb="FFFCFCFF"/>
        <color rgb="FFF8696B"/>
      </colorScale>
    </cfRule>
  </conditionalFormatting>
  <conditionalFormatting sqref="T184:T185">
    <cfRule type="colorScale" priority="132">
      <colorScale>
        <cfvo type="min"/>
        <cfvo type="percentile" val="50"/>
        <cfvo type="max"/>
        <color rgb="FF63BE7B"/>
        <color rgb="FFFCFCFF"/>
        <color rgb="FFF8696B"/>
      </colorScale>
    </cfRule>
  </conditionalFormatting>
  <conditionalFormatting sqref="T187:T234 T236:T239">
    <cfRule type="colorScale" priority="2532">
      <colorScale>
        <cfvo type="min"/>
        <cfvo type="percentile" val="50"/>
        <cfvo type="max"/>
        <color rgb="FF63BE7B"/>
        <color rgb="FFFCFCFF"/>
        <color rgb="FFF8696B"/>
      </colorScale>
    </cfRule>
  </conditionalFormatting>
  <conditionalFormatting sqref="T187:T240 T242:T244 T247:T266 T310:T1048576">
    <cfRule type="cellIs" dxfId="44" priority="118" operator="lessThan">
      <formula>0</formula>
    </cfRule>
    <cfRule type="cellIs" dxfId="43" priority="119" operator="greaterThan">
      <formula>0</formula>
    </cfRule>
  </conditionalFormatting>
  <conditionalFormatting sqref="T235">
    <cfRule type="colorScale" priority="111">
      <colorScale>
        <cfvo type="min"/>
        <cfvo type="percentile" val="50"/>
        <cfvo type="max"/>
        <color rgb="FF63BE7B"/>
        <color rgb="FFFCFCFF"/>
        <color rgb="FFF8696B"/>
      </colorScale>
    </cfRule>
  </conditionalFormatting>
  <conditionalFormatting sqref="T246">
    <cfRule type="colorScale" priority="64">
      <colorScale>
        <cfvo type="min"/>
        <cfvo type="percentile" val="50"/>
        <cfvo type="max"/>
        <color rgb="FF63BE7B"/>
        <color rgb="FFFCFCFF"/>
        <color rgb="FFF8696B"/>
      </colorScale>
    </cfRule>
    <cfRule type="cellIs" dxfId="42" priority="63" operator="greaterThan">
      <formula>0</formula>
    </cfRule>
    <cfRule type="cellIs" dxfId="41" priority="62" operator="lessThan">
      <formula>0</formula>
    </cfRule>
  </conditionalFormatting>
  <conditionalFormatting sqref="T247:T248 T240 T242:T244">
    <cfRule type="colorScale" priority="105">
      <colorScale>
        <cfvo type="min"/>
        <cfvo type="percentile" val="50"/>
        <cfvo type="max"/>
        <color rgb="FF63BE7B"/>
        <color rgb="FFFCFCFF"/>
        <color rgb="FFF8696B"/>
      </colorScale>
    </cfRule>
  </conditionalFormatting>
  <conditionalFormatting sqref="T249:T254">
    <cfRule type="colorScale" priority="2699">
      <colorScale>
        <cfvo type="min"/>
        <cfvo type="percentile" val="50"/>
        <cfvo type="max"/>
        <color rgb="FF63BE7B"/>
        <color rgb="FFFCFCFF"/>
        <color rgb="FFF8696B"/>
      </colorScale>
    </cfRule>
  </conditionalFormatting>
  <conditionalFormatting sqref="T255:T256">
    <cfRule type="colorScale" priority="71">
      <colorScale>
        <cfvo type="min"/>
        <cfvo type="percentile" val="50"/>
        <cfvo type="max"/>
        <color rgb="FF63BE7B"/>
        <color rgb="FFFCFCFF"/>
        <color rgb="FFF8696B"/>
      </colorScale>
    </cfRule>
  </conditionalFormatting>
  <conditionalFormatting sqref="T257:T266">
    <cfRule type="colorScale" priority="67">
      <colorScale>
        <cfvo type="min"/>
        <cfvo type="percentile" val="50"/>
        <cfvo type="max"/>
        <color rgb="FF63BE7B"/>
        <color rgb="FFFCFCFF"/>
        <color rgb="FFF8696B"/>
      </colorScale>
    </cfRule>
  </conditionalFormatting>
  <conditionalFormatting sqref="T267:T268">
    <cfRule type="colorScale" priority="17">
      <colorScale>
        <cfvo type="min"/>
        <cfvo type="percentile" val="50"/>
        <cfvo type="max"/>
        <color rgb="FF63BE7B"/>
        <color rgb="FFFCFCFF"/>
        <color rgb="FFF8696B"/>
      </colorScale>
    </cfRule>
  </conditionalFormatting>
  <conditionalFormatting sqref="T267:T289">
    <cfRule type="cellIs" dxfId="40" priority="16" operator="greaterThan">
      <formula>0</formula>
    </cfRule>
    <cfRule type="cellIs" dxfId="39" priority="15" operator="lessThan">
      <formula>0</formula>
    </cfRule>
  </conditionalFormatting>
  <conditionalFormatting sqref="T269:T283">
    <cfRule type="colorScale" priority="40">
      <colorScale>
        <cfvo type="min"/>
        <cfvo type="percentile" val="50"/>
        <cfvo type="max"/>
        <color rgb="FF63BE7B"/>
        <color rgb="FFFCFCFF"/>
        <color rgb="FFF8696B"/>
      </colorScale>
    </cfRule>
  </conditionalFormatting>
  <conditionalFormatting sqref="T285">
    <cfRule type="colorScale" priority="36">
      <colorScale>
        <cfvo type="min"/>
        <cfvo type="percentile" val="50"/>
        <cfvo type="max"/>
        <color rgb="FF63BE7B"/>
        <color rgb="FFFCFCFF"/>
        <color rgb="FFF8696B"/>
      </colorScale>
    </cfRule>
  </conditionalFormatting>
  <conditionalFormatting sqref="T286">
    <cfRule type="colorScale" priority="33">
      <colorScale>
        <cfvo type="min"/>
        <cfvo type="percentile" val="50"/>
        <cfvo type="max"/>
        <color rgb="FF63BE7B"/>
        <color rgb="FFFCFCFF"/>
        <color rgb="FFF8696B"/>
      </colorScale>
    </cfRule>
  </conditionalFormatting>
  <conditionalFormatting sqref="T287">
    <cfRule type="colorScale" priority="30">
      <colorScale>
        <cfvo type="min"/>
        <cfvo type="percentile" val="50"/>
        <cfvo type="max"/>
        <color rgb="FF63BE7B"/>
        <color rgb="FFFCFCFF"/>
        <color rgb="FFF8696B"/>
      </colorScale>
    </cfRule>
  </conditionalFormatting>
  <conditionalFormatting sqref="T288">
    <cfRule type="colorScale" priority="27">
      <colorScale>
        <cfvo type="min"/>
        <cfvo type="percentile" val="50"/>
        <cfvo type="max"/>
        <color rgb="FF63BE7B"/>
        <color rgb="FFFCFCFF"/>
        <color rgb="FFF8696B"/>
      </colorScale>
    </cfRule>
  </conditionalFormatting>
  <conditionalFormatting sqref="T289">
    <cfRule type="colorScale" priority="24">
      <colorScale>
        <cfvo type="min"/>
        <cfvo type="percentile" val="50"/>
        <cfvo type="max"/>
        <color rgb="FF63BE7B"/>
        <color rgb="FFFCFCFF"/>
        <color rgb="FFF8696B"/>
      </colorScale>
    </cfRule>
  </conditionalFormatting>
  <conditionalFormatting sqref="T296">
    <cfRule type="colorScale" priority="14">
      <colorScale>
        <cfvo type="min"/>
        <cfvo type="percentile" val="50"/>
        <cfvo type="max"/>
        <color rgb="FF63BE7B"/>
        <color rgb="FFFCFCFF"/>
        <color rgb="FFF8696B"/>
      </colorScale>
    </cfRule>
  </conditionalFormatting>
  <conditionalFormatting sqref="T297">
    <cfRule type="colorScale" priority="5">
      <colorScale>
        <cfvo type="min"/>
        <cfvo type="percentile" val="50"/>
        <cfvo type="max"/>
        <color rgb="FF63BE7B"/>
        <color rgb="FFFCFCFF"/>
        <color rgb="FFF8696B"/>
      </colorScale>
    </cfRule>
  </conditionalFormatting>
  <conditionalFormatting sqref="T297:T301">
    <cfRule type="cellIs" dxfId="38" priority="3" operator="lessThan">
      <formula>0</formula>
    </cfRule>
    <cfRule type="cellIs" dxfId="37" priority="4" operator="greaterThan">
      <formula>0</formula>
    </cfRule>
  </conditionalFormatting>
  <conditionalFormatting sqref="T298:T301">
    <cfRule type="colorScale" priority="2704">
      <colorScale>
        <cfvo type="min"/>
        <cfvo type="percentile" val="50"/>
        <cfvo type="max"/>
        <color rgb="FF63BE7B"/>
        <color rgb="FFFCFCFF"/>
        <color rgb="FFF8696B"/>
      </colorScale>
    </cfRule>
  </conditionalFormatting>
  <conditionalFormatting sqref="T303:T307">
    <cfRule type="cellIs" dxfId="36" priority="2" operator="greaterThan">
      <formula>0</formula>
    </cfRule>
    <cfRule type="cellIs" dxfId="35" priority="1" operator="lessThan">
      <formula>0</formula>
    </cfRule>
  </conditionalFormatting>
  <conditionalFormatting sqref="XEZ157">
    <cfRule type="colorScale" priority="43">
      <colorScale>
        <cfvo type="min"/>
        <cfvo type="percentile" val="50"/>
        <cfvo type="max"/>
        <color rgb="FF63BE7B"/>
        <color rgb="FFFCFCFF"/>
        <color rgb="FFF8696B"/>
      </colorScale>
    </cfRule>
    <cfRule type="cellIs" dxfId="34" priority="42" operator="greaterThan">
      <formula>0</formula>
    </cfRule>
    <cfRule type="cellIs" dxfId="33" priority="41" operator="lessThan">
      <formula>0</formula>
    </cfRule>
  </conditionalFormatting>
  <dataValidations count="7">
    <dataValidation type="list" allowBlank="1" showInputMessage="1" showErrorMessage="1" sqref="AN187:AO187 AQ106:AT106 AQ180:AR180 AQ182:AR185 AL180:AM180 AL182:AM185 AL106:AO106 V106:AK107 V257:AO266 V132:Z132 AN113:AO113 AQ257:AT266 AQ253:AR254 V124:Z124 AL187:AM254 V180:AK254 V15:AM97 AV96:AV97 AN15:BA76 AS187:AT187 AV257:AX266 AY190:AY191 AV253:AV254 AV106:AX106 AV182:AV185 AV180 V161:BA161 AU194 AN124:BA124 V115:BA117 V125:BA125 V120:BA123 AN252:BA252 V255:BA256 V145:BA145 V169:BA169 V163:BA166 AL107:BA107 V137:BA138 AN131:BA132 V147:BA147 V133:BA133 V157:BA158 V154:BA154 AQ96:AR97 AL186:BA186 AL181:BA181 AV113:AX113 AW187:AX187 AZ106:BA106 AZ180:BA180 AZ182:BA185 AT199:AT248 AZ257:BA266 AZ253:BA254 AZ77:BA97 AZ113:BA113 AW189:AX248 AU190:AU191 AN272:AO272 AQ187:AR251 AT198:AU198 AN189:AO248 AV187:AV251 V290:AF295 AZ272:BA272 AQ272:AX272 AS189:AS248 V177:BA177 AV77 AQ77:AR77 AQ79:AR92 AV79:AV92 AV94 AQ94:AR94 AT189:AT197 AZ187:BA251 AQ113:AS113 AN273:BA284 V285:AO285 AV285:AX285 AQ285:AT285 AZ285:BA285 AY246 V286:BA289 V296:Z296 AN296:BA296 AQ297:AX297 AT298 V267:Z282 AN267:BA271 AQ298:AS301 AT299:AU301 AV298:AX301 AZ297:BA301 V297:AO301 AY299:AY301 V302:AF302 AN303:BA307" xr:uid="{00000000-0002-0000-0000-000000000000}">
      <formula1>"0,1"</formula1>
    </dataValidation>
    <dataValidation type="list" allowBlank="1" showInputMessage="1" showErrorMessage="1" sqref="D1048365:D1048576 D169 D106 D110 D118 D164 D235 D162 D240:D243 D100 D95 D150 D184 D186 D77:D93 D160 D193:D198 D201:D202 D214 D156 D158 D297" xr:uid="{B02B15DE-DA3A-4623-B32F-9983E1FC386C}">
      <formula1>$D$1:$D$13</formula1>
    </dataValidation>
    <dataValidation type="list" allowBlank="1" showInputMessage="1" showErrorMessage="1" sqref="E128:F128 E179:F179 E119:F119 F139:F144 E137:E150 F148:F150 F146 E225 F212 F216 F223:F226 E290:E295 F208 F221 F203:F206 F229 F239 E257:E266 F187:F189 F192 E227:E239 E187:E222 E297 E302 E308" xr:uid="{D8016A5B-A058-4CBA-9098-DB2B0B68B228}">
      <formula1>$G$1:$G$3</formula1>
    </dataValidation>
    <dataValidation type="list" allowBlank="1" showInputMessage="1" showErrorMessage="1" sqref="D179 D139:D149 D254 D177 D181 D296 D58 D274:D275 D70 D121 D267:D268" xr:uid="{051BA5A3-CDA1-4716-A1F2-93FF702C6728}">
      <formula1>$D$1:$D$14</formula1>
    </dataValidation>
    <dataValidation type="list" allowBlank="1" showInputMessage="1" showErrorMessage="1" sqref="S184 S88:S89 S91:S93 S77:S86" xr:uid="{1BD13154-A0D1-4A51-93A3-C7939E11DE9E}">
      <formula1>$S$1:$S$5</formula1>
    </dataValidation>
    <dataValidation type="list" allowBlank="1" showInputMessage="1" showErrorMessage="1" sqref="E184:F184 E86:E93 F77 F86:F91 E77:E83 F79:F83" xr:uid="{50037742-7089-44CE-A979-53AA0F48104C}">
      <formula1>$E$1:$E$3</formula1>
    </dataValidation>
    <dataValidation type="list" allowBlank="1" showInputMessage="1" showErrorMessage="1" sqref="Q44 Q34:Q35 Q27 Q179:Q248 Q46:Q48 Q51 Q16 Q29 Q19 Q55 N275 Q177 N290:N295 Q77:Q175 Q70 Q254:Q286 Q296:Q307 N302 N308" xr:uid="{1C752249-1FF7-4294-ACBA-AFE71E0B330D}">
      <formula1>$Q$1:$Q$4</formula1>
    </dataValidation>
  </dataValidations>
  <hyperlinks>
    <hyperlink ref="J106" r:id="rId1" display="http://docinfogroupe.inetpsa.com/ead/doc/ref.01364_22_00699/v.vc/fiche" xr:uid="{7133F1EC-DE5E-4852-A1A5-0EBE76C811EF}"/>
    <hyperlink ref="J183" r:id="rId2" display="http://docinfogroupe.inetpsa.com/ead/doc/ref.01353_24_00772/v.vc/pj " xr:uid="{0D86B588-DB90-4A31-B122-2EF3348B75F7}"/>
  </hyperlinks>
  <pageMargins left="0.7" right="0.7" top="0.75" bottom="0.75" header="0.3" footer="0.3"/>
  <pageSetup paperSize="9"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E0B4-6135-49E7-AA16-FE3709CDD883}">
  <dimension ref="B3:E36"/>
  <sheetViews>
    <sheetView workbookViewId="0">
      <selection activeCell="B36" sqref="B36"/>
    </sheetView>
  </sheetViews>
  <sheetFormatPr defaultColWidth="11.42578125" defaultRowHeight="14.45"/>
  <cols>
    <col min="2" max="2" width="46.28515625" customWidth="1"/>
  </cols>
  <sheetData>
    <row r="3" spans="2:5">
      <c r="B3" s="457" t="s">
        <v>1051</v>
      </c>
    </row>
    <row r="5" spans="2:5">
      <c r="B5" s="456" t="s">
        <v>1052</v>
      </c>
    </row>
    <row r="6" spans="2:5">
      <c r="B6" s="30" t="s">
        <v>1053</v>
      </c>
      <c r="C6" s="357" t="s">
        <v>1054</v>
      </c>
    </row>
    <row r="7" spans="2:5">
      <c r="B7" s="461" t="s">
        <v>1055</v>
      </c>
      <c r="C7" s="357" t="s">
        <v>972</v>
      </c>
    </row>
    <row r="8" spans="2:5">
      <c r="B8" s="30" t="s">
        <v>1056</v>
      </c>
      <c r="C8" s="458" t="s">
        <v>1057</v>
      </c>
      <c r="D8" s="30"/>
      <c r="E8" s="30"/>
    </row>
    <row r="9" spans="2:5">
      <c r="B9" s="30" t="s">
        <v>1056</v>
      </c>
      <c r="C9" s="458" t="s">
        <v>1058</v>
      </c>
      <c r="D9" s="30"/>
      <c r="E9" s="30"/>
    </row>
    <row r="10" spans="2:5">
      <c r="B10" s="30" t="s">
        <v>1056</v>
      </c>
      <c r="C10" s="458" t="s">
        <v>1059</v>
      </c>
      <c r="D10" s="30"/>
      <c r="E10" s="30"/>
    </row>
    <row r="11" spans="2:5">
      <c r="B11" s="461" t="s">
        <v>1053</v>
      </c>
      <c r="C11" s="357" t="s">
        <v>975</v>
      </c>
    </row>
    <row r="12" spans="2:5">
      <c r="B12" s="461" t="s">
        <v>1053</v>
      </c>
      <c r="C12" s="357" t="s">
        <v>1060</v>
      </c>
    </row>
    <row r="13" spans="2:5">
      <c r="B13" s="461" t="s">
        <v>1053</v>
      </c>
      <c r="C13" s="357" t="s">
        <v>1061</v>
      </c>
    </row>
    <row r="14" spans="2:5">
      <c r="B14" s="461" t="s">
        <v>1053</v>
      </c>
      <c r="C14" s="357" t="s">
        <v>1062</v>
      </c>
    </row>
    <row r="15" spans="2:5">
      <c r="B15" s="461" t="s">
        <v>1053</v>
      </c>
      <c r="C15" s="357" t="s">
        <v>1063</v>
      </c>
    </row>
    <row r="16" spans="2:5">
      <c r="B16" s="461" t="s">
        <v>1053</v>
      </c>
      <c r="C16" s="357" t="s">
        <v>987</v>
      </c>
    </row>
    <row r="17" spans="2:3">
      <c r="B17" s="461" t="s">
        <v>1053</v>
      </c>
      <c r="C17" s="357" t="s">
        <v>1064</v>
      </c>
    </row>
    <row r="18" spans="2:3">
      <c r="B18" s="461" t="s">
        <v>1053</v>
      </c>
      <c r="C18" s="357" t="s">
        <v>990</v>
      </c>
    </row>
    <row r="19" spans="2:3">
      <c r="B19" s="461" t="s">
        <v>1053</v>
      </c>
      <c r="C19" s="357" t="s">
        <v>993</v>
      </c>
    </row>
    <row r="20" spans="2:3">
      <c r="B20" s="461" t="s">
        <v>1065</v>
      </c>
      <c r="C20" s="357" t="s">
        <v>1066</v>
      </c>
    </row>
    <row r="21" spans="2:3">
      <c r="B21" t="s">
        <v>1067</v>
      </c>
      <c r="C21" s="357" t="s">
        <v>1068</v>
      </c>
    </row>
    <row r="22" spans="2:3">
      <c r="B22" s="30" t="s">
        <v>1053</v>
      </c>
      <c r="C22" s="357" t="s">
        <v>1069</v>
      </c>
    </row>
    <row r="23" spans="2:3">
      <c r="C23" s="357" t="s">
        <v>1070</v>
      </c>
    </row>
    <row r="24" spans="2:3">
      <c r="B24" s="461" t="s">
        <v>1053</v>
      </c>
      <c r="C24" s="357" t="s">
        <v>1071</v>
      </c>
    </row>
    <row r="25" spans="2:3">
      <c r="B25" s="461" t="s">
        <v>1072</v>
      </c>
      <c r="C25" s="357" t="s">
        <v>1073</v>
      </c>
    </row>
    <row r="26" spans="2:3">
      <c r="B26" s="461" t="s">
        <v>1053</v>
      </c>
      <c r="C26" s="357" t="s">
        <v>996</v>
      </c>
    </row>
    <row r="29" spans="2:3">
      <c r="B29" s="456" t="s">
        <v>1074</v>
      </c>
      <c r="C29" s="357"/>
    </row>
    <row r="30" spans="2:3">
      <c r="B30" t="s">
        <v>1053</v>
      </c>
      <c r="C30" s="357" t="s">
        <v>1075</v>
      </c>
    </row>
    <row r="32" spans="2:3">
      <c r="B32" s="456" t="s">
        <v>1076</v>
      </c>
    </row>
    <row r="33" spans="2:3">
      <c r="B33" t="s">
        <v>1056</v>
      </c>
      <c r="C33" s="357" t="s">
        <v>1077</v>
      </c>
    </row>
    <row r="35" spans="2:3">
      <c r="B35" s="456" t="s">
        <v>1078</v>
      </c>
    </row>
    <row r="36" spans="2:3">
      <c r="B36" t="s">
        <v>1079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B4C7-BC9E-4CBA-AC5E-BCB88EC64B6F}">
  <dimension ref="A1:H89"/>
  <sheetViews>
    <sheetView workbookViewId="0">
      <selection activeCell="E27" sqref="E27"/>
    </sheetView>
  </sheetViews>
  <sheetFormatPr defaultColWidth="11.42578125" defaultRowHeight="14.45"/>
  <cols>
    <col min="1" max="1" width="21.5703125" bestFit="1" customWidth="1"/>
    <col min="2" max="2" width="37.85546875" bestFit="1" customWidth="1"/>
    <col min="4" max="4" width="21.5703125" bestFit="1" customWidth="1"/>
    <col min="5" max="5" width="37.85546875" bestFit="1" customWidth="1"/>
    <col min="7" max="7" width="21.5703125" bestFit="1" customWidth="1"/>
    <col min="8" max="8" width="37.85546875" bestFit="1" customWidth="1"/>
  </cols>
  <sheetData>
    <row r="1" spans="1:8" ht="51" customHeight="1">
      <c r="A1" s="561" t="s">
        <v>1080</v>
      </c>
      <c r="B1" s="562"/>
      <c r="D1" s="561" t="s">
        <v>1081</v>
      </c>
      <c r="E1" s="562"/>
      <c r="G1" s="561" t="s">
        <v>1082</v>
      </c>
      <c r="H1" s="562"/>
    </row>
    <row r="2" spans="1:8">
      <c r="A2" s="255" t="s">
        <v>61</v>
      </c>
      <c r="B2" s="155">
        <v>1</v>
      </c>
      <c r="D2" s="255" t="s">
        <v>64</v>
      </c>
      <c r="E2" s="155">
        <v>1</v>
      </c>
      <c r="G2" s="255" t="s">
        <v>65</v>
      </c>
      <c r="H2" s="155">
        <v>1</v>
      </c>
    </row>
    <row r="3" spans="1:8">
      <c r="A3" s="255" t="s">
        <v>38</v>
      </c>
      <c r="B3" t="s">
        <v>4</v>
      </c>
      <c r="D3" s="255" t="s">
        <v>38</v>
      </c>
      <c r="E3" t="s">
        <v>4</v>
      </c>
      <c r="G3" s="255" t="s">
        <v>38</v>
      </c>
      <c r="H3" t="s">
        <v>4</v>
      </c>
    </row>
    <row r="5" spans="1:8">
      <c r="A5" s="255" t="s">
        <v>1083</v>
      </c>
      <c r="B5" t="s">
        <v>1084</v>
      </c>
      <c r="D5" s="255" t="s">
        <v>1083</v>
      </c>
      <c r="E5" t="s">
        <v>1084</v>
      </c>
      <c r="G5" s="255" t="s">
        <v>1083</v>
      </c>
      <c r="H5" t="s">
        <v>1084</v>
      </c>
    </row>
    <row r="6" spans="1:8">
      <c r="A6" s="155" t="s">
        <v>6</v>
      </c>
      <c r="B6">
        <v>-4.7150000000000016</v>
      </c>
      <c r="D6" s="155" t="s">
        <v>6</v>
      </c>
      <c r="E6">
        <v>-16.80275</v>
      </c>
      <c r="G6" s="155" t="s">
        <v>6</v>
      </c>
      <c r="H6">
        <v>-16.80275</v>
      </c>
    </row>
    <row r="7" spans="1:8">
      <c r="A7" s="450" t="s">
        <v>2</v>
      </c>
      <c r="B7">
        <v>-8.5500000000000007</v>
      </c>
      <c r="D7" s="450" t="s">
        <v>16</v>
      </c>
      <c r="E7">
        <v>-1.3</v>
      </c>
      <c r="G7" s="450" t="s">
        <v>16</v>
      </c>
      <c r="H7">
        <v>-1.3</v>
      </c>
    </row>
    <row r="8" spans="1:8">
      <c r="A8" s="450" t="s">
        <v>16</v>
      </c>
      <c r="B8">
        <v>0</v>
      </c>
      <c r="D8" s="450" t="s">
        <v>213</v>
      </c>
      <c r="E8">
        <v>-3.3877500000000005</v>
      </c>
      <c r="G8" s="450" t="s">
        <v>213</v>
      </c>
      <c r="H8">
        <v>-3.3877500000000005</v>
      </c>
    </row>
    <row r="9" spans="1:8">
      <c r="A9" s="450" t="s">
        <v>213</v>
      </c>
      <c r="B9">
        <v>4.1999999999999993</v>
      </c>
      <c r="D9" s="450" t="s">
        <v>199</v>
      </c>
      <c r="E9">
        <v>-9.125</v>
      </c>
      <c r="G9" s="450" t="s">
        <v>199</v>
      </c>
      <c r="H9">
        <v>-9.125</v>
      </c>
    </row>
    <row r="10" spans="1:8">
      <c r="A10" s="450" t="s">
        <v>199</v>
      </c>
      <c r="B10">
        <v>7.5000000000000011E-2</v>
      </c>
      <c r="D10" s="450" t="s">
        <v>144</v>
      </c>
      <c r="E10">
        <v>-2.9899999999999984</v>
      </c>
      <c r="G10" s="450" t="s">
        <v>144</v>
      </c>
      <c r="H10">
        <v>-2.9899999999999984</v>
      </c>
    </row>
    <row r="11" spans="1:8">
      <c r="A11" s="450" t="s">
        <v>144</v>
      </c>
      <c r="B11">
        <v>-0.44</v>
      </c>
      <c r="D11" s="155" t="s">
        <v>3</v>
      </c>
      <c r="E11">
        <v>-33.494999999999997</v>
      </c>
      <c r="G11" s="155" t="s">
        <v>172</v>
      </c>
      <c r="H11">
        <v>1.7000000000000002</v>
      </c>
    </row>
    <row r="12" spans="1:8">
      <c r="A12" s="155" t="s">
        <v>172</v>
      </c>
      <c r="B12">
        <v>-1.1499999999999999</v>
      </c>
      <c r="D12" s="450" t="s">
        <v>677</v>
      </c>
      <c r="E12">
        <v>-17.5</v>
      </c>
      <c r="G12" s="450" t="s">
        <v>903</v>
      </c>
      <c r="H12">
        <v>1.7000000000000002</v>
      </c>
    </row>
    <row r="13" spans="1:8">
      <c r="A13" s="450" t="s">
        <v>9</v>
      </c>
      <c r="B13">
        <v>-1.1499999999999999</v>
      </c>
      <c r="D13" s="450" t="s">
        <v>2</v>
      </c>
      <c r="E13">
        <v>0</v>
      </c>
      <c r="G13" s="155" t="s">
        <v>3</v>
      </c>
      <c r="H13">
        <v>-33.494999999999997</v>
      </c>
    </row>
    <row r="14" spans="1:8">
      <c r="A14" s="155" t="s">
        <v>3</v>
      </c>
      <c r="B14">
        <v>-29.494999999999997</v>
      </c>
      <c r="D14" s="450" t="s">
        <v>16</v>
      </c>
      <c r="E14">
        <v>-4</v>
      </c>
      <c r="G14" s="450" t="s">
        <v>677</v>
      </c>
      <c r="H14">
        <v>-17.5</v>
      </c>
    </row>
    <row r="15" spans="1:8">
      <c r="A15" s="450" t="s">
        <v>677</v>
      </c>
      <c r="B15">
        <v>-17.5</v>
      </c>
      <c r="D15" s="450" t="s">
        <v>76</v>
      </c>
      <c r="E15">
        <v>-0.87</v>
      </c>
      <c r="G15" s="450" t="s">
        <v>2</v>
      </c>
      <c r="H15">
        <v>0</v>
      </c>
    </row>
    <row r="16" spans="1:8">
      <c r="A16" s="450" t="s">
        <v>2</v>
      </c>
      <c r="B16">
        <v>0</v>
      </c>
      <c r="D16" s="450" t="s">
        <v>132</v>
      </c>
      <c r="E16">
        <v>-1.5</v>
      </c>
      <c r="G16" s="450" t="s">
        <v>16</v>
      </c>
      <c r="H16">
        <v>-4</v>
      </c>
    </row>
    <row r="17" spans="1:8">
      <c r="A17" s="450" t="s">
        <v>76</v>
      </c>
      <c r="B17">
        <v>-0.87</v>
      </c>
      <c r="D17" s="450" t="s">
        <v>85</v>
      </c>
      <c r="E17">
        <v>-7.2</v>
      </c>
      <c r="G17" s="450" t="s">
        <v>76</v>
      </c>
      <c r="H17">
        <v>-0.87</v>
      </c>
    </row>
    <row r="18" spans="1:8">
      <c r="A18" s="450" t="s">
        <v>132</v>
      </c>
      <c r="B18">
        <v>-1.5</v>
      </c>
      <c r="D18" s="450" t="s">
        <v>102</v>
      </c>
      <c r="E18">
        <v>-0.16500000000000001</v>
      </c>
      <c r="G18" s="450" t="s">
        <v>132</v>
      </c>
      <c r="H18">
        <v>-1.5</v>
      </c>
    </row>
    <row r="19" spans="1:8">
      <c r="A19" s="450" t="s">
        <v>85</v>
      </c>
      <c r="B19">
        <v>-7.2</v>
      </c>
      <c r="D19" s="450" t="s">
        <v>180</v>
      </c>
      <c r="E19">
        <v>-1.8599999999999999</v>
      </c>
      <c r="G19" s="450" t="s">
        <v>85</v>
      </c>
      <c r="H19">
        <v>-7.2</v>
      </c>
    </row>
    <row r="20" spans="1:8">
      <c r="A20" s="450" t="s">
        <v>102</v>
      </c>
      <c r="B20">
        <v>-0.16500000000000001</v>
      </c>
      <c r="D20" s="450" t="s">
        <v>144</v>
      </c>
      <c r="E20">
        <v>-0.4</v>
      </c>
      <c r="G20" s="450" t="s">
        <v>102</v>
      </c>
      <c r="H20">
        <v>-0.16500000000000001</v>
      </c>
    </row>
    <row r="21" spans="1:8">
      <c r="A21" s="450" t="s">
        <v>180</v>
      </c>
      <c r="B21">
        <v>-1.8599999999999999</v>
      </c>
      <c r="D21" s="155" t="s">
        <v>1085</v>
      </c>
      <c r="E21">
        <v>-50.297750000000001</v>
      </c>
      <c r="G21" s="450" t="s">
        <v>180</v>
      </c>
      <c r="H21">
        <v>-1.8599999999999999</v>
      </c>
    </row>
    <row r="22" spans="1:8">
      <c r="A22" s="450" t="s">
        <v>144</v>
      </c>
      <c r="B22">
        <v>-0.4</v>
      </c>
      <c r="G22" s="450" t="s">
        <v>144</v>
      </c>
      <c r="H22">
        <v>-0.4</v>
      </c>
    </row>
    <row r="23" spans="1:8">
      <c r="A23" s="155" t="s">
        <v>1085</v>
      </c>
      <c r="B23">
        <v>-35.36</v>
      </c>
      <c r="G23" s="155" t="s">
        <v>1085</v>
      </c>
      <c r="H23">
        <v>-48.597749999999998</v>
      </c>
    </row>
    <row r="33" spans="1:8" ht="47.45" customHeight="1">
      <c r="A33" s="561" t="s">
        <v>1086</v>
      </c>
      <c r="B33" s="562"/>
      <c r="D33" s="561" t="s">
        <v>1087</v>
      </c>
      <c r="E33" s="562"/>
      <c r="G33" s="561" t="s">
        <v>1088</v>
      </c>
      <c r="H33" s="562"/>
    </row>
    <row r="34" spans="1:8">
      <c r="A34" s="255" t="s">
        <v>66</v>
      </c>
      <c r="B34" s="155">
        <v>1</v>
      </c>
      <c r="D34" s="255" t="s">
        <v>67</v>
      </c>
      <c r="E34" s="155">
        <v>1</v>
      </c>
      <c r="G34" s="255" t="s">
        <v>69</v>
      </c>
      <c r="H34" s="155">
        <v>1</v>
      </c>
    </row>
    <row r="35" spans="1:8">
      <c r="A35" s="255" t="s">
        <v>38</v>
      </c>
      <c r="B35" t="s">
        <v>4</v>
      </c>
      <c r="D35" s="255" t="s">
        <v>38</v>
      </c>
      <c r="E35" t="s">
        <v>4</v>
      </c>
      <c r="G35" s="255" t="s">
        <v>38</v>
      </c>
      <c r="H35" t="s">
        <v>4</v>
      </c>
    </row>
    <row r="37" spans="1:8">
      <c r="A37" s="255" t="s">
        <v>1083</v>
      </c>
      <c r="B37" t="s">
        <v>1084</v>
      </c>
      <c r="D37" s="255" t="s">
        <v>1083</v>
      </c>
      <c r="E37" t="s">
        <v>1084</v>
      </c>
      <c r="G37" s="255" t="s">
        <v>1083</v>
      </c>
      <c r="H37" t="s">
        <v>1084</v>
      </c>
    </row>
    <row r="38" spans="1:8">
      <c r="A38" s="155" t="s">
        <v>6</v>
      </c>
      <c r="B38">
        <v>-9.2900000000000009</v>
      </c>
      <c r="D38" s="155" t="s">
        <v>6</v>
      </c>
      <c r="E38">
        <v>-16.114999999999998</v>
      </c>
      <c r="G38" s="155" t="s">
        <v>6</v>
      </c>
      <c r="H38">
        <v>-16.114999999999998</v>
      </c>
    </row>
    <row r="39" spans="1:8">
      <c r="A39" s="450" t="s">
        <v>2</v>
      </c>
      <c r="B39">
        <v>-8.9250000000000007</v>
      </c>
      <c r="D39" s="450" t="s">
        <v>16</v>
      </c>
      <c r="E39">
        <v>-1.3</v>
      </c>
      <c r="G39" s="450" t="s">
        <v>16</v>
      </c>
      <c r="H39">
        <v>-1.3</v>
      </c>
    </row>
    <row r="40" spans="1:8">
      <c r="A40" s="450" t="s">
        <v>16</v>
      </c>
      <c r="B40">
        <v>0</v>
      </c>
      <c r="D40" s="450" t="s">
        <v>213</v>
      </c>
      <c r="E40">
        <v>-2.7</v>
      </c>
      <c r="G40" s="450" t="s">
        <v>213</v>
      </c>
      <c r="H40">
        <v>-2.7</v>
      </c>
    </row>
    <row r="41" spans="1:8">
      <c r="A41" s="450" t="s">
        <v>213</v>
      </c>
      <c r="B41">
        <v>0</v>
      </c>
      <c r="D41" s="450" t="s">
        <v>199</v>
      </c>
      <c r="E41">
        <v>-9.125</v>
      </c>
      <c r="G41" s="450" t="s">
        <v>199</v>
      </c>
      <c r="H41">
        <v>-9.125</v>
      </c>
    </row>
    <row r="42" spans="1:8">
      <c r="A42" s="450" t="s">
        <v>199</v>
      </c>
      <c r="B42">
        <v>7.5000000000000011E-2</v>
      </c>
      <c r="D42" s="450" t="s">
        <v>144</v>
      </c>
      <c r="E42">
        <v>-2.9899999999999984</v>
      </c>
      <c r="G42" s="450" t="s">
        <v>144</v>
      </c>
      <c r="H42">
        <v>-2.9899999999999984</v>
      </c>
    </row>
    <row r="43" spans="1:8">
      <c r="A43" s="450" t="s">
        <v>144</v>
      </c>
      <c r="B43">
        <v>-0.44</v>
      </c>
      <c r="D43" s="155" t="s">
        <v>3</v>
      </c>
      <c r="E43">
        <v>-29.094999999999999</v>
      </c>
      <c r="G43" s="155" t="s">
        <v>172</v>
      </c>
      <c r="H43">
        <v>1.7000000000000002</v>
      </c>
    </row>
    <row r="44" spans="1:8">
      <c r="A44" s="155" t="s">
        <v>172</v>
      </c>
      <c r="B44">
        <v>0.35</v>
      </c>
      <c r="D44" s="450" t="s">
        <v>677</v>
      </c>
      <c r="E44">
        <v>-17.5</v>
      </c>
      <c r="G44" s="450" t="s">
        <v>903</v>
      </c>
      <c r="H44">
        <v>1.7000000000000002</v>
      </c>
    </row>
    <row r="45" spans="1:8">
      <c r="A45" s="450" t="s">
        <v>9</v>
      </c>
      <c r="B45">
        <v>0.35</v>
      </c>
      <c r="D45" s="450" t="s">
        <v>2</v>
      </c>
      <c r="E45">
        <v>0</v>
      </c>
      <c r="G45" s="155" t="s">
        <v>3</v>
      </c>
      <c r="H45">
        <v>-28.954999999999998</v>
      </c>
    </row>
    <row r="46" spans="1:8">
      <c r="A46" s="155" t="s">
        <v>3</v>
      </c>
      <c r="B46">
        <v>-24.954999999999998</v>
      </c>
      <c r="D46" s="450" t="s">
        <v>16</v>
      </c>
      <c r="E46">
        <v>-4</v>
      </c>
      <c r="G46" s="450" t="s">
        <v>677</v>
      </c>
      <c r="H46">
        <v>-17.5</v>
      </c>
    </row>
    <row r="47" spans="1:8">
      <c r="A47" s="450" t="s">
        <v>677</v>
      </c>
      <c r="B47">
        <v>-17.5</v>
      </c>
      <c r="D47" s="450" t="s">
        <v>76</v>
      </c>
      <c r="E47">
        <v>-0.87</v>
      </c>
      <c r="G47" s="450" t="s">
        <v>2</v>
      </c>
      <c r="H47">
        <v>0</v>
      </c>
    </row>
    <row r="48" spans="1:8">
      <c r="A48" s="450" t="s">
        <v>2</v>
      </c>
      <c r="B48">
        <v>0</v>
      </c>
      <c r="D48" s="450" t="s">
        <v>132</v>
      </c>
      <c r="E48">
        <v>-1.5</v>
      </c>
      <c r="G48" s="450" t="s">
        <v>16</v>
      </c>
      <c r="H48">
        <v>-4</v>
      </c>
    </row>
    <row r="49" spans="1:8">
      <c r="A49" s="450" t="s">
        <v>76</v>
      </c>
      <c r="B49">
        <v>-0.87</v>
      </c>
      <c r="D49" s="450" t="s">
        <v>85</v>
      </c>
      <c r="E49">
        <v>-2.7</v>
      </c>
      <c r="G49" s="450" t="s">
        <v>76</v>
      </c>
      <c r="H49">
        <v>-0.87</v>
      </c>
    </row>
    <row r="50" spans="1:8">
      <c r="A50" s="450" t="s">
        <v>132</v>
      </c>
      <c r="B50">
        <v>-1.5</v>
      </c>
      <c r="D50" s="450" t="s">
        <v>102</v>
      </c>
      <c r="E50">
        <v>-0.125</v>
      </c>
      <c r="G50" s="450" t="s">
        <v>132</v>
      </c>
      <c r="H50">
        <v>-1.5</v>
      </c>
    </row>
    <row r="51" spans="1:8">
      <c r="A51" s="450" t="s">
        <v>85</v>
      </c>
      <c r="B51">
        <v>-2.7</v>
      </c>
      <c r="D51" s="450" t="s">
        <v>180</v>
      </c>
      <c r="E51">
        <v>-2</v>
      </c>
      <c r="G51" s="450" t="s">
        <v>85</v>
      </c>
      <c r="H51">
        <v>-2.7</v>
      </c>
    </row>
    <row r="52" spans="1:8">
      <c r="A52" s="450" t="s">
        <v>102</v>
      </c>
      <c r="B52">
        <v>-0.125</v>
      </c>
      <c r="D52" s="450" t="s">
        <v>144</v>
      </c>
      <c r="E52">
        <v>-0.4</v>
      </c>
      <c r="G52" s="450" t="s">
        <v>102</v>
      </c>
      <c r="H52">
        <v>-0.125</v>
      </c>
    </row>
    <row r="53" spans="1:8">
      <c r="A53" s="450" t="s">
        <v>180</v>
      </c>
      <c r="B53">
        <v>-1.8599999999999999</v>
      </c>
      <c r="D53" s="155" t="s">
        <v>1085</v>
      </c>
      <c r="E53">
        <v>-45.209999999999994</v>
      </c>
      <c r="G53" s="450" t="s">
        <v>180</v>
      </c>
      <c r="H53">
        <v>-1.8599999999999999</v>
      </c>
    </row>
    <row r="54" spans="1:8">
      <c r="A54" s="450" t="s">
        <v>144</v>
      </c>
      <c r="B54">
        <v>-0.4</v>
      </c>
      <c r="G54" s="450" t="s">
        <v>144</v>
      </c>
      <c r="H54">
        <v>-0.4</v>
      </c>
    </row>
    <row r="55" spans="1:8">
      <c r="A55" s="155" t="s">
        <v>1085</v>
      </c>
      <c r="B55">
        <v>-33.895000000000003</v>
      </c>
      <c r="G55" s="155" t="s">
        <v>1085</v>
      </c>
      <c r="H55">
        <v>-43.37</v>
      </c>
    </row>
    <row r="67" spans="1:8" ht="23.45">
      <c r="A67" s="561" t="s">
        <v>1089</v>
      </c>
      <c r="B67" s="562"/>
      <c r="D67" s="561" t="s">
        <v>72</v>
      </c>
      <c r="E67" s="562"/>
      <c r="G67" s="561" t="s">
        <v>73</v>
      </c>
      <c r="H67" s="562"/>
    </row>
    <row r="68" spans="1:8">
      <c r="A68" s="255" t="s">
        <v>70</v>
      </c>
      <c r="B68" s="155">
        <v>1</v>
      </c>
      <c r="D68" s="255" t="s">
        <v>72</v>
      </c>
      <c r="E68" s="155">
        <v>1</v>
      </c>
      <c r="G68" s="255" t="s">
        <v>73</v>
      </c>
      <c r="H68" s="155">
        <v>1</v>
      </c>
    </row>
    <row r="69" spans="1:8">
      <c r="A69" s="255" t="s">
        <v>38</v>
      </c>
      <c r="B69" t="s">
        <v>4</v>
      </c>
      <c r="D69" s="255" t="s">
        <v>38</v>
      </c>
      <c r="E69" t="s">
        <v>4</v>
      </c>
      <c r="G69" s="255" t="s">
        <v>38</v>
      </c>
      <c r="H69" t="s">
        <v>4</v>
      </c>
    </row>
    <row r="71" spans="1:8">
      <c r="A71" s="255" t="s">
        <v>1083</v>
      </c>
      <c r="B71" t="s">
        <v>1084</v>
      </c>
      <c r="D71" s="255" t="s">
        <v>1083</v>
      </c>
      <c r="E71" t="s">
        <v>1084</v>
      </c>
      <c r="G71" s="255" t="s">
        <v>1083</v>
      </c>
      <c r="H71" t="s">
        <v>1084</v>
      </c>
    </row>
    <row r="72" spans="1:8">
      <c r="A72" s="155" t="s">
        <v>6</v>
      </c>
      <c r="B72">
        <v>-4.7150000000000016</v>
      </c>
      <c r="D72" s="155" t="s">
        <v>6</v>
      </c>
      <c r="E72">
        <v>-18.027749999999997</v>
      </c>
      <c r="G72" s="155" t="s">
        <v>6</v>
      </c>
      <c r="H72">
        <v>-16.80275</v>
      </c>
    </row>
    <row r="73" spans="1:8">
      <c r="A73" s="450" t="s">
        <v>2</v>
      </c>
      <c r="B73">
        <v>-8.5500000000000007</v>
      </c>
      <c r="D73" s="450" t="s">
        <v>2</v>
      </c>
      <c r="E73">
        <v>-1.2250000000000001</v>
      </c>
      <c r="G73" s="450" t="s">
        <v>16</v>
      </c>
      <c r="H73">
        <v>-1.3</v>
      </c>
    </row>
    <row r="74" spans="1:8">
      <c r="A74" s="450" t="s">
        <v>16</v>
      </c>
      <c r="B74">
        <v>0</v>
      </c>
      <c r="D74" s="450" t="s">
        <v>16</v>
      </c>
      <c r="E74">
        <v>-1.3</v>
      </c>
      <c r="G74" s="450" t="s">
        <v>213</v>
      </c>
      <c r="H74">
        <v>-3.3877500000000005</v>
      </c>
    </row>
    <row r="75" spans="1:8">
      <c r="A75" s="450" t="s">
        <v>213</v>
      </c>
      <c r="B75">
        <v>4.1999999999999993</v>
      </c>
      <c r="D75" s="450" t="s">
        <v>213</v>
      </c>
      <c r="E75">
        <v>-3.3877500000000005</v>
      </c>
      <c r="G75" s="450" t="s">
        <v>199</v>
      </c>
      <c r="H75">
        <v>-9.125</v>
      </c>
    </row>
    <row r="76" spans="1:8">
      <c r="A76" s="450" t="s">
        <v>199</v>
      </c>
      <c r="B76">
        <v>7.5000000000000011E-2</v>
      </c>
      <c r="D76" s="450" t="s">
        <v>199</v>
      </c>
      <c r="E76">
        <v>-9.125</v>
      </c>
      <c r="G76" s="450" t="s">
        <v>144</v>
      </c>
      <c r="H76">
        <v>-2.9899999999999984</v>
      </c>
    </row>
    <row r="77" spans="1:8">
      <c r="A77" s="450" t="s">
        <v>144</v>
      </c>
      <c r="B77">
        <v>-0.44</v>
      </c>
      <c r="D77" s="450" t="s">
        <v>144</v>
      </c>
      <c r="E77">
        <v>-2.9899999999999984</v>
      </c>
      <c r="G77" s="155" t="s">
        <v>172</v>
      </c>
      <c r="H77">
        <v>1.7000000000000002</v>
      </c>
    </row>
    <row r="78" spans="1:8">
      <c r="A78" s="155" t="s">
        <v>172</v>
      </c>
      <c r="B78">
        <v>-1.1499999999999999</v>
      </c>
      <c r="D78" s="155" t="s">
        <v>3</v>
      </c>
      <c r="E78">
        <v>-28.954999999999998</v>
      </c>
      <c r="G78" s="450" t="s">
        <v>903</v>
      </c>
      <c r="H78">
        <v>1.7000000000000002</v>
      </c>
    </row>
    <row r="79" spans="1:8">
      <c r="A79" s="450" t="s">
        <v>9</v>
      </c>
      <c r="B79">
        <v>-1.1499999999999999</v>
      </c>
      <c r="D79" s="450" t="s">
        <v>677</v>
      </c>
      <c r="E79">
        <v>-17.5</v>
      </c>
      <c r="G79" s="155" t="s">
        <v>3</v>
      </c>
      <c r="H79">
        <v>-24.954999999999998</v>
      </c>
    </row>
    <row r="80" spans="1:8">
      <c r="A80" s="155" t="s">
        <v>3</v>
      </c>
      <c r="B80">
        <v>-24.954999999999998</v>
      </c>
      <c r="D80" s="450" t="s">
        <v>2</v>
      </c>
      <c r="E80">
        <v>0</v>
      </c>
      <c r="G80" s="450" t="s">
        <v>677</v>
      </c>
      <c r="H80">
        <v>-17.5</v>
      </c>
    </row>
    <row r="81" spans="1:8">
      <c r="A81" s="450" t="s">
        <v>677</v>
      </c>
      <c r="B81">
        <v>-17.5</v>
      </c>
      <c r="D81" s="450" t="s">
        <v>16</v>
      </c>
      <c r="E81">
        <v>-4</v>
      </c>
      <c r="G81" s="450" t="s">
        <v>2</v>
      </c>
      <c r="H81">
        <v>0</v>
      </c>
    </row>
    <row r="82" spans="1:8">
      <c r="A82" s="450" t="s">
        <v>2</v>
      </c>
      <c r="B82">
        <v>0</v>
      </c>
      <c r="D82" s="450" t="s">
        <v>76</v>
      </c>
      <c r="E82">
        <v>-0.87</v>
      </c>
      <c r="G82" s="450" t="s">
        <v>76</v>
      </c>
      <c r="H82">
        <v>-0.87</v>
      </c>
    </row>
    <row r="83" spans="1:8">
      <c r="A83" s="450" t="s">
        <v>76</v>
      </c>
      <c r="B83">
        <v>-0.87</v>
      </c>
      <c r="D83" s="450" t="s">
        <v>132</v>
      </c>
      <c r="E83">
        <v>-1.5</v>
      </c>
      <c r="G83" s="450" t="s">
        <v>132</v>
      </c>
      <c r="H83">
        <v>-1.5</v>
      </c>
    </row>
    <row r="84" spans="1:8">
      <c r="A84" s="450" t="s">
        <v>132</v>
      </c>
      <c r="B84">
        <v>-1.5</v>
      </c>
      <c r="D84" s="450" t="s">
        <v>85</v>
      </c>
      <c r="E84">
        <v>-2.7</v>
      </c>
      <c r="G84" s="450" t="s">
        <v>85</v>
      </c>
      <c r="H84">
        <v>-2.7</v>
      </c>
    </row>
    <row r="85" spans="1:8">
      <c r="A85" s="450" t="s">
        <v>85</v>
      </c>
      <c r="B85">
        <v>-2.7</v>
      </c>
      <c r="D85" s="450" t="s">
        <v>102</v>
      </c>
      <c r="E85">
        <v>-0.125</v>
      </c>
      <c r="G85" s="450" t="s">
        <v>102</v>
      </c>
      <c r="H85">
        <v>-0.125</v>
      </c>
    </row>
    <row r="86" spans="1:8">
      <c r="A86" s="450" t="s">
        <v>102</v>
      </c>
      <c r="B86">
        <v>-0.125</v>
      </c>
      <c r="D86" s="450" t="s">
        <v>180</v>
      </c>
      <c r="E86">
        <v>-1.8599999999999999</v>
      </c>
      <c r="G86" s="450" t="s">
        <v>180</v>
      </c>
      <c r="H86">
        <v>-1.8599999999999999</v>
      </c>
    </row>
    <row r="87" spans="1:8">
      <c r="A87" s="450" t="s">
        <v>180</v>
      </c>
      <c r="B87">
        <v>-1.8599999999999999</v>
      </c>
      <c r="D87" s="450" t="s">
        <v>144</v>
      </c>
      <c r="E87">
        <v>-0.4</v>
      </c>
      <c r="G87" s="450" t="s">
        <v>144</v>
      </c>
      <c r="H87">
        <v>-0.4</v>
      </c>
    </row>
    <row r="88" spans="1:8">
      <c r="A88" s="450" t="s">
        <v>144</v>
      </c>
      <c r="B88">
        <v>-0.4</v>
      </c>
      <c r="D88" s="155" t="s">
        <v>1085</v>
      </c>
      <c r="E88">
        <v>-46.982749999999996</v>
      </c>
      <c r="G88" s="155" t="s">
        <v>1085</v>
      </c>
      <c r="H88">
        <v>-40.057749999999999</v>
      </c>
    </row>
    <row r="89" spans="1:8">
      <c r="A89" s="155" t="s">
        <v>1085</v>
      </c>
      <c r="B89">
        <v>-30.82</v>
      </c>
    </row>
  </sheetData>
  <mergeCells count="9">
    <mergeCell ref="A1:B1"/>
    <mergeCell ref="D1:E1"/>
    <mergeCell ref="G1:H1"/>
    <mergeCell ref="A67:B67"/>
    <mergeCell ref="D67:E67"/>
    <mergeCell ref="G67:H67"/>
    <mergeCell ref="A33:B33"/>
    <mergeCell ref="D33:E33"/>
    <mergeCell ref="G33:H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8932-F1E5-42C9-857A-9745B4ABE88C}">
  <dimension ref="A1:AN67"/>
  <sheetViews>
    <sheetView workbookViewId="0">
      <selection activeCell="O19" sqref="O19"/>
    </sheetView>
  </sheetViews>
  <sheetFormatPr defaultColWidth="11.42578125" defaultRowHeight="14.45"/>
  <sheetData>
    <row r="1" spans="1:40" s="199" customFormat="1" ht="90" customHeight="1" collapsed="1">
      <c r="A1" s="159" t="s">
        <v>22</v>
      </c>
      <c r="B1" s="250" t="s">
        <v>23</v>
      </c>
      <c r="C1" s="159" t="s">
        <v>24</v>
      </c>
      <c r="D1" s="196" t="s">
        <v>25</v>
      </c>
      <c r="E1" s="196" t="s">
        <v>26</v>
      </c>
      <c r="F1" s="159" t="s">
        <v>28</v>
      </c>
      <c r="G1" s="159" t="s">
        <v>29</v>
      </c>
      <c r="H1" s="160" t="s">
        <v>30</v>
      </c>
      <c r="I1" s="161" t="s">
        <v>1090</v>
      </c>
      <c r="J1" s="161" t="s">
        <v>32</v>
      </c>
      <c r="K1" s="162" t="s">
        <v>33</v>
      </c>
      <c r="L1" s="159" t="s">
        <v>34</v>
      </c>
      <c r="M1" s="163" t="s">
        <v>35</v>
      </c>
      <c r="N1" s="159" t="s">
        <v>36</v>
      </c>
      <c r="O1" s="159" t="s">
        <v>37</v>
      </c>
      <c r="P1" s="164" t="s">
        <v>38</v>
      </c>
      <c r="Q1" s="159" t="s">
        <v>39</v>
      </c>
      <c r="R1" s="164" t="s">
        <v>40</v>
      </c>
      <c r="S1" s="165" t="s">
        <v>41</v>
      </c>
      <c r="T1" s="164" t="s">
        <v>42</v>
      </c>
      <c r="U1" s="261" t="s">
        <v>43</v>
      </c>
      <c r="V1" s="261" t="s">
        <v>44</v>
      </c>
      <c r="W1" s="261" t="s">
        <v>45</v>
      </c>
      <c r="X1" s="262" t="s">
        <v>48</v>
      </c>
      <c r="Y1" s="262" t="s">
        <v>49</v>
      </c>
      <c r="Z1" s="166" t="s">
        <v>46</v>
      </c>
      <c r="AA1" s="262" t="s">
        <v>50</v>
      </c>
      <c r="AB1" s="167" t="s">
        <v>52</v>
      </c>
      <c r="AC1" s="167" t="s">
        <v>53</v>
      </c>
      <c r="AD1" s="167" t="s">
        <v>54</v>
      </c>
      <c r="AE1" s="263" t="s">
        <v>57</v>
      </c>
      <c r="AF1" s="263" t="s">
        <v>58</v>
      </c>
      <c r="AG1" s="167" t="s">
        <v>55</v>
      </c>
      <c r="AH1" s="263" t="s">
        <v>1091</v>
      </c>
      <c r="AI1" s="166" t="s">
        <v>1092</v>
      </c>
      <c r="AJ1" s="166" t="s">
        <v>1093</v>
      </c>
      <c r="AK1" s="166" t="s">
        <v>1094</v>
      </c>
      <c r="AL1" s="166" t="s">
        <v>1095</v>
      </c>
      <c r="AM1" s="260" t="s">
        <v>1096</v>
      </c>
      <c r="AN1" s="260" t="s">
        <v>1097</v>
      </c>
    </row>
    <row r="2" spans="1:40" s="279" customFormat="1" ht="20.45" customHeight="1">
      <c r="A2" s="333">
        <v>215</v>
      </c>
      <c r="B2" s="334">
        <v>45758</v>
      </c>
      <c r="C2" s="277" t="s">
        <v>84</v>
      </c>
      <c r="D2" s="279" t="s">
        <v>144</v>
      </c>
      <c r="E2" s="277" t="s">
        <v>6</v>
      </c>
      <c r="F2" s="278" t="s">
        <v>145</v>
      </c>
      <c r="G2" s="279" t="s">
        <v>147</v>
      </c>
      <c r="K2" s="279" t="s">
        <v>148</v>
      </c>
      <c r="O2" s="282" t="s">
        <v>80</v>
      </c>
      <c r="P2" s="282" t="s">
        <v>4</v>
      </c>
      <c r="Q2" s="282" t="s">
        <v>81</v>
      </c>
      <c r="R2" s="283">
        <v>0.5</v>
      </c>
      <c r="S2" s="335">
        <v>0.02</v>
      </c>
      <c r="T2" s="285">
        <f t="shared" ref="T2" si="0">S2*R2</f>
        <v>0.01</v>
      </c>
      <c r="U2" s="286">
        <v>1</v>
      </c>
      <c r="V2" s="286">
        <v>1</v>
      </c>
      <c r="W2" s="286">
        <v>1</v>
      </c>
      <c r="X2" s="286">
        <v>1</v>
      </c>
      <c r="Y2" s="286">
        <v>1</v>
      </c>
      <c r="Z2" s="286">
        <v>1</v>
      </c>
      <c r="AA2" s="286">
        <v>1</v>
      </c>
      <c r="AB2" s="286">
        <v>1</v>
      </c>
      <c r="AC2" s="286">
        <v>1</v>
      </c>
      <c r="AD2" s="286">
        <v>1</v>
      </c>
      <c r="AE2" s="286">
        <v>1</v>
      </c>
      <c r="AF2" s="286">
        <v>1</v>
      </c>
      <c r="AG2" s="286">
        <v>1</v>
      </c>
      <c r="AH2" s="286">
        <v>1</v>
      </c>
      <c r="AI2" s="286">
        <v>1</v>
      </c>
      <c r="AJ2" s="286">
        <v>1</v>
      </c>
      <c r="AK2" s="286">
        <v>1</v>
      </c>
      <c r="AL2" s="286">
        <v>1</v>
      </c>
      <c r="AM2" s="336"/>
      <c r="AN2" s="336"/>
    </row>
    <row r="4" spans="1:40" s="337" customFormat="1" ht="122.45">
      <c r="A4" s="337" t="s">
        <v>1098</v>
      </c>
      <c r="B4" s="337" t="s">
        <v>1099</v>
      </c>
      <c r="C4" s="337" t="s">
        <v>1100</v>
      </c>
      <c r="D4" s="337" t="s">
        <v>1100</v>
      </c>
      <c r="E4" s="337" t="s">
        <v>1101</v>
      </c>
      <c r="F4" s="337" t="s">
        <v>1102</v>
      </c>
      <c r="G4" s="337" t="s">
        <v>1103</v>
      </c>
      <c r="H4" s="337" t="s">
        <v>30</v>
      </c>
      <c r="K4" s="337" t="s">
        <v>1104</v>
      </c>
      <c r="P4" s="337" t="s">
        <v>38</v>
      </c>
      <c r="R4" s="340" t="s">
        <v>1105</v>
      </c>
      <c r="S4" s="337" t="s">
        <v>1106</v>
      </c>
    </row>
    <row r="5" spans="1:40">
      <c r="A5" s="301">
        <v>54</v>
      </c>
      <c r="B5" s="339" t="s">
        <v>131</v>
      </c>
      <c r="C5" t="s">
        <v>84</v>
      </c>
      <c r="D5" t="s">
        <v>180</v>
      </c>
      <c r="E5" t="s">
        <v>3</v>
      </c>
      <c r="F5" t="s">
        <v>617</v>
      </c>
      <c r="G5" t="s">
        <v>228</v>
      </c>
      <c r="H5" t="s">
        <v>576</v>
      </c>
      <c r="K5" t="s">
        <v>618</v>
      </c>
      <c r="P5" t="s">
        <v>4</v>
      </c>
      <c r="R5" s="341">
        <v>0.25</v>
      </c>
      <c r="S5">
        <v>-0.8</v>
      </c>
      <c r="T5" s="302">
        <f t="shared" ref="T5:T67" si="1">S5*R5</f>
        <v>-0.2</v>
      </c>
    </row>
    <row r="6" spans="1:40">
      <c r="A6" s="301">
        <v>55</v>
      </c>
      <c r="B6" s="339" t="s">
        <v>131</v>
      </c>
      <c r="C6" t="s">
        <v>84</v>
      </c>
      <c r="D6" t="s">
        <v>180</v>
      </c>
      <c r="E6" t="s">
        <v>3</v>
      </c>
      <c r="F6" t="s">
        <v>575</v>
      </c>
      <c r="G6" t="s">
        <v>228</v>
      </c>
      <c r="H6" t="s">
        <v>576</v>
      </c>
      <c r="K6" t="s">
        <v>578</v>
      </c>
      <c r="P6" t="s">
        <v>4</v>
      </c>
      <c r="R6" s="341">
        <v>0.25</v>
      </c>
      <c r="S6">
        <v>-0.6</v>
      </c>
      <c r="T6" s="302">
        <f t="shared" si="1"/>
        <v>-0.15</v>
      </c>
    </row>
    <row r="7" spans="1:40">
      <c r="A7" s="300">
        <v>92</v>
      </c>
      <c r="B7" s="339" t="s">
        <v>161</v>
      </c>
      <c r="C7" t="s">
        <v>84</v>
      </c>
      <c r="D7" t="s">
        <v>132</v>
      </c>
      <c r="E7" t="s">
        <v>3</v>
      </c>
      <c r="F7" t="s">
        <v>208</v>
      </c>
      <c r="G7" t="s">
        <v>135</v>
      </c>
      <c r="H7" t="s">
        <v>209</v>
      </c>
      <c r="K7" t="s">
        <v>211</v>
      </c>
      <c r="P7" t="s">
        <v>4</v>
      </c>
      <c r="R7" s="342">
        <v>0.25</v>
      </c>
      <c r="S7">
        <v>1.2</v>
      </c>
      <c r="T7" s="302">
        <f t="shared" si="1"/>
        <v>0.3</v>
      </c>
    </row>
    <row r="8" spans="1:40">
      <c r="A8" s="301" t="s">
        <v>773</v>
      </c>
      <c r="B8" s="339" t="s">
        <v>194</v>
      </c>
      <c r="C8" t="s">
        <v>84</v>
      </c>
      <c r="D8" t="s">
        <v>213</v>
      </c>
      <c r="E8" t="s">
        <v>3</v>
      </c>
      <c r="F8" t="s">
        <v>774</v>
      </c>
      <c r="G8" t="s">
        <v>775</v>
      </c>
      <c r="H8" t="s">
        <v>1107</v>
      </c>
      <c r="K8" t="s">
        <v>1108</v>
      </c>
      <c r="P8" t="s">
        <v>4</v>
      </c>
      <c r="R8" s="343">
        <v>0.5</v>
      </c>
      <c r="S8">
        <v>-1.8</v>
      </c>
      <c r="T8" s="302">
        <f t="shared" si="1"/>
        <v>-0.9</v>
      </c>
    </row>
    <row r="9" spans="1:40">
      <c r="A9" s="300">
        <v>122</v>
      </c>
      <c r="B9" s="339" t="s">
        <v>588</v>
      </c>
      <c r="C9" t="s">
        <v>84</v>
      </c>
      <c r="D9" t="s">
        <v>144</v>
      </c>
      <c r="E9" t="s">
        <v>3</v>
      </c>
      <c r="F9" t="s">
        <v>590</v>
      </c>
      <c r="H9" t="s">
        <v>1109</v>
      </c>
      <c r="K9" t="s">
        <v>593</v>
      </c>
      <c r="P9" t="s">
        <v>4</v>
      </c>
      <c r="R9" s="344">
        <v>0.5</v>
      </c>
      <c r="S9">
        <v>-0.3</v>
      </c>
      <c r="T9" s="302">
        <f t="shared" si="1"/>
        <v>-0.15</v>
      </c>
    </row>
    <row r="10" spans="1:40">
      <c r="A10" s="300">
        <v>130</v>
      </c>
      <c r="B10" s="339" t="s">
        <v>509</v>
      </c>
      <c r="C10" t="s">
        <v>84</v>
      </c>
      <c r="D10" t="s">
        <v>102</v>
      </c>
      <c r="E10" t="s">
        <v>3</v>
      </c>
      <c r="F10" t="s">
        <v>510</v>
      </c>
      <c r="G10" t="s">
        <v>228</v>
      </c>
      <c r="H10" t="s">
        <v>1110</v>
      </c>
      <c r="K10" t="s">
        <v>513</v>
      </c>
      <c r="P10" t="s">
        <v>4</v>
      </c>
      <c r="R10" s="341">
        <v>0.25</v>
      </c>
      <c r="S10">
        <v>-0.3</v>
      </c>
      <c r="T10" s="302">
        <f t="shared" si="1"/>
        <v>-7.4999999999999997E-2</v>
      </c>
    </row>
    <row r="11" spans="1:40">
      <c r="A11" s="300">
        <v>131</v>
      </c>
      <c r="B11" s="339" t="s">
        <v>109</v>
      </c>
      <c r="C11" t="s">
        <v>84</v>
      </c>
      <c r="D11" t="s">
        <v>110</v>
      </c>
      <c r="E11" t="s">
        <v>3</v>
      </c>
      <c r="F11" t="s">
        <v>111</v>
      </c>
      <c r="G11" t="s">
        <v>88</v>
      </c>
      <c r="H11" t="s">
        <v>112</v>
      </c>
      <c r="K11" t="s">
        <v>114</v>
      </c>
      <c r="P11" t="s">
        <v>4</v>
      </c>
      <c r="R11" s="341">
        <v>0.25</v>
      </c>
      <c r="S11">
        <v>0.1</v>
      </c>
      <c r="T11" s="302">
        <f t="shared" si="1"/>
        <v>2.5000000000000001E-2</v>
      </c>
    </row>
    <row r="12" spans="1:40">
      <c r="A12" s="300">
        <v>132</v>
      </c>
      <c r="B12" s="339" t="s">
        <v>109</v>
      </c>
      <c r="C12" t="s">
        <v>84</v>
      </c>
      <c r="D12" t="s">
        <v>102</v>
      </c>
      <c r="E12" t="s">
        <v>3</v>
      </c>
      <c r="F12" t="s">
        <v>115</v>
      </c>
      <c r="G12" t="s">
        <v>88</v>
      </c>
      <c r="H12" t="s">
        <v>116</v>
      </c>
      <c r="K12" t="s">
        <v>117</v>
      </c>
      <c r="P12" t="s">
        <v>4</v>
      </c>
      <c r="R12" s="341">
        <v>0.25</v>
      </c>
      <c r="S12">
        <v>0.1</v>
      </c>
      <c r="T12" s="302">
        <f t="shared" si="1"/>
        <v>2.5000000000000001E-2</v>
      </c>
    </row>
    <row r="13" spans="1:40">
      <c r="A13" s="300">
        <v>136</v>
      </c>
      <c r="B13" s="339" t="s">
        <v>472</v>
      </c>
      <c r="C13" t="s">
        <v>84</v>
      </c>
      <c r="D13" t="s">
        <v>102</v>
      </c>
      <c r="E13" t="s">
        <v>3</v>
      </c>
      <c r="F13" t="s">
        <v>1111</v>
      </c>
      <c r="G13" t="s">
        <v>88</v>
      </c>
      <c r="H13" t="s">
        <v>1112</v>
      </c>
      <c r="K13" t="s">
        <v>476</v>
      </c>
      <c r="P13" t="s">
        <v>4</v>
      </c>
      <c r="R13" s="344">
        <v>0.25</v>
      </c>
      <c r="S13">
        <v>-0.26800000000000002</v>
      </c>
      <c r="T13" s="302">
        <f t="shared" si="1"/>
        <v>-6.7000000000000004E-2</v>
      </c>
    </row>
    <row r="14" spans="1:40">
      <c r="A14" s="299">
        <v>181</v>
      </c>
      <c r="B14" s="339" t="s">
        <v>246</v>
      </c>
      <c r="C14" t="s">
        <v>84</v>
      </c>
      <c r="D14" t="s">
        <v>16</v>
      </c>
      <c r="E14" t="s">
        <v>6</v>
      </c>
      <c r="F14" t="s">
        <v>1113</v>
      </c>
      <c r="H14" t="s">
        <v>1114</v>
      </c>
      <c r="K14" t="s">
        <v>1115</v>
      </c>
      <c r="P14" t="s">
        <v>4</v>
      </c>
      <c r="R14" s="341">
        <v>1</v>
      </c>
      <c r="S14">
        <v>0</v>
      </c>
      <c r="T14" s="302">
        <f t="shared" si="1"/>
        <v>0</v>
      </c>
    </row>
    <row r="15" spans="1:40">
      <c r="A15" s="299">
        <v>202</v>
      </c>
      <c r="B15" s="339" t="s">
        <v>131</v>
      </c>
      <c r="C15" t="s">
        <v>84</v>
      </c>
      <c r="D15" t="s">
        <v>132</v>
      </c>
      <c r="E15" t="s">
        <v>3</v>
      </c>
      <c r="F15" t="s">
        <v>134</v>
      </c>
      <c r="G15" t="s">
        <v>135</v>
      </c>
      <c r="H15" t="s">
        <v>136</v>
      </c>
      <c r="K15" t="s">
        <v>1116</v>
      </c>
      <c r="P15" t="s">
        <v>4</v>
      </c>
      <c r="R15" s="344">
        <v>0.5</v>
      </c>
      <c r="S15">
        <v>-0.1</v>
      </c>
      <c r="T15" s="302">
        <f t="shared" si="1"/>
        <v>-0.05</v>
      </c>
    </row>
    <row r="16" spans="1:40">
      <c r="A16" s="299">
        <v>203</v>
      </c>
      <c r="B16" s="339" t="s">
        <v>154</v>
      </c>
      <c r="C16" t="s">
        <v>84</v>
      </c>
      <c r="D16" t="s">
        <v>213</v>
      </c>
      <c r="E16" t="s">
        <v>3</v>
      </c>
      <c r="F16" t="s">
        <v>693</v>
      </c>
      <c r="G16" t="s">
        <v>135</v>
      </c>
      <c r="H16" t="s">
        <v>694</v>
      </c>
      <c r="K16" t="s">
        <v>696</v>
      </c>
      <c r="P16" t="s">
        <v>4</v>
      </c>
      <c r="R16" s="344">
        <v>1</v>
      </c>
      <c r="S16">
        <v>-0.34</v>
      </c>
      <c r="T16" s="302">
        <f t="shared" si="1"/>
        <v>-0.34</v>
      </c>
    </row>
    <row r="17" spans="1:20">
      <c r="A17" s="299">
        <v>215</v>
      </c>
      <c r="B17" s="339" t="s">
        <v>149</v>
      </c>
      <c r="C17" t="s">
        <v>84</v>
      </c>
      <c r="D17" t="s">
        <v>144</v>
      </c>
      <c r="E17" t="s">
        <v>6</v>
      </c>
      <c r="F17" t="s">
        <v>145</v>
      </c>
      <c r="H17" t="s">
        <v>147</v>
      </c>
      <c r="K17" t="s">
        <v>148</v>
      </c>
      <c r="P17" t="s">
        <v>4</v>
      </c>
      <c r="R17" s="343">
        <v>0.5</v>
      </c>
      <c r="S17">
        <v>0.02</v>
      </c>
      <c r="T17" s="302">
        <f t="shared" si="1"/>
        <v>0.01</v>
      </c>
    </row>
    <row r="18" spans="1:20">
      <c r="A18" s="299">
        <v>224</v>
      </c>
      <c r="B18" s="339" t="s">
        <v>149</v>
      </c>
      <c r="C18" t="s">
        <v>84</v>
      </c>
      <c r="D18" t="s">
        <v>150</v>
      </c>
      <c r="E18" t="s">
        <v>3</v>
      </c>
      <c r="F18" t="s">
        <v>151</v>
      </c>
      <c r="H18" t="s">
        <v>152</v>
      </c>
      <c r="K18" t="s">
        <v>153</v>
      </c>
      <c r="P18" t="s">
        <v>4</v>
      </c>
      <c r="R18" s="343">
        <v>0.5</v>
      </c>
      <c r="S18">
        <v>-1.2</v>
      </c>
      <c r="T18" s="302">
        <f t="shared" si="1"/>
        <v>-0.6</v>
      </c>
    </row>
    <row r="19" spans="1:20">
      <c r="A19" s="299">
        <v>233</v>
      </c>
      <c r="B19" s="339" t="s">
        <v>231</v>
      </c>
      <c r="C19" t="s">
        <v>84</v>
      </c>
      <c r="D19" t="s">
        <v>180</v>
      </c>
      <c r="E19" t="s">
        <v>3</v>
      </c>
      <c r="F19" t="s">
        <v>1117</v>
      </c>
      <c r="G19" t="s">
        <v>228</v>
      </c>
      <c r="H19" t="s">
        <v>1118</v>
      </c>
      <c r="K19" t="s">
        <v>235</v>
      </c>
      <c r="P19" t="s">
        <v>4</v>
      </c>
      <c r="R19" s="343">
        <v>0.5</v>
      </c>
      <c r="S19">
        <v>0.3</v>
      </c>
      <c r="T19" s="302">
        <f t="shared" si="1"/>
        <v>0.15</v>
      </c>
    </row>
    <row r="20" spans="1:20">
      <c r="A20" s="299">
        <v>234</v>
      </c>
      <c r="B20" s="339" t="s">
        <v>231</v>
      </c>
      <c r="C20" t="s">
        <v>84</v>
      </c>
      <c r="D20" t="s">
        <v>180</v>
      </c>
      <c r="E20" t="s">
        <v>3</v>
      </c>
      <c r="F20" t="s">
        <v>232</v>
      </c>
      <c r="G20" t="s">
        <v>228</v>
      </c>
      <c r="H20" t="s">
        <v>1119</v>
      </c>
      <c r="K20" t="s">
        <v>235</v>
      </c>
      <c r="P20" t="s">
        <v>4</v>
      </c>
      <c r="R20" s="343">
        <v>0.5</v>
      </c>
      <c r="S20">
        <v>0.3</v>
      </c>
      <c r="T20" s="302">
        <f t="shared" si="1"/>
        <v>0.15</v>
      </c>
    </row>
    <row r="21" spans="1:20">
      <c r="A21" s="300">
        <v>238</v>
      </c>
      <c r="B21" s="339"/>
      <c r="C21" t="s">
        <v>84</v>
      </c>
      <c r="D21" t="s">
        <v>144</v>
      </c>
      <c r="E21" t="s">
        <v>6</v>
      </c>
      <c r="F21" t="s">
        <v>167</v>
      </c>
      <c r="H21" t="s">
        <v>169</v>
      </c>
      <c r="K21" t="s">
        <v>170</v>
      </c>
      <c r="P21" t="s">
        <v>4</v>
      </c>
      <c r="R21" s="344">
        <v>1</v>
      </c>
      <c r="S21">
        <v>-0.4</v>
      </c>
      <c r="T21" s="302">
        <f t="shared" si="1"/>
        <v>-0.4</v>
      </c>
    </row>
    <row r="22" spans="1:20">
      <c r="A22" s="299">
        <v>245</v>
      </c>
      <c r="B22" s="339" t="s">
        <v>171</v>
      </c>
      <c r="C22" t="s">
        <v>84</v>
      </c>
      <c r="D22" t="s">
        <v>9</v>
      </c>
      <c r="E22" t="s">
        <v>172</v>
      </c>
      <c r="F22" t="s">
        <v>174</v>
      </c>
      <c r="H22" t="s">
        <v>176</v>
      </c>
      <c r="K22" t="s">
        <v>177</v>
      </c>
      <c r="P22" t="s">
        <v>4</v>
      </c>
      <c r="R22" s="343">
        <v>0.5</v>
      </c>
      <c r="S22">
        <v>0.7</v>
      </c>
      <c r="T22" s="302">
        <f t="shared" si="1"/>
        <v>0.35</v>
      </c>
    </row>
    <row r="23" spans="1:20">
      <c r="A23" s="299">
        <v>248</v>
      </c>
      <c r="B23" s="339" t="s">
        <v>171</v>
      </c>
      <c r="C23" t="s">
        <v>84</v>
      </c>
      <c r="D23" t="s">
        <v>9</v>
      </c>
      <c r="E23" t="s">
        <v>172</v>
      </c>
      <c r="F23" t="s">
        <v>178</v>
      </c>
      <c r="H23" t="s">
        <v>1120</v>
      </c>
      <c r="K23" t="s">
        <v>177</v>
      </c>
      <c r="P23" t="s">
        <v>4</v>
      </c>
      <c r="R23" s="343">
        <v>1</v>
      </c>
      <c r="S23">
        <v>0.68</v>
      </c>
      <c r="T23" s="302">
        <f t="shared" si="1"/>
        <v>0.68</v>
      </c>
    </row>
    <row r="24" spans="1:20">
      <c r="A24" s="301">
        <v>254</v>
      </c>
      <c r="B24" s="339" t="s">
        <v>131</v>
      </c>
      <c r="C24" t="s">
        <v>84</v>
      </c>
      <c r="D24" t="s">
        <v>132</v>
      </c>
      <c r="E24" t="s">
        <v>3</v>
      </c>
      <c r="F24" t="s">
        <v>1121</v>
      </c>
      <c r="G24" t="s">
        <v>228</v>
      </c>
      <c r="H24" t="s">
        <v>1122</v>
      </c>
      <c r="K24" t="s">
        <v>921</v>
      </c>
      <c r="P24" t="s">
        <v>4</v>
      </c>
      <c r="R24" s="344">
        <v>1</v>
      </c>
      <c r="S24">
        <v>-1</v>
      </c>
      <c r="T24" s="302">
        <f t="shared" si="1"/>
        <v>-1</v>
      </c>
    </row>
    <row r="25" spans="1:20">
      <c r="A25" s="301" t="s">
        <v>188</v>
      </c>
      <c r="B25" s="339" t="s">
        <v>189</v>
      </c>
      <c r="C25" t="s">
        <v>84</v>
      </c>
      <c r="D25" t="s">
        <v>144</v>
      </c>
      <c r="E25" t="s">
        <v>6</v>
      </c>
      <c r="F25" t="s">
        <v>190</v>
      </c>
      <c r="H25" t="s">
        <v>191</v>
      </c>
      <c r="K25" t="s">
        <v>192</v>
      </c>
      <c r="P25" t="s">
        <v>4</v>
      </c>
      <c r="R25" s="344">
        <v>0.5</v>
      </c>
      <c r="S25">
        <v>-2.6</v>
      </c>
      <c r="T25" s="302">
        <f t="shared" si="1"/>
        <v>-1.3</v>
      </c>
    </row>
    <row r="26" spans="1:20">
      <c r="A26" s="299" t="s">
        <v>193</v>
      </c>
      <c r="B26" s="339" t="s">
        <v>194</v>
      </c>
      <c r="C26" t="s">
        <v>84</v>
      </c>
      <c r="D26" t="s">
        <v>85</v>
      </c>
      <c r="E26" t="s">
        <v>3</v>
      </c>
      <c r="F26" t="s">
        <v>195</v>
      </c>
      <c r="G26" t="s">
        <v>88</v>
      </c>
      <c r="H26" t="s">
        <v>196</v>
      </c>
      <c r="K26" t="s">
        <v>197</v>
      </c>
      <c r="P26" t="s">
        <v>4</v>
      </c>
      <c r="R26" s="343">
        <v>0.25</v>
      </c>
      <c r="S26">
        <v>0.5</v>
      </c>
      <c r="T26" s="302">
        <f t="shared" si="1"/>
        <v>0.125</v>
      </c>
    </row>
    <row r="27" spans="1:20">
      <c r="A27" s="299" t="s">
        <v>198</v>
      </c>
      <c r="B27" s="339" t="s">
        <v>472</v>
      </c>
      <c r="C27" t="s">
        <v>84</v>
      </c>
      <c r="D27" t="s">
        <v>199</v>
      </c>
      <c r="E27" t="s">
        <v>6</v>
      </c>
      <c r="F27" t="s">
        <v>200</v>
      </c>
      <c r="H27" t="s">
        <v>202</v>
      </c>
      <c r="K27" t="s">
        <v>203</v>
      </c>
      <c r="P27" t="s">
        <v>4</v>
      </c>
      <c r="R27" s="344">
        <v>1</v>
      </c>
      <c r="S27">
        <v>-0.5</v>
      </c>
      <c r="T27" s="302">
        <f t="shared" si="1"/>
        <v>-0.5</v>
      </c>
    </row>
    <row r="28" spans="1:20">
      <c r="A28" s="299" t="s">
        <v>204</v>
      </c>
      <c r="B28" s="339" t="s">
        <v>1123</v>
      </c>
      <c r="C28" t="s">
        <v>84</v>
      </c>
      <c r="D28" t="s">
        <v>144</v>
      </c>
      <c r="E28" t="s">
        <v>6</v>
      </c>
      <c r="F28" t="s">
        <v>1124</v>
      </c>
      <c r="H28" t="s">
        <v>206</v>
      </c>
      <c r="K28" t="s">
        <v>1125</v>
      </c>
      <c r="P28" t="s">
        <v>4</v>
      </c>
      <c r="R28" s="343">
        <v>1</v>
      </c>
      <c r="S28">
        <v>-0.56699999999999995</v>
      </c>
      <c r="T28" s="302">
        <f t="shared" si="1"/>
        <v>-0.56699999999999995</v>
      </c>
    </row>
    <row r="29" spans="1:20">
      <c r="A29" s="301" t="s">
        <v>204</v>
      </c>
      <c r="B29" s="339" t="s">
        <v>698</v>
      </c>
      <c r="C29" t="s">
        <v>84</v>
      </c>
      <c r="D29" t="s">
        <v>213</v>
      </c>
      <c r="E29" t="s">
        <v>3</v>
      </c>
      <c r="F29" t="s">
        <v>700</v>
      </c>
      <c r="H29" t="s">
        <v>1126</v>
      </c>
      <c r="K29" t="s">
        <v>704</v>
      </c>
      <c r="P29" t="s">
        <v>4</v>
      </c>
      <c r="R29" s="344">
        <v>1</v>
      </c>
      <c r="S29">
        <v>-0.48</v>
      </c>
      <c r="T29" s="302">
        <f t="shared" si="1"/>
        <v>-0.48</v>
      </c>
    </row>
    <row r="30" spans="1:20">
      <c r="A30" s="301" t="s">
        <v>212</v>
      </c>
      <c r="B30" s="339" t="s">
        <v>154</v>
      </c>
      <c r="C30" t="s">
        <v>84</v>
      </c>
      <c r="D30" t="s">
        <v>213</v>
      </c>
      <c r="E30" t="s">
        <v>3</v>
      </c>
      <c r="F30" t="s">
        <v>214</v>
      </c>
      <c r="G30" t="s">
        <v>215</v>
      </c>
      <c r="H30" t="s">
        <v>216</v>
      </c>
      <c r="K30" t="s">
        <v>218</v>
      </c>
      <c r="P30" t="s">
        <v>4</v>
      </c>
      <c r="R30" s="344">
        <v>0.5</v>
      </c>
      <c r="S30">
        <v>0.88800000000000001</v>
      </c>
      <c r="T30" s="302">
        <f t="shared" si="1"/>
        <v>0.44400000000000001</v>
      </c>
    </row>
    <row r="31" spans="1:20">
      <c r="A31" s="301" t="s">
        <v>942</v>
      </c>
      <c r="B31" s="339" t="s">
        <v>194</v>
      </c>
      <c r="C31" t="s">
        <v>84</v>
      </c>
      <c r="D31" t="s">
        <v>213</v>
      </c>
      <c r="E31" t="s">
        <v>3</v>
      </c>
      <c r="F31" t="s">
        <v>739</v>
      </c>
      <c r="G31" t="s">
        <v>740</v>
      </c>
      <c r="H31" t="s">
        <v>943</v>
      </c>
      <c r="K31" t="s">
        <v>937</v>
      </c>
      <c r="P31" t="s">
        <v>4</v>
      </c>
      <c r="R31" s="343">
        <v>1</v>
      </c>
      <c r="S31">
        <v>-2.75</v>
      </c>
      <c r="T31" s="302">
        <f t="shared" si="1"/>
        <v>-2.75</v>
      </c>
    </row>
    <row r="32" spans="1:20">
      <c r="A32" s="301" t="s">
        <v>738</v>
      </c>
      <c r="B32" s="339" t="s">
        <v>161</v>
      </c>
      <c r="C32" t="s">
        <v>84</v>
      </c>
      <c r="D32" t="s">
        <v>85</v>
      </c>
      <c r="E32" t="s">
        <v>3</v>
      </c>
      <c r="F32" t="s">
        <v>739</v>
      </c>
      <c r="G32" t="s">
        <v>740</v>
      </c>
      <c r="K32" t="s">
        <v>741</v>
      </c>
      <c r="P32" t="s">
        <v>4</v>
      </c>
      <c r="R32" s="343">
        <v>1</v>
      </c>
      <c r="S32">
        <v>-0.9</v>
      </c>
      <c r="T32" s="302">
        <f t="shared" si="1"/>
        <v>-0.9</v>
      </c>
    </row>
    <row r="33" spans="1:20">
      <c r="A33" s="300" t="s">
        <v>935</v>
      </c>
      <c r="B33" s="339" t="s">
        <v>194</v>
      </c>
      <c r="C33" t="s">
        <v>84</v>
      </c>
      <c r="D33" t="s">
        <v>132</v>
      </c>
      <c r="E33" t="s">
        <v>3</v>
      </c>
      <c r="F33" t="s">
        <v>739</v>
      </c>
      <c r="G33" t="s">
        <v>740</v>
      </c>
      <c r="H33" t="s">
        <v>936</v>
      </c>
      <c r="K33" t="s">
        <v>937</v>
      </c>
      <c r="P33" t="s">
        <v>4</v>
      </c>
      <c r="R33" s="343">
        <v>1</v>
      </c>
      <c r="S33">
        <v>-2.5</v>
      </c>
      <c r="T33" s="302">
        <f t="shared" si="1"/>
        <v>-2.5</v>
      </c>
    </row>
    <row r="34" spans="1:20">
      <c r="A34" s="299" t="s">
        <v>922</v>
      </c>
      <c r="B34" s="339" t="s">
        <v>923</v>
      </c>
      <c r="C34" t="s">
        <v>84</v>
      </c>
      <c r="D34" t="s">
        <v>677</v>
      </c>
      <c r="E34" t="s">
        <v>3</v>
      </c>
      <c r="F34" t="s">
        <v>924</v>
      </c>
      <c r="K34" t="s">
        <v>926</v>
      </c>
      <c r="P34" t="s">
        <v>4</v>
      </c>
      <c r="R34" s="343">
        <v>0.25</v>
      </c>
      <c r="S34">
        <v>-4</v>
      </c>
      <c r="T34" s="302">
        <f t="shared" si="1"/>
        <v>-1</v>
      </c>
    </row>
    <row r="35" spans="1:20">
      <c r="A35" s="299" t="s">
        <v>236</v>
      </c>
      <c r="B35" s="339" t="s">
        <v>237</v>
      </c>
      <c r="C35" t="s">
        <v>84</v>
      </c>
      <c r="D35" t="s">
        <v>9</v>
      </c>
      <c r="E35" t="s">
        <v>172</v>
      </c>
      <c r="F35" t="s">
        <v>238</v>
      </c>
      <c r="H35" t="s">
        <v>239</v>
      </c>
      <c r="K35" t="s">
        <v>240</v>
      </c>
      <c r="P35" t="s">
        <v>4</v>
      </c>
      <c r="R35" s="344">
        <v>0.5</v>
      </c>
      <c r="S35">
        <v>1.8</v>
      </c>
      <c r="T35" s="302">
        <f t="shared" si="1"/>
        <v>0.9</v>
      </c>
    </row>
    <row r="36" spans="1:20">
      <c r="A36" s="338" t="s">
        <v>241</v>
      </c>
      <c r="B36" s="339" t="s">
        <v>1127</v>
      </c>
      <c r="C36" t="s">
        <v>84</v>
      </c>
      <c r="D36" t="s">
        <v>2</v>
      </c>
      <c r="E36" t="s">
        <v>6</v>
      </c>
      <c r="F36" t="s">
        <v>1128</v>
      </c>
      <c r="H36" t="s">
        <v>244</v>
      </c>
      <c r="K36" t="s">
        <v>1129</v>
      </c>
      <c r="P36" t="s">
        <v>4</v>
      </c>
      <c r="R36" s="344">
        <v>1</v>
      </c>
      <c r="S36">
        <v>-1</v>
      </c>
      <c r="T36" s="302">
        <f t="shared" si="1"/>
        <v>-1</v>
      </c>
    </row>
    <row r="37" spans="1:20">
      <c r="A37" s="299">
        <v>283</v>
      </c>
      <c r="B37" s="339" t="s">
        <v>246</v>
      </c>
      <c r="C37" t="s">
        <v>84</v>
      </c>
      <c r="D37" t="s">
        <v>16</v>
      </c>
      <c r="E37" t="s">
        <v>6</v>
      </c>
      <c r="F37" t="s">
        <v>247</v>
      </c>
      <c r="H37" t="s">
        <v>249</v>
      </c>
      <c r="K37" t="s">
        <v>250</v>
      </c>
      <c r="P37" t="s">
        <v>4</v>
      </c>
      <c r="R37" s="344">
        <v>0.25</v>
      </c>
      <c r="S37">
        <v>-0.7</v>
      </c>
      <c r="T37" s="302">
        <f t="shared" si="1"/>
        <v>-0.17499999999999999</v>
      </c>
    </row>
    <row r="38" spans="1:20">
      <c r="A38" s="299">
        <v>284</v>
      </c>
      <c r="B38" s="339" t="s">
        <v>246</v>
      </c>
      <c r="C38" t="s">
        <v>84</v>
      </c>
      <c r="D38" t="s">
        <v>16</v>
      </c>
      <c r="E38" t="s">
        <v>6</v>
      </c>
      <c r="F38" t="s">
        <v>247</v>
      </c>
      <c r="H38" t="s">
        <v>251</v>
      </c>
      <c r="K38" t="s">
        <v>252</v>
      </c>
      <c r="P38" t="s">
        <v>4</v>
      </c>
      <c r="R38" s="344">
        <v>1</v>
      </c>
      <c r="S38">
        <v>0.3</v>
      </c>
      <c r="T38" s="302">
        <f t="shared" si="1"/>
        <v>0.3</v>
      </c>
    </row>
    <row r="39" spans="1:20">
      <c r="A39" s="299">
        <v>287</v>
      </c>
      <c r="B39" s="339" t="s">
        <v>246</v>
      </c>
      <c r="C39" t="s">
        <v>84</v>
      </c>
      <c r="D39" t="s">
        <v>2</v>
      </c>
      <c r="E39" t="s">
        <v>6</v>
      </c>
      <c r="F39" t="s">
        <v>253</v>
      </c>
      <c r="K39" t="s">
        <v>255</v>
      </c>
      <c r="P39" t="s">
        <v>4</v>
      </c>
      <c r="R39" s="344">
        <v>1</v>
      </c>
      <c r="S39">
        <v>0.5</v>
      </c>
      <c r="T39" s="302">
        <f t="shared" si="1"/>
        <v>0.5</v>
      </c>
    </row>
    <row r="40" spans="1:20">
      <c r="A40" s="300">
        <v>255</v>
      </c>
      <c r="B40" s="339"/>
      <c r="C40" t="s">
        <v>84</v>
      </c>
      <c r="D40" t="s">
        <v>199</v>
      </c>
      <c r="E40" t="s">
        <v>6</v>
      </c>
      <c r="F40" t="s">
        <v>256</v>
      </c>
      <c r="G40" t="s">
        <v>257</v>
      </c>
      <c r="H40" t="s">
        <v>258</v>
      </c>
      <c r="K40" t="s">
        <v>1130</v>
      </c>
      <c r="P40" t="s">
        <v>4</v>
      </c>
      <c r="R40" s="345">
        <v>0.5</v>
      </c>
      <c r="S40">
        <v>-0.1</v>
      </c>
      <c r="T40" s="302">
        <f t="shared" si="1"/>
        <v>-0.05</v>
      </c>
    </row>
    <row r="41" spans="1:20">
      <c r="A41" s="299" t="s">
        <v>514</v>
      </c>
      <c r="B41" s="339" t="s">
        <v>161</v>
      </c>
      <c r="C41" t="s">
        <v>84</v>
      </c>
      <c r="D41" t="s">
        <v>213</v>
      </c>
      <c r="E41" t="s">
        <v>3</v>
      </c>
      <c r="F41" t="s">
        <v>264</v>
      </c>
      <c r="G41" t="s">
        <v>228</v>
      </c>
      <c r="H41" t="s">
        <v>266</v>
      </c>
      <c r="K41" t="s">
        <v>515</v>
      </c>
      <c r="P41" t="s">
        <v>4</v>
      </c>
      <c r="R41" s="344">
        <v>1</v>
      </c>
      <c r="S41">
        <v>-0.19</v>
      </c>
      <c r="T41" s="302">
        <f t="shared" si="1"/>
        <v>-0.19</v>
      </c>
    </row>
    <row r="42" spans="1:20">
      <c r="A42" s="299">
        <v>294</v>
      </c>
      <c r="B42" s="339" t="s">
        <v>246</v>
      </c>
      <c r="C42" t="s">
        <v>84</v>
      </c>
      <c r="D42" t="s">
        <v>2</v>
      </c>
      <c r="E42" t="s">
        <v>6</v>
      </c>
      <c r="F42" t="s">
        <v>264</v>
      </c>
      <c r="H42" t="s">
        <v>266</v>
      </c>
      <c r="K42" t="s">
        <v>267</v>
      </c>
      <c r="P42" t="s">
        <v>4</v>
      </c>
      <c r="R42" s="344">
        <v>1</v>
      </c>
      <c r="S42">
        <v>-0.35</v>
      </c>
      <c r="T42" s="302">
        <f t="shared" si="1"/>
        <v>-0.35</v>
      </c>
    </row>
    <row r="43" spans="1:20">
      <c r="A43" s="299">
        <v>295</v>
      </c>
      <c r="B43" s="339" t="s">
        <v>246</v>
      </c>
      <c r="C43" t="s">
        <v>84</v>
      </c>
      <c r="D43" t="s">
        <v>2</v>
      </c>
      <c r="E43" t="s">
        <v>6</v>
      </c>
      <c r="F43" t="s">
        <v>1131</v>
      </c>
      <c r="H43" t="s">
        <v>1132</v>
      </c>
      <c r="K43" t="s">
        <v>1133</v>
      </c>
      <c r="P43" t="s">
        <v>4</v>
      </c>
      <c r="R43" s="344">
        <v>1</v>
      </c>
      <c r="S43">
        <v>0.5</v>
      </c>
      <c r="T43" s="302">
        <f t="shared" si="1"/>
        <v>0.5</v>
      </c>
    </row>
    <row r="44" spans="1:20">
      <c r="A44" s="299">
        <v>296</v>
      </c>
      <c r="B44" s="339" t="s">
        <v>246</v>
      </c>
      <c r="C44" t="s">
        <v>84</v>
      </c>
      <c r="D44" t="s">
        <v>2</v>
      </c>
      <c r="E44" t="s">
        <v>6</v>
      </c>
      <c r="F44" t="s">
        <v>268</v>
      </c>
      <c r="H44" t="s">
        <v>270</v>
      </c>
      <c r="K44" t="s">
        <v>271</v>
      </c>
      <c r="P44" t="s">
        <v>4</v>
      </c>
      <c r="R44" s="344">
        <v>1</v>
      </c>
      <c r="S44">
        <v>0.3</v>
      </c>
      <c r="T44" s="302">
        <f t="shared" si="1"/>
        <v>0.3</v>
      </c>
    </row>
    <row r="45" spans="1:20">
      <c r="A45" s="299">
        <v>298</v>
      </c>
      <c r="B45" s="339" t="s">
        <v>1134</v>
      </c>
      <c r="C45" t="s">
        <v>84</v>
      </c>
      <c r="D45" t="s">
        <v>2</v>
      </c>
      <c r="E45" t="s">
        <v>6</v>
      </c>
      <c r="F45" t="s">
        <v>242</v>
      </c>
      <c r="K45" t="s">
        <v>1135</v>
      </c>
      <c r="P45" t="s">
        <v>4</v>
      </c>
      <c r="R45" s="344">
        <v>0.5</v>
      </c>
      <c r="S45">
        <v>-2</v>
      </c>
      <c r="T45" s="302">
        <f t="shared" si="1"/>
        <v>-1</v>
      </c>
    </row>
    <row r="46" spans="1:20">
      <c r="A46" s="299">
        <v>268</v>
      </c>
      <c r="B46" s="339" t="s">
        <v>623</v>
      </c>
      <c r="C46" t="s">
        <v>84</v>
      </c>
      <c r="D46" t="s">
        <v>85</v>
      </c>
      <c r="E46" t="s">
        <v>3</v>
      </c>
      <c r="F46" t="s">
        <v>624</v>
      </c>
      <c r="G46" t="s">
        <v>228</v>
      </c>
      <c r="H46" t="s">
        <v>625</v>
      </c>
      <c r="K46" t="s">
        <v>626</v>
      </c>
      <c r="P46" t="s">
        <v>4</v>
      </c>
      <c r="R46" s="343">
        <v>1</v>
      </c>
      <c r="S46">
        <v>-0.2</v>
      </c>
      <c r="T46" s="302">
        <f t="shared" si="1"/>
        <v>-0.2</v>
      </c>
    </row>
    <row r="47" spans="1:20">
      <c r="A47" s="299">
        <v>270</v>
      </c>
      <c r="B47" s="339" t="s">
        <v>154</v>
      </c>
      <c r="C47" t="s">
        <v>84</v>
      </c>
      <c r="D47" t="s">
        <v>180</v>
      </c>
      <c r="E47" t="s">
        <v>3</v>
      </c>
      <c r="F47" t="s">
        <v>182</v>
      </c>
      <c r="H47" t="s">
        <v>184</v>
      </c>
      <c r="K47" t="s">
        <v>187</v>
      </c>
      <c r="P47" t="s">
        <v>4</v>
      </c>
      <c r="R47" s="343">
        <v>0.25</v>
      </c>
      <c r="S47">
        <v>1.482</v>
      </c>
      <c r="T47" s="302">
        <f t="shared" si="1"/>
        <v>0.3705</v>
      </c>
    </row>
    <row r="48" spans="1:20">
      <c r="A48" s="299">
        <v>271</v>
      </c>
      <c r="B48" s="339" t="s">
        <v>154</v>
      </c>
      <c r="C48" t="s">
        <v>84</v>
      </c>
      <c r="D48" t="s">
        <v>213</v>
      </c>
      <c r="E48" t="s">
        <v>3</v>
      </c>
      <c r="F48" t="s">
        <v>156</v>
      </c>
      <c r="G48" t="s">
        <v>157</v>
      </c>
      <c r="H48" t="s">
        <v>158</v>
      </c>
      <c r="K48" t="s">
        <v>160</v>
      </c>
      <c r="P48" t="s">
        <v>4</v>
      </c>
      <c r="R48" s="343">
        <v>1</v>
      </c>
      <c r="S48">
        <v>0.54</v>
      </c>
      <c r="T48" s="302">
        <f t="shared" si="1"/>
        <v>0.54</v>
      </c>
    </row>
    <row r="49" spans="1:20">
      <c r="A49" s="299">
        <v>272</v>
      </c>
      <c r="B49" s="339" t="s">
        <v>275</v>
      </c>
      <c r="C49" t="s">
        <v>84</v>
      </c>
      <c r="D49" t="s">
        <v>180</v>
      </c>
      <c r="E49" t="s">
        <v>3</v>
      </c>
      <c r="F49" t="s">
        <v>1136</v>
      </c>
      <c r="G49" t="s">
        <v>215</v>
      </c>
      <c r="H49" t="s">
        <v>1137</v>
      </c>
      <c r="K49" t="s">
        <v>1138</v>
      </c>
      <c r="P49" t="s">
        <v>4</v>
      </c>
      <c r="R49" s="343">
        <v>1</v>
      </c>
      <c r="S49">
        <v>1.37</v>
      </c>
      <c r="T49" s="302">
        <f t="shared" si="1"/>
        <v>1.37</v>
      </c>
    </row>
    <row r="50" spans="1:20">
      <c r="A50" s="299">
        <v>299</v>
      </c>
      <c r="B50" s="339" t="s">
        <v>1139</v>
      </c>
      <c r="C50" t="s">
        <v>84</v>
      </c>
      <c r="D50" t="s">
        <v>199</v>
      </c>
      <c r="E50" t="s">
        <v>6</v>
      </c>
      <c r="F50" t="s">
        <v>291</v>
      </c>
      <c r="H50" t="s">
        <v>292</v>
      </c>
      <c r="K50" t="s">
        <v>293</v>
      </c>
      <c r="P50" t="s">
        <v>4</v>
      </c>
      <c r="R50" s="343">
        <v>1</v>
      </c>
      <c r="S50">
        <v>0.2</v>
      </c>
      <c r="T50" s="302">
        <f t="shared" si="1"/>
        <v>0.2</v>
      </c>
    </row>
    <row r="51" spans="1:20">
      <c r="A51" s="299" t="s">
        <v>82</v>
      </c>
      <c r="B51" s="339" t="s">
        <v>83</v>
      </c>
      <c r="C51" t="s">
        <v>84</v>
      </c>
      <c r="D51" t="s">
        <v>85</v>
      </c>
      <c r="E51" t="s">
        <v>3</v>
      </c>
      <c r="F51" t="s">
        <v>87</v>
      </c>
      <c r="G51" t="s">
        <v>88</v>
      </c>
      <c r="H51" t="s">
        <v>89</v>
      </c>
      <c r="K51" t="s">
        <v>91</v>
      </c>
      <c r="P51" t="s">
        <v>4</v>
      </c>
      <c r="R51" s="343">
        <v>1</v>
      </c>
      <c r="S51">
        <v>2.2000000000000002</v>
      </c>
      <c r="T51" s="302">
        <f t="shared" si="1"/>
        <v>2.2000000000000002</v>
      </c>
    </row>
    <row r="52" spans="1:20">
      <c r="A52" s="299" t="s">
        <v>298</v>
      </c>
      <c r="B52" s="339" t="s">
        <v>299</v>
      </c>
      <c r="C52" t="s">
        <v>84</v>
      </c>
      <c r="D52" t="s">
        <v>213</v>
      </c>
      <c r="E52" t="s">
        <v>3</v>
      </c>
      <c r="F52" t="s">
        <v>300</v>
      </c>
      <c r="G52" t="s">
        <v>157</v>
      </c>
      <c r="H52" t="s">
        <v>301</v>
      </c>
      <c r="K52" t="s">
        <v>303</v>
      </c>
      <c r="P52" t="s">
        <v>4</v>
      </c>
      <c r="R52" s="343">
        <v>1</v>
      </c>
      <c r="S52">
        <v>0.4</v>
      </c>
      <c r="T52" s="302">
        <f t="shared" si="1"/>
        <v>0.4</v>
      </c>
    </row>
    <row r="53" spans="1:20">
      <c r="A53" s="299" t="s">
        <v>304</v>
      </c>
      <c r="B53" s="339" t="s">
        <v>1140</v>
      </c>
      <c r="C53" t="s">
        <v>84</v>
      </c>
      <c r="D53" t="s">
        <v>2</v>
      </c>
      <c r="E53" t="s">
        <v>6</v>
      </c>
      <c r="F53" t="s">
        <v>1141</v>
      </c>
      <c r="K53" t="s">
        <v>1142</v>
      </c>
      <c r="P53" t="s">
        <v>4</v>
      </c>
      <c r="R53" s="343">
        <v>0.25</v>
      </c>
      <c r="S53">
        <v>-3.4</v>
      </c>
      <c r="T53" s="302">
        <f t="shared" si="1"/>
        <v>-0.85</v>
      </c>
    </row>
    <row r="54" spans="1:20">
      <c r="A54" s="299">
        <v>304</v>
      </c>
      <c r="B54" s="339" t="s">
        <v>154</v>
      </c>
      <c r="C54" t="s">
        <v>84</v>
      </c>
      <c r="D54" t="s">
        <v>213</v>
      </c>
      <c r="E54" t="s">
        <v>3</v>
      </c>
      <c r="F54" t="s">
        <v>308</v>
      </c>
      <c r="G54" t="s">
        <v>215</v>
      </c>
      <c r="H54" t="s">
        <v>309</v>
      </c>
      <c r="K54" t="s">
        <v>1143</v>
      </c>
      <c r="P54" t="s">
        <v>4</v>
      </c>
      <c r="R54" s="343">
        <v>0.25</v>
      </c>
      <c r="S54">
        <v>0.34100000000000003</v>
      </c>
      <c r="T54" s="302">
        <f t="shared" si="1"/>
        <v>8.5250000000000006E-2</v>
      </c>
    </row>
    <row r="55" spans="1:20">
      <c r="A55" s="299">
        <v>305</v>
      </c>
      <c r="B55" s="339" t="s">
        <v>275</v>
      </c>
      <c r="C55" t="s">
        <v>84</v>
      </c>
      <c r="D55" t="s">
        <v>102</v>
      </c>
      <c r="E55" t="s">
        <v>3</v>
      </c>
      <c r="F55" t="s">
        <v>276</v>
      </c>
      <c r="G55" t="s">
        <v>215</v>
      </c>
      <c r="H55" t="s">
        <v>277</v>
      </c>
      <c r="K55" t="s">
        <v>279</v>
      </c>
      <c r="P55" t="s">
        <v>4</v>
      </c>
      <c r="R55" s="343">
        <v>0.25</v>
      </c>
      <c r="S55">
        <v>0.4</v>
      </c>
      <c r="T55" s="302">
        <f t="shared" si="1"/>
        <v>0.1</v>
      </c>
    </row>
    <row r="56" spans="1:20">
      <c r="A56" s="299">
        <v>306</v>
      </c>
      <c r="B56" s="339" t="s">
        <v>194</v>
      </c>
      <c r="C56" t="s">
        <v>84</v>
      </c>
      <c r="D56" t="s">
        <v>85</v>
      </c>
      <c r="E56" t="s">
        <v>3</v>
      </c>
      <c r="F56" t="s">
        <v>944</v>
      </c>
      <c r="H56" t="s">
        <v>946</v>
      </c>
      <c r="K56" t="s">
        <v>948</v>
      </c>
      <c r="P56" t="s">
        <v>4</v>
      </c>
      <c r="R56" s="343">
        <v>0.75</v>
      </c>
      <c r="S56">
        <v>-6</v>
      </c>
      <c r="T56" s="302">
        <f t="shared" si="1"/>
        <v>-4.5</v>
      </c>
    </row>
    <row r="57" spans="1:20">
      <c r="A57" s="299">
        <v>307</v>
      </c>
      <c r="B57" s="339" t="s">
        <v>1144</v>
      </c>
      <c r="C57" t="s">
        <v>84</v>
      </c>
      <c r="D57" t="s">
        <v>180</v>
      </c>
      <c r="E57" t="s">
        <v>3</v>
      </c>
      <c r="F57" t="s">
        <v>516</v>
      </c>
      <c r="H57" t="s">
        <v>518</v>
      </c>
      <c r="K57" t="s">
        <v>520</v>
      </c>
      <c r="P57" t="s">
        <v>4</v>
      </c>
      <c r="R57" s="343">
        <v>0.25</v>
      </c>
      <c r="S57">
        <v>-0.4</v>
      </c>
      <c r="T57" s="302">
        <f t="shared" si="1"/>
        <v>-0.1</v>
      </c>
    </row>
    <row r="58" spans="1:20">
      <c r="A58" s="299">
        <v>308</v>
      </c>
      <c r="B58" s="339" t="s">
        <v>161</v>
      </c>
      <c r="C58" t="s">
        <v>84</v>
      </c>
      <c r="D58" t="s">
        <v>180</v>
      </c>
      <c r="E58" t="s">
        <v>3</v>
      </c>
      <c r="F58" t="s">
        <v>372</v>
      </c>
      <c r="H58" t="s">
        <v>374</v>
      </c>
      <c r="K58" t="s">
        <v>1145</v>
      </c>
      <c r="P58" t="s">
        <v>4</v>
      </c>
      <c r="R58" s="343">
        <v>0.25</v>
      </c>
      <c r="S58">
        <v>-0.15</v>
      </c>
      <c r="T58" s="302">
        <f t="shared" si="1"/>
        <v>-3.7499999999999999E-2</v>
      </c>
    </row>
    <row r="59" spans="1:20">
      <c r="A59" s="299">
        <v>309</v>
      </c>
      <c r="B59" s="339" t="s">
        <v>331</v>
      </c>
      <c r="C59" t="s">
        <v>84</v>
      </c>
      <c r="D59" t="s">
        <v>180</v>
      </c>
      <c r="E59" t="s">
        <v>3</v>
      </c>
      <c r="F59" t="s">
        <v>333</v>
      </c>
      <c r="H59" t="s">
        <v>335</v>
      </c>
      <c r="K59" t="s">
        <v>1146</v>
      </c>
      <c r="P59" t="s">
        <v>4</v>
      </c>
      <c r="R59" s="343">
        <v>0.25</v>
      </c>
      <c r="S59">
        <v>-1.1000000000000001</v>
      </c>
      <c r="T59" s="302">
        <f t="shared" si="1"/>
        <v>-0.27500000000000002</v>
      </c>
    </row>
    <row r="60" spans="1:20">
      <c r="A60" s="299">
        <v>311</v>
      </c>
      <c r="B60" s="339" t="s">
        <v>194</v>
      </c>
      <c r="C60" t="s">
        <v>84</v>
      </c>
      <c r="D60" t="s">
        <v>213</v>
      </c>
      <c r="E60" t="s">
        <v>3</v>
      </c>
      <c r="F60" t="s">
        <v>645</v>
      </c>
      <c r="H60" t="s">
        <v>647</v>
      </c>
      <c r="K60" t="s">
        <v>649</v>
      </c>
      <c r="P60" t="s">
        <v>4</v>
      </c>
      <c r="R60" s="343">
        <v>0.5</v>
      </c>
      <c r="S60">
        <v>-0.4</v>
      </c>
      <c r="T60" s="302">
        <f t="shared" si="1"/>
        <v>-0.2</v>
      </c>
    </row>
    <row r="61" spans="1:20">
      <c r="A61" s="299">
        <v>312</v>
      </c>
      <c r="B61" s="339" t="s">
        <v>194</v>
      </c>
      <c r="C61" t="s">
        <v>84</v>
      </c>
      <c r="D61" t="s">
        <v>687</v>
      </c>
      <c r="E61" t="s">
        <v>3</v>
      </c>
      <c r="F61" t="s">
        <v>657</v>
      </c>
      <c r="H61" t="s">
        <v>659</v>
      </c>
      <c r="K61" t="s">
        <v>661</v>
      </c>
      <c r="P61" t="s">
        <v>4</v>
      </c>
      <c r="R61" s="343">
        <v>0.25</v>
      </c>
      <c r="S61">
        <v>-0.8</v>
      </c>
      <c r="T61" s="302">
        <f t="shared" si="1"/>
        <v>-0.2</v>
      </c>
    </row>
    <row r="62" spans="1:20">
      <c r="A62" s="299">
        <v>313</v>
      </c>
      <c r="B62" s="339" t="s">
        <v>194</v>
      </c>
      <c r="C62" t="s">
        <v>84</v>
      </c>
      <c r="D62" t="s">
        <v>144</v>
      </c>
      <c r="E62" t="s">
        <v>3</v>
      </c>
      <c r="F62" t="s">
        <v>663</v>
      </c>
      <c r="H62" t="s">
        <v>665</v>
      </c>
      <c r="K62" t="s">
        <v>666</v>
      </c>
      <c r="P62" t="s">
        <v>4</v>
      </c>
      <c r="R62" s="343">
        <v>0.25</v>
      </c>
      <c r="S62">
        <v>-1</v>
      </c>
      <c r="T62" s="302">
        <f t="shared" si="1"/>
        <v>-0.25</v>
      </c>
    </row>
    <row r="63" spans="1:20">
      <c r="A63" s="299" t="s">
        <v>352</v>
      </c>
      <c r="B63" s="339" t="s">
        <v>331</v>
      </c>
      <c r="C63" t="s">
        <v>84</v>
      </c>
      <c r="D63" t="s">
        <v>180</v>
      </c>
      <c r="E63" t="s">
        <v>3</v>
      </c>
      <c r="F63" t="s">
        <v>353</v>
      </c>
      <c r="H63" t="s">
        <v>1147</v>
      </c>
      <c r="K63" t="s">
        <v>354</v>
      </c>
      <c r="P63" t="s">
        <v>4</v>
      </c>
      <c r="R63" s="343">
        <v>0.25</v>
      </c>
      <c r="S63">
        <v>-2.57</v>
      </c>
      <c r="T63" s="302">
        <f t="shared" si="1"/>
        <v>-0.64249999999999996</v>
      </c>
    </row>
    <row r="64" spans="1:20">
      <c r="A64" s="299" t="s">
        <v>356</v>
      </c>
      <c r="B64" s="339" t="s">
        <v>331</v>
      </c>
      <c r="C64" t="s">
        <v>84</v>
      </c>
      <c r="D64" t="s">
        <v>180</v>
      </c>
      <c r="E64" t="s">
        <v>3</v>
      </c>
      <c r="F64" t="s">
        <v>357</v>
      </c>
      <c r="H64" t="s">
        <v>358</v>
      </c>
      <c r="K64" t="s">
        <v>359</v>
      </c>
      <c r="P64" t="s">
        <v>4</v>
      </c>
      <c r="R64" s="343">
        <v>0.25</v>
      </c>
      <c r="S64">
        <v>-0.7</v>
      </c>
      <c r="T64" s="302">
        <f t="shared" si="1"/>
        <v>-0.17499999999999999</v>
      </c>
    </row>
    <row r="65" spans="1:20">
      <c r="A65" s="299">
        <v>322</v>
      </c>
      <c r="B65" s="339">
        <v>45813</v>
      </c>
      <c r="C65" t="s">
        <v>84</v>
      </c>
      <c r="D65" t="s">
        <v>102</v>
      </c>
      <c r="E65" t="s">
        <v>3</v>
      </c>
      <c r="F65" t="s">
        <v>104</v>
      </c>
      <c r="H65" t="s">
        <v>106</v>
      </c>
      <c r="K65" t="s">
        <v>108</v>
      </c>
      <c r="P65" t="s">
        <v>4</v>
      </c>
      <c r="R65" s="343">
        <v>0.25</v>
      </c>
      <c r="S65">
        <v>0.68700000000000006</v>
      </c>
      <c r="T65" s="302">
        <f t="shared" si="1"/>
        <v>0.17175000000000001</v>
      </c>
    </row>
    <row r="66" spans="1:20">
      <c r="A66" s="299">
        <v>323</v>
      </c>
      <c r="B66" s="339" t="s">
        <v>161</v>
      </c>
      <c r="C66" t="s">
        <v>84</v>
      </c>
      <c r="D66" t="s">
        <v>85</v>
      </c>
      <c r="E66" t="s">
        <v>3</v>
      </c>
      <c r="F66" t="s">
        <v>162</v>
      </c>
      <c r="H66" t="s">
        <v>164</v>
      </c>
      <c r="K66" t="s">
        <v>166</v>
      </c>
      <c r="P66" t="s">
        <v>4</v>
      </c>
      <c r="R66" s="343">
        <v>0.25</v>
      </c>
      <c r="S66">
        <v>2</v>
      </c>
      <c r="T66" s="302">
        <f t="shared" si="1"/>
        <v>0.5</v>
      </c>
    </row>
    <row r="67" spans="1:20">
      <c r="A67" s="299">
        <v>324</v>
      </c>
      <c r="B67" s="339" t="s">
        <v>676</v>
      </c>
      <c r="C67" t="s">
        <v>84</v>
      </c>
      <c r="D67" t="s">
        <v>677</v>
      </c>
      <c r="E67" t="s">
        <v>3</v>
      </c>
      <c r="F67" t="s">
        <v>679</v>
      </c>
      <c r="H67" t="s">
        <v>680</v>
      </c>
      <c r="K67" t="s">
        <v>1148</v>
      </c>
      <c r="P67" t="s">
        <v>4</v>
      </c>
      <c r="R67" s="343">
        <v>0.25</v>
      </c>
      <c r="S67">
        <v>-3.5</v>
      </c>
      <c r="T67" s="302">
        <f t="shared" si="1"/>
        <v>-0.875</v>
      </c>
    </row>
  </sheetData>
  <conditionalFormatting sqref="S2">
    <cfRule type="cellIs" dxfId="32" priority="4" operator="lessThan">
      <formula>0</formula>
    </cfRule>
    <cfRule type="cellIs" dxfId="31" priority="5" operator="greaterThan">
      <formula>0</formula>
    </cfRule>
    <cfRule type="colorScale" priority="6">
      <colorScale>
        <cfvo type="min"/>
        <cfvo type="percentile" val="50"/>
        <cfvo type="max"/>
        <color rgb="FF63BE7B"/>
        <color rgb="FFFCFCFF"/>
        <color rgb="FFF8696B"/>
      </colorScale>
    </cfRule>
  </conditionalFormatting>
  <conditionalFormatting sqref="T5:T67">
    <cfRule type="cellIs" dxfId="30" priority="1" operator="lessThan">
      <formula>0</formula>
    </cfRule>
    <cfRule type="cellIs" dxfId="29" priority="2" operator="greaterThan">
      <formula>0</formula>
    </cfRule>
    <cfRule type="colorScale" priority="3">
      <colorScale>
        <cfvo type="min"/>
        <cfvo type="percentile" val="50"/>
        <cfvo type="max"/>
        <color rgb="FF63BE7B"/>
        <color rgb="FFFCFCFF"/>
        <color rgb="FFF8696B"/>
      </colorScale>
    </cfRule>
  </conditionalFormatting>
  <dataValidations count="3">
    <dataValidation type="list" allowBlank="1" showInputMessage="1" showErrorMessage="1" sqref="P2" xr:uid="{AC77A3C7-5839-4CF7-8EA3-BCD1F85BBB57}">
      <formula1>$P$1:$P$4</formula1>
    </dataValidation>
    <dataValidation type="list" allowBlank="1" showInputMessage="1" showErrorMessage="1" sqref="E2" xr:uid="{26B90A38-4DF7-4435-AB33-EA0F68A3E3F5}">
      <formula1>$E$1:$E$3</formula1>
    </dataValidation>
    <dataValidation type="list" allowBlank="1" showInputMessage="1" showErrorMessage="1" sqref="U2:AL2" xr:uid="{2349EC96-1D21-469E-A3A6-CA3A28A8D776}">
      <formula1>"0,1"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0181-107B-490E-ACDC-BCBFDA2CFE15}">
  <sheetPr>
    <tabColor rgb="FF00B0F0"/>
  </sheetPr>
  <dimension ref="A1:BM801"/>
  <sheetViews>
    <sheetView zoomScale="94" zoomScaleNormal="85" workbookViewId="0">
      <pane ySplit="4" topLeftCell="A104" activePane="bottomLeft" state="frozen"/>
      <selection pane="bottomLeft" activeCell="B10" sqref="B10"/>
    </sheetView>
  </sheetViews>
  <sheetFormatPr defaultColWidth="11.42578125" defaultRowHeight="15" customHeight="1" outlineLevelRow="1" outlineLevelCol="1"/>
  <cols>
    <col min="1" max="1" width="11.42578125" style="357"/>
    <col min="2" max="2" width="15.28515625" style="198" customWidth="1"/>
    <col min="3" max="3" width="8" style="391" customWidth="1"/>
    <col min="4" max="4" width="6.7109375" style="357" customWidth="1" outlineLevel="1"/>
    <col min="5" max="5" width="13.7109375" style="357" customWidth="1" outlineLevel="1"/>
    <col min="6" max="6" width="14.5703125" style="357" customWidth="1" outlineLevel="1"/>
    <col min="7" max="7" width="10" style="357" customWidth="1" outlineLevel="1"/>
    <col min="8" max="8" width="28.28515625" style="357" customWidth="1" outlineLevel="1"/>
    <col min="9" max="9" width="14.28515625" style="357" customWidth="1" outlineLevel="1"/>
    <col min="10" max="10" width="16.42578125" style="357" bestFit="1" customWidth="1"/>
    <col min="11" max="11" width="41.42578125" style="357" customWidth="1"/>
    <col min="12" max="14" width="8.5703125" style="357" customWidth="1"/>
    <col min="15" max="15" width="5.28515625" style="392" customWidth="1"/>
    <col min="16" max="16" width="5.28515625" style="406" customWidth="1"/>
    <col min="17" max="19" width="5.28515625" style="357" customWidth="1"/>
    <col min="20" max="20" width="30.28515625" style="357" bestFit="1" customWidth="1"/>
    <col min="21" max="22" width="13.5703125" style="357" customWidth="1"/>
    <col min="23" max="30" width="5.28515625" style="357" customWidth="1" outlineLevel="1"/>
    <col min="31" max="31" width="24.7109375" style="357" customWidth="1"/>
    <col min="32" max="32" width="10.140625" style="357" customWidth="1"/>
    <col min="33" max="33" width="9" style="357" bestFit="1" customWidth="1"/>
    <col min="34" max="34" width="9.28515625" style="357" customWidth="1"/>
    <col min="35" max="35" width="7.28515625" style="357" customWidth="1"/>
    <col min="36" max="36" width="5.42578125" style="357" customWidth="1" outlineLevel="1"/>
    <col min="37" max="37" width="7.5703125" style="357" customWidth="1" outlineLevel="1"/>
    <col min="38" max="38" width="6.7109375" style="357" customWidth="1" outlineLevel="1"/>
    <col min="39" max="43" width="5.42578125" style="357" customWidth="1" outlineLevel="1"/>
    <col min="44" max="44" width="5.7109375" style="357" customWidth="1" outlineLevel="1"/>
    <col min="45" max="45" width="6.42578125" style="357" customWidth="1" outlineLevel="1"/>
    <col min="46" max="46" width="5.42578125" style="357" customWidth="1" outlineLevel="1"/>
    <col min="47" max="47" width="7.5703125" style="357" customWidth="1" outlineLevel="1"/>
    <col min="48" max="48" width="6.7109375" style="357" customWidth="1" outlineLevel="1"/>
    <col min="49" max="53" width="5.42578125" style="357" customWidth="1" outlineLevel="1"/>
    <col min="54" max="54" width="5.7109375" style="357" customWidth="1" outlineLevel="1"/>
    <col min="55" max="55" width="6.42578125" style="357" customWidth="1" outlineLevel="1"/>
    <col min="56" max="56" width="5.42578125" style="357" customWidth="1" outlineLevel="1"/>
    <col min="57" max="57" width="7.5703125" style="357" customWidth="1" outlineLevel="1"/>
    <col min="58" max="58" width="6.7109375" style="357" customWidth="1" outlineLevel="1"/>
    <col min="59" max="63" width="5.42578125" style="357" customWidth="1" outlineLevel="1"/>
    <col min="64" max="64" width="2" style="355" customWidth="1" outlineLevel="1"/>
    <col min="65" max="65" width="117.5703125" style="357" customWidth="1"/>
    <col min="66" max="16384" width="11.42578125" style="357"/>
  </cols>
  <sheetData>
    <row r="1" spans="1:65" outlineLevel="1" thickBot="1">
      <c r="A1" s="567" t="s">
        <v>1149</v>
      </c>
      <c r="B1" s="567"/>
      <c r="C1" s="567"/>
      <c r="D1" s="567"/>
      <c r="E1" s="567"/>
      <c r="F1" s="567"/>
      <c r="G1" s="567"/>
      <c r="H1" s="567"/>
      <c r="I1" s="567"/>
      <c r="J1" s="567"/>
      <c r="K1" s="567"/>
      <c r="L1" s="567"/>
      <c r="M1" s="567"/>
      <c r="N1" s="567"/>
      <c r="O1" s="567"/>
      <c r="P1" s="568"/>
      <c r="Q1" s="567"/>
      <c r="R1" s="567"/>
      <c r="S1" s="567"/>
      <c r="T1" s="567"/>
      <c r="U1" s="567"/>
      <c r="V1" s="567"/>
      <c r="W1" s="567"/>
      <c r="X1" s="567"/>
      <c r="Y1" s="567"/>
      <c r="Z1" s="567"/>
      <c r="AA1" s="567"/>
      <c r="AB1" s="567"/>
      <c r="AC1" s="567"/>
      <c r="AD1" s="567"/>
      <c r="AE1" s="567"/>
      <c r="AF1" s="567"/>
      <c r="AG1" s="567"/>
      <c r="AH1" s="567"/>
      <c r="AI1" s="567"/>
      <c r="AJ1" s="567"/>
      <c r="AK1" s="567"/>
      <c r="AL1" s="567"/>
      <c r="AM1" s="567"/>
      <c r="AN1" s="567"/>
      <c r="AO1" s="567"/>
      <c r="AP1" s="567"/>
      <c r="AQ1" s="567"/>
      <c r="AR1" s="567"/>
      <c r="AS1" s="567"/>
      <c r="AT1" s="354"/>
      <c r="AU1" s="354"/>
      <c r="AV1" s="354"/>
      <c r="AW1" s="354"/>
      <c r="AX1" s="354"/>
      <c r="AY1" s="354"/>
      <c r="AZ1" s="354"/>
      <c r="BA1" s="354"/>
      <c r="BB1" s="354"/>
      <c r="BC1" s="354"/>
      <c r="BD1" s="354"/>
      <c r="BE1" s="354"/>
      <c r="BF1" s="354"/>
      <c r="BG1" s="354"/>
      <c r="BH1" s="354"/>
      <c r="BI1" s="354"/>
      <c r="BJ1" s="354"/>
      <c r="BK1" s="354"/>
      <c r="BM1" s="356" t="s">
        <v>1150</v>
      </c>
    </row>
    <row r="2" spans="1:65" ht="18" customHeight="1" thickBot="1">
      <c r="A2" s="358"/>
      <c r="B2" s="1"/>
      <c r="C2" s="359"/>
      <c r="D2" s="358"/>
      <c r="E2" s="358"/>
      <c r="F2" s="358"/>
      <c r="G2" s="358"/>
      <c r="H2" s="358"/>
      <c r="I2" s="358"/>
      <c r="J2" s="358"/>
      <c r="K2" s="358"/>
      <c r="L2" s="358"/>
      <c r="M2" s="358"/>
      <c r="N2" s="358"/>
      <c r="O2" s="360"/>
      <c r="P2" s="405"/>
      <c r="Q2" s="358"/>
      <c r="R2" s="358"/>
      <c r="S2" s="358"/>
      <c r="T2" s="358"/>
      <c r="U2" s="358"/>
      <c r="V2" s="358"/>
      <c r="W2" s="358"/>
      <c r="X2" s="358"/>
      <c r="Y2" s="358"/>
      <c r="Z2" s="358"/>
      <c r="AA2" s="358"/>
      <c r="AB2" s="358"/>
      <c r="AC2" s="358"/>
      <c r="AD2" s="358"/>
      <c r="AE2" s="358"/>
      <c r="AF2" s="358"/>
      <c r="AG2" s="358"/>
      <c r="AH2" s="358"/>
      <c r="AI2" s="358"/>
      <c r="AJ2" s="563" t="s">
        <v>1151</v>
      </c>
      <c r="AK2" s="564"/>
      <c r="AL2" s="564"/>
      <c r="AM2" s="564"/>
      <c r="AN2" s="564"/>
      <c r="AO2" s="564"/>
      <c r="AP2" s="564"/>
      <c r="AQ2" s="564"/>
      <c r="AR2" s="564"/>
      <c r="AS2" s="564"/>
      <c r="AT2" s="564"/>
      <c r="AU2" s="564"/>
      <c r="AV2" s="564"/>
      <c r="AW2" s="564"/>
      <c r="AX2" s="564"/>
      <c r="AY2" s="564"/>
      <c r="AZ2" s="564"/>
      <c r="BA2" s="564"/>
      <c r="BB2" s="564"/>
      <c r="BC2" s="564"/>
      <c r="BD2" s="564"/>
      <c r="BE2" s="564"/>
      <c r="BF2" s="564"/>
      <c r="BG2" s="564"/>
      <c r="BH2" s="564"/>
      <c r="BI2" s="564"/>
      <c r="BJ2" s="564"/>
      <c r="BK2" s="564"/>
      <c r="BL2" s="361"/>
    </row>
    <row r="3" spans="1:65" ht="33" customHeight="1" thickBot="1">
      <c r="A3" s="362" t="s">
        <v>1152</v>
      </c>
      <c r="B3" s="569" t="s">
        <v>1153</v>
      </c>
      <c r="C3" s="569"/>
      <c r="D3" s="569"/>
      <c r="E3" s="569"/>
      <c r="F3" s="569"/>
      <c r="G3" s="569"/>
      <c r="H3" s="569"/>
      <c r="I3" s="569"/>
      <c r="J3" s="569"/>
      <c r="K3" s="569"/>
      <c r="L3" s="570" t="s">
        <v>1154</v>
      </c>
      <c r="M3" s="570"/>
      <c r="N3" s="570"/>
      <c r="O3" s="571" t="s">
        <v>1155</v>
      </c>
      <c r="P3" s="572"/>
      <c r="Q3" s="571"/>
      <c r="R3" s="571"/>
      <c r="S3" s="571"/>
      <c r="T3" s="573" t="s">
        <v>1156</v>
      </c>
      <c r="U3" s="573"/>
      <c r="V3" s="573"/>
      <c r="W3" s="573"/>
      <c r="X3" s="573"/>
      <c r="Y3" s="573"/>
      <c r="Z3" s="573"/>
      <c r="AA3" s="573"/>
      <c r="AB3" s="573"/>
      <c r="AC3" s="573"/>
      <c r="AD3" s="573"/>
      <c r="AE3" s="573"/>
      <c r="AF3" s="574" t="s">
        <v>1157</v>
      </c>
      <c r="AG3" s="575"/>
      <c r="AH3" s="575"/>
      <c r="AI3" s="576"/>
      <c r="AJ3" s="565" t="s">
        <v>1158</v>
      </c>
      <c r="AK3" s="566"/>
      <c r="AL3" s="566"/>
      <c r="AM3" s="566"/>
      <c r="AN3" s="566"/>
      <c r="AO3" s="566"/>
      <c r="AP3" s="566"/>
      <c r="AQ3" s="566"/>
      <c r="AR3" s="566"/>
      <c r="AS3" s="566"/>
      <c r="AT3" s="566"/>
      <c r="AU3" s="566"/>
      <c r="AV3" s="566"/>
      <c r="AW3" s="566"/>
      <c r="AX3" s="566"/>
      <c r="AY3" s="566"/>
      <c r="AZ3" s="566"/>
      <c r="BA3" s="566"/>
      <c r="BB3" s="566"/>
      <c r="BC3" s="566"/>
      <c r="BD3" s="566"/>
      <c r="BE3" s="566"/>
      <c r="BF3" s="566"/>
      <c r="BG3" s="566"/>
      <c r="BH3" s="566"/>
      <c r="BI3" s="566"/>
      <c r="BJ3" s="566"/>
      <c r="BK3" s="566"/>
      <c r="BL3" s="361"/>
    </row>
    <row r="4" spans="1:65" ht="100.5" customHeight="1" thickBot="1">
      <c r="A4" s="363" t="s">
        <v>1159</v>
      </c>
      <c r="B4" s="364" t="s">
        <v>1160</v>
      </c>
      <c r="C4" s="365" t="s">
        <v>1161</v>
      </c>
      <c r="D4" s="366" t="s">
        <v>1162</v>
      </c>
      <c r="E4" s="364" t="s">
        <v>1163</v>
      </c>
      <c r="F4" s="364" t="s">
        <v>1164</v>
      </c>
      <c r="G4" s="367" t="s">
        <v>1165</v>
      </c>
      <c r="H4" s="364" t="s">
        <v>1166</v>
      </c>
      <c r="I4" s="364" t="s">
        <v>1167</v>
      </c>
      <c r="J4" s="364" t="s">
        <v>1168</v>
      </c>
      <c r="K4" s="368" t="s">
        <v>1169</v>
      </c>
      <c r="L4" s="369" t="s">
        <v>1154</v>
      </c>
      <c r="M4" s="370" t="s">
        <v>1170</v>
      </c>
      <c r="N4" s="370" t="s">
        <v>1171</v>
      </c>
      <c r="O4" s="371" t="s">
        <v>1172</v>
      </c>
      <c r="P4" s="372" t="s">
        <v>1173</v>
      </c>
      <c r="Q4" s="372" t="s">
        <v>1174</v>
      </c>
      <c r="R4" s="372" t="s">
        <v>1175</v>
      </c>
      <c r="S4" s="373" t="s">
        <v>1176</v>
      </c>
      <c r="T4" s="374" t="s">
        <v>1177</v>
      </c>
      <c r="U4" s="375" t="s">
        <v>1178</v>
      </c>
      <c r="V4" s="374" t="s">
        <v>1179</v>
      </c>
      <c r="W4" s="376" t="s">
        <v>1180</v>
      </c>
      <c r="X4" s="376" t="s">
        <v>1181</v>
      </c>
      <c r="Y4" s="376" t="s">
        <v>1182</v>
      </c>
      <c r="Z4" s="377" t="s">
        <v>1183</v>
      </c>
      <c r="AA4" s="376" t="s">
        <v>1184</v>
      </c>
      <c r="AB4" s="376" t="s">
        <v>1157</v>
      </c>
      <c r="AC4" s="376" t="s">
        <v>1185</v>
      </c>
      <c r="AD4" s="376" t="s">
        <v>1186</v>
      </c>
      <c r="AE4" s="407" t="s">
        <v>1187</v>
      </c>
      <c r="AF4" s="378" t="s">
        <v>1188</v>
      </c>
      <c r="AG4" s="379" t="s">
        <v>1189</v>
      </c>
      <c r="AH4" s="379" t="s">
        <v>1190</v>
      </c>
      <c r="AI4" s="379" t="s">
        <v>1191</v>
      </c>
      <c r="AJ4" s="380" t="str">
        <f>'Portefeuille SP2'!V14</f>
        <v>O3H HR 63 FWD€</v>
      </c>
      <c r="AK4" s="380" t="str">
        <f>'Portefeuille SP2'!W14</f>
        <v>O3H XR 80 FWD€</v>
      </c>
      <c r="AL4" s="380" t="str">
        <f>'Portefeuille SP2'!X14</f>
        <v>O3H XR 80 AWD perfo €</v>
      </c>
      <c r="AM4" s="380" t="str">
        <f>'Portefeuille SP2'!Y14</f>
        <v>O3H MHEV FWD€</v>
      </c>
      <c r="AN4" s="380" t="str">
        <f>'Portefeuille SP2'!Z14</f>
        <v>O3H HEV FWD€</v>
      </c>
      <c r="AO4" s="380" t="str">
        <f>'Portefeuille SP2'!AA14</f>
        <v>O3W 63 kWhu LFP FWD€</v>
      </c>
      <c r="AP4" s="380" t="str">
        <f>'Portefeuille SP2'!AB14</f>
        <v>O3W 80 kWhu NMx FWD€</v>
      </c>
      <c r="AQ4" s="380" t="str">
        <f>'Portefeuille SP2'!AC14</f>
        <v>O3W MHEV FWD€</v>
      </c>
      <c r="AR4" s="380" t="str">
        <f>'Portefeuille SP2'!AD14</f>
        <v>O3W HEV FWD€</v>
      </c>
      <c r="AS4" s="380" t="str">
        <f>'Portefeuille SP2'!AE14</f>
        <v>P3S HR 63 FWD€</v>
      </c>
      <c r="AT4" s="380" t="str">
        <f>'Portefeuille SP2'!AF14</f>
        <v>P3S XR 80 FWD€</v>
      </c>
      <c r="AU4" s="380" t="str">
        <f>'Portefeuille SP2'!AG14</f>
        <v>P3S XR 80 AWD perfo €</v>
      </c>
      <c r="AV4" s="380" t="str">
        <f>'Portefeuille SP2'!AH14</f>
        <v>P3S MHEV FWD€</v>
      </c>
      <c r="AW4" s="380" t="str">
        <f>'Portefeuille SP2'!AI14</f>
        <v>P3S HEV FWD€</v>
      </c>
      <c r="AX4" s="380" t="str">
        <f>'Portefeuille SP2'!AJ14</f>
        <v>P3W 63 kWhu LFP FWD€</v>
      </c>
      <c r="AY4" s="380" t="str">
        <f>'Portefeuille SP2'!AK14</f>
        <v>P3W 80 kWhu NMx FWD€</v>
      </c>
      <c r="AZ4" s="380" t="str">
        <f>'Portefeuille SP2'!AL14</f>
        <v>P3W MHEV FWD€</v>
      </c>
      <c r="BA4" s="380" t="str">
        <f>'Portefeuille SP2'!AM14</f>
        <v>P3W HEV FWD€</v>
      </c>
      <c r="BB4" s="380" t="str">
        <f>'Portefeuille SP2'!AN14</f>
        <v>P3U HR 63 FWD€</v>
      </c>
      <c r="BC4" s="380" t="str">
        <f>'Portefeuille SP2'!AO14</f>
        <v>P3U  XR 80 FWD€</v>
      </c>
      <c r="BD4" s="380" t="str">
        <f>'Portefeuille SP2'!AP14</f>
        <v>P3U XR 80 AWD perfo €</v>
      </c>
      <c r="BE4" s="380" t="str">
        <f>'Portefeuille SP2'!AQ14</f>
        <v>P3U MHEV FWD€</v>
      </c>
      <c r="BF4" s="380" t="str">
        <f>'Portefeuille SP2'!AR14</f>
        <v>P3U HEV FWD€</v>
      </c>
      <c r="BG4" s="380" t="e">
        <f>'Portefeuille SP2'!#REF!</f>
        <v>#REF!</v>
      </c>
      <c r="BH4" s="380" t="e">
        <f>'Portefeuille SP2'!#REF!</f>
        <v>#REF!</v>
      </c>
      <c r="BI4" s="380" t="e">
        <f>'Portefeuille SP2'!#REF!</f>
        <v>#REF!</v>
      </c>
      <c r="BJ4" s="380" t="e">
        <f>'Portefeuille SP2'!#REF!</f>
        <v>#REF!</v>
      </c>
      <c r="BK4" s="380" t="e">
        <f>'Portefeuille SP2'!#REF!</f>
        <v>#REF!</v>
      </c>
      <c r="BL4" s="381"/>
      <c r="BM4" s="382"/>
    </row>
    <row r="5" spans="1:65" s="424" customFormat="1" ht="21.6" thickBot="1">
      <c r="A5" s="409">
        <v>43918</v>
      </c>
      <c r="B5" s="410" t="s">
        <v>1192</v>
      </c>
      <c r="C5" s="411" t="s">
        <v>1193</v>
      </c>
      <c r="D5" s="412" t="s">
        <v>3</v>
      </c>
      <c r="E5" s="412" t="s">
        <v>1194</v>
      </c>
      <c r="F5" s="412" t="s">
        <v>1195</v>
      </c>
      <c r="G5" s="412" t="s">
        <v>1196</v>
      </c>
      <c r="H5" s="412" t="s">
        <v>1197</v>
      </c>
      <c r="I5" s="412" t="s">
        <v>1197</v>
      </c>
      <c r="J5" s="412" t="s">
        <v>1198</v>
      </c>
      <c r="K5" s="413" t="s">
        <v>1199</v>
      </c>
      <c r="L5" s="414">
        <v>-3.4</v>
      </c>
      <c r="M5" s="414">
        <v>24</v>
      </c>
      <c r="N5" s="414" t="s">
        <v>1200</v>
      </c>
      <c r="O5" s="414" t="s">
        <v>1201</v>
      </c>
      <c r="P5" s="415"/>
      <c r="Q5" s="415"/>
      <c r="R5" s="415"/>
      <c r="S5" s="416"/>
      <c r="T5" s="417" t="s">
        <v>1202</v>
      </c>
      <c r="U5" s="412" t="s">
        <v>1203</v>
      </c>
      <c r="V5" s="418" t="s">
        <v>1204</v>
      </c>
      <c r="W5" s="419" t="s">
        <v>1205</v>
      </c>
      <c r="X5" s="419" t="s">
        <v>1205</v>
      </c>
      <c r="Y5" s="419" t="s">
        <v>1206</v>
      </c>
      <c r="Z5" s="419" t="s">
        <v>1205</v>
      </c>
      <c r="AA5" s="419" t="s">
        <v>1206</v>
      </c>
      <c r="AB5" s="419" t="s">
        <v>1206</v>
      </c>
      <c r="AC5" s="420" t="str">
        <f>IF(COUNTIF(W5,"OK")&gt;0,"OK",(IF(COUNTIF(W5:AB5,"K")&gt;0,"KO",(IF(COUNTIF(W5:AB5,"R")&gt;0,"R",(IF(COUNTIF(W5:AB5,"G")&gt;0,"G",(IF(COUNTIF(W5:AB5,"V")&gt;0,"V","-")))))))))</f>
        <v>G</v>
      </c>
      <c r="AD5" s="420"/>
      <c r="AE5" s="412"/>
      <c r="AF5" s="421">
        <v>45483</v>
      </c>
      <c r="AG5" s="409">
        <v>45514</v>
      </c>
      <c r="AH5" s="422">
        <f ca="1">IFERROR(DAYS360(TODAY(),AG5),"TBD")</f>
        <v>-626</v>
      </c>
      <c r="AI5" s="422" t="s">
        <v>426</v>
      </c>
      <c r="AJ5" s="412"/>
      <c r="AK5" s="412"/>
      <c r="AL5" s="423">
        <v>1</v>
      </c>
      <c r="AM5" s="412"/>
      <c r="AN5" s="412"/>
      <c r="AO5" s="412"/>
      <c r="AP5" s="412"/>
      <c r="AQ5" s="412"/>
      <c r="AR5" s="412"/>
      <c r="AS5" s="412"/>
      <c r="AT5" s="412"/>
      <c r="AU5" s="412"/>
      <c r="AV5" s="423">
        <v>1</v>
      </c>
      <c r="AW5" s="412"/>
      <c r="AX5" s="412"/>
      <c r="AY5" s="412"/>
      <c r="AZ5" s="412"/>
      <c r="BA5" s="412"/>
      <c r="BB5" s="412"/>
      <c r="BC5" s="412"/>
      <c r="BD5" s="412"/>
      <c r="BE5" s="412"/>
      <c r="BF5" s="423">
        <v>1</v>
      </c>
      <c r="BG5" s="412"/>
      <c r="BH5" s="412"/>
      <c r="BI5" s="412"/>
      <c r="BJ5" s="412"/>
      <c r="BK5" s="412"/>
      <c r="BL5" s="412"/>
      <c r="BM5" s="413"/>
    </row>
    <row r="6" spans="1:65" s="424" customFormat="1" ht="23.25" customHeight="1">
      <c r="A6" s="409">
        <v>43918</v>
      </c>
      <c r="B6" s="410" t="s">
        <v>1192</v>
      </c>
      <c r="C6" s="410"/>
      <c r="D6" s="412" t="s">
        <v>6</v>
      </c>
      <c r="E6" s="412"/>
      <c r="F6" s="412"/>
      <c r="G6" s="412" t="s">
        <v>1207</v>
      </c>
      <c r="H6" s="412" t="s">
        <v>1208</v>
      </c>
      <c r="I6" s="412" t="s">
        <v>1209</v>
      </c>
      <c r="J6" s="412" t="s">
        <v>1195</v>
      </c>
      <c r="K6" s="413"/>
      <c r="L6" s="412">
        <v>-7</v>
      </c>
      <c r="M6" s="414"/>
      <c r="N6" s="414" t="s">
        <v>1200</v>
      </c>
      <c r="O6" s="414"/>
      <c r="P6" s="412"/>
      <c r="Q6" s="412"/>
      <c r="R6" s="412"/>
      <c r="S6" s="412">
        <v>-1.5</v>
      </c>
      <c r="T6" s="417" t="s">
        <v>1210</v>
      </c>
      <c r="U6" s="425"/>
      <c r="V6" s="412"/>
      <c r="W6" s="412"/>
      <c r="X6" s="412"/>
      <c r="Y6" s="412"/>
      <c r="Z6" s="412"/>
      <c r="AA6" s="412"/>
      <c r="AB6" s="412"/>
      <c r="AC6" s="412"/>
      <c r="AD6" s="412"/>
      <c r="AE6" s="412"/>
      <c r="AF6" s="421">
        <v>45257</v>
      </c>
      <c r="AG6" s="412"/>
      <c r="AH6" s="415"/>
      <c r="AI6" s="415" t="s">
        <v>1211</v>
      </c>
      <c r="AJ6" s="423"/>
      <c r="AK6" s="423"/>
      <c r="AM6" s="423"/>
      <c r="AO6" s="412"/>
      <c r="AP6" s="412"/>
      <c r="AQ6" s="412"/>
      <c r="AR6" s="412"/>
      <c r="AS6" s="412"/>
      <c r="AT6" s="423"/>
      <c r="AU6" s="423"/>
      <c r="AW6" s="423"/>
      <c r="AY6" s="412"/>
      <c r="AZ6" s="412"/>
      <c r="BA6" s="412"/>
      <c r="BB6" s="412"/>
      <c r="BC6" s="412"/>
      <c r="BD6" s="423"/>
      <c r="BE6" s="423"/>
      <c r="BG6" s="423"/>
      <c r="BI6" s="412"/>
      <c r="BJ6" s="412"/>
      <c r="BK6" s="412"/>
      <c r="BL6" s="412"/>
      <c r="BM6" s="413"/>
    </row>
    <row r="7" spans="1:65" s="355" customFormat="1" ht="6.6" customHeight="1">
      <c r="A7" s="393">
        <v>43918</v>
      </c>
      <c r="B7" s="394"/>
      <c r="C7" s="395"/>
      <c r="D7" s="388"/>
      <c r="E7" s="388"/>
      <c r="F7" s="388"/>
      <c r="G7" s="388"/>
      <c r="H7" s="388"/>
      <c r="I7" s="388"/>
      <c r="J7" s="388"/>
      <c r="K7" s="396"/>
      <c r="L7" s="388"/>
      <c r="M7" s="397"/>
      <c r="N7" s="397"/>
      <c r="O7" s="397"/>
      <c r="P7" s="398"/>
      <c r="Q7" s="398"/>
      <c r="R7" s="398"/>
      <c r="S7" s="398"/>
      <c r="T7" s="398"/>
      <c r="U7" s="398"/>
      <c r="V7" s="398"/>
      <c r="W7" s="398"/>
      <c r="X7" s="398"/>
      <c r="Y7" s="398"/>
      <c r="Z7" s="398"/>
      <c r="AA7" s="398"/>
      <c r="AB7" s="398"/>
      <c r="AC7" s="398"/>
      <c r="AD7" s="398"/>
      <c r="AE7" s="398"/>
      <c r="AF7" s="398"/>
      <c r="AG7" s="398"/>
      <c r="AH7" s="398"/>
      <c r="AI7" s="398"/>
      <c r="AJ7" s="388"/>
      <c r="AK7" s="388"/>
      <c r="AL7" s="388"/>
      <c r="AM7" s="388"/>
      <c r="AN7" s="388"/>
      <c r="AO7" s="388"/>
      <c r="AP7" s="388"/>
      <c r="AQ7" s="388"/>
      <c r="AR7" s="388"/>
      <c r="AS7" s="388"/>
      <c r="AT7" s="388"/>
      <c r="AU7" s="388"/>
      <c r="AV7" s="388"/>
      <c r="AW7" s="388"/>
      <c r="AX7" s="388"/>
      <c r="AY7" s="388"/>
      <c r="AZ7" s="388"/>
      <c r="BA7" s="388"/>
      <c r="BB7" s="388"/>
      <c r="BC7" s="388"/>
      <c r="BD7" s="388"/>
      <c r="BE7" s="388"/>
      <c r="BF7" s="388"/>
      <c r="BG7" s="388"/>
      <c r="BH7" s="388"/>
      <c r="BI7" s="388"/>
      <c r="BJ7" s="388"/>
      <c r="BK7" s="388"/>
      <c r="BL7" s="388"/>
      <c r="BM7" s="396"/>
    </row>
    <row r="8" spans="1:65" ht="23.25" customHeight="1">
      <c r="A8" s="383">
        <f>'Portefeuille SP2'!B15</f>
        <v>45632</v>
      </c>
      <c r="B8" s="390" t="str">
        <f>'Portefeuille SP2'!Q15</f>
        <v>CANCELED</v>
      </c>
      <c r="C8" s="384"/>
      <c r="D8" s="382" t="str">
        <f>'Portefeuille SP2'!E15</f>
        <v>TH</v>
      </c>
      <c r="E8" s="382" t="str">
        <f>LEFT(J8,3)</f>
        <v>BIW</v>
      </c>
      <c r="F8" s="382" t="str">
        <f>MID(J8, 4, 20)</f>
        <v xml:space="preserve"> </v>
      </c>
      <c r="G8" s="382" t="str">
        <f>'Portefeuille SP2'!C15</f>
        <v>SPC_1</v>
      </c>
      <c r="H8" s="382" t="str">
        <f>'Portefeuille SP2'!F15</f>
        <v>MICHAEL BORE</v>
      </c>
      <c r="I8" s="382"/>
      <c r="J8" s="382" t="str">
        <f>'Portefeuille SP2'!D15</f>
        <v xml:space="preserve">BIW </v>
      </c>
      <c r="K8" s="385" t="str">
        <f>'Portefeuille SP2'!H15</f>
        <v>activ spoiler</v>
      </c>
      <c r="L8" s="157">
        <f>'Portefeuille SP2'!U15</f>
        <v>3.2</v>
      </c>
      <c r="M8" s="386"/>
      <c r="N8" s="386"/>
      <c r="O8" s="386"/>
      <c r="P8" s="400">
        <f>'Portefeuille SP2'!M15</f>
        <v>0</v>
      </c>
      <c r="Q8" s="387"/>
      <c r="R8" s="387">
        <f>'Portefeuille SP2'!N15</f>
        <v>0</v>
      </c>
      <c r="S8" s="387"/>
      <c r="T8" s="382" t="str">
        <f>'Portefeuille SP2'!R15</f>
        <v>TBD</v>
      </c>
      <c r="U8" s="387">
        <f>'Portefeuille SP2'!K15</f>
        <v>0</v>
      </c>
      <c r="V8" s="399">
        <f>'Portefeuille SP2'!S15</f>
        <v>0.8</v>
      </c>
      <c r="W8" s="387"/>
      <c r="X8" s="387"/>
      <c r="Y8" s="387"/>
      <c r="Z8" s="387"/>
      <c r="AA8" s="387"/>
      <c r="AB8" s="387"/>
      <c r="AC8" s="387"/>
      <c r="AD8" s="387"/>
      <c r="AE8" s="408" t="str">
        <f>'Portefeuille SP2'!J15</f>
        <v>06/10/2025 sujet à supprimer car pas d'active Spoiler sur le projet SPC_1</v>
      </c>
      <c r="AF8" s="387"/>
      <c r="AG8" s="387"/>
      <c r="AH8" s="389"/>
      <c r="AI8" s="389"/>
      <c r="AJ8" s="403">
        <f>'Portefeuille SP2'!V15</f>
        <v>1</v>
      </c>
      <c r="AK8" s="403">
        <f>'Portefeuille SP2'!W15</f>
        <v>1</v>
      </c>
      <c r="AL8" s="403">
        <f>'Portefeuille SP2'!X15</f>
        <v>1</v>
      </c>
      <c r="AM8" s="403">
        <f>'Portefeuille SP2'!Y15</f>
        <v>1</v>
      </c>
      <c r="AN8" s="403">
        <f>'Portefeuille SP2'!Z15</f>
        <v>1</v>
      </c>
      <c r="AO8" s="403">
        <f>'Portefeuille SP2'!AA15</f>
        <v>1</v>
      </c>
      <c r="AP8" s="403">
        <f>'Portefeuille SP2'!AB15</f>
        <v>1</v>
      </c>
      <c r="AQ8" s="403">
        <f>'Portefeuille SP2'!AC15</f>
        <v>1</v>
      </c>
      <c r="AR8" s="403">
        <f>'Portefeuille SP2'!AD15</f>
        <v>1</v>
      </c>
      <c r="AS8" s="403">
        <f>'Portefeuille SP2'!AE15</f>
        <v>1</v>
      </c>
      <c r="AT8" s="403">
        <f>'Portefeuille SP2'!AF15</f>
        <v>1</v>
      </c>
      <c r="AU8" s="403">
        <f>'Portefeuille SP2'!AG15</f>
        <v>1</v>
      </c>
      <c r="AV8" s="403">
        <f>'Portefeuille SP2'!AH15</f>
        <v>1</v>
      </c>
      <c r="AW8" s="403">
        <f>'Portefeuille SP2'!AI15</f>
        <v>1</v>
      </c>
      <c r="AX8" s="403">
        <f>'Portefeuille SP2'!AJ15</f>
        <v>1</v>
      </c>
      <c r="AY8" s="403">
        <f>'Portefeuille SP2'!AK15</f>
        <v>1</v>
      </c>
      <c r="AZ8" s="403">
        <f>'Portefeuille SP2'!AL15</f>
        <v>1</v>
      </c>
      <c r="BA8" s="403">
        <f>'Portefeuille SP2'!AM15</f>
        <v>1</v>
      </c>
      <c r="BB8" s="403">
        <f>'Portefeuille SP2'!AN15</f>
        <v>1</v>
      </c>
      <c r="BC8" s="403">
        <f>'Portefeuille SP2'!AO15</f>
        <v>1</v>
      </c>
      <c r="BD8" s="403">
        <f>'Portefeuille SP2'!AP15</f>
        <v>1</v>
      </c>
      <c r="BE8" s="403">
        <f>'Portefeuille SP2'!AQ15</f>
        <v>1</v>
      </c>
      <c r="BF8" s="403">
        <f>'Portefeuille SP2'!AR15</f>
        <v>1</v>
      </c>
      <c r="BG8" s="403" t="e">
        <f>'Portefeuille SP2'!#REF!</f>
        <v>#REF!</v>
      </c>
      <c r="BH8" s="403" t="e">
        <f>'Portefeuille SP2'!#REF!</f>
        <v>#REF!</v>
      </c>
      <c r="BI8" s="403" t="e">
        <f>'Portefeuille SP2'!#REF!</f>
        <v>#REF!</v>
      </c>
      <c r="BJ8" s="403" t="e">
        <f>'Portefeuille SP2'!#REF!</f>
        <v>#REF!</v>
      </c>
      <c r="BK8" s="403" t="e">
        <f>'Portefeuille SP2'!#REF!</f>
        <v>#REF!</v>
      </c>
      <c r="BL8" s="388"/>
      <c r="BM8" s="404">
        <f>'Portefeuille SP2'!L15</f>
        <v>0</v>
      </c>
    </row>
    <row r="9" spans="1:65" ht="23.25" customHeight="1">
      <c r="A9" s="383" t="str">
        <f>'Portefeuille SP2'!B16</f>
        <v>20/06/2025</v>
      </c>
      <c r="B9" s="390" t="str">
        <f>'Portefeuille SP2'!Q16</f>
        <v>CANCELED</v>
      </c>
      <c r="C9" s="384"/>
      <c r="D9" s="382" t="str">
        <f>'Portefeuille SP2'!E16</f>
        <v>TH</v>
      </c>
      <c r="E9" s="382" t="str">
        <f t="shared" ref="E9:E72" si="0">LEFT(J9,3)</f>
        <v>FRS</v>
      </c>
      <c r="F9" s="382" t="str">
        <f t="shared" ref="F9:F20" si="1">MID(J9, 4, 20)</f>
        <v>D</v>
      </c>
      <c r="G9" s="382" t="str">
        <f>'Portefeuille SP2'!C16</f>
        <v>SP1</v>
      </c>
      <c r="H9" s="382" t="str">
        <f>'Portefeuille SP2'!F16</f>
        <v>Sébastien Bonnefoi (P1H)/
Jean Michel Gabus P1X</v>
      </c>
      <c r="I9" s="382"/>
      <c r="J9" s="382" t="str">
        <f>'Portefeuille SP2'!D16</f>
        <v>FRSD</v>
      </c>
      <c r="K9" s="385" t="str">
        <f>'Portefeuille SP2'!H16</f>
        <v>style/brand</v>
      </c>
      <c r="L9" s="157">
        <f>'Portefeuille SP2'!U16</f>
        <v>2.2000000000000002</v>
      </c>
      <c r="M9" s="386"/>
      <c r="N9" s="386"/>
      <c r="O9" s="386"/>
      <c r="P9" s="400">
        <f>'Portefeuille SP2'!M16</f>
        <v>0</v>
      </c>
      <c r="Q9" s="387"/>
      <c r="R9" s="387">
        <f>'Portefeuille SP2'!N16</f>
        <v>0</v>
      </c>
      <c r="S9" s="387"/>
      <c r="T9" s="382">
        <f>'Portefeuille SP2'!R16</f>
        <v>0</v>
      </c>
      <c r="U9" s="387">
        <f>'Portefeuille SP2'!K16</f>
        <v>0</v>
      </c>
      <c r="V9" s="399">
        <f>'Portefeuille SP2'!S16</f>
        <v>1</v>
      </c>
      <c r="W9" s="387"/>
      <c r="X9" s="387"/>
      <c r="Y9" s="387"/>
      <c r="Z9" s="387"/>
      <c r="AA9" s="387"/>
      <c r="AB9" s="387"/>
      <c r="AC9" s="387"/>
      <c r="AD9" s="387"/>
      <c r="AE9" s="408" t="str">
        <f>'Portefeuille SP2'!J16</f>
        <v>Stratégie projet</v>
      </c>
      <c r="AF9" s="387"/>
      <c r="AG9" s="387"/>
      <c r="AH9" s="389"/>
      <c r="AI9" s="389"/>
      <c r="AJ9" s="403">
        <f>'Portefeuille SP2'!V16</f>
        <v>1</v>
      </c>
      <c r="AK9" s="403">
        <f>'Portefeuille SP2'!W16</f>
        <v>1</v>
      </c>
      <c r="AL9" s="403">
        <f>'Portefeuille SP2'!X16</f>
        <v>1</v>
      </c>
      <c r="AM9" s="403">
        <f>'Portefeuille SP2'!Y16</f>
        <v>1</v>
      </c>
      <c r="AN9" s="403">
        <f>'Portefeuille SP2'!Z16</f>
        <v>1</v>
      </c>
      <c r="AO9" s="403">
        <f>'Portefeuille SP2'!AA16</f>
        <v>1</v>
      </c>
      <c r="AP9" s="403">
        <f>'Portefeuille SP2'!AB16</f>
        <v>1</v>
      </c>
      <c r="AQ9" s="403">
        <f>'Portefeuille SP2'!AC16</f>
        <v>1</v>
      </c>
      <c r="AR9" s="403">
        <f>'Portefeuille SP2'!AD16</f>
        <v>1</v>
      </c>
      <c r="AS9" s="403">
        <f>'Portefeuille SP2'!AE16</f>
        <v>1</v>
      </c>
      <c r="AT9" s="403">
        <f>'Portefeuille SP2'!AF16</f>
        <v>1</v>
      </c>
      <c r="AU9" s="403">
        <f>'Portefeuille SP2'!AG16</f>
        <v>1</v>
      </c>
      <c r="AV9" s="403">
        <f>'Portefeuille SP2'!AH16</f>
        <v>1</v>
      </c>
      <c r="AW9" s="403">
        <f>'Portefeuille SP2'!AI16</f>
        <v>1</v>
      </c>
      <c r="AX9" s="403">
        <f>'Portefeuille SP2'!AJ16</f>
        <v>1</v>
      </c>
      <c r="AY9" s="403">
        <f>'Portefeuille SP2'!AK16</f>
        <v>1</v>
      </c>
      <c r="AZ9" s="403">
        <f>'Portefeuille SP2'!AL16</f>
        <v>1</v>
      </c>
      <c r="BA9" s="403">
        <f>'Portefeuille SP2'!AM16</f>
        <v>1</v>
      </c>
      <c r="BB9" s="403">
        <f>'Portefeuille SP2'!AN16</f>
        <v>1</v>
      </c>
      <c r="BC9" s="403">
        <f>'Portefeuille SP2'!AO16</f>
        <v>1</v>
      </c>
      <c r="BD9" s="403">
        <f>'Portefeuille SP2'!AP16</f>
        <v>1</v>
      </c>
      <c r="BE9" s="403">
        <f>'Portefeuille SP2'!AQ16</f>
        <v>1</v>
      </c>
      <c r="BF9" s="403">
        <f>'Portefeuille SP2'!AR16</f>
        <v>1</v>
      </c>
      <c r="BG9" s="403" t="e">
        <f>'Portefeuille SP2'!#REF!</f>
        <v>#REF!</v>
      </c>
      <c r="BH9" s="403" t="e">
        <f>'Portefeuille SP2'!#REF!</f>
        <v>#REF!</v>
      </c>
      <c r="BI9" s="403" t="e">
        <f>'Portefeuille SP2'!#REF!</f>
        <v>#REF!</v>
      </c>
      <c r="BJ9" s="403" t="e">
        <f>'Portefeuille SP2'!#REF!</f>
        <v>#REF!</v>
      </c>
      <c r="BK9" s="403" t="e">
        <f>'Portefeuille SP2'!#REF!</f>
        <v>#REF!</v>
      </c>
      <c r="BL9" s="388"/>
      <c r="BM9" s="404" t="str">
        <f>'Portefeuille SP2'!L16</f>
        <v>20/06/2025 Retour frns : Proj MS+1,2kg / PC MS+1kg
28/05/2025 à 50% suite 1er retour frns du Proj / En attente info du PC
06/05/2025 passe à 75%
22/04/2025 RD _S16 : Choix Concept Proj (3 parts)_01353_25_00247
24/03/2025 Impact nvo Style_Feu déporté</v>
      </c>
    </row>
    <row r="10" spans="1:65" ht="23.25" customHeight="1">
      <c r="A10" s="383" t="e">
        <f>'Portefeuille SP2'!#REF!</f>
        <v>#REF!</v>
      </c>
      <c r="B10" s="390" t="e">
        <f>'Portefeuille SP2'!#REF!</f>
        <v>#REF!</v>
      </c>
      <c r="C10" s="384"/>
      <c r="D10" s="382" t="e">
        <f>'Portefeuille SP2'!#REF!</f>
        <v>#REF!</v>
      </c>
      <c r="E10" s="382" t="e">
        <f t="shared" si="0"/>
        <v>#REF!</v>
      </c>
      <c r="F10" s="382" t="e">
        <f t="shared" si="1"/>
        <v>#REF!</v>
      </c>
      <c r="G10" s="382" t="e">
        <f>'Portefeuille SP2'!#REF!</f>
        <v>#REF!</v>
      </c>
      <c r="H10" s="382" t="e">
        <f>'Portefeuille SP2'!#REF!</f>
        <v>#REF!</v>
      </c>
      <c r="I10" s="382"/>
      <c r="J10" s="382" t="e">
        <f>'Portefeuille SP2'!#REF!</f>
        <v>#REF!</v>
      </c>
      <c r="K10" s="385" t="e">
        <f>'Portefeuille SP2'!#REF!</f>
        <v>#REF!</v>
      </c>
      <c r="L10" s="157" t="e">
        <f>'Portefeuille SP2'!#REF!</f>
        <v>#REF!</v>
      </c>
      <c r="M10" s="386"/>
      <c r="N10" s="386"/>
      <c r="O10" s="386"/>
      <c r="P10" s="400" t="e">
        <f>'Portefeuille SP2'!#REF!</f>
        <v>#REF!</v>
      </c>
      <c r="Q10" s="387"/>
      <c r="R10" s="387" t="e">
        <f>'Portefeuille SP2'!#REF!</f>
        <v>#REF!</v>
      </c>
      <c r="S10" s="387"/>
      <c r="T10" s="382" t="e">
        <f>'Portefeuille SP2'!#REF!</f>
        <v>#REF!</v>
      </c>
      <c r="U10" s="387" t="e">
        <f>'Portefeuille SP2'!#REF!</f>
        <v>#REF!</v>
      </c>
      <c r="V10" s="399" t="e">
        <f>'Portefeuille SP2'!#REF!</f>
        <v>#REF!</v>
      </c>
      <c r="W10" s="387"/>
      <c r="X10" s="387"/>
      <c r="Y10" s="387"/>
      <c r="Z10" s="387"/>
      <c r="AA10" s="387"/>
      <c r="AB10" s="387"/>
      <c r="AC10" s="387"/>
      <c r="AD10" s="387"/>
      <c r="AE10" s="408" t="e">
        <f>'Portefeuille SP2'!#REF!</f>
        <v>#REF!</v>
      </c>
      <c r="AF10" s="387"/>
      <c r="AG10" s="387"/>
      <c r="AH10" s="389"/>
      <c r="AI10" s="389"/>
      <c r="AJ10" s="403" t="e">
        <f>'Portefeuille SP2'!#REF!</f>
        <v>#REF!</v>
      </c>
      <c r="AK10" s="403" t="e">
        <f>'Portefeuille SP2'!#REF!</f>
        <v>#REF!</v>
      </c>
      <c r="AL10" s="403" t="e">
        <f>'Portefeuille SP2'!#REF!</f>
        <v>#REF!</v>
      </c>
      <c r="AM10" s="403" t="e">
        <f>'Portefeuille SP2'!#REF!</f>
        <v>#REF!</v>
      </c>
      <c r="AN10" s="403" t="e">
        <f>'Portefeuille SP2'!#REF!</f>
        <v>#REF!</v>
      </c>
      <c r="AO10" s="403" t="e">
        <f>'Portefeuille SP2'!#REF!</f>
        <v>#REF!</v>
      </c>
      <c r="AP10" s="403" t="e">
        <f>'Portefeuille SP2'!#REF!</f>
        <v>#REF!</v>
      </c>
      <c r="AQ10" s="403" t="e">
        <f>'Portefeuille SP2'!#REF!</f>
        <v>#REF!</v>
      </c>
      <c r="AR10" s="403" t="e">
        <f>'Portefeuille SP2'!#REF!</f>
        <v>#REF!</v>
      </c>
      <c r="AS10" s="403" t="e">
        <f>'Portefeuille SP2'!#REF!</f>
        <v>#REF!</v>
      </c>
      <c r="AT10" s="403" t="e">
        <f>'Portefeuille SP2'!#REF!</f>
        <v>#REF!</v>
      </c>
      <c r="AU10" s="403" t="e">
        <f>'Portefeuille SP2'!#REF!</f>
        <v>#REF!</v>
      </c>
      <c r="AV10" s="403" t="e">
        <f>'Portefeuille SP2'!#REF!</f>
        <v>#REF!</v>
      </c>
      <c r="AW10" s="403" t="e">
        <f>'Portefeuille SP2'!#REF!</f>
        <v>#REF!</v>
      </c>
      <c r="AX10" s="403" t="e">
        <f>'Portefeuille SP2'!#REF!</f>
        <v>#REF!</v>
      </c>
      <c r="AY10" s="403" t="e">
        <f>'Portefeuille SP2'!#REF!</f>
        <v>#REF!</v>
      </c>
      <c r="AZ10" s="403" t="e">
        <f>'Portefeuille SP2'!#REF!</f>
        <v>#REF!</v>
      </c>
      <c r="BA10" s="403" t="e">
        <f>'Portefeuille SP2'!#REF!</f>
        <v>#REF!</v>
      </c>
      <c r="BB10" s="403" t="e">
        <f>'Portefeuille SP2'!#REF!</f>
        <v>#REF!</v>
      </c>
      <c r="BC10" s="403" t="e">
        <f>'Portefeuille SP2'!#REF!</f>
        <v>#REF!</v>
      </c>
      <c r="BD10" s="403" t="e">
        <f>'Portefeuille SP2'!#REF!</f>
        <v>#REF!</v>
      </c>
      <c r="BE10" s="403" t="e">
        <f>'Portefeuille SP2'!#REF!</f>
        <v>#REF!</v>
      </c>
      <c r="BF10" s="403" t="e">
        <f>'Portefeuille SP2'!#REF!</f>
        <v>#REF!</v>
      </c>
      <c r="BG10" s="403" t="e">
        <f>'Portefeuille SP2'!#REF!</f>
        <v>#REF!</v>
      </c>
      <c r="BH10" s="403" t="e">
        <f>'Portefeuille SP2'!#REF!</f>
        <v>#REF!</v>
      </c>
      <c r="BI10" s="403" t="e">
        <f>'Portefeuille SP2'!#REF!</f>
        <v>#REF!</v>
      </c>
      <c r="BJ10" s="403" t="e">
        <f>'Portefeuille SP2'!#REF!</f>
        <v>#REF!</v>
      </c>
      <c r="BK10" s="403" t="e">
        <f>'Portefeuille SP2'!#REF!</f>
        <v>#REF!</v>
      </c>
      <c r="BL10" s="388"/>
      <c r="BM10" s="404" t="e">
        <f>'Portefeuille SP2'!#REF!</f>
        <v>#REF!</v>
      </c>
    </row>
    <row r="11" spans="1:65" ht="23.25" customHeight="1">
      <c r="A11" s="383">
        <f>'Portefeuille SP2'!B17</f>
        <v>45536</v>
      </c>
      <c r="B11" s="390" t="str">
        <f>'Portefeuille SP2'!Q17</f>
        <v>DECIDED</v>
      </c>
      <c r="C11" s="384"/>
      <c r="D11" s="382" t="str">
        <f>'Portefeuille SP2'!E17</f>
        <v>TH</v>
      </c>
      <c r="E11" s="382" t="str">
        <f t="shared" si="0"/>
        <v>BIW</v>
      </c>
      <c r="F11" s="382" t="str">
        <f t="shared" si="1"/>
        <v xml:space="preserve"> </v>
      </c>
      <c r="G11" s="382" t="str">
        <f>'Portefeuille SP2'!C17</f>
        <v>SPC_1</v>
      </c>
      <c r="H11" s="382" t="str">
        <f>'Portefeuille SP2'!F17</f>
        <v>MICHAEL BORE</v>
      </c>
      <c r="I11" s="382"/>
      <c r="J11" s="382" t="str">
        <f>'Portefeuille SP2'!D17</f>
        <v xml:space="preserve">BIW </v>
      </c>
      <c r="K11" s="385" t="str">
        <f>'Portefeuille SP2'!H17</f>
        <v>hood Pantographe</v>
      </c>
      <c r="L11" s="157">
        <f>'Portefeuille SP2'!U17</f>
        <v>1</v>
      </c>
      <c r="M11" s="386"/>
      <c r="N11" s="386"/>
      <c r="O11" s="386"/>
      <c r="P11" s="400">
        <f>'Portefeuille SP2'!M17</f>
        <v>350</v>
      </c>
      <c r="Q11" s="387"/>
      <c r="R11" s="387">
        <f>'Portefeuille SP2'!N17</f>
        <v>8.5</v>
      </c>
      <c r="S11" s="387"/>
      <c r="T11" s="382" t="str">
        <f>'Portefeuille SP2'!R17</f>
        <v>TBD</v>
      </c>
      <c r="U11" s="387" t="str">
        <f>'Portefeuille SP2'!K17</f>
        <v>PM</v>
      </c>
      <c r="V11" s="399">
        <f>'Portefeuille SP2'!S17</f>
        <v>1</v>
      </c>
      <c r="W11" s="387"/>
      <c r="X11" s="387"/>
      <c r="Y11" s="387"/>
      <c r="Z11" s="387"/>
      <c r="AA11" s="387"/>
      <c r="AB11" s="387"/>
      <c r="AC11" s="387"/>
      <c r="AD11" s="387"/>
      <c r="AE11" s="408" t="str">
        <f>'Portefeuille SP2'!J17</f>
        <v xml:space="preserve">10/10/2025
référence projet col de cygne, mais demande PEDPRO de Pantographe
11/10/2024
QCTP Pantograh hood hinge =&gt;https://docinfogroupe.stellantis.com/ead/doc/ref.21007_24_00151/v.vc/fiche
</v>
      </c>
      <c r="AF11" s="387"/>
      <c r="AG11" s="387"/>
      <c r="AH11" s="389"/>
      <c r="AI11" s="389"/>
      <c r="AJ11" s="403">
        <f>'Portefeuille SP2'!V17</f>
        <v>1</v>
      </c>
      <c r="AK11" s="403">
        <f>'Portefeuille SP2'!W17</f>
        <v>1</v>
      </c>
      <c r="AL11" s="403">
        <f>'Portefeuille SP2'!X17</f>
        <v>1</v>
      </c>
      <c r="AM11" s="403">
        <f>'Portefeuille SP2'!Y17</f>
        <v>1</v>
      </c>
      <c r="AN11" s="403">
        <f>'Portefeuille SP2'!Z17</f>
        <v>1</v>
      </c>
      <c r="AO11" s="403">
        <f>'Portefeuille SP2'!AA17</f>
        <v>1</v>
      </c>
      <c r="AP11" s="403">
        <f>'Portefeuille SP2'!AB17</f>
        <v>1</v>
      </c>
      <c r="AQ11" s="403">
        <f>'Portefeuille SP2'!AC17</f>
        <v>1</v>
      </c>
      <c r="AR11" s="403">
        <f>'Portefeuille SP2'!AD17</f>
        <v>1</v>
      </c>
      <c r="AS11" s="403">
        <f>'Portefeuille SP2'!AE17</f>
        <v>1</v>
      </c>
      <c r="AT11" s="403">
        <f>'Portefeuille SP2'!AF17</f>
        <v>1</v>
      </c>
      <c r="AU11" s="403">
        <f>'Portefeuille SP2'!AG17</f>
        <v>1</v>
      </c>
      <c r="AV11" s="403">
        <f>'Portefeuille SP2'!AH17</f>
        <v>1</v>
      </c>
      <c r="AW11" s="403">
        <f>'Portefeuille SP2'!AI17</f>
        <v>1</v>
      </c>
      <c r="AX11" s="403">
        <f>'Portefeuille SP2'!AJ17</f>
        <v>1</v>
      </c>
      <c r="AY11" s="403">
        <f>'Portefeuille SP2'!AK17</f>
        <v>1</v>
      </c>
      <c r="AZ11" s="403">
        <f>'Portefeuille SP2'!AL17</f>
        <v>1</v>
      </c>
      <c r="BA11" s="403">
        <f>'Portefeuille SP2'!AM17</f>
        <v>1</v>
      </c>
      <c r="BB11" s="403">
        <f>'Portefeuille SP2'!AN17</f>
        <v>1</v>
      </c>
      <c r="BC11" s="403">
        <f>'Portefeuille SP2'!AO17</f>
        <v>1</v>
      </c>
      <c r="BD11" s="403">
        <f>'Portefeuille SP2'!AP17</f>
        <v>1</v>
      </c>
      <c r="BE11" s="403">
        <f>'Portefeuille SP2'!AQ17</f>
        <v>1</v>
      </c>
      <c r="BF11" s="403">
        <f>'Portefeuille SP2'!AR17</f>
        <v>1</v>
      </c>
      <c r="BG11" s="403" t="e">
        <f>'Portefeuille SP2'!#REF!</f>
        <v>#REF!</v>
      </c>
      <c r="BH11" s="403" t="e">
        <f>'Portefeuille SP2'!#REF!</f>
        <v>#REF!</v>
      </c>
      <c r="BI11" s="403" t="e">
        <f>'Portefeuille SP2'!#REF!</f>
        <v>#REF!</v>
      </c>
      <c r="BJ11" s="403" t="e">
        <f>'Portefeuille SP2'!#REF!</f>
        <v>#REF!</v>
      </c>
      <c r="BK11" s="403" t="e">
        <f>'Portefeuille SP2'!#REF!</f>
        <v>#REF!</v>
      </c>
      <c r="BL11" s="388"/>
      <c r="BM11" s="404">
        <f>'Portefeuille SP2'!L17</f>
        <v>0</v>
      </c>
    </row>
    <row r="12" spans="1:65" ht="23.25" customHeight="1">
      <c r="A12" s="383">
        <f>'Portefeuille SP2'!B18</f>
        <v>45536</v>
      </c>
      <c r="B12" s="390" t="str">
        <f>'Portefeuille SP2'!Q18</f>
        <v>DECIDED</v>
      </c>
      <c r="C12" s="384"/>
      <c r="D12" s="382" t="str">
        <f>'Portefeuille SP2'!E18</f>
        <v>TH</v>
      </c>
      <c r="E12" s="382" t="str">
        <f t="shared" si="0"/>
        <v>BIW</v>
      </c>
      <c r="F12" s="382" t="str">
        <f t="shared" si="1"/>
        <v xml:space="preserve"> </v>
      </c>
      <c r="G12" s="382" t="str">
        <f>'Portefeuille SP2'!C18</f>
        <v>SPC_1</v>
      </c>
      <c r="H12" s="382" t="str">
        <f>'Portefeuille SP2'!F18</f>
        <v>MICHAEL BORE</v>
      </c>
      <c r="I12" s="382"/>
      <c r="J12" s="382" t="str">
        <f>'Portefeuille SP2'!D18</f>
        <v xml:space="preserve">BIW </v>
      </c>
      <c r="K12" s="385" t="str">
        <f>'Portefeuille SP2'!H18</f>
        <v xml:space="preserve">front &amp; rear bumper </v>
      </c>
      <c r="L12" s="157">
        <f>'Portefeuille SP2'!U18</f>
        <v>0.82</v>
      </c>
      <c r="M12" s="386"/>
      <c r="N12" s="386"/>
      <c r="O12" s="386"/>
      <c r="P12" s="400">
        <f>'Portefeuille SP2'!M18</f>
        <v>0</v>
      </c>
      <c r="Q12" s="387"/>
      <c r="R12" s="387" t="str">
        <f>'Portefeuille SP2'!N18</f>
        <v>(-6)</v>
      </c>
      <c r="S12" s="387"/>
      <c r="T12" s="382" t="str">
        <f>'Portefeuille SP2'!R18</f>
        <v>TBD</v>
      </c>
      <c r="U12" s="387">
        <f>'Portefeuille SP2'!K18</f>
        <v>0</v>
      </c>
      <c r="V12" s="399">
        <f>'Portefeuille SP2'!S18</f>
        <v>1</v>
      </c>
      <c r="W12" s="387"/>
      <c r="X12" s="387"/>
      <c r="Y12" s="387"/>
      <c r="Z12" s="387"/>
      <c r="AA12" s="387"/>
      <c r="AB12" s="387"/>
      <c r="AC12" s="387"/>
      <c r="AD12" s="387"/>
      <c r="AE12" s="408" t="str">
        <f>'Portefeuille SP2'!J18</f>
        <v xml:space="preserve">06/10/2025 Pas de PORO
</v>
      </c>
      <c r="AF12" s="387"/>
      <c r="AG12" s="387"/>
      <c r="AH12" s="389"/>
      <c r="AI12" s="389"/>
      <c r="AJ12" s="403">
        <f>'Portefeuille SP2'!V18</f>
        <v>1</v>
      </c>
      <c r="AK12" s="403">
        <f>'Portefeuille SP2'!W18</f>
        <v>1</v>
      </c>
      <c r="AL12" s="403">
        <f>'Portefeuille SP2'!X18</f>
        <v>1</v>
      </c>
      <c r="AM12" s="403">
        <f>'Portefeuille SP2'!Y18</f>
        <v>1</v>
      </c>
      <c r="AN12" s="403">
        <f>'Portefeuille SP2'!Z18</f>
        <v>1</v>
      </c>
      <c r="AO12" s="403">
        <f>'Portefeuille SP2'!AA18</f>
        <v>1</v>
      </c>
      <c r="AP12" s="403">
        <f>'Portefeuille SP2'!AB18</f>
        <v>1</v>
      </c>
      <c r="AQ12" s="403">
        <f>'Portefeuille SP2'!AC18</f>
        <v>1</v>
      </c>
      <c r="AR12" s="403">
        <f>'Portefeuille SP2'!AD18</f>
        <v>1</v>
      </c>
      <c r="AS12" s="403">
        <f>'Portefeuille SP2'!AE18</f>
        <v>1</v>
      </c>
      <c r="AT12" s="403">
        <f>'Portefeuille SP2'!AF18</f>
        <v>1</v>
      </c>
      <c r="AU12" s="403">
        <f>'Portefeuille SP2'!AG18</f>
        <v>1</v>
      </c>
      <c r="AV12" s="403">
        <f>'Portefeuille SP2'!AH18</f>
        <v>1</v>
      </c>
      <c r="AW12" s="403">
        <f>'Portefeuille SP2'!AI18</f>
        <v>1</v>
      </c>
      <c r="AX12" s="403">
        <f>'Portefeuille SP2'!AJ18</f>
        <v>1</v>
      </c>
      <c r="AY12" s="403">
        <f>'Portefeuille SP2'!AK18</f>
        <v>1</v>
      </c>
      <c r="AZ12" s="403">
        <f>'Portefeuille SP2'!AL18</f>
        <v>1</v>
      </c>
      <c r="BA12" s="403">
        <f>'Portefeuille SP2'!AM18</f>
        <v>1</v>
      </c>
      <c r="BB12" s="403">
        <f>'Portefeuille SP2'!AN18</f>
        <v>1</v>
      </c>
      <c r="BC12" s="403">
        <f>'Portefeuille SP2'!AO18</f>
        <v>1</v>
      </c>
      <c r="BD12" s="403">
        <f>'Portefeuille SP2'!AP18</f>
        <v>1</v>
      </c>
      <c r="BE12" s="403">
        <f>'Portefeuille SP2'!AQ18</f>
        <v>1</v>
      </c>
      <c r="BF12" s="403">
        <f>'Portefeuille SP2'!AR18</f>
        <v>1</v>
      </c>
      <c r="BG12" s="403" t="e">
        <f>'Portefeuille SP2'!#REF!</f>
        <v>#REF!</v>
      </c>
      <c r="BH12" s="403" t="e">
        <f>'Portefeuille SP2'!#REF!</f>
        <v>#REF!</v>
      </c>
      <c r="BI12" s="403" t="e">
        <f>'Portefeuille SP2'!#REF!</f>
        <v>#REF!</v>
      </c>
      <c r="BJ12" s="403" t="e">
        <f>'Portefeuille SP2'!#REF!</f>
        <v>#REF!</v>
      </c>
      <c r="BK12" s="403" t="e">
        <f>'Portefeuille SP2'!#REF!</f>
        <v>#REF!</v>
      </c>
      <c r="BL12" s="388"/>
      <c r="BM12" s="404">
        <f>'Portefeuille SP2'!L18</f>
        <v>0</v>
      </c>
    </row>
    <row r="13" spans="1:65" ht="23.25" customHeight="1">
      <c r="A13" s="383">
        <f>'Portefeuille SP2'!B19</f>
        <v>45813</v>
      </c>
      <c r="B13" s="390" t="str">
        <f>'Portefeuille SP2'!Q19</f>
        <v>CANCELED</v>
      </c>
      <c r="C13" s="384"/>
      <c r="D13" s="382" t="str">
        <f>'Portefeuille SP2'!E19</f>
        <v>TH</v>
      </c>
      <c r="E13" s="382" t="str">
        <f t="shared" si="0"/>
        <v>INT</v>
      </c>
      <c r="F13" s="382" t="str">
        <f t="shared" si="1"/>
        <v xml:space="preserve"> - PDB/CONSOLE</v>
      </c>
      <c r="G13" s="382" t="str">
        <f>'Portefeuille SP2'!C19</f>
        <v>SP1</v>
      </c>
      <c r="H13" s="382" t="str">
        <f>'Portefeuille SP2'!F19</f>
        <v>FREDERIC BRUNIER</v>
      </c>
      <c r="I13" s="382"/>
      <c r="J13" s="382" t="str">
        <f>'Portefeuille SP2'!D19</f>
        <v>INT - PDB/CONSOLE</v>
      </c>
      <c r="K13" s="385" t="str">
        <f>'Portefeuille SP2'!H19</f>
        <v>Dashboard/Upper console</v>
      </c>
      <c r="L13" s="157">
        <f>'Portefeuille SP2'!U19</f>
        <v>0.75</v>
      </c>
      <c r="M13" s="386"/>
      <c r="N13" s="386"/>
      <c r="O13" s="386"/>
      <c r="P13" s="400">
        <f>'Portefeuille SP2'!M19</f>
        <v>0</v>
      </c>
      <c r="Q13" s="387"/>
      <c r="R13" s="387">
        <f>'Portefeuille SP2'!N19</f>
        <v>0</v>
      </c>
      <c r="S13" s="387"/>
      <c r="T13" s="382">
        <f>'Portefeuille SP2'!R19</f>
        <v>0</v>
      </c>
      <c r="U13" s="387">
        <f>'Portefeuille SP2'!K19</f>
        <v>0</v>
      </c>
      <c r="V13" s="399">
        <f>'Portefeuille SP2'!S19</f>
        <v>0.75</v>
      </c>
      <c r="W13" s="387"/>
      <c r="X13" s="387"/>
      <c r="Y13" s="387"/>
      <c r="Z13" s="387"/>
      <c r="AA13" s="387"/>
      <c r="AB13" s="387"/>
      <c r="AC13" s="387"/>
      <c r="AD13" s="387"/>
      <c r="AE13" s="408" t="str">
        <f>'Portefeuille SP2'!J19</f>
        <v>CP P1H Sébastien Dupuis
24/06/2025 à confirmer avec Sébastien car attente panneau SYNC5 et MAJ de la masse</v>
      </c>
      <c r="AF13" s="387"/>
      <c r="AG13" s="387"/>
      <c r="AH13" s="389"/>
      <c r="AI13" s="389"/>
      <c r="AJ13" s="403">
        <f>'Portefeuille SP2'!V19</f>
        <v>1</v>
      </c>
      <c r="AK13" s="403">
        <f>'Portefeuille SP2'!W19</f>
        <v>1</v>
      </c>
      <c r="AL13" s="403">
        <f>'Portefeuille SP2'!X19</f>
        <v>1</v>
      </c>
      <c r="AM13" s="403">
        <f>'Portefeuille SP2'!Y19</f>
        <v>1</v>
      </c>
      <c r="AN13" s="403">
        <f>'Portefeuille SP2'!Z19</f>
        <v>1</v>
      </c>
      <c r="AO13" s="403">
        <f>'Portefeuille SP2'!AA19</f>
        <v>1</v>
      </c>
      <c r="AP13" s="403">
        <f>'Portefeuille SP2'!AB19</f>
        <v>1</v>
      </c>
      <c r="AQ13" s="403">
        <f>'Portefeuille SP2'!AC19</f>
        <v>1</v>
      </c>
      <c r="AR13" s="403">
        <f>'Portefeuille SP2'!AD19</f>
        <v>1</v>
      </c>
      <c r="AS13" s="403">
        <f>'Portefeuille SP2'!AE19</f>
        <v>1</v>
      </c>
      <c r="AT13" s="403">
        <f>'Portefeuille SP2'!AF19</f>
        <v>1</v>
      </c>
      <c r="AU13" s="403">
        <f>'Portefeuille SP2'!AG19</f>
        <v>1</v>
      </c>
      <c r="AV13" s="403">
        <f>'Portefeuille SP2'!AH19</f>
        <v>1</v>
      </c>
      <c r="AW13" s="403">
        <f>'Portefeuille SP2'!AI19</f>
        <v>1</v>
      </c>
      <c r="AX13" s="403">
        <f>'Portefeuille SP2'!AJ19</f>
        <v>1</v>
      </c>
      <c r="AY13" s="403">
        <f>'Portefeuille SP2'!AK19</f>
        <v>1</v>
      </c>
      <c r="AZ13" s="403">
        <f>'Portefeuille SP2'!AL19</f>
        <v>1</v>
      </c>
      <c r="BA13" s="403">
        <f>'Portefeuille SP2'!AM19</f>
        <v>1</v>
      </c>
      <c r="BB13" s="403">
        <f>'Portefeuille SP2'!AN19</f>
        <v>1</v>
      </c>
      <c r="BC13" s="403">
        <f>'Portefeuille SP2'!AO19</f>
        <v>1</v>
      </c>
      <c r="BD13" s="403">
        <f>'Portefeuille SP2'!AP19</f>
        <v>1</v>
      </c>
      <c r="BE13" s="403">
        <f>'Portefeuille SP2'!AQ19</f>
        <v>1</v>
      </c>
      <c r="BF13" s="403">
        <f>'Portefeuille SP2'!AR19</f>
        <v>1</v>
      </c>
      <c r="BG13" s="403" t="e">
        <f>'Portefeuille SP2'!#REF!</f>
        <v>#REF!</v>
      </c>
      <c r="BH13" s="403" t="e">
        <f>'Portefeuille SP2'!#REF!</f>
        <v>#REF!</v>
      </c>
      <c r="BI13" s="403" t="e">
        <f>'Portefeuille SP2'!#REF!</f>
        <v>#REF!</v>
      </c>
      <c r="BJ13" s="403" t="e">
        <f>'Portefeuille SP2'!#REF!</f>
        <v>#REF!</v>
      </c>
      <c r="BK13" s="403" t="e">
        <f>'Portefeuille SP2'!#REF!</f>
        <v>#REF!</v>
      </c>
      <c r="BL13" s="388"/>
      <c r="BM13" s="404" t="str">
        <f>'Portefeuille SP2'!L19</f>
        <v>05/06/2025 	Planche de Bord : +0.280 kg / Console UPPER : +0.147 kg et +0.260 kg</v>
      </c>
    </row>
    <row r="14" spans="1:65" ht="23.25" customHeight="1">
      <c r="A14" s="383" t="str">
        <f>'Portefeuille SP2'!B20</f>
        <v>01/04/2025</v>
      </c>
      <c r="B14" s="390" t="str">
        <f>'Portefeuille SP2'!Q20</f>
        <v>CANCELED</v>
      </c>
      <c r="C14" s="384"/>
      <c r="D14" s="382" t="str">
        <f>'Portefeuille SP2'!E20</f>
        <v>TH</v>
      </c>
      <c r="E14" s="382" t="str">
        <f t="shared" si="0"/>
        <v>Doo</v>
      </c>
      <c r="F14" s="382" t="str">
        <f t="shared" si="1"/>
        <v>r panel</v>
      </c>
      <c r="G14" s="382" t="str">
        <f>'Portefeuille SP2'!C20</f>
        <v>SP1</v>
      </c>
      <c r="H14" s="382" t="str">
        <f>'Portefeuille SP2'!F20</f>
        <v>FREDERIC BRUNIER</v>
      </c>
      <c r="I14" s="382"/>
      <c r="J14" s="382" t="str">
        <f>'Portefeuille SP2'!D20</f>
        <v>Door panel</v>
      </c>
      <c r="K14" s="385" t="str">
        <f>'Portefeuille SP2'!H20</f>
        <v>style/brand</v>
      </c>
      <c r="L14" s="157">
        <f>'Portefeuille SP2'!U20</f>
        <v>2.5000000000000001E-2</v>
      </c>
      <c r="M14" s="386"/>
      <c r="N14" s="386"/>
      <c r="O14" s="386"/>
      <c r="P14" s="400">
        <f>'Portefeuille SP2'!M20</f>
        <v>0</v>
      </c>
      <c r="Q14" s="387"/>
      <c r="R14" s="387">
        <f>'Portefeuille SP2'!N20</f>
        <v>0</v>
      </c>
      <c r="S14" s="387"/>
      <c r="T14" s="382">
        <f>'Portefeuille SP2'!R20</f>
        <v>0</v>
      </c>
      <c r="U14" s="387">
        <f>'Portefeuille SP2'!K20</f>
        <v>0</v>
      </c>
      <c r="V14" s="399">
        <f>'Portefeuille SP2'!S20</f>
        <v>0.25</v>
      </c>
      <c r="W14" s="387"/>
      <c r="X14" s="387"/>
      <c r="Y14" s="387"/>
      <c r="Z14" s="387"/>
      <c r="AA14" s="387"/>
      <c r="AB14" s="387"/>
      <c r="AC14" s="387"/>
      <c r="AD14" s="387"/>
      <c r="AE14" s="408" t="str">
        <f>'Portefeuille SP2'!J20</f>
        <v>CP P1H Sébastien Dupuis
23/06/25 LM : Vu avec Frédéric refusé par SP1 - A confirmer pour SPC</v>
      </c>
      <c r="AF14" s="387"/>
      <c r="AG14" s="387"/>
      <c r="AH14" s="389"/>
      <c r="AI14" s="389"/>
      <c r="AJ14" s="403">
        <f>'Portefeuille SP2'!V20</f>
        <v>1</v>
      </c>
      <c r="AK14" s="403">
        <f>'Portefeuille SP2'!W20</f>
        <v>1</v>
      </c>
      <c r="AL14" s="403">
        <f>'Portefeuille SP2'!X20</f>
        <v>1</v>
      </c>
      <c r="AM14" s="403">
        <f>'Portefeuille SP2'!Y20</f>
        <v>1</v>
      </c>
      <c r="AN14" s="403">
        <f>'Portefeuille SP2'!Z20</f>
        <v>1</v>
      </c>
      <c r="AO14" s="403">
        <f>'Portefeuille SP2'!AA20</f>
        <v>1</v>
      </c>
      <c r="AP14" s="403">
        <f>'Portefeuille SP2'!AB20</f>
        <v>1</v>
      </c>
      <c r="AQ14" s="403">
        <f>'Portefeuille SP2'!AC20</f>
        <v>1</v>
      </c>
      <c r="AR14" s="403">
        <f>'Portefeuille SP2'!AD20</f>
        <v>1</v>
      </c>
      <c r="AS14" s="403">
        <f>'Portefeuille SP2'!AE20</f>
        <v>1</v>
      </c>
      <c r="AT14" s="403">
        <f>'Portefeuille SP2'!AF20</f>
        <v>1</v>
      </c>
      <c r="AU14" s="403">
        <f>'Portefeuille SP2'!AG20</f>
        <v>1</v>
      </c>
      <c r="AV14" s="403">
        <f>'Portefeuille SP2'!AH20</f>
        <v>1</v>
      </c>
      <c r="AW14" s="403">
        <f>'Portefeuille SP2'!AI20</f>
        <v>1</v>
      </c>
      <c r="AX14" s="403">
        <f>'Portefeuille SP2'!AJ20</f>
        <v>1</v>
      </c>
      <c r="AY14" s="403">
        <f>'Portefeuille SP2'!AK20</f>
        <v>1</v>
      </c>
      <c r="AZ14" s="403">
        <f>'Portefeuille SP2'!AL20</f>
        <v>1</v>
      </c>
      <c r="BA14" s="403">
        <f>'Portefeuille SP2'!AM20</f>
        <v>1</v>
      </c>
      <c r="BB14" s="403">
        <f>'Portefeuille SP2'!AN20</f>
        <v>1</v>
      </c>
      <c r="BC14" s="403">
        <f>'Portefeuille SP2'!AO20</f>
        <v>1</v>
      </c>
      <c r="BD14" s="403">
        <f>'Portefeuille SP2'!AP20</f>
        <v>1</v>
      </c>
      <c r="BE14" s="403">
        <f>'Portefeuille SP2'!AQ20</f>
        <v>1</v>
      </c>
      <c r="BF14" s="403">
        <f>'Portefeuille SP2'!AR20</f>
        <v>1</v>
      </c>
      <c r="BG14" s="403" t="e">
        <f>'Portefeuille SP2'!#REF!</f>
        <v>#REF!</v>
      </c>
      <c r="BH14" s="403" t="e">
        <f>'Portefeuille SP2'!#REF!</f>
        <v>#REF!</v>
      </c>
      <c r="BI14" s="403" t="e">
        <f>'Portefeuille SP2'!#REF!</f>
        <v>#REF!</v>
      </c>
      <c r="BJ14" s="403" t="e">
        <f>'Portefeuille SP2'!#REF!</f>
        <v>#REF!</v>
      </c>
      <c r="BK14" s="403" t="e">
        <f>'Portefeuille SP2'!#REF!</f>
        <v>#REF!</v>
      </c>
      <c r="BL14" s="388"/>
      <c r="BM14" s="404" t="str">
        <f>'Portefeuille SP2'!L20</f>
        <v>01/04/2025 FOAM nécessaire pour process/frn. Et Risque d'ajout d'un tissu embossé sur Portes AV - Demande STYLE, TT niveau -(PTM/VSM)
15/11/2024 Suppression FOAM
14/03/2024 Line-up V9</v>
      </c>
    </row>
    <row r="15" spans="1:65" ht="23.25" customHeight="1">
      <c r="A15" s="383" t="str">
        <f>'Portefeuille SP2'!B21</f>
        <v>01/04/2025</v>
      </c>
      <c r="B15" s="390" t="str">
        <f>'Portefeuille SP2'!Q21</f>
        <v>CANCELED</v>
      </c>
      <c r="C15" s="384"/>
      <c r="D15" s="382" t="str">
        <f>'Portefeuille SP2'!E21</f>
        <v>TH</v>
      </c>
      <c r="E15" s="382" t="str">
        <f t="shared" si="0"/>
        <v>INT</v>
      </c>
      <c r="F15" s="382" t="str">
        <f t="shared" si="1"/>
        <v xml:space="preserve"> - PDB/CONSOLE</v>
      </c>
      <c r="G15" s="382" t="str">
        <f>'Portefeuille SP2'!C21</f>
        <v>SP1</v>
      </c>
      <c r="H15" s="382" t="str">
        <f>'Portefeuille SP2'!F21</f>
        <v>FREDERIC BRUNIER</v>
      </c>
      <c r="I15" s="382"/>
      <c r="J15" s="382" t="str">
        <f>'Portefeuille SP2'!D21</f>
        <v>INT - PDB/CONSOLE</v>
      </c>
      <c r="K15" s="385" t="str">
        <f>'Portefeuille SP2'!H21</f>
        <v>style/brand</v>
      </c>
      <c r="L15" s="157">
        <f>'Portefeuille SP2'!U21</f>
        <v>2.5000000000000001E-2</v>
      </c>
      <c r="M15" s="386"/>
      <c r="N15" s="386"/>
      <c r="O15" s="386"/>
      <c r="P15" s="400">
        <f>'Portefeuille SP2'!M21</f>
        <v>0</v>
      </c>
      <c r="Q15" s="387"/>
      <c r="R15" s="387">
        <f>'Portefeuille SP2'!N21</f>
        <v>0</v>
      </c>
      <c r="S15" s="387"/>
      <c r="T15" s="382">
        <f>'Portefeuille SP2'!R21</f>
        <v>0</v>
      </c>
      <c r="U15" s="387">
        <f>'Portefeuille SP2'!K21</f>
        <v>0</v>
      </c>
      <c r="V15" s="399">
        <f>'Portefeuille SP2'!S21</f>
        <v>0.25</v>
      </c>
      <c r="W15" s="387"/>
      <c r="X15" s="387"/>
      <c r="Y15" s="387"/>
      <c r="Z15" s="387"/>
      <c r="AA15" s="387"/>
      <c r="AB15" s="387"/>
      <c r="AC15" s="387"/>
      <c r="AD15" s="387"/>
      <c r="AE15" s="408" t="str">
        <f>'Portefeuille SP2'!J21</f>
        <v>CP P1H Sébastien Dupuis
23/06/25 LM : Vu avec Frédéric refusé par SP1 - A confirmer pour SPC</v>
      </c>
      <c r="AF15" s="387"/>
      <c r="AG15" s="387"/>
      <c r="AH15" s="389"/>
      <c r="AI15" s="389"/>
      <c r="AJ15" s="403">
        <f>'Portefeuille SP2'!V21</f>
        <v>1</v>
      </c>
      <c r="AK15" s="403">
        <f>'Portefeuille SP2'!W21</f>
        <v>1</v>
      </c>
      <c r="AL15" s="403">
        <f>'Portefeuille SP2'!X21</f>
        <v>1</v>
      </c>
      <c r="AM15" s="403">
        <f>'Portefeuille SP2'!Y21</f>
        <v>1</v>
      </c>
      <c r="AN15" s="403">
        <f>'Portefeuille SP2'!Z21</f>
        <v>1</v>
      </c>
      <c r="AO15" s="403">
        <f>'Portefeuille SP2'!AA21</f>
        <v>1</v>
      </c>
      <c r="AP15" s="403">
        <f>'Portefeuille SP2'!AB21</f>
        <v>1</v>
      </c>
      <c r="AQ15" s="403">
        <f>'Portefeuille SP2'!AC21</f>
        <v>1</v>
      </c>
      <c r="AR15" s="403">
        <f>'Portefeuille SP2'!AD21</f>
        <v>1</v>
      </c>
      <c r="AS15" s="403">
        <f>'Portefeuille SP2'!AE21</f>
        <v>1</v>
      </c>
      <c r="AT15" s="403">
        <f>'Portefeuille SP2'!AF21</f>
        <v>1</v>
      </c>
      <c r="AU15" s="403">
        <f>'Portefeuille SP2'!AG21</f>
        <v>1</v>
      </c>
      <c r="AV15" s="403">
        <f>'Portefeuille SP2'!AH21</f>
        <v>1</v>
      </c>
      <c r="AW15" s="403">
        <f>'Portefeuille SP2'!AI21</f>
        <v>1</v>
      </c>
      <c r="AX15" s="403">
        <f>'Portefeuille SP2'!AJ21</f>
        <v>1</v>
      </c>
      <c r="AY15" s="403">
        <f>'Portefeuille SP2'!AK21</f>
        <v>1</v>
      </c>
      <c r="AZ15" s="403">
        <f>'Portefeuille SP2'!AL21</f>
        <v>1</v>
      </c>
      <c r="BA15" s="403">
        <f>'Portefeuille SP2'!AM21</f>
        <v>1</v>
      </c>
      <c r="BB15" s="403">
        <f>'Portefeuille SP2'!AN21</f>
        <v>1</v>
      </c>
      <c r="BC15" s="403">
        <f>'Portefeuille SP2'!AO21</f>
        <v>1</v>
      </c>
      <c r="BD15" s="403">
        <f>'Portefeuille SP2'!AP21</f>
        <v>1</v>
      </c>
      <c r="BE15" s="403">
        <f>'Portefeuille SP2'!AQ21</f>
        <v>1</v>
      </c>
      <c r="BF15" s="403">
        <f>'Portefeuille SP2'!AR21</f>
        <v>1</v>
      </c>
      <c r="BG15" s="403" t="e">
        <f>'Portefeuille SP2'!#REF!</f>
        <v>#REF!</v>
      </c>
      <c r="BH15" s="403" t="e">
        <f>'Portefeuille SP2'!#REF!</f>
        <v>#REF!</v>
      </c>
      <c r="BI15" s="403" t="e">
        <f>'Portefeuille SP2'!#REF!</f>
        <v>#REF!</v>
      </c>
      <c r="BJ15" s="403" t="e">
        <f>'Portefeuille SP2'!#REF!</f>
        <v>#REF!</v>
      </c>
      <c r="BK15" s="403" t="e">
        <f>'Portefeuille SP2'!#REF!</f>
        <v>#REF!</v>
      </c>
      <c r="BL15" s="388"/>
      <c r="BM15" s="404" t="str">
        <f>'Portefeuille SP2'!L21</f>
        <v>01/04/2025 Idem Pano Porte
20/09/2024 Passage en PT/VSM CW40
05/09/2024 A revoir avec Guillaume
14/03/2024 Line-up V9</v>
      </c>
    </row>
    <row r="16" spans="1:65" ht="23.25" customHeight="1">
      <c r="A16" s="383">
        <f>'Portefeuille SP2'!B22</f>
        <v>45546</v>
      </c>
      <c r="B16" s="390" t="str">
        <f>'Portefeuille SP2'!Q22</f>
        <v>DECIDED</v>
      </c>
      <c r="C16" s="384"/>
      <c r="D16" s="382" t="str">
        <f>'Portefeuille SP2'!E22</f>
        <v>TH</v>
      </c>
      <c r="E16" s="382" t="str">
        <f t="shared" si="0"/>
        <v>BIW</v>
      </c>
      <c r="F16" s="382" t="str">
        <f t="shared" si="1"/>
        <v xml:space="preserve"> </v>
      </c>
      <c r="G16" s="382" t="str">
        <f>'Portefeuille SP2'!C22</f>
        <v>SPC_1</v>
      </c>
      <c r="H16" s="382" t="str">
        <f>'Portefeuille SP2'!F22</f>
        <v>FRANK BAILLON</v>
      </c>
      <c r="I16" s="382"/>
      <c r="J16" s="382" t="str">
        <f>'Portefeuille SP2'!D22</f>
        <v xml:space="preserve">BIW </v>
      </c>
      <c r="K16" s="385" t="str">
        <f>'Portefeuille SP2'!H22</f>
        <v>B pillar inner</v>
      </c>
      <c r="L16" s="157">
        <f>'Portefeuille SP2'!U22</f>
        <v>0.75</v>
      </c>
      <c r="M16" s="386"/>
      <c r="N16" s="386"/>
      <c r="O16" s="386"/>
      <c r="P16" s="400" t="str">
        <f>'Portefeuille SP2'!M22</f>
        <v>-350K€</v>
      </c>
      <c r="Q16" s="387"/>
      <c r="R16" s="387">
        <f>'Portefeuille SP2'!N22</f>
        <v>2</v>
      </c>
      <c r="S16" s="387"/>
      <c r="T16" s="382" t="str">
        <f>'Portefeuille SP2'!R22</f>
        <v>TBD</v>
      </c>
      <c r="U16" s="387" t="str">
        <f>'Portefeuille SP2'!K22</f>
        <v>DTM PM-CM</v>
      </c>
      <c r="V16" s="399">
        <f>'Portefeuille SP2'!S22</f>
        <v>0.5</v>
      </c>
      <c r="W16" s="387"/>
      <c r="X16" s="387"/>
      <c r="Y16" s="387"/>
      <c r="Z16" s="387"/>
      <c r="AA16" s="387"/>
      <c r="AB16" s="387"/>
      <c r="AC16" s="387"/>
      <c r="AD16" s="387"/>
      <c r="AE16" s="408" t="str">
        <f>'Portefeuille SP2'!J22</f>
        <v xml:space="preserve">06/10/2025 a reboucler avec l'embout - Mickael
Ludovic DASNOIS
</v>
      </c>
      <c r="AF16" s="387"/>
      <c r="AG16" s="387"/>
      <c r="AH16" s="389"/>
      <c r="AI16" s="389"/>
      <c r="AJ16" s="403">
        <f>'Portefeuille SP2'!V22</f>
        <v>1</v>
      </c>
      <c r="AK16" s="403">
        <f>'Portefeuille SP2'!W22</f>
        <v>1</v>
      </c>
      <c r="AL16" s="403">
        <f>'Portefeuille SP2'!X22</f>
        <v>1</v>
      </c>
      <c r="AM16" s="403">
        <f>'Portefeuille SP2'!Y22</f>
        <v>1</v>
      </c>
      <c r="AN16" s="403">
        <f>'Portefeuille SP2'!Z22</f>
        <v>1</v>
      </c>
      <c r="AO16" s="403">
        <f>'Portefeuille SP2'!AA22</f>
        <v>1</v>
      </c>
      <c r="AP16" s="403">
        <f>'Portefeuille SP2'!AB22</f>
        <v>1</v>
      </c>
      <c r="AQ16" s="403">
        <f>'Portefeuille SP2'!AC22</f>
        <v>1</v>
      </c>
      <c r="AR16" s="403">
        <f>'Portefeuille SP2'!AD22</f>
        <v>1</v>
      </c>
      <c r="AS16" s="403">
        <f>'Portefeuille SP2'!AE22</f>
        <v>1</v>
      </c>
      <c r="AT16" s="403">
        <f>'Portefeuille SP2'!AF22</f>
        <v>1</v>
      </c>
      <c r="AU16" s="403">
        <f>'Portefeuille SP2'!AG22</f>
        <v>1</v>
      </c>
      <c r="AV16" s="403">
        <f>'Portefeuille SP2'!AH22</f>
        <v>1</v>
      </c>
      <c r="AW16" s="403">
        <f>'Portefeuille SP2'!AI22</f>
        <v>1</v>
      </c>
      <c r="AX16" s="403">
        <f>'Portefeuille SP2'!AJ22</f>
        <v>1</v>
      </c>
      <c r="AY16" s="403">
        <f>'Portefeuille SP2'!AK22</f>
        <v>1</v>
      </c>
      <c r="AZ16" s="403">
        <f>'Portefeuille SP2'!AL22</f>
        <v>1</v>
      </c>
      <c r="BA16" s="403">
        <f>'Portefeuille SP2'!AM22</f>
        <v>1</v>
      </c>
      <c r="BB16" s="403">
        <f>'Portefeuille SP2'!AN22</f>
        <v>1</v>
      </c>
      <c r="BC16" s="403">
        <f>'Portefeuille SP2'!AO22</f>
        <v>1</v>
      </c>
      <c r="BD16" s="403">
        <f>'Portefeuille SP2'!AP22</f>
        <v>1</v>
      </c>
      <c r="BE16" s="403">
        <f>'Portefeuille SP2'!AQ22</f>
        <v>1</v>
      </c>
      <c r="BF16" s="403">
        <f>'Portefeuille SP2'!AR22</f>
        <v>1</v>
      </c>
      <c r="BG16" s="403" t="e">
        <f>'Portefeuille SP2'!#REF!</f>
        <v>#REF!</v>
      </c>
      <c r="BH16" s="403" t="e">
        <f>'Portefeuille SP2'!#REF!</f>
        <v>#REF!</v>
      </c>
      <c r="BI16" s="403" t="e">
        <f>'Portefeuille SP2'!#REF!</f>
        <v>#REF!</v>
      </c>
      <c r="BJ16" s="403" t="e">
        <f>'Portefeuille SP2'!#REF!</f>
        <v>#REF!</v>
      </c>
      <c r="BK16" s="403" t="e">
        <f>'Portefeuille SP2'!#REF!</f>
        <v>#REF!</v>
      </c>
      <c r="BL16" s="388"/>
      <c r="BM16" s="404" t="str">
        <f>'Portefeuille SP2'!L22</f>
        <v>26/06/2025 a reboucler après hypothèse projet</v>
      </c>
    </row>
    <row r="17" spans="1:65" ht="15" customHeight="1">
      <c r="A17" s="383">
        <f>'Portefeuille SP2'!B23</f>
        <v>46058</v>
      </c>
      <c r="B17" s="390" t="str">
        <f>'Portefeuille SP2'!Q23</f>
        <v>IN PROGRESS</v>
      </c>
      <c r="C17" s="384"/>
      <c r="D17" s="382" t="str">
        <f>'Portefeuille SP2'!E23</f>
        <v>PTF</v>
      </c>
      <c r="E17" s="382" t="str">
        <f t="shared" si="0"/>
        <v>BCI</v>
      </c>
      <c r="F17" s="382" t="str">
        <f t="shared" si="1"/>
        <v>_CHASSIS</v>
      </c>
      <c r="G17" s="382" t="str">
        <f>'Portefeuille SP2'!C23</f>
        <v>SP1</v>
      </c>
      <c r="H17" s="382">
        <f>'Portefeuille SP2'!F23</f>
        <v>0</v>
      </c>
      <c r="I17" s="382"/>
      <c r="J17" s="382" t="str">
        <f>'Portefeuille SP2'!D23</f>
        <v>BCI_CHASSIS</v>
      </c>
      <c r="K17" s="385" t="str">
        <f>'Portefeuille SP2'!H23</f>
        <v xml:space="preserve">Rr axle ML </v>
      </c>
      <c r="L17" s="157">
        <f>'Portefeuille SP2'!U23</f>
        <v>0</v>
      </c>
      <c r="M17" s="386"/>
      <c r="N17" s="386"/>
      <c r="O17" s="386"/>
      <c r="P17" s="400">
        <f>'Portefeuille SP2'!M23</f>
        <v>0</v>
      </c>
      <c r="Q17" s="387"/>
      <c r="R17" s="387">
        <f>'Portefeuille SP2'!N23</f>
        <v>0</v>
      </c>
      <c r="S17" s="387"/>
      <c r="T17" s="382">
        <f>'Portefeuille SP2'!R23</f>
        <v>0</v>
      </c>
      <c r="U17" s="387">
        <f>'Portefeuille SP2'!K23</f>
        <v>0</v>
      </c>
      <c r="V17" s="399">
        <f>'Portefeuille SP2'!S23</f>
        <v>0.75</v>
      </c>
      <c r="W17" s="387"/>
      <c r="X17" s="387"/>
      <c r="Y17" s="387"/>
      <c r="Z17" s="387"/>
      <c r="AA17" s="387"/>
      <c r="AB17" s="387"/>
      <c r="AC17" s="387"/>
      <c r="AD17" s="387"/>
      <c r="AE17" s="408">
        <f>'Portefeuille SP2'!J23</f>
        <v>0</v>
      </c>
      <c r="AF17" s="387"/>
      <c r="AG17" s="387"/>
      <c r="AH17" s="389"/>
      <c r="AI17" s="389"/>
      <c r="AJ17" s="403">
        <f>'Portefeuille SP2'!V23</f>
        <v>1</v>
      </c>
      <c r="AK17" s="403">
        <f>'Portefeuille SP2'!W23</f>
        <v>1</v>
      </c>
      <c r="AL17" s="403">
        <f>'Portefeuille SP2'!X23</f>
        <v>1</v>
      </c>
      <c r="AM17" s="403">
        <f>'Portefeuille SP2'!Y23</f>
        <v>1</v>
      </c>
      <c r="AN17" s="403">
        <f>'Portefeuille SP2'!Z23</f>
        <v>1</v>
      </c>
      <c r="AO17" s="403">
        <f>'Portefeuille SP2'!AA23</f>
        <v>1</v>
      </c>
      <c r="AP17" s="403">
        <f>'Portefeuille SP2'!AB23</f>
        <v>1</v>
      </c>
      <c r="AQ17" s="403">
        <f>'Portefeuille SP2'!AC23</f>
        <v>1</v>
      </c>
      <c r="AR17" s="403">
        <f>'Portefeuille SP2'!AD23</f>
        <v>1</v>
      </c>
      <c r="AS17" s="403">
        <f>'Portefeuille SP2'!AE23</f>
        <v>1</v>
      </c>
      <c r="AT17" s="403">
        <f>'Portefeuille SP2'!AF23</f>
        <v>1</v>
      </c>
      <c r="AU17" s="403">
        <f>'Portefeuille SP2'!AG23</f>
        <v>1</v>
      </c>
      <c r="AV17" s="403">
        <f>'Portefeuille SP2'!AH23</f>
        <v>1</v>
      </c>
      <c r="AW17" s="403">
        <f>'Portefeuille SP2'!AI23</f>
        <v>1</v>
      </c>
      <c r="AX17" s="403">
        <f>'Portefeuille SP2'!AJ23</f>
        <v>1</v>
      </c>
      <c r="AY17" s="403">
        <f>'Portefeuille SP2'!AK23</f>
        <v>1</v>
      </c>
      <c r="AZ17" s="403">
        <f>'Portefeuille SP2'!AL23</f>
        <v>1</v>
      </c>
      <c r="BA17" s="403">
        <f>'Portefeuille SP2'!AM23</f>
        <v>1</v>
      </c>
      <c r="BB17" s="403">
        <f>'Portefeuille SP2'!AN23</f>
        <v>1</v>
      </c>
      <c r="BC17" s="403">
        <f>'Portefeuille SP2'!AO23</f>
        <v>1</v>
      </c>
      <c r="BD17" s="403">
        <f>'Portefeuille SP2'!AP23</f>
        <v>1</v>
      </c>
      <c r="BE17" s="403">
        <f>'Portefeuille SP2'!AQ23</f>
        <v>1</v>
      </c>
      <c r="BF17" s="403">
        <f>'Portefeuille SP2'!AR23</f>
        <v>1</v>
      </c>
      <c r="BG17" s="403" t="e">
        <f>'Portefeuille SP2'!#REF!</f>
        <v>#REF!</v>
      </c>
      <c r="BH17" s="403" t="e">
        <f>'Portefeuille SP2'!#REF!</f>
        <v>#REF!</v>
      </c>
      <c r="BI17" s="403" t="e">
        <f>'Portefeuille SP2'!#REF!</f>
        <v>#REF!</v>
      </c>
      <c r="BJ17" s="403" t="e">
        <f>'Portefeuille SP2'!#REF!</f>
        <v>#REF!</v>
      </c>
      <c r="BK17" s="403" t="e">
        <f>'Portefeuille SP2'!#REF!</f>
        <v>#REF!</v>
      </c>
      <c r="BL17" s="388"/>
      <c r="BM17" s="404" t="str">
        <f>'Portefeuille SP2'!L23</f>
        <v>27/11/2025 : Présentation en VSM/PTM. Gain important en Aero, mais cout important (+3,5€). Besoin à confirmer après essai, pas en ref en ce moment. Nouvelle estimation à 0,5 kg
03/10/2025 : Aero demande des écrans sur les bras du ML. Demande à confirmer.</v>
      </c>
    </row>
    <row r="18" spans="1:65" ht="15" customHeight="1">
      <c r="A18" s="383" t="str">
        <f>'Portefeuille SP2'!B24</f>
        <v>11/06/2025</v>
      </c>
      <c r="B18" s="390" t="str">
        <f>'Portefeuille SP2'!Q24</f>
        <v>CANCELED</v>
      </c>
      <c r="C18" s="384"/>
      <c r="D18" s="382" t="str">
        <f>'Portefeuille SP2'!E24</f>
        <v>TH</v>
      </c>
      <c r="E18" s="382" t="str">
        <f t="shared" si="0"/>
        <v>DIW</v>
      </c>
      <c r="F18" s="382" t="str">
        <f t="shared" si="1"/>
        <v/>
      </c>
      <c r="G18" s="382" t="str">
        <f>'Portefeuille SP2'!C24</f>
        <v>SP1</v>
      </c>
      <c r="H18" s="382" t="str">
        <f>'Portefeuille SP2'!F24</f>
        <v>Filipe Goncalves (P1H)/
Cyrille P1X</v>
      </c>
      <c r="I18" s="382"/>
      <c r="J18" s="382" t="str">
        <f>'Portefeuille SP2'!D24</f>
        <v>DIW</v>
      </c>
      <c r="K18" s="385" t="str">
        <f>'Portefeuille SP2'!H24</f>
        <v>BIW/ DIW process</v>
      </c>
      <c r="L18" s="157">
        <f>'Portefeuille SP2'!U24</f>
        <v>-0.05</v>
      </c>
      <c r="M18" s="386"/>
      <c r="N18" s="386"/>
      <c r="O18" s="386"/>
      <c r="P18" s="400">
        <f>'Portefeuille SP2'!M24</f>
        <v>0</v>
      </c>
      <c r="Q18" s="387"/>
      <c r="R18" s="387">
        <f>'Portefeuille SP2'!N24</f>
        <v>0</v>
      </c>
      <c r="S18" s="387"/>
      <c r="T18" s="382">
        <f>'Portefeuille SP2'!R24</f>
        <v>0</v>
      </c>
      <c r="U18" s="387">
        <f>'Portefeuille SP2'!K24</f>
        <v>0</v>
      </c>
      <c r="V18" s="399">
        <f>'Portefeuille SP2'!S24</f>
        <v>0.5</v>
      </c>
      <c r="W18" s="387"/>
      <c r="X18" s="387"/>
      <c r="Y18" s="387"/>
      <c r="Z18" s="387"/>
      <c r="AA18" s="387"/>
      <c r="AB18" s="387"/>
      <c r="AC18" s="387"/>
      <c r="AD18" s="387"/>
      <c r="AE18" s="408" t="str">
        <f>'Portefeuille SP2'!J24</f>
        <v>déjà intégré dans la BDD SP2 - ligne à supprimer</v>
      </c>
      <c r="AF18" s="387"/>
      <c r="AG18" s="387"/>
      <c r="AH18" s="389"/>
      <c r="AI18" s="389"/>
      <c r="AJ18" s="403">
        <f>'Portefeuille SP2'!V24</f>
        <v>1</v>
      </c>
      <c r="AK18" s="403">
        <f>'Portefeuille SP2'!W24</f>
        <v>1</v>
      </c>
      <c r="AL18" s="403">
        <f>'Portefeuille SP2'!X24</f>
        <v>1</v>
      </c>
      <c r="AM18" s="403">
        <f>'Portefeuille SP2'!Y24</f>
        <v>1</v>
      </c>
      <c r="AN18" s="403">
        <f>'Portefeuille SP2'!Z24</f>
        <v>1</v>
      </c>
      <c r="AO18" s="403">
        <f>'Portefeuille SP2'!AA24</f>
        <v>1</v>
      </c>
      <c r="AP18" s="403">
        <f>'Portefeuille SP2'!AB24</f>
        <v>1</v>
      </c>
      <c r="AQ18" s="403">
        <f>'Portefeuille SP2'!AC24</f>
        <v>1</v>
      </c>
      <c r="AR18" s="403">
        <f>'Portefeuille SP2'!AD24</f>
        <v>1</v>
      </c>
      <c r="AS18" s="403">
        <f>'Portefeuille SP2'!AE24</f>
        <v>1</v>
      </c>
      <c r="AT18" s="403">
        <f>'Portefeuille SP2'!AF24</f>
        <v>1</v>
      </c>
      <c r="AU18" s="403">
        <f>'Portefeuille SP2'!AG24</f>
        <v>1</v>
      </c>
      <c r="AV18" s="403">
        <f>'Portefeuille SP2'!AH24</f>
        <v>1</v>
      </c>
      <c r="AW18" s="403">
        <f>'Portefeuille SP2'!AI24</f>
        <v>1</v>
      </c>
      <c r="AX18" s="403">
        <f>'Portefeuille SP2'!AJ24</f>
        <v>1</v>
      </c>
      <c r="AY18" s="403">
        <f>'Portefeuille SP2'!AK24</f>
        <v>1</v>
      </c>
      <c r="AZ18" s="403">
        <f>'Portefeuille SP2'!AL24</f>
        <v>1</v>
      </c>
      <c r="BA18" s="403">
        <f>'Portefeuille SP2'!AM24</f>
        <v>1</v>
      </c>
      <c r="BB18" s="403">
        <f>'Portefeuille SP2'!AN24</f>
        <v>1</v>
      </c>
      <c r="BC18" s="403">
        <f>'Portefeuille SP2'!AO24</f>
        <v>1</v>
      </c>
      <c r="BD18" s="403">
        <f>'Portefeuille SP2'!AP24</f>
        <v>1</v>
      </c>
      <c r="BE18" s="403">
        <f>'Portefeuille SP2'!AQ24</f>
        <v>1</v>
      </c>
      <c r="BF18" s="403">
        <f>'Portefeuille SP2'!AR24</f>
        <v>1</v>
      </c>
      <c r="BG18" s="403" t="e">
        <f>'Portefeuille SP2'!#REF!</f>
        <v>#REF!</v>
      </c>
      <c r="BH18" s="403" t="e">
        <f>'Portefeuille SP2'!#REF!</f>
        <v>#REF!</v>
      </c>
      <c r="BI18" s="403" t="e">
        <f>'Portefeuille SP2'!#REF!</f>
        <v>#REF!</v>
      </c>
      <c r="BJ18" s="403" t="e">
        <f>'Portefeuille SP2'!#REF!</f>
        <v>#REF!</v>
      </c>
      <c r="BK18" s="403" t="e">
        <f>'Portefeuille SP2'!#REF!</f>
        <v>#REF!</v>
      </c>
      <c r="BL18" s="388"/>
      <c r="BM18" s="404" t="str">
        <f>'Portefeuille SP2'!L24</f>
        <v>02/07/2025 CANCELLED : Ep.mini déjà atteinte (chgt de matière possible mais aurait nécessité une dimintution d'épasisseur)
11/06/2025 A ré-évaluer
04/11/2024 Idem post Go-Calcul SYNC3
08/07/2024 Retour calcul SYNC3 (Go calcul Nov =&gt; 2025?)
Pièce en Embout à chaud</v>
      </c>
    </row>
    <row r="19" spans="1:65" ht="15" customHeight="1">
      <c r="A19" s="383">
        <f>'Portefeuille SP2'!B25</f>
        <v>45536</v>
      </c>
      <c r="B19" s="390" t="str">
        <f>'Portefeuille SP2'!Q25</f>
        <v>DECIDED</v>
      </c>
      <c r="C19" s="384"/>
      <c r="D19" s="382" t="str">
        <f>'Portefeuille SP2'!E25</f>
        <v>TH</v>
      </c>
      <c r="E19" s="382" t="str">
        <f t="shared" si="0"/>
        <v>BIW</v>
      </c>
      <c r="F19" s="382" t="str">
        <f t="shared" si="1"/>
        <v xml:space="preserve"> </v>
      </c>
      <c r="G19" s="382" t="str">
        <f>'Portefeuille SP2'!C25</f>
        <v>SPC_1</v>
      </c>
      <c r="H19" s="382" t="str">
        <f>'Portefeuille SP2'!F25</f>
        <v>MICHAEL BORE</v>
      </c>
      <c r="I19" s="382"/>
      <c r="J19" s="382" t="str">
        <f>'Portefeuille SP2'!D25</f>
        <v xml:space="preserve">BIW </v>
      </c>
      <c r="K19" s="385" t="str">
        <f>'Portefeuille SP2'!H25</f>
        <v>Rear quarter GLASS</v>
      </c>
      <c r="L19" s="157">
        <f>'Portefeuille SP2'!U25</f>
        <v>0.75</v>
      </c>
      <c r="M19" s="386"/>
      <c r="N19" s="386"/>
      <c r="O19" s="386"/>
      <c r="P19" s="400" t="str">
        <f>'Portefeuille SP2'!M25</f>
        <v>690K€</v>
      </c>
      <c r="Q19" s="387"/>
      <c r="R19" s="387">
        <f>'Portefeuille SP2'!N25</f>
        <v>27.1</v>
      </c>
      <c r="S19" s="387"/>
      <c r="T19" s="382" t="str">
        <f>'Portefeuille SP2'!R25</f>
        <v>TBD</v>
      </c>
      <c r="U19" s="387" t="str">
        <f>'Portefeuille SP2'!K25</f>
        <v>PM-CM</v>
      </c>
      <c r="V19" s="399">
        <f>'Portefeuille SP2'!S25</f>
        <v>0.75</v>
      </c>
      <c r="W19" s="387"/>
      <c r="X19" s="387"/>
      <c r="Y19" s="387"/>
      <c r="Z19" s="387"/>
      <c r="AA19" s="387"/>
      <c r="AB19" s="387"/>
      <c r="AC19" s="387"/>
      <c r="AD19" s="387"/>
      <c r="AE19" s="408" t="str">
        <f>'Portefeuille SP2'!J25</f>
        <v xml:space="preserve">06/10/2025 OK pour P3U et J2U
</v>
      </c>
      <c r="AF19" s="387"/>
      <c r="AG19" s="387"/>
      <c r="AH19" s="389"/>
      <c r="AI19" s="389"/>
      <c r="AJ19" s="403">
        <f>'Portefeuille SP2'!V25</f>
        <v>1</v>
      </c>
      <c r="AK19" s="403">
        <f>'Portefeuille SP2'!W25</f>
        <v>1</v>
      </c>
      <c r="AL19" s="403">
        <f>'Portefeuille SP2'!X25</f>
        <v>1</v>
      </c>
      <c r="AM19" s="403">
        <f>'Portefeuille SP2'!Y25</f>
        <v>1</v>
      </c>
      <c r="AN19" s="403">
        <f>'Portefeuille SP2'!Z25</f>
        <v>1</v>
      </c>
      <c r="AO19" s="403">
        <f>'Portefeuille SP2'!AA25</f>
        <v>1</v>
      </c>
      <c r="AP19" s="403">
        <f>'Portefeuille SP2'!AB25</f>
        <v>1</v>
      </c>
      <c r="AQ19" s="403">
        <f>'Portefeuille SP2'!AC25</f>
        <v>1</v>
      </c>
      <c r="AR19" s="403">
        <f>'Portefeuille SP2'!AD25</f>
        <v>1</v>
      </c>
      <c r="AS19" s="403">
        <f>'Portefeuille SP2'!AE25</f>
        <v>1</v>
      </c>
      <c r="AT19" s="403">
        <f>'Portefeuille SP2'!AF25</f>
        <v>1</v>
      </c>
      <c r="AU19" s="403">
        <f>'Portefeuille SP2'!AG25</f>
        <v>1</v>
      </c>
      <c r="AV19" s="403">
        <f>'Portefeuille SP2'!AH25</f>
        <v>1</v>
      </c>
      <c r="AW19" s="403">
        <f>'Portefeuille SP2'!AI25</f>
        <v>1</v>
      </c>
      <c r="AX19" s="403">
        <f>'Portefeuille SP2'!AJ25</f>
        <v>1</v>
      </c>
      <c r="AY19" s="403">
        <f>'Portefeuille SP2'!AK25</f>
        <v>1</v>
      </c>
      <c r="AZ19" s="403">
        <f>'Portefeuille SP2'!AL25</f>
        <v>1</v>
      </c>
      <c r="BA19" s="403">
        <f>'Portefeuille SP2'!AM25</f>
        <v>1</v>
      </c>
      <c r="BB19" s="403">
        <f>'Portefeuille SP2'!AN25</f>
        <v>1</v>
      </c>
      <c r="BC19" s="403">
        <f>'Portefeuille SP2'!AO25</f>
        <v>1</v>
      </c>
      <c r="BD19" s="403">
        <f>'Portefeuille SP2'!AP25</f>
        <v>1</v>
      </c>
      <c r="BE19" s="403">
        <f>'Portefeuille SP2'!AQ25</f>
        <v>1</v>
      </c>
      <c r="BF19" s="403">
        <f>'Portefeuille SP2'!AR25</f>
        <v>1</v>
      </c>
      <c r="BG19" s="403" t="e">
        <f>'Portefeuille SP2'!#REF!</f>
        <v>#REF!</v>
      </c>
      <c r="BH19" s="403" t="e">
        <f>'Portefeuille SP2'!#REF!</f>
        <v>#REF!</v>
      </c>
      <c r="BI19" s="403" t="e">
        <f>'Portefeuille SP2'!#REF!</f>
        <v>#REF!</v>
      </c>
      <c r="BJ19" s="403" t="e">
        <f>'Portefeuille SP2'!#REF!</f>
        <v>#REF!</v>
      </c>
      <c r="BK19" s="403" t="e">
        <f>'Portefeuille SP2'!#REF!</f>
        <v>#REF!</v>
      </c>
      <c r="BL19" s="388"/>
      <c r="BM19" s="404" t="str">
        <f>'Portefeuille SP2'!L25</f>
        <v>26/06/2025 a reboucler après hypothèse projet</v>
      </c>
    </row>
    <row r="20" spans="1:65" ht="15" customHeight="1">
      <c r="A20" s="383">
        <f>'Portefeuille SP2'!B26</f>
        <v>46058</v>
      </c>
      <c r="B20" s="390" t="str">
        <f>'Portefeuille SP2'!Q26</f>
        <v>IN PROGRESS</v>
      </c>
      <c r="C20" s="384"/>
      <c r="D20" s="382" t="str">
        <f>'Portefeuille SP2'!E26</f>
        <v>PTF</v>
      </c>
      <c r="E20" s="382" t="str">
        <f t="shared" si="0"/>
        <v>SWX</v>
      </c>
      <c r="F20" s="382" t="str">
        <f t="shared" si="1"/>
        <v>/EE</v>
      </c>
      <c r="G20" s="382" t="str">
        <f>'Portefeuille SP2'!C26</f>
        <v>SP1</v>
      </c>
      <c r="H20" s="382">
        <f>'Portefeuille SP2'!F26</f>
        <v>0</v>
      </c>
      <c r="I20" s="382"/>
      <c r="J20" s="382" t="str">
        <f>'Portefeuille SP2'!D26</f>
        <v>SWX/EE</v>
      </c>
      <c r="K20" s="385" t="str">
        <f>'Portefeuille SP2'!H26</f>
        <v>ENGINE CABLE DUCT</v>
      </c>
      <c r="L20" s="157">
        <f>'Portefeuille SP2'!U26</f>
        <v>0.01</v>
      </c>
      <c r="M20" s="386"/>
      <c r="N20" s="386"/>
      <c r="O20" s="386"/>
      <c r="P20" s="400">
        <f>'Portefeuille SP2'!M26</f>
        <v>0</v>
      </c>
      <c r="Q20" s="387"/>
      <c r="R20" s="387">
        <f>'Portefeuille SP2'!N26</f>
        <v>0</v>
      </c>
      <c r="S20" s="387"/>
      <c r="T20" s="382">
        <f>'Portefeuille SP2'!R26</f>
        <v>0</v>
      </c>
      <c r="U20" s="387">
        <f>'Portefeuille SP2'!K26</f>
        <v>0</v>
      </c>
      <c r="V20" s="399">
        <f>'Portefeuille SP2'!S26</f>
        <v>0.5</v>
      </c>
      <c r="W20" s="387"/>
      <c r="X20" s="387"/>
      <c r="Y20" s="387"/>
      <c r="Z20" s="387"/>
      <c r="AA20" s="387"/>
      <c r="AB20" s="387"/>
      <c r="AC20" s="387"/>
      <c r="AD20" s="387"/>
      <c r="AE20" s="408">
        <f>'Portefeuille SP2'!J26</f>
        <v>0</v>
      </c>
      <c r="AF20" s="387"/>
      <c r="AG20" s="387"/>
      <c r="AH20" s="389"/>
      <c r="AI20" s="389"/>
      <c r="AJ20" s="403">
        <f>'Portefeuille SP2'!V26</f>
        <v>1</v>
      </c>
      <c r="AK20" s="403">
        <f>'Portefeuille SP2'!W26</f>
        <v>1</v>
      </c>
      <c r="AL20" s="403">
        <f>'Portefeuille SP2'!X26</f>
        <v>1</v>
      </c>
      <c r="AM20" s="403">
        <f>'Portefeuille SP2'!Y26</f>
        <v>1</v>
      </c>
      <c r="AN20" s="403">
        <f>'Portefeuille SP2'!Z26</f>
        <v>1</v>
      </c>
      <c r="AO20" s="403">
        <f>'Portefeuille SP2'!AA26</f>
        <v>1</v>
      </c>
      <c r="AP20" s="403">
        <f>'Portefeuille SP2'!AB26</f>
        <v>1</v>
      </c>
      <c r="AQ20" s="403">
        <f>'Portefeuille SP2'!AC26</f>
        <v>1</v>
      </c>
      <c r="AR20" s="403">
        <f>'Portefeuille SP2'!AD26</f>
        <v>1</v>
      </c>
      <c r="AS20" s="403">
        <f>'Portefeuille SP2'!AE26</f>
        <v>1</v>
      </c>
      <c r="AT20" s="403">
        <f>'Portefeuille SP2'!AF26</f>
        <v>1</v>
      </c>
      <c r="AU20" s="403">
        <f>'Portefeuille SP2'!AG26</f>
        <v>1</v>
      </c>
      <c r="AV20" s="403">
        <f>'Portefeuille SP2'!AH26</f>
        <v>1</v>
      </c>
      <c r="AW20" s="403">
        <f>'Portefeuille SP2'!AI26</f>
        <v>1</v>
      </c>
      <c r="AX20" s="403">
        <f>'Portefeuille SP2'!AJ26</f>
        <v>1</v>
      </c>
      <c r="AY20" s="403">
        <f>'Portefeuille SP2'!AK26</f>
        <v>1</v>
      </c>
      <c r="AZ20" s="403">
        <f>'Portefeuille SP2'!AL26</f>
        <v>1</v>
      </c>
      <c r="BA20" s="403">
        <f>'Portefeuille SP2'!AM26</f>
        <v>1</v>
      </c>
      <c r="BB20" s="403">
        <f>'Portefeuille SP2'!AN26</f>
        <v>1</v>
      </c>
      <c r="BC20" s="403">
        <f>'Portefeuille SP2'!AO26</f>
        <v>1</v>
      </c>
      <c r="BD20" s="403">
        <f>'Portefeuille SP2'!AP26</f>
        <v>1</v>
      </c>
      <c r="BE20" s="403">
        <f>'Portefeuille SP2'!AQ26</f>
        <v>1</v>
      </c>
      <c r="BF20" s="403">
        <f>'Portefeuille SP2'!AR26</f>
        <v>1</v>
      </c>
      <c r="BG20" s="403" t="e">
        <f>'Portefeuille SP2'!#REF!</f>
        <v>#REF!</v>
      </c>
      <c r="BH20" s="403" t="e">
        <f>'Portefeuille SP2'!#REF!</f>
        <v>#REF!</v>
      </c>
      <c r="BI20" s="403" t="e">
        <f>'Portefeuille SP2'!#REF!</f>
        <v>#REF!</v>
      </c>
      <c r="BJ20" s="403" t="e">
        <f>'Portefeuille SP2'!#REF!</f>
        <v>#REF!</v>
      </c>
      <c r="BK20" s="403" t="e">
        <f>'Portefeuille SP2'!#REF!</f>
        <v>#REF!</v>
      </c>
      <c r="BL20" s="388"/>
      <c r="BM20" s="404" t="str">
        <f>'Portefeuille SP2'!L26</f>
        <v>25/09/2024 : Compté dans le périmètre TH.
18/07/2024 : issu GT EE scope du 15/07/2024</v>
      </c>
    </row>
    <row r="21" spans="1:65" ht="15" customHeight="1">
      <c r="A21" s="383" t="str">
        <f>'Portefeuille SP2'!B27</f>
        <v>25/09/2024</v>
      </c>
      <c r="B21" s="390" t="str">
        <f>'Portefeuille SP2'!Q27</f>
        <v>CANCELED</v>
      </c>
      <c r="C21" s="384"/>
      <c r="D21" s="382" t="str">
        <f>'Portefeuille SP2'!E27</f>
        <v>TH</v>
      </c>
      <c r="E21" s="382" t="str">
        <f t="shared" si="0"/>
        <v>ICD</v>
      </c>
      <c r="F21" s="382" t="str">
        <f t="shared" ref="F21:F71" si="2">MID(J21, 6, 20)</f>
        <v/>
      </c>
      <c r="G21" s="382" t="str">
        <f>'Portefeuille SP2'!C27</f>
        <v>SP1</v>
      </c>
      <c r="H21" s="382">
        <f>'Portefeuille SP2'!F27</f>
        <v>0</v>
      </c>
      <c r="I21" s="382"/>
      <c r="J21" s="382" t="str">
        <f>'Portefeuille SP2'!D27</f>
        <v>ICDV</v>
      </c>
      <c r="K21" s="385">
        <f>'Portefeuille SP2'!H27</f>
        <v>0</v>
      </c>
      <c r="L21" s="157">
        <f>'Portefeuille SP2'!U27</f>
        <v>-0.6</v>
      </c>
      <c r="M21" s="386"/>
      <c r="N21" s="386"/>
      <c r="O21" s="386"/>
      <c r="P21" s="387">
        <f>'Portefeuille SP2'!M27</f>
        <v>0</v>
      </c>
      <c r="Q21" s="387"/>
      <c r="R21" s="387">
        <f>'Portefeuille SP2'!N27</f>
        <v>0</v>
      </c>
      <c r="S21" s="387"/>
      <c r="T21" s="382">
        <f>'Portefeuille SP2'!R27</f>
        <v>0</v>
      </c>
      <c r="U21" s="387">
        <f>'Portefeuille SP2'!K27</f>
        <v>0</v>
      </c>
      <c r="V21" s="399">
        <f>'Portefeuille SP2'!S27</f>
        <v>0.5</v>
      </c>
      <c r="W21" s="387"/>
      <c r="X21" s="387"/>
      <c r="Y21" s="387"/>
      <c r="Z21" s="387"/>
      <c r="AA21" s="387"/>
      <c r="AB21" s="387"/>
      <c r="AC21" s="387"/>
      <c r="AD21" s="387"/>
      <c r="AE21" s="400">
        <f>'Portefeuille SP2'!J27</f>
        <v>0</v>
      </c>
      <c r="AF21" s="387"/>
      <c r="AG21" s="387"/>
      <c r="AH21" s="389"/>
      <c r="AI21" s="389"/>
      <c r="AJ21" s="403">
        <f>'Portefeuille SP2'!V27</f>
        <v>1</v>
      </c>
      <c r="AK21" s="403">
        <f>'Portefeuille SP2'!W27</f>
        <v>1</v>
      </c>
      <c r="AL21" s="403">
        <f>'Portefeuille SP2'!X27</f>
        <v>1</v>
      </c>
      <c r="AM21" s="403">
        <f>'Portefeuille SP2'!Y27</f>
        <v>1</v>
      </c>
      <c r="AN21" s="403">
        <f>'Portefeuille SP2'!Z27</f>
        <v>1</v>
      </c>
      <c r="AO21" s="403">
        <f>'Portefeuille SP2'!AA27</f>
        <v>1</v>
      </c>
      <c r="AP21" s="403">
        <f>'Portefeuille SP2'!AB27</f>
        <v>1</v>
      </c>
      <c r="AQ21" s="403">
        <f>'Portefeuille SP2'!AC27</f>
        <v>1</v>
      </c>
      <c r="AR21" s="403">
        <f>'Portefeuille SP2'!AD27</f>
        <v>1</v>
      </c>
      <c r="AS21" s="403">
        <f>'Portefeuille SP2'!AE27</f>
        <v>1</v>
      </c>
      <c r="AT21" s="403">
        <f>'Portefeuille SP2'!AF27</f>
        <v>1</v>
      </c>
      <c r="AU21" s="403">
        <f>'Portefeuille SP2'!AG27</f>
        <v>1</v>
      </c>
      <c r="AV21" s="403">
        <f>'Portefeuille SP2'!AH27</f>
        <v>1</v>
      </c>
      <c r="AW21" s="403">
        <f>'Portefeuille SP2'!AI27</f>
        <v>1</v>
      </c>
      <c r="AX21" s="403">
        <f>'Portefeuille SP2'!AJ27</f>
        <v>1</v>
      </c>
      <c r="AY21" s="403">
        <f>'Portefeuille SP2'!AK27</f>
        <v>1</v>
      </c>
      <c r="AZ21" s="403">
        <f>'Portefeuille SP2'!AL27</f>
        <v>1</v>
      </c>
      <c r="BA21" s="403">
        <f>'Portefeuille SP2'!AM27</f>
        <v>1</v>
      </c>
      <c r="BB21" s="403">
        <f>'Portefeuille SP2'!AN27</f>
        <v>1</v>
      </c>
      <c r="BC21" s="403">
        <f>'Portefeuille SP2'!AO27</f>
        <v>1</v>
      </c>
      <c r="BD21" s="403">
        <f>'Portefeuille SP2'!AP27</f>
        <v>1</v>
      </c>
      <c r="BE21" s="403">
        <f>'Portefeuille SP2'!AQ27</f>
        <v>1</v>
      </c>
      <c r="BF21" s="403">
        <f>'Portefeuille SP2'!AR27</f>
        <v>1</v>
      </c>
      <c r="BG21" s="403" t="e">
        <f>'Portefeuille SP2'!#REF!</f>
        <v>#REF!</v>
      </c>
      <c r="BH21" s="403" t="e">
        <f>'Portefeuille SP2'!#REF!</f>
        <v>#REF!</v>
      </c>
      <c r="BI21" s="403" t="e">
        <f>'Portefeuille SP2'!#REF!</f>
        <v>#REF!</v>
      </c>
      <c r="BJ21" s="403" t="e">
        <f>'Portefeuille SP2'!#REF!</f>
        <v>#REF!</v>
      </c>
      <c r="BK21" s="403" t="e">
        <f>'Portefeuille SP2'!#REF!</f>
        <v>#REF!</v>
      </c>
      <c r="BL21" s="388"/>
      <c r="BM21" s="404" t="str">
        <f>'Portefeuille SP2'!L27</f>
        <v>25/09/2024 reporté S40
02/09/2024 besoin anayse VDYN 
12/06/2024 New / attente retour frns</v>
      </c>
    </row>
    <row r="22" spans="1:65" ht="15" customHeight="1">
      <c r="A22" s="383" t="str">
        <f>'Portefeuille SP2'!B28</f>
        <v>08/04/2025</v>
      </c>
      <c r="B22" s="390" t="str">
        <f>'Portefeuille SP2'!Q28</f>
        <v>DECIDED</v>
      </c>
      <c r="C22" s="384"/>
      <c r="D22" s="382" t="str">
        <f>'Portefeuille SP2'!E28</f>
        <v>TH</v>
      </c>
      <c r="E22" s="382" t="str">
        <f t="shared" si="0"/>
        <v>BIW</v>
      </c>
      <c r="F22" s="382" t="str">
        <f t="shared" ref="F22:F27" si="3">MID(J22, 4, 20)</f>
        <v xml:space="preserve"> </v>
      </c>
      <c r="G22" s="382" t="str">
        <f>'Portefeuille SP2'!C28</f>
        <v>SP1</v>
      </c>
      <c r="H22" s="382" t="str">
        <f>'Portefeuille SP2'!F28</f>
        <v>Franck Baillon (SP1)/
Cyrille P1X</v>
      </c>
      <c r="I22" s="382"/>
      <c r="J22" s="382" t="str">
        <f>'Portefeuille SP2'!D28</f>
        <v xml:space="preserve">BIW </v>
      </c>
      <c r="K22" s="385" t="str">
        <f>'Portefeuille SP2'!H28</f>
        <v>new part</v>
      </c>
      <c r="L22" s="157">
        <f>'Portefeuille SP2'!U28</f>
        <v>0.54</v>
      </c>
      <c r="M22" s="386"/>
      <c r="N22" s="386"/>
      <c r="O22" s="386"/>
      <c r="P22" s="400">
        <f>'Portefeuille SP2'!M28</f>
        <v>0</v>
      </c>
      <c r="Q22" s="387"/>
      <c r="R22" s="387">
        <f>'Portefeuille SP2'!N28</f>
        <v>0</v>
      </c>
      <c r="S22" s="387"/>
      <c r="T22" s="382">
        <f>'Portefeuille SP2'!R28</f>
        <v>0</v>
      </c>
      <c r="U22" s="387">
        <f>'Portefeuille SP2'!K28</f>
        <v>0</v>
      </c>
      <c r="V22" s="399">
        <f>'Portefeuille SP2'!S28</f>
        <v>1</v>
      </c>
      <c r="W22" s="387"/>
      <c r="X22" s="387"/>
      <c r="Y22" s="387"/>
      <c r="Z22" s="387"/>
      <c r="AA22" s="387"/>
      <c r="AB22" s="387"/>
      <c r="AC22" s="387"/>
      <c r="AD22" s="387"/>
      <c r="AE22" s="408" t="str">
        <f>'Portefeuille SP2'!J28</f>
        <v>???? Déjà sur SP2</v>
      </c>
      <c r="AF22" s="387"/>
      <c r="AG22" s="387"/>
      <c r="AH22" s="389"/>
      <c r="AI22" s="389"/>
      <c r="AJ22" s="403">
        <f>'Portefeuille SP2'!V28</f>
        <v>1</v>
      </c>
      <c r="AK22" s="403">
        <f>'Portefeuille SP2'!W28</f>
        <v>1</v>
      </c>
      <c r="AL22" s="403">
        <f>'Portefeuille SP2'!X28</f>
        <v>1</v>
      </c>
      <c r="AM22" s="403">
        <f>'Portefeuille SP2'!Y28</f>
        <v>1</v>
      </c>
      <c r="AN22" s="403">
        <f>'Portefeuille SP2'!Z28</f>
        <v>1</v>
      </c>
      <c r="AO22" s="403">
        <f>'Portefeuille SP2'!AA28</f>
        <v>1</v>
      </c>
      <c r="AP22" s="403">
        <f>'Portefeuille SP2'!AB28</f>
        <v>1</v>
      </c>
      <c r="AQ22" s="403">
        <f>'Portefeuille SP2'!AC28</f>
        <v>1</v>
      </c>
      <c r="AR22" s="403">
        <f>'Portefeuille SP2'!AD28</f>
        <v>1</v>
      </c>
      <c r="AS22" s="403">
        <f>'Portefeuille SP2'!AE28</f>
        <v>1</v>
      </c>
      <c r="AT22" s="403">
        <f>'Portefeuille SP2'!AF28</f>
        <v>1</v>
      </c>
      <c r="AU22" s="403">
        <f>'Portefeuille SP2'!AG28</f>
        <v>1</v>
      </c>
      <c r="AV22" s="403">
        <f>'Portefeuille SP2'!AH28</f>
        <v>1</v>
      </c>
      <c r="AW22" s="403">
        <f>'Portefeuille SP2'!AI28</f>
        <v>1</v>
      </c>
      <c r="AX22" s="403">
        <f>'Portefeuille SP2'!AJ28</f>
        <v>1</v>
      </c>
      <c r="AY22" s="403">
        <f>'Portefeuille SP2'!AK28</f>
        <v>1</v>
      </c>
      <c r="AZ22" s="403">
        <f>'Portefeuille SP2'!AL28</f>
        <v>1</v>
      </c>
      <c r="BA22" s="403">
        <f>'Portefeuille SP2'!AM28</f>
        <v>1</v>
      </c>
      <c r="BB22" s="403">
        <f>'Portefeuille SP2'!AN28</f>
        <v>1</v>
      </c>
      <c r="BC22" s="403">
        <f>'Portefeuille SP2'!AO28</f>
        <v>1</v>
      </c>
      <c r="BD22" s="403">
        <f>'Portefeuille SP2'!AP28</f>
        <v>1</v>
      </c>
      <c r="BE22" s="403">
        <f>'Portefeuille SP2'!AQ28</f>
        <v>1</v>
      </c>
      <c r="BF22" s="403">
        <f>'Portefeuille SP2'!AR28</f>
        <v>1</v>
      </c>
      <c r="BG22" s="403" t="e">
        <f>'Portefeuille SP2'!#REF!</f>
        <v>#REF!</v>
      </c>
      <c r="BH22" s="403" t="e">
        <f>'Portefeuille SP2'!#REF!</f>
        <v>#REF!</v>
      </c>
      <c r="BI22" s="403" t="e">
        <f>'Portefeuille SP2'!#REF!</f>
        <v>#REF!</v>
      </c>
      <c r="BJ22" s="403" t="e">
        <f>'Portefeuille SP2'!#REF!</f>
        <v>#REF!</v>
      </c>
      <c r="BK22" s="403" t="e">
        <f>'Portefeuille SP2'!#REF!</f>
        <v>#REF!</v>
      </c>
      <c r="BL22" s="388"/>
      <c r="BM22" s="404" t="str">
        <f>'Portefeuille SP2'!L28</f>
        <v>08/04/2025 Détail : Finition LAT D/G Grille Entrée Air / Grille Entrée Air / Deflect Eau / Etanchéité D/G Grille / Conduit Entrée Air
22/11/2024 Complétude de BOM</v>
      </c>
    </row>
    <row r="23" spans="1:65" ht="15" customHeight="1">
      <c r="A23" s="383" t="str">
        <f>'Portefeuille SP2'!B29</f>
        <v>06/06/2025</v>
      </c>
      <c r="B23" s="390" t="str">
        <f>'Portefeuille SP2'!Q29</f>
        <v>CANCELED</v>
      </c>
      <c r="C23" s="384"/>
      <c r="D23" s="382" t="str">
        <f>'Portefeuille SP2'!E29</f>
        <v>TH</v>
      </c>
      <c r="E23" s="382" t="str">
        <f t="shared" si="0"/>
        <v>FRS</v>
      </c>
      <c r="F23" s="382" t="str">
        <f t="shared" si="3"/>
        <v>D</v>
      </c>
      <c r="G23" s="382" t="str">
        <f>'Portefeuille SP2'!C29</f>
        <v>SP1</v>
      </c>
      <c r="H23" s="382" t="str">
        <f>'Portefeuille SP2'!F29</f>
        <v>Sébastien Bonnefoi (P1H)/
Jean Michel Gabus P1X</v>
      </c>
      <c r="I23" s="382"/>
      <c r="J23" s="382" t="str">
        <f>'Portefeuille SP2'!D29</f>
        <v>FRSD</v>
      </c>
      <c r="K23" s="385" t="str">
        <f>'Portefeuille SP2'!H29</f>
        <v>Front/Rear bumper</v>
      </c>
      <c r="L23" s="157">
        <f>'Portefeuille SP2'!U29</f>
        <v>0.5</v>
      </c>
      <c r="M23" s="386"/>
      <c r="N23" s="386"/>
      <c r="O23" s="386"/>
      <c r="P23" s="400">
        <f>'Portefeuille SP2'!M29</f>
        <v>0</v>
      </c>
      <c r="Q23" s="387"/>
      <c r="R23" s="387">
        <f>'Portefeuille SP2'!N29</f>
        <v>0</v>
      </c>
      <c r="S23" s="387"/>
      <c r="T23" s="382">
        <f>'Portefeuille SP2'!R29</f>
        <v>0</v>
      </c>
      <c r="U23" s="387">
        <f>'Portefeuille SP2'!K29</f>
        <v>0</v>
      </c>
      <c r="V23" s="399">
        <f>'Portefeuille SP2'!S29</f>
        <v>0.25</v>
      </c>
      <c r="W23" s="387"/>
      <c r="X23" s="387"/>
      <c r="Y23" s="387"/>
      <c r="Z23" s="387"/>
      <c r="AA23" s="387"/>
      <c r="AB23" s="387"/>
      <c r="AC23" s="387"/>
      <c r="AD23" s="387"/>
      <c r="AE23" s="408" t="str">
        <f>'Portefeuille SP2'!J29</f>
        <v>traité en PORO dépend du style</v>
      </c>
      <c r="AF23" s="387"/>
      <c r="AG23" s="387"/>
      <c r="AH23" s="389"/>
      <c r="AI23" s="389"/>
      <c r="AJ23" s="403">
        <f>'Portefeuille SP2'!V29</f>
        <v>1</v>
      </c>
      <c r="AK23" s="403">
        <f>'Portefeuille SP2'!W29</f>
        <v>1</v>
      </c>
      <c r="AL23" s="403">
        <f>'Portefeuille SP2'!X29</f>
        <v>1</v>
      </c>
      <c r="AM23" s="403">
        <f>'Portefeuille SP2'!Y29</f>
        <v>1</v>
      </c>
      <c r="AN23" s="403">
        <f>'Portefeuille SP2'!Z29</f>
        <v>1</v>
      </c>
      <c r="AO23" s="403">
        <f>'Portefeuille SP2'!AA29</f>
        <v>1</v>
      </c>
      <c r="AP23" s="403">
        <f>'Portefeuille SP2'!AB29</f>
        <v>1</v>
      </c>
      <c r="AQ23" s="403">
        <f>'Portefeuille SP2'!AC29</f>
        <v>1</v>
      </c>
      <c r="AR23" s="403">
        <f>'Portefeuille SP2'!AD29</f>
        <v>1</v>
      </c>
      <c r="AS23" s="403">
        <f>'Portefeuille SP2'!AE29</f>
        <v>1</v>
      </c>
      <c r="AT23" s="403">
        <f>'Portefeuille SP2'!AF29</f>
        <v>1</v>
      </c>
      <c r="AU23" s="403">
        <f>'Portefeuille SP2'!AG29</f>
        <v>1</v>
      </c>
      <c r="AV23" s="403">
        <f>'Portefeuille SP2'!AH29</f>
        <v>1</v>
      </c>
      <c r="AW23" s="403">
        <f>'Portefeuille SP2'!AI29</f>
        <v>1</v>
      </c>
      <c r="AX23" s="403">
        <f>'Portefeuille SP2'!AJ29</f>
        <v>1</v>
      </c>
      <c r="AY23" s="403">
        <f>'Portefeuille SP2'!AK29</f>
        <v>1</v>
      </c>
      <c r="AZ23" s="403">
        <f>'Portefeuille SP2'!AL29</f>
        <v>1</v>
      </c>
      <c r="BA23" s="403">
        <f>'Portefeuille SP2'!AM29</f>
        <v>1</v>
      </c>
      <c r="BB23" s="403">
        <f>'Portefeuille SP2'!AN29</f>
        <v>1</v>
      </c>
      <c r="BC23" s="403">
        <f>'Portefeuille SP2'!AO29</f>
        <v>1</v>
      </c>
      <c r="BD23" s="403">
        <f>'Portefeuille SP2'!AP29</f>
        <v>1</v>
      </c>
      <c r="BE23" s="403">
        <f>'Portefeuille SP2'!AQ29</f>
        <v>1</v>
      </c>
      <c r="BF23" s="403">
        <f>'Portefeuille SP2'!AR29</f>
        <v>1</v>
      </c>
      <c r="BG23" s="403" t="e">
        <f>'Portefeuille SP2'!#REF!</f>
        <v>#REF!</v>
      </c>
      <c r="BH23" s="403" t="e">
        <f>'Portefeuille SP2'!#REF!</f>
        <v>#REF!</v>
      </c>
      <c r="BI23" s="403" t="e">
        <f>'Portefeuille SP2'!#REF!</f>
        <v>#REF!</v>
      </c>
      <c r="BJ23" s="403" t="e">
        <f>'Portefeuille SP2'!#REF!</f>
        <v>#REF!</v>
      </c>
      <c r="BK23" s="403" t="e">
        <f>'Portefeuille SP2'!#REF!</f>
        <v>#REF!</v>
      </c>
      <c r="BL23" s="388"/>
      <c r="BM23" s="404" t="str">
        <f>'Portefeuille SP2'!L29</f>
        <v>06/06/2025 PC P1X avec Air-Curtain</v>
      </c>
    </row>
    <row r="24" spans="1:65" ht="15" customHeight="1">
      <c r="A24" s="383">
        <f>'Portefeuille SP2'!B30</f>
        <v>46058</v>
      </c>
      <c r="B24" s="390" t="str">
        <f>'Portefeuille SP2'!Q30</f>
        <v>CANCELED</v>
      </c>
      <c r="C24" s="384"/>
      <c r="D24" s="382" t="str">
        <f>'Portefeuille SP2'!E30</f>
        <v>PTF</v>
      </c>
      <c r="E24" s="382" t="str">
        <f t="shared" si="0"/>
        <v>SWX</v>
      </c>
      <c r="F24" s="382" t="str">
        <f t="shared" si="3"/>
        <v>/EE</v>
      </c>
      <c r="G24" s="382" t="str">
        <f>'Portefeuille SP2'!C30</f>
        <v>SP1</v>
      </c>
      <c r="H24" s="382">
        <f>'Portefeuille SP2'!F30</f>
        <v>0</v>
      </c>
      <c r="I24" s="382"/>
      <c r="J24" s="382" t="str">
        <f>'Portefeuille SP2'!D30</f>
        <v>SWX/EE</v>
      </c>
      <c r="K24" s="385" t="str">
        <f>'Portefeuille SP2'!H30</f>
        <v xml:space="preserve">12V battery </v>
      </c>
      <c r="L24" s="157">
        <f>'Portefeuille SP2'!U30</f>
        <v>-0.4</v>
      </c>
      <c r="M24" s="386"/>
      <c r="N24" s="386"/>
      <c r="O24" s="386"/>
      <c r="P24" s="400">
        <f>'Portefeuille SP2'!M30</f>
        <v>0</v>
      </c>
      <c r="Q24" s="387"/>
      <c r="R24" s="387">
        <f>'Portefeuille SP2'!N30</f>
        <v>0</v>
      </c>
      <c r="S24" s="387"/>
      <c r="T24" s="382">
        <f>'Portefeuille SP2'!R30</f>
        <v>0</v>
      </c>
      <c r="U24" s="387">
        <f>'Portefeuille SP2'!K30</f>
        <v>0</v>
      </c>
      <c r="V24" s="399">
        <f>'Portefeuille SP2'!S30</f>
        <v>1</v>
      </c>
      <c r="W24" s="387"/>
      <c r="X24" s="387"/>
      <c r="Y24" s="387"/>
      <c r="Z24" s="387"/>
      <c r="AA24" s="387"/>
      <c r="AB24" s="387"/>
      <c r="AC24" s="387"/>
      <c r="AD24" s="387"/>
      <c r="AE24" s="408">
        <f>'Portefeuille SP2'!J30</f>
        <v>0</v>
      </c>
      <c r="AF24" s="387"/>
      <c r="AG24" s="387"/>
      <c r="AH24" s="389"/>
      <c r="AI24" s="389"/>
      <c r="AJ24" s="403">
        <f>'Portefeuille SP2'!V30</f>
        <v>1</v>
      </c>
      <c r="AK24" s="403">
        <f>'Portefeuille SP2'!W30</f>
        <v>1</v>
      </c>
      <c r="AL24" s="403">
        <f>'Portefeuille SP2'!X30</f>
        <v>1</v>
      </c>
      <c r="AM24" s="403">
        <f>'Portefeuille SP2'!Y30</f>
        <v>1</v>
      </c>
      <c r="AN24" s="403">
        <f>'Portefeuille SP2'!Z30</f>
        <v>1</v>
      </c>
      <c r="AO24" s="403">
        <f>'Portefeuille SP2'!AA30</f>
        <v>1</v>
      </c>
      <c r="AP24" s="403">
        <f>'Portefeuille SP2'!AB30</f>
        <v>1</v>
      </c>
      <c r="AQ24" s="403">
        <f>'Portefeuille SP2'!AC30</f>
        <v>1</v>
      </c>
      <c r="AR24" s="403">
        <f>'Portefeuille SP2'!AD30</f>
        <v>1</v>
      </c>
      <c r="AS24" s="403">
        <f>'Portefeuille SP2'!AE30</f>
        <v>1</v>
      </c>
      <c r="AT24" s="403">
        <f>'Portefeuille SP2'!AF30</f>
        <v>1</v>
      </c>
      <c r="AU24" s="403">
        <f>'Portefeuille SP2'!AG30</f>
        <v>1</v>
      </c>
      <c r="AV24" s="403">
        <f>'Portefeuille SP2'!AH30</f>
        <v>1</v>
      </c>
      <c r="AW24" s="403">
        <f>'Portefeuille SP2'!AI30</f>
        <v>1</v>
      </c>
      <c r="AX24" s="403">
        <f>'Portefeuille SP2'!AJ30</f>
        <v>1</v>
      </c>
      <c r="AY24" s="403">
        <f>'Portefeuille SP2'!AK30</f>
        <v>1</v>
      </c>
      <c r="AZ24" s="403">
        <f>'Portefeuille SP2'!AL30</f>
        <v>1</v>
      </c>
      <c r="BA24" s="403">
        <f>'Portefeuille SP2'!AM30</f>
        <v>1</v>
      </c>
      <c r="BB24" s="403">
        <f>'Portefeuille SP2'!AN30</f>
        <v>1</v>
      </c>
      <c r="BC24" s="403">
        <f>'Portefeuille SP2'!AO30</f>
        <v>1</v>
      </c>
      <c r="BD24" s="403">
        <f>'Portefeuille SP2'!AP30</f>
        <v>1</v>
      </c>
      <c r="BE24" s="403">
        <f>'Portefeuille SP2'!AQ30</f>
        <v>0</v>
      </c>
      <c r="BF24" s="403">
        <f>'Portefeuille SP2'!AR30</f>
        <v>0</v>
      </c>
      <c r="BG24" s="403" t="e">
        <f>'Portefeuille SP2'!#REF!</f>
        <v>#REF!</v>
      </c>
      <c r="BH24" s="403" t="e">
        <f>'Portefeuille SP2'!#REF!</f>
        <v>#REF!</v>
      </c>
      <c r="BI24" s="403" t="e">
        <f>'Portefeuille SP2'!#REF!</f>
        <v>#REF!</v>
      </c>
      <c r="BJ24" s="403" t="e">
        <f>'Portefeuille SP2'!#REF!</f>
        <v>#REF!</v>
      </c>
      <c r="BK24" s="403" t="e">
        <f>'Portefeuille SP2'!#REF!</f>
        <v>#REF!</v>
      </c>
      <c r="BL24" s="388"/>
      <c r="BM24" s="404" t="str">
        <f>'Portefeuille SP2'!L30</f>
        <v>25/09/2024 : batterie EFR L2 sur niv1. La masse absolue dépend du fournisseur. 
24/06/2024 : Retour fournisseur</v>
      </c>
    </row>
    <row r="25" spans="1:65" ht="15" customHeight="1">
      <c r="A25" s="383" t="str">
        <f>'Portefeuille SP2'!B31</f>
        <v>09/07/2024</v>
      </c>
      <c r="B25" s="390" t="str">
        <f>'Portefeuille SP2'!Q31</f>
        <v>IN PROGRESS</v>
      </c>
      <c r="C25" s="384"/>
      <c r="D25" s="382" t="str">
        <f>'Portefeuille SP2'!E31</f>
        <v>PWT</v>
      </c>
      <c r="E25" s="382" t="str">
        <f t="shared" si="0"/>
        <v>PRS</v>
      </c>
      <c r="F25" s="382" t="str">
        <f t="shared" si="3"/>
        <v/>
      </c>
      <c r="G25" s="382" t="str">
        <f>'Portefeuille SP2'!C31</f>
        <v>SP1</v>
      </c>
      <c r="H25" s="382" t="str">
        <f>'Portefeuille SP2'!F31</f>
        <v>ANTOINE SAINT MARCOUX</v>
      </c>
      <c r="I25" s="382"/>
      <c r="J25" s="382" t="str">
        <f>'Portefeuille SP2'!D31</f>
        <v>PRS</v>
      </c>
      <c r="K25" s="385" t="str">
        <f>'Portefeuille SP2'!H31</f>
        <v>HR battery</v>
      </c>
      <c r="L25" s="157">
        <f>'Portefeuille SP2'!U31</f>
        <v>0.35</v>
      </c>
      <c r="M25" s="386"/>
      <c r="N25" s="386"/>
      <c r="O25" s="386"/>
      <c r="P25" s="400">
        <f>'Portefeuille SP2'!M31</f>
        <v>0</v>
      </c>
      <c r="Q25" s="387"/>
      <c r="R25" s="387">
        <f>'Portefeuille SP2'!N31</f>
        <v>0</v>
      </c>
      <c r="S25" s="387"/>
      <c r="T25" s="382">
        <f>'Portefeuille SP2'!R31</f>
        <v>0</v>
      </c>
      <c r="U25" s="387">
        <f>'Portefeuille SP2'!K31</f>
        <v>0</v>
      </c>
      <c r="V25" s="399">
        <f>'Portefeuille SP2'!S31</f>
        <v>0.5</v>
      </c>
      <c r="W25" s="387"/>
      <c r="X25" s="387"/>
      <c r="Y25" s="387"/>
      <c r="Z25" s="387"/>
      <c r="AA25" s="387"/>
      <c r="AB25" s="387"/>
      <c r="AC25" s="387"/>
      <c r="AD25" s="387"/>
      <c r="AE25" s="408">
        <f>'Portefeuille SP2'!J31</f>
        <v>0</v>
      </c>
      <c r="AF25" s="387"/>
      <c r="AG25" s="387"/>
      <c r="AH25" s="389"/>
      <c r="AI25" s="389"/>
      <c r="AJ25" s="403">
        <f>'Portefeuille SP2'!V31</f>
        <v>1</v>
      </c>
      <c r="AK25" s="403">
        <f>'Portefeuille SP2'!W31</f>
        <v>1</v>
      </c>
      <c r="AL25" s="403">
        <f>'Portefeuille SP2'!X31</f>
        <v>1</v>
      </c>
      <c r="AM25" s="403">
        <f>'Portefeuille SP2'!Y31</f>
        <v>1</v>
      </c>
      <c r="AN25" s="403">
        <f>'Portefeuille SP2'!Z31</f>
        <v>1</v>
      </c>
      <c r="AO25" s="403">
        <f>'Portefeuille SP2'!AA31</f>
        <v>1</v>
      </c>
      <c r="AP25" s="403">
        <f>'Portefeuille SP2'!AB31</f>
        <v>1</v>
      </c>
      <c r="AQ25" s="403">
        <f>'Portefeuille SP2'!AC31</f>
        <v>1</v>
      </c>
      <c r="AR25" s="403">
        <f>'Portefeuille SP2'!AD31</f>
        <v>1</v>
      </c>
      <c r="AS25" s="403">
        <f>'Portefeuille SP2'!AE31</f>
        <v>1</v>
      </c>
      <c r="AT25" s="403">
        <f>'Portefeuille SP2'!AF31</f>
        <v>1</v>
      </c>
      <c r="AU25" s="403">
        <f>'Portefeuille SP2'!AG31</f>
        <v>1</v>
      </c>
      <c r="AV25" s="403">
        <f>'Portefeuille SP2'!AH31</f>
        <v>1</v>
      </c>
      <c r="AW25" s="403">
        <f>'Portefeuille SP2'!AI31</f>
        <v>1</v>
      </c>
      <c r="AX25" s="403">
        <f>'Portefeuille SP2'!AJ31</f>
        <v>1</v>
      </c>
      <c r="AY25" s="403">
        <f>'Portefeuille SP2'!AK31</f>
        <v>1</v>
      </c>
      <c r="AZ25" s="403">
        <f>'Portefeuille SP2'!AL31</f>
        <v>1</v>
      </c>
      <c r="BA25" s="403">
        <f>'Portefeuille SP2'!AM31</f>
        <v>1</v>
      </c>
      <c r="BB25" s="403">
        <f>'Portefeuille SP2'!AN31</f>
        <v>1</v>
      </c>
      <c r="BC25" s="403">
        <f>'Portefeuille SP2'!AO31</f>
        <v>0</v>
      </c>
      <c r="BD25" s="403">
        <f>'Portefeuille SP2'!AP31</f>
        <v>0</v>
      </c>
      <c r="BE25" s="403">
        <f>'Portefeuille SP2'!AQ31</f>
        <v>0</v>
      </c>
      <c r="BF25" s="403">
        <f>'Portefeuille SP2'!AR31</f>
        <v>0</v>
      </c>
      <c r="BG25" s="403" t="e">
        <f>'Portefeuille SP2'!#REF!</f>
        <v>#REF!</v>
      </c>
      <c r="BH25" s="403" t="e">
        <f>'Portefeuille SP2'!#REF!</f>
        <v>#REF!</v>
      </c>
      <c r="BI25" s="403" t="e">
        <f>'Portefeuille SP2'!#REF!</f>
        <v>#REF!</v>
      </c>
      <c r="BJ25" s="403" t="e">
        <f>'Portefeuille SP2'!#REF!</f>
        <v>#REF!</v>
      </c>
      <c r="BK25" s="403" t="e">
        <f>'Portefeuille SP2'!#REF!</f>
        <v>#REF!</v>
      </c>
      <c r="BL25" s="388"/>
      <c r="BM25" s="404" t="str">
        <f>'Portefeuille SP2'!L31</f>
        <v>09/07/2024 New</v>
      </c>
    </row>
    <row r="26" spans="1:65" ht="15" customHeight="1">
      <c r="A26" s="383" t="str">
        <f>'Portefeuille SP2'!B32</f>
        <v>09/07/2024</v>
      </c>
      <c r="B26" s="390" t="str">
        <f>'Portefeuille SP2'!Q32</f>
        <v>IN PROGRESS</v>
      </c>
      <c r="C26" s="384"/>
      <c r="D26" s="382" t="str">
        <f>'Portefeuille SP2'!E32</f>
        <v>PWT</v>
      </c>
      <c r="E26" s="382" t="str">
        <f t="shared" si="0"/>
        <v>PRS</v>
      </c>
      <c r="F26" s="382" t="str">
        <f t="shared" si="3"/>
        <v/>
      </c>
      <c r="G26" s="382" t="str">
        <f>'Portefeuille SP2'!C32</f>
        <v>SP1</v>
      </c>
      <c r="H26" s="382" t="str">
        <f>'Portefeuille SP2'!F32</f>
        <v>ANTOINE SAINT MARCOUX</v>
      </c>
      <c r="I26" s="382"/>
      <c r="J26" s="382" t="str">
        <f>'Portefeuille SP2'!D32</f>
        <v>PRS</v>
      </c>
      <c r="K26" s="385" t="str">
        <f>'Portefeuille SP2'!H32</f>
        <v>HR battery</v>
      </c>
      <c r="L26" s="157">
        <f>'Portefeuille SP2'!U32</f>
        <v>-1.5</v>
      </c>
      <c r="M26" s="386"/>
      <c r="N26" s="386"/>
      <c r="O26" s="386"/>
      <c r="P26" s="400">
        <f>'Portefeuille SP2'!M32</f>
        <v>0</v>
      </c>
      <c r="Q26" s="387"/>
      <c r="R26" s="387">
        <f>'Portefeuille SP2'!N32</f>
        <v>0</v>
      </c>
      <c r="S26" s="387"/>
      <c r="T26" s="382">
        <f>'Portefeuille SP2'!R32</f>
        <v>0</v>
      </c>
      <c r="U26" s="387">
        <f>'Portefeuille SP2'!K32</f>
        <v>0</v>
      </c>
      <c r="V26" s="399">
        <f>'Portefeuille SP2'!S32</f>
        <v>0.5</v>
      </c>
      <c r="W26" s="387"/>
      <c r="X26" s="387"/>
      <c r="Y26" s="387"/>
      <c r="Z26" s="387"/>
      <c r="AA26" s="387"/>
      <c r="AB26" s="387"/>
      <c r="AC26" s="387"/>
      <c r="AD26" s="387"/>
      <c r="AE26" s="408">
        <f>'Portefeuille SP2'!J32</f>
        <v>0</v>
      </c>
      <c r="AF26" s="387"/>
      <c r="AG26" s="387"/>
      <c r="AH26" s="389"/>
      <c r="AI26" s="389"/>
      <c r="AJ26" s="403">
        <f>'Portefeuille SP2'!V32</f>
        <v>1</v>
      </c>
      <c r="AK26" s="403">
        <f>'Portefeuille SP2'!W32</f>
        <v>1</v>
      </c>
      <c r="AL26" s="403">
        <f>'Portefeuille SP2'!X32</f>
        <v>1</v>
      </c>
      <c r="AM26" s="403">
        <f>'Portefeuille SP2'!Y32</f>
        <v>1</v>
      </c>
      <c r="AN26" s="403">
        <f>'Portefeuille SP2'!Z32</f>
        <v>1</v>
      </c>
      <c r="AO26" s="403">
        <f>'Portefeuille SP2'!AA32</f>
        <v>1</v>
      </c>
      <c r="AP26" s="403">
        <f>'Portefeuille SP2'!AB32</f>
        <v>1</v>
      </c>
      <c r="AQ26" s="403">
        <f>'Portefeuille SP2'!AC32</f>
        <v>1</v>
      </c>
      <c r="AR26" s="403">
        <f>'Portefeuille SP2'!AD32</f>
        <v>1</v>
      </c>
      <c r="AS26" s="403">
        <f>'Portefeuille SP2'!AE32</f>
        <v>1</v>
      </c>
      <c r="AT26" s="403">
        <f>'Portefeuille SP2'!AF32</f>
        <v>1</v>
      </c>
      <c r="AU26" s="403">
        <f>'Portefeuille SP2'!AG32</f>
        <v>1</v>
      </c>
      <c r="AV26" s="403">
        <f>'Portefeuille SP2'!AH32</f>
        <v>1</v>
      </c>
      <c r="AW26" s="403">
        <f>'Portefeuille SP2'!AI32</f>
        <v>1</v>
      </c>
      <c r="AX26" s="403">
        <f>'Portefeuille SP2'!AJ32</f>
        <v>1</v>
      </c>
      <c r="AY26" s="403">
        <f>'Portefeuille SP2'!AK32</f>
        <v>1</v>
      </c>
      <c r="AZ26" s="403">
        <f>'Portefeuille SP2'!AL32</f>
        <v>1</v>
      </c>
      <c r="BA26" s="403">
        <f>'Portefeuille SP2'!AM32</f>
        <v>1</v>
      </c>
      <c r="BB26" s="403">
        <f>'Portefeuille SP2'!AN32</f>
        <v>1</v>
      </c>
      <c r="BC26" s="403">
        <f>'Portefeuille SP2'!AO32</f>
        <v>0</v>
      </c>
      <c r="BD26" s="403">
        <f>'Portefeuille SP2'!AP32</f>
        <v>0</v>
      </c>
      <c r="BE26" s="403">
        <f>'Portefeuille SP2'!AQ32</f>
        <v>0</v>
      </c>
      <c r="BF26" s="403">
        <f>'Portefeuille SP2'!AR32</f>
        <v>0</v>
      </c>
      <c r="BG26" s="403" t="e">
        <f>'Portefeuille SP2'!#REF!</f>
        <v>#REF!</v>
      </c>
      <c r="BH26" s="403" t="e">
        <f>'Portefeuille SP2'!#REF!</f>
        <v>#REF!</v>
      </c>
      <c r="BI26" s="403" t="e">
        <f>'Portefeuille SP2'!#REF!</f>
        <v>#REF!</v>
      </c>
      <c r="BJ26" s="403" t="e">
        <f>'Portefeuille SP2'!#REF!</f>
        <v>#REF!</v>
      </c>
      <c r="BK26" s="403" t="e">
        <f>'Portefeuille SP2'!#REF!</f>
        <v>#REF!</v>
      </c>
      <c r="BL26" s="388"/>
      <c r="BM26" s="404" t="str">
        <f>'Portefeuille SP2'!L32</f>
        <v>26/09/2025 Brackets : inc ds le STATUS
24/07/2025 2 sujets new : Bracket reinforct -2kg / Alu Busbar-3 (50%)
09/07/2024 New</v>
      </c>
    </row>
    <row r="27" spans="1:65" ht="15" customHeight="1">
      <c r="A27" s="383" t="str">
        <f>'Portefeuille SP2'!B33</f>
        <v>08/04/2025</v>
      </c>
      <c r="B27" s="390" t="str">
        <f>'Portefeuille SP2'!Q33</f>
        <v>CANCELED</v>
      </c>
      <c r="C27" s="384"/>
      <c r="D27" s="382" t="str">
        <f>'Portefeuille SP2'!E33</f>
        <v>TH</v>
      </c>
      <c r="E27" s="382" t="str">
        <f t="shared" si="0"/>
        <v>INT</v>
      </c>
      <c r="F27" s="382" t="str">
        <f t="shared" si="3"/>
        <v xml:space="preserve"> - SEATS/TRIMS</v>
      </c>
      <c r="G27" s="382" t="str">
        <f>'Portefeuille SP2'!C33</f>
        <v>SP1</v>
      </c>
      <c r="H27" s="382" t="str">
        <f>'Portefeuille SP2'!F33</f>
        <v>HALIM</v>
      </c>
      <c r="I27" s="382"/>
      <c r="J27" s="382" t="str">
        <f>'Portefeuille SP2'!D33</f>
        <v>INT - SEATS/TRIMS</v>
      </c>
      <c r="K27" s="385" t="str">
        <f>'Portefeuille SP2'!H33</f>
        <v>Carpet insulation</v>
      </c>
      <c r="L27" s="157">
        <f>'Portefeuille SP2'!U33</f>
        <v>0.3705</v>
      </c>
      <c r="M27" s="386"/>
      <c r="N27" s="386"/>
      <c r="O27" s="386"/>
      <c r="P27" s="400">
        <f>'Portefeuille SP2'!M33</f>
        <v>0</v>
      </c>
      <c r="Q27" s="387"/>
      <c r="R27" s="387">
        <f>'Portefeuille SP2'!N33</f>
        <v>0</v>
      </c>
      <c r="S27" s="387"/>
      <c r="T27" s="382">
        <f>'Portefeuille SP2'!R33</f>
        <v>0</v>
      </c>
      <c r="U27" s="387" t="str">
        <f>'Portefeuille SP2'!K33</f>
        <v>SFM</v>
      </c>
      <c r="V27" s="399">
        <f>'Portefeuille SP2'!S33</f>
        <v>0.25</v>
      </c>
      <c r="W27" s="387"/>
      <c r="X27" s="387"/>
      <c r="Y27" s="387"/>
      <c r="Z27" s="387"/>
      <c r="AA27" s="387"/>
      <c r="AB27" s="387"/>
      <c r="AC27" s="387"/>
      <c r="AD27" s="387"/>
      <c r="AE27" s="408" t="str">
        <f>'Portefeuille SP2'!J33</f>
        <v>24/06/2025 à vérifier plus tard</v>
      </c>
      <c r="AF27" s="387"/>
      <c r="AG27" s="387"/>
      <c r="AH27" s="389"/>
      <c r="AI27" s="389"/>
      <c r="AJ27" s="403">
        <f>'Portefeuille SP2'!V33</f>
        <v>1</v>
      </c>
      <c r="AK27" s="403">
        <f>'Portefeuille SP2'!W33</f>
        <v>1</v>
      </c>
      <c r="AL27" s="403">
        <f>'Portefeuille SP2'!X33</f>
        <v>1</v>
      </c>
      <c r="AM27" s="403">
        <f>'Portefeuille SP2'!Y33</f>
        <v>1</v>
      </c>
      <c r="AN27" s="403">
        <f>'Portefeuille SP2'!Z33</f>
        <v>1</v>
      </c>
      <c r="AO27" s="403">
        <f>'Portefeuille SP2'!AA33</f>
        <v>1</v>
      </c>
      <c r="AP27" s="403">
        <f>'Portefeuille SP2'!AB33</f>
        <v>1</v>
      </c>
      <c r="AQ27" s="403">
        <f>'Portefeuille SP2'!AC33</f>
        <v>1</v>
      </c>
      <c r="AR27" s="403">
        <f>'Portefeuille SP2'!AD33</f>
        <v>1</v>
      </c>
      <c r="AS27" s="403">
        <f>'Portefeuille SP2'!AE33</f>
        <v>1</v>
      </c>
      <c r="AT27" s="403">
        <f>'Portefeuille SP2'!AF33</f>
        <v>1</v>
      </c>
      <c r="AU27" s="403">
        <f>'Portefeuille SP2'!AG33</f>
        <v>1</v>
      </c>
      <c r="AV27" s="403">
        <f>'Portefeuille SP2'!AH33</f>
        <v>1</v>
      </c>
      <c r="AW27" s="403">
        <f>'Portefeuille SP2'!AI33</f>
        <v>1</v>
      </c>
      <c r="AX27" s="403">
        <f>'Portefeuille SP2'!AJ33</f>
        <v>1</v>
      </c>
      <c r="AY27" s="403">
        <f>'Portefeuille SP2'!AK33</f>
        <v>1</v>
      </c>
      <c r="AZ27" s="403">
        <f>'Portefeuille SP2'!AL33</f>
        <v>1</v>
      </c>
      <c r="BA27" s="403">
        <f>'Portefeuille SP2'!AM33</f>
        <v>1</v>
      </c>
      <c r="BB27" s="403">
        <f>'Portefeuille SP2'!AN33</f>
        <v>1</v>
      </c>
      <c r="BC27" s="403">
        <f>'Portefeuille SP2'!AO33</f>
        <v>1</v>
      </c>
      <c r="BD27" s="403">
        <f>'Portefeuille SP2'!AP33</f>
        <v>1</v>
      </c>
      <c r="BE27" s="403">
        <f>'Portefeuille SP2'!AQ33</f>
        <v>1</v>
      </c>
      <c r="BF27" s="403">
        <f>'Portefeuille SP2'!AR33</f>
        <v>1</v>
      </c>
      <c r="BG27" s="403" t="e">
        <f>'Portefeuille SP2'!#REF!</f>
        <v>#REF!</v>
      </c>
      <c r="BH27" s="403" t="e">
        <f>'Portefeuille SP2'!#REF!</f>
        <v>#REF!</v>
      </c>
      <c r="BI27" s="403" t="e">
        <f>'Portefeuille SP2'!#REF!</f>
        <v>#REF!</v>
      </c>
      <c r="BJ27" s="403" t="e">
        <f>'Portefeuille SP2'!#REF!</f>
        <v>#REF!</v>
      </c>
      <c r="BK27" s="403" t="e">
        <f>'Portefeuille SP2'!#REF!</f>
        <v>#REF!</v>
      </c>
      <c r="BL27" s="388"/>
      <c r="BM27" s="404" t="str">
        <f>'Portefeuille SP2'!L33</f>
        <v>08/04/2025 GT_calcul : Risque levé pour P1H-SR / Reste pour HR et XR
18/03/2025 Coord_STLAS : Pour P1h=7pièces =&gt; +1,5kg ; +4€ // Pour P1X +2pièces
19/11/2024 Risque SYNC3 (Estim 1,2*1,9 / 650gr/m²:GlassMAT™HTX isolation thermique et phonique des compartiments moteur)</v>
      </c>
    </row>
    <row r="28" spans="1:65" ht="15" customHeight="1">
      <c r="A28" s="383" t="str">
        <f>'Portefeuille SP2'!B34</f>
        <v>08/10/2024</v>
      </c>
      <c r="B28" s="390" t="str">
        <f>'Portefeuille SP2'!Q34</f>
        <v>CANCELED</v>
      </c>
      <c r="C28" s="384"/>
      <c r="D28" s="382" t="str">
        <f>'Portefeuille SP2'!E34</f>
        <v>PTF</v>
      </c>
      <c r="E28" s="382" t="str">
        <f t="shared" si="0"/>
        <v>SWX</v>
      </c>
      <c r="F28" s="382" t="str">
        <f t="shared" si="2"/>
        <v>E</v>
      </c>
      <c r="G28" s="382" t="str">
        <f>'Portefeuille SP2'!C34</f>
        <v>SP1</v>
      </c>
      <c r="H28" s="382">
        <f>'Portefeuille SP2'!F34</f>
        <v>0</v>
      </c>
      <c r="I28" s="382"/>
      <c r="J28" s="382" t="str">
        <f>'Portefeuille SP2'!D34</f>
        <v>SWX/EE</v>
      </c>
      <c r="K28" s="385">
        <f>'Portefeuille SP2'!H34</f>
        <v>0</v>
      </c>
      <c r="L28" s="157">
        <f>'Portefeuille SP2'!U34</f>
        <v>-1.3</v>
      </c>
      <c r="M28" s="386"/>
      <c r="N28" s="386"/>
      <c r="O28" s="386"/>
      <c r="P28" s="387">
        <f>'Portefeuille SP2'!M34</f>
        <v>0</v>
      </c>
      <c r="Q28" s="387"/>
      <c r="R28" s="387">
        <f>'Portefeuille SP2'!N34</f>
        <v>0</v>
      </c>
      <c r="S28" s="387"/>
      <c r="T28" s="382">
        <f>'Portefeuille SP2'!R34</f>
        <v>0</v>
      </c>
      <c r="U28" s="387">
        <f>'Portefeuille SP2'!K34</f>
        <v>0</v>
      </c>
      <c r="V28" s="399">
        <f>'Portefeuille SP2'!S34</f>
        <v>0.5</v>
      </c>
      <c r="W28" s="387"/>
      <c r="X28" s="387"/>
      <c r="Y28" s="387"/>
      <c r="Z28" s="387"/>
      <c r="AA28" s="387"/>
      <c r="AB28" s="387"/>
      <c r="AC28" s="387"/>
      <c r="AD28" s="387"/>
      <c r="AE28" s="400">
        <f>'Portefeuille SP2'!J34</f>
        <v>0</v>
      </c>
      <c r="AF28" s="387"/>
      <c r="AG28" s="387"/>
      <c r="AH28" s="389"/>
      <c r="AI28" s="389"/>
      <c r="AJ28" s="403">
        <f>'Portefeuille SP2'!V34</f>
        <v>1</v>
      </c>
      <c r="AK28" s="403">
        <f>'Portefeuille SP2'!W34</f>
        <v>1</v>
      </c>
      <c r="AL28" s="403">
        <f>'Portefeuille SP2'!X34</f>
        <v>1</v>
      </c>
      <c r="AM28" s="403">
        <f>'Portefeuille SP2'!Y34</f>
        <v>1</v>
      </c>
      <c r="AN28" s="403">
        <f>'Portefeuille SP2'!Z34</f>
        <v>1</v>
      </c>
      <c r="AO28" s="403">
        <f>'Portefeuille SP2'!AA34</f>
        <v>1</v>
      </c>
      <c r="AP28" s="403">
        <f>'Portefeuille SP2'!AB34</f>
        <v>1</v>
      </c>
      <c r="AQ28" s="403">
        <f>'Portefeuille SP2'!AC34</f>
        <v>1</v>
      </c>
      <c r="AR28" s="403">
        <f>'Portefeuille SP2'!AD34</f>
        <v>1</v>
      </c>
      <c r="AS28" s="403">
        <f>'Portefeuille SP2'!AE34</f>
        <v>1</v>
      </c>
      <c r="AT28" s="403">
        <f>'Portefeuille SP2'!AF34</f>
        <v>1</v>
      </c>
      <c r="AU28" s="403">
        <f>'Portefeuille SP2'!AG34</f>
        <v>1</v>
      </c>
      <c r="AV28" s="403">
        <f>'Portefeuille SP2'!AH34</f>
        <v>1</v>
      </c>
      <c r="AW28" s="403">
        <f>'Portefeuille SP2'!AI34</f>
        <v>1</v>
      </c>
      <c r="AX28" s="403">
        <f>'Portefeuille SP2'!AJ34</f>
        <v>1</v>
      </c>
      <c r="AY28" s="403">
        <f>'Portefeuille SP2'!AK34</f>
        <v>1</v>
      </c>
      <c r="AZ28" s="403">
        <f>'Portefeuille SP2'!AL34</f>
        <v>1</v>
      </c>
      <c r="BA28" s="403">
        <f>'Portefeuille SP2'!AM34</f>
        <v>1</v>
      </c>
      <c r="BB28" s="403">
        <f>'Portefeuille SP2'!AN34</f>
        <v>1</v>
      </c>
      <c r="BC28" s="403">
        <f>'Portefeuille SP2'!AO34</f>
        <v>1</v>
      </c>
      <c r="BD28" s="403">
        <f>'Portefeuille SP2'!AP34</f>
        <v>1</v>
      </c>
      <c r="BE28" s="403">
        <f>'Portefeuille SP2'!AQ34</f>
        <v>1</v>
      </c>
      <c r="BF28" s="403">
        <f>'Portefeuille SP2'!AR34</f>
        <v>1</v>
      </c>
      <c r="BG28" s="403" t="e">
        <f>'Portefeuille SP2'!#REF!</f>
        <v>#REF!</v>
      </c>
      <c r="BH28" s="403" t="e">
        <f>'Portefeuille SP2'!#REF!</f>
        <v>#REF!</v>
      </c>
      <c r="BI28" s="403" t="e">
        <f>'Portefeuille SP2'!#REF!</f>
        <v>#REF!</v>
      </c>
      <c r="BJ28" s="403" t="e">
        <f>'Portefeuille SP2'!#REF!</f>
        <v>#REF!</v>
      </c>
      <c r="BK28" s="403" t="e">
        <f>'Portefeuille SP2'!#REF!</f>
        <v>#REF!</v>
      </c>
      <c r="BL28" s="388"/>
      <c r="BM28" s="404" t="str">
        <f>'Portefeuille SP2'!L34</f>
        <v>08/10/2024 : Proposition de mettre le cable en option lors de l'achat (forcée par défaut dans le cnfigurateur avec possibilité de le supprimer).
25/09/2024 : Interdit par la politique tech pour le passage APV (Julien Grand clerc / Alain Lefevre sollicités pour offi).
19/06/2024 : en cours sur SP1 et sur SP2
13/03/2024 ECMP &gt; APV</v>
      </c>
    </row>
    <row r="29" spans="1:65" ht="15" customHeight="1">
      <c r="A29" s="383" t="str">
        <f>'Portefeuille SP2'!B35</f>
        <v>28/05/2025</v>
      </c>
      <c r="B29" s="390" t="str">
        <f>'Portefeuille SP2'!Q35</f>
        <v>CANCELED</v>
      </c>
      <c r="C29" s="384"/>
      <c r="D29" s="382" t="str">
        <f>'Portefeuille SP2'!E35</f>
        <v>TH</v>
      </c>
      <c r="E29" s="382" t="str">
        <f t="shared" si="0"/>
        <v>FRS</v>
      </c>
      <c r="F29" s="382" t="str">
        <f t="shared" si="2"/>
        <v/>
      </c>
      <c r="G29" s="382" t="str">
        <f>'Portefeuille SP2'!C35</f>
        <v>SP1</v>
      </c>
      <c r="H29" s="382" t="str">
        <f>'Portefeuille SP2'!F35</f>
        <v>Sébastien Bonnefoi (P1H)/
Jean Michel Gabus P1X</v>
      </c>
      <c r="I29" s="382"/>
      <c r="J29" s="382" t="str">
        <f>'Portefeuille SP2'!D35</f>
        <v>FRSD</v>
      </c>
      <c r="K29" s="385" t="str">
        <f>'Portefeuille SP2'!H35</f>
        <v>style/brand</v>
      </c>
      <c r="L29" s="157">
        <f>'Portefeuille SP2'!U35</f>
        <v>0.125</v>
      </c>
      <c r="M29" s="386"/>
      <c r="N29" s="386"/>
      <c r="O29" s="386"/>
      <c r="P29" s="387">
        <f>'Portefeuille SP2'!M35</f>
        <v>0</v>
      </c>
      <c r="Q29" s="387"/>
      <c r="R29" s="387">
        <f>'Portefeuille SP2'!N35</f>
        <v>0</v>
      </c>
      <c r="S29" s="387"/>
      <c r="T29" s="382">
        <f>'Portefeuille SP2'!R35</f>
        <v>0</v>
      </c>
      <c r="U29" s="387">
        <f>'Portefeuille SP2'!K35</f>
        <v>0</v>
      </c>
      <c r="V29" s="399">
        <f>'Portefeuille SP2'!S35</f>
        <v>0.25</v>
      </c>
      <c r="W29" s="387"/>
      <c r="X29" s="387"/>
      <c r="Y29" s="387"/>
      <c r="Z29" s="387"/>
      <c r="AA29" s="387"/>
      <c r="AB29" s="387"/>
      <c r="AC29" s="387"/>
      <c r="AD29" s="387"/>
      <c r="AE29" s="400">
        <f>'Portefeuille SP2'!J35</f>
        <v>0</v>
      </c>
      <c r="AF29" s="387"/>
      <c r="AG29" s="387"/>
      <c r="AH29" s="389"/>
      <c r="AI29" s="389"/>
      <c r="AJ29" s="403">
        <f>'Portefeuille SP2'!V35</f>
        <v>1</v>
      </c>
      <c r="AK29" s="403">
        <f>'Portefeuille SP2'!W35</f>
        <v>1</v>
      </c>
      <c r="AL29" s="403">
        <f>'Portefeuille SP2'!X35</f>
        <v>1</v>
      </c>
      <c r="AM29" s="403">
        <f>'Portefeuille SP2'!Y35</f>
        <v>1</v>
      </c>
      <c r="AN29" s="403">
        <f>'Portefeuille SP2'!Z35</f>
        <v>1</v>
      </c>
      <c r="AO29" s="403">
        <f>'Portefeuille SP2'!AA35</f>
        <v>1</v>
      </c>
      <c r="AP29" s="403">
        <f>'Portefeuille SP2'!AB35</f>
        <v>1</v>
      </c>
      <c r="AQ29" s="403">
        <f>'Portefeuille SP2'!AC35</f>
        <v>1</v>
      </c>
      <c r="AR29" s="403">
        <f>'Portefeuille SP2'!AD35</f>
        <v>1</v>
      </c>
      <c r="AS29" s="403">
        <f>'Portefeuille SP2'!AE35</f>
        <v>1</v>
      </c>
      <c r="AT29" s="403">
        <f>'Portefeuille SP2'!AF35</f>
        <v>1</v>
      </c>
      <c r="AU29" s="403">
        <f>'Portefeuille SP2'!AG35</f>
        <v>1</v>
      </c>
      <c r="AV29" s="403">
        <f>'Portefeuille SP2'!AH35</f>
        <v>1</v>
      </c>
      <c r="AW29" s="403">
        <f>'Portefeuille SP2'!AI35</f>
        <v>1</v>
      </c>
      <c r="AX29" s="403">
        <f>'Portefeuille SP2'!AJ35</f>
        <v>1</v>
      </c>
      <c r="AY29" s="403">
        <f>'Portefeuille SP2'!AK35</f>
        <v>1</v>
      </c>
      <c r="AZ29" s="403">
        <f>'Portefeuille SP2'!AL35</f>
        <v>1</v>
      </c>
      <c r="BA29" s="403">
        <f>'Portefeuille SP2'!AM35</f>
        <v>1</v>
      </c>
      <c r="BB29" s="403">
        <f>'Portefeuille SP2'!AN35</f>
        <v>1</v>
      </c>
      <c r="BC29" s="403">
        <f>'Portefeuille SP2'!AO35</f>
        <v>1</v>
      </c>
      <c r="BD29" s="403">
        <f>'Portefeuille SP2'!AP35</f>
        <v>1</v>
      </c>
      <c r="BE29" s="403">
        <f>'Portefeuille SP2'!AQ35</f>
        <v>1</v>
      </c>
      <c r="BF29" s="403">
        <f>'Portefeuille SP2'!AR35</f>
        <v>1</v>
      </c>
      <c r="BG29" s="403" t="e">
        <f>'Portefeuille SP2'!#REF!</f>
        <v>#REF!</v>
      </c>
      <c r="BH29" s="403" t="e">
        <f>'Portefeuille SP2'!#REF!</f>
        <v>#REF!</v>
      </c>
      <c r="BI29" s="403" t="e">
        <f>'Portefeuille SP2'!#REF!</f>
        <v>#REF!</v>
      </c>
      <c r="BJ29" s="403" t="e">
        <f>'Portefeuille SP2'!#REF!</f>
        <v>#REF!</v>
      </c>
      <c r="BK29" s="403" t="e">
        <f>'Portefeuille SP2'!#REF!</f>
        <v>#REF!</v>
      </c>
      <c r="BL29" s="388"/>
      <c r="BM29" s="404" t="str">
        <f>'Portefeuille SP2'!L35</f>
        <v>28/05/2025 CHANTIER MASSE : Nvo Styl, en attente design
25/04/2024 : pas de modif style =&gt; A annuler pour P1H.
27/03/2024 New WS S14</v>
      </c>
    </row>
    <row r="30" spans="1:65" ht="15" customHeight="1">
      <c r="A30" s="383">
        <f>'Portefeuille SP2'!B36</f>
        <v>46058</v>
      </c>
      <c r="B30" s="390" t="str">
        <f>'Portefeuille SP2'!Q36</f>
        <v>IN PROGRESS</v>
      </c>
      <c r="C30" s="384"/>
      <c r="D30" s="382" t="str">
        <f>'Portefeuille SP2'!E36</f>
        <v>PTF</v>
      </c>
      <c r="E30" s="382" t="str">
        <f t="shared" si="0"/>
        <v>PHE</v>
      </c>
      <c r="F30" s="382" t="str">
        <f t="shared" ref="F30:F37" si="4">MID(J30, 4, 20)</f>
        <v>S</v>
      </c>
      <c r="G30" s="382" t="str">
        <f>'Portefeuille SP2'!C36</f>
        <v>SP1</v>
      </c>
      <c r="H30" s="382">
        <f>'Portefeuille SP2'!F36</f>
        <v>0</v>
      </c>
      <c r="I30" s="382"/>
      <c r="J30" s="382" t="str">
        <f>'Portefeuille SP2'!D36</f>
        <v>PHES</v>
      </c>
      <c r="K30" s="385" t="str">
        <f>'Portefeuille SP2'!H36</f>
        <v xml:space="preserve">support optim </v>
      </c>
      <c r="L30" s="157">
        <f>'Portefeuille SP2'!U36</f>
        <v>-0.125</v>
      </c>
      <c r="M30" s="386"/>
      <c r="N30" s="386"/>
      <c r="O30" s="386"/>
      <c r="P30" s="400">
        <f>'Portefeuille SP2'!M36</f>
        <v>0</v>
      </c>
      <c r="Q30" s="387"/>
      <c r="R30" s="387">
        <f>'Portefeuille SP2'!N36</f>
        <v>0</v>
      </c>
      <c r="S30" s="387"/>
      <c r="T30" s="382">
        <f>'Portefeuille SP2'!R36</f>
        <v>0</v>
      </c>
      <c r="U30" s="387">
        <f>'Portefeuille SP2'!K36</f>
        <v>0</v>
      </c>
      <c r="V30" s="399">
        <f>'Portefeuille SP2'!S36</f>
        <v>0.25</v>
      </c>
      <c r="W30" s="387"/>
      <c r="X30" s="387"/>
      <c r="Y30" s="387"/>
      <c r="Z30" s="387"/>
      <c r="AA30" s="387"/>
      <c r="AB30" s="387"/>
      <c r="AC30" s="387"/>
      <c r="AD30" s="387"/>
      <c r="AE30" s="408">
        <f>'Portefeuille SP2'!J36</f>
        <v>0</v>
      </c>
      <c r="AF30" s="387"/>
      <c r="AG30" s="387"/>
      <c r="AH30" s="389"/>
      <c r="AI30" s="389"/>
      <c r="AJ30" s="403">
        <f>'Portefeuille SP2'!V36</f>
        <v>1</v>
      </c>
      <c r="AK30" s="403">
        <f>'Portefeuille SP2'!W36</f>
        <v>1</v>
      </c>
      <c r="AL30" s="403">
        <f>'Portefeuille SP2'!X36</f>
        <v>1</v>
      </c>
      <c r="AM30" s="403">
        <f>'Portefeuille SP2'!Y36</f>
        <v>1</v>
      </c>
      <c r="AN30" s="403">
        <f>'Portefeuille SP2'!Z36</f>
        <v>1</v>
      </c>
      <c r="AO30" s="403">
        <f>'Portefeuille SP2'!AA36</f>
        <v>1</v>
      </c>
      <c r="AP30" s="403">
        <f>'Portefeuille SP2'!AB36</f>
        <v>1</v>
      </c>
      <c r="AQ30" s="403">
        <f>'Portefeuille SP2'!AC36</f>
        <v>1</v>
      </c>
      <c r="AR30" s="403">
        <f>'Portefeuille SP2'!AD36</f>
        <v>1</v>
      </c>
      <c r="AS30" s="403">
        <f>'Portefeuille SP2'!AE36</f>
        <v>1</v>
      </c>
      <c r="AT30" s="403">
        <f>'Portefeuille SP2'!AF36</f>
        <v>1</v>
      </c>
      <c r="AU30" s="403">
        <f>'Portefeuille SP2'!AG36</f>
        <v>1</v>
      </c>
      <c r="AV30" s="403">
        <f>'Portefeuille SP2'!AH36</f>
        <v>1</v>
      </c>
      <c r="AW30" s="403">
        <f>'Portefeuille SP2'!AI36</f>
        <v>1</v>
      </c>
      <c r="AX30" s="403">
        <f>'Portefeuille SP2'!AJ36</f>
        <v>1</v>
      </c>
      <c r="AY30" s="403">
        <f>'Portefeuille SP2'!AK36</f>
        <v>1</v>
      </c>
      <c r="AZ30" s="403">
        <f>'Portefeuille SP2'!AL36</f>
        <v>1</v>
      </c>
      <c r="BA30" s="403">
        <f>'Portefeuille SP2'!AM36</f>
        <v>1</v>
      </c>
      <c r="BB30" s="403">
        <f>'Portefeuille SP2'!AN36</f>
        <v>1</v>
      </c>
      <c r="BC30" s="403">
        <f>'Portefeuille SP2'!AO36</f>
        <v>1</v>
      </c>
      <c r="BD30" s="403">
        <f>'Portefeuille SP2'!AP36</f>
        <v>1</v>
      </c>
      <c r="BE30" s="403">
        <f>'Portefeuille SP2'!AQ36</f>
        <v>1</v>
      </c>
      <c r="BF30" s="403">
        <f>'Portefeuille SP2'!AR36</f>
        <v>1</v>
      </c>
      <c r="BG30" s="403" t="e">
        <f>'Portefeuille SP2'!#REF!</f>
        <v>#REF!</v>
      </c>
      <c r="BH30" s="403" t="e">
        <f>'Portefeuille SP2'!#REF!</f>
        <v>#REF!</v>
      </c>
      <c r="BI30" s="403" t="e">
        <f>'Portefeuille SP2'!#REF!</f>
        <v>#REF!</v>
      </c>
      <c r="BJ30" s="403" t="e">
        <f>'Portefeuille SP2'!#REF!</f>
        <v>#REF!</v>
      </c>
      <c r="BK30" s="403" t="e">
        <f>'Portefeuille SP2'!#REF!</f>
        <v>#REF!</v>
      </c>
      <c r="BL30" s="388"/>
      <c r="BM30" s="404" t="str">
        <f>'Portefeuille SP2'!L36</f>
        <v>11/09/2024 : Travaux en cours</v>
      </c>
    </row>
    <row r="31" spans="1:65" ht="15" customHeight="1">
      <c r="A31" s="383">
        <f>'Portefeuille SP2'!B37</f>
        <v>46058</v>
      </c>
      <c r="B31" s="390" t="str">
        <f>'Portefeuille SP2'!Q37</f>
        <v>IN PROGRESS</v>
      </c>
      <c r="C31" s="384"/>
      <c r="D31" s="382" t="str">
        <f>'Portefeuille SP2'!E37</f>
        <v>PTF</v>
      </c>
      <c r="E31" s="382" t="str">
        <f t="shared" si="0"/>
        <v>SWX</v>
      </c>
      <c r="F31" s="382" t="str">
        <f t="shared" si="4"/>
        <v>/EE</v>
      </c>
      <c r="G31" s="382" t="str">
        <f>'Portefeuille SP2'!C37</f>
        <v>SP1</v>
      </c>
      <c r="H31" s="382">
        <f>'Portefeuille SP2'!F37</f>
        <v>0</v>
      </c>
      <c r="I31" s="382"/>
      <c r="J31" s="382" t="str">
        <f>'Portefeuille SP2'!D37</f>
        <v>SWX/EE</v>
      </c>
      <c r="K31" s="385" t="str">
        <f>'Portefeuille SP2'!H37</f>
        <v xml:space="preserve">support optim </v>
      </c>
      <c r="L31" s="157">
        <f>'Portefeuille SP2'!U37</f>
        <v>-0.45</v>
      </c>
      <c r="M31" s="386"/>
      <c r="N31" s="386"/>
      <c r="O31" s="386"/>
      <c r="P31" s="400">
        <f>'Portefeuille SP2'!M37</f>
        <v>0</v>
      </c>
      <c r="Q31" s="387"/>
      <c r="R31" s="387">
        <f>'Portefeuille SP2'!N37</f>
        <v>0</v>
      </c>
      <c r="S31" s="387"/>
      <c r="T31" s="382">
        <f>'Portefeuille SP2'!R37</f>
        <v>0</v>
      </c>
      <c r="U31" s="387">
        <f>'Portefeuille SP2'!K37</f>
        <v>0</v>
      </c>
      <c r="V31" s="399">
        <f>'Portefeuille SP2'!S37</f>
        <v>1</v>
      </c>
      <c r="W31" s="387"/>
      <c r="X31" s="387"/>
      <c r="Y31" s="387"/>
      <c r="Z31" s="387"/>
      <c r="AA31" s="387"/>
      <c r="AB31" s="387"/>
      <c r="AC31" s="387"/>
      <c r="AD31" s="387"/>
      <c r="AE31" s="408">
        <f>'Portefeuille SP2'!J37</f>
        <v>0</v>
      </c>
      <c r="AF31" s="387"/>
      <c r="AG31" s="387"/>
      <c r="AH31" s="389"/>
      <c r="AI31" s="389"/>
      <c r="AJ31" s="403">
        <f>'Portefeuille SP2'!V37</f>
        <v>1</v>
      </c>
      <c r="AK31" s="403">
        <f>'Portefeuille SP2'!W37</f>
        <v>1</v>
      </c>
      <c r="AL31" s="403">
        <f>'Portefeuille SP2'!X37</f>
        <v>1</v>
      </c>
      <c r="AM31" s="403">
        <f>'Portefeuille SP2'!Y37</f>
        <v>1</v>
      </c>
      <c r="AN31" s="403">
        <f>'Portefeuille SP2'!Z37</f>
        <v>1</v>
      </c>
      <c r="AO31" s="403">
        <f>'Portefeuille SP2'!AA37</f>
        <v>1</v>
      </c>
      <c r="AP31" s="403">
        <f>'Portefeuille SP2'!AB37</f>
        <v>1</v>
      </c>
      <c r="AQ31" s="403">
        <f>'Portefeuille SP2'!AC37</f>
        <v>1</v>
      </c>
      <c r="AR31" s="403">
        <f>'Portefeuille SP2'!AD37</f>
        <v>1</v>
      </c>
      <c r="AS31" s="403">
        <f>'Portefeuille SP2'!AE37</f>
        <v>1</v>
      </c>
      <c r="AT31" s="403">
        <f>'Portefeuille SP2'!AF37</f>
        <v>1</v>
      </c>
      <c r="AU31" s="403">
        <f>'Portefeuille SP2'!AG37</f>
        <v>1</v>
      </c>
      <c r="AV31" s="403">
        <f>'Portefeuille SP2'!AH37</f>
        <v>1</v>
      </c>
      <c r="AW31" s="403">
        <f>'Portefeuille SP2'!AI37</f>
        <v>1</v>
      </c>
      <c r="AX31" s="403">
        <f>'Portefeuille SP2'!AJ37</f>
        <v>1</v>
      </c>
      <c r="AY31" s="403">
        <f>'Portefeuille SP2'!AK37</f>
        <v>1</v>
      </c>
      <c r="AZ31" s="403">
        <f>'Portefeuille SP2'!AL37</f>
        <v>1</v>
      </c>
      <c r="BA31" s="403">
        <f>'Portefeuille SP2'!AM37</f>
        <v>1</v>
      </c>
      <c r="BB31" s="403">
        <f>'Portefeuille SP2'!AN37</f>
        <v>1</v>
      </c>
      <c r="BC31" s="403">
        <f>'Portefeuille SP2'!AO37</f>
        <v>1</v>
      </c>
      <c r="BD31" s="403">
        <f>'Portefeuille SP2'!AP37</f>
        <v>1</v>
      </c>
      <c r="BE31" s="403">
        <f>'Portefeuille SP2'!AQ37</f>
        <v>0</v>
      </c>
      <c r="BF31" s="403">
        <f>'Portefeuille SP2'!AR37</f>
        <v>0</v>
      </c>
      <c r="BG31" s="403" t="e">
        <f>'Portefeuille SP2'!#REF!</f>
        <v>#REF!</v>
      </c>
      <c r="BH31" s="403" t="e">
        <f>'Portefeuille SP2'!#REF!</f>
        <v>#REF!</v>
      </c>
      <c r="BI31" s="403" t="e">
        <f>'Portefeuille SP2'!#REF!</f>
        <v>#REF!</v>
      </c>
      <c r="BJ31" s="403" t="e">
        <f>'Portefeuille SP2'!#REF!</f>
        <v>#REF!</v>
      </c>
      <c r="BK31" s="403" t="e">
        <f>'Portefeuille SP2'!#REF!</f>
        <v>#REF!</v>
      </c>
      <c r="BL31" s="388"/>
      <c r="BM31" s="404" t="str">
        <f>'Portefeuille SP2'!L37</f>
        <v>09/12/2025 : Proposition de créer une diversité entre les versions AWD et FWD pour tous les HR</v>
      </c>
    </row>
    <row r="32" spans="1:65" ht="15" customHeight="1">
      <c r="A32" s="383" t="str">
        <f>'Portefeuille SP2'!B38</f>
        <v>06/06/2025</v>
      </c>
      <c r="B32" s="390" t="str">
        <f>'Portefeuille SP2'!Q38</f>
        <v>CANCELED</v>
      </c>
      <c r="C32" s="384"/>
      <c r="D32" s="382" t="str">
        <f>'Portefeuille SP2'!E38</f>
        <v>TH</v>
      </c>
      <c r="E32" s="382" t="str">
        <f t="shared" si="0"/>
        <v>DIW</v>
      </c>
      <c r="F32" s="382" t="str">
        <f t="shared" si="4"/>
        <v/>
      </c>
      <c r="G32" s="382" t="str">
        <f>'Portefeuille SP2'!C38</f>
        <v>SP1</v>
      </c>
      <c r="H32" s="382" t="str">
        <f>'Portefeuille SP2'!F38</f>
        <v>Filipe Goncalves (P1H)/
Cyrille P1X</v>
      </c>
      <c r="I32" s="382"/>
      <c r="J32" s="382" t="str">
        <f>'Portefeuille SP2'!D38</f>
        <v>DIW</v>
      </c>
      <c r="K32" s="385" t="str">
        <f>'Portefeuille SP2'!H38</f>
        <v>BIW/ DIW process</v>
      </c>
      <c r="L32" s="157">
        <f>'Portefeuille SP2'!U38</f>
        <v>0.3</v>
      </c>
      <c r="M32" s="386"/>
      <c r="N32" s="386"/>
      <c r="O32" s="386"/>
      <c r="P32" s="400">
        <f>'Portefeuille SP2'!M38</f>
        <v>0</v>
      </c>
      <c r="Q32" s="387"/>
      <c r="R32" s="387">
        <f>'Portefeuille SP2'!N38</f>
        <v>0</v>
      </c>
      <c r="S32" s="387"/>
      <c r="T32" s="382">
        <f>'Portefeuille SP2'!R38</f>
        <v>0</v>
      </c>
      <c r="U32" s="387">
        <f>'Portefeuille SP2'!K38</f>
        <v>0</v>
      </c>
      <c r="V32" s="399">
        <f>'Portefeuille SP2'!S38</f>
        <v>0.25</v>
      </c>
      <c r="W32" s="387"/>
      <c r="X32" s="387"/>
      <c r="Y32" s="387"/>
      <c r="Z32" s="387"/>
      <c r="AA32" s="387"/>
      <c r="AB32" s="387"/>
      <c r="AC32" s="387"/>
      <c r="AD32" s="387"/>
      <c r="AE32" s="408" t="str">
        <f>'Portefeuille SP2'!J38</f>
        <v>06/02/2026LM
Pas concerné</v>
      </c>
      <c r="AF32" s="387"/>
      <c r="AG32" s="387"/>
      <c r="AH32" s="389"/>
      <c r="AI32" s="389"/>
      <c r="AJ32" s="403">
        <f>'Portefeuille SP2'!V38</f>
        <v>1</v>
      </c>
      <c r="AK32" s="403">
        <f>'Portefeuille SP2'!W38</f>
        <v>1</v>
      </c>
      <c r="AL32" s="403">
        <f>'Portefeuille SP2'!X38</f>
        <v>1</v>
      </c>
      <c r="AM32" s="403">
        <f>'Portefeuille SP2'!Y38</f>
        <v>1</v>
      </c>
      <c r="AN32" s="403">
        <f>'Portefeuille SP2'!Z38</f>
        <v>1</v>
      </c>
      <c r="AO32" s="403">
        <f>'Portefeuille SP2'!AA38</f>
        <v>1</v>
      </c>
      <c r="AP32" s="403">
        <f>'Portefeuille SP2'!AB38</f>
        <v>1</v>
      </c>
      <c r="AQ32" s="403">
        <f>'Portefeuille SP2'!AC38</f>
        <v>1</v>
      </c>
      <c r="AR32" s="403">
        <f>'Portefeuille SP2'!AD38</f>
        <v>1</v>
      </c>
      <c r="AS32" s="403">
        <f>'Portefeuille SP2'!AE38</f>
        <v>1</v>
      </c>
      <c r="AT32" s="403">
        <f>'Portefeuille SP2'!AF38</f>
        <v>1</v>
      </c>
      <c r="AU32" s="403">
        <f>'Portefeuille SP2'!AG38</f>
        <v>1</v>
      </c>
      <c r="AV32" s="403">
        <f>'Portefeuille SP2'!AH38</f>
        <v>1</v>
      </c>
      <c r="AW32" s="403">
        <f>'Portefeuille SP2'!AI38</f>
        <v>1</v>
      </c>
      <c r="AX32" s="403">
        <f>'Portefeuille SP2'!AJ38</f>
        <v>1</v>
      </c>
      <c r="AY32" s="403">
        <f>'Portefeuille SP2'!AK38</f>
        <v>1</v>
      </c>
      <c r="AZ32" s="403">
        <f>'Portefeuille SP2'!AL38</f>
        <v>1</v>
      </c>
      <c r="BA32" s="403">
        <f>'Portefeuille SP2'!AM38</f>
        <v>1</v>
      </c>
      <c r="BB32" s="403">
        <f>'Portefeuille SP2'!AN38</f>
        <v>1</v>
      </c>
      <c r="BC32" s="403">
        <f>'Portefeuille SP2'!AO38</f>
        <v>1</v>
      </c>
      <c r="BD32" s="403">
        <f>'Portefeuille SP2'!AP38</f>
        <v>1</v>
      </c>
      <c r="BE32" s="403">
        <f>'Portefeuille SP2'!AQ38</f>
        <v>1</v>
      </c>
      <c r="BF32" s="403">
        <f>'Portefeuille SP2'!AR38</f>
        <v>1</v>
      </c>
      <c r="BG32" s="403" t="e">
        <f>'Portefeuille SP2'!#REF!</f>
        <v>#REF!</v>
      </c>
      <c r="BH32" s="403" t="e">
        <f>'Portefeuille SP2'!#REF!</f>
        <v>#REF!</v>
      </c>
      <c r="BI32" s="403" t="e">
        <f>'Portefeuille SP2'!#REF!</f>
        <v>#REF!</v>
      </c>
      <c r="BJ32" s="403" t="e">
        <f>'Portefeuille SP2'!#REF!</f>
        <v>#REF!</v>
      </c>
      <c r="BK32" s="403" t="e">
        <f>'Portefeuille SP2'!#REF!</f>
        <v>#REF!</v>
      </c>
      <c r="BL32" s="388"/>
      <c r="BM32" s="404" t="str">
        <f>'Portefeuille SP2'!L38</f>
        <v>06/06/2025 Niveau de risk diminué à 25%, Final step : fin de SYNC3
04/11/2024 Décalage planning &gt; Post Go_Calcul 
12/07/2024 En attente des résultats SYNC3
21/03/2024 A valoriser suite aux résultats SYNC2 (voir avec RM)
14/03/2024 New / A décider avant engagement SYNC3</v>
      </c>
    </row>
    <row r="33" spans="1:65" ht="15" customHeight="1">
      <c r="A33" s="383" t="str">
        <f>'Portefeuille SP2'!B39</f>
        <v>08/04/2025</v>
      </c>
      <c r="B33" s="390" t="str">
        <f>'Portefeuille SP2'!Q39</f>
        <v>DECIDED</v>
      </c>
      <c r="C33" s="384"/>
      <c r="D33" s="382" t="str">
        <f>'Portefeuille SP2'!E39</f>
        <v>TH</v>
      </c>
      <c r="E33" s="382" t="str">
        <f t="shared" si="0"/>
        <v>BIW</v>
      </c>
      <c r="F33" s="382" t="str">
        <f t="shared" si="4"/>
        <v/>
      </c>
      <c r="G33" s="382" t="str">
        <f>'Portefeuille SP2'!C39</f>
        <v>SP1</v>
      </c>
      <c r="H33" s="382" t="str">
        <f>'Portefeuille SP2'!F39</f>
        <v>Franck Baillon (SP1)/
Cyrille P1X</v>
      </c>
      <c r="I33" s="382"/>
      <c r="J33" s="382" t="str">
        <f>'Portefeuille SP2'!D39</f>
        <v>BIW</v>
      </c>
      <c r="K33" s="385" t="str">
        <f>'Portefeuille SP2'!H39</f>
        <v>risk perfo</v>
      </c>
      <c r="L33" s="157">
        <f>'Portefeuille SP2'!U39</f>
        <v>0.44400000000000001</v>
      </c>
      <c r="M33" s="386"/>
      <c r="N33" s="386"/>
      <c r="O33" s="386"/>
      <c r="P33" s="400">
        <f>'Portefeuille SP2'!M39</f>
        <v>0</v>
      </c>
      <c r="Q33" s="387"/>
      <c r="R33" s="387">
        <f>'Portefeuille SP2'!N39</f>
        <v>0</v>
      </c>
      <c r="S33" s="387"/>
      <c r="T33" s="382">
        <f>'Portefeuille SP2'!R39</f>
        <v>0</v>
      </c>
      <c r="U33" s="387">
        <f>'Portefeuille SP2'!K39</f>
        <v>0</v>
      </c>
      <c r="V33" s="399">
        <f>'Portefeuille SP2'!S39</f>
        <v>0.5</v>
      </c>
      <c r="W33" s="387"/>
      <c r="X33" s="387"/>
      <c r="Y33" s="387"/>
      <c r="Z33" s="387"/>
      <c r="AA33" s="387"/>
      <c r="AB33" s="387"/>
      <c r="AC33" s="387"/>
      <c r="AD33" s="387"/>
      <c r="AE33" s="408" t="str">
        <f>'Portefeuille SP2'!J39</f>
        <v>Bilan Choc dira si on peut appliquer aussi</v>
      </c>
      <c r="AF33" s="387"/>
      <c r="AG33" s="387"/>
      <c r="AH33" s="389"/>
      <c r="AI33" s="389"/>
      <c r="AJ33" s="403">
        <f>'Portefeuille SP2'!V39</f>
        <v>1</v>
      </c>
      <c r="AK33" s="403">
        <f>'Portefeuille SP2'!W39</f>
        <v>1</v>
      </c>
      <c r="AL33" s="403">
        <f>'Portefeuille SP2'!X39</f>
        <v>1</v>
      </c>
      <c r="AM33" s="403">
        <f>'Portefeuille SP2'!Y39</f>
        <v>1</v>
      </c>
      <c r="AN33" s="403">
        <f>'Portefeuille SP2'!Z39</f>
        <v>1</v>
      </c>
      <c r="AO33" s="403">
        <f>'Portefeuille SP2'!AA39</f>
        <v>1</v>
      </c>
      <c r="AP33" s="403">
        <f>'Portefeuille SP2'!AB39</f>
        <v>1</v>
      </c>
      <c r="AQ33" s="403">
        <f>'Portefeuille SP2'!AC39</f>
        <v>1</v>
      </c>
      <c r="AR33" s="403">
        <f>'Portefeuille SP2'!AD39</f>
        <v>1</v>
      </c>
      <c r="AS33" s="403">
        <f>'Portefeuille SP2'!AE39</f>
        <v>1</v>
      </c>
      <c r="AT33" s="403">
        <f>'Portefeuille SP2'!AF39</f>
        <v>1</v>
      </c>
      <c r="AU33" s="403">
        <f>'Portefeuille SP2'!AG39</f>
        <v>1</v>
      </c>
      <c r="AV33" s="403">
        <f>'Portefeuille SP2'!AH39</f>
        <v>1</v>
      </c>
      <c r="AW33" s="403">
        <f>'Portefeuille SP2'!AI39</f>
        <v>1</v>
      </c>
      <c r="AX33" s="403">
        <f>'Portefeuille SP2'!AJ39</f>
        <v>1</v>
      </c>
      <c r="AY33" s="403">
        <f>'Portefeuille SP2'!AK39</f>
        <v>1</v>
      </c>
      <c r="AZ33" s="403">
        <f>'Portefeuille SP2'!AL39</f>
        <v>1</v>
      </c>
      <c r="BA33" s="403">
        <f>'Portefeuille SP2'!AM39</f>
        <v>1</v>
      </c>
      <c r="BB33" s="403">
        <f>'Portefeuille SP2'!AN39</f>
        <v>1</v>
      </c>
      <c r="BC33" s="403">
        <f>'Portefeuille SP2'!AO39</f>
        <v>1</v>
      </c>
      <c r="BD33" s="403">
        <f>'Portefeuille SP2'!AP39</f>
        <v>1</v>
      </c>
      <c r="BE33" s="403">
        <f>'Portefeuille SP2'!AQ39</f>
        <v>1</v>
      </c>
      <c r="BF33" s="403">
        <f>'Portefeuille SP2'!AR39</f>
        <v>1</v>
      </c>
      <c r="BG33" s="403" t="e">
        <f>'Portefeuille SP2'!#REF!</f>
        <v>#REF!</v>
      </c>
      <c r="BH33" s="403" t="e">
        <f>'Portefeuille SP2'!#REF!</f>
        <v>#REF!</v>
      </c>
      <c r="BI33" s="403" t="e">
        <f>'Portefeuille SP2'!#REF!</f>
        <v>#REF!</v>
      </c>
      <c r="BJ33" s="403" t="e">
        <f>'Portefeuille SP2'!#REF!</f>
        <v>#REF!</v>
      </c>
      <c r="BK33" s="403" t="e">
        <f>'Portefeuille SP2'!#REF!</f>
        <v>#REF!</v>
      </c>
      <c r="BL33" s="388"/>
      <c r="BM33" s="404" t="str">
        <f>'Portefeuille SP2'!L39</f>
        <v>08/04/2025 Scénario choc tt SP1 : Dbl Aile AV &amp; Rft Abv Cote HAB (+0,888kg)
03/09/2024 En attente travaux Base sur la 3ée voie … Synthèse idem P1H ! (0,5kg à 50%)
25/04/2024 : Suite choc frontal SYNC1 .Risque ajout raidisseu
13/03/2024 maj
01/02/2024 Ptf</v>
      </c>
    </row>
    <row r="34" spans="1:65" ht="15" customHeight="1">
      <c r="A34" s="383">
        <f>'Portefeuille SP2'!B40</f>
        <v>45536</v>
      </c>
      <c r="B34" s="390" t="str">
        <f>'Portefeuille SP2'!Q40</f>
        <v>CANCELED</v>
      </c>
      <c r="C34" s="384"/>
      <c r="D34" s="382" t="str">
        <f>'Portefeuille SP2'!E40</f>
        <v>TH</v>
      </c>
      <c r="E34" s="382" t="str">
        <f t="shared" si="0"/>
        <v>BIW</v>
      </c>
      <c r="F34" s="382" t="str">
        <f t="shared" si="4"/>
        <v xml:space="preserve"> </v>
      </c>
      <c r="G34" s="382" t="str">
        <f>'Portefeuille SP2'!C40</f>
        <v>SPC_1</v>
      </c>
      <c r="H34" s="382" t="str">
        <f>'Portefeuille SP2'!F40</f>
        <v>FRANK BAILLON</v>
      </c>
      <c r="I34" s="382"/>
      <c r="J34" s="382" t="str">
        <f>'Portefeuille SP2'!D40</f>
        <v xml:space="preserve">BIW </v>
      </c>
      <c r="K34" s="385" t="str">
        <f>'Portefeuille SP2'!H40</f>
        <v>Lower quarter inner</v>
      </c>
      <c r="L34" s="157">
        <f>'Portefeuille SP2'!U40</f>
        <v>0.215</v>
      </c>
      <c r="M34" s="386"/>
      <c r="N34" s="386"/>
      <c r="O34" s="386"/>
      <c r="P34" s="400" t="str">
        <f>'Portefeuille SP2'!M40</f>
        <v>-400K€</v>
      </c>
      <c r="Q34" s="387"/>
      <c r="R34" s="387">
        <f>'Portefeuille SP2'!N40</f>
        <v>0.7</v>
      </c>
      <c r="S34" s="387"/>
      <c r="T34" s="382" t="str">
        <f>'Portefeuille SP2'!R40</f>
        <v>TBD</v>
      </c>
      <c r="U34" s="387" t="str">
        <f>'Portefeuille SP2'!K40</f>
        <v>DTM PM-CM</v>
      </c>
      <c r="V34" s="399">
        <f>'Portefeuille SP2'!S40</f>
        <v>0.5</v>
      </c>
      <c r="W34" s="387"/>
      <c r="X34" s="387"/>
      <c r="Y34" s="387"/>
      <c r="Z34" s="387"/>
      <c r="AA34" s="387"/>
      <c r="AB34" s="387"/>
      <c r="AC34" s="387"/>
      <c r="AD34" s="387"/>
      <c r="AE34" s="408" t="str">
        <f>'Portefeuille SP2'!J40</f>
        <v xml:space="preserve">06/10/2025 a reboucler avec l'embout - Mickael
Ludovic DASNOIS
</v>
      </c>
      <c r="AF34" s="387"/>
      <c r="AG34" s="387"/>
      <c r="AH34" s="389"/>
      <c r="AI34" s="389"/>
      <c r="AJ34" s="403">
        <f>'Portefeuille SP2'!V40</f>
        <v>1</v>
      </c>
      <c r="AK34" s="403">
        <f>'Portefeuille SP2'!W40</f>
        <v>1</v>
      </c>
      <c r="AL34" s="403">
        <f>'Portefeuille SP2'!X40</f>
        <v>1</v>
      </c>
      <c r="AM34" s="403">
        <f>'Portefeuille SP2'!Y40</f>
        <v>1</v>
      </c>
      <c r="AN34" s="403">
        <f>'Portefeuille SP2'!Z40</f>
        <v>1</v>
      </c>
      <c r="AO34" s="403">
        <f>'Portefeuille SP2'!AA40</f>
        <v>1</v>
      </c>
      <c r="AP34" s="403">
        <f>'Portefeuille SP2'!AB40</f>
        <v>1</v>
      </c>
      <c r="AQ34" s="403">
        <f>'Portefeuille SP2'!AC40</f>
        <v>1</v>
      </c>
      <c r="AR34" s="403">
        <f>'Portefeuille SP2'!AD40</f>
        <v>1</v>
      </c>
      <c r="AS34" s="403">
        <f>'Portefeuille SP2'!AE40</f>
        <v>1</v>
      </c>
      <c r="AT34" s="403">
        <f>'Portefeuille SP2'!AF40</f>
        <v>1</v>
      </c>
      <c r="AU34" s="403">
        <f>'Portefeuille SP2'!AG40</f>
        <v>1</v>
      </c>
      <c r="AV34" s="403">
        <f>'Portefeuille SP2'!AH40</f>
        <v>1</v>
      </c>
      <c r="AW34" s="403">
        <f>'Portefeuille SP2'!AI40</f>
        <v>1</v>
      </c>
      <c r="AX34" s="403">
        <f>'Portefeuille SP2'!AJ40</f>
        <v>1</v>
      </c>
      <c r="AY34" s="403">
        <f>'Portefeuille SP2'!AK40</f>
        <v>1</v>
      </c>
      <c r="AZ34" s="403">
        <f>'Portefeuille SP2'!AL40</f>
        <v>1</v>
      </c>
      <c r="BA34" s="403">
        <f>'Portefeuille SP2'!AM40</f>
        <v>1</v>
      </c>
      <c r="BB34" s="403">
        <f>'Portefeuille SP2'!AN40</f>
        <v>1</v>
      </c>
      <c r="BC34" s="403">
        <f>'Portefeuille SP2'!AO40</f>
        <v>1</v>
      </c>
      <c r="BD34" s="403">
        <f>'Portefeuille SP2'!AP40</f>
        <v>1</v>
      </c>
      <c r="BE34" s="403">
        <f>'Portefeuille SP2'!AQ40</f>
        <v>1</v>
      </c>
      <c r="BF34" s="403">
        <f>'Portefeuille SP2'!AR40</f>
        <v>1</v>
      </c>
      <c r="BG34" s="403" t="e">
        <f>'Portefeuille SP2'!#REF!</f>
        <v>#REF!</v>
      </c>
      <c r="BH34" s="403" t="e">
        <f>'Portefeuille SP2'!#REF!</f>
        <v>#REF!</v>
      </c>
      <c r="BI34" s="403" t="e">
        <f>'Portefeuille SP2'!#REF!</f>
        <v>#REF!</v>
      </c>
      <c r="BJ34" s="403" t="e">
        <f>'Portefeuille SP2'!#REF!</f>
        <v>#REF!</v>
      </c>
      <c r="BK34" s="403" t="e">
        <f>'Portefeuille SP2'!#REF!</f>
        <v>#REF!</v>
      </c>
      <c r="BL34" s="388"/>
      <c r="BM34" s="404" t="str">
        <f>'Portefeuille SP2'!L40</f>
        <v>26/06/2025 a reboucler après hypothèse projet</v>
      </c>
    </row>
    <row r="35" spans="1:65" ht="15" customHeight="1">
      <c r="A35" s="383">
        <f>'Portefeuille SP2'!B41</f>
        <v>45536</v>
      </c>
      <c r="B35" s="390" t="str">
        <f>'Portefeuille SP2'!Q41</f>
        <v>CANCELED</v>
      </c>
      <c r="C35" s="384"/>
      <c r="D35" s="382" t="str">
        <f>'Portefeuille SP2'!E41</f>
        <v>TH</v>
      </c>
      <c r="E35" s="382" t="str">
        <f t="shared" si="0"/>
        <v>BIW</v>
      </c>
      <c r="F35" s="382" t="str">
        <f t="shared" si="4"/>
        <v xml:space="preserve"> </v>
      </c>
      <c r="G35" s="382" t="str">
        <f>'Portefeuille SP2'!C41</f>
        <v>SPC_1</v>
      </c>
      <c r="H35" s="382" t="str">
        <f>'Portefeuille SP2'!F41</f>
        <v>FRANK BAILLON</v>
      </c>
      <c r="I35" s="382"/>
      <c r="J35" s="382" t="str">
        <f>'Portefeuille SP2'!D41</f>
        <v xml:space="preserve">BIW </v>
      </c>
      <c r="K35" s="385" t="str">
        <f>'Portefeuille SP2'!H41</f>
        <v>Rear Inner pannel</v>
      </c>
      <c r="L35" s="157">
        <f>'Portefeuille SP2'!U41</f>
        <v>0.2</v>
      </c>
      <c r="M35" s="386"/>
      <c r="N35" s="386"/>
      <c r="O35" s="386"/>
      <c r="P35" s="400" t="str">
        <f>'Portefeuille SP2'!M41</f>
        <v>-500K€</v>
      </c>
      <c r="Q35" s="387"/>
      <c r="R35" s="387">
        <f>'Portefeuille SP2'!N41</f>
        <v>0.6</v>
      </c>
      <c r="S35" s="387"/>
      <c r="T35" s="382" t="str">
        <f>'Portefeuille SP2'!R41</f>
        <v>TBD</v>
      </c>
      <c r="U35" s="387" t="str">
        <f>'Portefeuille SP2'!K41</f>
        <v>DTM PM-CM</v>
      </c>
      <c r="V35" s="399">
        <f>'Portefeuille SP2'!S41</f>
        <v>0.5</v>
      </c>
      <c r="W35" s="387"/>
      <c r="X35" s="387"/>
      <c r="Y35" s="387"/>
      <c r="Z35" s="387"/>
      <c r="AA35" s="387"/>
      <c r="AB35" s="387"/>
      <c r="AC35" s="387"/>
      <c r="AD35" s="387"/>
      <c r="AE35" s="408" t="str">
        <f>'Portefeuille SP2'!J41</f>
        <v xml:space="preserve">06/10/2025 a reboucler avec l'embout - Mickael
Ludovic DASNOIS
</v>
      </c>
      <c r="AF35" s="387"/>
      <c r="AG35" s="387"/>
      <c r="AH35" s="389"/>
      <c r="AI35" s="389"/>
      <c r="AJ35" s="403">
        <f>'Portefeuille SP2'!V41</f>
        <v>1</v>
      </c>
      <c r="AK35" s="403">
        <f>'Portefeuille SP2'!W41</f>
        <v>1</v>
      </c>
      <c r="AL35" s="403">
        <f>'Portefeuille SP2'!X41</f>
        <v>1</v>
      </c>
      <c r="AM35" s="403">
        <f>'Portefeuille SP2'!Y41</f>
        <v>1</v>
      </c>
      <c r="AN35" s="403">
        <f>'Portefeuille SP2'!Z41</f>
        <v>1</v>
      </c>
      <c r="AO35" s="403">
        <f>'Portefeuille SP2'!AA41</f>
        <v>1</v>
      </c>
      <c r="AP35" s="403">
        <f>'Portefeuille SP2'!AB41</f>
        <v>1</v>
      </c>
      <c r="AQ35" s="403">
        <f>'Portefeuille SP2'!AC41</f>
        <v>1</v>
      </c>
      <c r="AR35" s="403">
        <f>'Portefeuille SP2'!AD41</f>
        <v>1</v>
      </c>
      <c r="AS35" s="403">
        <f>'Portefeuille SP2'!AE41</f>
        <v>1</v>
      </c>
      <c r="AT35" s="403">
        <f>'Portefeuille SP2'!AF41</f>
        <v>1</v>
      </c>
      <c r="AU35" s="403">
        <f>'Portefeuille SP2'!AG41</f>
        <v>1</v>
      </c>
      <c r="AV35" s="403">
        <f>'Portefeuille SP2'!AH41</f>
        <v>1</v>
      </c>
      <c r="AW35" s="403">
        <f>'Portefeuille SP2'!AI41</f>
        <v>1</v>
      </c>
      <c r="AX35" s="403">
        <f>'Portefeuille SP2'!AJ41</f>
        <v>1</v>
      </c>
      <c r="AY35" s="403">
        <f>'Portefeuille SP2'!AK41</f>
        <v>1</v>
      </c>
      <c r="AZ35" s="403">
        <f>'Portefeuille SP2'!AL41</f>
        <v>1</v>
      </c>
      <c r="BA35" s="403">
        <f>'Portefeuille SP2'!AM41</f>
        <v>1</v>
      </c>
      <c r="BB35" s="403">
        <f>'Portefeuille SP2'!AN41</f>
        <v>1</v>
      </c>
      <c r="BC35" s="403">
        <f>'Portefeuille SP2'!AO41</f>
        <v>1</v>
      </c>
      <c r="BD35" s="403">
        <f>'Portefeuille SP2'!AP41</f>
        <v>1</v>
      </c>
      <c r="BE35" s="403">
        <f>'Portefeuille SP2'!AQ41</f>
        <v>1</v>
      </c>
      <c r="BF35" s="403">
        <f>'Portefeuille SP2'!AR41</f>
        <v>1</v>
      </c>
      <c r="BG35" s="403" t="e">
        <f>'Portefeuille SP2'!#REF!</f>
        <v>#REF!</v>
      </c>
      <c r="BH35" s="403" t="e">
        <f>'Portefeuille SP2'!#REF!</f>
        <v>#REF!</v>
      </c>
      <c r="BI35" s="403" t="e">
        <f>'Portefeuille SP2'!#REF!</f>
        <v>#REF!</v>
      </c>
      <c r="BJ35" s="403" t="e">
        <f>'Portefeuille SP2'!#REF!</f>
        <v>#REF!</v>
      </c>
      <c r="BK35" s="403" t="e">
        <f>'Portefeuille SP2'!#REF!</f>
        <v>#REF!</v>
      </c>
      <c r="BL35" s="388"/>
      <c r="BM35" s="404" t="str">
        <f>'Portefeuille SP2'!L41</f>
        <v>26/06/2025 a reboucler après hypothèse projet</v>
      </c>
    </row>
    <row r="36" spans="1:65" ht="15" customHeight="1">
      <c r="A36" s="383">
        <f>'Portefeuille SP2'!B42</f>
        <v>46083</v>
      </c>
      <c r="B36" s="390" t="str">
        <f>'Portefeuille SP2'!Q42</f>
        <v>CANCELED</v>
      </c>
      <c r="C36" s="384"/>
      <c r="D36" s="382" t="str">
        <f>'Portefeuille SP2'!E42</f>
        <v>TH</v>
      </c>
      <c r="E36" s="382" t="str">
        <f t="shared" si="0"/>
        <v>INT</v>
      </c>
      <c r="F36" s="382" t="str">
        <f t="shared" si="4"/>
        <v xml:space="preserve"> - SEATS/TRIMS</v>
      </c>
      <c r="G36" s="382" t="str">
        <f>'Portefeuille SP2'!C42</f>
        <v>SPC_1</v>
      </c>
      <c r="H36" s="382" t="str">
        <f>'Portefeuille SP2'!F42</f>
        <v>HALIM</v>
      </c>
      <c r="I36" s="382"/>
      <c r="J36" s="382" t="str">
        <f>'Portefeuille SP2'!D42</f>
        <v>INT - SEATS/TRIMS</v>
      </c>
      <c r="K36" s="385" t="str">
        <f>'Portefeuille SP2'!H42</f>
        <v>optim design</v>
      </c>
      <c r="L36" s="157">
        <f>'Portefeuille SP2'!U42</f>
        <v>0</v>
      </c>
      <c r="M36" s="386"/>
      <c r="N36" s="386"/>
      <c r="O36" s="386"/>
      <c r="P36" s="400">
        <f>'Portefeuille SP2'!M42</f>
        <v>0</v>
      </c>
      <c r="Q36" s="387"/>
      <c r="R36" s="387">
        <f>'Portefeuille SP2'!N42</f>
        <v>0</v>
      </c>
      <c r="S36" s="387"/>
      <c r="T36" s="382">
        <f>'Portefeuille SP2'!R42</f>
        <v>0</v>
      </c>
      <c r="U36" s="387" t="str">
        <f>'Portefeuille SP2'!K42</f>
        <v>SFM</v>
      </c>
      <c r="V36" s="399">
        <f>'Portefeuille SP2'!S42</f>
        <v>0.5</v>
      </c>
      <c r="W36" s="387"/>
      <c r="X36" s="387"/>
      <c r="Y36" s="387"/>
      <c r="Z36" s="387"/>
      <c r="AA36" s="387"/>
      <c r="AB36" s="387"/>
      <c r="AC36" s="387"/>
      <c r="AD36" s="387"/>
      <c r="AE36" s="408" t="str">
        <f>'Portefeuille SP2'!J42</f>
        <v>02/03/2026 LM 
Meeting CW10</v>
      </c>
      <c r="AF36" s="387"/>
      <c r="AG36" s="387"/>
      <c r="AH36" s="389"/>
      <c r="AI36" s="389"/>
      <c r="AJ36" s="403">
        <f>'Portefeuille SP2'!V42</f>
        <v>1</v>
      </c>
      <c r="AK36" s="403">
        <f>'Portefeuille SP2'!W42</f>
        <v>1</v>
      </c>
      <c r="AL36" s="403">
        <f>'Portefeuille SP2'!X42</f>
        <v>1</v>
      </c>
      <c r="AM36" s="403">
        <f>'Portefeuille SP2'!Y42</f>
        <v>1</v>
      </c>
      <c r="AN36" s="403">
        <f>'Portefeuille SP2'!Z42</f>
        <v>1</v>
      </c>
      <c r="AO36" s="403">
        <f>'Portefeuille SP2'!AA42</f>
        <v>1</v>
      </c>
      <c r="AP36" s="403">
        <f>'Portefeuille SP2'!AB42</f>
        <v>1</v>
      </c>
      <c r="AQ36" s="403">
        <f>'Portefeuille SP2'!AC42</f>
        <v>1</v>
      </c>
      <c r="AR36" s="403">
        <f>'Portefeuille SP2'!AD42</f>
        <v>1</v>
      </c>
      <c r="AS36" s="403">
        <f>'Portefeuille SP2'!AE42</f>
        <v>1</v>
      </c>
      <c r="AT36" s="403">
        <f>'Portefeuille SP2'!AF42</f>
        <v>1</v>
      </c>
      <c r="AU36" s="403">
        <f>'Portefeuille SP2'!AG42</f>
        <v>1</v>
      </c>
      <c r="AV36" s="403">
        <f>'Portefeuille SP2'!AH42</f>
        <v>1</v>
      </c>
      <c r="AW36" s="403">
        <f>'Portefeuille SP2'!AI42</f>
        <v>1</v>
      </c>
      <c r="AX36" s="403">
        <f>'Portefeuille SP2'!AJ42</f>
        <v>1</v>
      </c>
      <c r="AY36" s="403">
        <f>'Portefeuille SP2'!AK42</f>
        <v>1</v>
      </c>
      <c r="AZ36" s="403">
        <f>'Portefeuille SP2'!AL42</f>
        <v>1</v>
      </c>
      <c r="BA36" s="403">
        <f>'Portefeuille SP2'!AM42</f>
        <v>1</v>
      </c>
      <c r="BB36" s="403">
        <f>'Portefeuille SP2'!AN42</f>
        <v>1</v>
      </c>
      <c r="BC36" s="403">
        <f>'Portefeuille SP2'!AO42</f>
        <v>1</v>
      </c>
      <c r="BD36" s="403">
        <f>'Portefeuille SP2'!AP42</f>
        <v>1</v>
      </c>
      <c r="BE36" s="403">
        <f>'Portefeuille SP2'!AQ42</f>
        <v>1</v>
      </c>
      <c r="BF36" s="403">
        <f>'Portefeuille SP2'!AR42</f>
        <v>1</v>
      </c>
      <c r="BG36" s="403" t="e">
        <f>'Portefeuille SP2'!#REF!</f>
        <v>#REF!</v>
      </c>
      <c r="BH36" s="403" t="e">
        <f>'Portefeuille SP2'!#REF!</f>
        <v>#REF!</v>
      </c>
      <c r="BI36" s="403" t="e">
        <f>'Portefeuille SP2'!#REF!</f>
        <v>#REF!</v>
      </c>
      <c r="BJ36" s="403" t="e">
        <f>'Portefeuille SP2'!#REF!</f>
        <v>#REF!</v>
      </c>
      <c r="BK36" s="403" t="e">
        <f>'Portefeuille SP2'!#REF!</f>
        <v>#REF!</v>
      </c>
      <c r="BL36" s="388"/>
      <c r="BM36" s="404">
        <f>'Portefeuille SP2'!L42</f>
        <v>0</v>
      </c>
    </row>
    <row r="37" spans="1:65" ht="15" customHeight="1">
      <c r="A37" s="383" t="str">
        <f>'Portefeuille SP2'!B43</f>
        <v>18/06/2024</v>
      </c>
      <c r="B37" s="390" t="str">
        <f>'Portefeuille SP2'!Q43</f>
        <v>CANCELED</v>
      </c>
      <c r="C37" s="384"/>
      <c r="D37" s="382" t="str">
        <f>'Portefeuille SP2'!E43</f>
        <v>TH</v>
      </c>
      <c r="E37" s="382" t="str">
        <f t="shared" si="0"/>
        <v>BIW</v>
      </c>
      <c r="F37" s="382" t="str">
        <f t="shared" si="4"/>
        <v xml:space="preserve"> </v>
      </c>
      <c r="G37" s="382" t="str">
        <f>'Portefeuille SP2'!C43</f>
        <v>SP1</v>
      </c>
      <c r="H37" s="382" t="str">
        <f>'Portefeuille SP2'!F43</f>
        <v>FRANK BAILLON</v>
      </c>
      <c r="I37" s="382"/>
      <c r="J37" s="382" t="str">
        <f>'Portefeuille SP2'!D43</f>
        <v xml:space="preserve">BIW </v>
      </c>
      <c r="K37" s="385" t="str">
        <f>'Portefeuille SP2'!H43</f>
        <v>optim design</v>
      </c>
      <c r="L37" s="157">
        <f>'Portefeuille SP2'!U43</f>
        <v>0.15</v>
      </c>
      <c r="M37" s="386"/>
      <c r="N37" s="386"/>
      <c r="O37" s="386"/>
      <c r="P37" s="400">
        <f>'Portefeuille SP2'!M43</f>
        <v>0</v>
      </c>
      <c r="Q37" s="387"/>
      <c r="R37" s="387">
        <f>'Portefeuille SP2'!N43</f>
        <v>0</v>
      </c>
      <c r="S37" s="387"/>
      <c r="T37" s="382">
        <f>'Portefeuille SP2'!R43</f>
        <v>0</v>
      </c>
      <c r="U37" s="387" t="str">
        <f>'Portefeuille SP2'!K43</f>
        <v>SFM</v>
      </c>
      <c r="V37" s="399">
        <f>'Portefeuille SP2'!S43</f>
        <v>0.5</v>
      </c>
      <c r="W37" s="387"/>
      <c r="X37" s="387"/>
      <c r="Y37" s="387"/>
      <c r="Z37" s="387"/>
      <c r="AA37" s="387"/>
      <c r="AB37" s="387"/>
      <c r="AC37" s="387"/>
      <c r="AD37" s="387"/>
      <c r="AE37" s="408" t="str">
        <f>'Portefeuille SP2'!J43</f>
        <v>24/06/2025 à checker en RFQ avec les FNR</v>
      </c>
      <c r="AF37" s="387"/>
      <c r="AG37" s="387"/>
      <c r="AH37" s="389"/>
      <c r="AI37" s="389"/>
      <c r="AJ37" s="403">
        <f>'Portefeuille SP2'!V43</f>
        <v>1</v>
      </c>
      <c r="AK37" s="403">
        <f>'Portefeuille SP2'!W43</f>
        <v>1</v>
      </c>
      <c r="AL37" s="403">
        <f>'Portefeuille SP2'!X43</f>
        <v>1</v>
      </c>
      <c r="AM37" s="403">
        <f>'Portefeuille SP2'!Y43</f>
        <v>1</v>
      </c>
      <c r="AN37" s="403">
        <f>'Portefeuille SP2'!Z43</f>
        <v>1</v>
      </c>
      <c r="AO37" s="403">
        <f>'Portefeuille SP2'!AA43</f>
        <v>1</v>
      </c>
      <c r="AP37" s="403">
        <f>'Portefeuille SP2'!AB43</f>
        <v>1</v>
      </c>
      <c r="AQ37" s="403">
        <f>'Portefeuille SP2'!AC43</f>
        <v>1</v>
      </c>
      <c r="AR37" s="403">
        <f>'Portefeuille SP2'!AD43</f>
        <v>1</v>
      </c>
      <c r="AS37" s="403">
        <f>'Portefeuille SP2'!AE43</f>
        <v>1</v>
      </c>
      <c r="AT37" s="403">
        <f>'Portefeuille SP2'!AF43</f>
        <v>1</v>
      </c>
      <c r="AU37" s="403">
        <f>'Portefeuille SP2'!AG43</f>
        <v>1</v>
      </c>
      <c r="AV37" s="403">
        <f>'Portefeuille SP2'!AH43</f>
        <v>1</v>
      </c>
      <c r="AW37" s="403">
        <f>'Portefeuille SP2'!AI43</f>
        <v>1</v>
      </c>
      <c r="AX37" s="403">
        <f>'Portefeuille SP2'!AJ43</f>
        <v>1</v>
      </c>
      <c r="AY37" s="403">
        <f>'Portefeuille SP2'!AK43</f>
        <v>1</v>
      </c>
      <c r="AZ37" s="403">
        <f>'Portefeuille SP2'!AL43</f>
        <v>1</v>
      </c>
      <c r="BA37" s="403">
        <f>'Portefeuille SP2'!AM43</f>
        <v>1</v>
      </c>
      <c r="BB37" s="403">
        <f>'Portefeuille SP2'!AN43</f>
        <v>1</v>
      </c>
      <c r="BC37" s="403">
        <f>'Portefeuille SP2'!AO43</f>
        <v>1</v>
      </c>
      <c r="BD37" s="403">
        <f>'Portefeuille SP2'!AP43</f>
        <v>1</v>
      </c>
      <c r="BE37" s="403">
        <f>'Portefeuille SP2'!AQ43</f>
        <v>1</v>
      </c>
      <c r="BF37" s="403">
        <f>'Portefeuille SP2'!AR43</f>
        <v>1</v>
      </c>
      <c r="BG37" s="403" t="e">
        <f>'Portefeuille SP2'!#REF!</f>
        <v>#REF!</v>
      </c>
      <c r="BH37" s="403" t="e">
        <f>'Portefeuille SP2'!#REF!</f>
        <v>#REF!</v>
      </c>
      <c r="BI37" s="403" t="e">
        <f>'Portefeuille SP2'!#REF!</f>
        <v>#REF!</v>
      </c>
      <c r="BJ37" s="403" t="e">
        <f>'Portefeuille SP2'!#REF!</f>
        <v>#REF!</v>
      </c>
      <c r="BK37" s="403" t="e">
        <f>'Portefeuille SP2'!#REF!</f>
        <v>#REF!</v>
      </c>
      <c r="BL37" s="388"/>
      <c r="BM37" s="404" t="str">
        <f>'Portefeuille SP2'!L43</f>
        <v>18/06/2024 Dossier RFQ : Masses sup</v>
      </c>
    </row>
    <row r="38" spans="1:65" ht="15" customHeight="1">
      <c r="A38" s="383" t="str">
        <f>'Portefeuille SP2'!B44</f>
        <v>26/08/2024</v>
      </c>
      <c r="B38" s="390" t="str">
        <f>'Portefeuille SP2'!Q44</f>
        <v>CANCELED</v>
      </c>
      <c r="C38" s="384"/>
      <c r="D38" s="382" t="str">
        <f>'Portefeuille SP2'!E44</f>
        <v>PWT</v>
      </c>
      <c r="E38" s="382" t="str">
        <f t="shared" si="0"/>
        <v>PRS</v>
      </c>
      <c r="F38" s="382" t="str">
        <f t="shared" si="2"/>
        <v/>
      </c>
      <c r="G38" s="382" t="str">
        <f>'Portefeuille SP2'!C44</f>
        <v>SP1</v>
      </c>
      <c r="H38" s="382">
        <f>'Portefeuille SP2'!F44</f>
        <v>0</v>
      </c>
      <c r="I38" s="382"/>
      <c r="J38" s="382" t="str">
        <f>'Portefeuille SP2'!D44</f>
        <v>PRS</v>
      </c>
      <c r="K38" s="385">
        <f>'Portefeuille SP2'!H44</f>
        <v>0</v>
      </c>
      <c r="L38" s="157">
        <f>'Portefeuille SP2'!U44</f>
        <v>0.9</v>
      </c>
      <c r="M38" s="386"/>
      <c r="N38" s="386"/>
      <c r="O38" s="386"/>
      <c r="P38" s="387">
        <f>'Portefeuille SP2'!M44</f>
        <v>0</v>
      </c>
      <c r="Q38" s="387"/>
      <c r="R38" s="387">
        <f>'Portefeuille SP2'!N44</f>
        <v>0</v>
      </c>
      <c r="S38" s="387"/>
      <c r="T38" s="382">
        <f>'Portefeuille SP2'!R44</f>
        <v>0</v>
      </c>
      <c r="U38" s="387">
        <f>'Portefeuille SP2'!K44</f>
        <v>0</v>
      </c>
      <c r="V38" s="399">
        <f>'Portefeuille SP2'!S44</f>
        <v>0.5</v>
      </c>
      <c r="W38" s="387"/>
      <c r="X38" s="387"/>
      <c r="Y38" s="387"/>
      <c r="Z38" s="387"/>
      <c r="AA38" s="387"/>
      <c r="AB38" s="387"/>
      <c r="AC38" s="387"/>
      <c r="AD38" s="387"/>
      <c r="AE38" s="400">
        <f>'Portefeuille SP2'!J44</f>
        <v>0</v>
      </c>
      <c r="AF38" s="387"/>
      <c r="AG38" s="387"/>
      <c r="AH38" s="389"/>
      <c r="AI38" s="389"/>
      <c r="AJ38" s="403">
        <f>'Portefeuille SP2'!V44</f>
        <v>1</v>
      </c>
      <c r="AK38" s="403">
        <f>'Portefeuille SP2'!W44</f>
        <v>1</v>
      </c>
      <c r="AL38" s="403">
        <f>'Portefeuille SP2'!X44</f>
        <v>1</v>
      </c>
      <c r="AM38" s="403">
        <f>'Portefeuille SP2'!Y44</f>
        <v>1</v>
      </c>
      <c r="AN38" s="403">
        <f>'Portefeuille SP2'!Z44</f>
        <v>1</v>
      </c>
      <c r="AO38" s="403">
        <f>'Portefeuille SP2'!AA44</f>
        <v>1</v>
      </c>
      <c r="AP38" s="403">
        <f>'Portefeuille SP2'!AB44</f>
        <v>1</v>
      </c>
      <c r="AQ38" s="403">
        <f>'Portefeuille SP2'!AC44</f>
        <v>1</v>
      </c>
      <c r="AR38" s="403">
        <f>'Portefeuille SP2'!AD44</f>
        <v>1</v>
      </c>
      <c r="AS38" s="403">
        <f>'Portefeuille SP2'!AE44</f>
        <v>1</v>
      </c>
      <c r="AT38" s="403">
        <f>'Portefeuille SP2'!AF44</f>
        <v>1</v>
      </c>
      <c r="AU38" s="403">
        <f>'Portefeuille SP2'!AG44</f>
        <v>1</v>
      </c>
      <c r="AV38" s="403">
        <f>'Portefeuille SP2'!AH44</f>
        <v>1</v>
      </c>
      <c r="AW38" s="403">
        <f>'Portefeuille SP2'!AI44</f>
        <v>1</v>
      </c>
      <c r="AX38" s="403">
        <f>'Portefeuille SP2'!AJ44</f>
        <v>1</v>
      </c>
      <c r="AY38" s="403">
        <f>'Portefeuille SP2'!AK44</f>
        <v>1</v>
      </c>
      <c r="AZ38" s="403">
        <f>'Portefeuille SP2'!AL44</f>
        <v>1</v>
      </c>
      <c r="BA38" s="403">
        <f>'Portefeuille SP2'!AM44</f>
        <v>1</v>
      </c>
      <c r="BB38" s="403">
        <f>'Portefeuille SP2'!AN44</f>
        <v>1</v>
      </c>
      <c r="BC38" s="403">
        <f>'Portefeuille SP2'!AO44</f>
        <v>1</v>
      </c>
      <c r="BD38" s="403">
        <f>'Portefeuille SP2'!AP44</f>
        <v>1</v>
      </c>
      <c r="BE38" s="403">
        <f>'Portefeuille SP2'!AQ44</f>
        <v>1</v>
      </c>
      <c r="BF38" s="403">
        <f>'Portefeuille SP2'!AR44</f>
        <v>1</v>
      </c>
      <c r="BG38" s="403" t="e">
        <f>'Portefeuille SP2'!#REF!</f>
        <v>#REF!</v>
      </c>
      <c r="BH38" s="403" t="e">
        <f>'Portefeuille SP2'!#REF!</f>
        <v>#REF!</v>
      </c>
      <c r="BI38" s="403" t="e">
        <f>'Portefeuille SP2'!#REF!</f>
        <v>#REF!</v>
      </c>
      <c r="BJ38" s="403" t="e">
        <f>'Portefeuille SP2'!#REF!</f>
        <v>#REF!</v>
      </c>
      <c r="BK38" s="403" t="e">
        <f>'Portefeuille SP2'!#REF!</f>
        <v>#REF!</v>
      </c>
      <c r="BL38" s="388"/>
      <c r="BM38" s="404" t="str">
        <f>'Portefeuille SP2'!L44</f>
        <v>26/08/2024 Status maj &gt; Ptf en Risque =&gt; Echéance C-sample : date ?
08/07/2024 Mass updated CW27 / maj en cours</v>
      </c>
    </row>
    <row r="39" spans="1:65" ht="15" customHeight="1">
      <c r="A39" s="383">
        <f>'Portefeuille SP2'!B45</f>
        <v>46058</v>
      </c>
      <c r="B39" s="390" t="str">
        <f>'Portefeuille SP2'!Q45</f>
        <v>IN PROGRESS</v>
      </c>
      <c r="C39" s="384"/>
      <c r="D39" s="382" t="str">
        <f>'Portefeuille SP2'!E45</f>
        <v>PTF</v>
      </c>
      <c r="E39" s="382" t="str">
        <f t="shared" si="0"/>
        <v>BCI</v>
      </c>
      <c r="F39" s="382" t="str">
        <f t="shared" ref="F39:F65" si="5">MID(J39, 4, 20)</f>
        <v>_BODY</v>
      </c>
      <c r="G39" s="382" t="str">
        <f>'Portefeuille SP2'!C45</f>
        <v>SP1</v>
      </c>
      <c r="H39" s="382">
        <f>'Portefeuille SP2'!F45</f>
        <v>0</v>
      </c>
      <c r="I39" s="382"/>
      <c r="J39" s="382" t="str">
        <f>'Portefeuille SP2'!D45</f>
        <v>BCI_BODY</v>
      </c>
      <c r="K39" s="385" t="str">
        <f>'Portefeuille SP2'!H45</f>
        <v xml:space="preserve">optim phase 2 </v>
      </c>
      <c r="L39" s="157">
        <f>'Portefeuille SP2'!U45</f>
        <v>-0.5</v>
      </c>
      <c r="M39" s="386"/>
      <c r="N39" s="386"/>
      <c r="O39" s="386"/>
      <c r="P39" s="400">
        <f>'Portefeuille SP2'!M45</f>
        <v>0</v>
      </c>
      <c r="Q39" s="387"/>
      <c r="R39" s="387">
        <f>'Portefeuille SP2'!N45</f>
        <v>0</v>
      </c>
      <c r="S39" s="387"/>
      <c r="T39" s="382">
        <f>'Portefeuille SP2'!R45</f>
        <v>0</v>
      </c>
      <c r="U39" s="387">
        <f>'Portefeuille SP2'!K45</f>
        <v>0</v>
      </c>
      <c r="V39" s="399">
        <f>'Portefeuille SP2'!S45</f>
        <v>0.25</v>
      </c>
      <c r="W39" s="387"/>
      <c r="X39" s="387"/>
      <c r="Y39" s="387"/>
      <c r="Z39" s="387"/>
      <c r="AA39" s="387"/>
      <c r="AB39" s="387"/>
      <c r="AC39" s="387"/>
      <c r="AD39" s="387"/>
      <c r="AE39" s="408">
        <f>'Portefeuille SP2'!J45</f>
        <v>0</v>
      </c>
      <c r="AF39" s="387"/>
      <c r="AG39" s="387"/>
      <c r="AH39" s="389"/>
      <c r="AI39" s="389"/>
      <c r="AJ39" s="403">
        <f>'Portefeuille SP2'!V45</f>
        <v>1</v>
      </c>
      <c r="AK39" s="403">
        <f>'Portefeuille SP2'!W45</f>
        <v>1</v>
      </c>
      <c r="AL39" s="403">
        <f>'Portefeuille SP2'!X45</f>
        <v>1</v>
      </c>
      <c r="AM39" s="403">
        <f>'Portefeuille SP2'!Y45</f>
        <v>1</v>
      </c>
      <c r="AN39" s="403">
        <f>'Portefeuille SP2'!Z45</f>
        <v>1</v>
      </c>
      <c r="AO39" s="403">
        <f>'Portefeuille SP2'!AA45</f>
        <v>1</v>
      </c>
      <c r="AP39" s="403">
        <f>'Portefeuille SP2'!AB45</f>
        <v>1</v>
      </c>
      <c r="AQ39" s="403">
        <f>'Portefeuille SP2'!AC45</f>
        <v>1</v>
      </c>
      <c r="AR39" s="403">
        <f>'Portefeuille SP2'!AD45</f>
        <v>1</v>
      </c>
      <c r="AS39" s="403">
        <f>'Portefeuille SP2'!AE45</f>
        <v>1</v>
      </c>
      <c r="AT39" s="403">
        <f>'Portefeuille SP2'!AF45</f>
        <v>1</v>
      </c>
      <c r="AU39" s="403">
        <f>'Portefeuille SP2'!AG45</f>
        <v>1</v>
      </c>
      <c r="AV39" s="403">
        <f>'Portefeuille SP2'!AH45</f>
        <v>1</v>
      </c>
      <c r="AW39" s="403">
        <f>'Portefeuille SP2'!AI45</f>
        <v>1</v>
      </c>
      <c r="AX39" s="403">
        <f>'Portefeuille SP2'!AJ45</f>
        <v>1</v>
      </c>
      <c r="AY39" s="403">
        <f>'Portefeuille SP2'!AK45</f>
        <v>1</v>
      </c>
      <c r="AZ39" s="403">
        <f>'Portefeuille SP2'!AL45</f>
        <v>1</v>
      </c>
      <c r="BA39" s="403">
        <f>'Portefeuille SP2'!AM45</f>
        <v>1</v>
      </c>
      <c r="BB39" s="403">
        <f>'Portefeuille SP2'!AN45</f>
        <v>1</v>
      </c>
      <c r="BC39" s="403">
        <f>'Portefeuille SP2'!AO45</f>
        <v>1</v>
      </c>
      <c r="BD39" s="403">
        <f>'Portefeuille SP2'!AP45</f>
        <v>1</v>
      </c>
      <c r="BE39" s="403">
        <f>'Portefeuille SP2'!AQ45</f>
        <v>0</v>
      </c>
      <c r="BF39" s="403">
        <f>'Portefeuille SP2'!AR45</f>
        <v>0</v>
      </c>
      <c r="BG39" s="403" t="e">
        <f>'Portefeuille SP2'!#REF!</f>
        <v>#REF!</v>
      </c>
      <c r="BH39" s="403" t="e">
        <f>'Portefeuille SP2'!#REF!</f>
        <v>#REF!</v>
      </c>
      <c r="BI39" s="403" t="e">
        <f>'Portefeuille SP2'!#REF!</f>
        <v>#REF!</v>
      </c>
      <c r="BJ39" s="403" t="e">
        <f>'Portefeuille SP2'!#REF!</f>
        <v>#REF!</v>
      </c>
      <c r="BK39" s="403" t="e">
        <f>'Portefeuille SP2'!#REF!</f>
        <v>#REF!</v>
      </c>
      <c r="BL39" s="388"/>
      <c r="BM39" s="404" t="str">
        <f>'Portefeuille SP2'!L45</f>
        <v>17/11/2025 : Config P1H figée.
17/07/2025 : Pas de casse d'écran (ecran ar cassé mais à priori non conforme). Attente retour QAU pour voir si déformation ok.
07/07/2025 : Ecran actuellement trop souple. Besoin d'essai de passage au gué pour etat des lieux (cette semaine). Voir avec JC si masse des ecrans dans la BOM est conforme de la techno Mussel.
20/11/2024 : Consultation en cours. Certains fournisseurs propose la techno Mussel : injecte de l'air dans la matière pour avoir de l'épaisseur sans masse (permet d'avoir de la raideur et de réduire le besoin de nervurage). Choix fournisseur début avril 2025.
23/10/2024 : Design avant essai 
23/09/2024 : Piste maximisée</v>
      </c>
    </row>
    <row r="40" spans="1:65" ht="15" customHeight="1">
      <c r="A40" s="383" t="str">
        <f>'Portefeuille SP2'!B46</f>
        <v>11/02/2025</v>
      </c>
      <c r="B40" s="390" t="str">
        <f>'Portefeuille SP2'!Q46</f>
        <v>CANCELED</v>
      </c>
      <c r="C40" s="384"/>
      <c r="D40" s="382" t="str">
        <f>'Portefeuille SP2'!E46</f>
        <v>PTF</v>
      </c>
      <c r="E40" s="382" t="str">
        <f t="shared" si="0"/>
        <v>BCI</v>
      </c>
      <c r="F40" s="382" t="str">
        <f t="shared" si="5"/>
        <v>_CHASSIS</v>
      </c>
      <c r="G40" s="382" t="str">
        <f>'Portefeuille SP2'!C46</f>
        <v>SP1</v>
      </c>
      <c r="H40" s="382">
        <f>'Portefeuille SP2'!F46</f>
        <v>0</v>
      </c>
      <c r="I40" s="382"/>
      <c r="J40" s="382" t="str">
        <f>'Portefeuille SP2'!D46</f>
        <v>BCI_CHASSIS</v>
      </c>
      <c r="K40" s="385" t="str">
        <f>'Portefeuille SP2'!H46</f>
        <v>Steer-by-wire steering wheel actuator (SBW only)</v>
      </c>
      <c r="L40" s="157">
        <f>'Portefeuille SP2'!U46</f>
        <v>-0.17499999999999999</v>
      </c>
      <c r="M40" s="386"/>
      <c r="N40" s="386"/>
      <c r="O40" s="386"/>
      <c r="P40" s="400">
        <f>'Portefeuille SP2'!M46</f>
        <v>0</v>
      </c>
      <c r="Q40" s="387"/>
      <c r="R40" s="387">
        <f>'Portefeuille SP2'!N46</f>
        <v>0</v>
      </c>
      <c r="S40" s="387"/>
      <c r="T40" s="382">
        <f>'Portefeuille SP2'!R46</f>
        <v>0</v>
      </c>
      <c r="U40" s="387">
        <f>'Portefeuille SP2'!K46</f>
        <v>0</v>
      </c>
      <c r="V40" s="399">
        <f>'Portefeuille SP2'!S46</f>
        <v>0.25</v>
      </c>
      <c r="W40" s="387"/>
      <c r="X40" s="387"/>
      <c r="Y40" s="387"/>
      <c r="Z40" s="387"/>
      <c r="AA40" s="387"/>
      <c r="AB40" s="387"/>
      <c r="AC40" s="387"/>
      <c r="AD40" s="387"/>
      <c r="AE40" s="408">
        <f>'Portefeuille SP2'!J46</f>
        <v>0</v>
      </c>
      <c r="AF40" s="387"/>
      <c r="AG40" s="387"/>
      <c r="AH40" s="389"/>
      <c r="AI40" s="389"/>
      <c r="AJ40" s="403">
        <f>'Portefeuille SP2'!V46</f>
        <v>1</v>
      </c>
      <c r="AK40" s="403">
        <f>'Portefeuille SP2'!W46</f>
        <v>1</v>
      </c>
      <c r="AL40" s="403">
        <f>'Portefeuille SP2'!X46</f>
        <v>1</v>
      </c>
      <c r="AM40" s="403">
        <f>'Portefeuille SP2'!Y46</f>
        <v>1</v>
      </c>
      <c r="AN40" s="403">
        <f>'Portefeuille SP2'!Z46</f>
        <v>1</v>
      </c>
      <c r="AO40" s="403">
        <f>'Portefeuille SP2'!AA46</f>
        <v>1</v>
      </c>
      <c r="AP40" s="403">
        <f>'Portefeuille SP2'!AB46</f>
        <v>1</v>
      </c>
      <c r="AQ40" s="403">
        <f>'Portefeuille SP2'!AC46</f>
        <v>1</v>
      </c>
      <c r="AR40" s="403">
        <f>'Portefeuille SP2'!AD46</f>
        <v>1</v>
      </c>
      <c r="AS40" s="403">
        <f>'Portefeuille SP2'!AE46</f>
        <v>1</v>
      </c>
      <c r="AT40" s="403">
        <f>'Portefeuille SP2'!AF46</f>
        <v>1</v>
      </c>
      <c r="AU40" s="403">
        <f>'Portefeuille SP2'!AG46</f>
        <v>1</v>
      </c>
      <c r="AV40" s="403">
        <f>'Portefeuille SP2'!AH46</f>
        <v>1</v>
      </c>
      <c r="AW40" s="403">
        <f>'Portefeuille SP2'!AI46</f>
        <v>1</v>
      </c>
      <c r="AX40" s="403">
        <f>'Portefeuille SP2'!AJ46</f>
        <v>1</v>
      </c>
      <c r="AY40" s="403">
        <f>'Portefeuille SP2'!AK46</f>
        <v>1</v>
      </c>
      <c r="AZ40" s="403">
        <f>'Portefeuille SP2'!AL46</f>
        <v>1</v>
      </c>
      <c r="BA40" s="403">
        <f>'Portefeuille SP2'!AM46</f>
        <v>1</v>
      </c>
      <c r="BB40" s="403">
        <f>'Portefeuille SP2'!AN46</f>
        <v>1</v>
      </c>
      <c r="BC40" s="403">
        <f>'Portefeuille SP2'!AO46</f>
        <v>1</v>
      </c>
      <c r="BD40" s="403">
        <f>'Portefeuille SP2'!AP46</f>
        <v>1</v>
      </c>
      <c r="BE40" s="403">
        <f>'Portefeuille SP2'!AQ46</f>
        <v>1</v>
      </c>
      <c r="BF40" s="403">
        <f>'Portefeuille SP2'!AR46</f>
        <v>1</v>
      </c>
      <c r="BG40" s="403" t="e">
        <f>'Portefeuille SP2'!#REF!</f>
        <v>#REF!</v>
      </c>
      <c r="BH40" s="403" t="e">
        <f>'Portefeuille SP2'!#REF!</f>
        <v>#REF!</v>
      </c>
      <c r="BI40" s="403" t="e">
        <f>'Portefeuille SP2'!#REF!</f>
        <v>#REF!</v>
      </c>
      <c r="BJ40" s="403" t="e">
        <f>'Portefeuille SP2'!#REF!</f>
        <v>#REF!</v>
      </c>
      <c r="BK40" s="403" t="e">
        <f>'Portefeuille SP2'!#REF!</f>
        <v>#REF!</v>
      </c>
      <c r="BL40" s="388"/>
      <c r="BM40" s="404" t="str">
        <f>'Portefeuille SP2'!L46</f>
        <v>11/02/2025 : Pb en collapse vu en simu qui risque d'augmenter la masse. Essai physique cette semaine à Turin. Existe une solution en simu qui resout le problème -&gt; à chiffrer S08 + passage en VSM/PTM S07 pour valider ECR chez le fournisseur
7/25/2024 : GT presta S30 : Convergence presque à la cible avec une estimation masse à 7.3 kg ald 8 kg en cible. Il reste des implementation à faire mais probablement pas à la hauteur des +0.7 d'écart.</v>
      </c>
    </row>
    <row r="41" spans="1:65" ht="15" customHeight="1">
      <c r="A41" s="383" t="str">
        <f>'Portefeuille SP2'!B47</f>
        <v>11/02/2025</v>
      </c>
      <c r="B41" s="390" t="str">
        <f>'Portefeuille SP2'!Q47</f>
        <v>CANCELED</v>
      </c>
      <c r="C41" s="384"/>
      <c r="D41" s="382" t="str">
        <f>'Portefeuille SP2'!E47</f>
        <v>PTF</v>
      </c>
      <c r="E41" s="382" t="str">
        <f t="shared" si="0"/>
        <v>BCI</v>
      </c>
      <c r="F41" s="382" t="str">
        <f t="shared" si="5"/>
        <v>_CHASSIS</v>
      </c>
      <c r="G41" s="382" t="str">
        <f>'Portefeuille SP2'!C47</f>
        <v>SP1</v>
      </c>
      <c r="H41" s="382">
        <f>'Portefeuille SP2'!F47</f>
        <v>0</v>
      </c>
      <c r="I41" s="382"/>
      <c r="J41" s="382" t="str">
        <f>'Portefeuille SP2'!D47</f>
        <v>BCI_CHASSIS</v>
      </c>
      <c r="K41" s="385" t="str">
        <f>'Portefeuille SP2'!H47</f>
        <v>Steer-by-wire steering wheel actuator (SBW only)</v>
      </c>
      <c r="L41" s="157">
        <f>'Portefeuille SP2'!U47</f>
        <v>0.3</v>
      </c>
      <c r="M41" s="386"/>
      <c r="N41" s="386"/>
      <c r="O41" s="386"/>
      <c r="P41" s="400">
        <f>'Portefeuille SP2'!M47</f>
        <v>0</v>
      </c>
      <c r="Q41" s="387"/>
      <c r="R41" s="387">
        <f>'Portefeuille SP2'!N47</f>
        <v>0</v>
      </c>
      <c r="S41" s="387"/>
      <c r="T41" s="382">
        <f>'Portefeuille SP2'!R47</f>
        <v>0</v>
      </c>
      <c r="U41" s="387">
        <f>'Portefeuille SP2'!K47</f>
        <v>0</v>
      </c>
      <c r="V41" s="399">
        <f>'Portefeuille SP2'!S47</f>
        <v>1</v>
      </c>
      <c r="W41" s="387"/>
      <c r="X41" s="387"/>
      <c r="Y41" s="387"/>
      <c r="Z41" s="387"/>
      <c r="AA41" s="387"/>
      <c r="AB41" s="387"/>
      <c r="AC41" s="387"/>
      <c r="AD41" s="387"/>
      <c r="AE41" s="408">
        <f>'Portefeuille SP2'!J47</f>
        <v>0</v>
      </c>
      <c r="AF41" s="387"/>
      <c r="AG41" s="387"/>
      <c r="AH41" s="389"/>
      <c r="AI41" s="389"/>
      <c r="AJ41" s="403">
        <f>'Portefeuille SP2'!V47</f>
        <v>1</v>
      </c>
      <c r="AK41" s="403">
        <f>'Portefeuille SP2'!W47</f>
        <v>1</v>
      </c>
      <c r="AL41" s="403">
        <f>'Portefeuille SP2'!X47</f>
        <v>1</v>
      </c>
      <c r="AM41" s="403">
        <f>'Portefeuille SP2'!Y47</f>
        <v>1</v>
      </c>
      <c r="AN41" s="403">
        <f>'Portefeuille SP2'!Z47</f>
        <v>1</v>
      </c>
      <c r="AO41" s="403">
        <f>'Portefeuille SP2'!AA47</f>
        <v>1</v>
      </c>
      <c r="AP41" s="403">
        <f>'Portefeuille SP2'!AB47</f>
        <v>1</v>
      </c>
      <c r="AQ41" s="403">
        <f>'Portefeuille SP2'!AC47</f>
        <v>1</v>
      </c>
      <c r="AR41" s="403">
        <f>'Portefeuille SP2'!AD47</f>
        <v>1</v>
      </c>
      <c r="AS41" s="403">
        <f>'Portefeuille SP2'!AE47</f>
        <v>1</v>
      </c>
      <c r="AT41" s="403">
        <f>'Portefeuille SP2'!AF47</f>
        <v>1</v>
      </c>
      <c r="AU41" s="403">
        <f>'Portefeuille SP2'!AG47</f>
        <v>1</v>
      </c>
      <c r="AV41" s="403">
        <f>'Portefeuille SP2'!AH47</f>
        <v>1</v>
      </c>
      <c r="AW41" s="403">
        <f>'Portefeuille SP2'!AI47</f>
        <v>1</v>
      </c>
      <c r="AX41" s="403">
        <f>'Portefeuille SP2'!AJ47</f>
        <v>1</v>
      </c>
      <c r="AY41" s="403">
        <f>'Portefeuille SP2'!AK47</f>
        <v>1</v>
      </c>
      <c r="AZ41" s="403">
        <f>'Portefeuille SP2'!AL47</f>
        <v>1</v>
      </c>
      <c r="BA41" s="403">
        <f>'Portefeuille SP2'!AM47</f>
        <v>1</v>
      </c>
      <c r="BB41" s="403">
        <f>'Portefeuille SP2'!AN47</f>
        <v>1</v>
      </c>
      <c r="BC41" s="403">
        <f>'Portefeuille SP2'!AO47</f>
        <v>1</v>
      </c>
      <c r="BD41" s="403">
        <f>'Portefeuille SP2'!AP47</f>
        <v>1</v>
      </c>
      <c r="BE41" s="403">
        <f>'Portefeuille SP2'!AQ47</f>
        <v>1</v>
      </c>
      <c r="BF41" s="403">
        <f>'Portefeuille SP2'!AR47</f>
        <v>1</v>
      </c>
      <c r="BG41" s="403" t="e">
        <f>'Portefeuille SP2'!#REF!</f>
        <v>#REF!</v>
      </c>
      <c r="BH41" s="403" t="e">
        <f>'Portefeuille SP2'!#REF!</f>
        <v>#REF!</v>
      </c>
      <c r="BI41" s="403" t="e">
        <f>'Portefeuille SP2'!#REF!</f>
        <v>#REF!</v>
      </c>
      <c r="BJ41" s="403" t="e">
        <f>'Portefeuille SP2'!#REF!</f>
        <v>#REF!</v>
      </c>
      <c r="BK41" s="403" t="e">
        <f>'Portefeuille SP2'!#REF!</f>
        <v>#REF!</v>
      </c>
      <c r="BL41" s="388"/>
      <c r="BM41" s="404" t="str">
        <f>'Portefeuille SP2'!L47</f>
        <v>11/02/2025 : Solution fer à cheval choisie. Retour cette semaine pour la faisa.
03/10/2024 : Essai prévu S40 mais pb appro pièce.
28/08/2024 : Travail en cours sur la traverse PdB. Simu et essais en cours. Délai a voir avec Philippe Vannier et Olivier en GT Prestation.
7/25/2024 : GT presta S30 : Convergence presque à la cible avec une estimation masse à 7.3 kg ald 8 kg en cible. Il reste des implementation à faire mais probablement pas à la hauteur des +0.7 d'écart.</v>
      </c>
    </row>
    <row r="42" spans="1:65" ht="15" customHeight="1">
      <c r="A42" s="383" t="str">
        <f>'Portefeuille SP2'!B48</f>
        <v>11/02/2025</v>
      </c>
      <c r="B42" s="390" t="str">
        <f>'Portefeuille SP2'!Q48</f>
        <v>CANCELED</v>
      </c>
      <c r="C42" s="384"/>
      <c r="D42" s="382" t="str">
        <f>'Portefeuille SP2'!E48</f>
        <v>PTF</v>
      </c>
      <c r="E42" s="382" t="str">
        <f t="shared" si="0"/>
        <v>BCI</v>
      </c>
      <c r="F42" s="382" t="str">
        <f t="shared" si="5"/>
        <v>_BODY</v>
      </c>
      <c r="G42" s="382" t="str">
        <f>'Portefeuille SP2'!C48</f>
        <v>SP1</v>
      </c>
      <c r="H42" s="382">
        <f>'Portefeuille SP2'!F48</f>
        <v>0</v>
      </c>
      <c r="I42" s="382"/>
      <c r="J42" s="382" t="str">
        <f>'Portefeuille SP2'!D48</f>
        <v>BCI_BODY</v>
      </c>
      <c r="K42" s="385" t="str">
        <f>'Portefeuille SP2'!H48</f>
        <v>Side rail area</v>
      </c>
      <c r="L42" s="157">
        <f>'Portefeuille SP2'!U48</f>
        <v>0.5</v>
      </c>
      <c r="M42" s="386"/>
      <c r="N42" s="386"/>
      <c r="O42" s="386"/>
      <c r="P42" s="400">
        <f>'Portefeuille SP2'!M48</f>
        <v>0</v>
      </c>
      <c r="Q42" s="387"/>
      <c r="R42" s="387">
        <f>'Portefeuille SP2'!N48</f>
        <v>0</v>
      </c>
      <c r="S42" s="387"/>
      <c r="T42" s="382">
        <f>'Portefeuille SP2'!R48</f>
        <v>0</v>
      </c>
      <c r="U42" s="387">
        <f>'Portefeuille SP2'!K48</f>
        <v>0</v>
      </c>
      <c r="V42" s="399">
        <f>'Portefeuille SP2'!S48</f>
        <v>1</v>
      </c>
      <c r="W42" s="387"/>
      <c r="X42" s="387"/>
      <c r="Y42" s="387"/>
      <c r="Z42" s="387"/>
      <c r="AA42" s="387"/>
      <c r="AB42" s="387"/>
      <c r="AC42" s="387"/>
      <c r="AD42" s="387"/>
      <c r="AE42" s="408">
        <f>'Portefeuille SP2'!J48</f>
        <v>0</v>
      </c>
      <c r="AF42" s="387"/>
      <c r="AG42" s="387"/>
      <c r="AH42" s="389"/>
      <c r="AI42" s="389"/>
      <c r="AJ42" s="403">
        <f>'Portefeuille SP2'!V48</f>
        <v>1</v>
      </c>
      <c r="AK42" s="403">
        <f>'Portefeuille SP2'!W48</f>
        <v>1</v>
      </c>
      <c r="AL42" s="403">
        <f>'Portefeuille SP2'!X48</f>
        <v>1</v>
      </c>
      <c r="AM42" s="403">
        <f>'Portefeuille SP2'!Y48</f>
        <v>1</v>
      </c>
      <c r="AN42" s="403">
        <f>'Portefeuille SP2'!Z48</f>
        <v>1</v>
      </c>
      <c r="AO42" s="403">
        <f>'Portefeuille SP2'!AA48</f>
        <v>1</v>
      </c>
      <c r="AP42" s="403">
        <f>'Portefeuille SP2'!AB48</f>
        <v>1</v>
      </c>
      <c r="AQ42" s="403">
        <f>'Portefeuille SP2'!AC48</f>
        <v>1</v>
      </c>
      <c r="AR42" s="403">
        <f>'Portefeuille SP2'!AD48</f>
        <v>1</v>
      </c>
      <c r="AS42" s="403">
        <f>'Portefeuille SP2'!AE48</f>
        <v>1</v>
      </c>
      <c r="AT42" s="403">
        <f>'Portefeuille SP2'!AF48</f>
        <v>1</v>
      </c>
      <c r="AU42" s="403">
        <f>'Portefeuille SP2'!AG48</f>
        <v>1</v>
      </c>
      <c r="AV42" s="403">
        <f>'Portefeuille SP2'!AH48</f>
        <v>1</v>
      </c>
      <c r="AW42" s="403">
        <f>'Portefeuille SP2'!AI48</f>
        <v>1</v>
      </c>
      <c r="AX42" s="403">
        <f>'Portefeuille SP2'!AJ48</f>
        <v>1</v>
      </c>
      <c r="AY42" s="403">
        <f>'Portefeuille SP2'!AK48</f>
        <v>1</v>
      </c>
      <c r="AZ42" s="403">
        <f>'Portefeuille SP2'!AL48</f>
        <v>1</v>
      </c>
      <c r="BA42" s="403">
        <f>'Portefeuille SP2'!AM48</f>
        <v>1</v>
      </c>
      <c r="BB42" s="403">
        <f>'Portefeuille SP2'!AN48</f>
        <v>1</v>
      </c>
      <c r="BC42" s="403">
        <f>'Portefeuille SP2'!AO48</f>
        <v>1</v>
      </c>
      <c r="BD42" s="403">
        <f>'Portefeuille SP2'!AP48</f>
        <v>1</v>
      </c>
      <c r="BE42" s="403">
        <f>'Portefeuille SP2'!AQ48</f>
        <v>1</v>
      </c>
      <c r="BF42" s="403">
        <f>'Portefeuille SP2'!AR48</f>
        <v>1</v>
      </c>
      <c r="BG42" s="403" t="e">
        <f>'Portefeuille SP2'!#REF!</f>
        <v>#REF!</v>
      </c>
      <c r="BH42" s="403" t="e">
        <f>'Portefeuille SP2'!#REF!</f>
        <v>#REF!</v>
      </c>
      <c r="BI42" s="403" t="e">
        <f>'Portefeuille SP2'!#REF!</f>
        <v>#REF!</v>
      </c>
      <c r="BJ42" s="403" t="e">
        <f>'Portefeuille SP2'!#REF!</f>
        <v>#REF!</v>
      </c>
      <c r="BK42" s="403" t="e">
        <f>'Portefeuille SP2'!#REF!</f>
        <v>#REF!</v>
      </c>
      <c r="BL42" s="388"/>
      <c r="BM42" s="404" t="str">
        <f>'Portefeuille SP2'!L48</f>
        <v>11/02/2025 : Passage du sujet en VSM/PTM S07 pour décider.
03/12/2024 : GT conception : eval précise après calcul : estimation à +0,7 kg hors tablier (valable TT). Epaisseur tablier à passer en 0,9 ald 0,7 --&gt; +0,9 kg (impact seulement sur P1H, P1X déjà en 0,9).
20/11/2024 : Pb de choc après reception MaJ modèles de choc. Dessin en cours, calcul d'ici 2 ou 3 semaines.</v>
      </c>
    </row>
    <row r="43" spans="1:65" ht="15" customHeight="1">
      <c r="A43" s="383">
        <f>'Portefeuille SP2'!B49</f>
        <v>46058</v>
      </c>
      <c r="B43" s="390" t="str">
        <f>'Portefeuille SP2'!Q49</f>
        <v>CANCELED</v>
      </c>
      <c r="C43" s="384"/>
      <c r="D43" s="382" t="str">
        <f>'Portefeuille SP2'!E49</f>
        <v>PTF</v>
      </c>
      <c r="E43" s="382" t="str">
        <f t="shared" si="0"/>
        <v>PHE</v>
      </c>
      <c r="F43" s="382" t="str">
        <f t="shared" si="5"/>
        <v>S</v>
      </c>
      <c r="G43" s="382" t="str">
        <f>'Portefeuille SP2'!C49</f>
        <v>SP1</v>
      </c>
      <c r="H43" s="382">
        <f>'Portefeuille SP2'!F49</f>
        <v>0</v>
      </c>
      <c r="I43" s="382"/>
      <c r="J43" s="382" t="str">
        <f>'Portefeuille SP2'!D49</f>
        <v>PHES</v>
      </c>
      <c r="K43" s="385" t="str">
        <f>'Portefeuille SP2'!H49</f>
        <v>TPC</v>
      </c>
      <c r="L43" s="157">
        <f>'Portefeuille SP2'!U49</f>
        <v>-0.05</v>
      </c>
      <c r="M43" s="386"/>
      <c r="N43" s="386"/>
      <c r="O43" s="386"/>
      <c r="P43" s="400">
        <f>'Portefeuille SP2'!M49</f>
        <v>0</v>
      </c>
      <c r="Q43" s="387"/>
      <c r="R43" s="387">
        <f>'Portefeuille SP2'!N49</f>
        <v>0</v>
      </c>
      <c r="S43" s="387"/>
      <c r="T43" s="382">
        <f>'Portefeuille SP2'!R49</f>
        <v>0</v>
      </c>
      <c r="U43" s="387">
        <f>'Portefeuille SP2'!K49</f>
        <v>0</v>
      </c>
      <c r="V43" s="399">
        <f>'Portefeuille SP2'!S49</f>
        <v>0.5</v>
      </c>
      <c r="W43" s="387"/>
      <c r="X43" s="387"/>
      <c r="Y43" s="387"/>
      <c r="Z43" s="387"/>
      <c r="AA43" s="387"/>
      <c r="AB43" s="387"/>
      <c r="AC43" s="387"/>
      <c r="AD43" s="387"/>
      <c r="AE43" s="408">
        <f>'Portefeuille SP2'!J49</f>
        <v>0</v>
      </c>
      <c r="AF43" s="387"/>
      <c r="AG43" s="387"/>
      <c r="AH43" s="389"/>
      <c r="AI43" s="389"/>
      <c r="AJ43" s="403">
        <f>'Portefeuille SP2'!V49</f>
        <v>1</v>
      </c>
      <c r="AK43" s="403">
        <f>'Portefeuille SP2'!W49</f>
        <v>1</v>
      </c>
      <c r="AL43" s="403">
        <f>'Portefeuille SP2'!X49</f>
        <v>1</v>
      </c>
      <c r="AM43" s="403">
        <f>'Portefeuille SP2'!Y49</f>
        <v>1</v>
      </c>
      <c r="AN43" s="403">
        <f>'Portefeuille SP2'!Z49</f>
        <v>1</v>
      </c>
      <c r="AO43" s="403">
        <f>'Portefeuille SP2'!AA49</f>
        <v>1</v>
      </c>
      <c r="AP43" s="403">
        <f>'Portefeuille SP2'!AB49</f>
        <v>1</v>
      </c>
      <c r="AQ43" s="403">
        <f>'Portefeuille SP2'!AC49</f>
        <v>1</v>
      </c>
      <c r="AR43" s="403">
        <f>'Portefeuille SP2'!AD49</f>
        <v>1</v>
      </c>
      <c r="AS43" s="403">
        <f>'Portefeuille SP2'!AE49</f>
        <v>1</v>
      </c>
      <c r="AT43" s="403">
        <f>'Portefeuille SP2'!AF49</f>
        <v>1</v>
      </c>
      <c r="AU43" s="403">
        <f>'Portefeuille SP2'!AG49</f>
        <v>1</v>
      </c>
      <c r="AV43" s="403">
        <f>'Portefeuille SP2'!AH49</f>
        <v>1</v>
      </c>
      <c r="AW43" s="403">
        <f>'Portefeuille SP2'!AI49</f>
        <v>1</v>
      </c>
      <c r="AX43" s="403">
        <f>'Portefeuille SP2'!AJ49</f>
        <v>1</v>
      </c>
      <c r="AY43" s="403">
        <f>'Portefeuille SP2'!AK49</f>
        <v>1</v>
      </c>
      <c r="AZ43" s="403">
        <f>'Portefeuille SP2'!AL49</f>
        <v>1</v>
      </c>
      <c r="BA43" s="403">
        <f>'Portefeuille SP2'!AM49</f>
        <v>1</v>
      </c>
      <c r="BB43" s="403">
        <f>'Portefeuille SP2'!AN49</f>
        <v>1</v>
      </c>
      <c r="BC43" s="403">
        <f>'Portefeuille SP2'!AO49</f>
        <v>1</v>
      </c>
      <c r="BD43" s="403">
        <f>'Portefeuille SP2'!AP49</f>
        <v>1</v>
      </c>
      <c r="BE43" s="403">
        <f>'Portefeuille SP2'!AQ49</f>
        <v>0</v>
      </c>
      <c r="BF43" s="403">
        <f>'Portefeuille SP2'!AR49</f>
        <v>0</v>
      </c>
      <c r="BG43" s="403" t="e">
        <f>'Portefeuille SP2'!#REF!</f>
        <v>#REF!</v>
      </c>
      <c r="BH43" s="403" t="e">
        <f>'Portefeuille SP2'!#REF!</f>
        <v>#REF!</v>
      </c>
      <c r="BI43" s="403" t="e">
        <f>'Portefeuille SP2'!#REF!</f>
        <v>#REF!</v>
      </c>
      <c r="BJ43" s="403" t="e">
        <f>'Portefeuille SP2'!#REF!</f>
        <v>#REF!</v>
      </c>
      <c r="BK43" s="403" t="e">
        <f>'Portefeuille SP2'!#REF!</f>
        <v>#REF!</v>
      </c>
      <c r="BL43" s="388"/>
      <c r="BM43" s="404" t="str">
        <f>'Portefeuille SP2'!L49</f>
        <v>29/10/2025 : Essais  12/2025
11/09/2024 : Piste TPC. Gains suivant essai NVH à venir.</v>
      </c>
    </row>
    <row r="44" spans="1:65" ht="15" customHeight="1">
      <c r="A44" s="383" t="str">
        <f>'Portefeuille SP2'!B50</f>
        <v>01/09/024</v>
      </c>
      <c r="B44" s="390" t="str">
        <f>'Portefeuille SP2'!Q50</f>
        <v>CANCELED</v>
      </c>
      <c r="C44" s="384"/>
      <c r="D44" s="382" t="str">
        <f>'Portefeuille SP2'!E50</f>
        <v>TH</v>
      </c>
      <c r="E44" s="382" t="str">
        <f t="shared" si="0"/>
        <v>BIW</v>
      </c>
      <c r="F44" s="382" t="str">
        <f t="shared" si="5"/>
        <v xml:space="preserve"> </v>
      </c>
      <c r="G44" s="382" t="str">
        <f>'Portefeuille SP2'!C50</f>
        <v>SPC_1</v>
      </c>
      <c r="H44" s="382" t="str">
        <f>'Portefeuille SP2'!F50</f>
        <v>FRANK BAILLON</v>
      </c>
      <c r="I44" s="382"/>
      <c r="J44" s="382" t="str">
        <f>'Portefeuille SP2'!D50</f>
        <v xml:space="preserve">BIW </v>
      </c>
      <c r="K44" s="385" t="str">
        <f>'Portefeuille SP2'!H50</f>
        <v>Windscreen pillar reinforcer</v>
      </c>
      <c r="L44" s="157">
        <f>'Portefeuille SP2'!U50</f>
        <v>0.12</v>
      </c>
      <c r="M44" s="386"/>
      <c r="N44" s="386"/>
      <c r="O44" s="386"/>
      <c r="P44" s="400" t="str">
        <f>'Portefeuille SP2'!M50</f>
        <v>-350K€</v>
      </c>
      <c r="Q44" s="387"/>
      <c r="R44" s="387">
        <f>'Portefeuille SP2'!N50</f>
        <v>1.6</v>
      </c>
      <c r="S44" s="387"/>
      <c r="T44" s="382" t="str">
        <f>'Portefeuille SP2'!R50</f>
        <v>TBD</v>
      </c>
      <c r="U44" s="387" t="str">
        <f>'Portefeuille SP2'!K50</f>
        <v>DTM PM-CM</v>
      </c>
      <c r="V44" s="399">
        <f>'Portefeuille SP2'!S50</f>
        <v>0.1</v>
      </c>
      <c r="W44" s="387"/>
      <c r="X44" s="387"/>
      <c r="Y44" s="387"/>
      <c r="Z44" s="387"/>
      <c r="AA44" s="387"/>
      <c r="AB44" s="387"/>
      <c r="AC44" s="387"/>
      <c r="AD44" s="387"/>
      <c r="AE44" s="408" t="str">
        <f>'Portefeuille SP2'!J50</f>
        <v xml:space="preserve">06/10/2025 a reboucler avec l'embout - Mickael
Ludovic DASNOIS
</v>
      </c>
      <c r="AF44" s="387"/>
      <c r="AG44" s="387"/>
      <c r="AH44" s="389"/>
      <c r="AI44" s="389"/>
      <c r="AJ44" s="403">
        <f>'Portefeuille SP2'!V50</f>
        <v>1</v>
      </c>
      <c r="AK44" s="403">
        <f>'Portefeuille SP2'!W50</f>
        <v>1</v>
      </c>
      <c r="AL44" s="403">
        <f>'Portefeuille SP2'!X50</f>
        <v>1</v>
      </c>
      <c r="AM44" s="403">
        <f>'Portefeuille SP2'!Y50</f>
        <v>1</v>
      </c>
      <c r="AN44" s="403">
        <f>'Portefeuille SP2'!Z50</f>
        <v>1</v>
      </c>
      <c r="AO44" s="403">
        <f>'Portefeuille SP2'!AA50</f>
        <v>1</v>
      </c>
      <c r="AP44" s="403">
        <f>'Portefeuille SP2'!AB50</f>
        <v>1</v>
      </c>
      <c r="AQ44" s="403">
        <f>'Portefeuille SP2'!AC50</f>
        <v>1</v>
      </c>
      <c r="AR44" s="403">
        <f>'Portefeuille SP2'!AD50</f>
        <v>1</v>
      </c>
      <c r="AS44" s="403">
        <f>'Portefeuille SP2'!AE50</f>
        <v>1</v>
      </c>
      <c r="AT44" s="403">
        <f>'Portefeuille SP2'!AF50</f>
        <v>1</v>
      </c>
      <c r="AU44" s="403">
        <f>'Portefeuille SP2'!AG50</f>
        <v>1</v>
      </c>
      <c r="AV44" s="403">
        <f>'Portefeuille SP2'!AH50</f>
        <v>1</v>
      </c>
      <c r="AW44" s="403">
        <f>'Portefeuille SP2'!AI50</f>
        <v>1</v>
      </c>
      <c r="AX44" s="403">
        <f>'Portefeuille SP2'!AJ50</f>
        <v>1</v>
      </c>
      <c r="AY44" s="403">
        <f>'Portefeuille SP2'!AK50</f>
        <v>1</v>
      </c>
      <c r="AZ44" s="403">
        <f>'Portefeuille SP2'!AL50</f>
        <v>1</v>
      </c>
      <c r="BA44" s="403">
        <f>'Portefeuille SP2'!AM50</f>
        <v>1</v>
      </c>
      <c r="BB44" s="403">
        <f>'Portefeuille SP2'!AN50</f>
        <v>1</v>
      </c>
      <c r="BC44" s="403">
        <f>'Portefeuille SP2'!AO50</f>
        <v>1</v>
      </c>
      <c r="BD44" s="403">
        <f>'Portefeuille SP2'!AP50</f>
        <v>1</v>
      </c>
      <c r="BE44" s="403">
        <f>'Portefeuille SP2'!AQ50</f>
        <v>1</v>
      </c>
      <c r="BF44" s="403">
        <f>'Portefeuille SP2'!AR50</f>
        <v>1</v>
      </c>
      <c r="BG44" s="403" t="e">
        <f>'Portefeuille SP2'!#REF!</f>
        <v>#REF!</v>
      </c>
      <c r="BH44" s="403" t="e">
        <f>'Portefeuille SP2'!#REF!</f>
        <v>#REF!</v>
      </c>
      <c r="BI44" s="403" t="e">
        <f>'Portefeuille SP2'!#REF!</f>
        <v>#REF!</v>
      </c>
      <c r="BJ44" s="403" t="e">
        <f>'Portefeuille SP2'!#REF!</f>
        <v>#REF!</v>
      </c>
      <c r="BK44" s="403" t="e">
        <f>'Portefeuille SP2'!#REF!</f>
        <v>#REF!</v>
      </c>
      <c r="BL44" s="388"/>
      <c r="BM44" s="404" t="str">
        <f>'Portefeuille SP2'!L50</f>
        <v>26/06/2025 a reboucler après hypothèse projet</v>
      </c>
    </row>
    <row r="45" spans="1:65" ht="15" customHeight="1">
      <c r="A45" s="383" t="str">
        <f>'Portefeuille SP2'!B51</f>
        <v>11/02/2025</v>
      </c>
      <c r="B45" s="390" t="str">
        <f>'Portefeuille SP2'!Q51</f>
        <v>CANCELED</v>
      </c>
      <c r="C45" s="384"/>
      <c r="D45" s="382" t="str">
        <f>'Portefeuille SP2'!E51</f>
        <v>PTF</v>
      </c>
      <c r="E45" s="382" t="str">
        <f t="shared" si="0"/>
        <v>BCI</v>
      </c>
      <c r="F45" s="382" t="str">
        <f t="shared" si="5"/>
        <v>_BODY</v>
      </c>
      <c r="G45" s="382" t="str">
        <f>'Portefeuille SP2'!C51</f>
        <v>SP1</v>
      </c>
      <c r="H45" s="382">
        <f>'Portefeuille SP2'!F51</f>
        <v>0</v>
      </c>
      <c r="I45" s="382"/>
      <c r="J45" s="382" t="str">
        <f>'Portefeuille SP2'!D51</f>
        <v>BCI_BODY</v>
      </c>
      <c r="K45" s="385" t="str">
        <f>'Portefeuille SP2'!H51</f>
        <v>SILL</v>
      </c>
      <c r="L45" s="157">
        <f>'Portefeuille SP2'!U51</f>
        <v>-0.35</v>
      </c>
      <c r="M45" s="386"/>
      <c r="N45" s="386"/>
      <c r="O45" s="386"/>
      <c r="P45" s="400">
        <f>'Portefeuille SP2'!M51</f>
        <v>0</v>
      </c>
      <c r="Q45" s="387"/>
      <c r="R45" s="387">
        <f>'Portefeuille SP2'!N51</f>
        <v>0</v>
      </c>
      <c r="S45" s="387"/>
      <c r="T45" s="382">
        <f>'Portefeuille SP2'!R51</f>
        <v>0</v>
      </c>
      <c r="U45" s="387">
        <f>'Portefeuille SP2'!K51</f>
        <v>0</v>
      </c>
      <c r="V45" s="399">
        <f>'Portefeuille SP2'!S51</f>
        <v>1</v>
      </c>
      <c r="W45" s="387"/>
      <c r="X45" s="387"/>
      <c r="Y45" s="387"/>
      <c r="Z45" s="387"/>
      <c r="AA45" s="387"/>
      <c r="AB45" s="387"/>
      <c r="AC45" s="387"/>
      <c r="AD45" s="387"/>
      <c r="AE45" s="408">
        <f>'Portefeuille SP2'!J51</f>
        <v>0</v>
      </c>
      <c r="AF45" s="387"/>
      <c r="AG45" s="387"/>
      <c r="AH45" s="389"/>
      <c r="AI45" s="389"/>
      <c r="AJ45" s="403">
        <f>'Portefeuille SP2'!V51</f>
        <v>1</v>
      </c>
      <c r="AK45" s="403">
        <f>'Portefeuille SP2'!W51</f>
        <v>1</v>
      </c>
      <c r="AL45" s="403">
        <f>'Portefeuille SP2'!X51</f>
        <v>1</v>
      </c>
      <c r="AM45" s="403">
        <f>'Portefeuille SP2'!Y51</f>
        <v>1</v>
      </c>
      <c r="AN45" s="403">
        <f>'Portefeuille SP2'!Z51</f>
        <v>1</v>
      </c>
      <c r="AO45" s="403">
        <f>'Portefeuille SP2'!AA51</f>
        <v>1</v>
      </c>
      <c r="AP45" s="403">
        <f>'Portefeuille SP2'!AB51</f>
        <v>1</v>
      </c>
      <c r="AQ45" s="403">
        <f>'Portefeuille SP2'!AC51</f>
        <v>1</v>
      </c>
      <c r="AR45" s="403">
        <f>'Portefeuille SP2'!AD51</f>
        <v>1</v>
      </c>
      <c r="AS45" s="403">
        <f>'Portefeuille SP2'!AE51</f>
        <v>1</v>
      </c>
      <c r="AT45" s="403">
        <f>'Portefeuille SP2'!AF51</f>
        <v>1</v>
      </c>
      <c r="AU45" s="403">
        <f>'Portefeuille SP2'!AG51</f>
        <v>1</v>
      </c>
      <c r="AV45" s="403">
        <f>'Portefeuille SP2'!AH51</f>
        <v>1</v>
      </c>
      <c r="AW45" s="403">
        <f>'Portefeuille SP2'!AI51</f>
        <v>1</v>
      </c>
      <c r="AX45" s="403">
        <f>'Portefeuille SP2'!AJ51</f>
        <v>1</v>
      </c>
      <c r="AY45" s="403">
        <f>'Portefeuille SP2'!AK51</f>
        <v>1</v>
      </c>
      <c r="AZ45" s="403">
        <f>'Portefeuille SP2'!AL51</f>
        <v>1</v>
      </c>
      <c r="BA45" s="403">
        <f>'Portefeuille SP2'!AM51</f>
        <v>1</v>
      </c>
      <c r="BB45" s="403">
        <f>'Portefeuille SP2'!AN51</f>
        <v>1</v>
      </c>
      <c r="BC45" s="403">
        <f>'Portefeuille SP2'!AO51</f>
        <v>1</v>
      </c>
      <c r="BD45" s="403">
        <f>'Portefeuille SP2'!AP51</f>
        <v>1</v>
      </c>
      <c r="BE45" s="403">
        <f>'Portefeuille SP2'!AQ51</f>
        <v>1</v>
      </c>
      <c r="BF45" s="403">
        <f>'Portefeuille SP2'!AR51</f>
        <v>1</v>
      </c>
      <c r="BG45" s="403" t="e">
        <f>'Portefeuille SP2'!#REF!</f>
        <v>#REF!</v>
      </c>
      <c r="BH45" s="403" t="e">
        <f>'Portefeuille SP2'!#REF!</f>
        <v>#REF!</v>
      </c>
      <c r="BI45" s="403" t="e">
        <f>'Portefeuille SP2'!#REF!</f>
        <v>#REF!</v>
      </c>
      <c r="BJ45" s="403" t="e">
        <f>'Portefeuille SP2'!#REF!</f>
        <v>#REF!</v>
      </c>
      <c r="BK45" s="403" t="e">
        <f>'Portefeuille SP2'!#REF!</f>
        <v>#REF!</v>
      </c>
      <c r="BL45" s="388"/>
      <c r="BM45" s="404" t="str">
        <f>'Portefeuille SP2'!L51</f>
        <v>11/02/2025 : A passer en RD suite accord de toutes les parties.
07/01/2025 : reduction de la hauteur de feuillure de 9mm (6mm sur TH) pour un gain de 0,540 kg (-0,35 kg sur PTF et -0,19 kg sur TH)</v>
      </c>
    </row>
    <row r="46" spans="1:65" ht="15" customHeight="1">
      <c r="A46" s="383">
        <f>'Portefeuille SP2'!B52</f>
        <v>46058</v>
      </c>
      <c r="B46" s="390" t="str">
        <f>'Portefeuille SP2'!Q52</f>
        <v>IN PROGRESS</v>
      </c>
      <c r="C46" s="384"/>
      <c r="D46" s="382" t="str">
        <f>'Portefeuille SP2'!E52</f>
        <v>PTF</v>
      </c>
      <c r="E46" s="382" t="str">
        <f t="shared" si="0"/>
        <v>BCI</v>
      </c>
      <c r="F46" s="382" t="str">
        <f t="shared" si="5"/>
        <v>_BODY</v>
      </c>
      <c r="G46" s="382" t="str">
        <f>'Portefeuille SP2'!C52</f>
        <v>SP1</v>
      </c>
      <c r="H46" s="382">
        <f>'Portefeuille SP2'!F52</f>
        <v>0</v>
      </c>
      <c r="I46" s="382"/>
      <c r="J46" s="382" t="str">
        <f>'Portefeuille SP2'!D52</f>
        <v>BCI_BODY</v>
      </c>
      <c r="K46" s="385">
        <f>'Portefeuille SP2'!H52</f>
        <v>0</v>
      </c>
      <c r="L46" s="157">
        <f>'Portefeuille SP2'!U52</f>
        <v>0.375</v>
      </c>
      <c r="M46" s="386"/>
      <c r="N46" s="386"/>
      <c r="O46" s="386"/>
      <c r="P46" s="400">
        <f>'Portefeuille SP2'!M52</f>
        <v>0</v>
      </c>
      <c r="Q46" s="387"/>
      <c r="R46" s="387">
        <f>'Portefeuille SP2'!N52</f>
        <v>0</v>
      </c>
      <c r="S46" s="387"/>
      <c r="T46" s="382">
        <f>'Portefeuille SP2'!R52</f>
        <v>0</v>
      </c>
      <c r="U46" s="387">
        <f>'Portefeuille SP2'!K52</f>
        <v>0</v>
      </c>
      <c r="V46" s="399">
        <f>'Portefeuille SP2'!S52</f>
        <v>0.75</v>
      </c>
      <c r="W46" s="387"/>
      <c r="X46" s="387"/>
      <c r="Y46" s="387"/>
      <c r="Z46" s="387"/>
      <c r="AA46" s="387"/>
      <c r="AB46" s="387"/>
      <c r="AC46" s="387"/>
      <c r="AD46" s="387"/>
      <c r="AE46" s="408">
        <f>'Portefeuille SP2'!J52</f>
        <v>0</v>
      </c>
      <c r="AF46" s="387"/>
      <c r="AG46" s="387"/>
      <c r="AH46" s="389"/>
      <c r="AI46" s="389"/>
      <c r="AJ46" s="403">
        <f>'Portefeuille SP2'!V52</f>
        <v>1</v>
      </c>
      <c r="AK46" s="403">
        <f>'Portefeuille SP2'!W52</f>
        <v>1</v>
      </c>
      <c r="AL46" s="403">
        <f>'Portefeuille SP2'!X52</f>
        <v>1</v>
      </c>
      <c r="AM46" s="403">
        <f>'Portefeuille SP2'!Y52</f>
        <v>1</v>
      </c>
      <c r="AN46" s="403">
        <f>'Portefeuille SP2'!Z52</f>
        <v>1</v>
      </c>
      <c r="AO46" s="403">
        <f>'Portefeuille SP2'!AA52</f>
        <v>1</v>
      </c>
      <c r="AP46" s="403">
        <f>'Portefeuille SP2'!AB52</f>
        <v>1</v>
      </c>
      <c r="AQ46" s="403">
        <f>'Portefeuille SP2'!AC52</f>
        <v>1</v>
      </c>
      <c r="AR46" s="403">
        <f>'Portefeuille SP2'!AD52</f>
        <v>1</v>
      </c>
      <c r="AS46" s="403">
        <f>'Portefeuille SP2'!AE52</f>
        <v>1</v>
      </c>
      <c r="AT46" s="403">
        <f>'Portefeuille SP2'!AF52</f>
        <v>1</v>
      </c>
      <c r="AU46" s="403">
        <f>'Portefeuille SP2'!AG52</f>
        <v>1</v>
      </c>
      <c r="AV46" s="403">
        <f>'Portefeuille SP2'!AH52</f>
        <v>1</v>
      </c>
      <c r="AW46" s="403">
        <f>'Portefeuille SP2'!AI52</f>
        <v>1</v>
      </c>
      <c r="AX46" s="403">
        <f>'Portefeuille SP2'!AJ52</f>
        <v>1</v>
      </c>
      <c r="AY46" s="403">
        <f>'Portefeuille SP2'!AK52</f>
        <v>1</v>
      </c>
      <c r="AZ46" s="403">
        <f>'Portefeuille SP2'!AL52</f>
        <v>1</v>
      </c>
      <c r="BA46" s="403">
        <f>'Portefeuille SP2'!AM52</f>
        <v>1</v>
      </c>
      <c r="BB46" s="403">
        <f>'Portefeuille SP2'!AN52</f>
        <v>1</v>
      </c>
      <c r="BC46" s="403">
        <f>'Portefeuille SP2'!AO52</f>
        <v>1</v>
      </c>
      <c r="BD46" s="403">
        <f>'Portefeuille SP2'!AP52</f>
        <v>1</v>
      </c>
      <c r="BE46" s="403">
        <f>'Portefeuille SP2'!AQ52</f>
        <v>0</v>
      </c>
      <c r="BF46" s="403">
        <f>'Portefeuille SP2'!AR52</f>
        <v>0</v>
      </c>
      <c r="BG46" s="403" t="e">
        <f>'Portefeuille SP2'!#REF!</f>
        <v>#REF!</v>
      </c>
      <c r="BH46" s="403" t="e">
        <f>'Portefeuille SP2'!#REF!</f>
        <v>#REF!</v>
      </c>
      <c r="BI46" s="403" t="e">
        <f>'Portefeuille SP2'!#REF!</f>
        <v>#REF!</v>
      </c>
      <c r="BJ46" s="403" t="e">
        <f>'Portefeuille SP2'!#REF!</f>
        <v>#REF!</v>
      </c>
      <c r="BK46" s="403" t="e">
        <f>'Portefeuille SP2'!#REF!</f>
        <v>#REF!</v>
      </c>
      <c r="BL46" s="388"/>
      <c r="BM46" s="404" t="str">
        <f>'Portefeuille SP2'!L52</f>
        <v>27/11/2025 : Présentation en VSM/PTM. Gain important en Aero, mais cout important (+3,5€). Besoin à confirmer après essai, pas en ref en ce moment. Nouvelle estimation à 0,5 kg
03/10/2025 : Aero demande des écrans sur les bras du ML. Demande à confirmer.</v>
      </c>
    </row>
    <row r="47" spans="1:65" ht="15" customHeight="1">
      <c r="A47" s="383">
        <f>'Portefeuille SP2'!B53</f>
        <v>46058</v>
      </c>
      <c r="B47" s="390" t="str">
        <f>'Portefeuille SP2'!Q53</f>
        <v>CANCELED</v>
      </c>
      <c r="C47" s="384"/>
      <c r="D47" s="382" t="str">
        <f>'Portefeuille SP2'!E53</f>
        <v>PTF</v>
      </c>
      <c r="E47" s="382" t="str">
        <f t="shared" si="0"/>
        <v>BCI</v>
      </c>
      <c r="F47" s="382" t="str">
        <f t="shared" si="5"/>
        <v>_BODY</v>
      </c>
      <c r="G47" s="382" t="str">
        <f>'Portefeuille SP2'!C53</f>
        <v>SP1</v>
      </c>
      <c r="H47" s="382">
        <f>'Portefeuille SP2'!F53</f>
        <v>0</v>
      </c>
      <c r="I47" s="382"/>
      <c r="J47" s="382" t="str">
        <f>'Portefeuille SP2'!D53</f>
        <v>BCI_BODY</v>
      </c>
      <c r="K47" s="385" t="str">
        <f>'Portefeuille SP2'!H53</f>
        <v>Front sub-frame</v>
      </c>
      <c r="L47" s="157">
        <f>'Portefeuille SP2'!U53</f>
        <v>0.3</v>
      </c>
      <c r="M47" s="386"/>
      <c r="N47" s="386"/>
      <c r="O47" s="386"/>
      <c r="P47" s="400">
        <f>'Portefeuille SP2'!M53</f>
        <v>0</v>
      </c>
      <c r="Q47" s="387"/>
      <c r="R47" s="387">
        <f>'Portefeuille SP2'!N53</f>
        <v>0</v>
      </c>
      <c r="S47" s="387"/>
      <c r="T47" s="382">
        <f>'Portefeuille SP2'!R53</f>
        <v>0</v>
      </c>
      <c r="U47" s="387">
        <f>'Portefeuille SP2'!K53</f>
        <v>0</v>
      </c>
      <c r="V47" s="399">
        <f>'Portefeuille SP2'!S53</f>
        <v>1</v>
      </c>
      <c r="W47" s="387"/>
      <c r="X47" s="387"/>
      <c r="Y47" s="387"/>
      <c r="Z47" s="387"/>
      <c r="AA47" s="387"/>
      <c r="AB47" s="387"/>
      <c r="AC47" s="387"/>
      <c r="AD47" s="387"/>
      <c r="AE47" s="408">
        <f>'Portefeuille SP2'!J53</f>
        <v>0</v>
      </c>
      <c r="AF47" s="387"/>
      <c r="AG47" s="387"/>
      <c r="AH47" s="389"/>
      <c r="AI47" s="389"/>
      <c r="AJ47" s="403">
        <f>'Portefeuille SP2'!V53</f>
        <v>1</v>
      </c>
      <c r="AK47" s="403">
        <f>'Portefeuille SP2'!W53</f>
        <v>1</v>
      </c>
      <c r="AL47" s="403">
        <f>'Portefeuille SP2'!X53</f>
        <v>1</v>
      </c>
      <c r="AM47" s="403">
        <f>'Portefeuille SP2'!Y53</f>
        <v>1</v>
      </c>
      <c r="AN47" s="403">
        <f>'Portefeuille SP2'!Z53</f>
        <v>1</v>
      </c>
      <c r="AO47" s="403">
        <f>'Portefeuille SP2'!AA53</f>
        <v>1</v>
      </c>
      <c r="AP47" s="403">
        <f>'Portefeuille SP2'!AB53</f>
        <v>1</v>
      </c>
      <c r="AQ47" s="403">
        <f>'Portefeuille SP2'!AC53</f>
        <v>1</v>
      </c>
      <c r="AR47" s="403">
        <f>'Portefeuille SP2'!AD53</f>
        <v>1</v>
      </c>
      <c r="AS47" s="403">
        <f>'Portefeuille SP2'!AE53</f>
        <v>1</v>
      </c>
      <c r="AT47" s="403">
        <f>'Portefeuille SP2'!AF53</f>
        <v>1</v>
      </c>
      <c r="AU47" s="403">
        <f>'Portefeuille SP2'!AG53</f>
        <v>1</v>
      </c>
      <c r="AV47" s="403">
        <f>'Portefeuille SP2'!AH53</f>
        <v>1</v>
      </c>
      <c r="AW47" s="403">
        <f>'Portefeuille SP2'!AI53</f>
        <v>1</v>
      </c>
      <c r="AX47" s="403">
        <f>'Portefeuille SP2'!AJ53</f>
        <v>1</v>
      </c>
      <c r="AY47" s="403">
        <f>'Portefeuille SP2'!AK53</f>
        <v>1</v>
      </c>
      <c r="AZ47" s="403">
        <f>'Portefeuille SP2'!AL53</f>
        <v>1</v>
      </c>
      <c r="BA47" s="403">
        <f>'Portefeuille SP2'!AM53</f>
        <v>1</v>
      </c>
      <c r="BB47" s="403">
        <f>'Portefeuille SP2'!AN53</f>
        <v>1</v>
      </c>
      <c r="BC47" s="403">
        <f>'Portefeuille SP2'!AO53</f>
        <v>1</v>
      </c>
      <c r="BD47" s="403">
        <f>'Portefeuille SP2'!AP53</f>
        <v>1</v>
      </c>
      <c r="BE47" s="403">
        <f>'Portefeuille SP2'!AQ53</f>
        <v>1</v>
      </c>
      <c r="BF47" s="403">
        <f>'Portefeuille SP2'!AR53</f>
        <v>1</v>
      </c>
      <c r="BG47" s="403" t="e">
        <f>'Portefeuille SP2'!#REF!</f>
        <v>#REF!</v>
      </c>
      <c r="BH47" s="403" t="e">
        <f>'Portefeuille SP2'!#REF!</f>
        <v>#REF!</v>
      </c>
      <c r="BI47" s="403" t="e">
        <f>'Portefeuille SP2'!#REF!</f>
        <v>#REF!</v>
      </c>
      <c r="BJ47" s="403" t="e">
        <f>'Portefeuille SP2'!#REF!</f>
        <v>#REF!</v>
      </c>
      <c r="BK47" s="403" t="e">
        <f>'Portefeuille SP2'!#REF!</f>
        <v>#REF!</v>
      </c>
      <c r="BL47" s="388"/>
      <c r="BM47" s="404" t="str">
        <f>'Portefeuille SP2'!L53</f>
        <v>11/02/2025 : Besoin de raideur dyn</v>
      </c>
    </row>
    <row r="48" spans="1:65" ht="15" customHeight="1">
      <c r="A48" s="383">
        <f>'Portefeuille SP2'!B54</f>
        <v>46058</v>
      </c>
      <c r="B48" s="390" t="str">
        <f>'Portefeuille SP2'!Q54</f>
        <v>IN PROGRESS</v>
      </c>
      <c r="C48" s="384"/>
      <c r="D48" s="382" t="str">
        <f>'Portefeuille SP2'!E54</f>
        <v>PTF</v>
      </c>
      <c r="E48" s="382" t="str">
        <f t="shared" si="0"/>
        <v>BCI</v>
      </c>
      <c r="F48" s="382" t="str">
        <f t="shared" si="5"/>
        <v>_BODY</v>
      </c>
      <c r="G48" s="382" t="str">
        <f>'Portefeuille SP2'!C54</f>
        <v>SP1</v>
      </c>
      <c r="H48" s="382">
        <f>'Portefeuille SP2'!F54</f>
        <v>0</v>
      </c>
      <c r="I48" s="382"/>
      <c r="J48" s="382" t="str">
        <f>'Portefeuille SP2'!D54</f>
        <v>BCI_BODY</v>
      </c>
      <c r="K48" s="385" t="str">
        <f>'Portefeuille SP2'!H54</f>
        <v>Underbody  optimization</v>
      </c>
      <c r="L48" s="157">
        <f>'Portefeuille SP2'!U54</f>
        <v>-1.2250000000000001</v>
      </c>
      <c r="M48" s="386"/>
      <c r="N48" s="386"/>
      <c r="O48" s="386"/>
      <c r="P48" s="400">
        <f>'Portefeuille SP2'!M54</f>
        <v>0</v>
      </c>
      <c r="Q48" s="387"/>
      <c r="R48" s="387">
        <f>'Portefeuille SP2'!N54</f>
        <v>0</v>
      </c>
      <c r="S48" s="387"/>
      <c r="T48" s="382">
        <f>'Portefeuille SP2'!R54</f>
        <v>0</v>
      </c>
      <c r="U48" s="387">
        <f>'Portefeuille SP2'!K54</f>
        <v>0</v>
      </c>
      <c r="V48" s="399">
        <f>'Portefeuille SP2'!S54</f>
        <v>0.25</v>
      </c>
      <c r="W48" s="387"/>
      <c r="X48" s="387"/>
      <c r="Y48" s="387"/>
      <c r="Z48" s="387"/>
      <c r="AA48" s="387"/>
      <c r="AB48" s="387"/>
      <c r="AC48" s="387"/>
      <c r="AD48" s="387"/>
      <c r="AE48" s="408">
        <f>'Portefeuille SP2'!J54</f>
        <v>0</v>
      </c>
      <c r="AF48" s="387"/>
      <c r="AG48" s="387"/>
      <c r="AH48" s="389"/>
      <c r="AI48" s="389"/>
      <c r="AJ48" s="403">
        <f>'Portefeuille SP2'!V54</f>
        <v>1</v>
      </c>
      <c r="AK48" s="403">
        <f>'Portefeuille SP2'!W54</f>
        <v>1</v>
      </c>
      <c r="AL48" s="403">
        <f>'Portefeuille SP2'!X54</f>
        <v>1</v>
      </c>
      <c r="AM48" s="403">
        <f>'Portefeuille SP2'!Y54</f>
        <v>1</v>
      </c>
      <c r="AN48" s="403">
        <f>'Portefeuille SP2'!Z54</f>
        <v>1</v>
      </c>
      <c r="AO48" s="403">
        <f>'Portefeuille SP2'!AA54</f>
        <v>1</v>
      </c>
      <c r="AP48" s="403">
        <f>'Portefeuille SP2'!AB54</f>
        <v>1</v>
      </c>
      <c r="AQ48" s="403">
        <f>'Portefeuille SP2'!AC54</f>
        <v>1</v>
      </c>
      <c r="AR48" s="403">
        <f>'Portefeuille SP2'!AD54</f>
        <v>1</v>
      </c>
      <c r="AS48" s="403">
        <f>'Portefeuille SP2'!AE54</f>
        <v>1</v>
      </c>
      <c r="AT48" s="403">
        <f>'Portefeuille SP2'!AF54</f>
        <v>1</v>
      </c>
      <c r="AU48" s="403">
        <f>'Portefeuille SP2'!AG54</f>
        <v>1</v>
      </c>
      <c r="AV48" s="403">
        <f>'Portefeuille SP2'!AH54</f>
        <v>1</v>
      </c>
      <c r="AW48" s="403">
        <f>'Portefeuille SP2'!AI54</f>
        <v>1</v>
      </c>
      <c r="AX48" s="403">
        <f>'Portefeuille SP2'!AJ54</f>
        <v>1</v>
      </c>
      <c r="AY48" s="403">
        <f>'Portefeuille SP2'!AK54</f>
        <v>1</v>
      </c>
      <c r="AZ48" s="403">
        <f>'Portefeuille SP2'!AL54</f>
        <v>1</v>
      </c>
      <c r="BA48" s="403">
        <f>'Portefeuille SP2'!AM54</f>
        <v>1</v>
      </c>
      <c r="BB48" s="403">
        <f>'Portefeuille SP2'!AN54</f>
        <v>1</v>
      </c>
      <c r="BC48" s="403">
        <f>'Portefeuille SP2'!AO54</f>
        <v>1</v>
      </c>
      <c r="BD48" s="403">
        <f>'Portefeuille SP2'!AP54</f>
        <v>1</v>
      </c>
      <c r="BE48" s="403">
        <f>'Portefeuille SP2'!AQ54</f>
        <v>0</v>
      </c>
      <c r="BF48" s="403">
        <f>'Portefeuille SP2'!AR54</f>
        <v>0</v>
      </c>
      <c r="BG48" s="403" t="e">
        <f>'Portefeuille SP2'!#REF!</f>
        <v>#REF!</v>
      </c>
      <c r="BH48" s="403" t="e">
        <f>'Portefeuille SP2'!#REF!</f>
        <v>#REF!</v>
      </c>
      <c r="BI48" s="403" t="e">
        <f>'Portefeuille SP2'!#REF!</f>
        <v>#REF!</v>
      </c>
      <c r="BJ48" s="403" t="e">
        <f>'Portefeuille SP2'!#REF!</f>
        <v>#REF!</v>
      </c>
      <c r="BK48" s="403" t="e">
        <f>'Portefeuille SP2'!#REF!</f>
        <v>#REF!</v>
      </c>
      <c r="BL48" s="388"/>
      <c r="BM48" s="404" t="str">
        <f>'Portefeuille SP2'!L54</f>
        <v>07/11/2025 : hypothèse de reduction de 0,05mm sur les tôles entre 0,7 et 1,6.</v>
      </c>
    </row>
    <row r="49" spans="1:65" ht="15" customHeight="1">
      <c r="A49" s="383" t="str">
        <f>'Portefeuille SP2'!B55</f>
        <v>24/04/2025</v>
      </c>
      <c r="B49" s="390" t="str">
        <f>'Portefeuille SP2'!Q55</f>
        <v>CANCELED</v>
      </c>
      <c r="C49" s="384"/>
      <c r="D49" s="382" t="str">
        <f>'Portefeuille SP2'!E55</f>
        <v>TH</v>
      </c>
      <c r="E49" s="382" t="str">
        <f t="shared" si="0"/>
        <v>INT</v>
      </c>
      <c r="F49" s="382" t="str">
        <f t="shared" si="5"/>
        <v xml:space="preserve"> - PDB/CONSOLE</v>
      </c>
      <c r="G49" s="382" t="str">
        <f>'Portefeuille SP2'!C55</f>
        <v>SP1</v>
      </c>
      <c r="H49" s="382" t="str">
        <f>'Portefeuille SP2'!F55</f>
        <v>FREDERIC BRUNIER</v>
      </c>
      <c r="I49" s="382"/>
      <c r="J49" s="382" t="str">
        <f>'Portefeuille SP2'!D55</f>
        <v>INT - PDB/CONSOLE</v>
      </c>
      <c r="K49" s="385" t="str">
        <f>'Portefeuille SP2'!H55</f>
        <v>risk perfo</v>
      </c>
      <c r="L49" s="157">
        <f>'Portefeuille SP2'!U55</f>
        <v>0.1</v>
      </c>
      <c r="M49" s="386"/>
      <c r="N49" s="386"/>
      <c r="O49" s="386"/>
      <c r="P49" s="400">
        <f>'Portefeuille SP2'!M55</f>
        <v>0</v>
      </c>
      <c r="Q49" s="387"/>
      <c r="R49" s="387">
        <f>'Portefeuille SP2'!N55</f>
        <v>0</v>
      </c>
      <c r="S49" s="387"/>
      <c r="T49" s="382">
        <f>'Portefeuille SP2'!R55</f>
        <v>0</v>
      </c>
      <c r="U49" s="387">
        <f>'Portefeuille SP2'!K55</f>
        <v>0</v>
      </c>
      <c r="V49" s="399">
        <f>'Portefeuille SP2'!S55</f>
        <v>0.25</v>
      </c>
      <c r="W49" s="387"/>
      <c r="X49" s="387"/>
      <c r="Y49" s="387"/>
      <c r="Z49" s="387"/>
      <c r="AA49" s="387"/>
      <c r="AB49" s="387"/>
      <c r="AC49" s="387"/>
      <c r="AD49" s="387"/>
      <c r="AE49" s="408" t="str">
        <f>'Portefeuille SP2'!J55</f>
        <v>CP P1H Sébastien Dupuis
24/06/2025 à confirmer avec Sébastien</v>
      </c>
      <c r="AF49" s="387"/>
      <c r="AG49" s="387"/>
      <c r="AH49" s="389"/>
      <c r="AI49" s="389"/>
      <c r="AJ49" s="403">
        <f>'Portefeuille SP2'!V55</f>
        <v>1</v>
      </c>
      <c r="AK49" s="403">
        <f>'Portefeuille SP2'!W55</f>
        <v>1</v>
      </c>
      <c r="AL49" s="403">
        <f>'Portefeuille SP2'!X55</f>
        <v>1</v>
      </c>
      <c r="AM49" s="403">
        <f>'Portefeuille SP2'!Y55</f>
        <v>1</v>
      </c>
      <c r="AN49" s="403">
        <f>'Portefeuille SP2'!Z55</f>
        <v>1</v>
      </c>
      <c r="AO49" s="403">
        <f>'Portefeuille SP2'!AA55</f>
        <v>1</v>
      </c>
      <c r="AP49" s="403">
        <f>'Portefeuille SP2'!AB55</f>
        <v>1</v>
      </c>
      <c r="AQ49" s="403">
        <f>'Portefeuille SP2'!AC55</f>
        <v>1</v>
      </c>
      <c r="AR49" s="403">
        <f>'Portefeuille SP2'!AD55</f>
        <v>1</v>
      </c>
      <c r="AS49" s="403">
        <f>'Portefeuille SP2'!AE55</f>
        <v>1</v>
      </c>
      <c r="AT49" s="403">
        <f>'Portefeuille SP2'!AF55</f>
        <v>1</v>
      </c>
      <c r="AU49" s="403">
        <f>'Portefeuille SP2'!AG55</f>
        <v>1</v>
      </c>
      <c r="AV49" s="403">
        <f>'Portefeuille SP2'!AH55</f>
        <v>1</v>
      </c>
      <c r="AW49" s="403">
        <f>'Portefeuille SP2'!AI55</f>
        <v>1</v>
      </c>
      <c r="AX49" s="403">
        <f>'Portefeuille SP2'!AJ55</f>
        <v>1</v>
      </c>
      <c r="AY49" s="403">
        <f>'Portefeuille SP2'!AK55</f>
        <v>1</v>
      </c>
      <c r="AZ49" s="403">
        <f>'Portefeuille SP2'!AL55</f>
        <v>1</v>
      </c>
      <c r="BA49" s="403">
        <f>'Portefeuille SP2'!AM55</f>
        <v>1</v>
      </c>
      <c r="BB49" s="403">
        <f>'Portefeuille SP2'!AN55</f>
        <v>1</v>
      </c>
      <c r="BC49" s="403">
        <f>'Portefeuille SP2'!AO55</f>
        <v>1</v>
      </c>
      <c r="BD49" s="403">
        <f>'Portefeuille SP2'!AP55</f>
        <v>1</v>
      </c>
      <c r="BE49" s="403">
        <f>'Portefeuille SP2'!AQ55</f>
        <v>1</v>
      </c>
      <c r="BF49" s="403">
        <f>'Portefeuille SP2'!AR55</f>
        <v>1</v>
      </c>
      <c r="BG49" s="403" t="e">
        <f>'Portefeuille SP2'!#REF!</f>
        <v>#REF!</v>
      </c>
      <c r="BH49" s="403" t="e">
        <f>'Portefeuille SP2'!#REF!</f>
        <v>#REF!</v>
      </c>
      <c r="BI49" s="403" t="e">
        <f>'Portefeuille SP2'!#REF!</f>
        <v>#REF!</v>
      </c>
      <c r="BJ49" s="403" t="e">
        <f>'Portefeuille SP2'!#REF!</f>
        <v>#REF!</v>
      </c>
      <c r="BK49" s="403" t="e">
        <f>'Portefeuille SP2'!#REF!</f>
        <v>#REF!</v>
      </c>
      <c r="BL49" s="388"/>
      <c r="BM49" s="404" t="str">
        <f>'Portefeuille SP2'!L55</f>
        <v>24/04/2025 Tenue NVH / Vibration</v>
      </c>
    </row>
    <row r="50" spans="1:65" ht="15" customHeight="1">
      <c r="A50" s="383">
        <f>'Portefeuille SP2'!B56</f>
        <v>45536</v>
      </c>
      <c r="B50" s="390" t="str">
        <f>'Portefeuille SP2'!Q56</f>
        <v>CANCELED</v>
      </c>
      <c r="C50" s="384"/>
      <c r="D50" s="382" t="str">
        <f>'Portefeuille SP2'!E56</f>
        <v>TH</v>
      </c>
      <c r="E50" s="382" t="str">
        <f t="shared" si="0"/>
        <v>BIW</v>
      </c>
      <c r="F50" s="382" t="str">
        <f t="shared" si="5"/>
        <v xml:space="preserve"> </v>
      </c>
      <c r="G50" s="382" t="str">
        <f>'Portefeuille SP2'!C56</f>
        <v>SPC_1</v>
      </c>
      <c r="H50" s="382" t="str">
        <f>'Portefeuille SP2'!F56</f>
        <v>FRANK BAILLON</v>
      </c>
      <c r="I50" s="382"/>
      <c r="J50" s="382" t="str">
        <f>'Portefeuille SP2'!D56</f>
        <v xml:space="preserve">BIW </v>
      </c>
      <c r="K50" s="385" t="str">
        <f>'Portefeuille SP2'!H56</f>
        <v>Inner Windscreen pillar</v>
      </c>
      <c r="L50" s="157">
        <f>'Portefeuille SP2'!U56</f>
        <v>0.05</v>
      </c>
      <c r="M50" s="386"/>
      <c r="N50" s="386"/>
      <c r="O50" s="386"/>
      <c r="P50" s="400" t="str">
        <f>'Portefeuille SP2'!M56</f>
        <v>-250K€</v>
      </c>
      <c r="Q50" s="387"/>
      <c r="R50" s="387">
        <f>'Portefeuille SP2'!N56</f>
        <v>0.7</v>
      </c>
      <c r="S50" s="387"/>
      <c r="T50" s="382" t="str">
        <f>'Portefeuille SP2'!R56</f>
        <v>TBD</v>
      </c>
      <c r="U50" s="387" t="str">
        <f>'Portefeuille SP2'!K56</f>
        <v>DTM PM-CM</v>
      </c>
      <c r="V50" s="399">
        <f>'Portefeuille SP2'!S56</f>
        <v>0.1</v>
      </c>
      <c r="W50" s="387"/>
      <c r="X50" s="387"/>
      <c r="Y50" s="387"/>
      <c r="Z50" s="387"/>
      <c r="AA50" s="387"/>
      <c r="AB50" s="387"/>
      <c r="AC50" s="387"/>
      <c r="AD50" s="387"/>
      <c r="AE50" s="408" t="str">
        <f>'Portefeuille SP2'!J56</f>
        <v xml:space="preserve">06/10/2025 a reboucler avec l'embout - Mickael
Ludovic DASNOIS
</v>
      </c>
      <c r="AF50" s="387"/>
      <c r="AG50" s="387"/>
      <c r="AH50" s="389"/>
      <c r="AI50" s="389"/>
      <c r="AJ50" s="403">
        <f>'Portefeuille SP2'!V56</f>
        <v>1</v>
      </c>
      <c r="AK50" s="403">
        <f>'Portefeuille SP2'!W56</f>
        <v>1</v>
      </c>
      <c r="AL50" s="403">
        <f>'Portefeuille SP2'!X56</f>
        <v>1</v>
      </c>
      <c r="AM50" s="403">
        <f>'Portefeuille SP2'!Y56</f>
        <v>1</v>
      </c>
      <c r="AN50" s="403">
        <f>'Portefeuille SP2'!Z56</f>
        <v>1</v>
      </c>
      <c r="AO50" s="403">
        <f>'Portefeuille SP2'!AA56</f>
        <v>1</v>
      </c>
      <c r="AP50" s="403">
        <f>'Portefeuille SP2'!AB56</f>
        <v>1</v>
      </c>
      <c r="AQ50" s="403">
        <f>'Portefeuille SP2'!AC56</f>
        <v>1</v>
      </c>
      <c r="AR50" s="403">
        <f>'Portefeuille SP2'!AD56</f>
        <v>1</v>
      </c>
      <c r="AS50" s="403">
        <f>'Portefeuille SP2'!AE56</f>
        <v>1</v>
      </c>
      <c r="AT50" s="403">
        <f>'Portefeuille SP2'!AF56</f>
        <v>1</v>
      </c>
      <c r="AU50" s="403">
        <f>'Portefeuille SP2'!AG56</f>
        <v>1</v>
      </c>
      <c r="AV50" s="403">
        <f>'Portefeuille SP2'!AH56</f>
        <v>1</v>
      </c>
      <c r="AW50" s="403">
        <f>'Portefeuille SP2'!AI56</f>
        <v>1</v>
      </c>
      <c r="AX50" s="403">
        <f>'Portefeuille SP2'!AJ56</f>
        <v>1</v>
      </c>
      <c r="AY50" s="403">
        <f>'Portefeuille SP2'!AK56</f>
        <v>1</v>
      </c>
      <c r="AZ50" s="403">
        <f>'Portefeuille SP2'!AL56</f>
        <v>1</v>
      </c>
      <c r="BA50" s="403">
        <f>'Portefeuille SP2'!AM56</f>
        <v>1</v>
      </c>
      <c r="BB50" s="403">
        <f>'Portefeuille SP2'!AN56</f>
        <v>1</v>
      </c>
      <c r="BC50" s="403">
        <f>'Portefeuille SP2'!AO56</f>
        <v>1</v>
      </c>
      <c r="BD50" s="403">
        <f>'Portefeuille SP2'!AP56</f>
        <v>1</v>
      </c>
      <c r="BE50" s="403">
        <f>'Portefeuille SP2'!AQ56</f>
        <v>1</v>
      </c>
      <c r="BF50" s="403">
        <f>'Portefeuille SP2'!AR56</f>
        <v>1</v>
      </c>
      <c r="BG50" s="403" t="e">
        <f>'Portefeuille SP2'!#REF!</f>
        <v>#REF!</v>
      </c>
      <c r="BH50" s="403" t="e">
        <f>'Portefeuille SP2'!#REF!</f>
        <v>#REF!</v>
      </c>
      <c r="BI50" s="403" t="e">
        <f>'Portefeuille SP2'!#REF!</f>
        <v>#REF!</v>
      </c>
      <c r="BJ50" s="403" t="e">
        <f>'Portefeuille SP2'!#REF!</f>
        <v>#REF!</v>
      </c>
      <c r="BK50" s="403" t="e">
        <f>'Portefeuille SP2'!#REF!</f>
        <v>#REF!</v>
      </c>
      <c r="BL50" s="388"/>
      <c r="BM50" s="404" t="str">
        <f>'Portefeuille SP2'!L56</f>
        <v>26/06/2025 a reboucler après hypothèse projet</v>
      </c>
    </row>
    <row r="51" spans="1:65" ht="15" customHeight="1">
      <c r="A51" s="383">
        <f>'Portefeuille SP2'!B57</f>
        <v>45536</v>
      </c>
      <c r="B51" s="390" t="str">
        <f>'Portefeuille SP2'!Q57</f>
        <v>CANCELED</v>
      </c>
      <c r="C51" s="384"/>
      <c r="D51" s="382" t="str">
        <f>'Portefeuille SP2'!E57</f>
        <v>TH</v>
      </c>
      <c r="E51" s="382" t="str">
        <f t="shared" si="0"/>
        <v>BIW</v>
      </c>
      <c r="F51" s="382" t="str">
        <f t="shared" si="5"/>
        <v xml:space="preserve"> </v>
      </c>
      <c r="G51" s="382" t="str">
        <f>'Portefeuille SP2'!C57</f>
        <v>SPC_1</v>
      </c>
      <c r="H51" s="382" t="str">
        <f>'Portefeuille SP2'!F57</f>
        <v>FRANK BAILLON</v>
      </c>
      <c r="I51" s="382"/>
      <c r="J51" s="382" t="str">
        <f>'Portefeuille SP2'!D57</f>
        <v xml:space="preserve">BIW </v>
      </c>
      <c r="K51" s="385" t="str">
        <f>'Portefeuille SP2'!H57</f>
        <v>Rear roof reinforcer</v>
      </c>
      <c r="L51" s="157">
        <f>'Portefeuille SP2'!U57</f>
        <v>0.03</v>
      </c>
      <c r="M51" s="386"/>
      <c r="N51" s="386"/>
      <c r="O51" s="386"/>
      <c r="P51" s="400" t="str">
        <f>'Portefeuille SP2'!M57</f>
        <v>-400K€</v>
      </c>
      <c r="Q51" s="387"/>
      <c r="R51" s="387">
        <f>'Portefeuille SP2'!N57</f>
        <v>0</v>
      </c>
      <c r="S51" s="387"/>
      <c r="T51" s="382" t="str">
        <f>'Portefeuille SP2'!R57</f>
        <v>TBD</v>
      </c>
      <c r="U51" s="387" t="str">
        <f>'Portefeuille SP2'!K57</f>
        <v>DTM PM-CM</v>
      </c>
      <c r="V51" s="399">
        <f>'Portefeuille SP2'!S57</f>
        <v>0.1</v>
      </c>
      <c r="W51" s="387"/>
      <c r="X51" s="387"/>
      <c r="Y51" s="387"/>
      <c r="Z51" s="387"/>
      <c r="AA51" s="387"/>
      <c r="AB51" s="387"/>
      <c r="AC51" s="387"/>
      <c r="AD51" s="387"/>
      <c r="AE51" s="408" t="str">
        <f>'Portefeuille SP2'!J57</f>
        <v xml:space="preserve">06/10/2025 a reboucler avec l'embout - Mickael
Ludovic DASNOIS
</v>
      </c>
      <c r="AF51" s="387"/>
      <c r="AG51" s="387"/>
      <c r="AH51" s="389"/>
      <c r="AI51" s="389"/>
      <c r="AJ51" s="403">
        <f>'Portefeuille SP2'!V57</f>
        <v>1</v>
      </c>
      <c r="AK51" s="403">
        <f>'Portefeuille SP2'!W57</f>
        <v>1</v>
      </c>
      <c r="AL51" s="403">
        <f>'Portefeuille SP2'!X57</f>
        <v>1</v>
      </c>
      <c r="AM51" s="403">
        <f>'Portefeuille SP2'!Y57</f>
        <v>1</v>
      </c>
      <c r="AN51" s="403">
        <f>'Portefeuille SP2'!Z57</f>
        <v>1</v>
      </c>
      <c r="AO51" s="403">
        <f>'Portefeuille SP2'!AA57</f>
        <v>1</v>
      </c>
      <c r="AP51" s="403">
        <f>'Portefeuille SP2'!AB57</f>
        <v>1</v>
      </c>
      <c r="AQ51" s="403">
        <f>'Portefeuille SP2'!AC57</f>
        <v>1</v>
      </c>
      <c r="AR51" s="403">
        <f>'Portefeuille SP2'!AD57</f>
        <v>1</v>
      </c>
      <c r="AS51" s="403">
        <f>'Portefeuille SP2'!AE57</f>
        <v>1</v>
      </c>
      <c r="AT51" s="403">
        <f>'Portefeuille SP2'!AF57</f>
        <v>1</v>
      </c>
      <c r="AU51" s="403">
        <f>'Portefeuille SP2'!AG57</f>
        <v>1</v>
      </c>
      <c r="AV51" s="403">
        <f>'Portefeuille SP2'!AH57</f>
        <v>1</v>
      </c>
      <c r="AW51" s="403">
        <f>'Portefeuille SP2'!AI57</f>
        <v>1</v>
      </c>
      <c r="AX51" s="403">
        <f>'Portefeuille SP2'!AJ57</f>
        <v>1</v>
      </c>
      <c r="AY51" s="403">
        <f>'Portefeuille SP2'!AK57</f>
        <v>1</v>
      </c>
      <c r="AZ51" s="403">
        <f>'Portefeuille SP2'!AL57</f>
        <v>1</v>
      </c>
      <c r="BA51" s="403">
        <f>'Portefeuille SP2'!AM57</f>
        <v>1</v>
      </c>
      <c r="BB51" s="403">
        <f>'Portefeuille SP2'!AN57</f>
        <v>1</v>
      </c>
      <c r="BC51" s="403">
        <f>'Portefeuille SP2'!AO57</f>
        <v>1</v>
      </c>
      <c r="BD51" s="403">
        <f>'Portefeuille SP2'!AP57</f>
        <v>1</v>
      </c>
      <c r="BE51" s="403">
        <f>'Portefeuille SP2'!AQ57</f>
        <v>1</v>
      </c>
      <c r="BF51" s="403">
        <f>'Portefeuille SP2'!AR57</f>
        <v>1</v>
      </c>
      <c r="BG51" s="403" t="e">
        <f>'Portefeuille SP2'!#REF!</f>
        <v>#REF!</v>
      </c>
      <c r="BH51" s="403" t="e">
        <f>'Portefeuille SP2'!#REF!</f>
        <v>#REF!</v>
      </c>
      <c r="BI51" s="403" t="e">
        <f>'Portefeuille SP2'!#REF!</f>
        <v>#REF!</v>
      </c>
      <c r="BJ51" s="403" t="e">
        <f>'Portefeuille SP2'!#REF!</f>
        <v>#REF!</v>
      </c>
      <c r="BK51" s="403" t="e">
        <f>'Portefeuille SP2'!#REF!</f>
        <v>#REF!</v>
      </c>
      <c r="BL51" s="388"/>
      <c r="BM51" s="404" t="str">
        <f>'Portefeuille SP2'!L57</f>
        <v>26/06/2025 a reboucler après hypothèse projet</v>
      </c>
    </row>
    <row r="52" spans="1:65" ht="15" customHeight="1">
      <c r="A52" s="383">
        <f>'Portefeuille SP2'!B58</f>
        <v>45536</v>
      </c>
      <c r="B52" s="390" t="str">
        <f>'Portefeuille SP2'!Q58</f>
        <v>IN PROGRESS</v>
      </c>
      <c r="C52" s="384"/>
      <c r="D52" s="382" t="str">
        <f>'Portefeuille SP2'!E58</f>
        <v>TH</v>
      </c>
      <c r="E52" s="382" t="str">
        <f t="shared" si="0"/>
        <v>FRS</v>
      </c>
      <c r="F52" s="382" t="str">
        <f t="shared" si="5"/>
        <v>D</v>
      </c>
      <c r="G52" s="382" t="str">
        <f>'Portefeuille SP2'!C58</f>
        <v>SPC_1</v>
      </c>
      <c r="H52" s="382" t="str">
        <f>'Portefeuille SP2'!F58</f>
        <v>MICHAEL BORE</v>
      </c>
      <c r="I52" s="382"/>
      <c r="J52" s="382" t="str">
        <f>'Portefeuille SP2'!D58</f>
        <v>FRSD</v>
      </c>
      <c r="K52" s="385" t="str">
        <f>'Portefeuille SP2'!H58</f>
        <v>rear central lamp T2</v>
      </c>
      <c r="L52" s="157">
        <f>'Portefeuille SP2'!U58</f>
        <v>-0.2</v>
      </c>
      <c r="M52" s="386"/>
      <c r="N52" s="386"/>
      <c r="O52" s="386"/>
      <c r="P52" s="400">
        <f>'Portefeuille SP2'!M58</f>
        <v>0</v>
      </c>
      <c r="Q52" s="387"/>
      <c r="R52" s="387" t="str">
        <f>'Portefeuille SP2'!N58</f>
        <v>(-59,31)</v>
      </c>
      <c r="S52" s="387"/>
      <c r="T52" s="382" t="str">
        <f>'Portefeuille SP2'!R58</f>
        <v>TBD</v>
      </c>
      <c r="U52" s="387">
        <f>'Portefeuille SP2'!K58</f>
        <v>0</v>
      </c>
      <c r="V52" s="399">
        <f>'Portefeuille SP2'!S58</f>
        <v>0.1</v>
      </c>
      <c r="W52" s="387"/>
      <c r="X52" s="387"/>
      <c r="Y52" s="387"/>
      <c r="Z52" s="387"/>
      <c r="AA52" s="387"/>
      <c r="AB52" s="387"/>
      <c r="AC52" s="387"/>
      <c r="AD52" s="387"/>
      <c r="AE52" s="408" t="str">
        <f>'Portefeuille SP2'!J58</f>
        <v>13/03/2026 LM</v>
      </c>
      <c r="AF52" s="387"/>
      <c r="AG52" s="387"/>
      <c r="AH52" s="389"/>
      <c r="AI52" s="389"/>
      <c r="AJ52" s="403">
        <f>'Portefeuille SP2'!V58</f>
        <v>1</v>
      </c>
      <c r="AK52" s="403">
        <f>'Portefeuille SP2'!W58</f>
        <v>0</v>
      </c>
      <c r="AL52" s="403">
        <f>'Portefeuille SP2'!X58</f>
        <v>0</v>
      </c>
      <c r="AM52" s="403">
        <f>'Portefeuille SP2'!Y58</f>
        <v>0</v>
      </c>
      <c r="AN52" s="403">
        <f>'Portefeuille SP2'!Z58</f>
        <v>0</v>
      </c>
      <c r="AO52" s="403">
        <f>'Portefeuille SP2'!AA58</f>
        <v>0</v>
      </c>
      <c r="AP52" s="403">
        <f>'Portefeuille SP2'!AB58</f>
        <v>0</v>
      </c>
      <c r="AQ52" s="403">
        <f>'Portefeuille SP2'!AC58</f>
        <v>0</v>
      </c>
      <c r="AR52" s="403">
        <f>'Portefeuille SP2'!AD58</f>
        <v>0</v>
      </c>
      <c r="AS52" s="403">
        <f>'Portefeuille SP2'!AE58</f>
        <v>1</v>
      </c>
      <c r="AT52" s="403">
        <f>'Portefeuille SP2'!AF58</f>
        <v>0</v>
      </c>
      <c r="AU52" s="403">
        <f>'Portefeuille SP2'!AG58</f>
        <v>0</v>
      </c>
      <c r="AV52" s="403">
        <f>'Portefeuille SP2'!AH58</f>
        <v>0</v>
      </c>
      <c r="AW52" s="403">
        <f>'Portefeuille SP2'!AI58</f>
        <v>0</v>
      </c>
      <c r="AX52" s="403">
        <f>'Portefeuille SP2'!AJ58</f>
        <v>0</v>
      </c>
      <c r="AY52" s="403">
        <f>'Portefeuille SP2'!AK58</f>
        <v>0</v>
      </c>
      <c r="AZ52" s="403">
        <f>'Portefeuille SP2'!AL58</f>
        <v>0</v>
      </c>
      <c r="BA52" s="403">
        <f>'Portefeuille SP2'!AM58</f>
        <v>0</v>
      </c>
      <c r="BB52" s="403">
        <f>'Portefeuille SP2'!AN58</f>
        <v>1</v>
      </c>
      <c r="BC52" s="403">
        <f>'Portefeuille SP2'!AO58</f>
        <v>1</v>
      </c>
      <c r="BD52" s="403">
        <f>'Portefeuille SP2'!AP58</f>
        <v>1</v>
      </c>
      <c r="BE52" s="403">
        <f>'Portefeuille SP2'!AQ58</f>
        <v>1</v>
      </c>
      <c r="BF52" s="403">
        <f>'Portefeuille SP2'!AR58</f>
        <v>1</v>
      </c>
      <c r="BG52" s="403" t="e">
        <f>'Portefeuille SP2'!#REF!</f>
        <v>#REF!</v>
      </c>
      <c r="BH52" s="403" t="e">
        <f>'Portefeuille SP2'!#REF!</f>
        <v>#REF!</v>
      </c>
      <c r="BI52" s="403" t="e">
        <f>'Portefeuille SP2'!#REF!</f>
        <v>#REF!</v>
      </c>
      <c r="BJ52" s="403" t="e">
        <f>'Portefeuille SP2'!#REF!</f>
        <v>#REF!</v>
      </c>
      <c r="BK52" s="403" t="e">
        <f>'Portefeuille SP2'!#REF!</f>
        <v>#REF!</v>
      </c>
      <c r="BL52" s="388"/>
      <c r="BM52" s="404">
        <f>'Portefeuille SP2'!L58</f>
        <v>0</v>
      </c>
    </row>
    <row r="53" spans="1:65" ht="15" customHeight="1">
      <c r="A53" s="383">
        <f>'Portefeuille SP2'!B59</f>
        <v>46058</v>
      </c>
      <c r="B53" s="390" t="str">
        <f>'Portefeuille SP2'!Q59</f>
        <v>IN PROGRESS</v>
      </c>
      <c r="C53" s="384"/>
      <c r="D53" s="382" t="str">
        <f>'Portefeuille SP2'!E59</f>
        <v>PTF</v>
      </c>
      <c r="E53" s="382" t="str">
        <f t="shared" si="0"/>
        <v>PHE</v>
      </c>
      <c r="F53" s="382" t="str">
        <f t="shared" si="5"/>
        <v>S</v>
      </c>
      <c r="G53" s="382" t="str">
        <f>'Portefeuille SP2'!C59</f>
        <v>SP1</v>
      </c>
      <c r="H53" s="382">
        <f>'Portefeuille SP2'!F59</f>
        <v>0</v>
      </c>
      <c r="I53" s="382"/>
      <c r="J53" s="382" t="str">
        <f>'Portefeuille SP2'!D59</f>
        <v>PHES</v>
      </c>
      <c r="K53" s="385" t="str">
        <f>'Portefeuille SP2'!H59</f>
        <v>HVAC</v>
      </c>
      <c r="L53" s="157">
        <f>'Portefeuille SP2'!U59</f>
        <v>0.2</v>
      </c>
      <c r="M53" s="386"/>
      <c r="N53" s="386"/>
      <c r="O53" s="386"/>
      <c r="P53" s="400">
        <f>'Portefeuille SP2'!M59</f>
        <v>0</v>
      </c>
      <c r="Q53" s="387"/>
      <c r="R53" s="387">
        <f>'Portefeuille SP2'!N59</f>
        <v>0</v>
      </c>
      <c r="S53" s="387"/>
      <c r="T53" s="382">
        <f>'Portefeuille SP2'!R59</f>
        <v>0</v>
      </c>
      <c r="U53" s="387">
        <f>'Portefeuille SP2'!K59</f>
        <v>0</v>
      </c>
      <c r="V53" s="399">
        <f>'Portefeuille SP2'!S59</f>
        <v>1</v>
      </c>
      <c r="W53" s="387"/>
      <c r="X53" s="387"/>
      <c r="Y53" s="387"/>
      <c r="Z53" s="387"/>
      <c r="AA53" s="387"/>
      <c r="AB53" s="387"/>
      <c r="AC53" s="387"/>
      <c r="AD53" s="387"/>
      <c r="AE53" s="408">
        <f>'Portefeuille SP2'!J59</f>
        <v>0</v>
      </c>
      <c r="AF53" s="387"/>
      <c r="AG53" s="387"/>
      <c r="AH53" s="389"/>
      <c r="AI53" s="389"/>
      <c r="AJ53" s="403">
        <f>'Portefeuille SP2'!V59</f>
        <v>1</v>
      </c>
      <c r="AK53" s="403">
        <f>'Portefeuille SP2'!W59</f>
        <v>1</v>
      </c>
      <c r="AL53" s="403">
        <f>'Portefeuille SP2'!X59</f>
        <v>1</v>
      </c>
      <c r="AM53" s="403">
        <f>'Portefeuille SP2'!Y59</f>
        <v>1</v>
      </c>
      <c r="AN53" s="403">
        <f>'Portefeuille SP2'!Z59</f>
        <v>1</v>
      </c>
      <c r="AO53" s="403">
        <f>'Portefeuille SP2'!AA59</f>
        <v>1</v>
      </c>
      <c r="AP53" s="403">
        <f>'Portefeuille SP2'!AB59</f>
        <v>1</v>
      </c>
      <c r="AQ53" s="403">
        <f>'Portefeuille SP2'!AC59</f>
        <v>1</v>
      </c>
      <c r="AR53" s="403">
        <f>'Portefeuille SP2'!AD59</f>
        <v>1</v>
      </c>
      <c r="AS53" s="403">
        <f>'Portefeuille SP2'!AE59</f>
        <v>1</v>
      </c>
      <c r="AT53" s="403">
        <f>'Portefeuille SP2'!AF59</f>
        <v>1</v>
      </c>
      <c r="AU53" s="403">
        <f>'Portefeuille SP2'!AG59</f>
        <v>1</v>
      </c>
      <c r="AV53" s="403">
        <f>'Portefeuille SP2'!AH59</f>
        <v>1</v>
      </c>
      <c r="AW53" s="403">
        <f>'Portefeuille SP2'!AI59</f>
        <v>1</v>
      </c>
      <c r="AX53" s="403">
        <f>'Portefeuille SP2'!AJ59</f>
        <v>1</v>
      </c>
      <c r="AY53" s="403">
        <f>'Portefeuille SP2'!AK59</f>
        <v>1</v>
      </c>
      <c r="AZ53" s="403">
        <f>'Portefeuille SP2'!AL59</f>
        <v>1</v>
      </c>
      <c r="BA53" s="403">
        <f>'Portefeuille SP2'!AM59</f>
        <v>1</v>
      </c>
      <c r="BB53" s="403">
        <f>'Portefeuille SP2'!AN59</f>
        <v>1</v>
      </c>
      <c r="BC53" s="403">
        <f>'Portefeuille SP2'!AO59</f>
        <v>1</v>
      </c>
      <c r="BD53" s="403">
        <f>'Portefeuille SP2'!AP59</f>
        <v>1</v>
      </c>
      <c r="BE53" s="403">
        <f>'Portefeuille SP2'!AQ59</f>
        <v>1</v>
      </c>
      <c r="BF53" s="403">
        <f>'Portefeuille SP2'!AR59</f>
        <v>1</v>
      </c>
      <c r="BG53" s="403" t="e">
        <f>'Portefeuille SP2'!#REF!</f>
        <v>#REF!</v>
      </c>
      <c r="BH53" s="403" t="e">
        <f>'Portefeuille SP2'!#REF!</f>
        <v>#REF!</v>
      </c>
      <c r="BI53" s="403" t="e">
        <f>'Portefeuille SP2'!#REF!</f>
        <v>#REF!</v>
      </c>
      <c r="BJ53" s="403" t="e">
        <f>'Portefeuille SP2'!#REF!</f>
        <v>#REF!</v>
      </c>
      <c r="BK53" s="403" t="e">
        <f>'Portefeuille SP2'!#REF!</f>
        <v>#REF!</v>
      </c>
      <c r="BL53" s="388"/>
      <c r="BM53" s="404" t="str">
        <f>'Portefeuille SP2'!L59</f>
        <v>07/03/2025 : Décision d'ajout d'aillettes et augmentation du radiateur. Valeur reelle à avoir après convergence archi.</v>
      </c>
    </row>
    <row r="54" spans="1:65" ht="15" customHeight="1">
      <c r="A54" s="383">
        <f>'Portefeuille SP2'!B60</f>
        <v>45536</v>
      </c>
      <c r="B54" s="390" t="str">
        <f>'Portefeuille SP2'!Q60</f>
        <v>IN PROGRESS</v>
      </c>
      <c r="C54" s="384"/>
      <c r="D54" s="382" t="str">
        <f>'Portefeuille SP2'!E60</f>
        <v>TH</v>
      </c>
      <c r="E54" s="382" t="str">
        <f t="shared" si="0"/>
        <v>BCI</v>
      </c>
      <c r="F54" s="382" t="str">
        <f t="shared" si="5"/>
        <v>_BODY</v>
      </c>
      <c r="G54" s="382" t="str">
        <f>'Portefeuille SP2'!C60</f>
        <v>SPC_1</v>
      </c>
      <c r="H54" s="382" t="str">
        <f>'Portefeuille SP2'!F60</f>
        <v>MICHAEL BORE</v>
      </c>
      <c r="I54" s="382"/>
      <c r="J54" s="382" t="str">
        <f>'Portefeuille SP2'!D60</f>
        <v>BCI_BODY</v>
      </c>
      <c r="K54" s="385" t="str">
        <f>'Portefeuille SP2'!H60</f>
        <v>Front fender reinforcer</v>
      </c>
      <c r="L54" s="157">
        <f>'Portefeuille SP2'!U60</f>
        <v>0</v>
      </c>
      <c r="M54" s="386"/>
      <c r="N54" s="386"/>
      <c r="O54" s="386"/>
      <c r="P54" s="400" t="str">
        <f>'Portefeuille SP2'!M60</f>
        <v>TBD</v>
      </c>
      <c r="Q54" s="387"/>
      <c r="R54" s="387">
        <f>'Portefeuille SP2'!N60</f>
        <v>-0.23</v>
      </c>
      <c r="S54" s="387"/>
      <c r="T54" s="382" t="str">
        <f>'Portefeuille SP2'!R60</f>
        <v>TBD</v>
      </c>
      <c r="U54" s="387" t="str">
        <f>'Portefeuille SP2'!K60</f>
        <v>PM-CM</v>
      </c>
      <c r="V54" s="399">
        <f>'Portefeuille SP2'!S60</f>
        <v>0</v>
      </c>
      <c r="W54" s="387"/>
      <c r="X54" s="387"/>
      <c r="Y54" s="387"/>
      <c r="Z54" s="387"/>
      <c r="AA54" s="387"/>
      <c r="AB54" s="387"/>
      <c r="AC54" s="387"/>
      <c r="AD54" s="387"/>
      <c r="AE54" s="408" t="str">
        <f>'Portefeuille SP2'!J60</f>
        <v>20/03/2026 a reboucler avec Cédric Choffel (DRE)
LM 29/09/25
Attente Style mais pas de Renfort à aujourd'hui à reboucler avec Junghee</v>
      </c>
      <c r="AF54" s="387"/>
      <c r="AG54" s="387"/>
      <c r="AH54" s="389"/>
      <c r="AI54" s="389"/>
      <c r="AJ54" s="403">
        <f>'Portefeuille SP2'!V60</f>
        <v>1</v>
      </c>
      <c r="AK54" s="403">
        <f>'Portefeuille SP2'!W60</f>
        <v>1</v>
      </c>
      <c r="AL54" s="403">
        <f>'Portefeuille SP2'!X60</f>
        <v>1</v>
      </c>
      <c r="AM54" s="403">
        <f>'Portefeuille SP2'!Y60</f>
        <v>1</v>
      </c>
      <c r="AN54" s="403">
        <f>'Portefeuille SP2'!Z60</f>
        <v>1</v>
      </c>
      <c r="AO54" s="403">
        <f>'Portefeuille SP2'!AA60</f>
        <v>1</v>
      </c>
      <c r="AP54" s="403">
        <f>'Portefeuille SP2'!AB60</f>
        <v>1</v>
      </c>
      <c r="AQ54" s="403">
        <f>'Portefeuille SP2'!AC60</f>
        <v>1</v>
      </c>
      <c r="AR54" s="403">
        <f>'Portefeuille SP2'!AD60</f>
        <v>1</v>
      </c>
      <c r="AS54" s="403">
        <f>'Portefeuille SP2'!AE60</f>
        <v>1</v>
      </c>
      <c r="AT54" s="403">
        <f>'Portefeuille SP2'!AF60</f>
        <v>1</v>
      </c>
      <c r="AU54" s="403">
        <f>'Portefeuille SP2'!AG60</f>
        <v>1</v>
      </c>
      <c r="AV54" s="403">
        <f>'Portefeuille SP2'!AH60</f>
        <v>1</v>
      </c>
      <c r="AW54" s="403">
        <f>'Portefeuille SP2'!AI60</f>
        <v>1</v>
      </c>
      <c r="AX54" s="403">
        <f>'Portefeuille SP2'!AJ60</f>
        <v>1</v>
      </c>
      <c r="AY54" s="403">
        <f>'Portefeuille SP2'!AK60</f>
        <v>1</v>
      </c>
      <c r="AZ54" s="403">
        <f>'Portefeuille SP2'!AL60</f>
        <v>1</v>
      </c>
      <c r="BA54" s="403">
        <f>'Portefeuille SP2'!AM60</f>
        <v>1</v>
      </c>
      <c r="BB54" s="403">
        <f>'Portefeuille SP2'!AN60</f>
        <v>1</v>
      </c>
      <c r="BC54" s="403">
        <f>'Portefeuille SP2'!AO60</f>
        <v>1</v>
      </c>
      <c r="BD54" s="403">
        <f>'Portefeuille SP2'!AP60</f>
        <v>1</v>
      </c>
      <c r="BE54" s="403">
        <f>'Portefeuille SP2'!AQ60</f>
        <v>1</v>
      </c>
      <c r="BF54" s="403">
        <f>'Portefeuille SP2'!AR60</f>
        <v>1</v>
      </c>
      <c r="BG54" s="403" t="e">
        <f>'Portefeuille SP2'!#REF!</f>
        <v>#REF!</v>
      </c>
      <c r="BH54" s="403" t="e">
        <f>'Portefeuille SP2'!#REF!</f>
        <v>#REF!</v>
      </c>
      <c r="BI54" s="403" t="e">
        <f>'Portefeuille SP2'!#REF!</f>
        <v>#REF!</v>
      </c>
      <c r="BJ54" s="403" t="e">
        <f>'Portefeuille SP2'!#REF!</f>
        <v>#REF!</v>
      </c>
      <c r="BK54" s="403" t="e">
        <f>'Portefeuille SP2'!#REF!</f>
        <v>#REF!</v>
      </c>
      <c r="BL54" s="388"/>
      <c r="BM54" s="404">
        <f>'Portefeuille SP2'!L60</f>
        <v>0</v>
      </c>
    </row>
    <row r="55" spans="1:65" ht="15" customHeight="1">
      <c r="A55" s="383" t="str">
        <f>'Portefeuille SP2'!B61</f>
        <v>25/03/2025</v>
      </c>
      <c r="B55" s="390" t="str">
        <f>'Portefeuille SP2'!Q61</f>
        <v>DECIDED</v>
      </c>
      <c r="C55" s="384"/>
      <c r="D55" s="382" t="str">
        <f>'Portefeuille SP2'!E61</f>
        <v>TH</v>
      </c>
      <c r="E55" s="382" t="str">
        <f t="shared" si="0"/>
        <v>BIW</v>
      </c>
      <c r="F55" s="382" t="str">
        <f t="shared" si="5"/>
        <v/>
      </c>
      <c r="G55" s="382" t="str">
        <f>'Portefeuille SP2'!C61</f>
        <v>SP1</v>
      </c>
      <c r="H55" s="382" t="str">
        <f>'Portefeuille SP2'!F61</f>
        <v>Franck Baillon (SP1)/
Cyrille P1X</v>
      </c>
      <c r="I55" s="382"/>
      <c r="J55" s="382" t="str">
        <f>'Portefeuille SP2'!D61</f>
        <v>BIW</v>
      </c>
      <c r="K55" s="385" t="str">
        <f>'Portefeuille SP2'!H61</f>
        <v>new part</v>
      </c>
      <c r="L55" s="157">
        <f>'Portefeuille SP2'!U61</f>
        <v>0.4</v>
      </c>
      <c r="M55" s="386"/>
      <c r="N55" s="386"/>
      <c r="O55" s="386"/>
      <c r="P55" s="400">
        <f>'Portefeuille SP2'!M61</f>
        <v>0</v>
      </c>
      <c r="Q55" s="387"/>
      <c r="R55" s="387">
        <f>'Portefeuille SP2'!N61</f>
        <v>0</v>
      </c>
      <c r="S55" s="387"/>
      <c r="T55" s="382">
        <f>'Portefeuille SP2'!R61</f>
        <v>0</v>
      </c>
      <c r="U55" s="387">
        <f>'Portefeuille SP2'!K61</f>
        <v>0</v>
      </c>
      <c r="V55" s="399">
        <f>'Portefeuille SP2'!S61</f>
        <v>1</v>
      </c>
      <c r="W55" s="387"/>
      <c r="X55" s="387"/>
      <c r="Y55" s="387"/>
      <c r="Z55" s="387"/>
      <c r="AA55" s="387"/>
      <c r="AB55" s="387"/>
      <c r="AC55" s="387"/>
      <c r="AD55" s="387"/>
      <c r="AE55" s="408" t="str">
        <f>'Portefeuille SP2'!J61</f>
        <v>Si application SP1 ok SPC</v>
      </c>
      <c r="AF55" s="387"/>
      <c r="AG55" s="387"/>
      <c r="AH55" s="389"/>
      <c r="AI55" s="389"/>
      <c r="AJ55" s="403">
        <f>'Portefeuille SP2'!V61</f>
        <v>1</v>
      </c>
      <c r="AK55" s="403">
        <f>'Portefeuille SP2'!W61</f>
        <v>1</v>
      </c>
      <c r="AL55" s="403">
        <f>'Portefeuille SP2'!X61</f>
        <v>1</v>
      </c>
      <c r="AM55" s="403">
        <f>'Portefeuille SP2'!Y61</f>
        <v>1</v>
      </c>
      <c r="AN55" s="403">
        <f>'Portefeuille SP2'!Z61</f>
        <v>1</v>
      </c>
      <c r="AO55" s="403">
        <f>'Portefeuille SP2'!AA61</f>
        <v>1</v>
      </c>
      <c r="AP55" s="403">
        <f>'Portefeuille SP2'!AB61</f>
        <v>1</v>
      </c>
      <c r="AQ55" s="403">
        <f>'Portefeuille SP2'!AC61</f>
        <v>1</v>
      </c>
      <c r="AR55" s="403">
        <f>'Portefeuille SP2'!AD61</f>
        <v>1</v>
      </c>
      <c r="AS55" s="403">
        <f>'Portefeuille SP2'!AE61</f>
        <v>1</v>
      </c>
      <c r="AT55" s="403">
        <f>'Portefeuille SP2'!AF61</f>
        <v>1</v>
      </c>
      <c r="AU55" s="403">
        <f>'Portefeuille SP2'!AG61</f>
        <v>1</v>
      </c>
      <c r="AV55" s="403">
        <f>'Portefeuille SP2'!AH61</f>
        <v>1</v>
      </c>
      <c r="AW55" s="403">
        <f>'Portefeuille SP2'!AI61</f>
        <v>1</v>
      </c>
      <c r="AX55" s="403">
        <f>'Portefeuille SP2'!AJ61</f>
        <v>1</v>
      </c>
      <c r="AY55" s="403">
        <f>'Portefeuille SP2'!AK61</f>
        <v>1</v>
      </c>
      <c r="AZ55" s="403">
        <f>'Portefeuille SP2'!AL61</f>
        <v>1</v>
      </c>
      <c r="BA55" s="403">
        <f>'Portefeuille SP2'!AM61</f>
        <v>1</v>
      </c>
      <c r="BB55" s="403">
        <f>'Portefeuille SP2'!AN61</f>
        <v>1</v>
      </c>
      <c r="BC55" s="403">
        <f>'Portefeuille SP2'!AO61</f>
        <v>1</v>
      </c>
      <c r="BD55" s="403">
        <f>'Portefeuille SP2'!AP61</f>
        <v>1</v>
      </c>
      <c r="BE55" s="403">
        <f>'Portefeuille SP2'!AQ61</f>
        <v>1</v>
      </c>
      <c r="BF55" s="403">
        <f>'Portefeuille SP2'!AR61</f>
        <v>1</v>
      </c>
      <c r="BG55" s="403" t="e">
        <f>'Portefeuille SP2'!#REF!</f>
        <v>#REF!</v>
      </c>
      <c r="BH55" s="403" t="e">
        <f>'Portefeuille SP2'!#REF!</f>
        <v>#REF!</v>
      </c>
      <c r="BI55" s="403" t="e">
        <f>'Portefeuille SP2'!#REF!</f>
        <v>#REF!</v>
      </c>
      <c r="BJ55" s="403" t="e">
        <f>'Portefeuille SP2'!#REF!</f>
        <v>#REF!</v>
      </c>
      <c r="BK55" s="403" t="e">
        <f>'Portefeuille SP2'!#REF!</f>
        <v>#REF!</v>
      </c>
      <c r="BL55" s="388"/>
      <c r="BM55" s="404" t="str">
        <f>'Portefeuille SP2'!L61</f>
        <v xml:space="preserve">25/03/2025 Transfert PtF Appui cric au TH : Fermeture Av Longeron </v>
      </c>
    </row>
    <row r="56" spans="1:65" ht="15" customHeight="1">
      <c r="A56" s="383">
        <f>'Portefeuille SP2'!B62</f>
        <v>46058</v>
      </c>
      <c r="B56" s="390" t="str">
        <f>'Portefeuille SP2'!Q62</f>
        <v>IN PROGRESS</v>
      </c>
      <c r="C56" s="384"/>
      <c r="D56" s="382" t="str">
        <f>'Portefeuille SP2'!E62</f>
        <v>PTF</v>
      </c>
      <c r="E56" s="382" t="str">
        <f t="shared" si="0"/>
        <v>BIW</v>
      </c>
      <c r="F56" s="382" t="str">
        <f t="shared" si="5"/>
        <v/>
      </c>
      <c r="G56" s="382" t="str">
        <f>'Portefeuille SP2'!C62</f>
        <v>SP1</v>
      </c>
      <c r="H56" s="382">
        <f>'Portefeuille SP2'!F62</f>
        <v>0</v>
      </c>
      <c r="I56" s="382"/>
      <c r="J56" s="382" t="str">
        <f>'Portefeuille SP2'!D62</f>
        <v>BIW</v>
      </c>
      <c r="K56" s="385" t="str">
        <f>'Portefeuille SP2'!H62</f>
        <v>Battery housing HR</v>
      </c>
      <c r="L56" s="157">
        <f>'Portefeuille SP2'!U62</f>
        <v>4.1999999999999993</v>
      </c>
      <c r="M56" s="386"/>
      <c r="N56" s="386"/>
      <c r="O56" s="386"/>
      <c r="P56" s="400">
        <f>'Portefeuille SP2'!M62</f>
        <v>0</v>
      </c>
      <c r="Q56" s="387"/>
      <c r="R56" s="387">
        <f>'Portefeuille SP2'!N62</f>
        <v>0</v>
      </c>
      <c r="S56" s="387"/>
      <c r="T56" s="382">
        <f>'Portefeuille SP2'!R62</f>
        <v>0</v>
      </c>
      <c r="U56" s="387">
        <f>'Portefeuille SP2'!K62</f>
        <v>0</v>
      </c>
      <c r="V56" s="399">
        <f>'Portefeuille SP2'!S62</f>
        <v>0.75</v>
      </c>
      <c r="W56" s="387"/>
      <c r="X56" s="387"/>
      <c r="Y56" s="387"/>
      <c r="Z56" s="387"/>
      <c r="AA56" s="387"/>
      <c r="AB56" s="387"/>
      <c r="AC56" s="387"/>
      <c r="AD56" s="387"/>
      <c r="AE56" s="408">
        <f>'Portefeuille SP2'!J62</f>
        <v>0</v>
      </c>
      <c r="AF56" s="387"/>
      <c r="AG56" s="387"/>
      <c r="AH56" s="389"/>
      <c r="AI56" s="389"/>
      <c r="AJ56" s="403">
        <f>'Portefeuille SP2'!V62</f>
        <v>1</v>
      </c>
      <c r="AK56" s="403">
        <f>'Portefeuille SP2'!W62</f>
        <v>1</v>
      </c>
      <c r="AL56" s="403">
        <f>'Portefeuille SP2'!X62</f>
        <v>1</v>
      </c>
      <c r="AM56" s="403">
        <f>'Portefeuille SP2'!Y62</f>
        <v>1</v>
      </c>
      <c r="AN56" s="403">
        <f>'Portefeuille SP2'!Z62</f>
        <v>1</v>
      </c>
      <c r="AO56" s="403">
        <f>'Portefeuille SP2'!AA62</f>
        <v>1</v>
      </c>
      <c r="AP56" s="403">
        <f>'Portefeuille SP2'!AB62</f>
        <v>1</v>
      </c>
      <c r="AQ56" s="403">
        <f>'Portefeuille SP2'!AC62</f>
        <v>1</v>
      </c>
      <c r="AR56" s="403">
        <f>'Portefeuille SP2'!AD62</f>
        <v>1</v>
      </c>
      <c r="AS56" s="403">
        <f>'Portefeuille SP2'!AE62</f>
        <v>1</v>
      </c>
      <c r="AT56" s="403">
        <f>'Portefeuille SP2'!AF62</f>
        <v>1</v>
      </c>
      <c r="AU56" s="403">
        <f>'Portefeuille SP2'!AG62</f>
        <v>1</v>
      </c>
      <c r="AV56" s="403">
        <f>'Portefeuille SP2'!AH62</f>
        <v>1</v>
      </c>
      <c r="AW56" s="403">
        <f>'Portefeuille SP2'!AI62</f>
        <v>1</v>
      </c>
      <c r="AX56" s="403">
        <f>'Portefeuille SP2'!AJ62</f>
        <v>1</v>
      </c>
      <c r="AY56" s="403">
        <f>'Portefeuille SP2'!AK62</f>
        <v>1</v>
      </c>
      <c r="AZ56" s="403">
        <f>'Portefeuille SP2'!AL62</f>
        <v>1</v>
      </c>
      <c r="BA56" s="403">
        <f>'Portefeuille SP2'!AM62</f>
        <v>1</v>
      </c>
      <c r="BB56" s="403">
        <f>'Portefeuille SP2'!AN62</f>
        <v>1</v>
      </c>
      <c r="BC56" s="403">
        <f>'Portefeuille SP2'!AO62</f>
        <v>1</v>
      </c>
      <c r="BD56" s="403">
        <f>'Portefeuille SP2'!AP62</f>
        <v>0</v>
      </c>
      <c r="BE56" s="403">
        <f>'Portefeuille SP2'!AQ62</f>
        <v>0</v>
      </c>
      <c r="BF56" s="403">
        <f>'Portefeuille SP2'!AR62</f>
        <v>0</v>
      </c>
      <c r="BG56" s="403" t="e">
        <f>'Portefeuille SP2'!#REF!</f>
        <v>#REF!</v>
      </c>
      <c r="BH56" s="403" t="e">
        <f>'Portefeuille SP2'!#REF!</f>
        <v>#REF!</v>
      </c>
      <c r="BI56" s="403" t="e">
        <f>'Portefeuille SP2'!#REF!</f>
        <v>#REF!</v>
      </c>
      <c r="BJ56" s="403" t="e">
        <f>'Portefeuille SP2'!#REF!</f>
        <v>#REF!</v>
      </c>
      <c r="BK56" s="403" t="e">
        <f>'Portefeuille SP2'!#REF!</f>
        <v>#REF!</v>
      </c>
      <c r="BL56" s="388"/>
      <c r="BM56" s="404" t="str">
        <f>'Portefeuille SP2'!L62</f>
        <v>04/02/2026 : renforcement du bac batterie pour eviter les contacts avec les busbar en choc latéral.</v>
      </c>
    </row>
    <row r="57" spans="1:65" ht="15" customHeight="1">
      <c r="A57" s="383" t="str">
        <f>'Portefeuille SP2'!B63</f>
        <v>08/04/2025</v>
      </c>
      <c r="B57" s="390" t="str">
        <f>'Portefeuille SP2'!Q63</f>
        <v>CANCELED</v>
      </c>
      <c r="C57" s="384"/>
      <c r="D57" s="382" t="str">
        <f>'Portefeuille SP2'!E63</f>
        <v>TH</v>
      </c>
      <c r="E57" s="382" t="str">
        <f t="shared" si="0"/>
        <v>BIW</v>
      </c>
      <c r="F57" s="382" t="str">
        <f t="shared" si="5"/>
        <v/>
      </c>
      <c r="G57" s="382" t="str">
        <f>'Portefeuille SP2'!C63</f>
        <v>SP1</v>
      </c>
      <c r="H57" s="382" t="str">
        <f>'Portefeuille SP2'!F63</f>
        <v>Franck Baillon (SP1)/
Cyrille P1X</v>
      </c>
      <c r="I57" s="382"/>
      <c r="J57" s="382" t="str">
        <f>'Portefeuille SP2'!D63</f>
        <v>BIW</v>
      </c>
      <c r="K57" s="385" t="str">
        <f>'Portefeuille SP2'!H63</f>
        <v>risk perfo</v>
      </c>
      <c r="L57" s="157">
        <f>'Portefeuille SP2'!U63</f>
        <v>8.5250000000000006E-2</v>
      </c>
      <c r="M57" s="386"/>
      <c r="N57" s="386"/>
      <c r="O57" s="386"/>
      <c r="P57" s="400">
        <f>'Portefeuille SP2'!M63</f>
        <v>0</v>
      </c>
      <c r="Q57" s="387"/>
      <c r="R57" s="387">
        <f>'Portefeuille SP2'!N63</f>
        <v>0</v>
      </c>
      <c r="S57" s="387"/>
      <c r="T57" s="382">
        <f>'Portefeuille SP2'!R63</f>
        <v>0</v>
      </c>
      <c r="U57" s="387">
        <f>'Portefeuille SP2'!K63</f>
        <v>0</v>
      </c>
      <c r="V57" s="399">
        <f>'Portefeuille SP2'!S63</f>
        <v>0.25</v>
      </c>
      <c r="W57" s="387"/>
      <c r="X57" s="387"/>
      <c r="Y57" s="387"/>
      <c r="Z57" s="387"/>
      <c r="AA57" s="387"/>
      <c r="AB57" s="387"/>
      <c r="AC57" s="387"/>
      <c r="AD57" s="387"/>
      <c r="AE57" s="408" t="str">
        <f>'Portefeuille SP2'!J63</f>
        <v>A checker pour SPC</v>
      </c>
      <c r="AF57" s="387"/>
      <c r="AG57" s="387"/>
      <c r="AH57" s="389"/>
      <c r="AI57" s="389"/>
      <c r="AJ57" s="403">
        <f>'Portefeuille SP2'!V63</f>
        <v>1</v>
      </c>
      <c r="AK57" s="403">
        <f>'Portefeuille SP2'!W63</f>
        <v>1</v>
      </c>
      <c r="AL57" s="403">
        <f>'Portefeuille SP2'!X63</f>
        <v>1</v>
      </c>
      <c r="AM57" s="403">
        <f>'Portefeuille SP2'!Y63</f>
        <v>1</v>
      </c>
      <c r="AN57" s="403">
        <f>'Portefeuille SP2'!Z63</f>
        <v>1</v>
      </c>
      <c r="AO57" s="403">
        <f>'Portefeuille SP2'!AA63</f>
        <v>1</v>
      </c>
      <c r="AP57" s="403">
        <f>'Portefeuille SP2'!AB63</f>
        <v>1</v>
      </c>
      <c r="AQ57" s="403">
        <f>'Portefeuille SP2'!AC63</f>
        <v>1</v>
      </c>
      <c r="AR57" s="403">
        <f>'Portefeuille SP2'!AD63</f>
        <v>1</v>
      </c>
      <c r="AS57" s="403">
        <f>'Portefeuille SP2'!AE63</f>
        <v>1</v>
      </c>
      <c r="AT57" s="403">
        <f>'Portefeuille SP2'!AF63</f>
        <v>1</v>
      </c>
      <c r="AU57" s="403">
        <f>'Portefeuille SP2'!AG63</f>
        <v>1</v>
      </c>
      <c r="AV57" s="403">
        <f>'Portefeuille SP2'!AH63</f>
        <v>1</v>
      </c>
      <c r="AW57" s="403">
        <f>'Portefeuille SP2'!AI63</f>
        <v>1</v>
      </c>
      <c r="AX57" s="403">
        <f>'Portefeuille SP2'!AJ63</f>
        <v>1</v>
      </c>
      <c r="AY57" s="403">
        <f>'Portefeuille SP2'!AK63</f>
        <v>1</v>
      </c>
      <c r="AZ57" s="403">
        <f>'Portefeuille SP2'!AL63</f>
        <v>1</v>
      </c>
      <c r="BA57" s="403">
        <f>'Portefeuille SP2'!AM63</f>
        <v>1</v>
      </c>
      <c r="BB57" s="403">
        <f>'Portefeuille SP2'!AN63</f>
        <v>1</v>
      </c>
      <c r="BC57" s="403">
        <f>'Portefeuille SP2'!AO63</f>
        <v>1</v>
      </c>
      <c r="BD57" s="403">
        <f>'Portefeuille SP2'!AP63</f>
        <v>1</v>
      </c>
      <c r="BE57" s="403">
        <f>'Portefeuille SP2'!AQ63</f>
        <v>1</v>
      </c>
      <c r="BF57" s="403">
        <f>'Portefeuille SP2'!AR63</f>
        <v>1</v>
      </c>
      <c r="BG57" s="403" t="e">
        <f>'Portefeuille SP2'!#REF!</f>
        <v>#REF!</v>
      </c>
      <c r="BH57" s="403" t="e">
        <f>'Portefeuille SP2'!#REF!</f>
        <v>#REF!</v>
      </c>
      <c r="BI57" s="403" t="e">
        <f>'Portefeuille SP2'!#REF!</f>
        <v>#REF!</v>
      </c>
      <c r="BJ57" s="403" t="e">
        <f>'Portefeuille SP2'!#REF!</f>
        <v>#REF!</v>
      </c>
      <c r="BK57" s="403" t="e">
        <f>'Portefeuille SP2'!#REF!</f>
        <v>#REF!</v>
      </c>
      <c r="BL57" s="388"/>
      <c r="BM57" s="404" t="str">
        <f>'Portefeuille SP2'!L63</f>
        <v>01/07/2025 2Synthèse différente =&gt; CANCELLED
08/04/2025 Périmètre SYNC3+, add-ons au sujet 93B : : raidisseur inf pied avant, +0,341kg</v>
      </c>
    </row>
    <row r="58" spans="1:65" ht="15" customHeight="1">
      <c r="A58" s="383">
        <f>'Portefeuille SP2'!B64</f>
        <v>45536</v>
      </c>
      <c r="B58" s="390" t="str">
        <f>'Portefeuille SP2'!Q64</f>
        <v>IN PROGRESS</v>
      </c>
      <c r="C58" s="384"/>
      <c r="D58" s="382" t="str">
        <f>'Portefeuille SP2'!E64</f>
        <v>TH</v>
      </c>
      <c r="E58" s="382" t="str">
        <f t="shared" si="0"/>
        <v>BIW</v>
      </c>
      <c r="F58" s="382" t="str">
        <f t="shared" si="5"/>
        <v xml:space="preserve"> </v>
      </c>
      <c r="G58" s="382" t="str">
        <f>'Portefeuille SP2'!C64</f>
        <v>SPC_1</v>
      </c>
      <c r="H58" s="382" t="str">
        <f>'Portefeuille SP2'!F64</f>
        <v>FRANK BAILLON</v>
      </c>
      <c r="I58" s="382"/>
      <c r="J58" s="382" t="str">
        <f>'Portefeuille SP2'!D64</f>
        <v xml:space="preserve">BIW </v>
      </c>
      <c r="K58" s="385" t="str">
        <f>'Portefeuille SP2'!H64</f>
        <v>Mudguards</v>
      </c>
      <c r="L58" s="157">
        <f>'Portefeuille SP2'!U64</f>
        <v>-0.7</v>
      </c>
      <c r="M58" s="386"/>
      <c r="N58" s="386"/>
      <c r="O58" s="386"/>
      <c r="P58" s="400" t="str">
        <f>'Portefeuille SP2'!M64</f>
        <v>500K€</v>
      </c>
      <c r="Q58" s="387"/>
      <c r="R58" s="387">
        <f>'Portefeuille SP2'!N64</f>
        <v>-0.9</v>
      </c>
      <c r="S58" s="387"/>
      <c r="T58" s="382" t="str">
        <f>'Portefeuille SP2'!R64</f>
        <v>TBD</v>
      </c>
      <c r="U58" s="387">
        <f>'Portefeuille SP2'!K64</f>
        <v>0</v>
      </c>
      <c r="V58" s="399">
        <f>'Portefeuille SP2'!S64</f>
        <v>1</v>
      </c>
      <c r="W58" s="387"/>
      <c r="X58" s="387"/>
      <c r="Y58" s="387"/>
      <c r="Z58" s="387"/>
      <c r="AA58" s="387"/>
      <c r="AB58" s="387"/>
      <c r="AC58" s="387"/>
      <c r="AD58" s="387"/>
      <c r="AE58" s="408" t="str">
        <f>'Portefeuille SP2'!J64</f>
        <v>24/03/2026 LM
point CW 15 pour retour</v>
      </c>
      <c r="AF58" s="387"/>
      <c r="AG58" s="387"/>
      <c r="AH58" s="389"/>
      <c r="AI58" s="389"/>
      <c r="AJ58" s="403">
        <f>'Portefeuille SP2'!V64</f>
        <v>1</v>
      </c>
      <c r="AK58" s="403">
        <f>'Portefeuille SP2'!W64</f>
        <v>1</v>
      </c>
      <c r="AL58" s="403">
        <f>'Portefeuille SP2'!X64</f>
        <v>1</v>
      </c>
      <c r="AM58" s="403">
        <f>'Portefeuille SP2'!Y64</f>
        <v>1</v>
      </c>
      <c r="AN58" s="403">
        <f>'Portefeuille SP2'!Z64</f>
        <v>1</v>
      </c>
      <c r="AO58" s="403">
        <f>'Portefeuille SP2'!AA64</f>
        <v>1</v>
      </c>
      <c r="AP58" s="403">
        <f>'Portefeuille SP2'!AB64</f>
        <v>1</v>
      </c>
      <c r="AQ58" s="403">
        <f>'Portefeuille SP2'!AC64</f>
        <v>1</v>
      </c>
      <c r="AR58" s="403">
        <f>'Portefeuille SP2'!AD64</f>
        <v>1</v>
      </c>
      <c r="AS58" s="403">
        <f>'Portefeuille SP2'!AE64</f>
        <v>1</v>
      </c>
      <c r="AT58" s="403">
        <f>'Portefeuille SP2'!AF64</f>
        <v>1</v>
      </c>
      <c r="AU58" s="403">
        <f>'Portefeuille SP2'!AG64</f>
        <v>1</v>
      </c>
      <c r="AV58" s="403">
        <f>'Portefeuille SP2'!AH64</f>
        <v>1</v>
      </c>
      <c r="AW58" s="403">
        <f>'Portefeuille SP2'!AI64</f>
        <v>1</v>
      </c>
      <c r="AX58" s="403">
        <f>'Portefeuille SP2'!AJ64</f>
        <v>1</v>
      </c>
      <c r="AY58" s="403">
        <f>'Portefeuille SP2'!AK64</f>
        <v>1</v>
      </c>
      <c r="AZ58" s="403">
        <f>'Portefeuille SP2'!AL64</f>
        <v>1</v>
      </c>
      <c r="BA58" s="403">
        <f>'Portefeuille SP2'!AM64</f>
        <v>1</v>
      </c>
      <c r="BB58" s="403">
        <f>'Portefeuille SP2'!AN64</f>
        <v>1</v>
      </c>
      <c r="BC58" s="403">
        <f>'Portefeuille SP2'!AO64</f>
        <v>1</v>
      </c>
      <c r="BD58" s="403">
        <f>'Portefeuille SP2'!AP64</f>
        <v>1</v>
      </c>
      <c r="BE58" s="403">
        <f>'Portefeuille SP2'!AQ64</f>
        <v>1</v>
      </c>
      <c r="BF58" s="403">
        <f>'Portefeuille SP2'!AR64</f>
        <v>1</v>
      </c>
      <c r="BG58" s="403" t="e">
        <f>'Portefeuille SP2'!#REF!</f>
        <v>#REF!</v>
      </c>
      <c r="BH58" s="403" t="e">
        <f>'Portefeuille SP2'!#REF!</f>
        <v>#REF!</v>
      </c>
      <c r="BI58" s="403" t="e">
        <f>'Portefeuille SP2'!#REF!</f>
        <v>#REF!</v>
      </c>
      <c r="BJ58" s="403" t="e">
        <f>'Portefeuille SP2'!#REF!</f>
        <v>#REF!</v>
      </c>
      <c r="BK58" s="403" t="e">
        <f>'Portefeuille SP2'!#REF!</f>
        <v>#REF!</v>
      </c>
      <c r="BL58" s="388"/>
      <c r="BM58" s="404">
        <f>'Portefeuille SP2'!L64</f>
        <v>0</v>
      </c>
    </row>
    <row r="59" spans="1:65" ht="15" customHeight="1">
      <c r="A59" s="383">
        <f>'Portefeuille SP2'!B65</f>
        <v>45536</v>
      </c>
      <c r="B59" s="390" t="str">
        <f>'Portefeuille SP2'!Q65</f>
        <v>CANCELED</v>
      </c>
      <c r="C59" s="384"/>
      <c r="D59" s="382" t="str">
        <f>'Portefeuille SP2'!E65</f>
        <v>TH</v>
      </c>
      <c r="E59" s="382" t="str">
        <f t="shared" si="0"/>
        <v>BIW</v>
      </c>
      <c r="F59" s="382" t="str">
        <f t="shared" si="5"/>
        <v xml:space="preserve"> </v>
      </c>
      <c r="G59" s="382" t="str">
        <f>'Portefeuille SP2'!C65</f>
        <v>SPC_1</v>
      </c>
      <c r="H59" s="382" t="str">
        <f>'Portefeuille SP2'!F65</f>
        <v>MICHAEL BORE</v>
      </c>
      <c r="I59" s="382"/>
      <c r="J59" s="382" t="str">
        <f>'Portefeuille SP2'!D65</f>
        <v xml:space="preserve">BIW </v>
      </c>
      <c r="K59" s="385" t="str">
        <f>'Portefeuille SP2'!H65</f>
        <v>Aerofin</v>
      </c>
      <c r="L59" s="157">
        <f>'Portefeuille SP2'!U65</f>
        <v>0</v>
      </c>
      <c r="M59" s="386"/>
      <c r="N59" s="386"/>
      <c r="O59" s="386"/>
      <c r="P59" s="400">
        <f>'Portefeuille SP2'!M65</f>
        <v>0</v>
      </c>
      <c r="Q59" s="387"/>
      <c r="R59" s="387">
        <f>'Portefeuille SP2'!N65</f>
        <v>0.7</v>
      </c>
      <c r="S59" s="387"/>
      <c r="T59" s="382" t="str">
        <f>'Portefeuille SP2'!R65</f>
        <v>TBD</v>
      </c>
      <c r="U59" s="387" t="str">
        <f>'Portefeuille SP2'!K65</f>
        <v>PM</v>
      </c>
      <c r="V59" s="399">
        <f>'Portefeuille SP2'!S65</f>
        <v>0</v>
      </c>
      <c r="W59" s="387"/>
      <c r="X59" s="387"/>
      <c r="Y59" s="387"/>
      <c r="Z59" s="387"/>
      <c r="AA59" s="387"/>
      <c r="AB59" s="387"/>
      <c r="AC59" s="387"/>
      <c r="AD59" s="387"/>
      <c r="AE59" s="408" t="str">
        <f>'Portefeuille SP2'!J65</f>
        <v>LM 31/01/2026
A abandonner car toit bi-ton
06/10/2025 
P3U Aerofin sur volet plastique
J2U pas d'Aerofin sur volet tôle
J1X sur volet tôle 
sujet à reboucler plus tard suvant le style, peu de gain masse</v>
      </c>
      <c r="AF59" s="387"/>
      <c r="AG59" s="387"/>
      <c r="AH59" s="389"/>
      <c r="AI59" s="389"/>
      <c r="AJ59" s="403">
        <f>'Portefeuille SP2'!V65</f>
        <v>1</v>
      </c>
      <c r="AK59" s="403">
        <f>'Portefeuille SP2'!W65</f>
        <v>1</v>
      </c>
      <c r="AL59" s="403">
        <f>'Portefeuille SP2'!X65</f>
        <v>1</v>
      </c>
      <c r="AM59" s="403">
        <f>'Portefeuille SP2'!Y65</f>
        <v>1</v>
      </c>
      <c r="AN59" s="403">
        <f>'Portefeuille SP2'!Z65</f>
        <v>1</v>
      </c>
      <c r="AO59" s="403">
        <f>'Portefeuille SP2'!AA65</f>
        <v>1</v>
      </c>
      <c r="AP59" s="403">
        <f>'Portefeuille SP2'!AB65</f>
        <v>1</v>
      </c>
      <c r="AQ59" s="403">
        <f>'Portefeuille SP2'!AC65</f>
        <v>1</v>
      </c>
      <c r="AR59" s="403">
        <f>'Portefeuille SP2'!AD65</f>
        <v>1</v>
      </c>
      <c r="AS59" s="403">
        <f>'Portefeuille SP2'!AE65</f>
        <v>1</v>
      </c>
      <c r="AT59" s="403">
        <f>'Portefeuille SP2'!AF65</f>
        <v>1</v>
      </c>
      <c r="AU59" s="403">
        <f>'Portefeuille SP2'!AG65</f>
        <v>1</v>
      </c>
      <c r="AV59" s="403">
        <f>'Portefeuille SP2'!AH65</f>
        <v>1</v>
      </c>
      <c r="AW59" s="403">
        <f>'Portefeuille SP2'!AI65</f>
        <v>1</v>
      </c>
      <c r="AX59" s="403">
        <f>'Portefeuille SP2'!AJ65</f>
        <v>1</v>
      </c>
      <c r="AY59" s="403">
        <f>'Portefeuille SP2'!AK65</f>
        <v>1</v>
      </c>
      <c r="AZ59" s="403">
        <f>'Portefeuille SP2'!AL65</f>
        <v>1</v>
      </c>
      <c r="BA59" s="403">
        <f>'Portefeuille SP2'!AM65</f>
        <v>1</v>
      </c>
      <c r="BB59" s="403">
        <f>'Portefeuille SP2'!AN65</f>
        <v>1</v>
      </c>
      <c r="BC59" s="403">
        <f>'Portefeuille SP2'!AO65</f>
        <v>1</v>
      </c>
      <c r="BD59" s="403">
        <f>'Portefeuille SP2'!AP65</f>
        <v>1</v>
      </c>
      <c r="BE59" s="403">
        <f>'Portefeuille SP2'!AQ65</f>
        <v>1</v>
      </c>
      <c r="BF59" s="403">
        <f>'Portefeuille SP2'!AR65</f>
        <v>1</v>
      </c>
      <c r="BG59" s="403" t="e">
        <f>'Portefeuille SP2'!#REF!</f>
        <v>#REF!</v>
      </c>
      <c r="BH59" s="403" t="e">
        <f>'Portefeuille SP2'!#REF!</f>
        <v>#REF!</v>
      </c>
      <c r="BI59" s="403" t="e">
        <f>'Portefeuille SP2'!#REF!</f>
        <v>#REF!</v>
      </c>
      <c r="BJ59" s="403" t="e">
        <f>'Portefeuille SP2'!#REF!</f>
        <v>#REF!</v>
      </c>
      <c r="BK59" s="403" t="e">
        <f>'Portefeuille SP2'!#REF!</f>
        <v>#REF!</v>
      </c>
      <c r="BL59" s="388"/>
      <c r="BM59" s="404">
        <f>'Portefeuille SP2'!L65</f>
        <v>0</v>
      </c>
    </row>
    <row r="60" spans="1:65" ht="15" customHeight="1">
      <c r="A60" s="383">
        <f>'Portefeuille SP2'!B66</f>
        <v>45536</v>
      </c>
      <c r="B60" s="390" t="str">
        <f>'Portefeuille SP2'!Q66</f>
        <v>CANCELED</v>
      </c>
      <c r="C60" s="384"/>
      <c r="D60" s="382" t="str">
        <f>'Portefeuille SP2'!E66</f>
        <v>TH</v>
      </c>
      <c r="E60" s="382" t="str">
        <f t="shared" si="0"/>
        <v>BIW</v>
      </c>
      <c r="F60" s="382" t="str">
        <f t="shared" si="5"/>
        <v xml:space="preserve"> </v>
      </c>
      <c r="G60" s="382" t="str">
        <f>'Portefeuille SP2'!C66</f>
        <v>SPC_1</v>
      </c>
      <c r="H60" s="382" t="str">
        <f>'Portefeuille SP2'!F66</f>
        <v>MICHAEL BORE</v>
      </c>
      <c r="I60" s="382"/>
      <c r="J60" s="382" t="str">
        <f>'Portefeuille SP2'!D66</f>
        <v xml:space="preserve">BIW </v>
      </c>
      <c r="K60" s="385" t="str">
        <f>'Portefeuille SP2'!H66</f>
        <v>black trim</v>
      </c>
      <c r="L60" s="157">
        <f>'Portefeuille SP2'!U66</f>
        <v>0</v>
      </c>
      <c r="M60" s="386"/>
      <c r="N60" s="386"/>
      <c r="O60" s="386"/>
      <c r="P60" s="400">
        <f>'Portefeuille SP2'!M66</f>
        <v>0</v>
      </c>
      <c r="Q60" s="387"/>
      <c r="R60" s="387" t="str">
        <f>'Portefeuille SP2'!N66</f>
        <v>(15)</v>
      </c>
      <c r="S60" s="387"/>
      <c r="T60" s="382" t="str">
        <f>'Portefeuille SP2'!R66</f>
        <v>TBD</v>
      </c>
      <c r="U60" s="387" t="str">
        <f>'Portefeuille SP2'!K66</f>
        <v>CM poro signature</v>
      </c>
      <c r="V60" s="399">
        <f>'Portefeuille SP2'!S66</f>
        <v>0</v>
      </c>
      <c r="W60" s="387"/>
      <c r="X60" s="387"/>
      <c r="Y60" s="387"/>
      <c r="Z60" s="387"/>
      <c r="AA60" s="387"/>
      <c r="AB60" s="387"/>
      <c r="AC60" s="387"/>
      <c r="AD60" s="387"/>
      <c r="AE60" s="408" t="str">
        <f>'Portefeuille SP2'!J66</f>
        <v>06/10/2025 Pas de PORO
et T2 tout type, donc ligne à supprimer</v>
      </c>
      <c r="AF60" s="387"/>
      <c r="AG60" s="387"/>
      <c r="AH60" s="389"/>
      <c r="AI60" s="389"/>
      <c r="AJ60" s="403">
        <f>'Portefeuille SP2'!V66</f>
        <v>1</v>
      </c>
      <c r="AK60" s="403">
        <f>'Portefeuille SP2'!W66</f>
        <v>1</v>
      </c>
      <c r="AL60" s="403">
        <f>'Portefeuille SP2'!X66</f>
        <v>1</v>
      </c>
      <c r="AM60" s="403">
        <f>'Portefeuille SP2'!Y66</f>
        <v>1</v>
      </c>
      <c r="AN60" s="403">
        <f>'Portefeuille SP2'!Z66</f>
        <v>1</v>
      </c>
      <c r="AO60" s="403">
        <f>'Portefeuille SP2'!AA66</f>
        <v>1</v>
      </c>
      <c r="AP60" s="403">
        <f>'Portefeuille SP2'!AB66</f>
        <v>1</v>
      </c>
      <c r="AQ60" s="403">
        <f>'Portefeuille SP2'!AC66</f>
        <v>1</v>
      </c>
      <c r="AR60" s="403">
        <f>'Portefeuille SP2'!AD66</f>
        <v>1</v>
      </c>
      <c r="AS60" s="403">
        <f>'Portefeuille SP2'!AE66</f>
        <v>1</v>
      </c>
      <c r="AT60" s="403">
        <f>'Portefeuille SP2'!AF66</f>
        <v>1</v>
      </c>
      <c r="AU60" s="403">
        <f>'Portefeuille SP2'!AG66</f>
        <v>1</v>
      </c>
      <c r="AV60" s="403">
        <f>'Portefeuille SP2'!AH66</f>
        <v>1</v>
      </c>
      <c r="AW60" s="403">
        <f>'Portefeuille SP2'!AI66</f>
        <v>1</v>
      </c>
      <c r="AX60" s="403">
        <f>'Portefeuille SP2'!AJ66</f>
        <v>1</v>
      </c>
      <c r="AY60" s="403">
        <f>'Portefeuille SP2'!AK66</f>
        <v>1</v>
      </c>
      <c r="AZ60" s="403">
        <f>'Portefeuille SP2'!AL66</f>
        <v>1</v>
      </c>
      <c r="BA60" s="403">
        <f>'Portefeuille SP2'!AM66</f>
        <v>1</v>
      </c>
      <c r="BB60" s="403">
        <f>'Portefeuille SP2'!AN66</f>
        <v>1</v>
      </c>
      <c r="BC60" s="403">
        <f>'Portefeuille SP2'!AO66</f>
        <v>1</v>
      </c>
      <c r="BD60" s="403">
        <f>'Portefeuille SP2'!AP66</f>
        <v>1</v>
      </c>
      <c r="BE60" s="403">
        <f>'Portefeuille SP2'!AQ66</f>
        <v>1</v>
      </c>
      <c r="BF60" s="403">
        <f>'Portefeuille SP2'!AR66</f>
        <v>1</v>
      </c>
      <c r="BG60" s="403" t="e">
        <f>'Portefeuille SP2'!#REF!</f>
        <v>#REF!</v>
      </c>
      <c r="BH60" s="403" t="e">
        <f>'Portefeuille SP2'!#REF!</f>
        <v>#REF!</v>
      </c>
      <c r="BI60" s="403" t="e">
        <f>'Portefeuille SP2'!#REF!</f>
        <v>#REF!</v>
      </c>
      <c r="BJ60" s="403" t="e">
        <f>'Portefeuille SP2'!#REF!</f>
        <v>#REF!</v>
      </c>
      <c r="BK60" s="403" t="e">
        <f>'Portefeuille SP2'!#REF!</f>
        <v>#REF!</v>
      </c>
      <c r="BL60" s="388"/>
      <c r="BM60" s="404" t="str">
        <f>'Portefeuille SP2'!L66</f>
        <v>26/06/2025 a reboucler après hypothèse projet</v>
      </c>
    </row>
    <row r="61" spans="1:65" ht="15" customHeight="1">
      <c r="A61" s="383">
        <f>'Portefeuille SP2'!B67</f>
        <v>45821</v>
      </c>
      <c r="B61" s="390" t="str">
        <f>'Portefeuille SP2'!Q67</f>
        <v>CANCELED</v>
      </c>
      <c r="C61" s="384"/>
      <c r="D61" s="382" t="str">
        <f>'Portefeuille SP2'!E67</f>
        <v xml:space="preserve">PTF </v>
      </c>
      <c r="E61" s="382" t="str">
        <f t="shared" si="0"/>
        <v>BIW</v>
      </c>
      <c r="F61" s="382" t="str">
        <f t="shared" si="5"/>
        <v/>
      </c>
      <c r="G61" s="382" t="str">
        <f>'Portefeuille SP2'!C67</f>
        <v>SPC_1</v>
      </c>
      <c r="H61" s="382">
        <f>'Portefeuille SP2'!F67</f>
        <v>0</v>
      </c>
      <c r="I61" s="382"/>
      <c r="J61" s="382" t="str">
        <f>'Portefeuille SP2'!D67</f>
        <v>BIW</v>
      </c>
      <c r="K61" s="385" t="str">
        <f>'Portefeuille SP2'!H67</f>
        <v>Raw material Change</v>
      </c>
      <c r="L61" s="157">
        <f>'Portefeuille SP2'!U67</f>
        <v>0</v>
      </c>
      <c r="M61" s="386"/>
      <c r="N61" s="386"/>
      <c r="O61" s="386"/>
      <c r="P61" s="400" t="str">
        <f>'Portefeuille SP2'!M67</f>
        <v>TBD</v>
      </c>
      <c r="Q61" s="387"/>
      <c r="R61" s="387" t="str">
        <f>'Portefeuille SP2'!N67</f>
        <v>TBD</v>
      </c>
      <c r="S61" s="387"/>
      <c r="T61" s="382">
        <f>'Portefeuille SP2'!R67</f>
        <v>0</v>
      </c>
      <c r="U61" s="387">
        <f>'Portefeuille SP2'!K67</f>
        <v>0</v>
      </c>
      <c r="V61" s="399">
        <f>'Portefeuille SP2'!S67</f>
        <v>0</v>
      </c>
      <c r="W61" s="387"/>
      <c r="X61" s="387"/>
      <c r="Y61" s="387"/>
      <c r="Z61" s="387"/>
      <c r="AA61" s="387"/>
      <c r="AB61" s="387"/>
      <c r="AC61" s="387"/>
      <c r="AD61" s="387"/>
      <c r="AE61" s="408" t="str">
        <f>'Portefeuille SP2'!J67</f>
        <v>10/10/2025 a reboucler avec la base Nicolas Tessier</v>
      </c>
      <c r="AF61" s="387"/>
      <c r="AG61" s="387"/>
      <c r="AH61" s="389"/>
      <c r="AI61" s="389"/>
      <c r="AJ61" s="403">
        <f>'Portefeuille SP2'!V67</f>
        <v>0</v>
      </c>
      <c r="AK61" s="403">
        <f>'Portefeuille SP2'!W67</f>
        <v>0</v>
      </c>
      <c r="AL61" s="403">
        <f>'Portefeuille SP2'!X67</f>
        <v>0</v>
      </c>
      <c r="AM61" s="403">
        <f>'Portefeuille SP2'!Y67</f>
        <v>0</v>
      </c>
      <c r="AN61" s="403">
        <f>'Portefeuille SP2'!Z67</f>
        <v>0</v>
      </c>
      <c r="AO61" s="403">
        <f>'Portefeuille SP2'!AA67</f>
        <v>0</v>
      </c>
      <c r="AP61" s="403">
        <f>'Portefeuille SP2'!AB67</f>
        <v>0</v>
      </c>
      <c r="AQ61" s="403">
        <f>'Portefeuille SP2'!AC67</f>
        <v>0</v>
      </c>
      <c r="AR61" s="403">
        <f>'Portefeuille SP2'!AD67</f>
        <v>0</v>
      </c>
      <c r="AS61" s="403">
        <f>'Portefeuille SP2'!AE67</f>
        <v>0</v>
      </c>
      <c r="AT61" s="403">
        <f>'Portefeuille SP2'!AF67</f>
        <v>0</v>
      </c>
      <c r="AU61" s="403">
        <f>'Portefeuille SP2'!AG67</f>
        <v>0</v>
      </c>
      <c r="AV61" s="403">
        <f>'Portefeuille SP2'!AH67</f>
        <v>0</v>
      </c>
      <c r="AW61" s="403">
        <f>'Portefeuille SP2'!AI67</f>
        <v>0</v>
      </c>
      <c r="AX61" s="403">
        <f>'Portefeuille SP2'!AJ67</f>
        <v>0</v>
      </c>
      <c r="AY61" s="403">
        <f>'Portefeuille SP2'!AK67</f>
        <v>0</v>
      </c>
      <c r="AZ61" s="403">
        <f>'Portefeuille SP2'!AL67</f>
        <v>0</v>
      </c>
      <c r="BA61" s="403">
        <f>'Portefeuille SP2'!AM67</f>
        <v>0</v>
      </c>
      <c r="BB61" s="403">
        <f>'Portefeuille SP2'!AN67</f>
        <v>1</v>
      </c>
      <c r="BC61" s="403">
        <f>'Portefeuille SP2'!AO67</f>
        <v>1</v>
      </c>
      <c r="BD61" s="403">
        <f>'Portefeuille SP2'!AP67</f>
        <v>1</v>
      </c>
      <c r="BE61" s="403">
        <f>'Portefeuille SP2'!AQ67</f>
        <v>1</v>
      </c>
      <c r="BF61" s="403">
        <f>'Portefeuille SP2'!AR67</f>
        <v>1</v>
      </c>
      <c r="BG61" s="403" t="e">
        <f>'Portefeuille SP2'!#REF!</f>
        <v>#REF!</v>
      </c>
      <c r="BH61" s="403" t="e">
        <f>'Portefeuille SP2'!#REF!</f>
        <v>#REF!</v>
      </c>
      <c r="BI61" s="403" t="e">
        <f>'Portefeuille SP2'!#REF!</f>
        <v>#REF!</v>
      </c>
      <c r="BJ61" s="403" t="e">
        <f>'Portefeuille SP2'!#REF!</f>
        <v>#REF!</v>
      </c>
      <c r="BK61" s="403" t="e">
        <f>'Portefeuille SP2'!#REF!</f>
        <v>#REF!</v>
      </c>
      <c r="BL61" s="388"/>
      <c r="BM61" s="404">
        <f>'Portefeuille SP2'!L67</f>
        <v>0</v>
      </c>
    </row>
    <row r="62" spans="1:65" ht="15" customHeight="1">
      <c r="A62" s="383" t="str">
        <f>'Portefeuille SP2'!B68</f>
        <v>03/06/2025</v>
      </c>
      <c r="B62" s="390" t="str">
        <f>'Portefeuille SP2'!Q68</f>
        <v>CANCELED</v>
      </c>
      <c r="C62" s="384"/>
      <c r="D62" s="382" t="str">
        <f>'Portefeuille SP2'!E68</f>
        <v>TH</v>
      </c>
      <c r="E62" s="382" t="str">
        <f t="shared" si="0"/>
        <v>INT</v>
      </c>
      <c r="F62" s="382" t="str">
        <f t="shared" si="5"/>
        <v xml:space="preserve"> - SEATS/TRIMS</v>
      </c>
      <c r="G62" s="382" t="str">
        <f>'Portefeuille SP2'!C68</f>
        <v>SP1</v>
      </c>
      <c r="H62" s="382" t="str">
        <f>'Portefeuille SP2'!F68</f>
        <v>Laurent  VILLA</v>
      </c>
      <c r="I62" s="382"/>
      <c r="J62" s="382" t="str">
        <f>'Portefeuille SP2'!D68</f>
        <v>INT - SEATS/TRIMS</v>
      </c>
      <c r="K62" s="385" t="str">
        <f>'Portefeuille SP2'!H68</f>
        <v>Tailgate trim...</v>
      </c>
      <c r="L62" s="157">
        <f>'Portefeuille SP2'!U68</f>
        <v>-0.27500000000000002</v>
      </c>
      <c r="M62" s="386"/>
      <c r="N62" s="386"/>
      <c r="O62" s="386"/>
      <c r="P62" s="400">
        <f>'Portefeuille SP2'!M68</f>
        <v>0</v>
      </c>
      <c r="Q62" s="387"/>
      <c r="R62" s="387">
        <f>'Portefeuille SP2'!N68</f>
        <v>0</v>
      </c>
      <c r="S62" s="387"/>
      <c r="T62" s="382">
        <f>'Portefeuille SP2'!R68</f>
        <v>0</v>
      </c>
      <c r="U62" s="387" t="str">
        <f>'Portefeuille SP2'!K68</f>
        <v>SFM</v>
      </c>
      <c r="V62" s="399">
        <f>'Portefeuille SP2'!S68</f>
        <v>0.25</v>
      </c>
      <c r="W62" s="387"/>
      <c r="X62" s="387"/>
      <c r="Y62" s="387"/>
      <c r="Z62" s="387"/>
      <c r="AA62" s="387"/>
      <c r="AB62" s="387"/>
      <c r="AC62" s="387"/>
      <c r="AD62" s="387"/>
      <c r="AE62" s="408" t="str">
        <f>'Portefeuille SP2'!J68</f>
        <v>24/06/2025 Laurent reboucle avec Sébatien Carrier
sur SPC volet plastique donc pas de garniture latérale</v>
      </c>
      <c r="AF62" s="387"/>
      <c r="AG62" s="387"/>
      <c r="AH62" s="389"/>
      <c r="AI62" s="389"/>
      <c r="AJ62" s="403">
        <f>'Portefeuille SP2'!V68</f>
        <v>1</v>
      </c>
      <c r="AK62" s="403">
        <f>'Portefeuille SP2'!W68</f>
        <v>1</v>
      </c>
      <c r="AL62" s="403">
        <f>'Portefeuille SP2'!X68</f>
        <v>1</v>
      </c>
      <c r="AM62" s="403">
        <f>'Portefeuille SP2'!Y68</f>
        <v>1</v>
      </c>
      <c r="AN62" s="403">
        <f>'Portefeuille SP2'!Z68</f>
        <v>1</v>
      </c>
      <c r="AO62" s="403">
        <f>'Portefeuille SP2'!AA68</f>
        <v>1</v>
      </c>
      <c r="AP62" s="403">
        <f>'Portefeuille SP2'!AB68</f>
        <v>1</v>
      </c>
      <c r="AQ62" s="403">
        <f>'Portefeuille SP2'!AC68</f>
        <v>1</v>
      </c>
      <c r="AR62" s="403">
        <f>'Portefeuille SP2'!AD68</f>
        <v>1</v>
      </c>
      <c r="AS62" s="403">
        <f>'Portefeuille SP2'!AE68</f>
        <v>1</v>
      </c>
      <c r="AT62" s="403">
        <f>'Portefeuille SP2'!AF68</f>
        <v>1</v>
      </c>
      <c r="AU62" s="403">
        <f>'Portefeuille SP2'!AG68</f>
        <v>1</v>
      </c>
      <c r="AV62" s="403">
        <f>'Portefeuille SP2'!AH68</f>
        <v>1</v>
      </c>
      <c r="AW62" s="403">
        <f>'Portefeuille SP2'!AI68</f>
        <v>1</v>
      </c>
      <c r="AX62" s="403">
        <f>'Portefeuille SP2'!AJ68</f>
        <v>1</v>
      </c>
      <c r="AY62" s="403">
        <f>'Portefeuille SP2'!AK68</f>
        <v>1</v>
      </c>
      <c r="AZ62" s="403">
        <f>'Portefeuille SP2'!AL68</f>
        <v>1</v>
      </c>
      <c r="BA62" s="403">
        <f>'Portefeuille SP2'!AM68</f>
        <v>1</v>
      </c>
      <c r="BB62" s="403">
        <f>'Portefeuille SP2'!AN68</f>
        <v>1</v>
      </c>
      <c r="BC62" s="403">
        <f>'Portefeuille SP2'!AO68</f>
        <v>1</v>
      </c>
      <c r="BD62" s="403">
        <f>'Portefeuille SP2'!AP68</f>
        <v>1</v>
      </c>
      <c r="BE62" s="403">
        <f>'Portefeuille SP2'!AQ68</f>
        <v>1</v>
      </c>
      <c r="BF62" s="403">
        <f>'Portefeuille SP2'!AR68</f>
        <v>1</v>
      </c>
      <c r="BG62" s="403" t="e">
        <f>'Portefeuille SP2'!#REF!</f>
        <v>#REF!</v>
      </c>
      <c r="BH62" s="403" t="e">
        <f>'Portefeuille SP2'!#REF!</f>
        <v>#REF!</v>
      </c>
      <c r="BI62" s="403" t="e">
        <f>'Portefeuille SP2'!#REF!</f>
        <v>#REF!</v>
      </c>
      <c r="BJ62" s="403" t="e">
        <f>'Portefeuille SP2'!#REF!</f>
        <v>#REF!</v>
      </c>
      <c r="BK62" s="403" t="e">
        <f>'Portefeuille SP2'!#REF!</f>
        <v>#REF!</v>
      </c>
      <c r="BL62" s="388"/>
      <c r="BM62" s="404" t="str">
        <f>'Portefeuille SP2'!L68</f>
        <v>18/07/2025 Suite RD CW29(Volet Plastique) =&gt; Annulé
03/06/2025 CHANTIER : Garn inf revue maj à-0,2kg (ald-0,9kg) // Uniqut si volet ACIER !
28/05/2025 CHANTIER MASSE : Idem P1H (Garn Vole- 0,9kg / Lat -0,64kg / Sup -0,260kg)</v>
      </c>
    </row>
    <row r="63" spans="1:65" ht="15" customHeight="1">
      <c r="A63" s="383">
        <f>'Portefeuille SP2'!B69</f>
        <v>45821</v>
      </c>
      <c r="B63" s="390" t="str">
        <f>'Portefeuille SP2'!Q69</f>
        <v>IN PROGRESS</v>
      </c>
      <c r="C63" s="384"/>
      <c r="D63" s="382" t="str">
        <f>'Portefeuille SP2'!E69</f>
        <v>PTF</v>
      </c>
      <c r="E63" s="382" t="str">
        <f t="shared" si="0"/>
        <v>BCI</v>
      </c>
      <c r="F63" s="382" t="str">
        <f t="shared" si="5"/>
        <v>_BODY</v>
      </c>
      <c r="G63" s="382" t="str">
        <f>'Portefeuille SP2'!C69</f>
        <v>SPC_1</v>
      </c>
      <c r="H63" s="382" t="str">
        <f>'Portefeuille SP2'!F69</f>
        <v>Herve robert</v>
      </c>
      <c r="I63" s="382"/>
      <c r="J63" s="382" t="str">
        <f>'Portefeuille SP2'!D69</f>
        <v>BCI_BODY</v>
      </c>
      <c r="K63" s="385" t="str">
        <f>'Portefeuille SP2'!H69</f>
        <v>Composite side member reinforcement</v>
      </c>
      <c r="L63" s="157">
        <f>'Portefeuille SP2'!U69</f>
        <v>-7.2</v>
      </c>
      <c r="M63" s="386"/>
      <c r="N63" s="386"/>
      <c r="O63" s="386"/>
      <c r="P63" s="400" t="str">
        <f>'Portefeuille SP2'!M69</f>
        <v xml:space="preserve">TOOLING
</v>
      </c>
      <c r="Q63" s="387"/>
      <c r="R63" s="387" t="str">
        <f>'Portefeuille SP2'!N69</f>
        <v>106€+60€</v>
      </c>
      <c r="S63" s="387"/>
      <c r="T63" s="382">
        <f>'Portefeuille SP2'!R69</f>
        <v>0</v>
      </c>
      <c r="U63" s="387">
        <f>'Portefeuille SP2'!K69</f>
        <v>0</v>
      </c>
      <c r="V63" s="399">
        <f>'Portefeuille SP2'!S69</f>
        <v>1</v>
      </c>
      <c r="W63" s="387"/>
      <c r="X63" s="387"/>
      <c r="Y63" s="387"/>
      <c r="Z63" s="387"/>
      <c r="AA63" s="387"/>
      <c r="AB63" s="387"/>
      <c r="AC63" s="387"/>
      <c r="AD63" s="387"/>
      <c r="AE63" s="408">
        <f>'Portefeuille SP2'!J69</f>
        <v>0</v>
      </c>
      <c r="AF63" s="387"/>
      <c r="AG63" s="387"/>
      <c r="AH63" s="389"/>
      <c r="AI63" s="389"/>
      <c r="AJ63" s="403">
        <f>'Portefeuille SP2'!V69</f>
        <v>0</v>
      </c>
      <c r="AK63" s="403">
        <f>'Portefeuille SP2'!W69</f>
        <v>0</v>
      </c>
      <c r="AL63" s="403">
        <f>'Portefeuille SP2'!X69</f>
        <v>0</v>
      </c>
      <c r="AM63" s="403">
        <f>'Portefeuille SP2'!Y69</f>
        <v>0</v>
      </c>
      <c r="AN63" s="403">
        <f>'Portefeuille SP2'!Z69</f>
        <v>0</v>
      </c>
      <c r="AO63" s="403">
        <f>'Portefeuille SP2'!AA69</f>
        <v>0</v>
      </c>
      <c r="AP63" s="403">
        <f>'Portefeuille SP2'!AB69</f>
        <v>0</v>
      </c>
      <c r="AQ63" s="403">
        <f>'Portefeuille SP2'!AC69</f>
        <v>0</v>
      </c>
      <c r="AR63" s="403">
        <f>'Portefeuille SP2'!AD69</f>
        <v>0</v>
      </c>
      <c r="AS63" s="403">
        <f>'Portefeuille SP2'!AE69</f>
        <v>0</v>
      </c>
      <c r="AT63" s="403">
        <f>'Portefeuille SP2'!AF69</f>
        <v>0</v>
      </c>
      <c r="AU63" s="403">
        <f>'Portefeuille SP2'!AG69</f>
        <v>0</v>
      </c>
      <c r="AV63" s="403">
        <f>'Portefeuille SP2'!AH69</f>
        <v>0</v>
      </c>
      <c r="AW63" s="403">
        <f>'Portefeuille SP2'!AI69</f>
        <v>0</v>
      </c>
      <c r="AX63" s="403">
        <f>'Portefeuille SP2'!AJ69</f>
        <v>0</v>
      </c>
      <c r="AY63" s="403">
        <f>'Portefeuille SP2'!AK69</f>
        <v>0</v>
      </c>
      <c r="AZ63" s="403">
        <f>'Portefeuille SP2'!AL69</f>
        <v>0</v>
      </c>
      <c r="BA63" s="403">
        <f>'Portefeuille SP2'!AM69</f>
        <v>0</v>
      </c>
      <c r="BB63" s="403">
        <f>'Portefeuille SP2'!AN69</f>
        <v>1</v>
      </c>
      <c r="BC63" s="403">
        <f>'Portefeuille SP2'!AO69</f>
        <v>1</v>
      </c>
      <c r="BD63" s="403">
        <f>'Portefeuille SP2'!AP69</f>
        <v>1</v>
      </c>
      <c r="BE63" s="403">
        <f>'Portefeuille SP2'!AQ69</f>
        <v>0</v>
      </c>
      <c r="BF63" s="403">
        <f>'Portefeuille SP2'!AR69</f>
        <v>0</v>
      </c>
      <c r="BG63" s="403" t="e">
        <f>'Portefeuille SP2'!#REF!</f>
        <v>#REF!</v>
      </c>
      <c r="BH63" s="403" t="e">
        <f>'Portefeuille SP2'!#REF!</f>
        <v>#REF!</v>
      </c>
      <c r="BI63" s="403" t="e">
        <f>'Portefeuille SP2'!#REF!</f>
        <v>#REF!</v>
      </c>
      <c r="BJ63" s="403" t="e">
        <f>'Portefeuille SP2'!#REF!</f>
        <v>#REF!</v>
      </c>
      <c r="BK63" s="403" t="e">
        <f>'Portefeuille SP2'!#REF!</f>
        <v>#REF!</v>
      </c>
      <c r="BL63" s="388"/>
      <c r="BM63" s="404" t="str">
        <f>'Portefeuille SP2'!L69</f>
        <v>20/06/25 : - 7,2 kg / nouvelle ref =&gt; Side crash reinforcement (retour FNR CW25 2025 -7,2kg à -4,6kg)
14/03/2024 : Workshop mass</v>
      </c>
    </row>
    <row r="64" spans="1:65" ht="15" customHeight="1">
      <c r="A64" s="383">
        <f>'Portefeuille SP2'!B70</f>
        <v>45821</v>
      </c>
      <c r="B64" s="390" t="str">
        <f>'Portefeuille SP2'!Q70</f>
        <v>CANCELED</v>
      </c>
      <c r="C64" s="384"/>
      <c r="D64" s="382" t="str">
        <f>'Portefeuille SP2'!E70</f>
        <v>TH</v>
      </c>
      <c r="E64" s="382" t="str">
        <f t="shared" si="0"/>
        <v>BCI</v>
      </c>
      <c r="F64" s="382" t="str">
        <f t="shared" si="5"/>
        <v>_BODY</v>
      </c>
      <c r="G64" s="382" t="str">
        <f>'Portefeuille SP2'!C70</f>
        <v>SPC_1</v>
      </c>
      <c r="H64" s="382" t="str">
        <f>'Portefeuille SP2'!F70</f>
        <v>MICHAEL BORE</v>
      </c>
      <c r="I64" s="382"/>
      <c r="J64" s="382" t="str">
        <f>'Portefeuille SP2'!D70</f>
        <v>BCI_BODY</v>
      </c>
      <c r="K64" s="385">
        <f>'Portefeuille SP2'!H70</f>
        <v>0</v>
      </c>
      <c r="L64" s="157">
        <f>'Portefeuille SP2'!U70</f>
        <v>-1.5</v>
      </c>
      <c r="M64" s="386"/>
      <c r="N64" s="386"/>
      <c r="O64" s="386"/>
      <c r="P64" s="400" t="str">
        <f>'Portefeuille SP2'!M70</f>
        <v>800k€</v>
      </c>
      <c r="Q64" s="387"/>
      <c r="R64" s="387">
        <f>'Portefeuille SP2'!N70</f>
        <v>7.7</v>
      </c>
      <c r="S64" s="387"/>
      <c r="T64" s="382">
        <f>'Portefeuille SP2'!R70</f>
        <v>0</v>
      </c>
      <c r="U64" s="387">
        <f>'Portefeuille SP2'!K70</f>
        <v>0</v>
      </c>
      <c r="V64" s="399">
        <f>'Portefeuille SP2'!S70</f>
        <v>1</v>
      </c>
      <c r="W64" s="387"/>
      <c r="X64" s="387"/>
      <c r="Y64" s="387"/>
      <c r="Z64" s="387"/>
      <c r="AA64" s="387"/>
      <c r="AB64" s="387"/>
      <c r="AC64" s="387"/>
      <c r="AD64" s="387"/>
      <c r="AE64" s="408" t="str">
        <f>'Portefeuille SP2'!J70</f>
        <v>06/03/2026 LM : pas d'aile alu pour P3U - à supprimer
10/10/2025 a reboucler avec la base Benoit Allais</v>
      </c>
      <c r="AF64" s="387"/>
      <c r="AG64" s="387"/>
      <c r="AH64" s="389"/>
      <c r="AI64" s="389"/>
      <c r="AJ64" s="403">
        <f>'Portefeuille SP2'!V70</f>
        <v>0</v>
      </c>
      <c r="AK64" s="403">
        <f>'Portefeuille SP2'!W70</f>
        <v>0</v>
      </c>
      <c r="AL64" s="403">
        <f>'Portefeuille SP2'!X70</f>
        <v>0</v>
      </c>
      <c r="AM64" s="403">
        <f>'Portefeuille SP2'!Y70</f>
        <v>0</v>
      </c>
      <c r="AN64" s="403">
        <f>'Portefeuille SP2'!Z70</f>
        <v>0</v>
      </c>
      <c r="AO64" s="403">
        <f>'Portefeuille SP2'!AA70</f>
        <v>0</v>
      </c>
      <c r="AP64" s="403">
        <f>'Portefeuille SP2'!AB70</f>
        <v>0</v>
      </c>
      <c r="AQ64" s="403">
        <f>'Portefeuille SP2'!AC70</f>
        <v>0</v>
      </c>
      <c r="AR64" s="403">
        <f>'Portefeuille SP2'!AD70</f>
        <v>0</v>
      </c>
      <c r="AS64" s="403">
        <f>'Portefeuille SP2'!AE70</f>
        <v>0</v>
      </c>
      <c r="AT64" s="403">
        <f>'Portefeuille SP2'!AF70</f>
        <v>0</v>
      </c>
      <c r="AU64" s="403">
        <f>'Portefeuille SP2'!AG70</f>
        <v>0</v>
      </c>
      <c r="AV64" s="403">
        <f>'Portefeuille SP2'!AH70</f>
        <v>0</v>
      </c>
      <c r="AW64" s="403">
        <f>'Portefeuille SP2'!AI70</f>
        <v>0</v>
      </c>
      <c r="AX64" s="403">
        <f>'Portefeuille SP2'!AJ70</f>
        <v>0</v>
      </c>
      <c r="AY64" s="403">
        <f>'Portefeuille SP2'!AK70</f>
        <v>0</v>
      </c>
      <c r="AZ64" s="403">
        <f>'Portefeuille SP2'!AL70</f>
        <v>0</v>
      </c>
      <c r="BA64" s="403">
        <f>'Portefeuille SP2'!AM70</f>
        <v>0</v>
      </c>
      <c r="BB64" s="403">
        <f>'Portefeuille SP2'!AN70</f>
        <v>1</v>
      </c>
      <c r="BC64" s="403">
        <f>'Portefeuille SP2'!AO70</f>
        <v>1</v>
      </c>
      <c r="BD64" s="403">
        <f>'Portefeuille SP2'!AP70</f>
        <v>1</v>
      </c>
      <c r="BE64" s="403">
        <f>'Portefeuille SP2'!AQ70</f>
        <v>1</v>
      </c>
      <c r="BF64" s="403">
        <f>'Portefeuille SP2'!AR70</f>
        <v>1</v>
      </c>
      <c r="BG64" s="403" t="e">
        <f>'Portefeuille SP2'!#REF!</f>
        <v>#REF!</v>
      </c>
      <c r="BH64" s="403" t="e">
        <f>'Portefeuille SP2'!#REF!</f>
        <v>#REF!</v>
      </c>
      <c r="BI64" s="403" t="e">
        <f>'Portefeuille SP2'!#REF!</f>
        <v>#REF!</v>
      </c>
      <c r="BJ64" s="403" t="e">
        <f>'Portefeuille SP2'!#REF!</f>
        <v>#REF!</v>
      </c>
      <c r="BK64" s="403" t="e">
        <f>'Portefeuille SP2'!#REF!</f>
        <v>#REF!</v>
      </c>
      <c r="BL64" s="388"/>
      <c r="BM64" s="404">
        <f>'Portefeuille SP2'!L70</f>
        <v>0</v>
      </c>
    </row>
    <row r="65" spans="1:65" ht="15" customHeight="1">
      <c r="A65" s="383">
        <f>'Portefeuille SP2'!B71</f>
        <v>45821</v>
      </c>
      <c r="B65" s="390" t="str">
        <f>'Portefeuille SP2'!Q71</f>
        <v>CANCELED</v>
      </c>
      <c r="C65" s="384"/>
      <c r="D65" s="382" t="str">
        <f>'Portefeuille SP2'!E71</f>
        <v>TH</v>
      </c>
      <c r="E65" s="382" t="str">
        <f t="shared" si="0"/>
        <v>BCI</v>
      </c>
      <c r="F65" s="382" t="str">
        <f t="shared" si="5"/>
        <v>_BODY</v>
      </c>
      <c r="G65" s="382" t="str">
        <f>'Portefeuille SP2'!C71</f>
        <v>SPC_1</v>
      </c>
      <c r="H65" s="382" t="str">
        <f>'Portefeuille SP2'!F71</f>
        <v>Hervet Lambin</v>
      </c>
      <c r="I65" s="382"/>
      <c r="J65" s="382" t="str">
        <f>'Portefeuille SP2'!D71</f>
        <v>BCI_BODY</v>
      </c>
      <c r="K65" s="385" t="str">
        <f>'Portefeuille SP2'!H71</f>
        <v>Door</v>
      </c>
      <c r="L65" s="157">
        <f>'Portefeuille SP2'!U71</f>
        <v>0</v>
      </c>
      <c r="M65" s="386"/>
      <c r="N65" s="386"/>
      <c r="O65" s="386"/>
      <c r="P65" s="400" t="str">
        <f>'Portefeuille SP2'!M71</f>
        <v>TBD</v>
      </c>
      <c r="Q65" s="387"/>
      <c r="R65" s="387" t="str">
        <f>'Portefeuille SP2'!N71</f>
        <v>TBD</v>
      </c>
      <c r="S65" s="387"/>
      <c r="T65" s="382">
        <f>'Portefeuille SP2'!R71</f>
        <v>0</v>
      </c>
      <c r="U65" s="387">
        <f>'Portefeuille SP2'!K71</f>
        <v>0</v>
      </c>
      <c r="V65" s="399">
        <f>'Portefeuille SP2'!S71</f>
        <v>0</v>
      </c>
      <c r="W65" s="387"/>
      <c r="X65" s="387"/>
      <c r="Y65" s="387"/>
      <c r="Z65" s="387"/>
      <c r="AA65" s="387"/>
      <c r="AB65" s="387"/>
      <c r="AC65" s="387"/>
      <c r="AD65" s="387"/>
      <c r="AE65" s="408" t="str">
        <f>'Portefeuille SP2'!J71</f>
        <v>10/10/2025 refusé par le projet
ligne à supprimer</v>
      </c>
      <c r="AF65" s="387"/>
      <c r="AG65" s="387"/>
      <c r="AH65" s="389"/>
      <c r="AI65" s="389"/>
      <c r="AJ65" s="403">
        <f>'Portefeuille SP2'!V71</f>
        <v>0</v>
      </c>
      <c r="AK65" s="403">
        <f>'Portefeuille SP2'!W71</f>
        <v>0</v>
      </c>
      <c r="AL65" s="403">
        <f>'Portefeuille SP2'!X71</f>
        <v>0</v>
      </c>
      <c r="AM65" s="403">
        <f>'Portefeuille SP2'!Y71</f>
        <v>0</v>
      </c>
      <c r="AN65" s="403">
        <f>'Portefeuille SP2'!Z71</f>
        <v>0</v>
      </c>
      <c r="AO65" s="403">
        <f>'Portefeuille SP2'!AA71</f>
        <v>0</v>
      </c>
      <c r="AP65" s="403">
        <f>'Portefeuille SP2'!AB71</f>
        <v>0</v>
      </c>
      <c r="AQ65" s="403">
        <f>'Portefeuille SP2'!AC71</f>
        <v>0</v>
      </c>
      <c r="AR65" s="403">
        <f>'Portefeuille SP2'!AD71</f>
        <v>0</v>
      </c>
      <c r="AS65" s="403">
        <f>'Portefeuille SP2'!AE71</f>
        <v>0</v>
      </c>
      <c r="AT65" s="403">
        <f>'Portefeuille SP2'!AF71</f>
        <v>0</v>
      </c>
      <c r="AU65" s="403">
        <f>'Portefeuille SP2'!AG71</f>
        <v>0</v>
      </c>
      <c r="AV65" s="403">
        <f>'Portefeuille SP2'!AH71</f>
        <v>0</v>
      </c>
      <c r="AW65" s="403">
        <f>'Portefeuille SP2'!AI71</f>
        <v>0</v>
      </c>
      <c r="AX65" s="403">
        <f>'Portefeuille SP2'!AJ71</f>
        <v>0</v>
      </c>
      <c r="AY65" s="403">
        <f>'Portefeuille SP2'!AK71</f>
        <v>0</v>
      </c>
      <c r="AZ65" s="403">
        <f>'Portefeuille SP2'!AL71</f>
        <v>0</v>
      </c>
      <c r="BA65" s="403">
        <f>'Portefeuille SP2'!AM71</f>
        <v>0</v>
      </c>
      <c r="BB65" s="403">
        <f>'Portefeuille SP2'!AN71</f>
        <v>0</v>
      </c>
      <c r="BC65" s="403">
        <f>'Portefeuille SP2'!AO71</f>
        <v>0</v>
      </c>
      <c r="BD65" s="403">
        <f>'Portefeuille SP2'!AP71</f>
        <v>0</v>
      </c>
      <c r="BE65" s="403">
        <f>'Portefeuille SP2'!AQ71</f>
        <v>0</v>
      </c>
      <c r="BF65" s="403">
        <f>'Portefeuille SP2'!AR71</f>
        <v>0</v>
      </c>
      <c r="BG65" s="403" t="e">
        <f>'Portefeuille SP2'!#REF!</f>
        <v>#REF!</v>
      </c>
      <c r="BH65" s="403" t="e">
        <f>'Portefeuille SP2'!#REF!</f>
        <v>#REF!</v>
      </c>
      <c r="BI65" s="403" t="e">
        <f>'Portefeuille SP2'!#REF!</f>
        <v>#REF!</v>
      </c>
      <c r="BJ65" s="403" t="e">
        <f>'Portefeuille SP2'!#REF!</f>
        <v>#REF!</v>
      </c>
      <c r="BK65" s="403" t="e">
        <f>'Portefeuille SP2'!#REF!</f>
        <v>#REF!</v>
      </c>
      <c r="BL65" s="388"/>
      <c r="BM65" s="404">
        <f>'Portefeuille SP2'!L71</f>
        <v>0</v>
      </c>
    </row>
    <row r="66" spans="1:65" ht="15" customHeight="1">
      <c r="A66" s="383" t="str">
        <f>'Portefeuille SP2'!B72</f>
        <v>03/06/2025</v>
      </c>
      <c r="B66" s="390" t="str">
        <f>'Portefeuille SP2'!Q72</f>
        <v>DECIDED</v>
      </c>
      <c r="C66" s="384"/>
      <c r="D66" s="382" t="str">
        <f>'Portefeuille SP2'!E72</f>
        <v>TH</v>
      </c>
      <c r="E66" s="382" t="str">
        <f t="shared" si="0"/>
        <v>INT</v>
      </c>
      <c r="F66" s="382" t="str">
        <f t="shared" si="2"/>
        <v xml:space="preserve"> SEATS/TRIMS</v>
      </c>
      <c r="G66" s="382" t="str">
        <f>'Portefeuille SP2'!C72</f>
        <v>SP1</v>
      </c>
      <c r="H66" s="382" t="str">
        <f>'Portefeuille SP2'!F72</f>
        <v>HALIM</v>
      </c>
      <c r="I66" s="382"/>
      <c r="J66" s="382" t="str">
        <f>'Portefeuille SP2'!D72</f>
        <v>INT - SEATS/TRIMS</v>
      </c>
      <c r="K66" s="385" t="str">
        <f>'Portefeuille SP2'!H72</f>
        <v>P2P</v>
      </c>
      <c r="L66" s="157">
        <f>'Portefeuille SP2'!U72</f>
        <v>0</v>
      </c>
      <c r="M66" s="386"/>
      <c r="N66" s="386"/>
      <c r="O66" s="386"/>
      <c r="P66" s="387">
        <f>'Portefeuille SP2'!M72</f>
        <v>0</v>
      </c>
      <c r="Q66" s="387"/>
      <c r="R66" s="387">
        <f>'Portefeuille SP2'!N72</f>
        <v>0</v>
      </c>
      <c r="S66" s="387"/>
      <c r="T66" s="382">
        <f>'Portefeuille SP2'!R72</f>
        <v>0</v>
      </c>
      <c r="U66" s="387">
        <f>'Portefeuille SP2'!K72</f>
        <v>0</v>
      </c>
      <c r="V66" s="399">
        <f>'Portefeuille SP2'!S72</f>
        <v>0</v>
      </c>
      <c r="W66" s="387"/>
      <c r="X66" s="387"/>
      <c r="Y66" s="387"/>
      <c r="Z66" s="387"/>
      <c r="AA66" s="387"/>
      <c r="AB66" s="387"/>
      <c r="AC66" s="387"/>
      <c r="AD66" s="387"/>
      <c r="AE66" s="400">
        <f>'Portefeuille SP2'!J72</f>
        <v>0</v>
      </c>
      <c r="AF66" s="387"/>
      <c r="AG66" s="387"/>
      <c r="AH66" s="389"/>
      <c r="AI66" s="389"/>
      <c r="AJ66" s="403">
        <f>'Portefeuille SP2'!V72</f>
        <v>1</v>
      </c>
      <c r="AK66" s="403">
        <f>'Portefeuille SP2'!W72</f>
        <v>1</v>
      </c>
      <c r="AL66" s="403">
        <f>'Portefeuille SP2'!X72</f>
        <v>1</v>
      </c>
      <c r="AM66" s="403">
        <f>'Portefeuille SP2'!Y72</f>
        <v>1</v>
      </c>
      <c r="AN66" s="403">
        <f>'Portefeuille SP2'!Z72</f>
        <v>1</v>
      </c>
      <c r="AO66" s="403">
        <f>'Portefeuille SP2'!AA72</f>
        <v>1</v>
      </c>
      <c r="AP66" s="403">
        <f>'Portefeuille SP2'!AB72</f>
        <v>1</v>
      </c>
      <c r="AQ66" s="403">
        <f>'Portefeuille SP2'!AC72</f>
        <v>1</v>
      </c>
      <c r="AR66" s="403">
        <f>'Portefeuille SP2'!AD72</f>
        <v>1</v>
      </c>
      <c r="AS66" s="403">
        <f>'Portefeuille SP2'!AE72</f>
        <v>1</v>
      </c>
      <c r="AT66" s="403">
        <f>'Portefeuille SP2'!AF72</f>
        <v>1</v>
      </c>
      <c r="AU66" s="403">
        <f>'Portefeuille SP2'!AG72</f>
        <v>1</v>
      </c>
      <c r="AV66" s="403">
        <f>'Portefeuille SP2'!AH72</f>
        <v>1</v>
      </c>
      <c r="AW66" s="403">
        <f>'Portefeuille SP2'!AI72</f>
        <v>1</v>
      </c>
      <c r="AX66" s="403">
        <f>'Portefeuille SP2'!AJ72</f>
        <v>1</v>
      </c>
      <c r="AY66" s="403">
        <f>'Portefeuille SP2'!AK72</f>
        <v>1</v>
      </c>
      <c r="AZ66" s="403">
        <f>'Portefeuille SP2'!AL72</f>
        <v>1</v>
      </c>
      <c r="BA66" s="403">
        <f>'Portefeuille SP2'!AM72</f>
        <v>1</v>
      </c>
      <c r="BB66" s="403">
        <f>'Portefeuille SP2'!AN72</f>
        <v>0</v>
      </c>
      <c r="BC66" s="403">
        <f>'Portefeuille SP2'!AO72</f>
        <v>0</v>
      </c>
      <c r="BD66" s="403">
        <f>'Portefeuille SP2'!AP72</f>
        <v>0</v>
      </c>
      <c r="BE66" s="403">
        <f>'Portefeuille SP2'!AQ72</f>
        <v>0</v>
      </c>
      <c r="BF66" s="403">
        <f>'Portefeuille SP2'!AR72</f>
        <v>0</v>
      </c>
      <c r="BG66" s="403" t="e">
        <f>'Portefeuille SP2'!#REF!</f>
        <v>#REF!</v>
      </c>
      <c r="BH66" s="403" t="e">
        <f>'Portefeuille SP2'!#REF!</f>
        <v>#REF!</v>
      </c>
      <c r="BI66" s="403" t="e">
        <f>'Portefeuille SP2'!#REF!</f>
        <v>#REF!</v>
      </c>
      <c r="BJ66" s="403" t="e">
        <f>'Portefeuille SP2'!#REF!</f>
        <v>#REF!</v>
      </c>
      <c r="BK66" s="403" t="e">
        <f>'Portefeuille SP2'!#REF!</f>
        <v>#REF!</v>
      </c>
      <c r="BL66" s="388"/>
      <c r="BM66" s="404" t="str">
        <f>'Portefeuille SP2'!L72</f>
        <v>03/06/2025 CHANTIER MASSE :  Revoir la décli</v>
      </c>
    </row>
    <row r="67" spans="1:65" ht="15" customHeight="1">
      <c r="A67" s="383" t="str">
        <f>'Portefeuille SP2'!B73</f>
        <v>03/06/2025</v>
      </c>
      <c r="B67" s="390" t="str">
        <f>'Portefeuille SP2'!Q73</f>
        <v>CANCELED</v>
      </c>
      <c r="C67" s="384"/>
      <c r="D67" s="382" t="str">
        <f>'Portefeuille SP2'!E73</f>
        <v>TH</v>
      </c>
      <c r="E67" s="382" t="str">
        <f t="shared" si="0"/>
        <v>INT</v>
      </c>
      <c r="F67" s="382" t="str">
        <f t="shared" si="2"/>
        <v xml:space="preserve"> SEATS/TRIMS</v>
      </c>
      <c r="G67" s="382" t="str">
        <f>'Portefeuille SP2'!C73</f>
        <v>SP1</v>
      </c>
      <c r="H67" s="382">
        <f>'Portefeuille SP2'!F73</f>
        <v>0</v>
      </c>
      <c r="I67" s="382"/>
      <c r="J67" s="382" t="str">
        <f>'Portefeuille SP2'!D73</f>
        <v>INT - SEATS/TRIMS</v>
      </c>
      <c r="K67" s="385">
        <f>'Portefeuille SP2'!H73</f>
        <v>0</v>
      </c>
      <c r="L67" s="157">
        <f>'Portefeuille SP2'!U73</f>
        <v>-0.17499999999999999</v>
      </c>
      <c r="M67" s="386"/>
      <c r="N67" s="386"/>
      <c r="O67" s="386"/>
      <c r="P67" s="387">
        <f>'Portefeuille SP2'!M73</f>
        <v>0</v>
      </c>
      <c r="Q67" s="387"/>
      <c r="R67" s="387">
        <f>'Portefeuille SP2'!N73</f>
        <v>0</v>
      </c>
      <c r="S67" s="387"/>
      <c r="T67" s="382">
        <f>'Portefeuille SP2'!R73</f>
        <v>0</v>
      </c>
      <c r="U67" s="387">
        <f>'Portefeuille SP2'!K73</f>
        <v>0</v>
      </c>
      <c r="V67" s="399">
        <f>'Portefeuille SP2'!S73</f>
        <v>0.25</v>
      </c>
      <c r="W67" s="387"/>
      <c r="X67" s="387"/>
      <c r="Y67" s="387"/>
      <c r="Z67" s="387"/>
      <c r="AA67" s="387"/>
      <c r="AB67" s="387"/>
      <c r="AC67" s="387"/>
      <c r="AD67" s="387"/>
      <c r="AE67" s="400">
        <f>'Portefeuille SP2'!J73</f>
        <v>0</v>
      </c>
      <c r="AF67" s="387"/>
      <c r="AG67" s="387"/>
      <c r="AH67" s="389"/>
      <c r="AI67" s="389"/>
      <c r="AJ67" s="403">
        <f>'Portefeuille SP2'!V73</f>
        <v>1</v>
      </c>
      <c r="AK67" s="403">
        <f>'Portefeuille SP2'!W73</f>
        <v>1</v>
      </c>
      <c r="AL67" s="403">
        <f>'Portefeuille SP2'!X73</f>
        <v>1</v>
      </c>
      <c r="AM67" s="403">
        <f>'Portefeuille SP2'!Y73</f>
        <v>1</v>
      </c>
      <c r="AN67" s="403">
        <f>'Portefeuille SP2'!Z73</f>
        <v>1</v>
      </c>
      <c r="AO67" s="403">
        <f>'Portefeuille SP2'!AA73</f>
        <v>1</v>
      </c>
      <c r="AP67" s="403">
        <f>'Portefeuille SP2'!AB73</f>
        <v>1</v>
      </c>
      <c r="AQ67" s="403">
        <f>'Portefeuille SP2'!AC73</f>
        <v>1</v>
      </c>
      <c r="AR67" s="403">
        <f>'Portefeuille SP2'!AD73</f>
        <v>1</v>
      </c>
      <c r="AS67" s="403">
        <f>'Portefeuille SP2'!AE73</f>
        <v>1</v>
      </c>
      <c r="AT67" s="403">
        <f>'Portefeuille SP2'!AF73</f>
        <v>1</v>
      </c>
      <c r="AU67" s="403">
        <f>'Portefeuille SP2'!AG73</f>
        <v>1</v>
      </c>
      <c r="AV67" s="403">
        <f>'Portefeuille SP2'!AH73</f>
        <v>1</v>
      </c>
      <c r="AW67" s="403">
        <f>'Portefeuille SP2'!AI73</f>
        <v>1</v>
      </c>
      <c r="AX67" s="403">
        <f>'Portefeuille SP2'!AJ73</f>
        <v>1</v>
      </c>
      <c r="AY67" s="403">
        <f>'Portefeuille SP2'!AK73</f>
        <v>1</v>
      </c>
      <c r="AZ67" s="403">
        <f>'Portefeuille SP2'!AL73</f>
        <v>1</v>
      </c>
      <c r="BA67" s="403">
        <f>'Portefeuille SP2'!AM73</f>
        <v>1</v>
      </c>
      <c r="BB67" s="403">
        <f>'Portefeuille SP2'!AN73</f>
        <v>1</v>
      </c>
      <c r="BC67" s="403">
        <f>'Portefeuille SP2'!AO73</f>
        <v>1</v>
      </c>
      <c r="BD67" s="403">
        <f>'Portefeuille SP2'!AP73</f>
        <v>1</v>
      </c>
      <c r="BE67" s="403">
        <f>'Portefeuille SP2'!AQ73</f>
        <v>1</v>
      </c>
      <c r="BF67" s="403">
        <f>'Portefeuille SP2'!AR73</f>
        <v>1</v>
      </c>
      <c r="BG67" s="403" t="e">
        <f>'Portefeuille SP2'!#REF!</f>
        <v>#REF!</v>
      </c>
      <c r="BH67" s="403" t="e">
        <f>'Portefeuille SP2'!#REF!</f>
        <v>#REF!</v>
      </c>
      <c r="BI67" s="403" t="e">
        <f>'Portefeuille SP2'!#REF!</f>
        <v>#REF!</v>
      </c>
      <c r="BJ67" s="403" t="e">
        <f>'Portefeuille SP2'!#REF!</f>
        <v>#REF!</v>
      </c>
      <c r="BK67" s="403" t="e">
        <f>'Portefeuille SP2'!#REF!</f>
        <v>#REF!</v>
      </c>
      <c r="BL67" s="388"/>
      <c r="BM67" s="404" t="str">
        <f>'Portefeuille SP2'!L73</f>
        <v>03/06/2025 CHANTIER MASSE : Supprimer les supports du TT &gt; Impact sur la diversité des GLC</v>
      </c>
    </row>
    <row r="68" spans="1:65" ht="15" customHeight="1">
      <c r="A68" s="383">
        <f>'Portefeuille SP2'!B74</f>
        <v>45940</v>
      </c>
      <c r="B68" s="390" t="str">
        <f>'Portefeuille SP2'!Q74</f>
        <v>IN PROGRESS</v>
      </c>
      <c r="C68" s="384"/>
      <c r="D68" s="382" t="str">
        <f>'Portefeuille SP2'!E74</f>
        <v>TH</v>
      </c>
      <c r="E68" s="382" t="str">
        <f t="shared" si="0"/>
        <v>DIW</v>
      </c>
      <c r="F68" s="382" t="str">
        <f t="shared" ref="F68:F70" si="6">MID(J68, 4, 20)</f>
        <v/>
      </c>
      <c r="G68" s="382" t="str">
        <f>'Portefeuille SP2'!C74</f>
        <v>SPC_1</v>
      </c>
      <c r="H68" s="382" t="str">
        <f>'Portefeuille SP2'!F74</f>
        <v>Damien Demougeot/
Hervet Lambin</v>
      </c>
      <c r="I68" s="382"/>
      <c r="J68" s="382" t="str">
        <f>'Portefeuille SP2'!D74</f>
        <v>DIW</v>
      </c>
      <c r="K68" s="385" t="str">
        <f>'Portefeuille SP2'!H74</f>
        <v>Door</v>
      </c>
      <c r="L68" s="157">
        <f>'Portefeuille SP2'!U74</f>
        <v>-1.5</v>
      </c>
      <c r="M68" s="386"/>
      <c r="N68" s="386"/>
      <c r="O68" s="386"/>
      <c r="P68" s="400" t="str">
        <f>'Portefeuille SP2'!M74</f>
        <v>TBD</v>
      </c>
      <c r="Q68" s="387"/>
      <c r="R68" s="387" t="str">
        <f>'Portefeuille SP2'!N74</f>
        <v>TBD</v>
      </c>
      <c r="S68" s="387"/>
      <c r="T68" s="382">
        <f>'Portefeuille SP2'!R74</f>
        <v>0</v>
      </c>
      <c r="U68" s="387">
        <f>'Portefeuille SP2'!K74</f>
        <v>0</v>
      </c>
      <c r="V68" s="399">
        <f>'Portefeuille SP2'!S74</f>
        <v>1</v>
      </c>
      <c r="W68" s="387"/>
      <c r="X68" s="387"/>
      <c r="Y68" s="387"/>
      <c r="Z68" s="387"/>
      <c r="AA68" s="387"/>
      <c r="AB68" s="387"/>
      <c r="AC68" s="387"/>
      <c r="AD68" s="387"/>
      <c r="AE68" s="408" t="str">
        <f>'Portefeuille SP2'!J74</f>
        <v xml:space="preserve">13/03/2026 LM en cours d'application
20/02/2026 LM - application non confirmé en CW 08_26
06/02/2026 LM - Réunion pour validation de l'application en CW 07_26
24/10/2025 Après calcul par le métier, pas de gain masse sur cet item - sujet stain by
10/10/2025 à reboucler avec Herve Lambin </v>
      </c>
      <c r="AF68" s="387"/>
      <c r="AG68" s="387"/>
      <c r="AH68" s="389"/>
      <c r="AI68" s="389"/>
      <c r="AJ68" s="403">
        <f>'Portefeuille SP2'!V74</f>
        <v>0</v>
      </c>
      <c r="AK68" s="403">
        <f>'Portefeuille SP2'!W74</f>
        <v>0</v>
      </c>
      <c r="AL68" s="403">
        <f>'Portefeuille SP2'!X74</f>
        <v>0</v>
      </c>
      <c r="AM68" s="403">
        <f>'Portefeuille SP2'!Y74</f>
        <v>0</v>
      </c>
      <c r="AN68" s="403">
        <f>'Portefeuille SP2'!Z74</f>
        <v>0</v>
      </c>
      <c r="AO68" s="403">
        <f>'Portefeuille SP2'!AA74</f>
        <v>0</v>
      </c>
      <c r="AP68" s="403">
        <f>'Portefeuille SP2'!AB74</f>
        <v>0</v>
      </c>
      <c r="AQ68" s="403">
        <f>'Portefeuille SP2'!AC74</f>
        <v>0</v>
      </c>
      <c r="AR68" s="403">
        <f>'Portefeuille SP2'!AD74</f>
        <v>0</v>
      </c>
      <c r="AS68" s="403">
        <f>'Portefeuille SP2'!AE74</f>
        <v>0</v>
      </c>
      <c r="AT68" s="403">
        <f>'Portefeuille SP2'!AF74</f>
        <v>0</v>
      </c>
      <c r="AU68" s="403">
        <f>'Portefeuille SP2'!AG74</f>
        <v>0</v>
      </c>
      <c r="AV68" s="403">
        <f>'Portefeuille SP2'!AH74</f>
        <v>0</v>
      </c>
      <c r="AW68" s="403">
        <f>'Portefeuille SP2'!AI74</f>
        <v>0</v>
      </c>
      <c r="AX68" s="403">
        <f>'Portefeuille SP2'!AJ74</f>
        <v>0</v>
      </c>
      <c r="AY68" s="403">
        <f>'Portefeuille SP2'!AK74</f>
        <v>0</v>
      </c>
      <c r="AZ68" s="403">
        <f>'Portefeuille SP2'!AL74</f>
        <v>0</v>
      </c>
      <c r="BA68" s="403">
        <f>'Portefeuille SP2'!AM74</f>
        <v>0</v>
      </c>
      <c r="BB68" s="403">
        <f>'Portefeuille SP2'!AN74</f>
        <v>1</v>
      </c>
      <c r="BC68" s="403">
        <f>'Portefeuille SP2'!AO74</f>
        <v>1</v>
      </c>
      <c r="BD68" s="403">
        <f>'Portefeuille SP2'!AP74</f>
        <v>1</v>
      </c>
      <c r="BE68" s="403">
        <f>'Portefeuille SP2'!AQ74</f>
        <v>1</v>
      </c>
      <c r="BF68" s="403">
        <f>'Portefeuille SP2'!AR74</f>
        <v>1</v>
      </c>
      <c r="BG68" s="403" t="e">
        <f>'Portefeuille SP2'!#REF!</f>
        <v>#REF!</v>
      </c>
      <c r="BH68" s="403" t="e">
        <f>'Portefeuille SP2'!#REF!</f>
        <v>#REF!</v>
      </c>
      <c r="BI68" s="403" t="e">
        <f>'Portefeuille SP2'!#REF!</f>
        <v>#REF!</v>
      </c>
      <c r="BJ68" s="403" t="e">
        <f>'Portefeuille SP2'!#REF!</f>
        <v>#REF!</v>
      </c>
      <c r="BK68" s="403" t="e">
        <f>'Portefeuille SP2'!#REF!</f>
        <v>#REF!</v>
      </c>
      <c r="BL68" s="388"/>
      <c r="BM68" s="404">
        <f>'Portefeuille SP2'!L74</f>
        <v>0</v>
      </c>
    </row>
    <row r="69" spans="1:65" ht="15" customHeight="1">
      <c r="A69" s="383" t="str">
        <f>'Portefeuille SP2'!B75</f>
        <v>11/06/2025</v>
      </c>
      <c r="B69" s="390" t="str">
        <f>'Portefeuille SP2'!Q75</f>
        <v>DECIDED</v>
      </c>
      <c r="C69" s="384"/>
      <c r="D69" s="382" t="str">
        <f>'Portefeuille SP2'!E75</f>
        <v>TH</v>
      </c>
      <c r="E69" s="382" t="str">
        <f t="shared" si="0"/>
        <v>DIW</v>
      </c>
      <c r="F69" s="382" t="str">
        <f t="shared" si="6"/>
        <v/>
      </c>
      <c r="G69" s="382" t="str">
        <f>'Portefeuille SP2'!C75</f>
        <v>SPC_1</v>
      </c>
      <c r="H69" s="382" t="str">
        <f>'Portefeuille SP2'!F75</f>
        <v>Hervet Lambin</v>
      </c>
      <c r="I69" s="382"/>
      <c r="J69" s="382" t="str">
        <f>'Portefeuille SP2'!D75</f>
        <v>DIW</v>
      </c>
      <c r="K69" s="385" t="str">
        <f>'Portefeuille SP2'!H75</f>
        <v>BIW/ DIW process</v>
      </c>
      <c r="L69" s="157">
        <f>'Portefeuille SP2'!U75</f>
        <v>0</v>
      </c>
      <c r="M69" s="386"/>
      <c r="N69" s="386"/>
      <c r="O69" s="386"/>
      <c r="P69" s="400">
        <f>'Portefeuille SP2'!M75</f>
        <v>0</v>
      </c>
      <c r="Q69" s="387"/>
      <c r="R69" s="387">
        <f>'Portefeuille SP2'!N75</f>
        <v>0</v>
      </c>
      <c r="S69" s="387"/>
      <c r="T69" s="382">
        <f>'Portefeuille SP2'!R75</f>
        <v>0</v>
      </c>
      <c r="U69" s="387">
        <f>'Portefeuille SP2'!K75</f>
        <v>0</v>
      </c>
      <c r="V69" s="399">
        <f>'Portefeuille SP2'!S75</f>
        <v>0</v>
      </c>
      <c r="W69" s="387"/>
      <c r="X69" s="387"/>
      <c r="Y69" s="387"/>
      <c r="Z69" s="387"/>
      <c r="AA69" s="387"/>
      <c r="AB69" s="387"/>
      <c r="AC69" s="387"/>
      <c r="AD69" s="387"/>
      <c r="AE69" s="408" t="str">
        <f>'Portefeuille SP2'!J75</f>
        <v>06/02/2026 LM
sujet déjà appliqué sur SPC_1
sujet à supprimer
10/10/2025 à reboucler avec Herve Lambin 
question à revérifier pour SPC-1</v>
      </c>
      <c r="AF69" s="387"/>
      <c r="AG69" s="387"/>
      <c r="AH69" s="389"/>
      <c r="AI69" s="389"/>
      <c r="AJ69" s="403">
        <f>'Portefeuille SP2'!V75</f>
        <v>1</v>
      </c>
      <c r="AK69" s="403">
        <f>'Portefeuille SP2'!W75</f>
        <v>1</v>
      </c>
      <c r="AL69" s="403">
        <f>'Portefeuille SP2'!X75</f>
        <v>1</v>
      </c>
      <c r="AM69" s="403">
        <f>'Portefeuille SP2'!Y75</f>
        <v>1</v>
      </c>
      <c r="AN69" s="403">
        <f>'Portefeuille SP2'!Z75</f>
        <v>1</v>
      </c>
      <c r="AO69" s="403">
        <f>'Portefeuille SP2'!AA75</f>
        <v>1</v>
      </c>
      <c r="AP69" s="403">
        <f>'Portefeuille SP2'!AB75</f>
        <v>1</v>
      </c>
      <c r="AQ69" s="403">
        <f>'Portefeuille SP2'!AC75</f>
        <v>1</v>
      </c>
      <c r="AR69" s="403">
        <f>'Portefeuille SP2'!AD75</f>
        <v>1</v>
      </c>
      <c r="AS69" s="403">
        <f>'Portefeuille SP2'!AE75</f>
        <v>1</v>
      </c>
      <c r="AT69" s="403">
        <f>'Portefeuille SP2'!AF75</f>
        <v>1</v>
      </c>
      <c r="AU69" s="403">
        <f>'Portefeuille SP2'!AG75</f>
        <v>1</v>
      </c>
      <c r="AV69" s="403">
        <f>'Portefeuille SP2'!AH75</f>
        <v>1</v>
      </c>
      <c r="AW69" s="403">
        <f>'Portefeuille SP2'!AI75</f>
        <v>1</v>
      </c>
      <c r="AX69" s="403">
        <f>'Portefeuille SP2'!AJ75</f>
        <v>1</v>
      </c>
      <c r="AY69" s="403">
        <f>'Portefeuille SP2'!AK75</f>
        <v>1</v>
      </c>
      <c r="AZ69" s="403">
        <f>'Portefeuille SP2'!AL75</f>
        <v>1</v>
      </c>
      <c r="BA69" s="403">
        <f>'Portefeuille SP2'!AM75</f>
        <v>1</v>
      </c>
      <c r="BB69" s="403">
        <f>'Portefeuille SP2'!AN75</f>
        <v>1</v>
      </c>
      <c r="BC69" s="403">
        <f>'Portefeuille SP2'!AO75</f>
        <v>1</v>
      </c>
      <c r="BD69" s="403">
        <f>'Portefeuille SP2'!AP75</f>
        <v>1</v>
      </c>
      <c r="BE69" s="403">
        <f>'Portefeuille SP2'!AQ75</f>
        <v>1</v>
      </c>
      <c r="BF69" s="403">
        <f>'Portefeuille SP2'!AR75</f>
        <v>1</v>
      </c>
      <c r="BG69" s="403" t="e">
        <f>'Portefeuille SP2'!#REF!</f>
        <v>#REF!</v>
      </c>
      <c r="BH69" s="403" t="e">
        <f>'Portefeuille SP2'!#REF!</f>
        <v>#REF!</v>
      </c>
      <c r="BI69" s="403" t="e">
        <f>'Portefeuille SP2'!#REF!</f>
        <v>#REF!</v>
      </c>
      <c r="BJ69" s="403" t="e">
        <f>'Portefeuille SP2'!#REF!</f>
        <v>#REF!</v>
      </c>
      <c r="BK69" s="403" t="e">
        <f>'Portefeuille SP2'!#REF!</f>
        <v>#REF!</v>
      </c>
      <c r="BL69" s="388"/>
      <c r="BM69" s="404" t="str">
        <f>'Portefeuille SP2'!L75</f>
        <v>02/07/2025 CANCELLED : Ep.mini déjà atteinte (chgt de matière possible mais aurait nécessité une dimintution d'épasisseur)
11/06/2025 A ré-évaluer
04/11/2024 Idem post Go-Calcul SYNC3
08/07/2024 Retour calcul SYNC3 (Go calcul Nov =&gt; 2025?)
Pièce en Embout à chaud</v>
      </c>
    </row>
    <row r="70" spans="1:65" ht="15" customHeight="1">
      <c r="A70" s="383">
        <f>'Portefeuille SP2'!B76</f>
        <v>45536</v>
      </c>
      <c r="B70" s="390" t="str">
        <f>'Portefeuille SP2'!Q76</f>
        <v>DECIDED</v>
      </c>
      <c r="C70" s="384"/>
      <c r="D70" s="382" t="str">
        <f>'Portefeuille SP2'!E76</f>
        <v>TH</v>
      </c>
      <c r="E70" s="382" t="str">
        <f t="shared" si="0"/>
        <v>DIW</v>
      </c>
      <c r="F70" s="382" t="str">
        <f t="shared" si="6"/>
        <v/>
      </c>
      <c r="G70" s="382" t="str">
        <f>'Portefeuille SP2'!C76</f>
        <v>SPC_1</v>
      </c>
      <c r="H70" s="382" t="str">
        <f>'Portefeuille SP2'!F76</f>
        <v>Hervet Lambin</v>
      </c>
      <c r="I70" s="382"/>
      <c r="J70" s="382" t="str">
        <f>'Portefeuille SP2'!D76</f>
        <v>DIW</v>
      </c>
      <c r="K70" s="385" t="str">
        <f>'Portefeuille SP2'!H76</f>
        <v>Hot Stamping lat reinfor</v>
      </c>
      <c r="L70" s="157">
        <f>'Portefeuille SP2'!U76</f>
        <v>0</v>
      </c>
      <c r="M70" s="386"/>
      <c r="N70" s="386"/>
      <c r="O70" s="386"/>
      <c r="P70" s="400">
        <f>'Portefeuille SP2'!M76</f>
        <v>104</v>
      </c>
      <c r="Q70" s="387"/>
      <c r="R70" s="387">
        <f>'Portefeuille SP2'!N76</f>
        <v>-0.8</v>
      </c>
      <c r="S70" s="387"/>
      <c r="T70" s="382" t="str">
        <f>'Portefeuille SP2'!R76</f>
        <v>TBD</v>
      </c>
      <c r="U70" s="387" t="str">
        <f>'Portefeuille SP2'!K76</f>
        <v>PM-CM</v>
      </c>
      <c r="V70" s="399">
        <f>'Portefeuille SP2'!S76</f>
        <v>0</v>
      </c>
      <c r="W70" s="387"/>
      <c r="X70" s="387"/>
      <c r="Y70" s="387"/>
      <c r="Z70" s="387"/>
      <c r="AA70" s="387"/>
      <c r="AB70" s="387"/>
      <c r="AC70" s="387"/>
      <c r="AD70" s="387"/>
      <c r="AE70" s="408" t="str">
        <f>'Portefeuille SP2'!J76</f>
        <v>06/02/2026 LM
sujet déjà appliqué sur SPC_1
sujet à supprimer
10/10/2025 à reboucler avec Herve Lambin 
question à revérifier pour SPC-1</v>
      </c>
      <c r="AF70" s="387"/>
      <c r="AG70" s="387"/>
      <c r="AH70" s="389"/>
      <c r="AI70" s="389"/>
      <c r="AJ70" s="403">
        <f>'Portefeuille SP2'!V76</f>
        <v>0</v>
      </c>
      <c r="AK70" s="403">
        <f>'Portefeuille SP2'!W76</f>
        <v>0</v>
      </c>
      <c r="AL70" s="403">
        <f>'Portefeuille SP2'!X76</f>
        <v>0</v>
      </c>
      <c r="AM70" s="403">
        <f>'Portefeuille SP2'!Y76</f>
        <v>1</v>
      </c>
      <c r="AN70" s="403">
        <f>'Portefeuille SP2'!Z76</f>
        <v>1</v>
      </c>
      <c r="AO70" s="403">
        <f>'Portefeuille SP2'!AA76</f>
        <v>0</v>
      </c>
      <c r="AP70" s="403">
        <f>'Portefeuille SP2'!AB76</f>
        <v>0</v>
      </c>
      <c r="AQ70" s="403">
        <f>'Portefeuille SP2'!AC76</f>
        <v>1</v>
      </c>
      <c r="AR70" s="403">
        <f>'Portefeuille SP2'!AD76</f>
        <v>1</v>
      </c>
      <c r="AS70" s="403">
        <f>'Portefeuille SP2'!AE76</f>
        <v>0</v>
      </c>
      <c r="AT70" s="403">
        <f>'Portefeuille SP2'!AF76</f>
        <v>0</v>
      </c>
      <c r="AU70" s="403">
        <f>'Portefeuille SP2'!AG76</f>
        <v>0</v>
      </c>
      <c r="AV70" s="403">
        <f>'Portefeuille SP2'!AH76</f>
        <v>1</v>
      </c>
      <c r="AW70" s="403">
        <f>'Portefeuille SP2'!AI76</f>
        <v>1</v>
      </c>
      <c r="AX70" s="403">
        <f>'Portefeuille SP2'!AJ76</f>
        <v>0</v>
      </c>
      <c r="AY70" s="403">
        <f>'Portefeuille SP2'!AK76</f>
        <v>0</v>
      </c>
      <c r="AZ70" s="403">
        <f>'Portefeuille SP2'!AL76</f>
        <v>1</v>
      </c>
      <c r="BA70" s="403">
        <f>'Portefeuille SP2'!AM76</f>
        <v>1</v>
      </c>
      <c r="BB70" s="403">
        <f>'Portefeuille SP2'!AN76</f>
        <v>0</v>
      </c>
      <c r="BC70" s="403">
        <f>'Portefeuille SP2'!AO76</f>
        <v>0</v>
      </c>
      <c r="BD70" s="403">
        <f>'Portefeuille SP2'!AP76</f>
        <v>0</v>
      </c>
      <c r="BE70" s="403">
        <f>'Portefeuille SP2'!AQ76</f>
        <v>1</v>
      </c>
      <c r="BF70" s="403">
        <f>'Portefeuille SP2'!AR76</f>
        <v>1</v>
      </c>
      <c r="BG70" s="403" t="e">
        <f>'Portefeuille SP2'!#REF!</f>
        <v>#REF!</v>
      </c>
      <c r="BH70" s="403" t="e">
        <f>'Portefeuille SP2'!#REF!</f>
        <v>#REF!</v>
      </c>
      <c r="BI70" s="403" t="e">
        <f>'Portefeuille SP2'!#REF!</f>
        <v>#REF!</v>
      </c>
      <c r="BJ70" s="403" t="e">
        <f>'Portefeuille SP2'!#REF!</f>
        <v>#REF!</v>
      </c>
      <c r="BK70" s="403" t="e">
        <f>'Portefeuille SP2'!#REF!</f>
        <v>#REF!</v>
      </c>
      <c r="BL70" s="388"/>
      <c r="BM70" s="404">
        <f>'Portefeuille SP2'!L76</f>
        <v>0</v>
      </c>
    </row>
    <row r="71" spans="1:65" ht="15" customHeight="1">
      <c r="A71" s="383">
        <f>'Portefeuille SP2'!B77</f>
        <v>45758</v>
      </c>
      <c r="B71" s="390" t="str">
        <f>'Portefeuille SP2'!Q77</f>
        <v>CANCELED</v>
      </c>
      <c r="C71" s="384"/>
      <c r="D71" s="382" t="str">
        <f>'Portefeuille SP2'!E77</f>
        <v>PTF</v>
      </c>
      <c r="E71" s="382" t="str">
        <f t="shared" si="0"/>
        <v>BCI</v>
      </c>
      <c r="F71" s="382" t="str">
        <f t="shared" si="2"/>
        <v>HASSIS</v>
      </c>
      <c r="G71" s="382" t="str">
        <f>'Portefeuille SP2'!C77</f>
        <v>SP2</v>
      </c>
      <c r="H71" s="382">
        <f>'Portefeuille SP2'!F77</f>
        <v>0</v>
      </c>
      <c r="I71" s="382"/>
      <c r="J71" s="382" t="str">
        <f>'Portefeuille SP2'!D77</f>
        <v>BCI_CHASSIS</v>
      </c>
      <c r="K71" s="385" t="str">
        <f>'Portefeuille SP2'!H77</f>
        <v>Longitudinal member</v>
      </c>
      <c r="L71" s="157">
        <f>'Portefeuille SP2'!U77</f>
        <v>-1</v>
      </c>
      <c r="M71" s="386"/>
      <c r="N71" s="386"/>
      <c r="O71" s="386"/>
      <c r="P71" s="387">
        <f>'Portefeuille SP2'!M77</f>
        <v>0</v>
      </c>
      <c r="Q71" s="387"/>
      <c r="R71" s="387">
        <f>'Portefeuille SP2'!N77</f>
        <v>40</v>
      </c>
      <c r="S71" s="387"/>
      <c r="T71" s="382" t="str">
        <f>'Portefeuille SP2'!R77</f>
        <v>TBD</v>
      </c>
      <c r="U71" s="387">
        <f>'Portefeuille SP2'!K77</f>
        <v>0</v>
      </c>
      <c r="V71" s="399">
        <f>'Portefeuille SP2'!S77</f>
        <v>1</v>
      </c>
      <c r="W71" s="387"/>
      <c r="X71" s="387"/>
      <c r="Y71" s="387"/>
      <c r="Z71" s="387"/>
      <c r="AA71" s="387"/>
      <c r="AB71" s="387"/>
      <c r="AC71" s="387"/>
      <c r="AD71" s="387"/>
      <c r="AE71" s="400">
        <f>'Portefeuille SP2'!J77</f>
        <v>0</v>
      </c>
      <c r="AF71" s="387"/>
      <c r="AG71" s="387"/>
      <c r="AH71" s="389"/>
      <c r="AI71" s="389"/>
      <c r="AJ71" s="403">
        <f>'Portefeuille SP2'!V77</f>
        <v>1</v>
      </c>
      <c r="AK71" s="403">
        <f>'Portefeuille SP2'!W77</f>
        <v>1</v>
      </c>
      <c r="AL71" s="403">
        <f>'Portefeuille SP2'!X77</f>
        <v>1</v>
      </c>
      <c r="AM71" s="403">
        <f>'Portefeuille SP2'!Y77</f>
        <v>0</v>
      </c>
      <c r="AN71" s="403">
        <f>'Portefeuille SP2'!Z77</f>
        <v>0</v>
      </c>
      <c r="AO71" s="403">
        <f>'Portefeuille SP2'!AA77</f>
        <v>0</v>
      </c>
      <c r="AP71" s="403">
        <f>'Portefeuille SP2'!AB77</f>
        <v>0</v>
      </c>
      <c r="AQ71" s="403">
        <f>'Portefeuille SP2'!AC77</f>
        <v>0</v>
      </c>
      <c r="AR71" s="403">
        <f>'Portefeuille SP2'!AD77</f>
        <v>0</v>
      </c>
      <c r="AS71" s="403">
        <f>'Portefeuille SP2'!AE77</f>
        <v>1</v>
      </c>
      <c r="AT71" s="403">
        <f>'Portefeuille SP2'!AF77</f>
        <v>1</v>
      </c>
      <c r="AU71" s="403">
        <f>'Portefeuille SP2'!AG77</f>
        <v>1</v>
      </c>
      <c r="AV71" s="403">
        <f>'Portefeuille SP2'!AH77</f>
        <v>0</v>
      </c>
      <c r="AW71" s="403">
        <f>'Portefeuille SP2'!AI77</f>
        <v>0</v>
      </c>
      <c r="AX71" s="403">
        <f>'Portefeuille SP2'!AJ77</f>
        <v>0</v>
      </c>
      <c r="AY71" s="403">
        <f>'Portefeuille SP2'!AK77</f>
        <v>0</v>
      </c>
      <c r="AZ71" s="403">
        <f>'Portefeuille SP2'!AL77</f>
        <v>0</v>
      </c>
      <c r="BA71" s="403">
        <f>'Portefeuille SP2'!AM77</f>
        <v>0</v>
      </c>
      <c r="BB71" s="403">
        <f>'Portefeuille SP2'!AN77</f>
        <v>0</v>
      </c>
      <c r="BC71" s="403">
        <f>'Portefeuille SP2'!AO77</f>
        <v>0</v>
      </c>
      <c r="BD71" s="403">
        <f>'Portefeuille SP2'!AP77</f>
        <v>0</v>
      </c>
      <c r="BE71" s="403">
        <f>'Portefeuille SP2'!AQ77</f>
        <v>1</v>
      </c>
      <c r="BF71" s="403">
        <f>'Portefeuille SP2'!AR77</f>
        <v>0</v>
      </c>
      <c r="BG71" s="403" t="e">
        <f>'Portefeuille SP2'!#REF!</f>
        <v>#REF!</v>
      </c>
      <c r="BH71" s="403" t="e">
        <f>'Portefeuille SP2'!#REF!</f>
        <v>#REF!</v>
      </c>
      <c r="BI71" s="403" t="e">
        <f>'Portefeuille SP2'!#REF!</f>
        <v>#REF!</v>
      </c>
      <c r="BJ71" s="403" t="e">
        <f>'Portefeuille SP2'!#REF!</f>
        <v>#REF!</v>
      </c>
      <c r="BK71" s="403" t="e">
        <f>'Portefeuille SP2'!#REF!</f>
        <v>#REF!</v>
      </c>
      <c r="BL71" s="388"/>
      <c r="BM71" s="404" t="str">
        <f>'Portefeuille SP2'!L77</f>
        <v>14/03/2024 : Workshop mass</v>
      </c>
    </row>
    <row r="72" spans="1:65" ht="15" customHeight="1">
      <c r="A72" s="383" t="str">
        <f>'Portefeuille SP2'!B78</f>
        <v>06/06/2025</v>
      </c>
      <c r="B72" s="390" t="str">
        <f>'Portefeuille SP2'!Q78</f>
        <v>CANCELED</v>
      </c>
      <c r="C72" s="384"/>
      <c r="D72" s="382" t="str">
        <f>'Portefeuille SP2'!E78</f>
        <v>TH</v>
      </c>
      <c r="E72" s="382" t="str">
        <f t="shared" si="0"/>
        <v>INT</v>
      </c>
      <c r="F72" s="382" t="str">
        <f>MID(J72, 4, 20)</f>
        <v xml:space="preserve"> - SEATS/TRIMS</v>
      </c>
      <c r="G72" s="382" t="str">
        <f>'Portefeuille SP2'!C78</f>
        <v>SP1</v>
      </c>
      <c r="H72" s="382" t="str">
        <f>'Portefeuille SP2'!F78</f>
        <v>HALIM</v>
      </c>
      <c r="I72" s="428" t="s">
        <v>1212</v>
      </c>
      <c r="J72" s="382" t="str">
        <f>'Portefeuille SP2'!D78</f>
        <v>INT - SEATS/TRIMS</v>
      </c>
      <c r="K72" s="385" t="str">
        <f>'Portefeuille SP2'!H78</f>
        <v>Trunk soundproofing (Rds)</v>
      </c>
      <c r="L72" s="157">
        <f>'Portefeuille SP2'!U78</f>
        <v>-3.7499999999999999E-2</v>
      </c>
      <c r="M72" s="386"/>
      <c r="N72" s="386"/>
      <c r="O72" s="386"/>
      <c r="P72" s="400">
        <f>'Portefeuille SP2'!M78</f>
        <v>0</v>
      </c>
      <c r="Q72" s="387"/>
      <c r="R72" s="387">
        <f>'Portefeuille SP2'!N78</f>
        <v>0</v>
      </c>
      <c r="S72" s="387"/>
      <c r="T72" s="382">
        <f>'Portefeuille SP2'!R78</f>
        <v>0</v>
      </c>
      <c r="U72" s="387" t="str">
        <f>'Portefeuille SP2'!K78</f>
        <v>SFM</v>
      </c>
      <c r="V72" s="399">
        <f>'Portefeuille SP2'!S78</f>
        <v>0.25</v>
      </c>
      <c r="W72" s="387"/>
      <c r="X72" s="387"/>
      <c r="Y72" s="387"/>
      <c r="Z72" s="387"/>
      <c r="AA72" s="387"/>
      <c r="AB72" s="387"/>
      <c r="AC72" s="387"/>
      <c r="AD72" s="387"/>
      <c r="AE72" s="408" t="str">
        <f>'Portefeuille SP2'!J78</f>
        <v>02/03/2026 LM à Supprimer car non appliqué sur P3U
24/06/2025 à checker en RFQ avec les FNR</v>
      </c>
      <c r="AF72" s="387"/>
      <c r="AG72" s="387"/>
      <c r="AH72" s="389"/>
      <c r="AI72" s="389"/>
      <c r="AJ72" s="403">
        <f>'Portefeuille SP2'!V78</f>
        <v>1</v>
      </c>
      <c r="AK72" s="403">
        <f>'Portefeuille SP2'!W78</f>
        <v>1</v>
      </c>
      <c r="AL72" s="403">
        <f>'Portefeuille SP2'!X78</f>
        <v>1</v>
      </c>
      <c r="AM72" s="403">
        <f>'Portefeuille SP2'!Y78</f>
        <v>1</v>
      </c>
      <c r="AN72" s="403">
        <f>'Portefeuille SP2'!Z78</f>
        <v>1</v>
      </c>
      <c r="AO72" s="403">
        <f>'Portefeuille SP2'!AA78</f>
        <v>1</v>
      </c>
      <c r="AP72" s="403">
        <f>'Portefeuille SP2'!AB78</f>
        <v>1</v>
      </c>
      <c r="AQ72" s="403">
        <f>'Portefeuille SP2'!AC78</f>
        <v>1</v>
      </c>
      <c r="AR72" s="403">
        <f>'Portefeuille SP2'!AD78</f>
        <v>1</v>
      </c>
      <c r="AS72" s="403">
        <f>'Portefeuille SP2'!AE78</f>
        <v>1</v>
      </c>
      <c r="AT72" s="403">
        <f>'Portefeuille SP2'!AF78</f>
        <v>1</v>
      </c>
      <c r="AU72" s="403">
        <f>'Portefeuille SP2'!AG78</f>
        <v>1</v>
      </c>
      <c r="AV72" s="403">
        <f>'Portefeuille SP2'!AH78</f>
        <v>1</v>
      </c>
      <c r="AW72" s="403">
        <f>'Portefeuille SP2'!AI78</f>
        <v>1</v>
      </c>
      <c r="AX72" s="403">
        <f>'Portefeuille SP2'!AJ78</f>
        <v>1</v>
      </c>
      <c r="AY72" s="403">
        <f>'Portefeuille SP2'!AK78</f>
        <v>1</v>
      </c>
      <c r="AZ72" s="403">
        <f>'Portefeuille SP2'!AL78</f>
        <v>1</v>
      </c>
      <c r="BA72" s="403">
        <f>'Portefeuille SP2'!AM78</f>
        <v>1</v>
      </c>
      <c r="BB72" s="403">
        <f>'Portefeuille SP2'!AN78</f>
        <v>1</v>
      </c>
      <c r="BC72" s="403">
        <f>'Portefeuille SP2'!AO78</f>
        <v>1</v>
      </c>
      <c r="BD72" s="403">
        <f>'Portefeuille SP2'!AP78</f>
        <v>1</v>
      </c>
      <c r="BE72" s="403">
        <f>'Portefeuille SP2'!AQ78</f>
        <v>1</v>
      </c>
      <c r="BF72" s="403">
        <f>'Portefeuille SP2'!AR78</f>
        <v>1</v>
      </c>
      <c r="BG72" s="403" t="e">
        <f>'Portefeuille SP2'!#REF!</f>
        <v>#REF!</v>
      </c>
      <c r="BH72" s="403" t="e">
        <f>'Portefeuille SP2'!#REF!</f>
        <v>#REF!</v>
      </c>
      <c r="BI72" s="403" t="e">
        <f>'Portefeuille SP2'!#REF!</f>
        <v>#REF!</v>
      </c>
      <c r="BJ72" s="403" t="e">
        <f>'Portefeuille SP2'!#REF!</f>
        <v>#REF!</v>
      </c>
      <c r="BK72" s="403" t="e">
        <f>'Portefeuille SP2'!#REF!</f>
        <v>#REF!</v>
      </c>
      <c r="BL72" s="388"/>
      <c r="BM72" s="404" t="str">
        <f>'Portefeuille SP2'!L78</f>
        <v>06/06/2025 Que sur le ML !
23/05/2025 A supprimer TT</v>
      </c>
    </row>
    <row r="73" spans="1:65" ht="15" customHeight="1">
      <c r="A73" s="383">
        <f>'Portefeuille SP2'!B79</f>
        <v>0</v>
      </c>
      <c r="B73" s="390" t="str">
        <f>'Portefeuille SP2'!Q79</f>
        <v>CANCELED</v>
      </c>
      <c r="C73" s="384"/>
      <c r="D73" s="382" t="str">
        <f>'Portefeuille SP2'!E79</f>
        <v>PTF</v>
      </c>
      <c r="E73" s="382" t="str">
        <f t="shared" ref="E73:E136" si="7">LEFT(J73,3)</f>
        <v>BCI</v>
      </c>
      <c r="F73" s="382" t="str">
        <f t="shared" ref="F73:F136" si="8">MID(J73, 6, 20)</f>
        <v>ODY</v>
      </c>
      <c r="G73" s="382" t="str">
        <f>'Portefeuille SP2'!C79</f>
        <v>SP2</v>
      </c>
      <c r="H73" s="382">
        <f>'Portefeuille SP2'!F79</f>
        <v>0</v>
      </c>
      <c r="I73" s="382"/>
      <c r="J73" s="382" t="str">
        <f>'Portefeuille SP2'!D79</f>
        <v>BCI_BODY</v>
      </c>
      <c r="K73" s="385">
        <f>'Portefeuille SP2'!H79</f>
        <v>0</v>
      </c>
      <c r="L73" s="157">
        <f>'Portefeuille SP2'!U79</f>
        <v>-1.5</v>
      </c>
      <c r="M73" s="386"/>
      <c r="N73" s="386"/>
      <c r="O73" s="386"/>
      <c r="P73" s="387">
        <f>'Portefeuille SP2'!M79</f>
        <v>0</v>
      </c>
      <c r="Q73" s="387"/>
      <c r="R73" s="387">
        <f>'Portefeuille SP2'!N79</f>
        <v>10</v>
      </c>
      <c r="S73" s="387"/>
      <c r="T73" s="382" t="str">
        <f>'Portefeuille SP2'!R79</f>
        <v>TBD</v>
      </c>
      <c r="U73" s="387">
        <f>'Portefeuille SP2'!K79</f>
        <v>0</v>
      </c>
      <c r="V73" s="399">
        <f>'Portefeuille SP2'!S79</f>
        <v>0.5</v>
      </c>
      <c r="W73" s="387"/>
      <c r="X73" s="387"/>
      <c r="Y73" s="387"/>
      <c r="Z73" s="387"/>
      <c r="AA73" s="387"/>
      <c r="AB73" s="387"/>
      <c r="AC73" s="387"/>
      <c r="AD73" s="387"/>
      <c r="AE73" s="400">
        <f>'Portefeuille SP2'!J79</f>
        <v>0</v>
      </c>
      <c r="AF73" s="387"/>
      <c r="AG73" s="387"/>
      <c r="AH73" s="389"/>
      <c r="AI73" s="389"/>
      <c r="AJ73" s="403">
        <f>'Portefeuille SP2'!V79</f>
        <v>1</v>
      </c>
      <c r="AK73" s="403">
        <f>'Portefeuille SP2'!W79</f>
        <v>1</v>
      </c>
      <c r="AL73" s="403">
        <f>'Portefeuille SP2'!X79</f>
        <v>1</v>
      </c>
      <c r="AM73" s="403">
        <f>'Portefeuille SP2'!Y79</f>
        <v>0</v>
      </c>
      <c r="AN73" s="403">
        <f>'Portefeuille SP2'!Z79</f>
        <v>0</v>
      </c>
      <c r="AO73" s="403">
        <f>'Portefeuille SP2'!AA79</f>
        <v>0</v>
      </c>
      <c r="AP73" s="403">
        <f>'Portefeuille SP2'!AB79</f>
        <v>0</v>
      </c>
      <c r="AQ73" s="403">
        <f>'Portefeuille SP2'!AC79</f>
        <v>0</v>
      </c>
      <c r="AR73" s="403">
        <f>'Portefeuille SP2'!AD79</f>
        <v>0</v>
      </c>
      <c r="AS73" s="403">
        <f>'Portefeuille SP2'!AE79</f>
        <v>1</v>
      </c>
      <c r="AT73" s="403">
        <f>'Portefeuille SP2'!AF79</f>
        <v>1</v>
      </c>
      <c r="AU73" s="403">
        <f>'Portefeuille SP2'!AG79</f>
        <v>1</v>
      </c>
      <c r="AV73" s="403">
        <f>'Portefeuille SP2'!AH79</f>
        <v>0</v>
      </c>
      <c r="AW73" s="403">
        <f>'Portefeuille SP2'!AI79</f>
        <v>0</v>
      </c>
      <c r="AX73" s="403">
        <f>'Portefeuille SP2'!AJ79</f>
        <v>0</v>
      </c>
      <c r="AY73" s="403">
        <f>'Portefeuille SP2'!AK79</f>
        <v>0</v>
      </c>
      <c r="AZ73" s="403">
        <f>'Portefeuille SP2'!AL79</f>
        <v>0</v>
      </c>
      <c r="BA73" s="403">
        <f>'Portefeuille SP2'!AM79</f>
        <v>0</v>
      </c>
      <c r="BB73" s="403">
        <f>'Portefeuille SP2'!AN79</f>
        <v>0</v>
      </c>
      <c r="BC73" s="403">
        <f>'Portefeuille SP2'!AO79</f>
        <v>0</v>
      </c>
      <c r="BD73" s="403">
        <f>'Portefeuille SP2'!AP79</f>
        <v>0</v>
      </c>
      <c r="BE73" s="403">
        <f>'Portefeuille SP2'!AQ79</f>
        <v>1</v>
      </c>
      <c r="BF73" s="403">
        <f>'Portefeuille SP2'!AR79</f>
        <v>0</v>
      </c>
      <c r="BG73" s="403" t="e">
        <f>'Portefeuille SP2'!#REF!</f>
        <v>#REF!</v>
      </c>
      <c r="BH73" s="403" t="e">
        <f>'Portefeuille SP2'!#REF!</f>
        <v>#REF!</v>
      </c>
      <c r="BI73" s="403" t="e">
        <f>'Portefeuille SP2'!#REF!</f>
        <v>#REF!</v>
      </c>
      <c r="BJ73" s="403" t="e">
        <f>'Portefeuille SP2'!#REF!</f>
        <v>#REF!</v>
      </c>
      <c r="BK73" s="403" t="e">
        <f>'Portefeuille SP2'!#REF!</f>
        <v>#REF!</v>
      </c>
      <c r="BL73" s="388"/>
      <c r="BM73" s="404" t="str">
        <f>'Portefeuille SP2'!L79</f>
        <v>14/03/2024 : Workshop mass</v>
      </c>
    </row>
    <row r="74" spans="1:65" ht="15" customHeight="1">
      <c r="A74" s="383">
        <f>'Portefeuille SP2'!B80</f>
        <v>0</v>
      </c>
      <c r="B74" s="390" t="str">
        <f>'Portefeuille SP2'!Q80</f>
        <v>CANCELED</v>
      </c>
      <c r="C74" s="384"/>
      <c r="D74" s="382" t="str">
        <f>'Portefeuille SP2'!E80</f>
        <v>TH</v>
      </c>
      <c r="E74" s="382" t="str">
        <f t="shared" si="7"/>
        <v>BCI</v>
      </c>
      <c r="F74" s="382" t="str">
        <f t="shared" si="8"/>
        <v>OORS</v>
      </c>
      <c r="G74" s="382" t="str">
        <f>'Portefeuille SP2'!C80</f>
        <v>SP2</v>
      </c>
      <c r="H74" s="382">
        <f>'Portefeuille SP2'!F80</f>
        <v>0</v>
      </c>
      <c r="I74" s="382"/>
      <c r="J74" s="382" t="str">
        <f>'Portefeuille SP2'!D80</f>
        <v>BCI_DOORS</v>
      </c>
      <c r="K74" s="385" t="str">
        <f>'Portefeuille SP2'!H80</f>
        <v>Aluminum doors</v>
      </c>
      <c r="L74" s="157">
        <f>'Portefeuille SP2'!U80</f>
        <v>-22</v>
      </c>
      <c r="M74" s="386"/>
      <c r="N74" s="386"/>
      <c r="O74" s="386"/>
      <c r="P74" s="387">
        <f>'Portefeuille SP2'!M80</f>
        <v>0</v>
      </c>
      <c r="Q74" s="387"/>
      <c r="R74" s="387">
        <f>'Portefeuille SP2'!N80</f>
        <v>200</v>
      </c>
      <c r="S74" s="387"/>
      <c r="T74" s="382" t="str">
        <f>'Portefeuille SP2'!R80</f>
        <v>TBD</v>
      </c>
      <c r="U74" s="387">
        <f>'Portefeuille SP2'!K80</f>
        <v>0</v>
      </c>
      <c r="V74" s="399">
        <f>'Portefeuille SP2'!S80</f>
        <v>1</v>
      </c>
      <c r="W74" s="387"/>
      <c r="X74" s="387"/>
      <c r="Y74" s="387"/>
      <c r="Z74" s="387"/>
      <c r="AA74" s="387"/>
      <c r="AB74" s="387"/>
      <c r="AC74" s="387"/>
      <c r="AD74" s="387"/>
      <c r="AE74" s="400">
        <f>'Portefeuille SP2'!J80</f>
        <v>0</v>
      </c>
      <c r="AF74" s="387"/>
      <c r="AG74" s="387"/>
      <c r="AH74" s="389"/>
      <c r="AI74" s="389"/>
      <c r="AJ74" s="403">
        <f>'Portefeuille SP2'!V80</f>
        <v>1</v>
      </c>
      <c r="AK74" s="403">
        <f>'Portefeuille SP2'!W80</f>
        <v>1</v>
      </c>
      <c r="AL74" s="403">
        <f>'Portefeuille SP2'!X80</f>
        <v>1</v>
      </c>
      <c r="AM74" s="403">
        <f>'Portefeuille SP2'!Y80</f>
        <v>0</v>
      </c>
      <c r="AN74" s="403">
        <f>'Portefeuille SP2'!Z80</f>
        <v>0</v>
      </c>
      <c r="AO74" s="403">
        <f>'Portefeuille SP2'!AA80</f>
        <v>0</v>
      </c>
      <c r="AP74" s="403">
        <f>'Portefeuille SP2'!AB80</f>
        <v>0</v>
      </c>
      <c r="AQ74" s="403">
        <f>'Portefeuille SP2'!AC80</f>
        <v>0</v>
      </c>
      <c r="AR74" s="403">
        <f>'Portefeuille SP2'!AD80</f>
        <v>0</v>
      </c>
      <c r="AS74" s="403">
        <f>'Portefeuille SP2'!AE80</f>
        <v>1</v>
      </c>
      <c r="AT74" s="403">
        <f>'Portefeuille SP2'!AF80</f>
        <v>1</v>
      </c>
      <c r="AU74" s="403">
        <f>'Portefeuille SP2'!AG80</f>
        <v>1</v>
      </c>
      <c r="AV74" s="403">
        <f>'Portefeuille SP2'!AH80</f>
        <v>0</v>
      </c>
      <c r="AW74" s="403">
        <f>'Portefeuille SP2'!AI80</f>
        <v>0</v>
      </c>
      <c r="AX74" s="403">
        <f>'Portefeuille SP2'!AJ80</f>
        <v>0</v>
      </c>
      <c r="AY74" s="403">
        <f>'Portefeuille SP2'!AK80</f>
        <v>0</v>
      </c>
      <c r="AZ74" s="403">
        <f>'Portefeuille SP2'!AL80</f>
        <v>0</v>
      </c>
      <c r="BA74" s="403">
        <f>'Portefeuille SP2'!AM80</f>
        <v>0</v>
      </c>
      <c r="BB74" s="403">
        <f>'Portefeuille SP2'!AN80</f>
        <v>0</v>
      </c>
      <c r="BC74" s="403">
        <f>'Portefeuille SP2'!AO80</f>
        <v>0</v>
      </c>
      <c r="BD74" s="403">
        <f>'Portefeuille SP2'!AP80</f>
        <v>0</v>
      </c>
      <c r="BE74" s="403">
        <f>'Portefeuille SP2'!AQ80</f>
        <v>1</v>
      </c>
      <c r="BF74" s="403">
        <f>'Portefeuille SP2'!AR80</f>
        <v>0</v>
      </c>
      <c r="BG74" s="403" t="e">
        <f>'Portefeuille SP2'!#REF!</f>
        <v>#REF!</v>
      </c>
      <c r="BH74" s="403" t="e">
        <f>'Portefeuille SP2'!#REF!</f>
        <v>#REF!</v>
      </c>
      <c r="BI74" s="403" t="e">
        <f>'Portefeuille SP2'!#REF!</f>
        <v>#REF!</v>
      </c>
      <c r="BJ74" s="403" t="e">
        <f>'Portefeuille SP2'!#REF!</f>
        <v>#REF!</v>
      </c>
      <c r="BK74" s="403" t="e">
        <f>'Portefeuille SP2'!#REF!</f>
        <v>#REF!</v>
      </c>
      <c r="BL74" s="388"/>
      <c r="BM74" s="404" t="str">
        <f>'Portefeuille SP2'!L80</f>
        <v>14/03/2024 : Workshop mass</v>
      </c>
    </row>
    <row r="75" spans="1:65" ht="15" customHeight="1">
      <c r="A75" s="383">
        <f>'Portefeuille SP2'!B81</f>
        <v>0</v>
      </c>
      <c r="B75" s="390" t="str">
        <f>'Portefeuille SP2'!Q81</f>
        <v>CANCELED</v>
      </c>
      <c r="C75" s="384"/>
      <c r="D75" s="382" t="str">
        <f>'Portefeuille SP2'!E81</f>
        <v>TH</v>
      </c>
      <c r="E75" s="382" t="str">
        <f t="shared" si="7"/>
        <v>BCI</v>
      </c>
      <c r="F75" s="382" t="str">
        <f t="shared" si="8"/>
        <v>ODY</v>
      </c>
      <c r="G75" s="382" t="str">
        <f>'Portefeuille SP2'!C81</f>
        <v>SP2</v>
      </c>
      <c r="H75" s="382">
        <f>'Portefeuille SP2'!F81</f>
        <v>0</v>
      </c>
      <c r="I75" s="382"/>
      <c r="J75" s="382" t="str">
        <f>'Portefeuille SP2'!D81</f>
        <v>BCI_BODY</v>
      </c>
      <c r="K75" s="385" t="str">
        <f>'Portefeuille SP2'!H81</f>
        <v xml:space="preserve">Alloy  roof </v>
      </c>
      <c r="L75" s="157">
        <f>'Portefeuille SP2'!U81</f>
        <v>-1</v>
      </c>
      <c r="M75" s="386"/>
      <c r="N75" s="386"/>
      <c r="O75" s="386"/>
      <c r="P75" s="387">
        <f>'Portefeuille SP2'!M81</f>
        <v>0</v>
      </c>
      <c r="Q75" s="387"/>
      <c r="R75" s="387">
        <f>'Portefeuille SP2'!N81</f>
        <v>15</v>
      </c>
      <c r="S75" s="387"/>
      <c r="T75" s="382" t="str">
        <f>'Portefeuille SP2'!R81</f>
        <v>TBD</v>
      </c>
      <c r="U75" s="387">
        <f>'Portefeuille SP2'!K81</f>
        <v>0</v>
      </c>
      <c r="V75" s="399">
        <f>'Portefeuille SP2'!S81</f>
        <v>0.25</v>
      </c>
      <c r="W75" s="387"/>
      <c r="X75" s="387"/>
      <c r="Y75" s="387"/>
      <c r="Z75" s="387"/>
      <c r="AA75" s="387"/>
      <c r="AB75" s="387"/>
      <c r="AC75" s="387"/>
      <c r="AD75" s="387"/>
      <c r="AE75" s="400">
        <f>'Portefeuille SP2'!J81</f>
        <v>0</v>
      </c>
      <c r="AF75" s="387"/>
      <c r="AG75" s="387"/>
      <c r="AH75" s="389"/>
      <c r="AI75" s="389"/>
      <c r="AJ75" s="403">
        <f>'Portefeuille SP2'!V81</f>
        <v>1</v>
      </c>
      <c r="AK75" s="403">
        <f>'Portefeuille SP2'!W81</f>
        <v>1</v>
      </c>
      <c r="AL75" s="403">
        <f>'Portefeuille SP2'!X81</f>
        <v>1</v>
      </c>
      <c r="AM75" s="403">
        <f>'Portefeuille SP2'!Y81</f>
        <v>0</v>
      </c>
      <c r="AN75" s="403">
        <f>'Portefeuille SP2'!Z81</f>
        <v>0</v>
      </c>
      <c r="AO75" s="403">
        <f>'Portefeuille SP2'!AA81</f>
        <v>0</v>
      </c>
      <c r="AP75" s="403">
        <f>'Portefeuille SP2'!AB81</f>
        <v>0</v>
      </c>
      <c r="AQ75" s="403">
        <f>'Portefeuille SP2'!AC81</f>
        <v>0</v>
      </c>
      <c r="AR75" s="403">
        <f>'Portefeuille SP2'!AD81</f>
        <v>0</v>
      </c>
      <c r="AS75" s="403">
        <f>'Portefeuille SP2'!AE81</f>
        <v>1</v>
      </c>
      <c r="AT75" s="403">
        <f>'Portefeuille SP2'!AF81</f>
        <v>1</v>
      </c>
      <c r="AU75" s="403">
        <f>'Portefeuille SP2'!AG81</f>
        <v>1</v>
      </c>
      <c r="AV75" s="403">
        <f>'Portefeuille SP2'!AH81</f>
        <v>0</v>
      </c>
      <c r="AW75" s="403">
        <f>'Portefeuille SP2'!AI81</f>
        <v>0</v>
      </c>
      <c r="AX75" s="403">
        <f>'Portefeuille SP2'!AJ81</f>
        <v>0</v>
      </c>
      <c r="AY75" s="403">
        <f>'Portefeuille SP2'!AK81</f>
        <v>0</v>
      </c>
      <c r="AZ75" s="403">
        <f>'Portefeuille SP2'!AL81</f>
        <v>0</v>
      </c>
      <c r="BA75" s="403">
        <f>'Portefeuille SP2'!AM81</f>
        <v>0</v>
      </c>
      <c r="BB75" s="403">
        <f>'Portefeuille SP2'!AN81</f>
        <v>0</v>
      </c>
      <c r="BC75" s="403">
        <f>'Portefeuille SP2'!AO81</f>
        <v>0</v>
      </c>
      <c r="BD75" s="403">
        <f>'Portefeuille SP2'!AP81</f>
        <v>0</v>
      </c>
      <c r="BE75" s="403">
        <f>'Portefeuille SP2'!AQ81</f>
        <v>1</v>
      </c>
      <c r="BF75" s="403">
        <f>'Portefeuille SP2'!AR81</f>
        <v>0</v>
      </c>
      <c r="BG75" s="403" t="e">
        <f>'Portefeuille SP2'!#REF!</f>
        <v>#REF!</v>
      </c>
      <c r="BH75" s="403" t="e">
        <f>'Portefeuille SP2'!#REF!</f>
        <v>#REF!</v>
      </c>
      <c r="BI75" s="403" t="e">
        <f>'Portefeuille SP2'!#REF!</f>
        <v>#REF!</v>
      </c>
      <c r="BJ75" s="403" t="e">
        <f>'Portefeuille SP2'!#REF!</f>
        <v>#REF!</v>
      </c>
      <c r="BK75" s="403" t="e">
        <f>'Portefeuille SP2'!#REF!</f>
        <v>#REF!</v>
      </c>
      <c r="BL75" s="388"/>
      <c r="BM75" s="404" t="str">
        <f>'Portefeuille SP2'!L81</f>
        <v>14/03/2024 : Workshop mass</v>
      </c>
    </row>
    <row r="76" spans="1:65" ht="15" customHeight="1">
      <c r="A76" s="383" t="e">
        <f>'Portefeuille SP2'!#REF!</f>
        <v>#REF!</v>
      </c>
      <c r="B76" s="390" t="e">
        <f>'Portefeuille SP2'!#REF!</f>
        <v>#REF!</v>
      </c>
      <c r="C76" s="384"/>
      <c r="D76" s="382" t="e">
        <f>'Portefeuille SP2'!#REF!</f>
        <v>#REF!</v>
      </c>
      <c r="E76" s="382" t="e">
        <f t="shared" si="7"/>
        <v>#REF!</v>
      </c>
      <c r="F76" s="382" t="e">
        <f>MID(J76, 4, 20)</f>
        <v>#REF!</v>
      </c>
      <c r="G76" s="382" t="e">
        <f>'Portefeuille SP2'!#REF!</f>
        <v>#REF!</v>
      </c>
      <c r="H76" s="382" t="e">
        <f>'Portefeuille SP2'!#REF!</f>
        <v>#REF!</v>
      </c>
      <c r="I76" s="428" t="s">
        <v>1212</v>
      </c>
      <c r="J76" s="382" t="e">
        <f>'Portefeuille SP2'!#REF!</f>
        <v>#REF!</v>
      </c>
      <c r="K76" s="385" t="e">
        <f>'Portefeuille SP2'!#REF!</f>
        <v>#REF!</v>
      </c>
      <c r="L76" s="157" t="e">
        <f>'Portefeuille SP2'!#REF!</f>
        <v>#REF!</v>
      </c>
      <c r="M76" s="386"/>
      <c r="N76" s="386"/>
      <c r="O76" s="386"/>
      <c r="P76" s="400" t="e">
        <f>'Portefeuille SP2'!#REF!</f>
        <v>#REF!</v>
      </c>
      <c r="Q76" s="387"/>
      <c r="R76" s="387" t="e">
        <f>'Portefeuille SP2'!#REF!</f>
        <v>#REF!</v>
      </c>
      <c r="S76" s="387"/>
      <c r="T76" s="382" t="e">
        <f>'Portefeuille SP2'!#REF!</f>
        <v>#REF!</v>
      </c>
      <c r="U76" s="387" t="e">
        <f>'Portefeuille SP2'!#REF!</f>
        <v>#REF!</v>
      </c>
      <c r="V76" s="399" t="e">
        <f>'Portefeuille SP2'!#REF!</f>
        <v>#REF!</v>
      </c>
      <c r="W76" s="387"/>
      <c r="X76" s="387"/>
      <c r="Y76" s="387"/>
      <c r="Z76" s="387"/>
      <c r="AA76" s="387"/>
      <c r="AB76" s="387"/>
      <c r="AC76" s="387"/>
      <c r="AD76" s="387"/>
      <c r="AE76" s="408" t="e">
        <f>'Portefeuille SP2'!#REF!</f>
        <v>#REF!</v>
      </c>
      <c r="AF76" s="387"/>
      <c r="AG76" s="387"/>
      <c r="AH76" s="389"/>
      <c r="AI76" s="389"/>
      <c r="AJ76" s="403" t="e">
        <f>'Portefeuille SP2'!#REF!</f>
        <v>#REF!</v>
      </c>
      <c r="AK76" s="403" t="e">
        <f>'Portefeuille SP2'!#REF!</f>
        <v>#REF!</v>
      </c>
      <c r="AL76" s="403" t="e">
        <f>'Portefeuille SP2'!#REF!</f>
        <v>#REF!</v>
      </c>
      <c r="AM76" s="403" t="e">
        <f>'Portefeuille SP2'!#REF!</f>
        <v>#REF!</v>
      </c>
      <c r="AN76" s="403" t="e">
        <f>'Portefeuille SP2'!#REF!</f>
        <v>#REF!</v>
      </c>
      <c r="AO76" s="403" t="e">
        <f>'Portefeuille SP2'!#REF!</f>
        <v>#REF!</v>
      </c>
      <c r="AP76" s="403" t="e">
        <f>'Portefeuille SP2'!#REF!</f>
        <v>#REF!</v>
      </c>
      <c r="AQ76" s="403" t="e">
        <f>'Portefeuille SP2'!#REF!</f>
        <v>#REF!</v>
      </c>
      <c r="AR76" s="403" t="e">
        <f>'Portefeuille SP2'!#REF!</f>
        <v>#REF!</v>
      </c>
      <c r="AS76" s="403" t="e">
        <f>'Portefeuille SP2'!#REF!</f>
        <v>#REF!</v>
      </c>
      <c r="AT76" s="403" t="e">
        <f>'Portefeuille SP2'!#REF!</f>
        <v>#REF!</v>
      </c>
      <c r="AU76" s="403" t="e">
        <f>'Portefeuille SP2'!#REF!</f>
        <v>#REF!</v>
      </c>
      <c r="AV76" s="403" t="e">
        <f>'Portefeuille SP2'!#REF!</f>
        <v>#REF!</v>
      </c>
      <c r="AW76" s="403" t="e">
        <f>'Portefeuille SP2'!#REF!</f>
        <v>#REF!</v>
      </c>
      <c r="AX76" s="403" t="e">
        <f>'Portefeuille SP2'!#REF!</f>
        <v>#REF!</v>
      </c>
      <c r="AY76" s="403" t="e">
        <f>'Portefeuille SP2'!#REF!</f>
        <v>#REF!</v>
      </c>
      <c r="AZ76" s="403" t="e">
        <f>'Portefeuille SP2'!#REF!</f>
        <v>#REF!</v>
      </c>
      <c r="BA76" s="403" t="e">
        <f>'Portefeuille SP2'!#REF!</f>
        <v>#REF!</v>
      </c>
      <c r="BB76" s="403" t="e">
        <f>'Portefeuille SP2'!#REF!</f>
        <v>#REF!</v>
      </c>
      <c r="BC76" s="403" t="e">
        <f>'Portefeuille SP2'!#REF!</f>
        <v>#REF!</v>
      </c>
      <c r="BD76" s="403" t="e">
        <f>'Portefeuille SP2'!#REF!</f>
        <v>#REF!</v>
      </c>
      <c r="BE76" s="403" t="e">
        <f>'Portefeuille SP2'!#REF!</f>
        <v>#REF!</v>
      </c>
      <c r="BF76" s="403" t="e">
        <f>'Portefeuille SP2'!#REF!</f>
        <v>#REF!</v>
      </c>
      <c r="BG76" s="403" t="e">
        <f>'Portefeuille SP2'!#REF!</f>
        <v>#REF!</v>
      </c>
      <c r="BH76" s="403" t="e">
        <f>'Portefeuille SP2'!#REF!</f>
        <v>#REF!</v>
      </c>
      <c r="BI76" s="403" t="e">
        <f>'Portefeuille SP2'!#REF!</f>
        <v>#REF!</v>
      </c>
      <c r="BJ76" s="403" t="e">
        <f>'Portefeuille SP2'!#REF!</f>
        <v>#REF!</v>
      </c>
      <c r="BK76" s="403" t="e">
        <f>'Portefeuille SP2'!#REF!</f>
        <v>#REF!</v>
      </c>
      <c r="BL76" s="388"/>
      <c r="BM76" s="404" t="e">
        <f>'Portefeuille SP2'!#REF!</f>
        <v>#REF!</v>
      </c>
    </row>
    <row r="77" spans="1:65" ht="15" customHeight="1">
      <c r="A77" s="383">
        <f>'Portefeuille SP2'!B82</f>
        <v>0</v>
      </c>
      <c r="B77" s="390" t="str">
        <f>'Portefeuille SP2'!Q82</f>
        <v>CANCELED</v>
      </c>
      <c r="C77" s="384"/>
      <c r="D77" s="382" t="str">
        <f>'Portefeuille SP2'!E82</f>
        <v>PTF</v>
      </c>
      <c r="E77" s="382" t="str">
        <f t="shared" si="7"/>
        <v>BCI</v>
      </c>
      <c r="F77" s="382" t="str">
        <f t="shared" si="8"/>
        <v>ODY</v>
      </c>
      <c r="G77" s="382" t="str">
        <f>'Portefeuille SP2'!C82</f>
        <v>SP2</v>
      </c>
      <c r="H77" s="382">
        <f>'Portefeuille SP2'!F82</f>
        <v>0</v>
      </c>
      <c r="I77" s="382"/>
      <c r="J77" s="382" t="str">
        <f>'Portefeuille SP2'!D82</f>
        <v>BCI_BODY</v>
      </c>
      <c r="K77" s="385" t="str">
        <f>'Portefeuille SP2'!H82</f>
        <v>Rear Repair Beam</v>
      </c>
      <c r="L77" s="157">
        <f>'Portefeuille SP2'!U82</f>
        <v>-3</v>
      </c>
      <c r="M77" s="386"/>
      <c r="N77" s="386"/>
      <c r="O77" s="386"/>
      <c r="P77" s="387">
        <f>'Portefeuille SP2'!M82</f>
        <v>0</v>
      </c>
      <c r="Q77" s="387"/>
      <c r="R77" s="387">
        <f>'Portefeuille SP2'!N82</f>
        <v>10</v>
      </c>
      <c r="S77" s="387"/>
      <c r="T77" s="382" t="str">
        <f>'Portefeuille SP2'!R82</f>
        <v>TBD</v>
      </c>
      <c r="U77" s="387">
        <f>'Portefeuille SP2'!K82</f>
        <v>0</v>
      </c>
      <c r="V77" s="399">
        <f>'Portefeuille SP2'!S82</f>
        <v>1</v>
      </c>
      <c r="W77" s="387"/>
      <c r="X77" s="387"/>
      <c r="Y77" s="387"/>
      <c r="Z77" s="387"/>
      <c r="AA77" s="387"/>
      <c r="AB77" s="387"/>
      <c r="AC77" s="387"/>
      <c r="AD77" s="387"/>
      <c r="AE77" s="400">
        <f>'Portefeuille SP2'!J82</f>
        <v>0</v>
      </c>
      <c r="AF77" s="387"/>
      <c r="AG77" s="387"/>
      <c r="AH77" s="389"/>
      <c r="AI77" s="389"/>
      <c r="AJ77" s="403">
        <f>'Portefeuille SP2'!V82</f>
        <v>1</v>
      </c>
      <c r="AK77" s="403">
        <f>'Portefeuille SP2'!W82</f>
        <v>1</v>
      </c>
      <c r="AL77" s="403">
        <f>'Portefeuille SP2'!X82</f>
        <v>1</v>
      </c>
      <c r="AM77" s="403">
        <f>'Portefeuille SP2'!Y82</f>
        <v>0</v>
      </c>
      <c r="AN77" s="403">
        <f>'Portefeuille SP2'!Z82</f>
        <v>0</v>
      </c>
      <c r="AO77" s="403">
        <f>'Portefeuille SP2'!AA82</f>
        <v>0</v>
      </c>
      <c r="AP77" s="403">
        <f>'Portefeuille SP2'!AB82</f>
        <v>0</v>
      </c>
      <c r="AQ77" s="403">
        <f>'Portefeuille SP2'!AC82</f>
        <v>0</v>
      </c>
      <c r="AR77" s="403">
        <f>'Portefeuille SP2'!AD82</f>
        <v>0</v>
      </c>
      <c r="AS77" s="403">
        <f>'Portefeuille SP2'!AE82</f>
        <v>1</v>
      </c>
      <c r="AT77" s="403">
        <f>'Portefeuille SP2'!AF82</f>
        <v>1</v>
      </c>
      <c r="AU77" s="403">
        <f>'Portefeuille SP2'!AG82</f>
        <v>1</v>
      </c>
      <c r="AV77" s="403">
        <f>'Portefeuille SP2'!AH82</f>
        <v>0</v>
      </c>
      <c r="AW77" s="403">
        <f>'Portefeuille SP2'!AI82</f>
        <v>0</v>
      </c>
      <c r="AX77" s="403">
        <f>'Portefeuille SP2'!AJ82</f>
        <v>0</v>
      </c>
      <c r="AY77" s="403">
        <f>'Portefeuille SP2'!AK82</f>
        <v>0</v>
      </c>
      <c r="AZ77" s="403">
        <f>'Portefeuille SP2'!AL82</f>
        <v>0</v>
      </c>
      <c r="BA77" s="403">
        <f>'Portefeuille SP2'!AM82</f>
        <v>0</v>
      </c>
      <c r="BB77" s="403">
        <f>'Portefeuille SP2'!AN82</f>
        <v>0</v>
      </c>
      <c r="BC77" s="403">
        <f>'Portefeuille SP2'!AO82</f>
        <v>0</v>
      </c>
      <c r="BD77" s="403">
        <f>'Portefeuille SP2'!AP82</f>
        <v>0</v>
      </c>
      <c r="BE77" s="403">
        <f>'Portefeuille SP2'!AQ82</f>
        <v>1</v>
      </c>
      <c r="BF77" s="403">
        <f>'Portefeuille SP2'!AR82</f>
        <v>0</v>
      </c>
      <c r="BG77" s="403" t="e">
        <f>'Portefeuille SP2'!#REF!</f>
        <v>#REF!</v>
      </c>
      <c r="BH77" s="403" t="e">
        <f>'Portefeuille SP2'!#REF!</f>
        <v>#REF!</v>
      </c>
      <c r="BI77" s="403" t="e">
        <f>'Portefeuille SP2'!#REF!</f>
        <v>#REF!</v>
      </c>
      <c r="BJ77" s="403" t="e">
        <f>'Portefeuille SP2'!#REF!</f>
        <v>#REF!</v>
      </c>
      <c r="BK77" s="403" t="e">
        <f>'Portefeuille SP2'!#REF!</f>
        <v>#REF!</v>
      </c>
      <c r="BL77" s="388"/>
      <c r="BM77" s="404" t="str">
        <f>'Portefeuille SP2'!L82</f>
        <v>14/03/2024 : Workshop mass</v>
      </c>
    </row>
    <row r="78" spans="1:65" ht="15" customHeight="1">
      <c r="A78" s="383">
        <f>'Portefeuille SP2'!B83</f>
        <v>0</v>
      </c>
      <c r="B78" s="390" t="str">
        <f>'Portefeuille SP2'!Q83</f>
        <v>CANCELED</v>
      </c>
      <c r="C78" s="384"/>
      <c r="D78" s="382" t="str">
        <f>'Portefeuille SP2'!E83</f>
        <v>PTF</v>
      </c>
      <c r="E78" s="382" t="str">
        <f t="shared" si="7"/>
        <v>BCI</v>
      </c>
      <c r="F78" s="382" t="str">
        <f t="shared" si="8"/>
        <v>ODY</v>
      </c>
      <c r="G78" s="382" t="str">
        <f>'Portefeuille SP2'!C83</f>
        <v>SP2</v>
      </c>
      <c r="H78" s="382">
        <f>'Portefeuille SP2'!F83</f>
        <v>0</v>
      </c>
      <c r="I78" s="382"/>
      <c r="J78" s="382" t="str">
        <f>'Portefeuille SP2'!D83</f>
        <v>BCI_BODY</v>
      </c>
      <c r="K78" s="385" t="str">
        <f>'Portefeuille SP2'!H83</f>
        <v>Rear Repair Beam</v>
      </c>
      <c r="L78" s="157">
        <f>'Portefeuille SP2'!U83</f>
        <v>-2</v>
      </c>
      <c r="M78" s="386"/>
      <c r="N78" s="386"/>
      <c r="O78" s="386"/>
      <c r="P78" s="387">
        <f>'Portefeuille SP2'!M83</f>
        <v>0</v>
      </c>
      <c r="Q78" s="387"/>
      <c r="R78" s="387">
        <f>'Portefeuille SP2'!N83</f>
        <v>10</v>
      </c>
      <c r="S78" s="387"/>
      <c r="T78" s="382" t="str">
        <f>'Portefeuille SP2'!R83</f>
        <v>TBD</v>
      </c>
      <c r="U78" s="387">
        <f>'Portefeuille SP2'!K83</f>
        <v>0</v>
      </c>
      <c r="V78" s="399">
        <f>'Portefeuille SP2'!S83</f>
        <v>1</v>
      </c>
      <c r="W78" s="387"/>
      <c r="X78" s="387"/>
      <c r="Y78" s="387"/>
      <c r="Z78" s="387"/>
      <c r="AA78" s="387"/>
      <c r="AB78" s="387"/>
      <c r="AC78" s="387"/>
      <c r="AD78" s="387"/>
      <c r="AE78" s="400">
        <f>'Portefeuille SP2'!J83</f>
        <v>0</v>
      </c>
      <c r="AF78" s="387"/>
      <c r="AG78" s="387"/>
      <c r="AH78" s="389"/>
      <c r="AI78" s="389"/>
      <c r="AJ78" s="403">
        <f>'Portefeuille SP2'!V83</f>
        <v>1</v>
      </c>
      <c r="AK78" s="403">
        <f>'Portefeuille SP2'!W83</f>
        <v>1</v>
      </c>
      <c r="AL78" s="403">
        <f>'Portefeuille SP2'!X83</f>
        <v>1</v>
      </c>
      <c r="AM78" s="403">
        <f>'Portefeuille SP2'!Y83</f>
        <v>0</v>
      </c>
      <c r="AN78" s="403">
        <f>'Portefeuille SP2'!Z83</f>
        <v>0</v>
      </c>
      <c r="AO78" s="403">
        <f>'Portefeuille SP2'!AA83</f>
        <v>0</v>
      </c>
      <c r="AP78" s="403">
        <f>'Portefeuille SP2'!AB83</f>
        <v>0</v>
      </c>
      <c r="AQ78" s="403">
        <f>'Portefeuille SP2'!AC83</f>
        <v>0</v>
      </c>
      <c r="AR78" s="403">
        <f>'Portefeuille SP2'!AD83</f>
        <v>0</v>
      </c>
      <c r="AS78" s="403">
        <f>'Portefeuille SP2'!AE83</f>
        <v>1</v>
      </c>
      <c r="AT78" s="403">
        <f>'Portefeuille SP2'!AF83</f>
        <v>1</v>
      </c>
      <c r="AU78" s="403">
        <f>'Portefeuille SP2'!AG83</f>
        <v>1</v>
      </c>
      <c r="AV78" s="403">
        <f>'Portefeuille SP2'!AH83</f>
        <v>0</v>
      </c>
      <c r="AW78" s="403">
        <f>'Portefeuille SP2'!AI83</f>
        <v>0</v>
      </c>
      <c r="AX78" s="403">
        <f>'Portefeuille SP2'!AJ83</f>
        <v>0</v>
      </c>
      <c r="AY78" s="403">
        <f>'Portefeuille SP2'!AK83</f>
        <v>0</v>
      </c>
      <c r="AZ78" s="403">
        <f>'Portefeuille SP2'!AL83</f>
        <v>0</v>
      </c>
      <c r="BA78" s="403">
        <f>'Portefeuille SP2'!AM83</f>
        <v>0</v>
      </c>
      <c r="BB78" s="403">
        <f>'Portefeuille SP2'!AN83</f>
        <v>0</v>
      </c>
      <c r="BC78" s="403">
        <f>'Portefeuille SP2'!AO83</f>
        <v>0</v>
      </c>
      <c r="BD78" s="403">
        <f>'Portefeuille SP2'!AP83</f>
        <v>0</v>
      </c>
      <c r="BE78" s="403">
        <f>'Portefeuille SP2'!AQ83</f>
        <v>1</v>
      </c>
      <c r="BF78" s="403">
        <f>'Portefeuille SP2'!AR83</f>
        <v>0</v>
      </c>
      <c r="BG78" s="403" t="e">
        <f>'Portefeuille SP2'!#REF!</f>
        <v>#REF!</v>
      </c>
      <c r="BH78" s="403" t="e">
        <f>'Portefeuille SP2'!#REF!</f>
        <v>#REF!</v>
      </c>
      <c r="BI78" s="403" t="e">
        <f>'Portefeuille SP2'!#REF!</f>
        <v>#REF!</v>
      </c>
      <c r="BJ78" s="403" t="e">
        <f>'Portefeuille SP2'!#REF!</f>
        <v>#REF!</v>
      </c>
      <c r="BK78" s="403" t="e">
        <f>'Portefeuille SP2'!#REF!</f>
        <v>#REF!</v>
      </c>
      <c r="BL78" s="388"/>
      <c r="BM78" s="404" t="str">
        <f>'Portefeuille SP2'!L83</f>
        <v>14/03/2024 : Workshop mass</v>
      </c>
    </row>
    <row r="79" spans="1:65" ht="15" customHeight="1">
      <c r="A79" s="383">
        <f>'Portefeuille SP2'!B84</f>
        <v>0</v>
      </c>
      <c r="B79" s="390" t="str">
        <f>'Portefeuille SP2'!Q84</f>
        <v>CANCELED</v>
      </c>
      <c r="C79" s="384"/>
      <c r="D79" s="382" t="str">
        <f>'Portefeuille SP2'!E84</f>
        <v>PWT</v>
      </c>
      <c r="E79" s="382" t="str">
        <f t="shared" si="7"/>
        <v>PRS</v>
      </c>
      <c r="F79" s="382" t="str">
        <f t="shared" si="8"/>
        <v>DM</v>
      </c>
      <c r="G79" s="382" t="str">
        <f>'Portefeuille SP2'!C84</f>
        <v>SP2</v>
      </c>
      <c r="H79" s="382">
        <f>'Portefeuille SP2'!F84</f>
        <v>0</v>
      </c>
      <c r="I79" s="382"/>
      <c r="J79" s="382" t="str">
        <f>'Portefeuille SP2'!D84</f>
        <v>PRS_EDM</v>
      </c>
      <c r="K79" s="385" t="str">
        <f>'Portefeuille SP2'!H84</f>
        <v>EDM</v>
      </c>
      <c r="L79" s="157">
        <f>'Portefeuille SP2'!U84</f>
        <v>-2.5</v>
      </c>
      <c r="M79" s="386"/>
      <c r="N79" s="386"/>
      <c r="O79" s="386"/>
      <c r="P79" s="387">
        <f>'Portefeuille SP2'!M84</f>
        <v>0</v>
      </c>
      <c r="Q79" s="387"/>
      <c r="R79" s="387">
        <f>'Portefeuille SP2'!N84</f>
        <v>0</v>
      </c>
      <c r="S79" s="387"/>
      <c r="T79" s="382" t="str">
        <f>'Portefeuille SP2'!R84</f>
        <v>TBD</v>
      </c>
      <c r="U79" s="387">
        <f>'Portefeuille SP2'!K84</f>
        <v>0</v>
      </c>
      <c r="V79" s="399">
        <f>'Portefeuille SP2'!S84</f>
        <v>1</v>
      </c>
      <c r="W79" s="387"/>
      <c r="X79" s="387"/>
      <c r="Y79" s="387"/>
      <c r="Z79" s="387"/>
      <c r="AA79" s="387"/>
      <c r="AB79" s="387"/>
      <c r="AC79" s="387"/>
      <c r="AD79" s="387"/>
      <c r="AE79" s="400">
        <f>'Portefeuille SP2'!J84</f>
        <v>0</v>
      </c>
      <c r="AF79" s="387"/>
      <c r="AG79" s="387"/>
      <c r="AH79" s="389"/>
      <c r="AI79" s="389"/>
      <c r="AJ79" s="403">
        <f>'Portefeuille SP2'!V84</f>
        <v>1</v>
      </c>
      <c r="AK79" s="403">
        <f>'Portefeuille SP2'!W84</f>
        <v>1</v>
      </c>
      <c r="AL79" s="403">
        <f>'Portefeuille SP2'!X84</f>
        <v>1</v>
      </c>
      <c r="AM79" s="403">
        <f>'Portefeuille SP2'!Y84</f>
        <v>0</v>
      </c>
      <c r="AN79" s="403">
        <f>'Portefeuille SP2'!Z84</f>
        <v>0</v>
      </c>
      <c r="AO79" s="403">
        <f>'Portefeuille SP2'!AA84</f>
        <v>0</v>
      </c>
      <c r="AP79" s="403">
        <f>'Portefeuille SP2'!AB84</f>
        <v>0</v>
      </c>
      <c r="AQ79" s="403">
        <f>'Portefeuille SP2'!AC84</f>
        <v>0</v>
      </c>
      <c r="AR79" s="403">
        <f>'Portefeuille SP2'!AD84</f>
        <v>0</v>
      </c>
      <c r="AS79" s="403">
        <f>'Portefeuille SP2'!AE84</f>
        <v>1</v>
      </c>
      <c r="AT79" s="403">
        <f>'Portefeuille SP2'!AF84</f>
        <v>1</v>
      </c>
      <c r="AU79" s="403">
        <f>'Portefeuille SP2'!AG84</f>
        <v>1</v>
      </c>
      <c r="AV79" s="403">
        <f>'Portefeuille SP2'!AH84</f>
        <v>0</v>
      </c>
      <c r="AW79" s="403">
        <f>'Portefeuille SP2'!AI84</f>
        <v>0</v>
      </c>
      <c r="AX79" s="403">
        <f>'Portefeuille SP2'!AJ84</f>
        <v>0</v>
      </c>
      <c r="AY79" s="403">
        <f>'Portefeuille SP2'!AK84</f>
        <v>0</v>
      </c>
      <c r="AZ79" s="403">
        <f>'Portefeuille SP2'!AL84</f>
        <v>0</v>
      </c>
      <c r="BA79" s="403">
        <f>'Portefeuille SP2'!AM84</f>
        <v>0</v>
      </c>
      <c r="BB79" s="403">
        <f>'Portefeuille SP2'!AN84</f>
        <v>0</v>
      </c>
      <c r="BC79" s="403">
        <f>'Portefeuille SP2'!AO84</f>
        <v>0</v>
      </c>
      <c r="BD79" s="403">
        <f>'Portefeuille SP2'!AP84</f>
        <v>0</v>
      </c>
      <c r="BE79" s="403">
        <f>'Portefeuille SP2'!AQ84</f>
        <v>1</v>
      </c>
      <c r="BF79" s="403">
        <f>'Portefeuille SP2'!AR84</f>
        <v>0</v>
      </c>
      <c r="BG79" s="403" t="e">
        <f>'Portefeuille SP2'!#REF!</f>
        <v>#REF!</v>
      </c>
      <c r="BH79" s="403" t="e">
        <f>'Portefeuille SP2'!#REF!</f>
        <v>#REF!</v>
      </c>
      <c r="BI79" s="403" t="e">
        <f>'Portefeuille SP2'!#REF!</f>
        <v>#REF!</v>
      </c>
      <c r="BJ79" s="403" t="e">
        <f>'Portefeuille SP2'!#REF!</f>
        <v>#REF!</v>
      </c>
      <c r="BK79" s="403" t="e">
        <f>'Portefeuille SP2'!#REF!</f>
        <v>#REF!</v>
      </c>
      <c r="BL79" s="388"/>
      <c r="BM79" s="404" t="str">
        <f>'Portefeuille SP2'!L84</f>
        <v>14/03/2024 : Workshop mass</v>
      </c>
    </row>
    <row r="80" spans="1:65" ht="15" customHeight="1">
      <c r="A80" s="383">
        <f>'Portefeuille SP2'!B85</f>
        <v>0</v>
      </c>
      <c r="B80" s="390" t="str">
        <f>'Portefeuille SP2'!Q85</f>
        <v>CANCELED</v>
      </c>
      <c r="C80" s="384"/>
      <c r="D80" s="382" t="str">
        <f>'Portefeuille SP2'!E85</f>
        <v>PWT</v>
      </c>
      <c r="E80" s="382" t="str">
        <f t="shared" si="7"/>
        <v>PRS</v>
      </c>
      <c r="F80" s="382" t="str">
        <f t="shared" si="8"/>
        <v>ATT</v>
      </c>
      <c r="G80" s="382" t="str">
        <f>'Portefeuille SP2'!C85</f>
        <v>SP2</v>
      </c>
      <c r="H80" s="382">
        <f>'Portefeuille SP2'!F85</f>
        <v>0</v>
      </c>
      <c r="I80" s="382"/>
      <c r="J80" s="382" t="str">
        <f>'Portefeuille SP2'!D85</f>
        <v>PRS_BATT</v>
      </c>
      <c r="K80" s="385">
        <f>'Portefeuille SP2'!H85</f>
        <v>0</v>
      </c>
      <c r="L80" s="157">
        <f>'Portefeuille SP2'!U85</f>
        <v>-22</v>
      </c>
      <c r="M80" s="386"/>
      <c r="N80" s="386"/>
      <c r="O80" s="386"/>
      <c r="P80" s="387">
        <f>'Portefeuille SP2'!M85</f>
        <v>0</v>
      </c>
      <c r="Q80" s="387"/>
      <c r="R80" s="387">
        <f>'Portefeuille SP2'!N85</f>
        <v>0</v>
      </c>
      <c r="S80" s="387"/>
      <c r="T80" s="382" t="str">
        <f>'Portefeuille SP2'!R85</f>
        <v>TBD</v>
      </c>
      <c r="U80" s="387">
        <f>'Portefeuille SP2'!K85</f>
        <v>0</v>
      </c>
      <c r="V80" s="399">
        <f>'Portefeuille SP2'!S85</f>
        <v>1</v>
      </c>
      <c r="W80" s="387"/>
      <c r="X80" s="387"/>
      <c r="Y80" s="387"/>
      <c r="Z80" s="387"/>
      <c r="AA80" s="387"/>
      <c r="AB80" s="387"/>
      <c r="AC80" s="387"/>
      <c r="AD80" s="387"/>
      <c r="AE80" s="400">
        <f>'Portefeuille SP2'!J85</f>
        <v>0</v>
      </c>
      <c r="AF80" s="387"/>
      <c r="AG80" s="387"/>
      <c r="AH80" s="389"/>
      <c r="AI80" s="389"/>
      <c r="AJ80" s="403">
        <f>'Portefeuille SP2'!V85</f>
        <v>1</v>
      </c>
      <c r="AK80" s="403">
        <f>'Portefeuille SP2'!W85</f>
        <v>1</v>
      </c>
      <c r="AL80" s="403">
        <f>'Portefeuille SP2'!X85</f>
        <v>1</v>
      </c>
      <c r="AM80" s="403">
        <f>'Portefeuille SP2'!Y85</f>
        <v>0</v>
      </c>
      <c r="AN80" s="403">
        <f>'Portefeuille SP2'!Z85</f>
        <v>0</v>
      </c>
      <c r="AO80" s="403">
        <f>'Portefeuille SP2'!AA85</f>
        <v>0</v>
      </c>
      <c r="AP80" s="403">
        <f>'Portefeuille SP2'!AB85</f>
        <v>0</v>
      </c>
      <c r="AQ80" s="403">
        <f>'Portefeuille SP2'!AC85</f>
        <v>0</v>
      </c>
      <c r="AR80" s="403">
        <f>'Portefeuille SP2'!AD85</f>
        <v>0</v>
      </c>
      <c r="AS80" s="403">
        <f>'Portefeuille SP2'!AE85</f>
        <v>1</v>
      </c>
      <c r="AT80" s="403">
        <f>'Portefeuille SP2'!AF85</f>
        <v>1</v>
      </c>
      <c r="AU80" s="403">
        <f>'Portefeuille SP2'!AG85</f>
        <v>1</v>
      </c>
      <c r="AV80" s="403">
        <f>'Portefeuille SP2'!AH85</f>
        <v>0</v>
      </c>
      <c r="AW80" s="403">
        <f>'Portefeuille SP2'!AI85</f>
        <v>0</v>
      </c>
      <c r="AX80" s="403">
        <f>'Portefeuille SP2'!AJ85</f>
        <v>0</v>
      </c>
      <c r="AY80" s="403">
        <f>'Portefeuille SP2'!AK85</f>
        <v>0</v>
      </c>
      <c r="AZ80" s="403">
        <f>'Portefeuille SP2'!AL85</f>
        <v>0</v>
      </c>
      <c r="BA80" s="403">
        <f>'Portefeuille SP2'!AM85</f>
        <v>0</v>
      </c>
      <c r="BB80" s="403">
        <f>'Portefeuille SP2'!AN85</f>
        <v>0</v>
      </c>
      <c r="BC80" s="403">
        <f>'Portefeuille SP2'!AO85</f>
        <v>0</v>
      </c>
      <c r="BD80" s="403">
        <f>'Portefeuille SP2'!AP85</f>
        <v>0</v>
      </c>
      <c r="BE80" s="403">
        <f>'Portefeuille SP2'!AQ85</f>
        <v>1</v>
      </c>
      <c r="BF80" s="403">
        <f>'Portefeuille SP2'!AR85</f>
        <v>0</v>
      </c>
      <c r="BG80" s="403" t="e">
        <f>'Portefeuille SP2'!#REF!</f>
        <v>#REF!</v>
      </c>
      <c r="BH80" s="403" t="e">
        <f>'Portefeuille SP2'!#REF!</f>
        <v>#REF!</v>
      </c>
      <c r="BI80" s="403" t="e">
        <f>'Portefeuille SP2'!#REF!</f>
        <v>#REF!</v>
      </c>
      <c r="BJ80" s="403" t="e">
        <f>'Portefeuille SP2'!#REF!</f>
        <v>#REF!</v>
      </c>
      <c r="BK80" s="403" t="e">
        <f>'Portefeuille SP2'!#REF!</f>
        <v>#REF!</v>
      </c>
      <c r="BL80" s="388"/>
      <c r="BM80" s="404" t="str">
        <f>'Portefeuille SP2'!L85</f>
        <v>14/03/2024 : Workshop mass</v>
      </c>
    </row>
    <row r="81" spans="1:65" ht="15" customHeight="1">
      <c r="A81" s="383">
        <f>'Portefeuille SP2'!B86</f>
        <v>0</v>
      </c>
      <c r="B81" s="390" t="str">
        <f>'Portefeuille SP2'!Q86</f>
        <v>CANCELED</v>
      </c>
      <c r="C81" s="384"/>
      <c r="D81" s="382" t="str">
        <f>'Portefeuille SP2'!E86</f>
        <v>PTF</v>
      </c>
      <c r="E81" s="382" t="str">
        <f t="shared" si="7"/>
        <v>BCI</v>
      </c>
      <c r="F81" s="382" t="str">
        <f t="shared" si="8"/>
        <v>ODY</v>
      </c>
      <c r="G81" s="382" t="str">
        <f>'Portefeuille SP2'!C86</f>
        <v>SP2</v>
      </c>
      <c r="H81" s="382">
        <f>'Portefeuille SP2'!F86</f>
        <v>0</v>
      </c>
      <c r="I81" s="382"/>
      <c r="J81" s="382" t="str">
        <f>'Portefeuille SP2'!D86</f>
        <v>BCI_BODY</v>
      </c>
      <c r="K81" s="385">
        <f>'Portefeuille SP2'!H86</f>
        <v>0</v>
      </c>
      <c r="L81" s="157">
        <f>'Portefeuille SP2'!U86</f>
        <v>-2.5</v>
      </c>
      <c r="M81" s="386"/>
      <c r="N81" s="386"/>
      <c r="O81" s="386"/>
      <c r="P81" s="387">
        <f>'Portefeuille SP2'!M86</f>
        <v>0</v>
      </c>
      <c r="Q81" s="387"/>
      <c r="R81" s="387">
        <f>'Portefeuille SP2'!N86</f>
        <v>0</v>
      </c>
      <c r="S81" s="387"/>
      <c r="T81" s="382" t="str">
        <f>'Portefeuille SP2'!R86</f>
        <v>TBD</v>
      </c>
      <c r="U81" s="387">
        <f>'Portefeuille SP2'!K86</f>
        <v>0</v>
      </c>
      <c r="V81" s="399">
        <f>'Portefeuille SP2'!S86</f>
        <v>0.5</v>
      </c>
      <c r="W81" s="387"/>
      <c r="X81" s="387"/>
      <c r="Y81" s="387"/>
      <c r="Z81" s="387"/>
      <c r="AA81" s="387"/>
      <c r="AB81" s="387"/>
      <c r="AC81" s="387"/>
      <c r="AD81" s="387"/>
      <c r="AE81" s="400">
        <f>'Portefeuille SP2'!J86</f>
        <v>0</v>
      </c>
      <c r="AF81" s="387"/>
      <c r="AG81" s="387"/>
      <c r="AH81" s="389"/>
      <c r="AI81" s="389"/>
      <c r="AJ81" s="403">
        <f>'Portefeuille SP2'!V86</f>
        <v>1</v>
      </c>
      <c r="AK81" s="403">
        <f>'Portefeuille SP2'!W86</f>
        <v>1</v>
      </c>
      <c r="AL81" s="403">
        <f>'Portefeuille SP2'!X86</f>
        <v>1</v>
      </c>
      <c r="AM81" s="403">
        <f>'Portefeuille SP2'!Y86</f>
        <v>0</v>
      </c>
      <c r="AN81" s="403">
        <f>'Portefeuille SP2'!Z86</f>
        <v>0</v>
      </c>
      <c r="AO81" s="403">
        <f>'Portefeuille SP2'!AA86</f>
        <v>0</v>
      </c>
      <c r="AP81" s="403">
        <f>'Portefeuille SP2'!AB86</f>
        <v>0</v>
      </c>
      <c r="AQ81" s="403">
        <f>'Portefeuille SP2'!AC86</f>
        <v>0</v>
      </c>
      <c r="AR81" s="403">
        <f>'Portefeuille SP2'!AD86</f>
        <v>0</v>
      </c>
      <c r="AS81" s="403">
        <f>'Portefeuille SP2'!AE86</f>
        <v>1</v>
      </c>
      <c r="AT81" s="403">
        <f>'Portefeuille SP2'!AF86</f>
        <v>1</v>
      </c>
      <c r="AU81" s="403">
        <f>'Portefeuille SP2'!AG86</f>
        <v>1</v>
      </c>
      <c r="AV81" s="403">
        <f>'Portefeuille SP2'!AH86</f>
        <v>0</v>
      </c>
      <c r="AW81" s="403">
        <f>'Portefeuille SP2'!AI86</f>
        <v>0</v>
      </c>
      <c r="AX81" s="403">
        <f>'Portefeuille SP2'!AJ86</f>
        <v>0</v>
      </c>
      <c r="AY81" s="403">
        <f>'Portefeuille SP2'!AK86</f>
        <v>0</v>
      </c>
      <c r="AZ81" s="403">
        <f>'Portefeuille SP2'!AL86</f>
        <v>0</v>
      </c>
      <c r="BA81" s="403">
        <f>'Portefeuille SP2'!AM86</f>
        <v>0</v>
      </c>
      <c r="BB81" s="403">
        <f>'Portefeuille SP2'!AN86</f>
        <v>0</v>
      </c>
      <c r="BC81" s="403">
        <f>'Portefeuille SP2'!AO86</f>
        <v>0</v>
      </c>
      <c r="BD81" s="403">
        <f>'Portefeuille SP2'!AP86</f>
        <v>0</v>
      </c>
      <c r="BE81" s="403">
        <f>'Portefeuille SP2'!AQ86</f>
        <v>1</v>
      </c>
      <c r="BF81" s="403">
        <f>'Portefeuille SP2'!AR86</f>
        <v>0</v>
      </c>
      <c r="BG81" s="403" t="e">
        <f>'Portefeuille SP2'!#REF!</f>
        <v>#REF!</v>
      </c>
      <c r="BH81" s="403" t="e">
        <f>'Portefeuille SP2'!#REF!</f>
        <v>#REF!</v>
      </c>
      <c r="BI81" s="403" t="e">
        <f>'Portefeuille SP2'!#REF!</f>
        <v>#REF!</v>
      </c>
      <c r="BJ81" s="403" t="e">
        <f>'Portefeuille SP2'!#REF!</f>
        <v>#REF!</v>
      </c>
      <c r="BK81" s="403" t="e">
        <f>'Portefeuille SP2'!#REF!</f>
        <v>#REF!</v>
      </c>
      <c r="BL81" s="388"/>
      <c r="BM81" s="404" t="str">
        <f>'Portefeuille SP2'!L86</f>
        <v>14/03/2024 : Workshop mass</v>
      </c>
    </row>
    <row r="82" spans="1:65" ht="15" customHeight="1">
      <c r="A82" s="383">
        <f>'Portefeuille SP2'!B87</f>
        <v>0</v>
      </c>
      <c r="B82" s="390" t="str">
        <f>'Portefeuille SP2'!Q87</f>
        <v>DECIDED</v>
      </c>
      <c r="C82" s="384"/>
      <c r="D82" s="382" t="str">
        <f>'Portefeuille SP2'!E87</f>
        <v>PTF</v>
      </c>
      <c r="E82" s="382" t="str">
        <f t="shared" si="7"/>
        <v>BCI</v>
      </c>
      <c r="F82" s="382" t="str">
        <f t="shared" si="8"/>
        <v>ODY</v>
      </c>
      <c r="G82" s="382" t="str">
        <f>'Portefeuille SP2'!C87</f>
        <v>SP2</v>
      </c>
      <c r="H82" s="382">
        <f>'Portefeuille SP2'!F87</f>
        <v>0</v>
      </c>
      <c r="I82" s="382"/>
      <c r="J82" s="382" t="str">
        <f>'Portefeuille SP2'!D87</f>
        <v>BCI_BODY</v>
      </c>
      <c r="K82" s="385">
        <f>'Portefeuille SP2'!H87</f>
        <v>0</v>
      </c>
      <c r="L82" s="157">
        <f>'Portefeuille SP2'!U87</f>
        <v>-4.55</v>
      </c>
      <c r="M82" s="386"/>
      <c r="N82" s="386"/>
      <c r="O82" s="386"/>
      <c r="P82" s="387">
        <f>'Portefeuille SP2'!M87</f>
        <v>0</v>
      </c>
      <c r="Q82" s="387"/>
      <c r="R82" s="387">
        <f>'Portefeuille SP2'!N87</f>
        <v>16</v>
      </c>
      <c r="S82" s="387"/>
      <c r="T82" s="382" t="str">
        <f>'Portefeuille SP2'!R87</f>
        <v>TBD</v>
      </c>
      <c r="U82" s="387">
        <f>'Portefeuille SP2'!K87</f>
        <v>0</v>
      </c>
      <c r="V82" s="399">
        <f>'Portefeuille SP2'!S87</f>
        <v>0.65</v>
      </c>
      <c r="W82" s="387"/>
      <c r="X82" s="387"/>
      <c r="Y82" s="387"/>
      <c r="Z82" s="387"/>
      <c r="AA82" s="387"/>
      <c r="AB82" s="387"/>
      <c r="AC82" s="387"/>
      <c r="AD82" s="387"/>
      <c r="AE82" s="400">
        <f>'Portefeuille SP2'!J87</f>
        <v>0</v>
      </c>
      <c r="AF82" s="387"/>
      <c r="AG82" s="387"/>
      <c r="AH82" s="389"/>
      <c r="AI82" s="389"/>
      <c r="AJ82" s="403">
        <f>'Portefeuille SP2'!V87</f>
        <v>1</v>
      </c>
      <c r="AK82" s="403">
        <f>'Portefeuille SP2'!W87</f>
        <v>1</v>
      </c>
      <c r="AL82" s="403">
        <f>'Portefeuille SP2'!X87</f>
        <v>1</v>
      </c>
      <c r="AM82" s="403">
        <f>'Portefeuille SP2'!Y87</f>
        <v>1</v>
      </c>
      <c r="AN82" s="403">
        <f>'Portefeuille SP2'!Z87</f>
        <v>0</v>
      </c>
      <c r="AO82" s="403">
        <f>'Portefeuille SP2'!AA87</f>
        <v>1</v>
      </c>
      <c r="AP82" s="403">
        <f>'Portefeuille SP2'!AB87</f>
        <v>1</v>
      </c>
      <c r="AQ82" s="403">
        <f>'Portefeuille SP2'!AC87</f>
        <v>1</v>
      </c>
      <c r="AR82" s="403">
        <f>'Portefeuille SP2'!AD87</f>
        <v>0</v>
      </c>
      <c r="AS82" s="403">
        <f>'Portefeuille SP2'!AE87</f>
        <v>1</v>
      </c>
      <c r="AT82" s="403">
        <f>'Portefeuille SP2'!AF87</f>
        <v>1</v>
      </c>
      <c r="AU82" s="403">
        <f>'Portefeuille SP2'!AG87</f>
        <v>1</v>
      </c>
      <c r="AV82" s="403">
        <f>'Portefeuille SP2'!AH87</f>
        <v>1</v>
      </c>
      <c r="AW82" s="403">
        <f>'Portefeuille SP2'!AI87</f>
        <v>0</v>
      </c>
      <c r="AX82" s="403">
        <f>'Portefeuille SP2'!AJ87</f>
        <v>1</v>
      </c>
      <c r="AY82" s="403">
        <f>'Portefeuille SP2'!AK87</f>
        <v>1</v>
      </c>
      <c r="AZ82" s="403">
        <f>'Portefeuille SP2'!AL87</f>
        <v>1</v>
      </c>
      <c r="BA82" s="403">
        <f>'Portefeuille SP2'!AM87</f>
        <v>0</v>
      </c>
      <c r="BB82" s="403">
        <f>'Portefeuille SP2'!AN87</f>
        <v>0</v>
      </c>
      <c r="BC82" s="403">
        <f>'Portefeuille SP2'!AO87</f>
        <v>0</v>
      </c>
      <c r="BD82" s="403">
        <f>'Portefeuille SP2'!AP87</f>
        <v>0</v>
      </c>
      <c r="BE82" s="403">
        <f>'Portefeuille SP2'!AQ87</f>
        <v>0</v>
      </c>
      <c r="BF82" s="403">
        <f>'Portefeuille SP2'!AR87</f>
        <v>0</v>
      </c>
      <c r="BG82" s="403" t="e">
        <f>'Portefeuille SP2'!#REF!</f>
        <v>#REF!</v>
      </c>
      <c r="BH82" s="403" t="e">
        <f>'Portefeuille SP2'!#REF!</f>
        <v>#REF!</v>
      </c>
      <c r="BI82" s="403" t="e">
        <f>'Portefeuille SP2'!#REF!</f>
        <v>#REF!</v>
      </c>
      <c r="BJ82" s="403" t="e">
        <f>'Portefeuille SP2'!#REF!</f>
        <v>#REF!</v>
      </c>
      <c r="BK82" s="403" t="e">
        <f>'Portefeuille SP2'!#REF!</f>
        <v>#REF!</v>
      </c>
      <c r="BL82" s="388"/>
      <c r="BM82" s="404" t="str">
        <f>'Portefeuille SP2'!L87</f>
        <v>14/03/2024 : Workshop mass</v>
      </c>
    </row>
    <row r="83" spans="1:65" ht="15" customHeight="1">
      <c r="A83" s="383">
        <f>'Portefeuille SP2'!B88</f>
        <v>0</v>
      </c>
      <c r="B83" s="390" t="str">
        <f>'Portefeuille SP2'!Q88</f>
        <v>CANCELED</v>
      </c>
      <c r="C83" s="384"/>
      <c r="D83" s="382" t="str">
        <f>'Portefeuille SP2'!E88</f>
        <v>PTF</v>
      </c>
      <c r="E83" s="382" t="str">
        <f t="shared" si="7"/>
        <v>SWX</v>
      </c>
      <c r="F83" s="382" t="str">
        <f t="shared" si="8"/>
        <v>HE</v>
      </c>
      <c r="G83" s="382" t="str">
        <f>'Portefeuille SP2'!C88</f>
        <v>SP2</v>
      </c>
      <c r="H83" s="382">
        <f>'Portefeuille SP2'!F88</f>
        <v>0</v>
      </c>
      <c r="I83" s="382"/>
      <c r="J83" s="382" t="str">
        <f>'Portefeuille SP2'!D88</f>
        <v>SWX_EHE</v>
      </c>
      <c r="K83" s="385">
        <f>'Portefeuille SP2'!H88</f>
        <v>0</v>
      </c>
      <c r="L83" s="157">
        <f>'Portefeuille SP2'!U88</f>
        <v>-8</v>
      </c>
      <c r="M83" s="386"/>
      <c r="N83" s="386"/>
      <c r="O83" s="386"/>
      <c r="P83" s="387">
        <f>'Portefeuille SP2'!M88</f>
        <v>0</v>
      </c>
      <c r="Q83" s="387"/>
      <c r="R83" s="387">
        <f>'Portefeuille SP2'!N88</f>
        <v>50</v>
      </c>
      <c r="S83" s="387"/>
      <c r="T83" s="382" t="str">
        <f>'Portefeuille SP2'!R88</f>
        <v>TBD</v>
      </c>
      <c r="U83" s="387">
        <f>'Portefeuille SP2'!K88</f>
        <v>0</v>
      </c>
      <c r="V83" s="399">
        <f>'Portefeuille SP2'!S88</f>
        <v>1</v>
      </c>
      <c r="W83" s="387"/>
      <c r="X83" s="387"/>
      <c r="Y83" s="387"/>
      <c r="Z83" s="387"/>
      <c r="AA83" s="387"/>
      <c r="AB83" s="387"/>
      <c r="AC83" s="387"/>
      <c r="AD83" s="387"/>
      <c r="AE83" s="400">
        <f>'Portefeuille SP2'!J88</f>
        <v>0</v>
      </c>
      <c r="AF83" s="387"/>
      <c r="AG83" s="387"/>
      <c r="AH83" s="389"/>
      <c r="AI83" s="389"/>
      <c r="AJ83" s="403">
        <f>'Portefeuille SP2'!V88</f>
        <v>1</v>
      </c>
      <c r="AK83" s="403">
        <f>'Portefeuille SP2'!W88</f>
        <v>1</v>
      </c>
      <c r="AL83" s="403">
        <f>'Portefeuille SP2'!X88</f>
        <v>1</v>
      </c>
      <c r="AM83" s="403">
        <f>'Portefeuille SP2'!Y88</f>
        <v>0</v>
      </c>
      <c r="AN83" s="403">
        <f>'Portefeuille SP2'!Z88</f>
        <v>0</v>
      </c>
      <c r="AO83" s="403">
        <f>'Portefeuille SP2'!AA88</f>
        <v>0</v>
      </c>
      <c r="AP83" s="403">
        <f>'Portefeuille SP2'!AB88</f>
        <v>0</v>
      </c>
      <c r="AQ83" s="403">
        <f>'Portefeuille SP2'!AC88</f>
        <v>0</v>
      </c>
      <c r="AR83" s="403">
        <f>'Portefeuille SP2'!AD88</f>
        <v>0</v>
      </c>
      <c r="AS83" s="403">
        <f>'Portefeuille SP2'!AE88</f>
        <v>1</v>
      </c>
      <c r="AT83" s="403">
        <f>'Portefeuille SP2'!AF88</f>
        <v>1</v>
      </c>
      <c r="AU83" s="403">
        <f>'Portefeuille SP2'!AG88</f>
        <v>1</v>
      </c>
      <c r="AV83" s="403">
        <f>'Portefeuille SP2'!AH88</f>
        <v>0</v>
      </c>
      <c r="AW83" s="403">
        <f>'Portefeuille SP2'!AI88</f>
        <v>0</v>
      </c>
      <c r="AX83" s="403">
        <f>'Portefeuille SP2'!AJ88</f>
        <v>0</v>
      </c>
      <c r="AY83" s="403">
        <f>'Portefeuille SP2'!AK88</f>
        <v>0</v>
      </c>
      <c r="AZ83" s="403">
        <f>'Portefeuille SP2'!AL88</f>
        <v>0</v>
      </c>
      <c r="BA83" s="403">
        <f>'Portefeuille SP2'!AM88</f>
        <v>0</v>
      </c>
      <c r="BB83" s="403">
        <f>'Portefeuille SP2'!AN88</f>
        <v>0</v>
      </c>
      <c r="BC83" s="403">
        <f>'Portefeuille SP2'!AO88</f>
        <v>0</v>
      </c>
      <c r="BD83" s="403">
        <f>'Portefeuille SP2'!AP88</f>
        <v>0</v>
      </c>
      <c r="BE83" s="403">
        <f>'Portefeuille SP2'!AQ88</f>
        <v>1</v>
      </c>
      <c r="BF83" s="403">
        <f>'Portefeuille SP2'!AR88</f>
        <v>0</v>
      </c>
      <c r="BG83" s="403" t="e">
        <f>'Portefeuille SP2'!#REF!</f>
        <v>#REF!</v>
      </c>
      <c r="BH83" s="403" t="e">
        <f>'Portefeuille SP2'!#REF!</f>
        <v>#REF!</v>
      </c>
      <c r="BI83" s="403" t="e">
        <f>'Portefeuille SP2'!#REF!</f>
        <v>#REF!</v>
      </c>
      <c r="BJ83" s="403" t="e">
        <f>'Portefeuille SP2'!#REF!</f>
        <v>#REF!</v>
      </c>
      <c r="BK83" s="403" t="e">
        <f>'Portefeuille SP2'!#REF!</f>
        <v>#REF!</v>
      </c>
      <c r="BL83" s="388"/>
      <c r="BM83" s="404" t="str">
        <f>'Portefeuille SP2'!L88</f>
        <v>14/03/2024 : Workshop mass</v>
      </c>
    </row>
    <row r="84" spans="1:65" ht="15" customHeight="1">
      <c r="A84" s="383">
        <f>'Portefeuille SP2'!B89</f>
        <v>0</v>
      </c>
      <c r="B84" s="390" t="str">
        <f>'Portefeuille SP2'!Q89</f>
        <v>CANCELED</v>
      </c>
      <c r="C84" s="384"/>
      <c r="D84" s="382" t="str">
        <f>'Portefeuille SP2'!E89</f>
        <v>TH</v>
      </c>
      <c r="E84" s="382" t="str">
        <f t="shared" si="7"/>
        <v>BCI</v>
      </c>
      <c r="F84" s="382" t="str">
        <f t="shared" si="8"/>
        <v>RSD</v>
      </c>
      <c r="G84" s="382" t="str">
        <f>'Portefeuille SP2'!C89</f>
        <v>SP2</v>
      </c>
      <c r="H84" s="382">
        <f>'Portefeuille SP2'!F89</f>
        <v>0</v>
      </c>
      <c r="I84" s="382"/>
      <c r="J84" s="382" t="str">
        <f>'Portefeuille SP2'!D89</f>
        <v>BCI_FRSD</v>
      </c>
      <c r="K84" s="385" t="str">
        <f>'Portefeuille SP2'!H89</f>
        <v>Fr Fender ALLOY</v>
      </c>
      <c r="L84" s="157">
        <f>'Portefeuille SP2'!U89</f>
        <v>-0.7</v>
      </c>
      <c r="M84" s="386"/>
      <c r="N84" s="386"/>
      <c r="O84" s="386"/>
      <c r="P84" s="387">
        <f>'Portefeuille SP2'!M89</f>
        <v>0</v>
      </c>
      <c r="Q84" s="387"/>
      <c r="R84" s="387">
        <f>'Portefeuille SP2'!N89</f>
        <v>0</v>
      </c>
      <c r="S84" s="387"/>
      <c r="T84" s="382" t="str">
        <f>'Portefeuille SP2'!R89</f>
        <v>TBD</v>
      </c>
      <c r="U84" s="387">
        <f>'Portefeuille SP2'!K89</f>
        <v>0</v>
      </c>
      <c r="V84" s="399">
        <f>'Portefeuille SP2'!S89</f>
        <v>0.5</v>
      </c>
      <c r="W84" s="387"/>
      <c r="X84" s="387"/>
      <c r="Y84" s="387"/>
      <c r="Z84" s="387"/>
      <c r="AA84" s="387"/>
      <c r="AB84" s="387"/>
      <c r="AC84" s="387"/>
      <c r="AD84" s="387"/>
      <c r="AE84" s="400">
        <f>'Portefeuille SP2'!J89</f>
        <v>0</v>
      </c>
      <c r="AF84" s="387"/>
      <c r="AG84" s="387"/>
      <c r="AH84" s="389"/>
      <c r="AI84" s="389"/>
      <c r="AJ84" s="403">
        <f>'Portefeuille SP2'!V89</f>
        <v>1</v>
      </c>
      <c r="AK84" s="403">
        <f>'Portefeuille SP2'!W89</f>
        <v>1</v>
      </c>
      <c r="AL84" s="403">
        <f>'Portefeuille SP2'!X89</f>
        <v>1</v>
      </c>
      <c r="AM84" s="403">
        <f>'Portefeuille SP2'!Y89</f>
        <v>0</v>
      </c>
      <c r="AN84" s="403">
        <f>'Portefeuille SP2'!Z89</f>
        <v>0</v>
      </c>
      <c r="AO84" s="403">
        <f>'Portefeuille SP2'!AA89</f>
        <v>0</v>
      </c>
      <c r="AP84" s="403">
        <f>'Portefeuille SP2'!AB89</f>
        <v>0</v>
      </c>
      <c r="AQ84" s="403">
        <f>'Portefeuille SP2'!AC89</f>
        <v>0</v>
      </c>
      <c r="AR84" s="403">
        <f>'Portefeuille SP2'!AD89</f>
        <v>0</v>
      </c>
      <c r="AS84" s="403">
        <f>'Portefeuille SP2'!AE89</f>
        <v>1</v>
      </c>
      <c r="AT84" s="403">
        <f>'Portefeuille SP2'!AF89</f>
        <v>1</v>
      </c>
      <c r="AU84" s="403">
        <f>'Portefeuille SP2'!AG89</f>
        <v>1</v>
      </c>
      <c r="AV84" s="403">
        <f>'Portefeuille SP2'!AH89</f>
        <v>0</v>
      </c>
      <c r="AW84" s="403">
        <f>'Portefeuille SP2'!AI89</f>
        <v>0</v>
      </c>
      <c r="AX84" s="403">
        <f>'Portefeuille SP2'!AJ89</f>
        <v>0</v>
      </c>
      <c r="AY84" s="403">
        <f>'Portefeuille SP2'!AK89</f>
        <v>0</v>
      </c>
      <c r="AZ84" s="403">
        <f>'Portefeuille SP2'!AL89</f>
        <v>0</v>
      </c>
      <c r="BA84" s="403">
        <f>'Portefeuille SP2'!AM89</f>
        <v>0</v>
      </c>
      <c r="BB84" s="403">
        <f>'Portefeuille SP2'!AN89</f>
        <v>0</v>
      </c>
      <c r="BC84" s="403">
        <f>'Portefeuille SP2'!AO89</f>
        <v>0</v>
      </c>
      <c r="BD84" s="403">
        <f>'Portefeuille SP2'!AP89</f>
        <v>0</v>
      </c>
      <c r="BE84" s="403">
        <f>'Portefeuille SP2'!AQ89</f>
        <v>1</v>
      </c>
      <c r="BF84" s="403">
        <f>'Portefeuille SP2'!AR89</f>
        <v>0</v>
      </c>
      <c r="BG84" s="403" t="e">
        <f>'Portefeuille SP2'!#REF!</f>
        <v>#REF!</v>
      </c>
      <c r="BH84" s="403" t="e">
        <f>'Portefeuille SP2'!#REF!</f>
        <v>#REF!</v>
      </c>
      <c r="BI84" s="403" t="e">
        <f>'Portefeuille SP2'!#REF!</f>
        <v>#REF!</v>
      </c>
      <c r="BJ84" s="403" t="e">
        <f>'Portefeuille SP2'!#REF!</f>
        <v>#REF!</v>
      </c>
      <c r="BK84" s="403" t="e">
        <f>'Portefeuille SP2'!#REF!</f>
        <v>#REF!</v>
      </c>
      <c r="BL84" s="388"/>
      <c r="BM84" s="404" t="str">
        <f>'Portefeuille SP2'!L89</f>
        <v>setp 3</v>
      </c>
    </row>
    <row r="85" spans="1:65" ht="15" customHeight="1">
      <c r="A85" s="383">
        <f>'Portefeuille SP2'!B90</f>
        <v>0</v>
      </c>
      <c r="B85" s="390" t="str">
        <f>'Portefeuille SP2'!Q90</f>
        <v>DECIDED</v>
      </c>
      <c r="C85" s="384"/>
      <c r="D85" s="382" t="str">
        <f>'Portefeuille SP2'!E90</f>
        <v>TH</v>
      </c>
      <c r="E85" s="382" t="str">
        <f t="shared" si="7"/>
        <v>BCI</v>
      </c>
      <c r="F85" s="382" t="str">
        <f t="shared" si="8"/>
        <v>RSD</v>
      </c>
      <c r="G85" s="382" t="str">
        <f>'Portefeuille SP2'!C90</f>
        <v>SP2</v>
      </c>
      <c r="H85" s="382">
        <f>'Portefeuille SP2'!F90</f>
        <v>0</v>
      </c>
      <c r="I85" s="382"/>
      <c r="J85" s="382" t="str">
        <f>'Portefeuille SP2'!D90</f>
        <v>BCI_FRSD</v>
      </c>
      <c r="K85" s="385" t="str">
        <f>'Portefeuille SP2'!H90</f>
        <v xml:space="preserve">Steel tailgate </v>
      </c>
      <c r="L85" s="157">
        <f>'Portefeuille SP2'!U90</f>
        <v>5</v>
      </c>
      <c r="M85" s="386"/>
      <c r="N85" s="386"/>
      <c r="O85" s="386"/>
      <c r="P85" s="387">
        <f>'Portefeuille SP2'!M90</f>
        <v>0</v>
      </c>
      <c r="Q85" s="387"/>
      <c r="R85" s="387">
        <f>'Portefeuille SP2'!N90</f>
        <v>52</v>
      </c>
      <c r="S85" s="387"/>
      <c r="T85" s="382" t="str">
        <f>'Portefeuille SP2'!R90</f>
        <v>TBD</v>
      </c>
      <c r="U85" s="387" t="str">
        <f>'Portefeuille SP2'!K90</f>
        <v>PM CW30</v>
      </c>
      <c r="V85" s="399">
        <f>'Portefeuille SP2'!S90</f>
        <v>1</v>
      </c>
      <c r="W85" s="387"/>
      <c r="X85" s="387"/>
      <c r="Y85" s="387"/>
      <c r="Z85" s="387"/>
      <c r="AA85" s="387"/>
      <c r="AB85" s="387"/>
      <c r="AC85" s="387"/>
      <c r="AD85" s="387"/>
      <c r="AE85" s="400" t="str">
        <f>'Portefeuille SP2'!J90</f>
        <v>08/10/2024: BDD à jour
plastic</v>
      </c>
      <c r="AF85" s="387"/>
      <c r="AG85" s="387"/>
      <c r="AH85" s="389"/>
      <c r="AI85" s="389"/>
      <c r="AJ85" s="403">
        <f>'Portefeuille SP2'!V90</f>
        <v>0</v>
      </c>
      <c r="AK85" s="403">
        <f>'Portefeuille SP2'!W90</f>
        <v>0</v>
      </c>
      <c r="AL85" s="403">
        <f>'Portefeuille SP2'!X90</f>
        <v>0</v>
      </c>
      <c r="AM85" s="403">
        <f>'Portefeuille SP2'!Y90</f>
        <v>0</v>
      </c>
      <c r="AN85" s="403">
        <f>'Portefeuille SP2'!Z90</f>
        <v>0</v>
      </c>
      <c r="AO85" s="403">
        <f>'Portefeuille SP2'!AA90</f>
        <v>0</v>
      </c>
      <c r="AP85" s="403">
        <f>'Portefeuille SP2'!AB90</f>
        <v>0</v>
      </c>
      <c r="AQ85" s="403">
        <f>'Portefeuille SP2'!AC90</f>
        <v>0</v>
      </c>
      <c r="AR85" s="403">
        <f>'Portefeuille SP2'!AD90</f>
        <v>0</v>
      </c>
      <c r="AS85" s="403">
        <f>'Portefeuille SP2'!AE90</f>
        <v>0</v>
      </c>
      <c r="AT85" s="403">
        <f>'Portefeuille SP2'!AF90</f>
        <v>0</v>
      </c>
      <c r="AU85" s="403">
        <f>'Portefeuille SP2'!AG90</f>
        <v>0</v>
      </c>
      <c r="AV85" s="403">
        <f>'Portefeuille SP2'!AH90</f>
        <v>0</v>
      </c>
      <c r="AW85" s="403">
        <f>'Portefeuille SP2'!AI90</f>
        <v>0</v>
      </c>
      <c r="AX85" s="403">
        <f>'Portefeuille SP2'!AJ90</f>
        <v>0</v>
      </c>
      <c r="AY85" s="403">
        <f>'Portefeuille SP2'!AK90</f>
        <v>0</v>
      </c>
      <c r="AZ85" s="403">
        <f>'Portefeuille SP2'!AL90</f>
        <v>0</v>
      </c>
      <c r="BA85" s="403">
        <f>'Portefeuille SP2'!AM90</f>
        <v>0</v>
      </c>
      <c r="BB85" s="403">
        <f>'Portefeuille SP2'!AN90</f>
        <v>0</v>
      </c>
      <c r="BC85" s="403">
        <f>'Portefeuille SP2'!AO90</f>
        <v>0</v>
      </c>
      <c r="BD85" s="403">
        <f>'Portefeuille SP2'!AP90</f>
        <v>0</v>
      </c>
      <c r="BE85" s="403">
        <f>'Portefeuille SP2'!AQ90</f>
        <v>1</v>
      </c>
      <c r="BF85" s="403">
        <f>'Portefeuille SP2'!AR90</f>
        <v>0</v>
      </c>
      <c r="BG85" s="403" t="e">
        <f>'Portefeuille SP2'!#REF!</f>
        <v>#REF!</v>
      </c>
      <c r="BH85" s="403" t="e">
        <f>'Portefeuille SP2'!#REF!</f>
        <v>#REF!</v>
      </c>
      <c r="BI85" s="403" t="e">
        <f>'Portefeuille SP2'!#REF!</f>
        <v>#REF!</v>
      </c>
      <c r="BJ85" s="403" t="e">
        <f>'Portefeuille SP2'!#REF!</f>
        <v>#REF!</v>
      </c>
      <c r="BK85" s="403" t="e">
        <f>'Portefeuille SP2'!#REF!</f>
        <v>#REF!</v>
      </c>
      <c r="BL85" s="388"/>
      <c r="BM85" s="404" t="str">
        <f>'Portefeuille SP2'!L90</f>
        <v>14/03/2024 : Workshop mass</v>
      </c>
    </row>
    <row r="86" spans="1:65" ht="15" customHeight="1">
      <c r="A86" s="383">
        <f>'Portefeuille SP2'!B91</f>
        <v>0</v>
      </c>
      <c r="B86" s="390" t="str">
        <f>'Portefeuille SP2'!Q91</f>
        <v>CANCELED</v>
      </c>
      <c r="C86" s="384"/>
      <c r="D86" s="382" t="str">
        <f>'Portefeuille SP2'!E91</f>
        <v>TH</v>
      </c>
      <c r="E86" s="382" t="str">
        <f t="shared" si="7"/>
        <v>BCI</v>
      </c>
      <c r="F86" s="382" t="str">
        <f t="shared" si="8"/>
        <v>ODY</v>
      </c>
      <c r="G86" s="382" t="str">
        <f>'Portefeuille SP2'!C91</f>
        <v>SP2</v>
      </c>
      <c r="H86" s="382">
        <f>'Portefeuille SP2'!F91</f>
        <v>0</v>
      </c>
      <c r="I86" s="382"/>
      <c r="J86" s="382" t="str">
        <f>'Portefeuille SP2'!D91</f>
        <v>BCI_BODY</v>
      </c>
      <c r="K86" s="385">
        <f>'Portefeuille SP2'!H91</f>
        <v>0</v>
      </c>
      <c r="L86" s="157">
        <f>'Portefeuille SP2'!U91</f>
        <v>-2.5</v>
      </c>
      <c r="M86" s="386"/>
      <c r="N86" s="386"/>
      <c r="O86" s="386"/>
      <c r="P86" s="387">
        <f>'Portefeuille SP2'!M91</f>
        <v>0</v>
      </c>
      <c r="Q86" s="387"/>
      <c r="R86" s="387">
        <f>'Portefeuille SP2'!N91</f>
        <v>0</v>
      </c>
      <c r="S86" s="387"/>
      <c r="T86" s="382" t="str">
        <f>'Portefeuille SP2'!R91</f>
        <v>TBD</v>
      </c>
      <c r="U86" s="387">
        <f>'Portefeuille SP2'!K91</f>
        <v>0</v>
      </c>
      <c r="V86" s="399">
        <f>'Portefeuille SP2'!S91</f>
        <v>0.5</v>
      </c>
      <c r="W86" s="387"/>
      <c r="X86" s="387"/>
      <c r="Y86" s="387"/>
      <c r="Z86" s="387"/>
      <c r="AA86" s="387"/>
      <c r="AB86" s="387"/>
      <c r="AC86" s="387"/>
      <c r="AD86" s="387"/>
      <c r="AE86" s="400">
        <f>'Portefeuille SP2'!J91</f>
        <v>0</v>
      </c>
      <c r="AF86" s="387"/>
      <c r="AG86" s="387"/>
      <c r="AH86" s="389"/>
      <c r="AI86" s="389"/>
      <c r="AJ86" s="403">
        <f>'Portefeuille SP2'!V91</f>
        <v>1</v>
      </c>
      <c r="AK86" s="403">
        <f>'Portefeuille SP2'!W91</f>
        <v>1</v>
      </c>
      <c r="AL86" s="403">
        <f>'Portefeuille SP2'!X91</f>
        <v>1</v>
      </c>
      <c r="AM86" s="403">
        <f>'Portefeuille SP2'!Y91</f>
        <v>0</v>
      </c>
      <c r="AN86" s="403">
        <f>'Portefeuille SP2'!Z91</f>
        <v>0</v>
      </c>
      <c r="AO86" s="403">
        <f>'Portefeuille SP2'!AA91</f>
        <v>0</v>
      </c>
      <c r="AP86" s="403">
        <f>'Portefeuille SP2'!AB91</f>
        <v>0</v>
      </c>
      <c r="AQ86" s="403">
        <f>'Portefeuille SP2'!AC91</f>
        <v>0</v>
      </c>
      <c r="AR86" s="403">
        <f>'Portefeuille SP2'!AD91</f>
        <v>0</v>
      </c>
      <c r="AS86" s="403">
        <f>'Portefeuille SP2'!AE91</f>
        <v>1</v>
      </c>
      <c r="AT86" s="403">
        <f>'Portefeuille SP2'!AF91</f>
        <v>1</v>
      </c>
      <c r="AU86" s="403">
        <f>'Portefeuille SP2'!AG91</f>
        <v>1</v>
      </c>
      <c r="AV86" s="403">
        <f>'Portefeuille SP2'!AH91</f>
        <v>0</v>
      </c>
      <c r="AW86" s="403">
        <f>'Portefeuille SP2'!AI91</f>
        <v>0</v>
      </c>
      <c r="AX86" s="403">
        <f>'Portefeuille SP2'!AJ91</f>
        <v>0</v>
      </c>
      <c r="AY86" s="403">
        <f>'Portefeuille SP2'!AK91</f>
        <v>0</v>
      </c>
      <c r="AZ86" s="403">
        <f>'Portefeuille SP2'!AL91</f>
        <v>0</v>
      </c>
      <c r="BA86" s="403">
        <f>'Portefeuille SP2'!AM91</f>
        <v>0</v>
      </c>
      <c r="BB86" s="403">
        <f>'Portefeuille SP2'!AN91</f>
        <v>0</v>
      </c>
      <c r="BC86" s="403">
        <f>'Portefeuille SP2'!AO91</f>
        <v>0</v>
      </c>
      <c r="BD86" s="403">
        <f>'Portefeuille SP2'!AP91</f>
        <v>0</v>
      </c>
      <c r="BE86" s="403">
        <f>'Portefeuille SP2'!AQ91</f>
        <v>1</v>
      </c>
      <c r="BF86" s="403">
        <f>'Portefeuille SP2'!AR91</f>
        <v>0</v>
      </c>
      <c r="BG86" s="403" t="e">
        <f>'Portefeuille SP2'!#REF!</f>
        <v>#REF!</v>
      </c>
      <c r="BH86" s="403" t="e">
        <f>'Portefeuille SP2'!#REF!</f>
        <v>#REF!</v>
      </c>
      <c r="BI86" s="403" t="e">
        <f>'Portefeuille SP2'!#REF!</f>
        <v>#REF!</v>
      </c>
      <c r="BJ86" s="403" t="e">
        <f>'Portefeuille SP2'!#REF!</f>
        <v>#REF!</v>
      </c>
      <c r="BK86" s="403" t="e">
        <f>'Portefeuille SP2'!#REF!</f>
        <v>#REF!</v>
      </c>
      <c r="BL86" s="388"/>
      <c r="BM86" s="404" t="str">
        <f>'Portefeuille SP2'!L91</f>
        <v>11/04/2024 : Workshop mass</v>
      </c>
    </row>
    <row r="87" spans="1:65" ht="15" customHeight="1">
      <c r="A87" s="383">
        <f>'Portefeuille SP2'!B92</f>
        <v>0</v>
      </c>
      <c r="B87" s="390" t="str">
        <f>'Portefeuille SP2'!Q92</f>
        <v>CANCELED</v>
      </c>
      <c r="C87" s="384"/>
      <c r="D87" s="382" t="str">
        <f>'Portefeuille SP2'!E92</f>
        <v>PTF</v>
      </c>
      <c r="E87" s="382" t="str">
        <f t="shared" si="7"/>
        <v>BCI</v>
      </c>
      <c r="F87" s="382" t="str">
        <f t="shared" si="8"/>
        <v>HASSIS</v>
      </c>
      <c r="G87" s="382" t="str">
        <f>'Portefeuille SP2'!C92</f>
        <v>SPC_1</v>
      </c>
      <c r="H87" s="382" t="str">
        <f>'Portefeuille SP2'!F92</f>
        <v>FREDERIC GUINGAND</v>
      </c>
      <c r="I87" s="382"/>
      <c r="J87" s="382" t="str">
        <f>'Portefeuille SP2'!D92</f>
        <v>BCI_CHASSIS</v>
      </c>
      <c r="K87" s="385">
        <f>'Portefeuille SP2'!H92</f>
        <v>0</v>
      </c>
      <c r="L87" s="157">
        <f>'Portefeuille SP2'!U92</f>
        <v>-1</v>
      </c>
      <c r="M87" s="386"/>
      <c r="N87" s="386"/>
      <c r="O87" s="386"/>
      <c r="P87" s="387">
        <f>'Portefeuille SP2'!M92</f>
        <v>0</v>
      </c>
      <c r="Q87" s="387"/>
      <c r="R87" s="387">
        <f>'Portefeuille SP2'!N92</f>
        <v>40</v>
      </c>
      <c r="S87" s="387"/>
      <c r="T87" s="382" t="str">
        <f>'Portefeuille SP2'!R92</f>
        <v xml:space="preserve">Step1 </v>
      </c>
      <c r="U87" s="387">
        <f>'Portefeuille SP2'!K92</f>
        <v>0</v>
      </c>
      <c r="V87" s="399">
        <f>'Portefeuille SP2'!S92</f>
        <v>1</v>
      </c>
      <c r="W87" s="387"/>
      <c r="X87" s="387"/>
      <c r="Y87" s="387"/>
      <c r="Z87" s="387"/>
      <c r="AA87" s="387"/>
      <c r="AB87" s="387"/>
      <c r="AC87" s="387"/>
      <c r="AD87" s="387"/>
      <c r="AE87" s="400">
        <f>'Portefeuille SP2'!J92</f>
        <v>0</v>
      </c>
      <c r="AF87" s="387"/>
      <c r="AG87" s="387"/>
      <c r="AH87" s="389"/>
      <c r="AI87" s="389"/>
      <c r="AJ87" s="403">
        <f>'Portefeuille SP2'!V92</f>
        <v>1</v>
      </c>
      <c r="AK87" s="403">
        <f>'Portefeuille SP2'!W92</f>
        <v>1</v>
      </c>
      <c r="AL87" s="403">
        <f>'Portefeuille SP2'!X92</f>
        <v>1</v>
      </c>
      <c r="AM87" s="403">
        <f>'Portefeuille SP2'!Y92</f>
        <v>0</v>
      </c>
      <c r="AN87" s="403">
        <f>'Portefeuille SP2'!Z92</f>
        <v>0</v>
      </c>
      <c r="AO87" s="403">
        <f>'Portefeuille SP2'!AA92</f>
        <v>0</v>
      </c>
      <c r="AP87" s="403">
        <f>'Portefeuille SP2'!AB92</f>
        <v>0</v>
      </c>
      <c r="AQ87" s="403">
        <f>'Portefeuille SP2'!AC92</f>
        <v>0</v>
      </c>
      <c r="AR87" s="403">
        <f>'Portefeuille SP2'!AD92</f>
        <v>0</v>
      </c>
      <c r="AS87" s="403">
        <f>'Portefeuille SP2'!AE92</f>
        <v>1</v>
      </c>
      <c r="AT87" s="403">
        <f>'Portefeuille SP2'!AF92</f>
        <v>1</v>
      </c>
      <c r="AU87" s="403">
        <f>'Portefeuille SP2'!AG92</f>
        <v>1</v>
      </c>
      <c r="AV87" s="403">
        <f>'Portefeuille SP2'!AH92</f>
        <v>0</v>
      </c>
      <c r="AW87" s="403">
        <f>'Portefeuille SP2'!AI92</f>
        <v>0</v>
      </c>
      <c r="AX87" s="403">
        <f>'Portefeuille SP2'!AJ92</f>
        <v>0</v>
      </c>
      <c r="AY87" s="403">
        <f>'Portefeuille SP2'!AK92</f>
        <v>0</v>
      </c>
      <c r="AZ87" s="403">
        <f>'Portefeuille SP2'!AL92</f>
        <v>0</v>
      </c>
      <c r="BA87" s="403">
        <f>'Portefeuille SP2'!AM92</f>
        <v>0</v>
      </c>
      <c r="BB87" s="403">
        <f>'Portefeuille SP2'!AN92</f>
        <v>0</v>
      </c>
      <c r="BC87" s="403">
        <f>'Portefeuille SP2'!AO92</f>
        <v>0</v>
      </c>
      <c r="BD87" s="403">
        <f>'Portefeuille SP2'!AP92</f>
        <v>0</v>
      </c>
      <c r="BE87" s="403">
        <f>'Portefeuille SP2'!AQ92</f>
        <v>1</v>
      </c>
      <c r="BF87" s="403">
        <f>'Portefeuille SP2'!AR92</f>
        <v>0</v>
      </c>
      <c r="BG87" s="403" t="e">
        <f>'Portefeuille SP2'!#REF!</f>
        <v>#REF!</v>
      </c>
      <c r="BH87" s="403" t="e">
        <f>'Portefeuille SP2'!#REF!</f>
        <v>#REF!</v>
      </c>
      <c r="BI87" s="403" t="e">
        <f>'Portefeuille SP2'!#REF!</f>
        <v>#REF!</v>
      </c>
      <c r="BJ87" s="403" t="e">
        <f>'Portefeuille SP2'!#REF!</f>
        <v>#REF!</v>
      </c>
      <c r="BK87" s="403" t="e">
        <f>'Portefeuille SP2'!#REF!</f>
        <v>#REF!</v>
      </c>
      <c r="BL87" s="388"/>
      <c r="BM87" s="404" t="str">
        <f>'Portefeuille SP2'!L92</f>
        <v>Doublon</v>
      </c>
    </row>
    <row r="88" spans="1:65" ht="15" customHeight="1">
      <c r="A88" s="383">
        <f>'Portefeuille SP2'!B93</f>
        <v>45536</v>
      </c>
      <c r="B88" s="390" t="str">
        <f>'Portefeuille SP2'!Q93</f>
        <v>CANCELED</v>
      </c>
      <c r="C88" s="384"/>
      <c r="D88" s="382" t="str">
        <f>'Portefeuille SP2'!E93</f>
        <v>TH</v>
      </c>
      <c r="E88" s="382" t="str">
        <f t="shared" si="7"/>
        <v>INT</v>
      </c>
      <c r="F88" s="382" t="str">
        <f>MID(J88, 4, 20)</f>
        <v xml:space="preserve"> - SEATS/TRIMS</v>
      </c>
      <c r="G88" s="382" t="str">
        <f>'Portefeuille SP2'!C93</f>
        <v>SPC_1</v>
      </c>
      <c r="H88" s="382" t="str">
        <f>'Portefeuille SP2'!F93</f>
        <v>HALIM</v>
      </c>
      <c r="I88" s="428" t="s">
        <v>1212</v>
      </c>
      <c r="J88" s="382" t="str">
        <f>'Portefeuille SP2'!D93</f>
        <v>INT - SEATS/TRIMS</v>
      </c>
      <c r="K88" s="385" t="str">
        <f>'Portefeuille SP2'!H93</f>
        <v>Cabin firewall soundproofing</v>
      </c>
      <c r="L88" s="157">
        <f>'Portefeuille SP2'!U93</f>
        <v>-4.2000000000000003E-2</v>
      </c>
      <c r="M88" s="386"/>
      <c r="N88" s="386"/>
      <c r="O88" s="386"/>
      <c r="P88" s="400" t="str">
        <f>'Portefeuille SP2'!M93</f>
        <v>TBD</v>
      </c>
      <c r="Q88" s="387"/>
      <c r="R88" s="387">
        <f>'Portefeuille SP2'!N93</f>
        <v>-1.2</v>
      </c>
      <c r="S88" s="387"/>
      <c r="T88" s="382" t="str">
        <f>'Portefeuille SP2'!R93</f>
        <v>TBD</v>
      </c>
      <c r="U88" s="387" t="str">
        <f>'Portefeuille SP2'!K93</f>
        <v>SFM</v>
      </c>
      <c r="V88" s="399">
        <f>'Portefeuille SP2'!S93</f>
        <v>0.1</v>
      </c>
      <c r="W88" s="387"/>
      <c r="X88" s="387"/>
      <c r="Y88" s="387"/>
      <c r="Z88" s="387"/>
      <c r="AA88" s="387"/>
      <c r="AB88" s="387"/>
      <c r="AC88" s="387"/>
      <c r="AD88" s="387"/>
      <c r="AE88" s="408" t="str">
        <f>'Portefeuille SP2'!J93</f>
        <v>02/03/2026 LM à Supprimer car non appliqué sur P3U
24/06/2025 à checker en RFQ avec les FNR</v>
      </c>
      <c r="AF88" s="387"/>
      <c r="AG88" s="387"/>
      <c r="AH88" s="389"/>
      <c r="AI88" s="389"/>
      <c r="AJ88" s="403">
        <f>'Portefeuille SP2'!V93</f>
        <v>1</v>
      </c>
      <c r="AK88" s="403">
        <f>'Portefeuille SP2'!W93</f>
        <v>1</v>
      </c>
      <c r="AL88" s="403">
        <f>'Portefeuille SP2'!X93</f>
        <v>1</v>
      </c>
      <c r="AM88" s="403">
        <f>'Portefeuille SP2'!Y93</f>
        <v>1</v>
      </c>
      <c r="AN88" s="403">
        <f>'Portefeuille SP2'!Z93</f>
        <v>1</v>
      </c>
      <c r="AO88" s="403">
        <f>'Portefeuille SP2'!AA93</f>
        <v>1</v>
      </c>
      <c r="AP88" s="403">
        <f>'Portefeuille SP2'!AB93</f>
        <v>1</v>
      </c>
      <c r="AQ88" s="403">
        <f>'Portefeuille SP2'!AC93</f>
        <v>1</v>
      </c>
      <c r="AR88" s="403">
        <f>'Portefeuille SP2'!AD93</f>
        <v>1</v>
      </c>
      <c r="AS88" s="403">
        <f>'Portefeuille SP2'!AE93</f>
        <v>1</v>
      </c>
      <c r="AT88" s="403">
        <f>'Portefeuille SP2'!AF93</f>
        <v>1</v>
      </c>
      <c r="AU88" s="403">
        <f>'Portefeuille SP2'!AG93</f>
        <v>1</v>
      </c>
      <c r="AV88" s="403">
        <f>'Portefeuille SP2'!AH93</f>
        <v>1</v>
      </c>
      <c r="AW88" s="403">
        <f>'Portefeuille SP2'!AI93</f>
        <v>1</v>
      </c>
      <c r="AX88" s="403">
        <f>'Portefeuille SP2'!AJ93</f>
        <v>1</v>
      </c>
      <c r="AY88" s="403">
        <f>'Portefeuille SP2'!AK93</f>
        <v>1</v>
      </c>
      <c r="AZ88" s="403">
        <f>'Portefeuille SP2'!AL93</f>
        <v>1</v>
      </c>
      <c r="BA88" s="403">
        <f>'Portefeuille SP2'!AM93</f>
        <v>1</v>
      </c>
      <c r="BB88" s="403">
        <f>'Portefeuille SP2'!AN93</f>
        <v>1</v>
      </c>
      <c r="BC88" s="403">
        <f>'Portefeuille SP2'!AO93</f>
        <v>1</v>
      </c>
      <c r="BD88" s="403">
        <f>'Portefeuille SP2'!AP93</f>
        <v>1</v>
      </c>
      <c r="BE88" s="403">
        <f>'Portefeuille SP2'!AQ93</f>
        <v>1</v>
      </c>
      <c r="BF88" s="403">
        <f>'Portefeuille SP2'!AR93</f>
        <v>1</v>
      </c>
      <c r="BG88" s="403" t="e">
        <f>'Portefeuille SP2'!#REF!</f>
        <v>#REF!</v>
      </c>
      <c r="BH88" s="403" t="e">
        <f>'Portefeuille SP2'!#REF!</f>
        <v>#REF!</v>
      </c>
      <c r="BI88" s="403" t="e">
        <f>'Portefeuille SP2'!#REF!</f>
        <v>#REF!</v>
      </c>
      <c r="BJ88" s="403" t="e">
        <f>'Portefeuille SP2'!#REF!</f>
        <v>#REF!</v>
      </c>
      <c r="BK88" s="403" t="e">
        <f>'Portefeuille SP2'!#REF!</f>
        <v>#REF!</v>
      </c>
      <c r="BL88" s="388"/>
      <c r="BM88" s="404" t="str">
        <f>'Portefeuille SP2'!L93</f>
        <v>Check avec le fournisseur</v>
      </c>
    </row>
    <row r="89" spans="1:65" ht="15" customHeight="1">
      <c r="A89" s="383">
        <f>'Portefeuille SP2'!B94</f>
        <v>0</v>
      </c>
      <c r="B89" s="390" t="str">
        <f>'Portefeuille SP2'!Q94</f>
        <v>DECIDED</v>
      </c>
      <c r="C89" s="384"/>
      <c r="D89" s="382" t="str">
        <f>'Portefeuille SP2'!E94</f>
        <v>PTF</v>
      </c>
      <c r="E89" s="382" t="str">
        <f t="shared" si="7"/>
        <v>SWX</v>
      </c>
      <c r="F89" s="382" t="str">
        <f t="shared" si="8"/>
        <v>HE</v>
      </c>
      <c r="G89" s="382" t="str">
        <f>'Portefeuille SP2'!C94</f>
        <v>SP2</v>
      </c>
      <c r="H89" s="382">
        <f>'Portefeuille SP2'!F94</f>
        <v>0</v>
      </c>
      <c r="I89" s="382"/>
      <c r="J89" s="382" t="str">
        <f>'Portefeuille SP2'!D94</f>
        <v>SWX_EHE</v>
      </c>
      <c r="K89" s="385">
        <f>'Portefeuille SP2'!H94</f>
        <v>0</v>
      </c>
      <c r="L89" s="157">
        <f>'Portefeuille SP2'!U94</f>
        <v>-2.6</v>
      </c>
      <c r="M89" s="386"/>
      <c r="N89" s="386"/>
      <c r="O89" s="386"/>
      <c r="P89" s="387">
        <f>'Portefeuille SP2'!M94</f>
        <v>0</v>
      </c>
      <c r="Q89" s="387"/>
      <c r="R89" s="387">
        <f>'Portefeuille SP2'!N94</f>
        <v>-45</v>
      </c>
      <c r="S89" s="387"/>
      <c r="T89" s="382" t="str">
        <f>'Portefeuille SP2'!R94</f>
        <v>TBD</v>
      </c>
      <c r="U89" s="387">
        <f>'Portefeuille SP2'!K94</f>
        <v>0</v>
      </c>
      <c r="V89" s="399">
        <f>'Portefeuille SP2'!S94</f>
        <v>1</v>
      </c>
      <c r="W89" s="387"/>
      <c r="X89" s="387"/>
      <c r="Y89" s="387"/>
      <c r="Z89" s="387"/>
      <c r="AA89" s="387"/>
      <c r="AB89" s="387"/>
      <c r="AC89" s="387"/>
      <c r="AD89" s="387"/>
      <c r="AE89" s="400">
        <f>'Portefeuille SP2'!J94</f>
        <v>0</v>
      </c>
      <c r="AF89" s="387"/>
      <c r="AG89" s="387"/>
      <c r="AH89" s="389"/>
      <c r="AI89" s="389"/>
      <c r="AJ89" s="403">
        <f>'Portefeuille SP2'!V94</f>
        <v>1</v>
      </c>
      <c r="AK89" s="403">
        <f>'Portefeuille SP2'!W94</f>
        <v>1</v>
      </c>
      <c r="AL89" s="403">
        <f>'Portefeuille SP2'!X94</f>
        <v>1</v>
      </c>
      <c r="AM89" s="403">
        <f>'Portefeuille SP2'!Y94</f>
        <v>0</v>
      </c>
      <c r="AN89" s="403">
        <f>'Portefeuille SP2'!Z94</f>
        <v>0</v>
      </c>
      <c r="AO89" s="403">
        <f>'Portefeuille SP2'!AA94</f>
        <v>1</v>
      </c>
      <c r="AP89" s="403">
        <f>'Portefeuille SP2'!AB94</f>
        <v>1</v>
      </c>
      <c r="AQ89" s="403">
        <f>'Portefeuille SP2'!AC94</f>
        <v>0</v>
      </c>
      <c r="AR89" s="403">
        <f>'Portefeuille SP2'!AD94</f>
        <v>0</v>
      </c>
      <c r="AS89" s="403">
        <f>'Portefeuille SP2'!AE94</f>
        <v>1</v>
      </c>
      <c r="AT89" s="403">
        <f>'Portefeuille SP2'!AF94</f>
        <v>1</v>
      </c>
      <c r="AU89" s="403">
        <f>'Portefeuille SP2'!AG94</f>
        <v>1</v>
      </c>
      <c r="AV89" s="403">
        <f>'Portefeuille SP2'!AH94</f>
        <v>0</v>
      </c>
      <c r="AW89" s="403">
        <f>'Portefeuille SP2'!AI94</f>
        <v>0</v>
      </c>
      <c r="AX89" s="403">
        <f>'Portefeuille SP2'!AJ94</f>
        <v>1</v>
      </c>
      <c r="AY89" s="403">
        <f>'Portefeuille SP2'!AK94</f>
        <v>1</v>
      </c>
      <c r="AZ89" s="403">
        <f>'Portefeuille SP2'!AL94</f>
        <v>0</v>
      </c>
      <c r="BA89" s="403">
        <f>'Portefeuille SP2'!AM94</f>
        <v>0</v>
      </c>
      <c r="BB89" s="403">
        <f>'Portefeuille SP2'!AN94</f>
        <v>0</v>
      </c>
      <c r="BC89" s="403">
        <f>'Portefeuille SP2'!AO94</f>
        <v>0</v>
      </c>
      <c r="BD89" s="403">
        <f>'Portefeuille SP2'!AP94</f>
        <v>0</v>
      </c>
      <c r="BE89" s="403">
        <f>'Portefeuille SP2'!AQ94</f>
        <v>0</v>
      </c>
      <c r="BF89" s="403">
        <f>'Portefeuille SP2'!AR94</f>
        <v>0</v>
      </c>
      <c r="BG89" s="403" t="e">
        <f>'Portefeuille SP2'!#REF!</f>
        <v>#REF!</v>
      </c>
      <c r="BH89" s="403" t="e">
        <f>'Portefeuille SP2'!#REF!</f>
        <v>#REF!</v>
      </c>
      <c r="BI89" s="403" t="e">
        <f>'Portefeuille SP2'!#REF!</f>
        <v>#REF!</v>
      </c>
      <c r="BJ89" s="403" t="e">
        <f>'Portefeuille SP2'!#REF!</f>
        <v>#REF!</v>
      </c>
      <c r="BK89" s="403" t="e">
        <f>'Portefeuille SP2'!#REF!</f>
        <v>#REF!</v>
      </c>
      <c r="BL89" s="388"/>
      <c r="BM89" s="404" t="str">
        <f>'Portefeuille SP2'!L94</f>
        <v>23/07/24 : Mode 3 (11kW) 
14/03/2024 : Workshop mass</v>
      </c>
    </row>
    <row r="90" spans="1:65" ht="15" customHeight="1">
      <c r="A90" s="383">
        <f>'Portefeuille SP2'!B95</f>
        <v>45536</v>
      </c>
      <c r="B90" s="390" t="str">
        <f>'Portefeuille SP2'!Q95</f>
        <v>CANCELED</v>
      </c>
      <c r="C90" s="384"/>
      <c r="D90" s="382" t="str">
        <f>'Portefeuille SP2'!E95</f>
        <v>TH</v>
      </c>
      <c r="E90" s="382" t="str">
        <f t="shared" si="7"/>
        <v>INT</v>
      </c>
      <c r="F90" s="382" t="str">
        <f>MID(J90, 4, 20)</f>
        <v xml:space="preserve"> - SEATS/TRIMS</v>
      </c>
      <c r="G90" s="382" t="str">
        <f>'Portefeuille SP2'!C95</f>
        <v>SPC_1</v>
      </c>
      <c r="H90" s="382" t="str">
        <f>'Portefeuille SP2'!F95</f>
        <v>HALIM</v>
      </c>
      <c r="I90" s="428" t="s">
        <v>1212</v>
      </c>
      <c r="J90" s="382" t="str">
        <f>'Portefeuille SP2'!D95</f>
        <v>INT - SEATS/TRIMS</v>
      </c>
      <c r="K90" s="385" t="str">
        <f>'Portefeuille SP2'!H95</f>
        <v>Headliner</v>
      </c>
      <c r="L90" s="157">
        <f>'Portefeuille SP2'!U95</f>
        <v>-0.06</v>
      </c>
      <c r="M90" s="386"/>
      <c r="N90" s="386"/>
      <c r="O90" s="386"/>
      <c r="P90" s="400">
        <f>'Portefeuille SP2'!M95</f>
        <v>0</v>
      </c>
      <c r="Q90" s="387"/>
      <c r="R90" s="387">
        <f>'Portefeuille SP2'!N95</f>
        <v>-0.1</v>
      </c>
      <c r="S90" s="387"/>
      <c r="T90" s="382" t="str">
        <f>'Portefeuille SP2'!R95</f>
        <v>TBD</v>
      </c>
      <c r="U90" s="387" t="str">
        <f>'Portefeuille SP2'!K95</f>
        <v>CM</v>
      </c>
      <c r="V90" s="399">
        <f>'Portefeuille SP2'!S95</f>
        <v>0.25</v>
      </c>
      <c r="W90" s="387"/>
      <c r="X90" s="387"/>
      <c r="Y90" s="387"/>
      <c r="Z90" s="387"/>
      <c r="AA90" s="387"/>
      <c r="AB90" s="387"/>
      <c r="AC90" s="387"/>
      <c r="AD90" s="387"/>
      <c r="AE90" s="408" t="str">
        <f>'Portefeuille SP2'!J95</f>
        <v>02/03/2026 LM à Supprimer car non appliqué sur P3U
24/06/2025 à vérifier plus tard
Proposition d'enlever 2 poignées selon la déclinaison.*
 A partager avec le produit si accord</v>
      </c>
      <c r="AF90" s="387"/>
      <c r="AG90" s="387"/>
      <c r="AH90" s="389"/>
      <c r="AI90" s="389"/>
      <c r="AJ90" s="403">
        <f>'Portefeuille SP2'!V95</f>
        <v>1</v>
      </c>
      <c r="AK90" s="403">
        <f>'Portefeuille SP2'!W95</f>
        <v>1</v>
      </c>
      <c r="AL90" s="403">
        <f>'Portefeuille SP2'!X95</f>
        <v>1</v>
      </c>
      <c r="AM90" s="403">
        <f>'Portefeuille SP2'!Y95</f>
        <v>1</v>
      </c>
      <c r="AN90" s="403">
        <f>'Portefeuille SP2'!Z95</f>
        <v>1</v>
      </c>
      <c r="AO90" s="403">
        <f>'Portefeuille SP2'!AA95</f>
        <v>1</v>
      </c>
      <c r="AP90" s="403">
        <f>'Portefeuille SP2'!AB95</f>
        <v>1</v>
      </c>
      <c r="AQ90" s="403">
        <f>'Portefeuille SP2'!AC95</f>
        <v>1</v>
      </c>
      <c r="AR90" s="403">
        <f>'Portefeuille SP2'!AD95</f>
        <v>1</v>
      </c>
      <c r="AS90" s="403">
        <f>'Portefeuille SP2'!AE95</f>
        <v>1</v>
      </c>
      <c r="AT90" s="403">
        <f>'Portefeuille SP2'!AF95</f>
        <v>1</v>
      </c>
      <c r="AU90" s="403">
        <f>'Portefeuille SP2'!AG95</f>
        <v>1</v>
      </c>
      <c r="AV90" s="403">
        <f>'Portefeuille SP2'!AH95</f>
        <v>1</v>
      </c>
      <c r="AW90" s="403">
        <f>'Portefeuille SP2'!AI95</f>
        <v>1</v>
      </c>
      <c r="AX90" s="403">
        <f>'Portefeuille SP2'!AJ95</f>
        <v>1</v>
      </c>
      <c r="AY90" s="403">
        <f>'Portefeuille SP2'!AK95</f>
        <v>1</v>
      </c>
      <c r="AZ90" s="403">
        <f>'Portefeuille SP2'!AL95</f>
        <v>1</v>
      </c>
      <c r="BA90" s="403">
        <f>'Portefeuille SP2'!AM95</f>
        <v>1</v>
      </c>
      <c r="BB90" s="403">
        <f>'Portefeuille SP2'!AN95</f>
        <v>1</v>
      </c>
      <c r="BC90" s="403">
        <f>'Portefeuille SP2'!AO95</f>
        <v>1</v>
      </c>
      <c r="BD90" s="403">
        <f>'Portefeuille SP2'!AP95</f>
        <v>1</v>
      </c>
      <c r="BE90" s="403">
        <f>'Portefeuille SP2'!AQ95</f>
        <v>1</v>
      </c>
      <c r="BF90" s="403">
        <f>'Portefeuille SP2'!AR95</f>
        <v>1</v>
      </c>
      <c r="BG90" s="403" t="e">
        <f>'Portefeuille SP2'!#REF!</f>
        <v>#REF!</v>
      </c>
      <c r="BH90" s="403" t="e">
        <f>'Portefeuille SP2'!#REF!</f>
        <v>#REF!</v>
      </c>
      <c r="BI90" s="403" t="e">
        <f>'Portefeuille SP2'!#REF!</f>
        <v>#REF!</v>
      </c>
      <c r="BJ90" s="403" t="e">
        <f>'Portefeuille SP2'!#REF!</f>
        <v>#REF!</v>
      </c>
      <c r="BK90" s="403" t="e">
        <f>'Portefeuille SP2'!#REF!</f>
        <v>#REF!</v>
      </c>
      <c r="BL90" s="388"/>
      <c r="BM90" s="404">
        <f>'Portefeuille SP2'!L95</f>
        <v>0</v>
      </c>
    </row>
    <row r="91" spans="1:65" ht="15" customHeight="1">
      <c r="A91" s="383">
        <f>'Portefeuille SP2'!B96</f>
        <v>45536</v>
      </c>
      <c r="B91" s="390" t="str">
        <f>'Portefeuille SP2'!Q96</f>
        <v>CANCELED</v>
      </c>
      <c r="C91" s="384"/>
      <c r="D91" s="382" t="str">
        <f>'Portefeuille SP2'!E96</f>
        <v>TH</v>
      </c>
      <c r="E91" s="382" t="str">
        <f t="shared" si="7"/>
        <v>BCI</v>
      </c>
      <c r="F91" s="382" t="str">
        <f t="shared" si="8"/>
        <v>ODY</v>
      </c>
      <c r="G91" s="382" t="str">
        <f>'Portefeuille SP2'!C96</f>
        <v>SP2</v>
      </c>
      <c r="H91" s="382">
        <f>'Portefeuille SP2'!F96</f>
        <v>0</v>
      </c>
      <c r="I91" s="382"/>
      <c r="J91" s="382" t="str">
        <f>'Portefeuille SP2'!D96</f>
        <v>BCI_BODY</v>
      </c>
      <c r="K91" s="385" t="str">
        <f>'Portefeuille SP2'!H96</f>
        <v>Wheel Cladding</v>
      </c>
      <c r="L91" s="157">
        <f>'Portefeuille SP2'!U96</f>
        <v>0</v>
      </c>
      <c r="M91" s="386"/>
      <c r="N91" s="386"/>
      <c r="O91" s="386"/>
      <c r="P91" s="387" t="str">
        <f>'Portefeuille SP2'!M96</f>
        <v>-1638K€</v>
      </c>
      <c r="Q91" s="387"/>
      <c r="R91" s="387" t="str">
        <f>'Portefeuille SP2'!N96</f>
        <v>(-21.2)</v>
      </c>
      <c r="S91" s="387"/>
      <c r="T91" s="382" t="str">
        <f>'Portefeuille SP2'!R96</f>
        <v>TBD</v>
      </c>
      <c r="U91" s="387" t="str">
        <f>'Portefeuille SP2'!K96</f>
        <v>PM</v>
      </c>
      <c r="V91" s="399">
        <f>'Portefeuille SP2'!S96</f>
        <v>0</v>
      </c>
      <c r="W91" s="387"/>
      <c r="X91" s="387"/>
      <c r="Y91" s="387"/>
      <c r="Z91" s="387"/>
      <c r="AA91" s="387"/>
      <c r="AB91" s="387"/>
      <c r="AC91" s="387"/>
      <c r="AD91" s="387"/>
      <c r="AE91" s="400" t="str">
        <f>'Portefeuille SP2'!J96</f>
        <v>24/09/2024 LM - dossier chez le style
Préciser les voitures qui embarquent
QCDP rocker trim + warning same front mudguard</v>
      </c>
      <c r="AF91" s="387"/>
      <c r="AG91" s="387"/>
      <c r="AH91" s="389"/>
      <c r="AI91" s="389"/>
      <c r="AJ91" s="403">
        <f>'Portefeuille SP2'!V96</f>
        <v>1</v>
      </c>
      <c r="AK91" s="403">
        <f>'Portefeuille SP2'!W96</f>
        <v>1</v>
      </c>
      <c r="AL91" s="403">
        <f>'Portefeuille SP2'!X96</f>
        <v>1</v>
      </c>
      <c r="AM91" s="403">
        <f>'Portefeuille SP2'!Y96</f>
        <v>1</v>
      </c>
      <c r="AN91" s="403">
        <f>'Portefeuille SP2'!Z96</f>
        <v>0</v>
      </c>
      <c r="AO91" s="403">
        <f>'Portefeuille SP2'!AA96</f>
        <v>1</v>
      </c>
      <c r="AP91" s="403">
        <f>'Portefeuille SP2'!AB96</f>
        <v>1</v>
      </c>
      <c r="AQ91" s="403">
        <f>'Portefeuille SP2'!AC96</f>
        <v>1</v>
      </c>
      <c r="AR91" s="403">
        <f>'Portefeuille SP2'!AD96</f>
        <v>0</v>
      </c>
      <c r="AS91" s="403">
        <f>'Portefeuille SP2'!AE96</f>
        <v>1</v>
      </c>
      <c r="AT91" s="403">
        <f>'Portefeuille SP2'!AF96</f>
        <v>1</v>
      </c>
      <c r="AU91" s="403">
        <f>'Portefeuille SP2'!AG96</f>
        <v>1</v>
      </c>
      <c r="AV91" s="403">
        <f>'Portefeuille SP2'!AH96</f>
        <v>1</v>
      </c>
      <c r="AW91" s="403">
        <f>'Portefeuille SP2'!AI96</f>
        <v>0</v>
      </c>
      <c r="AX91" s="403">
        <f>'Portefeuille SP2'!AJ96</f>
        <v>1</v>
      </c>
      <c r="AY91" s="403">
        <f>'Portefeuille SP2'!AK96</f>
        <v>1</v>
      </c>
      <c r="AZ91" s="403">
        <f>'Portefeuille SP2'!AL96</f>
        <v>1</v>
      </c>
      <c r="BA91" s="403">
        <f>'Portefeuille SP2'!AM96</f>
        <v>0</v>
      </c>
      <c r="BB91" s="403">
        <f>'Portefeuille SP2'!AN96</f>
        <v>0</v>
      </c>
      <c r="BC91" s="403">
        <f>'Portefeuille SP2'!AO96</f>
        <v>0</v>
      </c>
      <c r="BD91" s="403">
        <f>'Portefeuille SP2'!AP96</f>
        <v>0</v>
      </c>
      <c r="BE91" s="403">
        <f>'Portefeuille SP2'!AQ96</f>
        <v>1</v>
      </c>
      <c r="BF91" s="403">
        <f>'Portefeuille SP2'!AR96</f>
        <v>0</v>
      </c>
      <c r="BG91" s="403" t="e">
        <f>'Portefeuille SP2'!#REF!</f>
        <v>#REF!</v>
      </c>
      <c r="BH91" s="403" t="e">
        <f>'Portefeuille SP2'!#REF!</f>
        <v>#REF!</v>
      </c>
      <c r="BI91" s="403" t="e">
        <f>'Portefeuille SP2'!#REF!</f>
        <v>#REF!</v>
      </c>
      <c r="BJ91" s="403" t="e">
        <f>'Portefeuille SP2'!#REF!</f>
        <v>#REF!</v>
      </c>
      <c r="BK91" s="403" t="e">
        <f>'Portefeuille SP2'!#REF!</f>
        <v>#REF!</v>
      </c>
      <c r="BL91" s="388"/>
      <c r="BM91" s="404">
        <f>'Portefeuille SP2'!L96</f>
        <v>0</v>
      </c>
    </row>
    <row r="92" spans="1:65" ht="15" customHeight="1">
      <c r="A92" s="383">
        <f>'Portefeuille SP2'!B97</f>
        <v>45536</v>
      </c>
      <c r="B92" s="390" t="str">
        <f>'Portefeuille SP2'!Q97</f>
        <v>DECIDED</v>
      </c>
      <c r="C92" s="384"/>
      <c r="D92" s="382" t="str">
        <f>'Portefeuille SP2'!E97</f>
        <v>TH</v>
      </c>
      <c r="E92" s="382" t="str">
        <f t="shared" si="7"/>
        <v>BCI</v>
      </c>
      <c r="F92" s="382" t="str">
        <f t="shared" si="8"/>
        <v>ODY</v>
      </c>
      <c r="G92" s="382" t="str">
        <f>'Portefeuille SP2'!C97</f>
        <v>SP2</v>
      </c>
      <c r="H92" s="382">
        <f>'Portefeuille SP2'!F97</f>
        <v>0</v>
      </c>
      <c r="I92" s="382"/>
      <c r="J92" s="382" t="str">
        <f>'Portefeuille SP2'!D97</f>
        <v>BCI_BODY</v>
      </c>
      <c r="K92" s="385" t="str">
        <f>'Portefeuille SP2'!H97</f>
        <v>Stiffener</v>
      </c>
      <c r="L92" s="157">
        <f>'Portefeuille SP2'!U97</f>
        <v>-2</v>
      </c>
      <c r="M92" s="386"/>
      <c r="N92" s="386"/>
      <c r="O92" s="386"/>
      <c r="P92" s="387" t="str">
        <f>'Portefeuille SP2'!M97</f>
        <v>+224 K€</v>
      </c>
      <c r="Q92" s="387"/>
      <c r="R92" s="387">
        <f>'Portefeuille SP2'!N97</f>
        <v>-2.6</v>
      </c>
      <c r="S92" s="387"/>
      <c r="T92" s="382" t="str">
        <f>'Portefeuille SP2'!R97</f>
        <v>TBD</v>
      </c>
      <c r="U92" s="387" t="str">
        <f>'Portefeuille SP2'!K97</f>
        <v>PM-CM</v>
      </c>
      <c r="V92" s="399">
        <f>'Portefeuille SP2'!S97</f>
        <v>1</v>
      </c>
      <c r="W92" s="387"/>
      <c r="X92" s="387"/>
      <c r="Y92" s="387"/>
      <c r="Z92" s="387"/>
      <c r="AA92" s="387"/>
      <c r="AB92" s="387"/>
      <c r="AC92" s="387"/>
      <c r="AD92" s="387"/>
      <c r="AE92" s="400" t="str">
        <f>'Portefeuille SP2'!J97</f>
        <v>28/04/2025 lm : sujet appliqué BDD OK à passer à decided avec Stéphane
QCDP SP1 ok : -1,65kg</v>
      </c>
      <c r="AF92" s="387"/>
      <c r="AG92" s="387"/>
      <c r="AH92" s="389"/>
      <c r="AI92" s="389"/>
      <c r="AJ92" s="403">
        <f>'Portefeuille SP2'!V97</f>
        <v>1</v>
      </c>
      <c r="AK92" s="403">
        <f>'Portefeuille SP2'!W97</f>
        <v>1</v>
      </c>
      <c r="AL92" s="403">
        <f>'Portefeuille SP2'!X97</f>
        <v>1</v>
      </c>
      <c r="AM92" s="403">
        <f>'Portefeuille SP2'!Y97</f>
        <v>1</v>
      </c>
      <c r="AN92" s="403">
        <f>'Portefeuille SP2'!Z97</f>
        <v>0</v>
      </c>
      <c r="AO92" s="403">
        <f>'Portefeuille SP2'!AA97</f>
        <v>1</v>
      </c>
      <c r="AP92" s="403">
        <f>'Portefeuille SP2'!AB97</f>
        <v>1</v>
      </c>
      <c r="AQ92" s="403">
        <f>'Portefeuille SP2'!AC97</f>
        <v>1</v>
      </c>
      <c r="AR92" s="403">
        <f>'Portefeuille SP2'!AD97</f>
        <v>0</v>
      </c>
      <c r="AS92" s="403">
        <f>'Portefeuille SP2'!AE97</f>
        <v>1</v>
      </c>
      <c r="AT92" s="403">
        <f>'Portefeuille SP2'!AF97</f>
        <v>1</v>
      </c>
      <c r="AU92" s="403">
        <f>'Portefeuille SP2'!AG97</f>
        <v>1</v>
      </c>
      <c r="AV92" s="403">
        <f>'Portefeuille SP2'!AH97</f>
        <v>1</v>
      </c>
      <c r="AW92" s="403">
        <f>'Portefeuille SP2'!AI97</f>
        <v>0</v>
      </c>
      <c r="AX92" s="403">
        <f>'Portefeuille SP2'!AJ97</f>
        <v>1</v>
      </c>
      <c r="AY92" s="403">
        <f>'Portefeuille SP2'!AK97</f>
        <v>1</v>
      </c>
      <c r="AZ92" s="403">
        <f>'Portefeuille SP2'!AL97</f>
        <v>1</v>
      </c>
      <c r="BA92" s="403">
        <f>'Portefeuille SP2'!AM97</f>
        <v>0</v>
      </c>
      <c r="BB92" s="403">
        <f>'Portefeuille SP2'!AN97</f>
        <v>0</v>
      </c>
      <c r="BC92" s="403">
        <f>'Portefeuille SP2'!AO97</f>
        <v>0</v>
      </c>
      <c r="BD92" s="403">
        <f>'Portefeuille SP2'!AP97</f>
        <v>0</v>
      </c>
      <c r="BE92" s="403">
        <f>'Portefeuille SP2'!AQ97</f>
        <v>1</v>
      </c>
      <c r="BF92" s="403">
        <f>'Portefeuille SP2'!AR97</f>
        <v>0</v>
      </c>
      <c r="BG92" s="403" t="e">
        <f>'Portefeuille SP2'!#REF!</f>
        <v>#REF!</v>
      </c>
      <c r="BH92" s="403" t="e">
        <f>'Portefeuille SP2'!#REF!</f>
        <v>#REF!</v>
      </c>
      <c r="BI92" s="403" t="e">
        <f>'Portefeuille SP2'!#REF!</f>
        <v>#REF!</v>
      </c>
      <c r="BJ92" s="403" t="e">
        <f>'Portefeuille SP2'!#REF!</f>
        <v>#REF!</v>
      </c>
      <c r="BK92" s="403" t="e">
        <f>'Portefeuille SP2'!#REF!</f>
        <v>#REF!</v>
      </c>
      <c r="BL92" s="388"/>
      <c r="BM92" s="404" t="str">
        <f>'Portefeuille SP2'!L97</f>
        <v>preciser le sujet ?</v>
      </c>
    </row>
    <row r="93" spans="1:65" ht="15" customHeight="1">
      <c r="A93" s="383">
        <f>'Portefeuille SP2'!B98</f>
        <v>0</v>
      </c>
      <c r="B93" s="390" t="str">
        <f>'Portefeuille SP2'!Q98</f>
        <v>DECIDED</v>
      </c>
      <c r="C93" s="384"/>
      <c r="D93" s="382" t="str">
        <f>'Portefeuille SP2'!E98</f>
        <v>PWT</v>
      </c>
      <c r="E93" s="382" t="str">
        <f t="shared" si="7"/>
        <v>PRS</v>
      </c>
      <c r="F93" s="382" t="str">
        <f t="shared" si="8"/>
        <v/>
      </c>
      <c r="G93" s="382" t="str">
        <f>'Portefeuille SP2'!C98</f>
        <v>SP1</v>
      </c>
      <c r="H93" s="382">
        <f>'Portefeuille SP2'!F98</f>
        <v>0</v>
      </c>
      <c r="I93" s="382"/>
      <c r="J93" s="382" t="str">
        <f>'Portefeuille SP2'!D98</f>
        <v>PRS</v>
      </c>
      <c r="K93" s="385">
        <f>'Portefeuille SP2'!H98</f>
        <v>0</v>
      </c>
      <c r="L93" s="157">
        <f>'Portefeuille SP2'!U98</f>
        <v>-4.4000000000000004</v>
      </c>
      <c r="M93" s="386"/>
      <c r="N93" s="386"/>
      <c r="O93" s="386"/>
      <c r="P93" s="387">
        <f>'Portefeuille SP2'!M98</f>
        <v>0</v>
      </c>
      <c r="Q93" s="387"/>
      <c r="R93" s="387" t="str">
        <f>'Portefeuille SP2'!N98</f>
        <v>+183€</v>
      </c>
      <c r="S93" s="387"/>
      <c r="T93" s="382">
        <f>'Portefeuille SP2'!R98</f>
        <v>0</v>
      </c>
      <c r="U93" s="387">
        <f>'Portefeuille SP2'!K98</f>
        <v>0</v>
      </c>
      <c r="V93" s="399">
        <f>'Portefeuille SP2'!S98</f>
        <v>1</v>
      </c>
      <c r="W93" s="387"/>
      <c r="X93" s="387"/>
      <c r="Y93" s="387"/>
      <c r="Z93" s="387"/>
      <c r="AA93" s="387"/>
      <c r="AB93" s="387"/>
      <c r="AC93" s="387"/>
      <c r="AD93" s="387"/>
      <c r="AE93" s="400">
        <f>'Portefeuille SP2'!J98</f>
        <v>0</v>
      </c>
      <c r="AF93" s="387"/>
      <c r="AG93" s="387"/>
      <c r="AH93" s="389"/>
      <c r="AI93" s="389"/>
      <c r="AJ93" s="403">
        <f>'Portefeuille SP2'!V98</f>
        <v>0</v>
      </c>
      <c r="AK93" s="403">
        <f>'Portefeuille SP2'!W98</f>
        <v>0</v>
      </c>
      <c r="AL93" s="403">
        <f>'Portefeuille SP2'!X98</f>
        <v>0</v>
      </c>
      <c r="AM93" s="403">
        <f>'Portefeuille SP2'!Y98</f>
        <v>0</v>
      </c>
      <c r="AN93" s="403">
        <f>'Portefeuille SP2'!Z98</f>
        <v>0</v>
      </c>
      <c r="AO93" s="403">
        <f>'Portefeuille SP2'!AA98</f>
        <v>0</v>
      </c>
      <c r="AP93" s="403">
        <f>'Portefeuille SP2'!AB98</f>
        <v>0</v>
      </c>
      <c r="AQ93" s="403">
        <f>'Portefeuille SP2'!AC98</f>
        <v>0</v>
      </c>
      <c r="AR93" s="403">
        <f>'Portefeuille SP2'!AD98</f>
        <v>0</v>
      </c>
      <c r="AS93" s="403">
        <f>'Portefeuille SP2'!AE98</f>
        <v>0</v>
      </c>
      <c r="AT93" s="403">
        <f>'Portefeuille SP2'!AF98</f>
        <v>0</v>
      </c>
      <c r="AU93" s="403">
        <f>'Portefeuille SP2'!AG98</f>
        <v>0</v>
      </c>
      <c r="AV93" s="403">
        <f>'Portefeuille SP2'!AH98</f>
        <v>0</v>
      </c>
      <c r="AW93" s="403">
        <f>'Portefeuille SP2'!AI98</f>
        <v>0</v>
      </c>
      <c r="AX93" s="403">
        <f>'Portefeuille SP2'!AJ98</f>
        <v>0</v>
      </c>
      <c r="AY93" s="403">
        <f>'Portefeuille SP2'!AK98</f>
        <v>0</v>
      </c>
      <c r="AZ93" s="403">
        <f>'Portefeuille SP2'!AL98</f>
        <v>0</v>
      </c>
      <c r="BA93" s="403">
        <f>'Portefeuille SP2'!AM98</f>
        <v>0</v>
      </c>
      <c r="BB93" s="403">
        <f>'Portefeuille SP2'!AN98</f>
        <v>0</v>
      </c>
      <c r="BC93" s="403">
        <f>'Portefeuille SP2'!AO98</f>
        <v>0</v>
      </c>
      <c r="BD93" s="403">
        <f>'Portefeuille SP2'!AP98</f>
        <v>0</v>
      </c>
      <c r="BE93" s="403">
        <f>'Portefeuille SP2'!AQ98</f>
        <v>0</v>
      </c>
      <c r="BF93" s="403">
        <f>'Portefeuille SP2'!AR98</f>
        <v>0</v>
      </c>
      <c r="BG93" s="403" t="e">
        <f>'Portefeuille SP2'!#REF!</f>
        <v>#REF!</v>
      </c>
      <c r="BH93" s="403" t="e">
        <f>'Portefeuille SP2'!#REF!</f>
        <v>#REF!</v>
      </c>
      <c r="BI93" s="403" t="e">
        <f>'Portefeuille SP2'!#REF!</f>
        <v>#REF!</v>
      </c>
      <c r="BJ93" s="403" t="e">
        <f>'Portefeuille SP2'!#REF!</f>
        <v>#REF!</v>
      </c>
      <c r="BK93" s="403" t="e">
        <f>'Portefeuille SP2'!#REF!</f>
        <v>#REF!</v>
      </c>
      <c r="BL93" s="388"/>
      <c r="BM93" s="404">
        <f>'Portefeuille SP2'!L98</f>
        <v>0</v>
      </c>
    </row>
    <row r="94" spans="1:65" ht="15" customHeight="1">
      <c r="A94" s="383">
        <f>'Portefeuille SP2'!B99</f>
        <v>0</v>
      </c>
      <c r="B94" s="390" t="str">
        <f>'Portefeuille SP2'!Q99</f>
        <v>CANCELED</v>
      </c>
      <c r="C94" s="384"/>
      <c r="D94" s="382" t="str">
        <f>'Portefeuille SP2'!E99</f>
        <v>PTF</v>
      </c>
      <c r="E94" s="382" t="str">
        <f t="shared" si="7"/>
        <v>PRS</v>
      </c>
      <c r="F94" s="382" t="str">
        <f t="shared" si="8"/>
        <v/>
      </c>
      <c r="G94" s="382" t="str">
        <f>'Portefeuille SP2'!C99</f>
        <v>SP1</v>
      </c>
      <c r="H94" s="382">
        <f>'Portefeuille SP2'!F99</f>
        <v>0</v>
      </c>
      <c r="I94" s="382"/>
      <c r="J94" s="382" t="str">
        <f>'Portefeuille SP2'!D99</f>
        <v>PRS</v>
      </c>
      <c r="K94" s="385">
        <f>'Portefeuille SP2'!H99</f>
        <v>0</v>
      </c>
      <c r="L94" s="157">
        <f>'Portefeuille SP2'!U99</f>
        <v>0.25</v>
      </c>
      <c r="M94" s="386"/>
      <c r="N94" s="386"/>
      <c r="O94" s="386"/>
      <c r="P94" s="387">
        <f>'Portefeuille SP2'!M99</f>
        <v>0</v>
      </c>
      <c r="Q94" s="387"/>
      <c r="R94" s="387">
        <f>'Portefeuille SP2'!N99</f>
        <v>1</v>
      </c>
      <c r="S94" s="387"/>
      <c r="T94" s="382" t="str">
        <f>'Portefeuille SP2'!R99</f>
        <v>TBD</v>
      </c>
      <c r="U94" s="387">
        <f>'Portefeuille SP2'!K99</f>
        <v>0</v>
      </c>
      <c r="V94" s="399">
        <f>'Portefeuille SP2'!S99</f>
        <v>0.25</v>
      </c>
      <c r="W94" s="387"/>
      <c r="X94" s="387"/>
      <c r="Y94" s="387"/>
      <c r="Z94" s="387"/>
      <c r="AA94" s="387"/>
      <c r="AB94" s="387"/>
      <c r="AC94" s="387"/>
      <c r="AD94" s="387"/>
      <c r="AE94" s="400">
        <f>'Portefeuille SP2'!J99</f>
        <v>0</v>
      </c>
      <c r="AF94" s="387"/>
      <c r="AG94" s="387"/>
      <c r="AH94" s="389"/>
      <c r="AI94" s="389"/>
      <c r="AJ94" s="403">
        <f>'Portefeuille SP2'!V99</f>
        <v>0</v>
      </c>
      <c r="AK94" s="403">
        <f>'Portefeuille SP2'!W99</f>
        <v>0</v>
      </c>
      <c r="AL94" s="403">
        <f>'Portefeuille SP2'!X99</f>
        <v>0</v>
      </c>
      <c r="AM94" s="403">
        <f>'Portefeuille SP2'!Y99</f>
        <v>0</v>
      </c>
      <c r="AN94" s="403">
        <f>'Portefeuille SP2'!Z99</f>
        <v>0</v>
      </c>
      <c r="AO94" s="403">
        <f>'Portefeuille SP2'!AA99</f>
        <v>0</v>
      </c>
      <c r="AP94" s="403">
        <f>'Portefeuille SP2'!AB99</f>
        <v>0</v>
      </c>
      <c r="AQ94" s="403">
        <f>'Portefeuille SP2'!AC99</f>
        <v>0</v>
      </c>
      <c r="AR94" s="403">
        <f>'Portefeuille SP2'!AD99</f>
        <v>0</v>
      </c>
      <c r="AS94" s="403">
        <f>'Portefeuille SP2'!AE99</f>
        <v>0</v>
      </c>
      <c r="AT94" s="403">
        <f>'Portefeuille SP2'!AF99</f>
        <v>0</v>
      </c>
      <c r="AU94" s="403">
        <f>'Portefeuille SP2'!AG99</f>
        <v>0</v>
      </c>
      <c r="AV94" s="403">
        <f>'Portefeuille SP2'!AH99</f>
        <v>0</v>
      </c>
      <c r="AW94" s="403">
        <f>'Portefeuille SP2'!AI99</f>
        <v>0</v>
      </c>
      <c r="AX94" s="403">
        <f>'Portefeuille SP2'!AJ99</f>
        <v>0</v>
      </c>
      <c r="AY94" s="403">
        <f>'Portefeuille SP2'!AK99</f>
        <v>0</v>
      </c>
      <c r="AZ94" s="403">
        <f>'Portefeuille SP2'!AL99</f>
        <v>0</v>
      </c>
      <c r="BA94" s="403">
        <f>'Portefeuille SP2'!AM99</f>
        <v>0</v>
      </c>
      <c r="BB94" s="403">
        <f>'Portefeuille SP2'!AN99</f>
        <v>0</v>
      </c>
      <c r="BC94" s="403">
        <f>'Portefeuille SP2'!AO99</f>
        <v>0</v>
      </c>
      <c r="BD94" s="403">
        <f>'Portefeuille SP2'!AP99</f>
        <v>0</v>
      </c>
      <c r="BE94" s="403">
        <f>'Portefeuille SP2'!AQ99</f>
        <v>0</v>
      </c>
      <c r="BF94" s="403">
        <f>'Portefeuille SP2'!AR99</f>
        <v>0</v>
      </c>
      <c r="BG94" s="403" t="e">
        <f>'Portefeuille SP2'!#REF!</f>
        <v>#REF!</v>
      </c>
      <c r="BH94" s="403" t="e">
        <f>'Portefeuille SP2'!#REF!</f>
        <v>#REF!</v>
      </c>
      <c r="BI94" s="403" t="e">
        <f>'Portefeuille SP2'!#REF!</f>
        <v>#REF!</v>
      </c>
      <c r="BJ94" s="403" t="e">
        <f>'Portefeuille SP2'!#REF!</f>
        <v>#REF!</v>
      </c>
      <c r="BK94" s="403" t="e">
        <f>'Portefeuille SP2'!#REF!</f>
        <v>#REF!</v>
      </c>
      <c r="BL94" s="388"/>
      <c r="BM94" s="404" t="str">
        <f>'Portefeuille SP2'!L99</f>
        <v>19/06/2024 : L'etat actuel de l'architecture permet de dire qu'il n'y aura plus de support complémentaire.
23/10/2023 : Création de la piste</v>
      </c>
    </row>
    <row r="95" spans="1:65" ht="15" customHeight="1">
      <c r="A95" s="383">
        <f>'Portefeuille SP2'!B100</f>
        <v>0</v>
      </c>
      <c r="B95" s="390" t="str">
        <f>'Portefeuille SP2'!Q100</f>
        <v>DECIDED</v>
      </c>
      <c r="C95" s="384"/>
      <c r="D95" s="382" t="str">
        <f>'Portefeuille SP2'!E100</f>
        <v>TH</v>
      </c>
      <c r="E95" s="382" t="str">
        <f t="shared" si="7"/>
        <v>BCI</v>
      </c>
      <c r="F95" s="382" t="str">
        <f t="shared" si="8"/>
        <v>RSD</v>
      </c>
      <c r="G95" s="382" t="str">
        <f>'Portefeuille SP2'!C100</f>
        <v>SP2</v>
      </c>
      <c r="H95" s="382">
        <f>'Portefeuille SP2'!F100</f>
        <v>0</v>
      </c>
      <c r="I95" s="382"/>
      <c r="J95" s="382" t="str">
        <f>'Portefeuille SP2'!D100</f>
        <v>BCI_FRSD</v>
      </c>
      <c r="K95" s="385" t="str">
        <f>'Portefeuille SP2'!H100</f>
        <v>remove spolier</v>
      </c>
      <c r="L95" s="157">
        <f>'Portefeuille SP2'!U100</f>
        <v>-1.5</v>
      </c>
      <c r="M95" s="386"/>
      <c r="N95" s="386"/>
      <c r="O95" s="386"/>
      <c r="P95" s="387" t="str">
        <f>'Portefeuille SP2'!M100</f>
        <v>invest volet plastique</v>
      </c>
      <c r="Q95" s="387"/>
      <c r="R95" s="387">
        <f>'Portefeuille SP2'!N100</f>
        <v>-28</v>
      </c>
      <c r="S95" s="387"/>
      <c r="T95" s="382" t="str">
        <f>'Portefeuille SP2'!R100</f>
        <v>TBD</v>
      </c>
      <c r="U95" s="387" t="str">
        <f>'Portefeuille SP2'!K100</f>
        <v>PM CW30</v>
      </c>
      <c r="V95" s="399">
        <f>'Portefeuille SP2'!S100</f>
        <v>1</v>
      </c>
      <c r="W95" s="387"/>
      <c r="X95" s="387"/>
      <c r="Y95" s="387"/>
      <c r="Z95" s="387"/>
      <c r="AA95" s="387"/>
      <c r="AB95" s="387"/>
      <c r="AC95" s="387"/>
      <c r="AD95" s="387"/>
      <c r="AE95" s="400" t="str">
        <f>'Portefeuille SP2'!J100</f>
        <v>Gain masse quand on passe d’un spoiler type P24 à un spoiler C41 "plus simple" (sans faisceaux….) --&gt; Déjà appliqué et passé en ref BDD le 02/07/2024</v>
      </c>
      <c r="AF95" s="387"/>
      <c r="AG95" s="387"/>
      <c r="AH95" s="389"/>
      <c r="AI95" s="389"/>
      <c r="AJ95" s="403">
        <f>'Portefeuille SP2'!V100</f>
        <v>0</v>
      </c>
      <c r="AK95" s="403">
        <f>'Portefeuille SP2'!W100</f>
        <v>0</v>
      </c>
      <c r="AL95" s="403">
        <f>'Portefeuille SP2'!X100</f>
        <v>0</v>
      </c>
      <c r="AM95" s="403">
        <f>'Portefeuille SP2'!Y100</f>
        <v>0</v>
      </c>
      <c r="AN95" s="403">
        <f>'Portefeuille SP2'!Z100</f>
        <v>0</v>
      </c>
      <c r="AO95" s="403">
        <f>'Portefeuille SP2'!AA100</f>
        <v>0</v>
      </c>
      <c r="AP95" s="403">
        <f>'Portefeuille SP2'!AB100</f>
        <v>0</v>
      </c>
      <c r="AQ95" s="403">
        <f>'Portefeuille SP2'!AC100</f>
        <v>0</v>
      </c>
      <c r="AR95" s="403">
        <f>'Portefeuille SP2'!AD100</f>
        <v>0</v>
      </c>
      <c r="AS95" s="403">
        <f>'Portefeuille SP2'!AE100</f>
        <v>0</v>
      </c>
      <c r="AT95" s="403">
        <f>'Portefeuille SP2'!AF100</f>
        <v>0</v>
      </c>
      <c r="AU95" s="403">
        <f>'Portefeuille SP2'!AG100</f>
        <v>0</v>
      </c>
      <c r="AV95" s="403">
        <f>'Portefeuille SP2'!AH100</f>
        <v>0</v>
      </c>
      <c r="AW95" s="403">
        <f>'Portefeuille SP2'!AI100</f>
        <v>0</v>
      </c>
      <c r="AX95" s="403">
        <f>'Portefeuille SP2'!AJ100</f>
        <v>0</v>
      </c>
      <c r="AY95" s="403">
        <f>'Portefeuille SP2'!AK100</f>
        <v>0</v>
      </c>
      <c r="AZ95" s="403">
        <f>'Portefeuille SP2'!AL100</f>
        <v>0</v>
      </c>
      <c r="BA95" s="403">
        <f>'Portefeuille SP2'!AM100</f>
        <v>0</v>
      </c>
      <c r="BB95" s="403">
        <f>'Portefeuille SP2'!AN100</f>
        <v>0</v>
      </c>
      <c r="BC95" s="403">
        <f>'Portefeuille SP2'!AO100</f>
        <v>0</v>
      </c>
      <c r="BD95" s="403">
        <f>'Portefeuille SP2'!AP100</f>
        <v>0</v>
      </c>
      <c r="BE95" s="403">
        <f>'Portefeuille SP2'!AQ100</f>
        <v>0</v>
      </c>
      <c r="BF95" s="403">
        <f>'Portefeuille SP2'!AR100</f>
        <v>0</v>
      </c>
      <c r="BG95" s="403" t="e">
        <f>'Portefeuille SP2'!#REF!</f>
        <v>#REF!</v>
      </c>
      <c r="BH95" s="403" t="e">
        <f>'Portefeuille SP2'!#REF!</f>
        <v>#REF!</v>
      </c>
      <c r="BI95" s="403" t="e">
        <f>'Portefeuille SP2'!#REF!</f>
        <v>#REF!</v>
      </c>
      <c r="BJ95" s="403" t="e">
        <f>'Portefeuille SP2'!#REF!</f>
        <v>#REF!</v>
      </c>
      <c r="BK95" s="403" t="e">
        <f>'Portefeuille SP2'!#REF!</f>
        <v>#REF!</v>
      </c>
      <c r="BL95" s="388"/>
      <c r="BM95" s="404" t="str">
        <f>'Portefeuille SP2'!L100</f>
        <v xml:space="preserve">24/09/2024 -LM- A passer en decided
A presicer : spolier en REF </v>
      </c>
    </row>
    <row r="96" spans="1:65" ht="15" customHeight="1">
      <c r="A96" s="383">
        <f>'Portefeuille SP2'!B101</f>
        <v>0</v>
      </c>
      <c r="B96" s="390" t="str">
        <f>'Portefeuille SP2'!Q101</f>
        <v>DECIDED</v>
      </c>
      <c r="C96" s="384"/>
      <c r="D96" s="382" t="str">
        <f>'Portefeuille SP2'!E101</f>
        <v>PTF</v>
      </c>
      <c r="E96" s="382" t="str">
        <f t="shared" si="7"/>
        <v>PRS</v>
      </c>
      <c r="F96" s="382" t="str">
        <f t="shared" si="8"/>
        <v/>
      </c>
      <c r="G96" s="382" t="str">
        <f>'Portefeuille SP2'!C101</f>
        <v>SP1</v>
      </c>
      <c r="H96" s="382">
        <f>'Portefeuille SP2'!F101</f>
        <v>0</v>
      </c>
      <c r="I96" s="382"/>
      <c r="J96" s="382" t="str">
        <f>'Portefeuille SP2'!D101</f>
        <v>PRS</v>
      </c>
      <c r="K96" s="385">
        <f>'Portefeuille SP2'!H101</f>
        <v>0</v>
      </c>
      <c r="L96" s="157">
        <f>'Portefeuille SP2'!U101</f>
        <v>-0.2</v>
      </c>
      <c r="M96" s="386"/>
      <c r="N96" s="386"/>
      <c r="O96" s="386"/>
      <c r="P96" s="387">
        <f>'Portefeuille SP2'!M101</f>
        <v>0</v>
      </c>
      <c r="Q96" s="387"/>
      <c r="R96" s="387">
        <f>'Portefeuille SP2'!N101</f>
        <v>0</v>
      </c>
      <c r="S96" s="387"/>
      <c r="T96" s="382" t="str">
        <f>'Portefeuille SP2'!R101</f>
        <v>TBD</v>
      </c>
      <c r="U96" s="387">
        <f>'Portefeuille SP2'!K101</f>
        <v>0</v>
      </c>
      <c r="V96" s="399">
        <f>'Portefeuille SP2'!S101</f>
        <v>1</v>
      </c>
      <c r="W96" s="387"/>
      <c r="X96" s="387"/>
      <c r="Y96" s="387"/>
      <c r="Z96" s="387"/>
      <c r="AA96" s="387"/>
      <c r="AB96" s="387"/>
      <c r="AC96" s="387"/>
      <c r="AD96" s="387"/>
      <c r="AE96" s="400">
        <f>'Portefeuille SP2'!J101</f>
        <v>0</v>
      </c>
      <c r="AF96" s="387"/>
      <c r="AG96" s="387"/>
      <c r="AH96" s="389"/>
      <c r="AI96" s="389"/>
      <c r="AJ96" s="403">
        <f>'Portefeuille SP2'!V101</f>
        <v>0</v>
      </c>
      <c r="AK96" s="403">
        <f>'Portefeuille SP2'!W101</f>
        <v>0</v>
      </c>
      <c r="AL96" s="403">
        <f>'Portefeuille SP2'!X101</f>
        <v>0</v>
      </c>
      <c r="AM96" s="403">
        <f>'Portefeuille SP2'!Y101</f>
        <v>0</v>
      </c>
      <c r="AN96" s="403">
        <f>'Portefeuille SP2'!Z101</f>
        <v>0</v>
      </c>
      <c r="AO96" s="403">
        <f>'Portefeuille SP2'!AA101</f>
        <v>0</v>
      </c>
      <c r="AP96" s="403">
        <f>'Portefeuille SP2'!AB101</f>
        <v>0</v>
      </c>
      <c r="AQ96" s="403">
        <f>'Portefeuille SP2'!AC101</f>
        <v>0</v>
      </c>
      <c r="AR96" s="403">
        <f>'Portefeuille SP2'!AD101</f>
        <v>0</v>
      </c>
      <c r="AS96" s="403">
        <f>'Portefeuille SP2'!AE101</f>
        <v>0</v>
      </c>
      <c r="AT96" s="403">
        <f>'Portefeuille SP2'!AF101</f>
        <v>0</v>
      </c>
      <c r="AU96" s="403">
        <f>'Portefeuille SP2'!AG101</f>
        <v>0</v>
      </c>
      <c r="AV96" s="403">
        <f>'Portefeuille SP2'!AH101</f>
        <v>0</v>
      </c>
      <c r="AW96" s="403">
        <f>'Portefeuille SP2'!AI101</f>
        <v>0</v>
      </c>
      <c r="AX96" s="403">
        <f>'Portefeuille SP2'!AJ101</f>
        <v>0</v>
      </c>
      <c r="AY96" s="403">
        <f>'Portefeuille SP2'!AK101</f>
        <v>0</v>
      </c>
      <c r="AZ96" s="403">
        <f>'Portefeuille SP2'!AL101</f>
        <v>0</v>
      </c>
      <c r="BA96" s="403">
        <f>'Portefeuille SP2'!AM101</f>
        <v>0</v>
      </c>
      <c r="BB96" s="403">
        <f>'Portefeuille SP2'!AN101</f>
        <v>0</v>
      </c>
      <c r="BC96" s="403">
        <f>'Portefeuille SP2'!AO101</f>
        <v>0</v>
      </c>
      <c r="BD96" s="403">
        <f>'Portefeuille SP2'!AP101</f>
        <v>0</v>
      </c>
      <c r="BE96" s="403">
        <f>'Portefeuille SP2'!AQ101</f>
        <v>0</v>
      </c>
      <c r="BF96" s="403">
        <f>'Portefeuille SP2'!AR101</f>
        <v>0</v>
      </c>
      <c r="BG96" s="403" t="e">
        <f>'Portefeuille SP2'!#REF!</f>
        <v>#REF!</v>
      </c>
      <c r="BH96" s="403" t="e">
        <f>'Portefeuille SP2'!#REF!</f>
        <v>#REF!</v>
      </c>
      <c r="BI96" s="403" t="e">
        <f>'Portefeuille SP2'!#REF!</f>
        <v>#REF!</v>
      </c>
      <c r="BJ96" s="403" t="e">
        <f>'Portefeuille SP2'!#REF!</f>
        <v>#REF!</v>
      </c>
      <c r="BK96" s="403" t="e">
        <f>'Portefeuille SP2'!#REF!</f>
        <v>#REF!</v>
      </c>
      <c r="BL96" s="388"/>
      <c r="BM96" s="404" t="str">
        <f>'Portefeuille SP2'!L101</f>
        <v>10/04/2024 : Fournisseur choisi. Bilan à faire.
14/02/2024 : Toujours pas choisi. Demande d'avoir 2 fournisseurs différents dont un typé plastique/caoutchouc pour gagner de la masse si opportunité de passer en plastique.
13/12/2023 : début des retours fournisseurs. Pb de choix des fournisseurs dans des pays qui ne maitrisent pas forcement les dernières tech moins lourdes.
23/10/2023 : Création de la piste</v>
      </c>
    </row>
    <row r="97" spans="1:65" ht="15" customHeight="1">
      <c r="A97" s="383">
        <f>'Portefeuille SP2'!B102</f>
        <v>0</v>
      </c>
      <c r="B97" s="390" t="str">
        <f>'Portefeuille SP2'!Q102</f>
        <v>DECIDED</v>
      </c>
      <c r="C97" s="384"/>
      <c r="D97" s="382" t="str">
        <f>'Portefeuille SP2'!E102</f>
        <v>TH</v>
      </c>
      <c r="E97" s="382" t="str">
        <f t="shared" si="7"/>
        <v>INT</v>
      </c>
      <c r="F97" s="382" t="str">
        <f t="shared" si="8"/>
        <v xml:space="preserve"> PDB/CONSOLE</v>
      </c>
      <c r="G97" s="382" t="str">
        <f>'Portefeuille SP2'!C102</f>
        <v>SP2</v>
      </c>
      <c r="H97" s="382">
        <f>'Portefeuille SP2'!F102</f>
        <v>0</v>
      </c>
      <c r="I97" s="382"/>
      <c r="J97" s="382" t="str">
        <f>'Portefeuille SP2'!D102</f>
        <v>INT - PDB/CONSOLE</v>
      </c>
      <c r="K97" s="385" t="str">
        <f>'Portefeuille SP2'!H102</f>
        <v>Glove boxe</v>
      </c>
      <c r="L97" s="157">
        <f>'Portefeuille SP2'!U102</f>
        <v>1.5</v>
      </c>
      <c r="M97" s="386"/>
      <c r="N97" s="386"/>
      <c r="O97" s="386"/>
      <c r="P97" s="387" t="str">
        <f>'Portefeuille SP2'!M102</f>
        <v>230K€*4</v>
      </c>
      <c r="Q97" s="387"/>
      <c r="R97" s="387">
        <f>'Portefeuille SP2'!N102</f>
        <v>13</v>
      </c>
      <c r="S97" s="387"/>
      <c r="T97" s="382" t="str">
        <f>'Portefeuille SP2'!R102</f>
        <v>TBD</v>
      </c>
      <c r="U97" s="387">
        <f>'Portefeuille SP2'!K102</f>
        <v>0</v>
      </c>
      <c r="V97" s="399">
        <f>'Portefeuille SP2'!S102</f>
        <v>1</v>
      </c>
      <c r="W97" s="387"/>
      <c r="X97" s="387"/>
      <c r="Y97" s="387"/>
      <c r="Z97" s="387"/>
      <c r="AA97" s="387"/>
      <c r="AB97" s="387"/>
      <c r="AC97" s="387"/>
      <c r="AD97" s="387"/>
      <c r="AE97" s="400" t="str">
        <f>'Portefeuille SP2'!J102</f>
        <v>29 juillet 2024 : intergé dans la BDD O3H
Changement de la pondération de 75% à 100%</v>
      </c>
      <c r="AF97" s="387"/>
      <c r="AG97" s="387"/>
      <c r="AH97" s="389"/>
      <c r="AI97" s="389"/>
      <c r="AJ97" s="403">
        <f>'Portefeuille SP2'!V102</f>
        <v>0</v>
      </c>
      <c r="AK97" s="403">
        <f>'Portefeuille SP2'!W102</f>
        <v>0</v>
      </c>
      <c r="AL97" s="403">
        <f>'Portefeuille SP2'!X102</f>
        <v>0</v>
      </c>
      <c r="AM97" s="403">
        <f>'Portefeuille SP2'!Y102</f>
        <v>0</v>
      </c>
      <c r="AN97" s="403">
        <f>'Portefeuille SP2'!Z102</f>
        <v>0</v>
      </c>
      <c r="AO97" s="403">
        <f>'Portefeuille SP2'!AA102</f>
        <v>0</v>
      </c>
      <c r="AP97" s="403">
        <f>'Portefeuille SP2'!AB102</f>
        <v>0</v>
      </c>
      <c r="AQ97" s="403">
        <f>'Portefeuille SP2'!AC102</f>
        <v>0</v>
      </c>
      <c r="AR97" s="403">
        <f>'Portefeuille SP2'!AD102</f>
        <v>0</v>
      </c>
      <c r="AS97" s="403">
        <f>'Portefeuille SP2'!AE102</f>
        <v>0</v>
      </c>
      <c r="AT97" s="403">
        <f>'Portefeuille SP2'!AF102</f>
        <v>0</v>
      </c>
      <c r="AU97" s="403">
        <f>'Portefeuille SP2'!AG102</f>
        <v>0</v>
      </c>
      <c r="AV97" s="403">
        <f>'Portefeuille SP2'!AH102</f>
        <v>0</v>
      </c>
      <c r="AW97" s="403">
        <f>'Portefeuille SP2'!AI102</f>
        <v>0</v>
      </c>
      <c r="AX97" s="403">
        <f>'Portefeuille SP2'!AJ102</f>
        <v>0</v>
      </c>
      <c r="AY97" s="403">
        <f>'Portefeuille SP2'!AK102</f>
        <v>0</v>
      </c>
      <c r="AZ97" s="403">
        <f>'Portefeuille SP2'!AL102</f>
        <v>0</v>
      </c>
      <c r="BA97" s="403">
        <f>'Portefeuille SP2'!AM102</f>
        <v>0</v>
      </c>
      <c r="BB97" s="403">
        <f>'Portefeuille SP2'!AN102</f>
        <v>0</v>
      </c>
      <c r="BC97" s="403">
        <f>'Portefeuille SP2'!AO102</f>
        <v>0</v>
      </c>
      <c r="BD97" s="403">
        <f>'Portefeuille SP2'!AP102</f>
        <v>0</v>
      </c>
      <c r="BE97" s="403">
        <f>'Portefeuille SP2'!AQ102</f>
        <v>0</v>
      </c>
      <c r="BF97" s="403">
        <f>'Portefeuille SP2'!AR102</f>
        <v>0</v>
      </c>
      <c r="BG97" s="403" t="e">
        <f>'Portefeuille SP2'!#REF!</f>
        <v>#REF!</v>
      </c>
      <c r="BH97" s="403" t="e">
        <f>'Portefeuille SP2'!#REF!</f>
        <v>#REF!</v>
      </c>
      <c r="BI97" s="403" t="e">
        <f>'Portefeuille SP2'!#REF!</f>
        <v>#REF!</v>
      </c>
      <c r="BJ97" s="403" t="e">
        <f>'Portefeuille SP2'!#REF!</f>
        <v>#REF!</v>
      </c>
      <c r="BK97" s="403" t="e">
        <f>'Portefeuille SP2'!#REF!</f>
        <v>#REF!</v>
      </c>
      <c r="BL97" s="388"/>
      <c r="BM97" s="404" t="str">
        <f>'Portefeuille SP2'!L102</f>
        <v>RHD/LHD-FABRIC/PLASTIC</v>
      </c>
    </row>
    <row r="98" spans="1:65" ht="15" customHeight="1">
      <c r="A98" s="383">
        <f>'Portefeuille SP2'!B103</f>
        <v>0</v>
      </c>
      <c r="B98" s="390" t="str">
        <f>'Portefeuille SP2'!Q103</f>
        <v>DECIDED</v>
      </c>
      <c r="C98" s="384"/>
      <c r="D98" s="382" t="str">
        <f>'Portefeuille SP2'!E103</f>
        <v>PTF</v>
      </c>
      <c r="E98" s="382" t="str">
        <f t="shared" si="7"/>
        <v>PRS</v>
      </c>
      <c r="F98" s="382" t="str">
        <f t="shared" si="8"/>
        <v/>
      </c>
      <c r="G98" s="382" t="str">
        <f>'Portefeuille SP2'!C103</f>
        <v>SP1</v>
      </c>
      <c r="H98" s="382">
        <f>'Portefeuille SP2'!F103</f>
        <v>0</v>
      </c>
      <c r="I98" s="382"/>
      <c r="J98" s="382" t="str">
        <f>'Portefeuille SP2'!D103</f>
        <v>PRS</v>
      </c>
      <c r="K98" s="385">
        <f>'Portefeuille SP2'!H103</f>
        <v>0</v>
      </c>
      <c r="L98" s="157">
        <f>'Portefeuille SP2'!U103</f>
        <v>2</v>
      </c>
      <c r="M98" s="386"/>
      <c r="N98" s="386"/>
      <c r="O98" s="386"/>
      <c r="P98" s="387">
        <f>'Portefeuille SP2'!M103</f>
        <v>0</v>
      </c>
      <c r="Q98" s="387"/>
      <c r="R98" s="387">
        <f>'Portefeuille SP2'!N103</f>
        <v>0</v>
      </c>
      <c r="S98" s="387"/>
      <c r="T98" s="382" t="str">
        <f>'Portefeuille SP2'!R103</f>
        <v>TBD</v>
      </c>
      <c r="U98" s="387">
        <f>'Portefeuille SP2'!K103</f>
        <v>0</v>
      </c>
      <c r="V98" s="399">
        <f>'Portefeuille SP2'!S103</f>
        <v>1</v>
      </c>
      <c r="W98" s="387"/>
      <c r="X98" s="387"/>
      <c r="Y98" s="387"/>
      <c r="Z98" s="387"/>
      <c r="AA98" s="387"/>
      <c r="AB98" s="387"/>
      <c r="AC98" s="387"/>
      <c r="AD98" s="387"/>
      <c r="AE98" s="400">
        <f>'Portefeuille SP2'!J103</f>
        <v>0</v>
      </c>
      <c r="AF98" s="387"/>
      <c r="AG98" s="387"/>
      <c r="AH98" s="389"/>
      <c r="AI98" s="389"/>
      <c r="AJ98" s="403">
        <f>'Portefeuille SP2'!V103</f>
        <v>0</v>
      </c>
      <c r="AK98" s="403">
        <f>'Portefeuille SP2'!W103</f>
        <v>0</v>
      </c>
      <c r="AL98" s="403">
        <f>'Portefeuille SP2'!X103</f>
        <v>0</v>
      </c>
      <c r="AM98" s="403">
        <f>'Portefeuille SP2'!Y103</f>
        <v>0</v>
      </c>
      <c r="AN98" s="403">
        <f>'Portefeuille SP2'!Z103</f>
        <v>0</v>
      </c>
      <c r="AO98" s="403">
        <f>'Portefeuille SP2'!AA103</f>
        <v>0</v>
      </c>
      <c r="AP98" s="403">
        <f>'Portefeuille SP2'!AB103</f>
        <v>0</v>
      </c>
      <c r="AQ98" s="403">
        <f>'Portefeuille SP2'!AC103</f>
        <v>0</v>
      </c>
      <c r="AR98" s="403">
        <f>'Portefeuille SP2'!AD103</f>
        <v>0</v>
      </c>
      <c r="AS98" s="403">
        <f>'Portefeuille SP2'!AE103</f>
        <v>0</v>
      </c>
      <c r="AT98" s="403">
        <f>'Portefeuille SP2'!AF103</f>
        <v>0</v>
      </c>
      <c r="AU98" s="403">
        <f>'Portefeuille SP2'!AG103</f>
        <v>0</v>
      </c>
      <c r="AV98" s="403">
        <f>'Portefeuille SP2'!AH103</f>
        <v>0</v>
      </c>
      <c r="AW98" s="403">
        <f>'Portefeuille SP2'!AI103</f>
        <v>0</v>
      </c>
      <c r="AX98" s="403">
        <f>'Portefeuille SP2'!AJ103</f>
        <v>0</v>
      </c>
      <c r="AY98" s="403">
        <f>'Portefeuille SP2'!AK103</f>
        <v>0</v>
      </c>
      <c r="AZ98" s="403">
        <f>'Portefeuille SP2'!AL103</f>
        <v>0</v>
      </c>
      <c r="BA98" s="403">
        <f>'Portefeuille SP2'!AM103</f>
        <v>0</v>
      </c>
      <c r="BB98" s="403">
        <f>'Portefeuille SP2'!AN103</f>
        <v>0</v>
      </c>
      <c r="BC98" s="403">
        <f>'Portefeuille SP2'!AO103</f>
        <v>0</v>
      </c>
      <c r="BD98" s="403">
        <f>'Portefeuille SP2'!AP103</f>
        <v>0</v>
      </c>
      <c r="BE98" s="403">
        <f>'Portefeuille SP2'!AQ103</f>
        <v>0</v>
      </c>
      <c r="BF98" s="403">
        <f>'Portefeuille SP2'!AR103</f>
        <v>0</v>
      </c>
      <c r="BG98" s="403" t="e">
        <f>'Portefeuille SP2'!#REF!</f>
        <v>#REF!</v>
      </c>
      <c r="BH98" s="403" t="e">
        <f>'Portefeuille SP2'!#REF!</f>
        <v>#REF!</v>
      </c>
      <c r="BI98" s="403" t="e">
        <f>'Portefeuille SP2'!#REF!</f>
        <v>#REF!</v>
      </c>
      <c r="BJ98" s="403" t="e">
        <f>'Portefeuille SP2'!#REF!</f>
        <v>#REF!</v>
      </c>
      <c r="BK98" s="403" t="e">
        <f>'Portefeuille SP2'!#REF!</f>
        <v>#REF!</v>
      </c>
      <c r="BL98" s="388"/>
      <c r="BM98" s="404" t="str">
        <f>'Portefeuille SP2'!L103</f>
        <v>30/04/2024 : Choix repossé en mai. VMAX : 2,7 kg (seul fournisseur valable, le moins lourd mais irrecevable techniquement est à 1,65kg)  
10/04/2024 : Choix repoussé à mi avril
13/12/2023 : Plage de retour fournisseur allant jusqu'à 1,4 kg. Fin choix fournisseur fin fevrier.
22/11/2023 :  RFQ très tardive. Il existe actuellement un fournisseur avec un objet sur étagère -&gt; voir les retours fournisseurs.</v>
      </c>
    </row>
    <row r="99" spans="1:65" ht="15" customHeight="1">
      <c r="A99" s="383">
        <f>'Portefeuille SP2'!B104</f>
        <v>0</v>
      </c>
      <c r="B99" s="390" t="str">
        <f>'Portefeuille SP2'!Q104</f>
        <v>DECIDED</v>
      </c>
      <c r="C99" s="384"/>
      <c r="D99" s="382" t="str">
        <f>'Portefeuille SP2'!E104</f>
        <v>PTF</v>
      </c>
      <c r="E99" s="382" t="str">
        <f t="shared" si="7"/>
        <v>BCI</v>
      </c>
      <c r="F99" s="382" t="str">
        <f t="shared" si="8"/>
        <v>HASSIS</v>
      </c>
      <c r="G99" s="382" t="str">
        <f>'Portefeuille SP2'!C104</f>
        <v>SP2</v>
      </c>
      <c r="H99" s="382">
        <f>'Portefeuille SP2'!F104</f>
        <v>0</v>
      </c>
      <c r="I99" s="382"/>
      <c r="J99" s="382" t="str">
        <f>'Portefeuille SP2'!D104</f>
        <v>BCI_CHASSIS</v>
      </c>
      <c r="K99" s="385">
        <f>'Portefeuille SP2'!H104</f>
        <v>0</v>
      </c>
      <c r="L99" s="157">
        <f>'Portefeuille SP2'!U104</f>
        <v>-3.5</v>
      </c>
      <c r="M99" s="386"/>
      <c r="N99" s="386"/>
      <c r="O99" s="386"/>
      <c r="P99" s="387">
        <f>'Portefeuille SP2'!M104</f>
        <v>0</v>
      </c>
      <c r="Q99" s="387"/>
      <c r="R99" s="387">
        <f>'Portefeuille SP2'!N104</f>
        <v>0</v>
      </c>
      <c r="S99" s="387"/>
      <c r="T99" s="382" t="str">
        <f>'Portefeuille SP2'!R104</f>
        <v>TBD</v>
      </c>
      <c r="U99" s="387">
        <f>'Portefeuille SP2'!K104</f>
        <v>0</v>
      </c>
      <c r="V99" s="399">
        <f>'Portefeuille SP2'!S104</f>
        <v>0.5</v>
      </c>
      <c r="W99" s="387"/>
      <c r="X99" s="387"/>
      <c r="Y99" s="387"/>
      <c r="Z99" s="387"/>
      <c r="AA99" s="387"/>
      <c r="AB99" s="387"/>
      <c r="AC99" s="387"/>
      <c r="AD99" s="387"/>
      <c r="AE99" s="400">
        <f>'Portefeuille SP2'!J104</f>
        <v>0</v>
      </c>
      <c r="AF99" s="387"/>
      <c r="AG99" s="387"/>
      <c r="AH99" s="389"/>
      <c r="AI99" s="389"/>
      <c r="AJ99" s="403">
        <f>'Portefeuille SP2'!V104</f>
        <v>1</v>
      </c>
      <c r="AK99" s="403">
        <f>'Portefeuille SP2'!W104</f>
        <v>1</v>
      </c>
      <c r="AL99" s="403">
        <f>'Portefeuille SP2'!X104</f>
        <v>1</v>
      </c>
      <c r="AM99" s="403">
        <f>'Portefeuille SP2'!Y104</f>
        <v>0</v>
      </c>
      <c r="AN99" s="403">
        <f>'Portefeuille SP2'!Z104</f>
        <v>0</v>
      </c>
      <c r="AO99" s="403">
        <f>'Portefeuille SP2'!AA104</f>
        <v>0</v>
      </c>
      <c r="AP99" s="403">
        <f>'Portefeuille SP2'!AB104</f>
        <v>0</v>
      </c>
      <c r="AQ99" s="403">
        <f>'Portefeuille SP2'!AC104</f>
        <v>0</v>
      </c>
      <c r="AR99" s="403">
        <f>'Portefeuille SP2'!AD104</f>
        <v>0</v>
      </c>
      <c r="AS99" s="403">
        <f>'Portefeuille SP2'!AE104</f>
        <v>1</v>
      </c>
      <c r="AT99" s="403">
        <f>'Portefeuille SP2'!AF104</f>
        <v>1</v>
      </c>
      <c r="AU99" s="403">
        <f>'Portefeuille SP2'!AG104</f>
        <v>1</v>
      </c>
      <c r="AV99" s="403">
        <f>'Portefeuille SP2'!AH104</f>
        <v>0</v>
      </c>
      <c r="AW99" s="403">
        <f>'Portefeuille SP2'!AI104</f>
        <v>0</v>
      </c>
      <c r="AX99" s="403">
        <f>'Portefeuille SP2'!AJ104</f>
        <v>0</v>
      </c>
      <c r="AY99" s="403">
        <f>'Portefeuille SP2'!AK104</f>
        <v>0</v>
      </c>
      <c r="AZ99" s="403">
        <f>'Portefeuille SP2'!AL104</f>
        <v>0</v>
      </c>
      <c r="BA99" s="403">
        <f>'Portefeuille SP2'!AM104</f>
        <v>0</v>
      </c>
      <c r="BB99" s="403">
        <f>'Portefeuille SP2'!AN104</f>
        <v>0</v>
      </c>
      <c r="BC99" s="403">
        <f>'Portefeuille SP2'!AO104</f>
        <v>0</v>
      </c>
      <c r="BD99" s="403">
        <f>'Portefeuille SP2'!AP104</f>
        <v>0</v>
      </c>
      <c r="BE99" s="403">
        <f>'Portefeuille SP2'!AQ104</f>
        <v>1</v>
      </c>
      <c r="BF99" s="403">
        <f>'Portefeuille SP2'!AR104</f>
        <v>0</v>
      </c>
      <c r="BG99" s="403" t="e">
        <f>'Portefeuille SP2'!#REF!</f>
        <v>#REF!</v>
      </c>
      <c r="BH99" s="403" t="e">
        <f>'Portefeuille SP2'!#REF!</f>
        <v>#REF!</v>
      </c>
      <c r="BI99" s="403" t="e">
        <f>'Portefeuille SP2'!#REF!</f>
        <v>#REF!</v>
      </c>
      <c r="BJ99" s="403" t="e">
        <f>'Portefeuille SP2'!#REF!</f>
        <v>#REF!</v>
      </c>
      <c r="BK99" s="403" t="e">
        <f>'Portefeuille SP2'!#REF!</f>
        <v>#REF!</v>
      </c>
      <c r="BL99" s="388"/>
      <c r="BM99" s="404" t="str">
        <f>'Portefeuille SP2'!L104</f>
        <v>14/03/2024 : Workshop mass</v>
      </c>
    </row>
    <row r="100" spans="1:65" ht="15" customHeight="1">
      <c r="A100" s="383">
        <f>'Portefeuille SP2'!B105</f>
        <v>0</v>
      </c>
      <c r="B100" s="390" t="str">
        <f>'Portefeuille SP2'!Q105</f>
        <v>CANCELED</v>
      </c>
      <c r="C100" s="384"/>
      <c r="D100" s="382" t="str">
        <f>'Portefeuille SP2'!E105</f>
        <v>PTF</v>
      </c>
      <c r="E100" s="382" t="str">
        <f t="shared" si="7"/>
        <v>BCI</v>
      </c>
      <c r="F100" s="382" t="str">
        <f t="shared" si="8"/>
        <v>HASSIS</v>
      </c>
      <c r="G100" s="382" t="str">
        <f>'Portefeuille SP2'!C105</f>
        <v>SP1</v>
      </c>
      <c r="H100" s="382">
        <f>'Portefeuille SP2'!F105</f>
        <v>0</v>
      </c>
      <c r="I100" s="382"/>
      <c r="J100" s="382" t="str">
        <f>'Portefeuille SP2'!D105</f>
        <v>BCI_CHASSIS</v>
      </c>
      <c r="K100" s="385">
        <f>'Portefeuille SP2'!H105</f>
        <v>0</v>
      </c>
      <c r="L100" s="157">
        <f>'Portefeuille SP2'!U105</f>
        <v>-0.25</v>
      </c>
      <c r="M100" s="386"/>
      <c r="N100" s="386"/>
      <c r="O100" s="386"/>
      <c r="P100" s="387">
        <f>'Portefeuille SP2'!M105</f>
        <v>0</v>
      </c>
      <c r="Q100" s="387"/>
      <c r="R100" s="387">
        <f>'Portefeuille SP2'!N105</f>
        <v>-3</v>
      </c>
      <c r="S100" s="387"/>
      <c r="T100" s="382" t="str">
        <f>'Portefeuille SP2'!R105</f>
        <v>TBD</v>
      </c>
      <c r="U100" s="387">
        <f>'Portefeuille SP2'!K105</f>
        <v>0</v>
      </c>
      <c r="V100" s="399">
        <f>'Portefeuille SP2'!S105</f>
        <v>0.25</v>
      </c>
      <c r="W100" s="387"/>
      <c r="X100" s="387"/>
      <c r="Y100" s="387"/>
      <c r="Z100" s="387"/>
      <c r="AA100" s="387"/>
      <c r="AB100" s="387"/>
      <c r="AC100" s="387"/>
      <c r="AD100" s="387"/>
      <c r="AE100" s="400">
        <f>'Portefeuille SP2'!J105</f>
        <v>0</v>
      </c>
      <c r="AF100" s="387"/>
      <c r="AG100" s="387"/>
      <c r="AH100" s="389"/>
      <c r="AI100" s="389"/>
      <c r="AJ100" s="403">
        <f>'Portefeuille SP2'!V105</f>
        <v>0</v>
      </c>
      <c r="AK100" s="403">
        <f>'Portefeuille SP2'!W105</f>
        <v>0</v>
      </c>
      <c r="AL100" s="403">
        <f>'Portefeuille SP2'!X105</f>
        <v>0</v>
      </c>
      <c r="AM100" s="403">
        <f>'Portefeuille SP2'!Y105</f>
        <v>0</v>
      </c>
      <c r="AN100" s="403">
        <f>'Portefeuille SP2'!Z105</f>
        <v>0</v>
      </c>
      <c r="AO100" s="403">
        <f>'Portefeuille SP2'!AA105</f>
        <v>0</v>
      </c>
      <c r="AP100" s="403">
        <f>'Portefeuille SP2'!AB105</f>
        <v>0</v>
      </c>
      <c r="AQ100" s="403">
        <f>'Portefeuille SP2'!AC105</f>
        <v>0</v>
      </c>
      <c r="AR100" s="403">
        <f>'Portefeuille SP2'!AD105</f>
        <v>0</v>
      </c>
      <c r="AS100" s="403">
        <f>'Portefeuille SP2'!AE105</f>
        <v>0</v>
      </c>
      <c r="AT100" s="403">
        <f>'Portefeuille SP2'!AF105</f>
        <v>0</v>
      </c>
      <c r="AU100" s="403">
        <f>'Portefeuille SP2'!AG105</f>
        <v>0</v>
      </c>
      <c r="AV100" s="403">
        <f>'Portefeuille SP2'!AH105</f>
        <v>0</v>
      </c>
      <c r="AW100" s="403">
        <f>'Portefeuille SP2'!AI105</f>
        <v>0</v>
      </c>
      <c r="AX100" s="403">
        <f>'Portefeuille SP2'!AJ105</f>
        <v>0</v>
      </c>
      <c r="AY100" s="403">
        <f>'Portefeuille SP2'!AK105</f>
        <v>0</v>
      </c>
      <c r="AZ100" s="403">
        <f>'Portefeuille SP2'!AL105</f>
        <v>0</v>
      </c>
      <c r="BA100" s="403">
        <f>'Portefeuille SP2'!AM105</f>
        <v>0</v>
      </c>
      <c r="BB100" s="403">
        <f>'Portefeuille SP2'!AN105</f>
        <v>0</v>
      </c>
      <c r="BC100" s="403">
        <f>'Portefeuille SP2'!AO105</f>
        <v>0</v>
      </c>
      <c r="BD100" s="403">
        <f>'Portefeuille SP2'!AP105</f>
        <v>0</v>
      </c>
      <c r="BE100" s="403">
        <f>'Portefeuille SP2'!AQ105</f>
        <v>0</v>
      </c>
      <c r="BF100" s="403">
        <f>'Portefeuille SP2'!AR105</f>
        <v>0</v>
      </c>
      <c r="BG100" s="403" t="e">
        <f>'Portefeuille SP2'!#REF!</f>
        <v>#REF!</v>
      </c>
      <c r="BH100" s="403" t="e">
        <f>'Portefeuille SP2'!#REF!</f>
        <v>#REF!</v>
      </c>
      <c r="BI100" s="403" t="e">
        <f>'Portefeuille SP2'!#REF!</f>
        <v>#REF!</v>
      </c>
      <c r="BJ100" s="403" t="e">
        <f>'Portefeuille SP2'!#REF!</f>
        <v>#REF!</v>
      </c>
      <c r="BK100" s="403" t="e">
        <f>'Portefeuille SP2'!#REF!</f>
        <v>#REF!</v>
      </c>
      <c r="BL100" s="388"/>
      <c r="BM100" s="404" t="str">
        <f>'Portefeuille SP2'!L105</f>
        <v>10/06/2024 : RD S23 : décision d'annulation pour cause d'impossibilité de trouver un scénario de choc satisfaisant.
29/05/2024 : Pas de convergence sur le choc, contrainte planning. Retour sur BaD sur traverse très probable. Annulation à passer en décision.
10/04/2024 : Pas encore de solution pour conserver la BaD sur caisse.
3/13/2024 : risque de retour en arriere car nok choc.
06/02/2024 : à banquer</v>
      </c>
    </row>
    <row r="101" spans="1:65" ht="15" customHeight="1">
      <c r="A101" s="383">
        <f>'Portefeuille SP2'!B106</f>
        <v>45536</v>
      </c>
      <c r="B101" s="390" t="str">
        <f>'Portefeuille SP2'!Q106</f>
        <v>CANCELED</v>
      </c>
      <c r="C101" s="384"/>
      <c r="D101" s="382" t="str">
        <f>'Portefeuille SP2'!E106</f>
        <v>TH</v>
      </c>
      <c r="E101" s="382" t="str">
        <f t="shared" si="7"/>
        <v>BCI</v>
      </c>
      <c r="F101" s="382" t="str">
        <f t="shared" si="8"/>
        <v>RSD</v>
      </c>
      <c r="G101" s="382" t="str">
        <f>'Portefeuille SP2'!C106</f>
        <v>SPC_1</v>
      </c>
      <c r="H101" s="382">
        <f>'Portefeuille SP2'!F106</f>
        <v>0</v>
      </c>
      <c r="I101" s="382"/>
      <c r="J101" s="382" t="str">
        <f>'Portefeuille SP2'!D106</f>
        <v>BCI_FRSD</v>
      </c>
      <c r="K101" s="385" t="str">
        <f>'Portefeuille SP2'!H106</f>
        <v>Aluminum Fender</v>
      </c>
      <c r="L101" s="157">
        <f>'Portefeuille SP2'!U106</f>
        <v>0</v>
      </c>
      <c r="M101" s="386"/>
      <c r="N101" s="386"/>
      <c r="O101" s="386"/>
      <c r="P101" s="387">
        <f>'Portefeuille SP2'!M106</f>
        <v>750</v>
      </c>
      <c r="Q101" s="387"/>
      <c r="R101" s="387">
        <f>'Portefeuille SP2'!N106</f>
        <v>5.6</v>
      </c>
      <c r="S101" s="387"/>
      <c r="T101" s="382" t="str">
        <f>'Portefeuille SP2'!R106</f>
        <v>Step4</v>
      </c>
      <c r="U101" s="387" t="str">
        <f>'Portefeuille SP2'!K106</f>
        <v>PM-CM</v>
      </c>
      <c r="V101" s="399">
        <f>'Portefeuille SP2'!S106</f>
        <v>0</v>
      </c>
      <c r="W101" s="387"/>
      <c r="X101" s="387"/>
      <c r="Y101" s="387"/>
      <c r="Z101" s="387"/>
      <c r="AA101" s="387"/>
      <c r="AB101" s="387"/>
      <c r="AC101" s="387"/>
      <c r="AD101" s="387"/>
      <c r="AE101" s="400" t="str">
        <f>'Portefeuille SP2'!J106</f>
        <v>28/04/2025 LM : Annulé
24/09/2024 - LM - ne sera pas appliqué à reboucler avec le projet 
http://docinfogroupe.inetpsa.com/ead/doc/ref.01364_22_00699/v.vc/fiche</v>
      </c>
      <c r="AF101" s="387"/>
      <c r="AG101" s="387"/>
      <c r="AH101" s="389"/>
      <c r="AI101" s="389"/>
      <c r="AJ101" s="403">
        <f>'Portefeuille SP2'!V106</f>
        <v>0</v>
      </c>
      <c r="AK101" s="403">
        <f>'Portefeuille SP2'!W106</f>
        <v>0</v>
      </c>
      <c r="AL101" s="403">
        <f>'Portefeuille SP2'!X106</f>
        <v>0</v>
      </c>
      <c r="AM101" s="403">
        <f>'Portefeuille SP2'!Y106</f>
        <v>1</v>
      </c>
      <c r="AN101" s="403">
        <f>'Portefeuille SP2'!Z106</f>
        <v>0</v>
      </c>
      <c r="AO101" s="403">
        <f>'Portefeuille SP2'!AA106</f>
        <v>0</v>
      </c>
      <c r="AP101" s="403">
        <f>'Portefeuille SP2'!AB106</f>
        <v>0</v>
      </c>
      <c r="AQ101" s="403">
        <f>'Portefeuille SP2'!AC106</f>
        <v>1</v>
      </c>
      <c r="AR101" s="403">
        <f>'Portefeuille SP2'!AD106</f>
        <v>0</v>
      </c>
      <c r="AS101" s="403">
        <f>'Portefeuille SP2'!AE106</f>
        <v>0</v>
      </c>
      <c r="AT101" s="403">
        <f>'Portefeuille SP2'!AF106</f>
        <v>0</v>
      </c>
      <c r="AU101" s="403">
        <f>'Portefeuille SP2'!AG106</f>
        <v>0</v>
      </c>
      <c r="AV101" s="403">
        <f>'Portefeuille SP2'!AH106</f>
        <v>1</v>
      </c>
      <c r="AW101" s="403">
        <f>'Portefeuille SP2'!AI106</f>
        <v>0</v>
      </c>
      <c r="AX101" s="403">
        <f>'Portefeuille SP2'!AJ106</f>
        <v>0</v>
      </c>
      <c r="AY101" s="403">
        <f>'Portefeuille SP2'!AK106</f>
        <v>0</v>
      </c>
      <c r="AZ101" s="403">
        <f>'Portefeuille SP2'!AL106</f>
        <v>1</v>
      </c>
      <c r="BA101" s="403">
        <f>'Portefeuille SP2'!AM106</f>
        <v>0</v>
      </c>
      <c r="BB101" s="403">
        <f>'Portefeuille SP2'!AN106</f>
        <v>1</v>
      </c>
      <c r="BC101" s="403">
        <f>'Portefeuille SP2'!AO106</f>
        <v>1</v>
      </c>
      <c r="BD101" s="403">
        <f>'Portefeuille SP2'!AP106</f>
        <v>0</v>
      </c>
      <c r="BE101" s="403">
        <f>'Portefeuille SP2'!AQ106</f>
        <v>1</v>
      </c>
      <c r="BF101" s="403">
        <f>'Portefeuille SP2'!AR106</f>
        <v>0</v>
      </c>
      <c r="BG101" s="403" t="e">
        <f>'Portefeuille SP2'!#REF!</f>
        <v>#REF!</v>
      </c>
      <c r="BH101" s="403" t="e">
        <f>'Portefeuille SP2'!#REF!</f>
        <v>#REF!</v>
      </c>
      <c r="BI101" s="403" t="e">
        <f>'Portefeuille SP2'!#REF!</f>
        <v>#REF!</v>
      </c>
      <c r="BJ101" s="403" t="e">
        <f>'Portefeuille SP2'!#REF!</f>
        <v>#REF!</v>
      </c>
      <c r="BK101" s="403" t="e">
        <f>'Portefeuille SP2'!#REF!</f>
        <v>#REF!</v>
      </c>
      <c r="BL101" s="388"/>
      <c r="BM101" s="404" t="str">
        <f>'Portefeuille SP2'!L106</f>
        <v>MAJ 12/04 : +5,81kg/ 4,3€/kg/SFT:+500 KE (by tophat)</v>
      </c>
    </row>
    <row r="102" spans="1:65" ht="15" customHeight="1">
      <c r="A102" s="383" t="str">
        <f>'Portefeuille SP2'!B107</f>
        <v>11/09/2024</v>
      </c>
      <c r="B102" s="390" t="str">
        <f>'Portefeuille SP2'!Q107</f>
        <v>DECIDED</v>
      </c>
      <c r="C102" s="384"/>
      <c r="D102" s="382" t="str">
        <f>'Portefeuille SP2'!E107</f>
        <v>TH</v>
      </c>
      <c r="E102" s="382" t="str">
        <f t="shared" si="7"/>
        <v>INT</v>
      </c>
      <c r="F102" s="382" t="str">
        <f>MID(J102, 4, 20)</f>
        <v xml:space="preserve"> - PDB/CONSOLE</v>
      </c>
      <c r="G102" s="382" t="str">
        <f>'Portefeuille SP2'!C107</f>
        <v>SP1</v>
      </c>
      <c r="H102" s="382" t="str">
        <f>'Portefeuille SP2'!F107</f>
        <v>FREDERIC BRUNIER</v>
      </c>
      <c r="I102" s="428" t="s">
        <v>1212</v>
      </c>
      <c r="J102" s="382" t="str">
        <f>'Portefeuille SP2'!D107</f>
        <v>INT - PDB/CONSOLE</v>
      </c>
      <c r="K102" s="385" t="str">
        <f>'Portefeuille SP2'!H107</f>
        <v>style/brand</v>
      </c>
      <c r="L102" s="157">
        <f>'Portefeuille SP2'!U107</f>
        <v>-0.26800000000000002</v>
      </c>
      <c r="M102" s="386"/>
      <c r="N102" s="386"/>
      <c r="O102" s="386"/>
      <c r="P102" s="400">
        <f>'Portefeuille SP2'!M107</f>
        <v>0</v>
      </c>
      <c r="Q102" s="387"/>
      <c r="R102" s="387">
        <f>'Portefeuille SP2'!N107</f>
        <v>0</v>
      </c>
      <c r="S102" s="387"/>
      <c r="T102" s="382">
        <f>'Portefeuille SP2'!R107</f>
        <v>0</v>
      </c>
      <c r="U102" s="387">
        <f>'Portefeuille SP2'!K107</f>
        <v>0</v>
      </c>
      <c r="V102" s="399">
        <f>'Portefeuille SP2'!S107</f>
        <v>1</v>
      </c>
      <c r="W102" s="387"/>
      <c r="X102" s="387"/>
      <c r="Y102" s="387"/>
      <c r="Z102" s="387"/>
      <c r="AA102" s="387"/>
      <c r="AB102" s="387"/>
      <c r="AC102" s="387"/>
      <c r="AD102" s="387"/>
      <c r="AE102" s="408" t="str">
        <f>'Portefeuille SP2'!J107</f>
        <v>16/02/2026 LM
SUJET SUPPRIMER</v>
      </c>
      <c r="AF102" s="387"/>
      <c r="AG102" s="387"/>
      <c r="AH102" s="389"/>
      <c r="AI102" s="389"/>
      <c r="AJ102" s="403">
        <f>'Portefeuille SP2'!V107</f>
        <v>1</v>
      </c>
      <c r="AK102" s="403">
        <f>'Portefeuille SP2'!W107</f>
        <v>1</v>
      </c>
      <c r="AL102" s="403">
        <f>'Portefeuille SP2'!X107</f>
        <v>1</v>
      </c>
      <c r="AM102" s="403">
        <f>'Portefeuille SP2'!Y107</f>
        <v>1</v>
      </c>
      <c r="AN102" s="403">
        <f>'Portefeuille SP2'!Z107</f>
        <v>1</v>
      </c>
      <c r="AO102" s="403">
        <f>'Portefeuille SP2'!AA107</f>
        <v>1</v>
      </c>
      <c r="AP102" s="403">
        <f>'Portefeuille SP2'!AB107</f>
        <v>1</v>
      </c>
      <c r="AQ102" s="403">
        <f>'Portefeuille SP2'!AC107</f>
        <v>1</v>
      </c>
      <c r="AR102" s="403">
        <f>'Portefeuille SP2'!AD107</f>
        <v>1</v>
      </c>
      <c r="AS102" s="403">
        <f>'Portefeuille SP2'!AE107</f>
        <v>1</v>
      </c>
      <c r="AT102" s="403">
        <f>'Portefeuille SP2'!AF107</f>
        <v>1</v>
      </c>
      <c r="AU102" s="403">
        <f>'Portefeuille SP2'!AG107</f>
        <v>1</v>
      </c>
      <c r="AV102" s="403">
        <f>'Portefeuille SP2'!AH107</f>
        <v>1</v>
      </c>
      <c r="AW102" s="403">
        <f>'Portefeuille SP2'!AI107</f>
        <v>1</v>
      </c>
      <c r="AX102" s="403">
        <f>'Portefeuille SP2'!AJ107</f>
        <v>1</v>
      </c>
      <c r="AY102" s="403">
        <f>'Portefeuille SP2'!AK107</f>
        <v>1</v>
      </c>
      <c r="AZ102" s="403">
        <f>'Portefeuille SP2'!AL107</f>
        <v>1</v>
      </c>
      <c r="BA102" s="403">
        <f>'Portefeuille SP2'!AM107</f>
        <v>1</v>
      </c>
      <c r="BB102" s="403">
        <f>'Portefeuille SP2'!AN107</f>
        <v>1</v>
      </c>
      <c r="BC102" s="403">
        <f>'Portefeuille SP2'!AO107</f>
        <v>1</v>
      </c>
      <c r="BD102" s="403">
        <f>'Portefeuille SP2'!AP107</f>
        <v>1</v>
      </c>
      <c r="BE102" s="403">
        <f>'Portefeuille SP2'!AQ107</f>
        <v>1</v>
      </c>
      <c r="BF102" s="403">
        <f>'Portefeuille SP2'!AR107</f>
        <v>1</v>
      </c>
      <c r="BG102" s="403" t="e">
        <f>'Portefeuille SP2'!#REF!</f>
        <v>#REF!</v>
      </c>
      <c r="BH102" s="403" t="e">
        <f>'Portefeuille SP2'!#REF!</f>
        <v>#REF!</v>
      </c>
      <c r="BI102" s="403" t="e">
        <f>'Portefeuille SP2'!#REF!</f>
        <v>#REF!</v>
      </c>
      <c r="BJ102" s="403" t="e">
        <f>'Portefeuille SP2'!#REF!</f>
        <v>#REF!</v>
      </c>
      <c r="BK102" s="403" t="e">
        <f>'Portefeuille SP2'!#REF!</f>
        <v>#REF!</v>
      </c>
      <c r="BL102" s="388"/>
      <c r="BM102" s="404" t="str">
        <f>'Portefeuille SP2'!L107</f>
        <v>11/09/2024 Supp eclair écran(228g+40g) = Inscrit au plan coût /Supp ALCOVE (200g) : STd bye
05/09/2024 A revoir avec Guillaume
05/09/2024 : Ne concerne que ALCOVE / Sous écran : pas de contrainte / Ss facade aérateur : uniqt Niv3
06/06/2024 Si TT= RAS/ Si MeG besoin de obturateur !
14/03/2024 dans l'alcove</v>
      </c>
    </row>
    <row r="103" spans="1:65" ht="15" customHeight="1">
      <c r="A103" s="383">
        <f>'Portefeuille SP2'!B108</f>
        <v>0</v>
      </c>
      <c r="B103" s="390" t="str">
        <f>'Portefeuille SP2'!Q108</f>
        <v>CANCELED</v>
      </c>
      <c r="C103" s="384"/>
      <c r="D103" s="382" t="str">
        <f>'Portefeuille SP2'!E108</f>
        <v>PTF</v>
      </c>
      <c r="E103" s="382" t="str">
        <f t="shared" si="7"/>
        <v>SWX</v>
      </c>
      <c r="F103" s="382" t="str">
        <f t="shared" si="8"/>
        <v>E</v>
      </c>
      <c r="G103" s="382" t="str">
        <f>'Portefeuille SP2'!C108</f>
        <v>SP1</v>
      </c>
      <c r="H103" s="382">
        <f>'Portefeuille SP2'!F108</f>
        <v>0</v>
      </c>
      <c r="I103" s="382"/>
      <c r="J103" s="382" t="str">
        <f>'Portefeuille SP2'!D108</f>
        <v>SWX/EE</v>
      </c>
      <c r="K103" s="385">
        <f>'Portefeuille SP2'!H108</f>
        <v>0</v>
      </c>
      <c r="L103" s="157">
        <f>'Portefeuille SP2'!U108</f>
        <v>-2</v>
      </c>
      <c r="M103" s="386"/>
      <c r="N103" s="386"/>
      <c r="O103" s="386"/>
      <c r="P103" s="387">
        <f>'Portefeuille SP2'!M108</f>
        <v>0</v>
      </c>
      <c r="Q103" s="387"/>
      <c r="R103" s="387" t="str">
        <f>'Portefeuille SP2'!N108</f>
        <v xml:space="preserve">L2 AGM --&gt; L1 AGM (n'existe pas dans le groupe) :entre  -10 et -15
(L2 EEF /EFR) = -0,7 kg / -20 vs L2AGM
</v>
      </c>
      <c r="S103" s="387"/>
      <c r="T103" s="382" t="str">
        <f>'Portefeuille SP2'!R108</f>
        <v>TBD</v>
      </c>
      <c r="U103" s="387">
        <f>'Portefeuille SP2'!K108</f>
        <v>0</v>
      </c>
      <c r="V103" s="399">
        <f>'Portefeuille SP2'!S108</f>
        <v>0.5</v>
      </c>
      <c r="W103" s="387"/>
      <c r="X103" s="387"/>
      <c r="Y103" s="387"/>
      <c r="Z103" s="387"/>
      <c r="AA103" s="387"/>
      <c r="AB103" s="387"/>
      <c r="AC103" s="387"/>
      <c r="AD103" s="387"/>
      <c r="AE103" s="400">
        <f>'Portefeuille SP2'!J108</f>
        <v>0</v>
      </c>
      <c r="AF103" s="387"/>
      <c r="AG103" s="387"/>
      <c r="AH103" s="389"/>
      <c r="AI103" s="389"/>
      <c r="AJ103" s="403">
        <f>'Portefeuille SP2'!V108</f>
        <v>0</v>
      </c>
      <c r="AK103" s="403">
        <f>'Portefeuille SP2'!W108</f>
        <v>0</v>
      </c>
      <c r="AL103" s="403">
        <f>'Portefeuille SP2'!X108</f>
        <v>0</v>
      </c>
      <c r="AM103" s="403">
        <f>'Portefeuille SP2'!Y108</f>
        <v>0</v>
      </c>
      <c r="AN103" s="403">
        <f>'Portefeuille SP2'!Z108</f>
        <v>0</v>
      </c>
      <c r="AO103" s="403">
        <f>'Portefeuille SP2'!AA108</f>
        <v>0</v>
      </c>
      <c r="AP103" s="403">
        <f>'Portefeuille SP2'!AB108</f>
        <v>0</v>
      </c>
      <c r="AQ103" s="403">
        <f>'Portefeuille SP2'!AC108</f>
        <v>0</v>
      </c>
      <c r="AR103" s="403">
        <f>'Portefeuille SP2'!AD108</f>
        <v>0</v>
      </c>
      <c r="AS103" s="403">
        <f>'Portefeuille SP2'!AE108</f>
        <v>0</v>
      </c>
      <c r="AT103" s="403">
        <f>'Portefeuille SP2'!AF108</f>
        <v>0</v>
      </c>
      <c r="AU103" s="403">
        <f>'Portefeuille SP2'!AG108</f>
        <v>0</v>
      </c>
      <c r="AV103" s="403">
        <f>'Portefeuille SP2'!AH108</f>
        <v>0</v>
      </c>
      <c r="AW103" s="403">
        <f>'Portefeuille SP2'!AI108</f>
        <v>0</v>
      </c>
      <c r="AX103" s="403">
        <f>'Portefeuille SP2'!AJ108</f>
        <v>0</v>
      </c>
      <c r="AY103" s="403">
        <f>'Portefeuille SP2'!AK108</f>
        <v>0</v>
      </c>
      <c r="AZ103" s="403">
        <f>'Portefeuille SP2'!AL108</f>
        <v>0</v>
      </c>
      <c r="BA103" s="403">
        <f>'Portefeuille SP2'!AM108</f>
        <v>0</v>
      </c>
      <c r="BB103" s="403">
        <f>'Portefeuille SP2'!AN108</f>
        <v>0</v>
      </c>
      <c r="BC103" s="403">
        <f>'Portefeuille SP2'!AO108</f>
        <v>0</v>
      </c>
      <c r="BD103" s="403">
        <f>'Portefeuille SP2'!AP108</f>
        <v>0</v>
      </c>
      <c r="BE103" s="403">
        <f>'Portefeuille SP2'!AQ108</f>
        <v>0</v>
      </c>
      <c r="BF103" s="403">
        <f>'Portefeuille SP2'!AR108</f>
        <v>0</v>
      </c>
      <c r="BG103" s="403" t="e">
        <f>'Portefeuille SP2'!#REF!</f>
        <v>#REF!</v>
      </c>
      <c r="BH103" s="403" t="e">
        <f>'Portefeuille SP2'!#REF!</f>
        <v>#REF!</v>
      </c>
      <c r="BI103" s="403" t="e">
        <f>'Portefeuille SP2'!#REF!</f>
        <v>#REF!</v>
      </c>
      <c r="BJ103" s="403" t="e">
        <f>'Portefeuille SP2'!#REF!</f>
        <v>#REF!</v>
      </c>
      <c r="BK103" s="403" t="e">
        <f>'Portefeuille SP2'!#REF!</f>
        <v>#REF!</v>
      </c>
      <c r="BL103" s="388"/>
      <c r="BM103" s="404" t="str">
        <f>'Portefeuille SP2'!L108</f>
        <v>25/03/2024 : Revision du protocole Safety. Sans SBW
19/02/2024 : prise en compte STEP2</v>
      </c>
    </row>
    <row r="104" spans="1:65" ht="15" customHeight="1">
      <c r="A104" s="383">
        <f>'Portefeuille SP2'!B109</f>
        <v>0</v>
      </c>
      <c r="B104" s="390" t="str">
        <f>'Portefeuille SP2'!Q109</f>
        <v>CANCELED</v>
      </c>
      <c r="C104" s="384"/>
      <c r="D104" s="382" t="str">
        <f>'Portefeuille SP2'!E109</f>
        <v>PTF</v>
      </c>
      <c r="E104" s="382" t="str">
        <f t="shared" si="7"/>
        <v>SWX</v>
      </c>
      <c r="F104" s="382" t="str">
        <f t="shared" si="8"/>
        <v>E</v>
      </c>
      <c r="G104" s="382" t="str">
        <f>'Portefeuille SP2'!C109</f>
        <v>SP1</v>
      </c>
      <c r="H104" s="382">
        <f>'Portefeuille SP2'!F109</f>
        <v>0</v>
      </c>
      <c r="I104" s="382"/>
      <c r="J104" s="382" t="str">
        <f>'Portefeuille SP2'!D109</f>
        <v>SWX/EE</v>
      </c>
      <c r="K104" s="385">
        <f>'Portefeuille SP2'!H109</f>
        <v>0</v>
      </c>
      <c r="L104" s="157">
        <f>'Portefeuille SP2'!U109</f>
        <v>0</v>
      </c>
      <c r="M104" s="386"/>
      <c r="N104" s="386"/>
      <c r="O104" s="386"/>
      <c r="P104" s="387">
        <f>'Portefeuille SP2'!M109</f>
        <v>0</v>
      </c>
      <c r="Q104" s="387"/>
      <c r="R104" s="387" t="str">
        <f>'Portefeuille SP2'!N109</f>
        <v/>
      </c>
      <c r="S104" s="387"/>
      <c r="T104" s="382">
        <f>'Portefeuille SP2'!R109</f>
        <v>0</v>
      </c>
      <c r="U104" s="387">
        <f>'Portefeuille SP2'!K109</f>
        <v>0</v>
      </c>
      <c r="V104" s="399">
        <f>'Portefeuille SP2'!S109</f>
        <v>0</v>
      </c>
      <c r="W104" s="387"/>
      <c r="X104" s="387"/>
      <c r="Y104" s="387"/>
      <c r="Z104" s="387"/>
      <c r="AA104" s="387"/>
      <c r="AB104" s="387"/>
      <c r="AC104" s="387"/>
      <c r="AD104" s="387"/>
      <c r="AE104" s="400">
        <f>'Portefeuille SP2'!J109</f>
        <v>0</v>
      </c>
      <c r="AF104" s="387"/>
      <c r="AG104" s="387"/>
      <c r="AH104" s="389"/>
      <c r="AI104" s="389"/>
      <c r="AJ104" s="403">
        <f>'Portefeuille SP2'!V109</f>
        <v>0</v>
      </c>
      <c r="AK104" s="403">
        <f>'Portefeuille SP2'!W109</f>
        <v>0</v>
      </c>
      <c r="AL104" s="403">
        <f>'Portefeuille SP2'!X109</f>
        <v>0</v>
      </c>
      <c r="AM104" s="403">
        <f>'Portefeuille SP2'!Y109</f>
        <v>0</v>
      </c>
      <c r="AN104" s="403">
        <f>'Portefeuille SP2'!Z109</f>
        <v>0</v>
      </c>
      <c r="AO104" s="403">
        <f>'Portefeuille SP2'!AA109</f>
        <v>0</v>
      </c>
      <c r="AP104" s="403">
        <f>'Portefeuille SP2'!AB109</f>
        <v>0</v>
      </c>
      <c r="AQ104" s="403">
        <f>'Portefeuille SP2'!AC109</f>
        <v>0</v>
      </c>
      <c r="AR104" s="403">
        <f>'Portefeuille SP2'!AD109</f>
        <v>0</v>
      </c>
      <c r="AS104" s="403">
        <f>'Portefeuille SP2'!AE109</f>
        <v>0</v>
      </c>
      <c r="AT104" s="403">
        <f>'Portefeuille SP2'!AF109</f>
        <v>0</v>
      </c>
      <c r="AU104" s="403">
        <f>'Portefeuille SP2'!AG109</f>
        <v>0</v>
      </c>
      <c r="AV104" s="403">
        <f>'Portefeuille SP2'!AH109</f>
        <v>0</v>
      </c>
      <c r="AW104" s="403">
        <f>'Portefeuille SP2'!AI109</f>
        <v>0</v>
      </c>
      <c r="AX104" s="403">
        <f>'Portefeuille SP2'!AJ109</f>
        <v>0</v>
      </c>
      <c r="AY104" s="403">
        <f>'Portefeuille SP2'!AK109</f>
        <v>0</v>
      </c>
      <c r="AZ104" s="403">
        <f>'Portefeuille SP2'!AL109</f>
        <v>0</v>
      </c>
      <c r="BA104" s="403">
        <f>'Portefeuille SP2'!AM109</f>
        <v>0</v>
      </c>
      <c r="BB104" s="403">
        <f>'Portefeuille SP2'!AN109</f>
        <v>0</v>
      </c>
      <c r="BC104" s="403">
        <f>'Portefeuille SP2'!AO109</f>
        <v>0</v>
      </c>
      <c r="BD104" s="403">
        <f>'Portefeuille SP2'!AP109</f>
        <v>0</v>
      </c>
      <c r="BE104" s="403">
        <f>'Portefeuille SP2'!AQ109</f>
        <v>0</v>
      </c>
      <c r="BF104" s="403">
        <f>'Portefeuille SP2'!AR109</f>
        <v>0</v>
      </c>
      <c r="BG104" s="403" t="e">
        <f>'Portefeuille SP2'!#REF!</f>
        <v>#REF!</v>
      </c>
      <c r="BH104" s="403" t="e">
        <f>'Portefeuille SP2'!#REF!</f>
        <v>#REF!</v>
      </c>
      <c r="BI104" s="403" t="e">
        <f>'Portefeuille SP2'!#REF!</f>
        <v>#REF!</v>
      </c>
      <c r="BJ104" s="403" t="e">
        <f>'Portefeuille SP2'!#REF!</f>
        <v>#REF!</v>
      </c>
      <c r="BK104" s="403" t="e">
        <f>'Portefeuille SP2'!#REF!</f>
        <v>#REF!</v>
      </c>
      <c r="BL104" s="388"/>
      <c r="BM104" s="404" t="str">
        <f>'Portefeuille SP2'!L109</f>
        <v>25/03/2024 : Revision du protocole Safety. Sans SBW
19/02/2024 : prise en compte STEP2</v>
      </c>
    </row>
    <row r="105" spans="1:65" ht="15" customHeight="1">
      <c r="A105" s="383">
        <f>'Portefeuille SP2'!B110</f>
        <v>0</v>
      </c>
      <c r="B105" s="390" t="str">
        <f>'Portefeuille SP2'!Q110</f>
        <v>CANCELED</v>
      </c>
      <c r="C105" s="384"/>
      <c r="D105" s="382" t="str">
        <f>'Portefeuille SP2'!E110</f>
        <v>TH</v>
      </c>
      <c r="E105" s="382" t="str">
        <f t="shared" si="7"/>
        <v>BCI</v>
      </c>
      <c r="F105" s="382" t="str">
        <f t="shared" si="8"/>
        <v>RSD</v>
      </c>
      <c r="G105" s="382" t="str">
        <f>'Portefeuille SP2'!C110</f>
        <v>SP2</v>
      </c>
      <c r="H105" s="382">
        <f>'Portefeuille SP2'!F110</f>
        <v>0</v>
      </c>
      <c r="I105" s="382"/>
      <c r="J105" s="382" t="str">
        <f>'Portefeuille SP2'!D110</f>
        <v>BCI_FRSD</v>
      </c>
      <c r="K105" s="385" t="str">
        <f>'Portefeuille SP2'!H110</f>
        <v xml:space="preserve">tailgate </v>
      </c>
      <c r="L105" s="157">
        <f>'Portefeuille SP2'!U110</f>
        <v>-1.1000000000000001</v>
      </c>
      <c r="M105" s="386"/>
      <c r="N105" s="386"/>
      <c r="O105" s="386"/>
      <c r="P105" s="387">
        <f>'Portefeuille SP2'!M110</f>
        <v>0</v>
      </c>
      <c r="Q105" s="387"/>
      <c r="R105" s="387" t="str">
        <f>'Portefeuille SP2'!N110</f>
        <v>-(25,72)</v>
      </c>
      <c r="S105" s="387"/>
      <c r="T105" s="382" t="str">
        <f>'Portefeuille SP2'!R110</f>
        <v>TBD</v>
      </c>
      <c r="U105" s="387" t="str">
        <f>'Portefeuille SP2'!K110</f>
        <v>PM CW30</v>
      </c>
      <c r="V105" s="399">
        <f>'Portefeuille SP2'!S110</f>
        <v>1</v>
      </c>
      <c r="W105" s="387"/>
      <c r="X105" s="387"/>
      <c r="Y105" s="387"/>
      <c r="Z105" s="387"/>
      <c r="AA105" s="387"/>
      <c r="AB105" s="387"/>
      <c r="AC105" s="387"/>
      <c r="AD105" s="387"/>
      <c r="AE105" s="400" t="str">
        <f>'Portefeuille SP2'!J110</f>
        <v>en bonne voie (si volet tole)</v>
      </c>
      <c r="AF105" s="387"/>
      <c r="AG105" s="387"/>
      <c r="AH105" s="389"/>
      <c r="AI105" s="389"/>
      <c r="AJ105" s="403">
        <f>'Portefeuille SP2'!V110</f>
        <v>0</v>
      </c>
      <c r="AK105" s="403">
        <f>'Portefeuille SP2'!W110</f>
        <v>0</v>
      </c>
      <c r="AL105" s="403">
        <f>'Portefeuille SP2'!X110</f>
        <v>0</v>
      </c>
      <c r="AM105" s="403">
        <f>'Portefeuille SP2'!Y110</f>
        <v>0</v>
      </c>
      <c r="AN105" s="403">
        <f>'Portefeuille SP2'!Z110</f>
        <v>0</v>
      </c>
      <c r="AO105" s="403">
        <f>'Portefeuille SP2'!AA110</f>
        <v>0</v>
      </c>
      <c r="AP105" s="403">
        <f>'Portefeuille SP2'!AB110</f>
        <v>0</v>
      </c>
      <c r="AQ105" s="403">
        <f>'Portefeuille SP2'!AC110</f>
        <v>0</v>
      </c>
      <c r="AR105" s="403">
        <f>'Portefeuille SP2'!AD110</f>
        <v>0</v>
      </c>
      <c r="AS105" s="403">
        <f>'Portefeuille SP2'!AE110</f>
        <v>0</v>
      </c>
      <c r="AT105" s="403">
        <f>'Portefeuille SP2'!AF110</f>
        <v>0</v>
      </c>
      <c r="AU105" s="403">
        <f>'Portefeuille SP2'!AG110</f>
        <v>0</v>
      </c>
      <c r="AV105" s="403">
        <f>'Portefeuille SP2'!AH110</f>
        <v>0</v>
      </c>
      <c r="AW105" s="403">
        <f>'Portefeuille SP2'!AI110</f>
        <v>0</v>
      </c>
      <c r="AX105" s="403">
        <f>'Portefeuille SP2'!AJ110</f>
        <v>0</v>
      </c>
      <c r="AY105" s="403">
        <f>'Portefeuille SP2'!AK110</f>
        <v>0</v>
      </c>
      <c r="AZ105" s="403">
        <f>'Portefeuille SP2'!AL110</f>
        <v>0</v>
      </c>
      <c r="BA105" s="403">
        <f>'Portefeuille SP2'!AM110</f>
        <v>0</v>
      </c>
      <c r="BB105" s="403">
        <f>'Portefeuille SP2'!AN110</f>
        <v>0</v>
      </c>
      <c r="BC105" s="403">
        <f>'Portefeuille SP2'!AO110</f>
        <v>0</v>
      </c>
      <c r="BD105" s="403">
        <f>'Portefeuille SP2'!AP110</f>
        <v>0</v>
      </c>
      <c r="BE105" s="403">
        <f>'Portefeuille SP2'!AQ110</f>
        <v>0</v>
      </c>
      <c r="BF105" s="403">
        <f>'Portefeuille SP2'!AR110</f>
        <v>0</v>
      </c>
      <c r="BG105" s="403" t="e">
        <f>'Portefeuille SP2'!#REF!</f>
        <v>#REF!</v>
      </c>
      <c r="BH105" s="403" t="e">
        <f>'Portefeuille SP2'!#REF!</f>
        <v>#REF!</v>
      </c>
      <c r="BI105" s="403" t="e">
        <f>'Portefeuille SP2'!#REF!</f>
        <v>#REF!</v>
      </c>
      <c r="BJ105" s="403" t="e">
        <f>'Portefeuille SP2'!#REF!</f>
        <v>#REF!</v>
      </c>
      <c r="BK105" s="403" t="e">
        <f>'Portefeuille SP2'!#REF!</f>
        <v>#REF!</v>
      </c>
      <c r="BL105" s="388"/>
      <c r="BM105" s="404" t="str">
        <f>'Portefeuille SP2'!L110</f>
        <v xml:space="preserve">SI ref tailgate en plastic erase line </v>
      </c>
    </row>
    <row r="106" spans="1:65" ht="15" customHeight="1">
      <c r="A106" s="383">
        <f>'Portefeuille SP2'!B111</f>
        <v>0</v>
      </c>
      <c r="B106" s="390" t="str">
        <f>'Portefeuille SP2'!Q111</f>
        <v>DECIDED</v>
      </c>
      <c r="C106" s="384"/>
      <c r="D106" s="382" t="str">
        <f>'Portefeuille SP2'!E111</f>
        <v>TH</v>
      </c>
      <c r="E106" s="382" t="str">
        <f t="shared" si="7"/>
        <v>INT</v>
      </c>
      <c r="F106" s="382" t="str">
        <f t="shared" si="8"/>
        <v xml:space="preserve"> SEATS/TRIMS</v>
      </c>
      <c r="G106" s="382" t="str">
        <f>'Portefeuille SP2'!C111</f>
        <v>SP2</v>
      </c>
      <c r="H106" s="382">
        <f>'Portefeuille SP2'!F111</f>
        <v>0</v>
      </c>
      <c r="I106" s="382"/>
      <c r="J106" s="382" t="str">
        <f>'Portefeuille SP2'!D111</f>
        <v>INT - SEATS/TRIMS</v>
      </c>
      <c r="K106" s="385" t="str">
        <f>'Portefeuille SP2'!H111</f>
        <v>Trims Int</v>
      </c>
      <c r="L106" s="157">
        <f>'Portefeuille SP2'!U111</f>
        <v>-1.03</v>
      </c>
      <c r="M106" s="386"/>
      <c r="N106" s="386"/>
      <c r="O106" s="386"/>
      <c r="P106" s="387">
        <f>'Portefeuille SP2'!M111</f>
        <v>0</v>
      </c>
      <c r="Q106" s="387"/>
      <c r="R106" s="387">
        <f>'Portefeuille SP2'!N111</f>
        <v>-0.1</v>
      </c>
      <c r="S106" s="387"/>
      <c r="T106" s="382" t="str">
        <f>'Portefeuille SP2'!R111</f>
        <v>TBD</v>
      </c>
      <c r="U106" s="387" t="str">
        <f>'Portefeuille SP2'!K111</f>
        <v>SOLDE</v>
      </c>
      <c r="V106" s="399">
        <f>'Portefeuille SP2'!S111</f>
        <v>1</v>
      </c>
      <c r="W106" s="387"/>
      <c r="X106" s="387"/>
      <c r="Y106" s="387"/>
      <c r="Z106" s="387"/>
      <c r="AA106" s="387"/>
      <c r="AB106" s="387"/>
      <c r="AC106" s="387"/>
      <c r="AD106" s="387"/>
      <c r="AE106" s="400" t="str">
        <f>'Portefeuille SP2'!J111</f>
        <v>02/09/24 : Mise en BDD faite. Status à passer en DECIDED ald IN PROGRESS
insono plancher. Ref PORO. VALIDé</v>
      </c>
      <c r="AF106" s="387"/>
      <c r="AG106" s="387"/>
      <c r="AH106" s="389"/>
      <c r="AI106" s="389"/>
      <c r="AJ106" s="403">
        <f>'Portefeuille SP2'!V111</f>
        <v>0</v>
      </c>
      <c r="AK106" s="403">
        <f>'Portefeuille SP2'!W111</f>
        <v>0</v>
      </c>
      <c r="AL106" s="403">
        <f>'Portefeuille SP2'!X111</f>
        <v>0</v>
      </c>
      <c r="AM106" s="403">
        <f>'Portefeuille SP2'!Y111</f>
        <v>0</v>
      </c>
      <c r="AN106" s="403">
        <f>'Portefeuille SP2'!Z111</f>
        <v>0</v>
      </c>
      <c r="AO106" s="403">
        <f>'Portefeuille SP2'!AA111</f>
        <v>0</v>
      </c>
      <c r="AP106" s="403">
        <f>'Portefeuille SP2'!AB111</f>
        <v>0</v>
      </c>
      <c r="AQ106" s="403">
        <f>'Portefeuille SP2'!AC111</f>
        <v>0</v>
      </c>
      <c r="AR106" s="403">
        <f>'Portefeuille SP2'!AD111</f>
        <v>0</v>
      </c>
      <c r="AS106" s="403">
        <f>'Portefeuille SP2'!AE111</f>
        <v>0</v>
      </c>
      <c r="AT106" s="403">
        <f>'Portefeuille SP2'!AF111</f>
        <v>0</v>
      </c>
      <c r="AU106" s="403">
        <f>'Portefeuille SP2'!AG111</f>
        <v>0</v>
      </c>
      <c r="AV106" s="403">
        <f>'Portefeuille SP2'!AH111</f>
        <v>0</v>
      </c>
      <c r="AW106" s="403">
        <f>'Portefeuille SP2'!AI111</f>
        <v>0</v>
      </c>
      <c r="AX106" s="403">
        <f>'Portefeuille SP2'!AJ111</f>
        <v>0</v>
      </c>
      <c r="AY106" s="403">
        <f>'Portefeuille SP2'!AK111</f>
        <v>0</v>
      </c>
      <c r="AZ106" s="403">
        <f>'Portefeuille SP2'!AL111</f>
        <v>0</v>
      </c>
      <c r="BA106" s="403">
        <f>'Portefeuille SP2'!AM111</f>
        <v>0</v>
      </c>
      <c r="BB106" s="403">
        <f>'Portefeuille SP2'!AN111</f>
        <v>0</v>
      </c>
      <c r="BC106" s="403">
        <f>'Portefeuille SP2'!AO111</f>
        <v>0</v>
      </c>
      <c r="BD106" s="403">
        <f>'Portefeuille SP2'!AP111</f>
        <v>0</v>
      </c>
      <c r="BE106" s="403">
        <f>'Portefeuille SP2'!AQ111</f>
        <v>0</v>
      </c>
      <c r="BF106" s="403">
        <f>'Portefeuille SP2'!AR111</f>
        <v>0</v>
      </c>
      <c r="BG106" s="403" t="e">
        <f>'Portefeuille SP2'!#REF!</f>
        <v>#REF!</v>
      </c>
      <c r="BH106" s="403" t="e">
        <f>'Portefeuille SP2'!#REF!</f>
        <v>#REF!</v>
      </c>
      <c r="BI106" s="403" t="e">
        <f>'Portefeuille SP2'!#REF!</f>
        <v>#REF!</v>
      </c>
      <c r="BJ106" s="403" t="e">
        <f>'Portefeuille SP2'!#REF!</f>
        <v>#REF!</v>
      </c>
      <c r="BK106" s="403" t="e">
        <f>'Portefeuille SP2'!#REF!</f>
        <v>#REF!</v>
      </c>
      <c r="BL106" s="388"/>
      <c r="BM106" s="404" t="str">
        <f>'Portefeuille SP2'!L111</f>
        <v>SOLDE ?</v>
      </c>
    </row>
    <row r="107" spans="1:65" ht="15" customHeight="1">
      <c r="A107" s="383">
        <f>'Portefeuille SP2'!B112</f>
        <v>0</v>
      </c>
      <c r="B107" s="390" t="str">
        <f>'Portefeuille SP2'!Q112</f>
        <v>CANCELED</v>
      </c>
      <c r="C107" s="384"/>
      <c r="D107" s="382" t="str">
        <f>'Portefeuille SP2'!E112</f>
        <v>PTF</v>
      </c>
      <c r="E107" s="382" t="str">
        <f t="shared" si="7"/>
        <v>BCI</v>
      </c>
      <c r="F107" s="382" t="str">
        <f t="shared" si="8"/>
        <v>HASSIS</v>
      </c>
      <c r="G107" s="382" t="str">
        <f>'Portefeuille SP2'!C112</f>
        <v>SP1</v>
      </c>
      <c r="H107" s="382">
        <f>'Portefeuille SP2'!F112</f>
        <v>0</v>
      </c>
      <c r="I107" s="382"/>
      <c r="J107" s="382" t="str">
        <f>'Portefeuille SP2'!D112</f>
        <v>BCI_CHASSIS</v>
      </c>
      <c r="K107" s="385">
        <f>'Portefeuille SP2'!H112</f>
        <v>0</v>
      </c>
      <c r="L107" s="157">
        <f>'Portefeuille SP2'!U112</f>
        <v>-1.2</v>
      </c>
      <c r="M107" s="386"/>
      <c r="N107" s="386"/>
      <c r="O107" s="386"/>
      <c r="P107" s="387">
        <f>'Portefeuille SP2'!M112</f>
        <v>0</v>
      </c>
      <c r="Q107" s="387"/>
      <c r="R107" s="387">
        <f>'Portefeuille SP2'!N112</f>
        <v>-4</v>
      </c>
      <c r="S107" s="387"/>
      <c r="T107" s="382" t="str">
        <f>'Portefeuille SP2'!R112</f>
        <v>TBD</v>
      </c>
      <c r="U107" s="387">
        <f>'Portefeuille SP2'!K112</f>
        <v>0</v>
      </c>
      <c r="V107" s="399">
        <f>'Portefeuille SP2'!S112</f>
        <v>1</v>
      </c>
      <c r="W107" s="387"/>
      <c r="X107" s="387"/>
      <c r="Y107" s="387"/>
      <c r="Z107" s="387"/>
      <c r="AA107" s="387"/>
      <c r="AB107" s="387"/>
      <c r="AC107" s="387"/>
      <c r="AD107" s="387"/>
      <c r="AE107" s="400">
        <f>'Portefeuille SP2'!J112</f>
        <v>0</v>
      </c>
      <c r="AF107" s="387"/>
      <c r="AG107" s="387"/>
      <c r="AH107" s="389"/>
      <c r="AI107" s="389"/>
      <c r="AJ107" s="403">
        <f>'Portefeuille SP2'!V112</f>
        <v>0</v>
      </c>
      <c r="AK107" s="403">
        <f>'Portefeuille SP2'!W112</f>
        <v>0</v>
      </c>
      <c r="AL107" s="403">
        <f>'Portefeuille SP2'!X112</f>
        <v>0</v>
      </c>
      <c r="AM107" s="403">
        <f>'Portefeuille SP2'!Y112</f>
        <v>0</v>
      </c>
      <c r="AN107" s="403">
        <f>'Portefeuille SP2'!Z112</f>
        <v>0</v>
      </c>
      <c r="AO107" s="403">
        <f>'Portefeuille SP2'!AA112</f>
        <v>0</v>
      </c>
      <c r="AP107" s="403">
        <f>'Portefeuille SP2'!AB112</f>
        <v>0</v>
      </c>
      <c r="AQ107" s="403">
        <f>'Portefeuille SP2'!AC112</f>
        <v>0</v>
      </c>
      <c r="AR107" s="403">
        <f>'Portefeuille SP2'!AD112</f>
        <v>0</v>
      </c>
      <c r="AS107" s="403">
        <f>'Portefeuille SP2'!AE112</f>
        <v>0</v>
      </c>
      <c r="AT107" s="403">
        <f>'Portefeuille SP2'!AF112</f>
        <v>0</v>
      </c>
      <c r="AU107" s="403">
        <f>'Portefeuille SP2'!AG112</f>
        <v>0</v>
      </c>
      <c r="AV107" s="403">
        <f>'Portefeuille SP2'!AH112</f>
        <v>0</v>
      </c>
      <c r="AW107" s="403">
        <f>'Portefeuille SP2'!AI112</f>
        <v>0</v>
      </c>
      <c r="AX107" s="403">
        <f>'Portefeuille SP2'!AJ112</f>
        <v>0</v>
      </c>
      <c r="AY107" s="403">
        <f>'Portefeuille SP2'!AK112</f>
        <v>0</v>
      </c>
      <c r="AZ107" s="403">
        <f>'Portefeuille SP2'!AL112</f>
        <v>0</v>
      </c>
      <c r="BA107" s="403">
        <f>'Portefeuille SP2'!AM112</f>
        <v>0</v>
      </c>
      <c r="BB107" s="403">
        <f>'Portefeuille SP2'!AN112</f>
        <v>0</v>
      </c>
      <c r="BC107" s="403">
        <f>'Portefeuille SP2'!AO112</f>
        <v>0</v>
      </c>
      <c r="BD107" s="403">
        <f>'Portefeuille SP2'!AP112</f>
        <v>0</v>
      </c>
      <c r="BE107" s="403">
        <f>'Portefeuille SP2'!AQ112</f>
        <v>0</v>
      </c>
      <c r="BF107" s="403">
        <f>'Portefeuille SP2'!AR112</f>
        <v>0</v>
      </c>
      <c r="BG107" s="403" t="e">
        <f>'Portefeuille SP2'!#REF!</f>
        <v>#REF!</v>
      </c>
      <c r="BH107" s="403" t="e">
        <f>'Portefeuille SP2'!#REF!</f>
        <v>#REF!</v>
      </c>
      <c r="BI107" s="403" t="e">
        <f>'Portefeuille SP2'!#REF!</f>
        <v>#REF!</v>
      </c>
      <c r="BJ107" s="403" t="e">
        <f>'Portefeuille SP2'!#REF!</f>
        <v>#REF!</v>
      </c>
      <c r="BK107" s="403" t="e">
        <f>'Portefeuille SP2'!#REF!</f>
        <v>#REF!</v>
      </c>
      <c r="BL107" s="388"/>
      <c r="BM107" s="404" t="str">
        <f>'Portefeuille SP2'!L112</f>
        <v xml:space="preserve">21/03/2024 : </v>
      </c>
    </row>
    <row r="108" spans="1:65" ht="15" customHeight="1">
      <c r="A108" s="383">
        <f>'Portefeuille SP2'!B114</f>
        <v>0</v>
      </c>
      <c r="B108" s="390" t="str">
        <f>'Portefeuille SP2'!Q114</f>
        <v>CANCELED</v>
      </c>
      <c r="C108" s="384"/>
      <c r="D108" s="382" t="str">
        <f>'Portefeuille SP2'!E114</f>
        <v>TH</v>
      </c>
      <c r="E108" s="382" t="str">
        <f t="shared" si="7"/>
        <v>BIW</v>
      </c>
      <c r="F108" s="382" t="str">
        <f t="shared" ref="F108:F111" si="9">MID(J108, 4, 20)</f>
        <v xml:space="preserve"> </v>
      </c>
      <c r="G108" s="382" t="str">
        <f>'Portefeuille SP2'!C114</f>
        <v>SPC_1</v>
      </c>
      <c r="H108" s="382" t="str">
        <f>'Portefeuille SP2'!F114</f>
        <v>NICOLAS TESSIER</v>
      </c>
      <c r="I108" s="382" t="s">
        <v>1213</v>
      </c>
      <c r="J108" s="382" t="str">
        <f>'Portefeuille SP2'!D114</f>
        <v xml:space="preserve">BIW </v>
      </c>
      <c r="K108" s="385" t="str">
        <f>'Portefeuille SP2'!H114</f>
        <v xml:space="preserve">Aluminum  roof </v>
      </c>
      <c r="L108" s="157">
        <f>'Portefeuille SP2'!U114</f>
        <v>0</v>
      </c>
      <c r="M108" s="386"/>
      <c r="N108" s="386"/>
      <c r="O108" s="386"/>
      <c r="P108" s="400">
        <f>'Portefeuille SP2'!M114</f>
        <v>0</v>
      </c>
      <c r="Q108" s="387"/>
      <c r="R108" s="387" t="str">
        <f>'Portefeuille SP2'!N114</f>
        <v>+15€</v>
      </c>
      <c r="S108" s="387"/>
      <c r="T108" s="382" t="str">
        <f>'Portefeuille SP2'!R114</f>
        <v>Step4</v>
      </c>
      <c r="U108" s="387">
        <f>'Portefeuille SP2'!K114</f>
        <v>0</v>
      </c>
      <c r="V108" s="399">
        <f>'Portefeuille SP2'!S114</f>
        <v>0</v>
      </c>
      <c r="W108" s="387"/>
      <c r="X108" s="387"/>
      <c r="Y108" s="387"/>
      <c r="Z108" s="387"/>
      <c r="AA108" s="387"/>
      <c r="AB108" s="387"/>
      <c r="AC108" s="387"/>
      <c r="AD108" s="387"/>
      <c r="AE108" s="408">
        <f>'Portefeuille SP2'!J114</f>
        <v>0</v>
      </c>
      <c r="AF108" s="387"/>
      <c r="AG108" s="387"/>
      <c r="AH108" s="389"/>
      <c r="AI108" s="389"/>
      <c r="AJ108" s="403">
        <f>'Portefeuille SP2'!V114</f>
        <v>0</v>
      </c>
      <c r="AK108" s="403">
        <f>'Portefeuille SP2'!W114</f>
        <v>0</v>
      </c>
      <c r="AL108" s="403">
        <f>'Portefeuille SP2'!X114</f>
        <v>0</v>
      </c>
      <c r="AM108" s="403">
        <f>'Portefeuille SP2'!Y114</f>
        <v>1</v>
      </c>
      <c r="AN108" s="403">
        <f>'Portefeuille SP2'!Z114</f>
        <v>1</v>
      </c>
      <c r="AO108" s="403">
        <f>'Portefeuille SP2'!AA114</f>
        <v>0</v>
      </c>
      <c r="AP108" s="403">
        <f>'Portefeuille SP2'!AB114</f>
        <v>0</v>
      </c>
      <c r="AQ108" s="403">
        <f>'Portefeuille SP2'!AC114</f>
        <v>1</v>
      </c>
      <c r="AR108" s="403">
        <f>'Portefeuille SP2'!AD114</f>
        <v>1</v>
      </c>
      <c r="AS108" s="403">
        <f>'Portefeuille SP2'!AE114</f>
        <v>0</v>
      </c>
      <c r="AT108" s="403">
        <f>'Portefeuille SP2'!AF114</f>
        <v>0</v>
      </c>
      <c r="AU108" s="403">
        <f>'Portefeuille SP2'!AG114</f>
        <v>0</v>
      </c>
      <c r="AV108" s="403">
        <f>'Portefeuille SP2'!AH114</f>
        <v>1</v>
      </c>
      <c r="AW108" s="403">
        <f>'Portefeuille SP2'!AI114</f>
        <v>1</v>
      </c>
      <c r="AX108" s="403">
        <f>'Portefeuille SP2'!AJ114</f>
        <v>0</v>
      </c>
      <c r="AY108" s="403">
        <f>'Portefeuille SP2'!AK114</f>
        <v>0</v>
      </c>
      <c r="AZ108" s="403">
        <f>'Portefeuille SP2'!AL114</f>
        <v>1</v>
      </c>
      <c r="BA108" s="403">
        <f>'Portefeuille SP2'!AM114</f>
        <v>1</v>
      </c>
      <c r="BB108" s="403">
        <f>'Portefeuille SP2'!AN114</f>
        <v>0</v>
      </c>
      <c r="BC108" s="403">
        <f>'Portefeuille SP2'!AO114</f>
        <v>0</v>
      </c>
      <c r="BD108" s="403">
        <f>'Portefeuille SP2'!AP114</f>
        <v>0</v>
      </c>
      <c r="BE108" s="403">
        <f>'Portefeuille SP2'!AQ114</f>
        <v>1</v>
      </c>
      <c r="BF108" s="403">
        <f>'Portefeuille SP2'!AR114</f>
        <v>1</v>
      </c>
      <c r="BG108" s="403" t="e">
        <f>'Portefeuille SP2'!#REF!</f>
        <v>#REF!</v>
      </c>
      <c r="BH108" s="403" t="e">
        <f>'Portefeuille SP2'!#REF!</f>
        <v>#REF!</v>
      </c>
      <c r="BI108" s="403" t="e">
        <f>'Portefeuille SP2'!#REF!</f>
        <v>#REF!</v>
      </c>
      <c r="BJ108" s="403" t="e">
        <f>'Portefeuille SP2'!#REF!</f>
        <v>#REF!</v>
      </c>
      <c r="BK108" s="403" t="e">
        <f>'Portefeuille SP2'!#REF!</f>
        <v>#REF!</v>
      </c>
      <c r="BL108" s="388"/>
      <c r="BM108" s="404" t="str">
        <f>'Portefeuille SP2'!L114</f>
        <v>25/04/2024 : piste non retenue par le Projet =&gt; passage à 0%
25/03/2024 : QCDP à faire par Franck / Impact STYLE
13/03/2024 To be checked : process/welding</v>
      </c>
    </row>
    <row r="109" spans="1:65" ht="15" customHeight="1">
      <c r="A109" s="383" t="str">
        <f>'Portefeuille SP2'!B115</f>
        <v>15/11/2024</v>
      </c>
      <c r="B109" s="390" t="str">
        <f>'Portefeuille SP2'!Q115</f>
        <v>IN PROGRESS</v>
      </c>
      <c r="C109" s="384"/>
      <c r="D109" s="382" t="str">
        <f>'Portefeuille SP2'!E115</f>
        <v>TH</v>
      </c>
      <c r="E109" s="382" t="str">
        <f t="shared" si="7"/>
        <v>INT</v>
      </c>
      <c r="F109" s="382" t="str">
        <f t="shared" si="9"/>
        <v xml:space="preserve"> - PDB/CONSOLE</v>
      </c>
      <c r="G109" s="382" t="str">
        <f>'Portefeuille SP2'!C115</f>
        <v>SP1</v>
      </c>
      <c r="H109" s="382" t="str">
        <f>'Portefeuille SP2'!F115</f>
        <v>FREDERIC BRUNIER</v>
      </c>
      <c r="I109" s="428" t="s">
        <v>1212</v>
      </c>
      <c r="J109" s="382" t="str">
        <f>'Portefeuille SP2'!D115</f>
        <v>INT - PDB/CONSOLE</v>
      </c>
      <c r="K109" s="385" t="str">
        <f>'Portefeuille SP2'!H115</f>
        <v>optim design</v>
      </c>
      <c r="L109" s="157">
        <f>'Portefeuille SP2'!U115</f>
        <v>-0.125</v>
      </c>
      <c r="M109" s="386"/>
      <c r="N109" s="386"/>
      <c r="O109" s="386"/>
      <c r="P109" s="400">
        <f>'Portefeuille SP2'!M115</f>
        <v>0</v>
      </c>
      <c r="Q109" s="387"/>
      <c r="R109" s="387">
        <f>'Portefeuille SP2'!N115</f>
        <v>0</v>
      </c>
      <c r="S109" s="387"/>
      <c r="T109" s="382">
        <f>'Portefeuille SP2'!R115</f>
        <v>0</v>
      </c>
      <c r="U109" s="387">
        <f>'Portefeuille SP2'!K115</f>
        <v>0</v>
      </c>
      <c r="V109" s="399">
        <f>'Portefeuille SP2'!S115</f>
        <v>0.25</v>
      </c>
      <c r="W109" s="387"/>
      <c r="X109" s="387"/>
      <c r="Y109" s="387"/>
      <c r="Z109" s="387"/>
      <c r="AA109" s="387"/>
      <c r="AB109" s="387"/>
      <c r="AC109" s="387"/>
      <c r="AD109" s="387"/>
      <c r="AE109" s="408" t="str">
        <f>'Portefeuille SP2'!J115</f>
        <v>CP P1H Sébastien Dupuis
24/06/2025 à confirmer sur la masser et changer car Sync 5 - attente calcul - Frédéric</v>
      </c>
      <c r="AF109" s="387"/>
      <c r="AG109" s="387"/>
      <c r="AH109" s="389"/>
      <c r="AI109" s="389"/>
      <c r="AJ109" s="403">
        <f>'Portefeuille SP2'!V115</f>
        <v>1</v>
      </c>
      <c r="AK109" s="403">
        <f>'Portefeuille SP2'!W115</f>
        <v>1</v>
      </c>
      <c r="AL109" s="403">
        <f>'Portefeuille SP2'!X115</f>
        <v>1</v>
      </c>
      <c r="AM109" s="403">
        <f>'Portefeuille SP2'!Y115</f>
        <v>1</v>
      </c>
      <c r="AN109" s="403">
        <f>'Portefeuille SP2'!Z115</f>
        <v>1</v>
      </c>
      <c r="AO109" s="403">
        <f>'Portefeuille SP2'!AA115</f>
        <v>1</v>
      </c>
      <c r="AP109" s="403">
        <f>'Portefeuille SP2'!AB115</f>
        <v>1</v>
      </c>
      <c r="AQ109" s="403">
        <f>'Portefeuille SP2'!AC115</f>
        <v>1</v>
      </c>
      <c r="AR109" s="403">
        <f>'Portefeuille SP2'!AD115</f>
        <v>1</v>
      </c>
      <c r="AS109" s="403">
        <f>'Portefeuille SP2'!AE115</f>
        <v>1</v>
      </c>
      <c r="AT109" s="403">
        <f>'Portefeuille SP2'!AF115</f>
        <v>1</v>
      </c>
      <c r="AU109" s="403">
        <f>'Portefeuille SP2'!AG115</f>
        <v>1</v>
      </c>
      <c r="AV109" s="403">
        <f>'Portefeuille SP2'!AH115</f>
        <v>1</v>
      </c>
      <c r="AW109" s="403">
        <f>'Portefeuille SP2'!AI115</f>
        <v>1</v>
      </c>
      <c r="AX109" s="403">
        <f>'Portefeuille SP2'!AJ115</f>
        <v>1</v>
      </c>
      <c r="AY109" s="403">
        <f>'Portefeuille SP2'!AK115</f>
        <v>1</v>
      </c>
      <c r="AZ109" s="403">
        <f>'Portefeuille SP2'!AL115</f>
        <v>1</v>
      </c>
      <c r="BA109" s="403">
        <f>'Portefeuille SP2'!AM115</f>
        <v>1</v>
      </c>
      <c r="BB109" s="403">
        <f>'Portefeuille SP2'!AN115</f>
        <v>1</v>
      </c>
      <c r="BC109" s="403">
        <f>'Portefeuille SP2'!AO115</f>
        <v>1</v>
      </c>
      <c r="BD109" s="403">
        <f>'Portefeuille SP2'!AP115</f>
        <v>1</v>
      </c>
      <c r="BE109" s="403">
        <f>'Portefeuille SP2'!AQ115</f>
        <v>1</v>
      </c>
      <c r="BF109" s="403">
        <f>'Portefeuille SP2'!AR115</f>
        <v>1</v>
      </c>
      <c r="BG109" s="403" t="e">
        <f>'Portefeuille SP2'!#REF!</f>
        <v>#REF!</v>
      </c>
      <c r="BH109" s="403" t="e">
        <f>'Portefeuille SP2'!#REF!</f>
        <v>#REF!</v>
      </c>
      <c r="BI109" s="403" t="e">
        <f>'Portefeuille SP2'!#REF!</f>
        <v>#REF!</v>
      </c>
      <c r="BJ109" s="403" t="e">
        <f>'Portefeuille SP2'!#REF!</f>
        <v>#REF!</v>
      </c>
      <c r="BK109" s="403" t="e">
        <f>'Portefeuille SP2'!#REF!</f>
        <v>#REF!</v>
      </c>
      <c r="BL109" s="388"/>
      <c r="BM109" s="404" t="str">
        <f>'Portefeuille SP2'!L115</f>
        <v>15/11/2024 Tjrs ouvert =&gt; calcul avec les SYNC3
05/09/2024 Retour calcul SYNC2 ok =&gt; Optim à étudier
06/06/2024 Besoin choix frns Fin Sept / En attente retour calcul SYNC2
14/03/2024 Selon process frn</v>
      </c>
    </row>
    <row r="110" spans="1:65" ht="15" customHeight="1">
      <c r="A110" s="383" t="str">
        <f>'Portefeuille SP2'!B116</f>
        <v>06/06/2025</v>
      </c>
      <c r="B110" s="390" t="str">
        <f>'Portefeuille SP2'!Q116</f>
        <v>DECIDED</v>
      </c>
      <c r="C110" s="384"/>
      <c r="D110" s="382" t="str">
        <f>'Portefeuille SP2'!E116</f>
        <v>TH</v>
      </c>
      <c r="E110" s="382" t="str">
        <f t="shared" si="7"/>
        <v>BIW</v>
      </c>
      <c r="F110" s="382" t="str">
        <f t="shared" si="9"/>
        <v xml:space="preserve"> </v>
      </c>
      <c r="G110" s="382" t="str">
        <f>'Portefeuille SP2'!C116</f>
        <v>SP1</v>
      </c>
      <c r="H110" s="382" t="str">
        <f>'Portefeuille SP2'!F116</f>
        <v>Franck Baillon (SP1)/
Cyrille P1X</v>
      </c>
      <c r="I110" s="428" t="s">
        <v>1212</v>
      </c>
      <c r="J110" s="382" t="str">
        <f>'Portefeuille SP2'!D116</f>
        <v xml:space="preserve">BIW </v>
      </c>
      <c r="K110" s="385" t="str">
        <f>'Portefeuille SP2'!H116</f>
        <v>optim design</v>
      </c>
      <c r="L110" s="157">
        <f>'Portefeuille SP2'!U116</f>
        <v>-0.1</v>
      </c>
      <c r="M110" s="386"/>
      <c r="N110" s="386"/>
      <c r="O110" s="386"/>
      <c r="P110" s="400">
        <f>'Portefeuille SP2'!M116</f>
        <v>0</v>
      </c>
      <c r="Q110" s="387"/>
      <c r="R110" s="387">
        <f>'Portefeuille SP2'!N116</f>
        <v>0</v>
      </c>
      <c r="S110" s="387"/>
      <c r="T110" s="382">
        <f>'Portefeuille SP2'!R116</f>
        <v>0</v>
      </c>
      <c r="U110" s="387">
        <f>'Portefeuille SP2'!K116</f>
        <v>0</v>
      </c>
      <c r="V110" s="399">
        <f>'Portefeuille SP2'!S116</f>
        <v>1</v>
      </c>
      <c r="W110" s="387"/>
      <c r="X110" s="387"/>
      <c r="Y110" s="387"/>
      <c r="Z110" s="387"/>
      <c r="AA110" s="387"/>
      <c r="AB110" s="387"/>
      <c r="AC110" s="387"/>
      <c r="AD110" s="387"/>
      <c r="AE110" s="408" t="str">
        <f>'Portefeuille SP2'!J116</f>
        <v>Si application SP1 ok SPC</v>
      </c>
      <c r="AF110" s="387"/>
      <c r="AG110" s="387"/>
      <c r="AH110" s="389"/>
      <c r="AI110" s="389"/>
      <c r="AJ110" s="403">
        <f>'Portefeuille SP2'!V116</f>
        <v>1</v>
      </c>
      <c r="AK110" s="403">
        <f>'Portefeuille SP2'!W116</f>
        <v>1</v>
      </c>
      <c r="AL110" s="403">
        <f>'Portefeuille SP2'!X116</f>
        <v>1</v>
      </c>
      <c r="AM110" s="403">
        <f>'Portefeuille SP2'!Y116</f>
        <v>1</v>
      </c>
      <c r="AN110" s="403">
        <f>'Portefeuille SP2'!Z116</f>
        <v>1</v>
      </c>
      <c r="AO110" s="403">
        <f>'Portefeuille SP2'!AA116</f>
        <v>1</v>
      </c>
      <c r="AP110" s="403">
        <f>'Portefeuille SP2'!AB116</f>
        <v>1</v>
      </c>
      <c r="AQ110" s="403">
        <f>'Portefeuille SP2'!AC116</f>
        <v>1</v>
      </c>
      <c r="AR110" s="403">
        <f>'Portefeuille SP2'!AD116</f>
        <v>1</v>
      </c>
      <c r="AS110" s="403">
        <f>'Portefeuille SP2'!AE116</f>
        <v>1</v>
      </c>
      <c r="AT110" s="403">
        <f>'Portefeuille SP2'!AF116</f>
        <v>1</v>
      </c>
      <c r="AU110" s="403">
        <f>'Portefeuille SP2'!AG116</f>
        <v>1</v>
      </c>
      <c r="AV110" s="403">
        <f>'Portefeuille SP2'!AH116</f>
        <v>1</v>
      </c>
      <c r="AW110" s="403">
        <f>'Portefeuille SP2'!AI116</f>
        <v>1</v>
      </c>
      <c r="AX110" s="403">
        <f>'Portefeuille SP2'!AJ116</f>
        <v>1</v>
      </c>
      <c r="AY110" s="403">
        <f>'Portefeuille SP2'!AK116</f>
        <v>1</v>
      </c>
      <c r="AZ110" s="403">
        <f>'Portefeuille SP2'!AL116</f>
        <v>1</v>
      </c>
      <c r="BA110" s="403">
        <f>'Portefeuille SP2'!AM116</f>
        <v>1</v>
      </c>
      <c r="BB110" s="403">
        <f>'Portefeuille SP2'!AN116</f>
        <v>1</v>
      </c>
      <c r="BC110" s="403">
        <f>'Portefeuille SP2'!AO116</f>
        <v>1</v>
      </c>
      <c r="BD110" s="403">
        <f>'Portefeuille SP2'!AP116</f>
        <v>1</v>
      </c>
      <c r="BE110" s="403">
        <f>'Portefeuille SP2'!AQ116</f>
        <v>0</v>
      </c>
      <c r="BF110" s="403">
        <f>'Portefeuille SP2'!AR116</f>
        <v>0</v>
      </c>
      <c r="BG110" s="403" t="e">
        <f>'Portefeuille SP2'!#REF!</f>
        <v>#REF!</v>
      </c>
      <c r="BH110" s="403" t="e">
        <f>'Portefeuille SP2'!#REF!</f>
        <v>#REF!</v>
      </c>
      <c r="BI110" s="403" t="e">
        <f>'Portefeuille SP2'!#REF!</f>
        <v>#REF!</v>
      </c>
      <c r="BJ110" s="403" t="e">
        <f>'Portefeuille SP2'!#REF!</f>
        <v>#REF!</v>
      </c>
      <c r="BK110" s="403" t="e">
        <f>'Portefeuille SP2'!#REF!</f>
        <v>#REF!</v>
      </c>
      <c r="BL110" s="388"/>
      <c r="BM110" s="404" t="str">
        <f>'Portefeuille SP2'!L116</f>
        <v>06/06/2025 A re-vérifer ! RISK ???
11/02/2025 : A passer en RD suite accord de toutes les parties.
07/01/2025 : reduction de la hauteur de feuillure de 9mm (6mm sur TH) pour un gain de 0,540 kg (-0,35 kg sur PTF et -0,19 kg sur TH)</v>
      </c>
    </row>
    <row r="111" spans="1:65" ht="15" customHeight="1">
      <c r="A111" s="383">
        <f>'Portefeuille SP2'!B117</f>
        <v>46058</v>
      </c>
      <c r="B111" s="390" t="str">
        <f>'Portefeuille SP2'!Q117</f>
        <v>CANCELED</v>
      </c>
      <c r="C111" s="384"/>
      <c r="D111" s="382" t="str">
        <f>'Portefeuille SP2'!E117</f>
        <v>TH</v>
      </c>
      <c r="E111" s="382" t="str">
        <f t="shared" si="7"/>
        <v>INT</v>
      </c>
      <c r="F111" s="382" t="str">
        <f t="shared" si="9"/>
        <v xml:space="preserve"> - SEATS/TRIMS</v>
      </c>
      <c r="G111" s="382" t="str">
        <f>'Portefeuille SP2'!C117</f>
        <v>SP1</v>
      </c>
      <c r="H111" s="382" t="str">
        <f>'Portefeuille SP2'!F117</f>
        <v>HALIM</v>
      </c>
      <c r="I111" s="428" t="s">
        <v>1212</v>
      </c>
      <c r="J111" s="382" t="str">
        <f>'Portefeuille SP2'!D117</f>
        <v>INT - SEATS/TRIMS</v>
      </c>
      <c r="K111" s="385" t="str">
        <f>'Portefeuille SP2'!H117</f>
        <v>Air extractor</v>
      </c>
      <c r="L111" s="157">
        <f>'Portefeuille SP2'!U117</f>
        <v>-0.2</v>
      </c>
      <c r="M111" s="386"/>
      <c r="N111" s="386"/>
      <c r="O111" s="386"/>
      <c r="P111" s="400">
        <f>'Portefeuille SP2'!M117</f>
        <v>0</v>
      </c>
      <c r="Q111" s="387"/>
      <c r="R111" s="387">
        <f>'Portefeuille SP2'!N117</f>
        <v>0</v>
      </c>
      <c r="S111" s="387"/>
      <c r="T111" s="382">
        <f>'Portefeuille SP2'!R117</f>
        <v>0</v>
      </c>
      <c r="U111" s="387" t="str">
        <f>'Portefeuille SP2'!K117</f>
        <v>SFM</v>
      </c>
      <c r="V111" s="399">
        <f>'Portefeuille SP2'!S117</f>
        <v>0.5</v>
      </c>
      <c r="W111" s="387"/>
      <c r="X111" s="387"/>
      <c r="Y111" s="387"/>
      <c r="Z111" s="387"/>
      <c r="AA111" s="387"/>
      <c r="AB111" s="387"/>
      <c r="AC111" s="387"/>
      <c r="AD111" s="387"/>
      <c r="AE111" s="408" t="str">
        <f>'Portefeuille SP2'!J117</f>
        <v>02/03/2026 LM à Supprimer car non appliqué sur P3U
21/07/2025 confirmé sur SPC
24/06/2025 Laurent reboucle avec Sébatien Carrier</v>
      </c>
      <c r="AF111" s="387"/>
      <c r="AG111" s="387"/>
      <c r="AH111" s="389"/>
      <c r="AI111" s="389"/>
      <c r="AJ111" s="403">
        <f>'Portefeuille SP2'!V117</f>
        <v>1</v>
      </c>
      <c r="AK111" s="403">
        <f>'Portefeuille SP2'!W117</f>
        <v>1</v>
      </c>
      <c r="AL111" s="403">
        <f>'Portefeuille SP2'!X117</f>
        <v>1</v>
      </c>
      <c r="AM111" s="403">
        <f>'Portefeuille SP2'!Y117</f>
        <v>1</v>
      </c>
      <c r="AN111" s="403">
        <f>'Portefeuille SP2'!Z117</f>
        <v>1</v>
      </c>
      <c r="AO111" s="403">
        <f>'Portefeuille SP2'!AA117</f>
        <v>1</v>
      </c>
      <c r="AP111" s="403">
        <f>'Portefeuille SP2'!AB117</f>
        <v>1</v>
      </c>
      <c r="AQ111" s="403">
        <f>'Portefeuille SP2'!AC117</f>
        <v>1</v>
      </c>
      <c r="AR111" s="403">
        <f>'Portefeuille SP2'!AD117</f>
        <v>1</v>
      </c>
      <c r="AS111" s="403">
        <f>'Portefeuille SP2'!AE117</f>
        <v>1</v>
      </c>
      <c r="AT111" s="403">
        <f>'Portefeuille SP2'!AF117</f>
        <v>1</v>
      </c>
      <c r="AU111" s="403">
        <f>'Portefeuille SP2'!AG117</f>
        <v>1</v>
      </c>
      <c r="AV111" s="403">
        <f>'Portefeuille SP2'!AH117</f>
        <v>1</v>
      </c>
      <c r="AW111" s="403">
        <f>'Portefeuille SP2'!AI117</f>
        <v>1</v>
      </c>
      <c r="AX111" s="403">
        <f>'Portefeuille SP2'!AJ117</f>
        <v>1</v>
      </c>
      <c r="AY111" s="403">
        <f>'Portefeuille SP2'!AK117</f>
        <v>1</v>
      </c>
      <c r="AZ111" s="403">
        <f>'Portefeuille SP2'!AL117</f>
        <v>1</v>
      </c>
      <c r="BA111" s="403">
        <f>'Portefeuille SP2'!AM117</f>
        <v>1</v>
      </c>
      <c r="BB111" s="403">
        <f>'Portefeuille SP2'!AN117</f>
        <v>1</v>
      </c>
      <c r="BC111" s="403">
        <f>'Portefeuille SP2'!AO117</f>
        <v>1</v>
      </c>
      <c r="BD111" s="403">
        <f>'Portefeuille SP2'!AP117</f>
        <v>1</v>
      </c>
      <c r="BE111" s="403">
        <f>'Portefeuille SP2'!AQ117</f>
        <v>1</v>
      </c>
      <c r="BF111" s="403">
        <f>'Portefeuille SP2'!AR117</f>
        <v>1</v>
      </c>
      <c r="BG111" s="403" t="e">
        <f>'Portefeuille SP2'!#REF!</f>
        <v>#REF!</v>
      </c>
      <c r="BH111" s="403" t="e">
        <f>'Portefeuille SP2'!#REF!</f>
        <v>#REF!</v>
      </c>
      <c r="BI111" s="403" t="e">
        <f>'Portefeuille SP2'!#REF!</f>
        <v>#REF!</v>
      </c>
      <c r="BJ111" s="403" t="e">
        <f>'Portefeuille SP2'!#REF!</f>
        <v>#REF!</v>
      </c>
      <c r="BK111" s="403" t="e">
        <f>'Portefeuille SP2'!#REF!</f>
        <v>#REF!</v>
      </c>
      <c r="BL111" s="388"/>
      <c r="BM111" s="404" t="str">
        <f>'Portefeuille SP2'!L117</f>
        <v>23/05/2025 A supprimer de P1X</v>
      </c>
    </row>
    <row r="112" spans="1:65" ht="15" customHeight="1">
      <c r="A112" s="383">
        <f>'Portefeuille SP2'!B118</f>
        <v>0</v>
      </c>
      <c r="B112" s="390" t="str">
        <f>'Portefeuille SP2'!Q118</f>
        <v>DECIDED</v>
      </c>
      <c r="C112" s="384"/>
      <c r="D112" s="382" t="str">
        <f>'Portefeuille SP2'!E118</f>
        <v>TH</v>
      </c>
      <c r="E112" s="382" t="str">
        <f t="shared" si="7"/>
        <v>BIW</v>
      </c>
      <c r="F112" s="382" t="str">
        <f t="shared" si="8"/>
        <v/>
      </c>
      <c r="G112" s="382" t="str">
        <f>'Portefeuille SP2'!C118</f>
        <v>SP2</v>
      </c>
      <c r="H112" s="382">
        <f>'Portefeuille SP2'!F118</f>
        <v>0</v>
      </c>
      <c r="I112" s="382"/>
      <c r="J112" s="382" t="str">
        <f>'Portefeuille SP2'!D118</f>
        <v xml:space="preserve">BIW </v>
      </c>
      <c r="K112" s="385" t="str">
        <f>'Portefeuille SP2'!H118</f>
        <v xml:space="preserve">Hood side reduction </v>
      </c>
      <c r="L112" s="157">
        <f>'Portefeuille SP2'!U118</f>
        <v>-0.53</v>
      </c>
      <c r="M112" s="386"/>
      <c r="N112" s="386"/>
      <c r="O112" s="386"/>
      <c r="P112" s="387">
        <f>'Portefeuille SP2'!M118</f>
        <v>0</v>
      </c>
      <c r="Q112" s="387"/>
      <c r="R112" s="387">
        <f>'Portefeuille SP2'!N118</f>
        <v>-0.65</v>
      </c>
      <c r="S112" s="387"/>
      <c r="T112" s="382" t="str">
        <f>'Portefeuille SP2'!R118</f>
        <v>TBD</v>
      </c>
      <c r="U112" s="387" t="str">
        <f>'Portefeuille SP2'!K118</f>
        <v>decided</v>
      </c>
      <c r="V112" s="399">
        <f>'Portefeuille SP2'!S118</f>
        <v>1</v>
      </c>
      <c r="W112" s="387"/>
      <c r="X112" s="387"/>
      <c r="Y112" s="387"/>
      <c r="Z112" s="387"/>
      <c r="AA112" s="387"/>
      <c r="AB112" s="387"/>
      <c r="AC112" s="387"/>
      <c r="AD112" s="387"/>
      <c r="AE112" s="400" t="str">
        <f>'Portefeuille SP2'!J118</f>
        <v>08/10/2024: BDD à jour
Acté à 100%</v>
      </c>
      <c r="AF112" s="387"/>
      <c r="AG112" s="387"/>
      <c r="AH112" s="389"/>
      <c r="AI112" s="389"/>
      <c r="AJ112" s="403">
        <f>'Portefeuille SP2'!V118</f>
        <v>0</v>
      </c>
      <c r="AK112" s="403">
        <f>'Portefeuille SP2'!W118</f>
        <v>0</v>
      </c>
      <c r="AL112" s="403">
        <f>'Portefeuille SP2'!X118</f>
        <v>0</v>
      </c>
      <c r="AM112" s="403">
        <f>'Portefeuille SP2'!Y118</f>
        <v>1</v>
      </c>
      <c r="AN112" s="403">
        <f>'Portefeuille SP2'!Z118</f>
        <v>1</v>
      </c>
      <c r="AO112" s="403">
        <f>'Portefeuille SP2'!AA118</f>
        <v>0</v>
      </c>
      <c r="AP112" s="403">
        <f>'Portefeuille SP2'!AB118</f>
        <v>0</v>
      </c>
      <c r="AQ112" s="403">
        <f>'Portefeuille SP2'!AC118</f>
        <v>1</v>
      </c>
      <c r="AR112" s="403">
        <f>'Portefeuille SP2'!AD118</f>
        <v>1</v>
      </c>
      <c r="AS112" s="403">
        <f>'Portefeuille SP2'!AE118</f>
        <v>0</v>
      </c>
      <c r="AT112" s="403">
        <f>'Portefeuille SP2'!AF118</f>
        <v>0</v>
      </c>
      <c r="AU112" s="403">
        <f>'Portefeuille SP2'!AG118</f>
        <v>0</v>
      </c>
      <c r="AV112" s="403">
        <f>'Portefeuille SP2'!AH118</f>
        <v>1</v>
      </c>
      <c r="AW112" s="403">
        <f>'Portefeuille SP2'!AI118</f>
        <v>1</v>
      </c>
      <c r="AX112" s="403">
        <f>'Portefeuille SP2'!AJ118</f>
        <v>0</v>
      </c>
      <c r="AY112" s="403">
        <f>'Portefeuille SP2'!AK118</f>
        <v>0</v>
      </c>
      <c r="AZ112" s="403">
        <f>'Portefeuille SP2'!AL118</f>
        <v>1</v>
      </c>
      <c r="BA112" s="403">
        <f>'Portefeuille SP2'!AM118</f>
        <v>1</v>
      </c>
      <c r="BB112" s="403">
        <f>'Portefeuille SP2'!AN118</f>
        <v>0</v>
      </c>
      <c r="BC112" s="403">
        <f>'Portefeuille SP2'!AO118</f>
        <v>0</v>
      </c>
      <c r="BD112" s="403">
        <f>'Portefeuille SP2'!AP118</f>
        <v>0</v>
      </c>
      <c r="BE112" s="403">
        <f>'Portefeuille SP2'!AQ118</f>
        <v>1</v>
      </c>
      <c r="BF112" s="403">
        <f>'Portefeuille SP2'!AR118</f>
        <v>1</v>
      </c>
      <c r="BG112" s="403" t="e">
        <f>'Portefeuille SP2'!#REF!</f>
        <v>#REF!</v>
      </c>
      <c r="BH112" s="403" t="e">
        <f>'Portefeuille SP2'!#REF!</f>
        <v>#REF!</v>
      </c>
      <c r="BI112" s="403" t="e">
        <f>'Portefeuille SP2'!#REF!</f>
        <v>#REF!</v>
      </c>
      <c r="BJ112" s="403" t="e">
        <f>'Portefeuille SP2'!#REF!</f>
        <v>#REF!</v>
      </c>
      <c r="BK112" s="403" t="e">
        <f>'Portefeuille SP2'!#REF!</f>
        <v>#REF!</v>
      </c>
      <c r="BL112" s="388"/>
      <c r="BM112" s="404">
        <f>'Portefeuille SP2'!L118</f>
        <v>0</v>
      </c>
    </row>
    <row r="113" spans="1:65" ht="15" customHeight="1">
      <c r="A113" s="383">
        <f>'Portefeuille SP2'!B119</f>
        <v>0</v>
      </c>
      <c r="B113" s="390" t="str">
        <f>'Portefeuille SP2'!Q119</f>
        <v>CANCELED</v>
      </c>
      <c r="C113" s="384"/>
      <c r="D113" s="382" t="str">
        <f>'Portefeuille SP2'!E119</f>
        <v>TH</v>
      </c>
      <c r="E113" s="382" t="str">
        <f t="shared" si="7"/>
        <v>BIW</v>
      </c>
      <c r="F113" s="382" t="str">
        <f t="shared" si="8"/>
        <v/>
      </c>
      <c r="G113" s="382" t="str">
        <f>'Portefeuille SP2'!C119</f>
        <v>SP2</v>
      </c>
      <c r="H113" s="382">
        <f>'Portefeuille SP2'!F119</f>
        <v>0</v>
      </c>
      <c r="I113" s="382"/>
      <c r="J113" s="382" t="str">
        <f>'Portefeuille SP2'!D119</f>
        <v xml:space="preserve">BIW </v>
      </c>
      <c r="K113" s="385" t="str">
        <f>'Portefeuille SP2'!H119</f>
        <v>Air duct</v>
      </c>
      <c r="L113" s="157">
        <f>'Portefeuille SP2'!U119</f>
        <v>-0.5</v>
      </c>
      <c r="M113" s="386"/>
      <c r="N113" s="386"/>
      <c r="O113" s="386"/>
      <c r="P113" s="387" t="str">
        <f>'Portefeuille SP2'!M119</f>
        <v>50K€</v>
      </c>
      <c r="Q113" s="387"/>
      <c r="R113" s="387">
        <f>'Portefeuille SP2'!N119</f>
        <v>-11</v>
      </c>
      <c r="S113" s="387"/>
      <c r="T113" s="382" t="str">
        <f>'Portefeuille SP2'!R119</f>
        <v>TBD</v>
      </c>
      <c r="U113" s="387" t="str">
        <f>'Portefeuille SP2'!K119</f>
        <v>w43
PORO signature</v>
      </c>
      <c r="V113" s="399">
        <f>'Portefeuille SP2'!S119</f>
        <v>1</v>
      </c>
      <c r="W113" s="387"/>
      <c r="X113" s="387"/>
      <c r="Y113" s="387"/>
      <c r="Z113" s="387"/>
      <c r="AA113" s="387"/>
      <c r="AB113" s="387"/>
      <c r="AC113" s="387"/>
      <c r="AD113" s="387"/>
      <c r="AE113" s="400" t="str">
        <f>'Portefeuille SP2'!J119</f>
        <v xml:space="preserve">30/09/2024 passage en réunion de décision proposition annulé -&gt; canceled
http://docinfogroupe.inetpsa.com/ead/doc/ref.01353_24_00772/v.vc/pj </v>
      </c>
      <c r="AF113" s="387"/>
      <c r="AG113" s="387"/>
      <c r="AH113" s="389"/>
      <c r="AI113" s="389"/>
      <c r="AJ113" s="403">
        <f>'Portefeuille SP2'!V119</f>
        <v>0</v>
      </c>
      <c r="AK113" s="403">
        <f>'Portefeuille SP2'!W119</f>
        <v>0</v>
      </c>
      <c r="AL113" s="403">
        <f>'Portefeuille SP2'!X119</f>
        <v>0</v>
      </c>
      <c r="AM113" s="403">
        <f>'Portefeuille SP2'!Y119</f>
        <v>1</v>
      </c>
      <c r="AN113" s="403">
        <f>'Portefeuille SP2'!Z119</f>
        <v>1</v>
      </c>
      <c r="AO113" s="403">
        <f>'Portefeuille SP2'!AA119</f>
        <v>0</v>
      </c>
      <c r="AP113" s="403">
        <f>'Portefeuille SP2'!AB119</f>
        <v>0</v>
      </c>
      <c r="AQ113" s="403">
        <f>'Portefeuille SP2'!AC119</f>
        <v>1</v>
      </c>
      <c r="AR113" s="403">
        <f>'Portefeuille SP2'!AD119</f>
        <v>1</v>
      </c>
      <c r="AS113" s="403">
        <f>'Portefeuille SP2'!AE119</f>
        <v>0</v>
      </c>
      <c r="AT113" s="403">
        <f>'Portefeuille SP2'!AF119</f>
        <v>0</v>
      </c>
      <c r="AU113" s="403">
        <f>'Portefeuille SP2'!AG119</f>
        <v>0</v>
      </c>
      <c r="AV113" s="403">
        <f>'Portefeuille SP2'!AH119</f>
        <v>1</v>
      </c>
      <c r="AW113" s="403">
        <f>'Portefeuille SP2'!AI119</f>
        <v>1</v>
      </c>
      <c r="AX113" s="403">
        <f>'Portefeuille SP2'!AJ119</f>
        <v>0</v>
      </c>
      <c r="AY113" s="403">
        <f>'Portefeuille SP2'!AK119</f>
        <v>0</v>
      </c>
      <c r="AZ113" s="403">
        <f>'Portefeuille SP2'!AL119</f>
        <v>1</v>
      </c>
      <c r="BA113" s="403">
        <f>'Portefeuille SP2'!AM119</f>
        <v>1</v>
      </c>
      <c r="BB113" s="403">
        <f>'Portefeuille SP2'!AN119</f>
        <v>0</v>
      </c>
      <c r="BC113" s="403">
        <f>'Portefeuille SP2'!AO119</f>
        <v>0</v>
      </c>
      <c r="BD113" s="403">
        <f>'Portefeuille SP2'!AP119</f>
        <v>0</v>
      </c>
      <c r="BE113" s="403">
        <f>'Portefeuille SP2'!AQ119</f>
        <v>1</v>
      </c>
      <c r="BF113" s="403">
        <f>'Portefeuille SP2'!AR119</f>
        <v>1</v>
      </c>
      <c r="BG113" s="403" t="e">
        <f>'Portefeuille SP2'!#REF!</f>
        <v>#REF!</v>
      </c>
      <c r="BH113" s="403" t="e">
        <f>'Portefeuille SP2'!#REF!</f>
        <v>#REF!</v>
      </c>
      <c r="BI113" s="403" t="e">
        <f>'Portefeuille SP2'!#REF!</f>
        <v>#REF!</v>
      </c>
      <c r="BJ113" s="403" t="e">
        <f>'Portefeuille SP2'!#REF!</f>
        <v>#REF!</v>
      </c>
      <c r="BK113" s="403" t="e">
        <f>'Portefeuille SP2'!#REF!</f>
        <v>#REF!</v>
      </c>
      <c r="BL113" s="388"/>
      <c r="BM113" s="404" t="str">
        <f>'Portefeuille SP2'!L119</f>
        <v>confirmer le sujet?</v>
      </c>
    </row>
    <row r="114" spans="1:65" ht="15" customHeight="1">
      <c r="A114" s="383">
        <f>'Portefeuille SP2'!B120</f>
        <v>45536</v>
      </c>
      <c r="B114" s="390" t="str">
        <f>'Portefeuille SP2'!Q120</f>
        <v>CANCELED</v>
      </c>
      <c r="C114" s="384"/>
      <c r="D114" s="382" t="str">
        <f>'Portefeuille SP2'!E120</f>
        <v>TH</v>
      </c>
      <c r="E114" s="382" t="str">
        <f t="shared" si="7"/>
        <v>INT</v>
      </c>
      <c r="F114" s="382" t="str">
        <f t="shared" ref="F114:F115" si="10">MID(J114, 4, 20)</f>
        <v xml:space="preserve"> - SEATS/TRIMS</v>
      </c>
      <c r="G114" s="382" t="str">
        <f>'Portefeuille SP2'!C120</f>
        <v>SPC_1</v>
      </c>
      <c r="H114" s="382" t="str">
        <f>'Portefeuille SP2'!F120</f>
        <v>HALIM</v>
      </c>
      <c r="I114" s="428" t="s">
        <v>1212</v>
      </c>
      <c r="J114" s="382" t="str">
        <f>'Portefeuille SP2'!D120</f>
        <v>INT - SEATS/TRIMS</v>
      </c>
      <c r="K114" s="385" t="str">
        <f>'Portefeuille SP2'!H120</f>
        <v xml:space="preserve">Hood </v>
      </c>
      <c r="L114" s="157">
        <f>'Portefeuille SP2'!U120</f>
        <v>-0.115</v>
      </c>
      <c r="M114" s="386"/>
      <c r="N114" s="386"/>
      <c r="O114" s="386"/>
      <c r="P114" s="400">
        <f>'Portefeuille SP2'!M120</f>
        <v>0</v>
      </c>
      <c r="Q114" s="387"/>
      <c r="R114" s="387">
        <f>'Portefeuille SP2'!N120</f>
        <v>-0.12</v>
      </c>
      <c r="S114" s="387"/>
      <c r="T114" s="382" t="str">
        <f>'Portefeuille SP2'!R120</f>
        <v>TBD</v>
      </c>
      <c r="U114" s="387" t="str">
        <f>'Portefeuille SP2'!K120</f>
        <v>CM</v>
      </c>
      <c r="V114" s="399">
        <f>'Portefeuille SP2'!S120</f>
        <v>0.5</v>
      </c>
      <c r="W114" s="387"/>
      <c r="X114" s="387"/>
      <c r="Y114" s="387"/>
      <c r="Z114" s="387"/>
      <c r="AA114" s="387"/>
      <c r="AB114" s="387"/>
      <c r="AC114" s="387"/>
      <c r="AD114" s="387"/>
      <c r="AE114" s="408" t="str">
        <f>'Portefeuille SP2'!J120</f>
        <v>en EDG</v>
      </c>
      <c r="AF114" s="387"/>
      <c r="AG114" s="387"/>
      <c r="AH114" s="389"/>
      <c r="AI114" s="389"/>
      <c r="AJ114" s="403">
        <f>'Portefeuille SP2'!V120</f>
        <v>1</v>
      </c>
      <c r="AK114" s="403">
        <f>'Portefeuille SP2'!W120</f>
        <v>1</v>
      </c>
      <c r="AL114" s="403">
        <f>'Portefeuille SP2'!X120</f>
        <v>1</v>
      </c>
      <c r="AM114" s="403">
        <f>'Portefeuille SP2'!Y120</f>
        <v>1</v>
      </c>
      <c r="AN114" s="403">
        <f>'Portefeuille SP2'!Z120</f>
        <v>1</v>
      </c>
      <c r="AO114" s="403">
        <f>'Portefeuille SP2'!AA120</f>
        <v>1</v>
      </c>
      <c r="AP114" s="403">
        <f>'Portefeuille SP2'!AB120</f>
        <v>1</v>
      </c>
      <c r="AQ114" s="403">
        <f>'Portefeuille SP2'!AC120</f>
        <v>1</v>
      </c>
      <c r="AR114" s="403">
        <f>'Portefeuille SP2'!AD120</f>
        <v>1</v>
      </c>
      <c r="AS114" s="403">
        <f>'Portefeuille SP2'!AE120</f>
        <v>1</v>
      </c>
      <c r="AT114" s="403">
        <f>'Portefeuille SP2'!AF120</f>
        <v>1</v>
      </c>
      <c r="AU114" s="403">
        <f>'Portefeuille SP2'!AG120</f>
        <v>1</v>
      </c>
      <c r="AV114" s="403">
        <f>'Portefeuille SP2'!AH120</f>
        <v>1</v>
      </c>
      <c r="AW114" s="403">
        <f>'Portefeuille SP2'!AI120</f>
        <v>1</v>
      </c>
      <c r="AX114" s="403">
        <f>'Portefeuille SP2'!AJ120</f>
        <v>1</v>
      </c>
      <c r="AY114" s="403">
        <f>'Portefeuille SP2'!AK120</f>
        <v>1</v>
      </c>
      <c r="AZ114" s="403">
        <f>'Portefeuille SP2'!AL120</f>
        <v>1</v>
      </c>
      <c r="BA114" s="403">
        <f>'Portefeuille SP2'!AM120</f>
        <v>1</v>
      </c>
      <c r="BB114" s="403">
        <f>'Portefeuille SP2'!AN120</f>
        <v>1</v>
      </c>
      <c r="BC114" s="403">
        <f>'Portefeuille SP2'!AO120</f>
        <v>1</v>
      </c>
      <c r="BD114" s="403">
        <f>'Portefeuille SP2'!AP120</f>
        <v>1</v>
      </c>
      <c r="BE114" s="403">
        <f>'Portefeuille SP2'!AQ120</f>
        <v>1</v>
      </c>
      <c r="BF114" s="403">
        <f>'Portefeuille SP2'!AR120</f>
        <v>1</v>
      </c>
      <c r="BG114" s="403" t="e">
        <f>'Portefeuille SP2'!#REF!</f>
        <v>#REF!</v>
      </c>
      <c r="BH114" s="403" t="e">
        <f>'Portefeuille SP2'!#REF!</f>
        <v>#REF!</v>
      </c>
      <c r="BI114" s="403" t="e">
        <f>'Portefeuille SP2'!#REF!</f>
        <v>#REF!</v>
      </c>
      <c r="BJ114" s="403" t="e">
        <f>'Portefeuille SP2'!#REF!</f>
        <v>#REF!</v>
      </c>
      <c r="BK114" s="403" t="e">
        <f>'Portefeuille SP2'!#REF!</f>
        <v>#REF!</v>
      </c>
      <c r="BL114" s="388"/>
      <c r="BM114" s="404" t="str">
        <f>'Portefeuille SP2'!L120</f>
        <v>26/06/2025 à supprimer pour BEV</v>
      </c>
    </row>
    <row r="115" spans="1:65" ht="15" customHeight="1">
      <c r="A115" s="383">
        <f>'Portefeuille SP2'!B123</f>
        <v>45536</v>
      </c>
      <c r="B115" s="390" t="str">
        <f>'Portefeuille SP2'!Q125</f>
        <v>IN PROGRESS</v>
      </c>
      <c r="C115" s="384"/>
      <c r="D115" s="382" t="str">
        <f>'Portefeuille SP2'!E123</f>
        <v>TH</v>
      </c>
      <c r="E115" s="382" t="str">
        <f t="shared" si="7"/>
        <v>INT</v>
      </c>
      <c r="F115" s="382" t="str">
        <f t="shared" si="10"/>
        <v xml:space="preserve"> - SEATS/TRIMS</v>
      </c>
      <c r="G115" s="382" t="str">
        <f>'Portefeuille SP2'!C123</f>
        <v>SPC_1</v>
      </c>
      <c r="H115" s="382" t="str">
        <f>'Portefeuille SP2'!F123</f>
        <v>HALIM</v>
      </c>
      <c r="I115" s="428" t="s">
        <v>1212</v>
      </c>
      <c r="J115" s="382" t="str">
        <f>'Portefeuille SP2'!D123</f>
        <v>INT - SEATS/TRIMS</v>
      </c>
      <c r="K115" s="385" t="str">
        <f>'Portefeuille SP2'!H123</f>
        <v>Trims</v>
      </c>
      <c r="L115" s="157">
        <f>'Portefeuille SP2'!U123</f>
        <v>-0.13750000000000001</v>
      </c>
      <c r="M115" s="386"/>
      <c r="N115" s="386"/>
      <c r="O115" s="386"/>
      <c r="P115" s="400" t="str">
        <f>'Portefeuille SP2'!M123</f>
        <v>TBD</v>
      </c>
      <c r="Q115" s="387"/>
      <c r="R115" s="387">
        <f>'Portefeuille SP2'!N123</f>
        <v>1.1000000000000001</v>
      </c>
      <c r="S115" s="387"/>
      <c r="T115" s="382" t="str">
        <f>'Portefeuille SP2'!R123</f>
        <v>TBD</v>
      </c>
      <c r="U115" s="387" t="str">
        <f>'Portefeuille SP2'!K123</f>
        <v>20/04/2026</v>
      </c>
      <c r="V115" s="399">
        <f>'Portefeuille SP2'!S123</f>
        <v>0.25</v>
      </c>
      <c r="W115" s="387"/>
      <c r="X115" s="387"/>
      <c r="Y115" s="387"/>
      <c r="Z115" s="387"/>
      <c r="AA115" s="387"/>
      <c r="AB115" s="387"/>
      <c r="AC115" s="387"/>
      <c r="AD115" s="387"/>
      <c r="AE115" s="408" t="str">
        <f>'Portefeuille SP2'!J123</f>
        <v>20/04/2026 LM sujet à annuler
09/03/2026 LM à checker 
24/06/2025 à checker en RFQ avec les FNR</v>
      </c>
      <c r="AF115" s="387"/>
      <c r="AG115" s="387"/>
      <c r="AH115" s="389"/>
      <c r="AI115" s="389"/>
      <c r="AJ115" s="403">
        <f>'Portefeuille SP2'!V123</f>
        <v>1</v>
      </c>
      <c r="AK115" s="403">
        <f>'Portefeuille SP2'!W123</f>
        <v>1</v>
      </c>
      <c r="AL115" s="403">
        <f>'Portefeuille SP2'!X123</f>
        <v>1</v>
      </c>
      <c r="AM115" s="403">
        <f>'Portefeuille SP2'!Y123</f>
        <v>1</v>
      </c>
      <c r="AN115" s="403">
        <f>'Portefeuille SP2'!Z123</f>
        <v>1</v>
      </c>
      <c r="AO115" s="403">
        <f>'Portefeuille SP2'!AA123</f>
        <v>1</v>
      </c>
      <c r="AP115" s="403">
        <f>'Portefeuille SP2'!AB123</f>
        <v>1</v>
      </c>
      <c r="AQ115" s="403">
        <f>'Portefeuille SP2'!AC123</f>
        <v>1</v>
      </c>
      <c r="AR115" s="403">
        <f>'Portefeuille SP2'!AD123</f>
        <v>1</v>
      </c>
      <c r="AS115" s="403">
        <f>'Portefeuille SP2'!AE123</f>
        <v>1</v>
      </c>
      <c r="AT115" s="403">
        <f>'Portefeuille SP2'!AF123</f>
        <v>1</v>
      </c>
      <c r="AU115" s="403">
        <f>'Portefeuille SP2'!AG123</f>
        <v>1</v>
      </c>
      <c r="AV115" s="403">
        <f>'Portefeuille SP2'!AH123</f>
        <v>1</v>
      </c>
      <c r="AW115" s="403">
        <f>'Portefeuille SP2'!AI123</f>
        <v>1</v>
      </c>
      <c r="AX115" s="403">
        <f>'Portefeuille SP2'!AJ123</f>
        <v>1</v>
      </c>
      <c r="AY115" s="403">
        <f>'Portefeuille SP2'!AK123</f>
        <v>1</v>
      </c>
      <c r="AZ115" s="403">
        <f>'Portefeuille SP2'!AL123</f>
        <v>1</v>
      </c>
      <c r="BA115" s="403">
        <f>'Portefeuille SP2'!AM123</f>
        <v>1</v>
      </c>
      <c r="BB115" s="403">
        <f>'Portefeuille SP2'!AN123</f>
        <v>1</v>
      </c>
      <c r="BC115" s="403">
        <f>'Portefeuille SP2'!AO123</f>
        <v>1</v>
      </c>
      <c r="BD115" s="403">
        <f>'Portefeuille SP2'!AP123</f>
        <v>1</v>
      </c>
      <c r="BE115" s="403">
        <f>'Portefeuille SP2'!AQ123</f>
        <v>1</v>
      </c>
      <c r="BF115" s="403">
        <f>'Portefeuille SP2'!AR123</f>
        <v>1</v>
      </c>
      <c r="BG115" s="403" t="e">
        <f>'Portefeuille SP2'!#REF!</f>
        <v>#REF!</v>
      </c>
      <c r="BH115" s="403" t="e">
        <f>'Portefeuille SP2'!#REF!</f>
        <v>#REF!</v>
      </c>
      <c r="BI115" s="403" t="e">
        <f>'Portefeuille SP2'!#REF!</f>
        <v>#REF!</v>
      </c>
      <c r="BJ115" s="403" t="e">
        <f>'Portefeuille SP2'!#REF!</f>
        <v>#REF!</v>
      </c>
      <c r="BK115" s="403" t="e">
        <f>'Portefeuille SP2'!#REF!</f>
        <v>#REF!</v>
      </c>
      <c r="BL115" s="388"/>
      <c r="BM115" s="404" t="str">
        <f>'Portefeuille SP2'!L123</f>
        <v>Check avec le fournisseur</v>
      </c>
    </row>
    <row r="116" spans="1:65" ht="15" customHeight="1">
      <c r="A116" s="383">
        <f>'Portefeuille SP2'!B126</f>
        <v>0</v>
      </c>
      <c r="B116" s="390" t="str">
        <f>'Portefeuille SP2'!Q126</f>
        <v>DECIDED</v>
      </c>
      <c r="C116" s="384"/>
      <c r="D116" s="382" t="str">
        <f>'Portefeuille SP2'!E126</f>
        <v>PTF</v>
      </c>
      <c r="E116" s="382" t="str">
        <f t="shared" si="7"/>
        <v>BIW</v>
      </c>
      <c r="F116" s="382" t="str">
        <f t="shared" si="8"/>
        <v/>
      </c>
      <c r="G116" s="382" t="str">
        <f>'Portefeuille SP2'!C126</f>
        <v>SP1</v>
      </c>
      <c r="H116" s="382">
        <f>'Portefeuille SP2'!F126</f>
        <v>0</v>
      </c>
      <c r="I116" s="382"/>
      <c r="J116" s="382" t="str">
        <f>'Portefeuille SP2'!D126</f>
        <v xml:space="preserve">BIW </v>
      </c>
      <c r="K116" s="385">
        <f>'Portefeuille SP2'!H126</f>
        <v>0</v>
      </c>
      <c r="L116" s="157">
        <f>'Portefeuille SP2'!U126</f>
        <v>0.70000000000000018</v>
      </c>
      <c r="M116" s="386"/>
      <c r="N116" s="386"/>
      <c r="O116" s="386"/>
      <c r="P116" s="387">
        <f>'Portefeuille SP2'!M126</f>
        <v>0</v>
      </c>
      <c r="Q116" s="387"/>
      <c r="R116" s="387">
        <f>'Portefeuille SP2'!N126</f>
        <v>0</v>
      </c>
      <c r="S116" s="387"/>
      <c r="T116" s="382" t="str">
        <f>'Portefeuille SP2'!R125</f>
        <v>TBD</v>
      </c>
      <c r="U116" s="387">
        <f>'Portefeuille SP2'!K126</f>
        <v>0</v>
      </c>
      <c r="V116" s="399">
        <f>'Portefeuille SP2'!S126</f>
        <v>0.5</v>
      </c>
      <c r="W116" s="387"/>
      <c r="X116" s="387"/>
      <c r="Y116" s="387"/>
      <c r="Z116" s="387"/>
      <c r="AA116" s="387"/>
      <c r="AB116" s="387"/>
      <c r="AC116" s="387"/>
      <c r="AD116" s="387"/>
      <c r="AE116" s="400">
        <f>'Portefeuille SP2'!J126</f>
        <v>0</v>
      </c>
      <c r="AF116" s="387"/>
      <c r="AG116" s="387"/>
      <c r="AH116" s="389"/>
      <c r="AI116" s="389"/>
      <c r="AJ116" s="403">
        <f>'Portefeuille SP2'!V126</f>
        <v>0</v>
      </c>
      <c r="AK116" s="403">
        <f>'Portefeuille SP2'!W126</f>
        <v>0</v>
      </c>
      <c r="AL116" s="403">
        <f>'Portefeuille SP2'!X126</f>
        <v>0</v>
      </c>
      <c r="AM116" s="403">
        <f>'Portefeuille SP2'!Y126</f>
        <v>1</v>
      </c>
      <c r="AN116" s="403">
        <f>'Portefeuille SP2'!Z126</f>
        <v>1</v>
      </c>
      <c r="AO116" s="403">
        <f>'Portefeuille SP2'!AA126</f>
        <v>0</v>
      </c>
      <c r="AP116" s="403">
        <f>'Portefeuille SP2'!AB126</f>
        <v>0</v>
      </c>
      <c r="AQ116" s="403">
        <f>'Portefeuille SP2'!AC126</f>
        <v>1</v>
      </c>
      <c r="AR116" s="403">
        <f>'Portefeuille SP2'!AD126</f>
        <v>1</v>
      </c>
      <c r="AS116" s="403">
        <f>'Portefeuille SP2'!AE126</f>
        <v>0</v>
      </c>
      <c r="AT116" s="403">
        <f>'Portefeuille SP2'!AF126</f>
        <v>0</v>
      </c>
      <c r="AU116" s="403">
        <f>'Portefeuille SP2'!AG126</f>
        <v>0</v>
      </c>
      <c r="AV116" s="403">
        <f>'Portefeuille SP2'!AH126</f>
        <v>1</v>
      </c>
      <c r="AW116" s="403">
        <f>'Portefeuille SP2'!AI126</f>
        <v>1</v>
      </c>
      <c r="AX116" s="403">
        <f>'Portefeuille SP2'!AJ126</f>
        <v>0</v>
      </c>
      <c r="AY116" s="403">
        <f>'Portefeuille SP2'!AK126</f>
        <v>0</v>
      </c>
      <c r="AZ116" s="403">
        <f>'Portefeuille SP2'!AL126</f>
        <v>1</v>
      </c>
      <c r="BA116" s="403">
        <f>'Portefeuille SP2'!AM126</f>
        <v>1</v>
      </c>
      <c r="BB116" s="403">
        <f>'Portefeuille SP2'!AN126</f>
        <v>0</v>
      </c>
      <c r="BC116" s="403">
        <f>'Portefeuille SP2'!AO126</f>
        <v>0</v>
      </c>
      <c r="BD116" s="403">
        <f>'Portefeuille SP2'!AP126</f>
        <v>0</v>
      </c>
      <c r="BE116" s="403">
        <f>'Portefeuille SP2'!AQ126</f>
        <v>1</v>
      </c>
      <c r="BF116" s="403">
        <f>'Portefeuille SP2'!AR126</f>
        <v>1</v>
      </c>
      <c r="BG116" s="403" t="e">
        <f>'Portefeuille SP2'!#REF!</f>
        <v>#REF!</v>
      </c>
      <c r="BH116" s="403" t="e">
        <f>'Portefeuille SP2'!#REF!</f>
        <v>#REF!</v>
      </c>
      <c r="BI116" s="403" t="e">
        <f>'Portefeuille SP2'!#REF!</f>
        <v>#REF!</v>
      </c>
      <c r="BJ116" s="403" t="e">
        <f>'Portefeuille SP2'!#REF!</f>
        <v>#REF!</v>
      </c>
      <c r="BK116" s="403" t="e">
        <f>'Portefeuille SP2'!#REF!</f>
        <v>#REF!</v>
      </c>
      <c r="BL116" s="388"/>
      <c r="BM116" s="404" t="str">
        <f>'Portefeuille SP2'!L126</f>
        <v>26/04/2024 : ecart réduit à 1,8 kg
10/04/2024 : Entre 2,8 et 2,1 kg de plus avec Cijuan. Mais Pb avec KYB.
08/02/2024 : Choix achat à orienter vers le fournisseur le moins lourd</v>
      </c>
    </row>
    <row r="117" spans="1:65" ht="15" customHeight="1">
      <c r="A117" s="383">
        <f>'Portefeuille SP2'!B127</f>
        <v>0</v>
      </c>
      <c r="B117" s="390" t="str">
        <f>'Portefeuille SP2'!Q127</f>
        <v>CANCELED</v>
      </c>
      <c r="C117" s="384"/>
      <c r="D117" s="382" t="str">
        <f>'Portefeuille SP2'!E127</f>
        <v>PTF</v>
      </c>
      <c r="E117" s="382" t="str">
        <f t="shared" si="7"/>
        <v>BIW</v>
      </c>
      <c r="F117" s="382" t="str">
        <f t="shared" si="8"/>
        <v/>
      </c>
      <c r="G117" s="382" t="str">
        <f>'Portefeuille SP2'!C127</f>
        <v>SP1</v>
      </c>
      <c r="H117" s="382">
        <f>'Portefeuille SP2'!F127</f>
        <v>0</v>
      </c>
      <c r="I117" s="382"/>
      <c r="J117" s="382" t="str">
        <f>'Portefeuille SP2'!D127</f>
        <v xml:space="preserve">BIW </v>
      </c>
      <c r="K117" s="385">
        <f>'Portefeuille SP2'!H127</f>
        <v>0</v>
      </c>
      <c r="L117" s="157">
        <f>'Portefeuille SP2'!U127</f>
        <v>-0.5</v>
      </c>
      <c r="M117" s="386"/>
      <c r="N117" s="386"/>
      <c r="O117" s="386"/>
      <c r="P117" s="387">
        <f>'Portefeuille SP2'!M127</f>
        <v>0</v>
      </c>
      <c r="Q117" s="387"/>
      <c r="R117" s="387">
        <f>'Portefeuille SP2'!N127</f>
        <v>0</v>
      </c>
      <c r="S117" s="387"/>
      <c r="T117" s="382" t="str">
        <f>'Portefeuille SP2'!R127</f>
        <v>TBD</v>
      </c>
      <c r="U117" s="387">
        <f>'Portefeuille SP2'!K127</f>
        <v>0</v>
      </c>
      <c r="V117" s="399">
        <f>'Portefeuille SP2'!S127</f>
        <v>0.5</v>
      </c>
      <c r="W117" s="387"/>
      <c r="X117" s="387"/>
      <c r="Y117" s="387"/>
      <c r="Z117" s="387"/>
      <c r="AA117" s="387"/>
      <c r="AB117" s="387"/>
      <c r="AC117" s="387"/>
      <c r="AD117" s="387"/>
      <c r="AE117" s="400">
        <f>'Portefeuille SP2'!J127</f>
        <v>0</v>
      </c>
      <c r="AF117" s="387"/>
      <c r="AG117" s="387"/>
      <c r="AH117" s="389"/>
      <c r="AI117" s="389"/>
      <c r="AJ117" s="403">
        <f>'Portefeuille SP2'!V127</f>
        <v>0</v>
      </c>
      <c r="AK117" s="403">
        <f>'Portefeuille SP2'!W127</f>
        <v>0</v>
      </c>
      <c r="AL117" s="403">
        <f>'Portefeuille SP2'!X127</f>
        <v>0</v>
      </c>
      <c r="AM117" s="403">
        <f>'Portefeuille SP2'!Y127</f>
        <v>1</v>
      </c>
      <c r="AN117" s="403">
        <f>'Portefeuille SP2'!Z127</f>
        <v>1</v>
      </c>
      <c r="AO117" s="403">
        <f>'Portefeuille SP2'!AA127</f>
        <v>0</v>
      </c>
      <c r="AP117" s="403">
        <f>'Portefeuille SP2'!AB127</f>
        <v>0</v>
      </c>
      <c r="AQ117" s="403">
        <f>'Portefeuille SP2'!AC127</f>
        <v>1</v>
      </c>
      <c r="AR117" s="403">
        <f>'Portefeuille SP2'!AD127</f>
        <v>1</v>
      </c>
      <c r="AS117" s="403">
        <f>'Portefeuille SP2'!AE127</f>
        <v>0</v>
      </c>
      <c r="AT117" s="403">
        <f>'Portefeuille SP2'!AF127</f>
        <v>0</v>
      </c>
      <c r="AU117" s="403">
        <f>'Portefeuille SP2'!AG127</f>
        <v>0</v>
      </c>
      <c r="AV117" s="403">
        <f>'Portefeuille SP2'!AH127</f>
        <v>1</v>
      </c>
      <c r="AW117" s="403">
        <f>'Portefeuille SP2'!AI127</f>
        <v>1</v>
      </c>
      <c r="AX117" s="403">
        <f>'Portefeuille SP2'!AJ127</f>
        <v>0</v>
      </c>
      <c r="AY117" s="403">
        <f>'Portefeuille SP2'!AK127</f>
        <v>0</v>
      </c>
      <c r="AZ117" s="403">
        <f>'Portefeuille SP2'!AL127</f>
        <v>1</v>
      </c>
      <c r="BA117" s="403">
        <f>'Portefeuille SP2'!AM127</f>
        <v>1</v>
      </c>
      <c r="BB117" s="403">
        <f>'Portefeuille SP2'!AN127</f>
        <v>0</v>
      </c>
      <c r="BC117" s="403">
        <f>'Portefeuille SP2'!AO127</f>
        <v>0</v>
      </c>
      <c r="BD117" s="403">
        <f>'Portefeuille SP2'!AP127</f>
        <v>0</v>
      </c>
      <c r="BE117" s="403">
        <f>'Portefeuille SP2'!AQ127</f>
        <v>1</v>
      </c>
      <c r="BF117" s="403">
        <f>'Portefeuille SP2'!AR127</f>
        <v>1</v>
      </c>
      <c r="BG117" s="403" t="e">
        <f>'Portefeuille SP2'!#REF!</f>
        <v>#REF!</v>
      </c>
      <c r="BH117" s="403" t="e">
        <f>'Portefeuille SP2'!#REF!</f>
        <v>#REF!</v>
      </c>
      <c r="BI117" s="403" t="e">
        <f>'Portefeuille SP2'!#REF!</f>
        <v>#REF!</v>
      </c>
      <c r="BJ117" s="403" t="e">
        <f>'Portefeuille SP2'!#REF!</f>
        <v>#REF!</v>
      </c>
      <c r="BK117" s="403" t="e">
        <f>'Portefeuille SP2'!#REF!</f>
        <v>#REF!</v>
      </c>
      <c r="BL117" s="388"/>
      <c r="BM117" s="404">
        <f>'Portefeuille SP2'!L127</f>
        <v>0</v>
      </c>
    </row>
    <row r="118" spans="1:65" ht="15" customHeight="1">
      <c r="A118" s="383">
        <f>'Portefeuille SP2'!B128</f>
        <v>0</v>
      </c>
      <c r="B118" s="390" t="str">
        <f>'Portefeuille SP2'!Q128</f>
        <v>CANCELED</v>
      </c>
      <c r="C118" s="384"/>
      <c r="D118" s="382" t="str">
        <f>'Portefeuille SP2'!E128</f>
        <v>PWT</v>
      </c>
      <c r="E118" s="382" t="str">
        <f t="shared" si="7"/>
        <v>BIW</v>
      </c>
      <c r="F118" s="382" t="str">
        <f t="shared" si="8"/>
        <v/>
      </c>
      <c r="G118" s="382" t="str">
        <f>'Portefeuille SP2'!C128</f>
        <v>SP1</v>
      </c>
      <c r="H118" s="382">
        <f>'Portefeuille SP2'!F128</f>
        <v>0</v>
      </c>
      <c r="I118" s="382"/>
      <c r="J118" s="382" t="str">
        <f>'Portefeuille SP2'!D128</f>
        <v xml:space="preserve">BIW </v>
      </c>
      <c r="K118" s="385">
        <f>'Portefeuille SP2'!H128</f>
        <v>0</v>
      </c>
      <c r="L118" s="157">
        <f>'Portefeuille SP2'!U128</f>
        <v>-3.76</v>
      </c>
      <c r="M118" s="386"/>
      <c r="N118" s="386"/>
      <c r="O118" s="386"/>
      <c r="P118" s="387">
        <f>'Portefeuille SP2'!M128</f>
        <v>0</v>
      </c>
      <c r="Q118" s="387"/>
      <c r="R118" s="387">
        <f>'Portefeuille SP2'!N128</f>
        <v>0</v>
      </c>
      <c r="S118" s="387"/>
      <c r="T118" s="382" t="str">
        <f>'Portefeuille SP2'!R128</f>
        <v>TBD</v>
      </c>
      <c r="U118" s="387">
        <f>'Portefeuille SP2'!K128</f>
        <v>0</v>
      </c>
      <c r="V118" s="399">
        <f>'Portefeuille SP2'!S128</f>
        <v>1</v>
      </c>
      <c r="W118" s="387"/>
      <c r="X118" s="387"/>
      <c r="Y118" s="387"/>
      <c r="Z118" s="387"/>
      <c r="AA118" s="387"/>
      <c r="AB118" s="387"/>
      <c r="AC118" s="387"/>
      <c r="AD118" s="387"/>
      <c r="AE118" s="400">
        <f>'Portefeuille SP2'!J128</f>
        <v>0</v>
      </c>
      <c r="AF118" s="387"/>
      <c r="AG118" s="387"/>
      <c r="AH118" s="389"/>
      <c r="AI118" s="389"/>
      <c r="AJ118" s="403">
        <f>'Portefeuille SP2'!V128</f>
        <v>0</v>
      </c>
      <c r="AK118" s="403">
        <f>'Portefeuille SP2'!W128</f>
        <v>0</v>
      </c>
      <c r="AL118" s="403">
        <f>'Portefeuille SP2'!X128</f>
        <v>0</v>
      </c>
      <c r="AM118" s="403">
        <f>'Portefeuille SP2'!Y128</f>
        <v>1</v>
      </c>
      <c r="AN118" s="403">
        <f>'Portefeuille SP2'!Z128</f>
        <v>1</v>
      </c>
      <c r="AO118" s="403">
        <f>'Portefeuille SP2'!AA128</f>
        <v>0</v>
      </c>
      <c r="AP118" s="403">
        <f>'Portefeuille SP2'!AB128</f>
        <v>0</v>
      </c>
      <c r="AQ118" s="403">
        <f>'Portefeuille SP2'!AC128</f>
        <v>1</v>
      </c>
      <c r="AR118" s="403">
        <f>'Portefeuille SP2'!AD128</f>
        <v>1</v>
      </c>
      <c r="AS118" s="403">
        <f>'Portefeuille SP2'!AE128</f>
        <v>0</v>
      </c>
      <c r="AT118" s="403">
        <f>'Portefeuille SP2'!AF128</f>
        <v>0</v>
      </c>
      <c r="AU118" s="403">
        <f>'Portefeuille SP2'!AG128</f>
        <v>0</v>
      </c>
      <c r="AV118" s="403">
        <f>'Portefeuille SP2'!AH128</f>
        <v>1</v>
      </c>
      <c r="AW118" s="403">
        <f>'Portefeuille SP2'!AI128</f>
        <v>1</v>
      </c>
      <c r="AX118" s="403">
        <f>'Portefeuille SP2'!AJ128</f>
        <v>0</v>
      </c>
      <c r="AY118" s="403">
        <f>'Portefeuille SP2'!AK128</f>
        <v>0</v>
      </c>
      <c r="AZ118" s="403">
        <f>'Portefeuille SP2'!AL128</f>
        <v>1</v>
      </c>
      <c r="BA118" s="403">
        <f>'Portefeuille SP2'!AM128</f>
        <v>1</v>
      </c>
      <c r="BB118" s="403">
        <f>'Portefeuille SP2'!AN128</f>
        <v>0</v>
      </c>
      <c r="BC118" s="403">
        <f>'Portefeuille SP2'!AO128</f>
        <v>0</v>
      </c>
      <c r="BD118" s="403">
        <f>'Portefeuille SP2'!AP128</f>
        <v>0</v>
      </c>
      <c r="BE118" s="403">
        <f>'Portefeuille SP2'!AQ128</f>
        <v>1</v>
      </c>
      <c r="BF118" s="403">
        <f>'Portefeuille SP2'!AR128</f>
        <v>1</v>
      </c>
      <c r="BG118" s="403" t="e">
        <f>'Portefeuille SP2'!#REF!</f>
        <v>#REF!</v>
      </c>
      <c r="BH118" s="403" t="e">
        <f>'Portefeuille SP2'!#REF!</f>
        <v>#REF!</v>
      </c>
      <c r="BI118" s="403" t="e">
        <f>'Portefeuille SP2'!#REF!</f>
        <v>#REF!</v>
      </c>
      <c r="BJ118" s="403" t="e">
        <f>'Portefeuille SP2'!#REF!</f>
        <v>#REF!</v>
      </c>
      <c r="BK118" s="403" t="e">
        <f>'Portefeuille SP2'!#REF!</f>
        <v>#REF!</v>
      </c>
      <c r="BL118" s="388"/>
      <c r="BM118" s="404" t="str">
        <f>'Portefeuille SP2'!L128</f>
        <v>14/03/2024 maj</v>
      </c>
    </row>
    <row r="119" spans="1:65" ht="15" customHeight="1">
      <c r="A119" s="383">
        <f>'Portefeuille SP2'!B129</f>
        <v>0</v>
      </c>
      <c r="B119" s="390" t="str">
        <f>'Portefeuille SP2'!Q129</f>
        <v>CANCELED</v>
      </c>
      <c r="C119" s="384"/>
      <c r="D119" s="382" t="str">
        <f>'Portefeuille SP2'!E129</f>
        <v>PTF</v>
      </c>
      <c r="E119" s="382" t="str">
        <f t="shared" si="7"/>
        <v>BIW</v>
      </c>
      <c r="F119" s="382" t="str">
        <f t="shared" si="8"/>
        <v/>
      </c>
      <c r="G119" s="382" t="str">
        <f>'Portefeuille SP2'!C129</f>
        <v>SP1</v>
      </c>
      <c r="H119" s="382">
        <f>'Portefeuille SP2'!F129</f>
        <v>0</v>
      </c>
      <c r="I119" s="382"/>
      <c r="J119" s="382" t="str">
        <f>'Portefeuille SP2'!D129</f>
        <v xml:space="preserve">BIW </v>
      </c>
      <c r="K119" s="385">
        <f>'Portefeuille SP2'!H129</f>
        <v>0</v>
      </c>
      <c r="L119" s="157">
        <f>'Portefeuille SP2'!U129</f>
        <v>0</v>
      </c>
      <c r="M119" s="386"/>
      <c r="N119" s="386"/>
      <c r="O119" s="386"/>
      <c r="P119" s="387">
        <f>'Portefeuille SP2'!M129</f>
        <v>0</v>
      </c>
      <c r="Q119" s="387"/>
      <c r="R119" s="387">
        <f>'Portefeuille SP2'!N129</f>
        <v>0</v>
      </c>
      <c r="S119" s="387"/>
      <c r="T119" s="382" t="str">
        <f>'Portefeuille SP2'!R129</f>
        <v>TBD</v>
      </c>
      <c r="U119" s="387">
        <f>'Portefeuille SP2'!K129</f>
        <v>0</v>
      </c>
      <c r="V119" s="399">
        <f>'Portefeuille SP2'!S129</f>
        <v>0</v>
      </c>
      <c r="W119" s="387"/>
      <c r="X119" s="387"/>
      <c r="Y119" s="387"/>
      <c r="Z119" s="387"/>
      <c r="AA119" s="387"/>
      <c r="AB119" s="387"/>
      <c r="AC119" s="387"/>
      <c r="AD119" s="387"/>
      <c r="AE119" s="400">
        <f>'Portefeuille SP2'!J129</f>
        <v>0</v>
      </c>
      <c r="AF119" s="387"/>
      <c r="AG119" s="387"/>
      <c r="AH119" s="389"/>
      <c r="AI119" s="389"/>
      <c r="AJ119" s="403">
        <f>'Portefeuille SP2'!V129</f>
        <v>0</v>
      </c>
      <c r="AK119" s="403">
        <f>'Portefeuille SP2'!W129</f>
        <v>0</v>
      </c>
      <c r="AL119" s="403">
        <f>'Portefeuille SP2'!X129</f>
        <v>0</v>
      </c>
      <c r="AM119" s="403">
        <f>'Portefeuille SP2'!Y129</f>
        <v>1</v>
      </c>
      <c r="AN119" s="403">
        <f>'Portefeuille SP2'!Z129</f>
        <v>1</v>
      </c>
      <c r="AO119" s="403">
        <f>'Portefeuille SP2'!AA129</f>
        <v>0</v>
      </c>
      <c r="AP119" s="403">
        <f>'Portefeuille SP2'!AB129</f>
        <v>0</v>
      </c>
      <c r="AQ119" s="403">
        <f>'Portefeuille SP2'!AC129</f>
        <v>1</v>
      </c>
      <c r="AR119" s="403">
        <f>'Portefeuille SP2'!AD129</f>
        <v>1</v>
      </c>
      <c r="AS119" s="403">
        <f>'Portefeuille SP2'!AE129</f>
        <v>0</v>
      </c>
      <c r="AT119" s="403">
        <f>'Portefeuille SP2'!AF129</f>
        <v>0</v>
      </c>
      <c r="AU119" s="403">
        <f>'Portefeuille SP2'!AG129</f>
        <v>0</v>
      </c>
      <c r="AV119" s="403">
        <f>'Portefeuille SP2'!AH129</f>
        <v>1</v>
      </c>
      <c r="AW119" s="403">
        <f>'Portefeuille SP2'!AI129</f>
        <v>1</v>
      </c>
      <c r="AX119" s="403">
        <f>'Portefeuille SP2'!AJ129</f>
        <v>0</v>
      </c>
      <c r="AY119" s="403">
        <f>'Portefeuille SP2'!AK129</f>
        <v>0</v>
      </c>
      <c r="AZ119" s="403">
        <f>'Portefeuille SP2'!AL129</f>
        <v>1</v>
      </c>
      <c r="BA119" s="403">
        <f>'Portefeuille SP2'!AM129</f>
        <v>1</v>
      </c>
      <c r="BB119" s="403">
        <f>'Portefeuille SP2'!AN129</f>
        <v>0</v>
      </c>
      <c r="BC119" s="403">
        <f>'Portefeuille SP2'!AO129</f>
        <v>0</v>
      </c>
      <c r="BD119" s="403">
        <f>'Portefeuille SP2'!AP129</f>
        <v>0</v>
      </c>
      <c r="BE119" s="403">
        <f>'Portefeuille SP2'!AQ129</f>
        <v>1</v>
      </c>
      <c r="BF119" s="403">
        <f>'Portefeuille SP2'!AR129</f>
        <v>1</v>
      </c>
      <c r="BG119" s="403" t="e">
        <f>'Portefeuille SP2'!#REF!</f>
        <v>#REF!</v>
      </c>
      <c r="BH119" s="403" t="e">
        <f>'Portefeuille SP2'!#REF!</f>
        <v>#REF!</v>
      </c>
      <c r="BI119" s="403" t="e">
        <f>'Portefeuille SP2'!#REF!</f>
        <v>#REF!</v>
      </c>
      <c r="BJ119" s="403" t="e">
        <f>'Portefeuille SP2'!#REF!</f>
        <v>#REF!</v>
      </c>
      <c r="BK119" s="403" t="e">
        <f>'Portefeuille SP2'!#REF!</f>
        <v>#REF!</v>
      </c>
      <c r="BL119" s="388"/>
      <c r="BM119" s="404" t="str">
        <f>'Portefeuille SP2'!L129</f>
        <v>21/03/2024 : Changement des masselotte du double filtrage. non compatible de la piste 32.</v>
      </c>
    </row>
    <row r="120" spans="1:65" ht="15" customHeight="1">
      <c r="A120" s="383">
        <f>'Portefeuille SP2'!B130</f>
        <v>0</v>
      </c>
      <c r="B120" s="390" t="str">
        <f>'Portefeuille SP2'!Q130</f>
        <v>DECIDED</v>
      </c>
      <c r="C120" s="384"/>
      <c r="D120" s="382" t="str">
        <f>'Portefeuille SP2'!E130</f>
        <v>PTF</v>
      </c>
      <c r="E120" s="382" t="str">
        <f t="shared" si="7"/>
        <v>BIW</v>
      </c>
      <c r="F120" s="382" t="str">
        <f t="shared" si="8"/>
        <v/>
      </c>
      <c r="G120" s="382" t="str">
        <f>'Portefeuille SP2'!C130</f>
        <v>SP1</v>
      </c>
      <c r="H120" s="382">
        <f>'Portefeuille SP2'!F130</f>
        <v>0</v>
      </c>
      <c r="I120" s="382"/>
      <c r="J120" s="382" t="str">
        <f>'Portefeuille SP2'!D130</f>
        <v xml:space="preserve">BIW </v>
      </c>
      <c r="K120" s="385" t="str">
        <f>'Portefeuille SP2'!H130</f>
        <v>Remove repair kit</v>
      </c>
      <c r="L120" s="157">
        <f>'Portefeuille SP2'!U130</f>
        <v>-1.4</v>
      </c>
      <c r="M120" s="386"/>
      <c r="N120" s="386"/>
      <c r="O120" s="386"/>
      <c r="P120" s="387">
        <f>'Portefeuille SP2'!M130</f>
        <v>0</v>
      </c>
      <c r="Q120" s="387"/>
      <c r="R120" s="387">
        <f>'Portefeuille SP2'!N130</f>
        <v>-10</v>
      </c>
      <c r="S120" s="387"/>
      <c r="T120" s="382" t="str">
        <f>'Portefeuille SP2'!R130</f>
        <v>TBD</v>
      </c>
      <c r="U120" s="387">
        <f>'Portefeuille SP2'!K130</f>
        <v>0</v>
      </c>
      <c r="V120" s="399">
        <f>'Portefeuille SP2'!S130</f>
        <v>1</v>
      </c>
      <c r="W120" s="387"/>
      <c r="X120" s="387"/>
      <c r="Y120" s="387"/>
      <c r="Z120" s="387"/>
      <c r="AA120" s="387"/>
      <c r="AB120" s="387"/>
      <c r="AC120" s="387"/>
      <c r="AD120" s="387"/>
      <c r="AE120" s="400">
        <f>'Portefeuille SP2'!J130</f>
        <v>0</v>
      </c>
      <c r="AF120" s="387"/>
      <c r="AG120" s="387"/>
      <c r="AH120" s="389"/>
      <c r="AI120" s="389"/>
      <c r="AJ120" s="403">
        <f>'Portefeuille SP2'!V130</f>
        <v>0</v>
      </c>
      <c r="AK120" s="403">
        <f>'Portefeuille SP2'!W130</f>
        <v>0</v>
      </c>
      <c r="AL120" s="403">
        <f>'Portefeuille SP2'!X130</f>
        <v>0</v>
      </c>
      <c r="AM120" s="403">
        <f>'Portefeuille SP2'!Y130</f>
        <v>1</v>
      </c>
      <c r="AN120" s="403">
        <f>'Portefeuille SP2'!Z130</f>
        <v>1</v>
      </c>
      <c r="AO120" s="403">
        <f>'Portefeuille SP2'!AA130</f>
        <v>0</v>
      </c>
      <c r="AP120" s="403">
        <f>'Portefeuille SP2'!AB130</f>
        <v>0</v>
      </c>
      <c r="AQ120" s="403">
        <f>'Portefeuille SP2'!AC130</f>
        <v>1</v>
      </c>
      <c r="AR120" s="403">
        <f>'Portefeuille SP2'!AD130</f>
        <v>1</v>
      </c>
      <c r="AS120" s="403">
        <f>'Portefeuille SP2'!AE130</f>
        <v>0</v>
      </c>
      <c r="AT120" s="403">
        <f>'Portefeuille SP2'!AF130</f>
        <v>0</v>
      </c>
      <c r="AU120" s="403">
        <f>'Portefeuille SP2'!AG130</f>
        <v>0</v>
      </c>
      <c r="AV120" s="403">
        <f>'Portefeuille SP2'!AH130</f>
        <v>1</v>
      </c>
      <c r="AW120" s="403">
        <f>'Portefeuille SP2'!AI130</f>
        <v>1</v>
      </c>
      <c r="AX120" s="403">
        <f>'Portefeuille SP2'!AJ130</f>
        <v>0</v>
      </c>
      <c r="AY120" s="403">
        <f>'Portefeuille SP2'!AK130</f>
        <v>0</v>
      </c>
      <c r="AZ120" s="403">
        <f>'Portefeuille SP2'!AL130</f>
        <v>1</v>
      </c>
      <c r="BA120" s="403">
        <f>'Portefeuille SP2'!AM130</f>
        <v>1</v>
      </c>
      <c r="BB120" s="403">
        <f>'Portefeuille SP2'!AN130</f>
        <v>0</v>
      </c>
      <c r="BC120" s="403">
        <f>'Portefeuille SP2'!AO130</f>
        <v>0</v>
      </c>
      <c r="BD120" s="403">
        <f>'Portefeuille SP2'!AP130</f>
        <v>0</v>
      </c>
      <c r="BE120" s="403">
        <f>'Portefeuille SP2'!AQ130</f>
        <v>1</v>
      </c>
      <c r="BF120" s="403">
        <f>'Portefeuille SP2'!AR130</f>
        <v>1</v>
      </c>
      <c r="BG120" s="403" t="e">
        <f>'Portefeuille SP2'!#REF!</f>
        <v>#REF!</v>
      </c>
      <c r="BH120" s="403" t="e">
        <f>'Portefeuille SP2'!#REF!</f>
        <v>#REF!</v>
      </c>
      <c r="BI120" s="403" t="e">
        <f>'Portefeuille SP2'!#REF!</f>
        <v>#REF!</v>
      </c>
      <c r="BJ120" s="403" t="e">
        <f>'Portefeuille SP2'!#REF!</f>
        <v>#REF!</v>
      </c>
      <c r="BK120" s="403" t="e">
        <f>'Portefeuille SP2'!#REF!</f>
        <v>#REF!</v>
      </c>
      <c r="BL120" s="388"/>
      <c r="BM120" s="404" t="str">
        <f>'Portefeuille SP2'!L130</f>
        <v>10/04/2024 : Pas d'opposition PTF.</v>
      </c>
    </row>
    <row r="121" spans="1:65" ht="15" customHeight="1">
      <c r="A121" s="383" t="str">
        <f>'Portefeuille SP2'!B133</f>
        <v>11/06/2025</v>
      </c>
      <c r="B121" s="390" t="str">
        <f>'Portefeuille SP2'!Q133</f>
        <v>CANCELED</v>
      </c>
      <c r="C121" s="384"/>
      <c r="D121" s="382" t="str">
        <f>'Portefeuille SP2'!E133</f>
        <v>TH</v>
      </c>
      <c r="E121" s="382" t="str">
        <f t="shared" si="7"/>
        <v>INT</v>
      </c>
      <c r="F121" s="382" t="str">
        <f>MID(J121, 4, 20)</f>
        <v xml:space="preserve"> - SEATS/TRIMS</v>
      </c>
      <c r="G121" s="382" t="str">
        <f>'Portefeuille SP2'!C133</f>
        <v>SPC_1</v>
      </c>
      <c r="H121" s="382" t="str">
        <f>'Portefeuille SP2'!F133</f>
        <v>HALIM</v>
      </c>
      <c r="I121" s="428" t="s">
        <v>1212</v>
      </c>
      <c r="J121" s="382" t="str">
        <f>'Portefeuille SP2'!D133</f>
        <v>INT - SEATS/TRIMS</v>
      </c>
      <c r="K121" s="385" t="str">
        <f>'Portefeuille SP2'!H133</f>
        <v>optim design</v>
      </c>
      <c r="L121" s="157">
        <f>'Portefeuille SP2'!U133</f>
        <v>0</v>
      </c>
      <c r="M121" s="386"/>
      <c r="N121" s="386"/>
      <c r="O121" s="386"/>
      <c r="P121" s="400">
        <f>'Portefeuille SP2'!M133</f>
        <v>0</v>
      </c>
      <c r="Q121" s="387"/>
      <c r="R121" s="387">
        <f>'Portefeuille SP2'!N133</f>
        <v>0</v>
      </c>
      <c r="S121" s="387"/>
      <c r="T121" s="382" t="str">
        <f>'Portefeuille SP2'!R133</f>
        <v>TBD</v>
      </c>
      <c r="U121" s="387" t="str">
        <f>'Portefeuille SP2'!K133</f>
        <v>SFM</v>
      </c>
      <c r="V121" s="399">
        <f>'Portefeuille SP2'!S133</f>
        <v>0.25</v>
      </c>
      <c r="W121" s="387"/>
      <c r="X121" s="387"/>
      <c r="Y121" s="387"/>
      <c r="Z121" s="387"/>
      <c r="AA121" s="387"/>
      <c r="AB121" s="387"/>
      <c r="AC121" s="387"/>
      <c r="AD121" s="387"/>
      <c r="AE121" s="408" t="str">
        <f>'Portefeuille SP2'!J133</f>
        <v>24/06/2025 siège reconduit SP1 avec tissus spécifique - risk SP1/SP2 enrichissement</v>
      </c>
      <c r="AF121" s="387"/>
      <c r="AG121" s="387"/>
      <c r="AH121" s="389"/>
      <c r="AI121" s="389"/>
      <c r="AJ121" s="403">
        <f>'Portefeuille SP2'!V133</f>
        <v>1</v>
      </c>
      <c r="AK121" s="403">
        <f>'Portefeuille SP2'!W133</f>
        <v>1</v>
      </c>
      <c r="AL121" s="403">
        <f>'Portefeuille SP2'!X133</f>
        <v>1</v>
      </c>
      <c r="AM121" s="403">
        <f>'Portefeuille SP2'!Y133</f>
        <v>1</v>
      </c>
      <c r="AN121" s="403">
        <f>'Portefeuille SP2'!Z133</f>
        <v>1</v>
      </c>
      <c r="AO121" s="403">
        <f>'Portefeuille SP2'!AA133</f>
        <v>1</v>
      </c>
      <c r="AP121" s="403">
        <f>'Portefeuille SP2'!AB133</f>
        <v>1</v>
      </c>
      <c r="AQ121" s="403">
        <f>'Portefeuille SP2'!AC133</f>
        <v>1</v>
      </c>
      <c r="AR121" s="403">
        <f>'Portefeuille SP2'!AD133</f>
        <v>1</v>
      </c>
      <c r="AS121" s="403">
        <f>'Portefeuille SP2'!AE133</f>
        <v>1</v>
      </c>
      <c r="AT121" s="403">
        <f>'Portefeuille SP2'!AF133</f>
        <v>1</v>
      </c>
      <c r="AU121" s="403">
        <f>'Portefeuille SP2'!AG133</f>
        <v>1</v>
      </c>
      <c r="AV121" s="403">
        <f>'Portefeuille SP2'!AH133</f>
        <v>1</v>
      </c>
      <c r="AW121" s="403">
        <f>'Portefeuille SP2'!AI133</f>
        <v>1</v>
      </c>
      <c r="AX121" s="403">
        <f>'Portefeuille SP2'!AJ133</f>
        <v>1</v>
      </c>
      <c r="AY121" s="403">
        <f>'Portefeuille SP2'!AK133</f>
        <v>1</v>
      </c>
      <c r="AZ121" s="403">
        <f>'Portefeuille SP2'!AL133</f>
        <v>1</v>
      </c>
      <c r="BA121" s="403">
        <f>'Portefeuille SP2'!AM133</f>
        <v>1</v>
      </c>
      <c r="BB121" s="403">
        <f>'Portefeuille SP2'!AN133</f>
        <v>1</v>
      </c>
      <c r="BC121" s="403">
        <f>'Portefeuille SP2'!AO133</f>
        <v>1</v>
      </c>
      <c r="BD121" s="403">
        <f>'Portefeuille SP2'!AP133</f>
        <v>1</v>
      </c>
      <c r="BE121" s="403">
        <f>'Portefeuille SP2'!AQ133</f>
        <v>1</v>
      </c>
      <c r="BF121" s="403">
        <f>'Portefeuille SP2'!AR133</f>
        <v>1</v>
      </c>
      <c r="BG121" s="403" t="e">
        <f>'Portefeuille SP2'!#REF!</f>
        <v>#REF!</v>
      </c>
      <c r="BH121" s="403" t="e">
        <f>'Portefeuille SP2'!#REF!</f>
        <v>#REF!</v>
      </c>
      <c r="BI121" s="403" t="e">
        <f>'Portefeuille SP2'!#REF!</f>
        <v>#REF!</v>
      </c>
      <c r="BJ121" s="403" t="e">
        <f>'Portefeuille SP2'!#REF!</f>
        <v>#REF!</v>
      </c>
      <c r="BK121" s="403" t="e">
        <f>'Portefeuille SP2'!#REF!</f>
        <v>#REF!</v>
      </c>
      <c r="BL121" s="388"/>
      <c r="BM121" s="404" t="str">
        <f>'Portefeuille SP2'!L133</f>
        <v>11/06/2025 Style non gélé , mais orientation en cours avec Tie down donc Potentiel a descendre a 25% [ald 50%]
18/11/2024 Maj suite SYNC3=-0,6kg*50% (ald-0,65kg*25%)
05/11/2024 Reporté 2025
25/09/2024 EN attente choirs frns =&gt; Fin Sept
11/07/2024 choix frns CW39</v>
      </c>
    </row>
    <row r="122" spans="1:65" ht="15" customHeight="1">
      <c r="A122" s="383">
        <f>'Portefeuille SP2'!B134</f>
        <v>0</v>
      </c>
      <c r="B122" s="390" t="str">
        <f>'Portefeuille SP2'!Q134</f>
        <v>DECIDED</v>
      </c>
      <c r="C122" s="384"/>
      <c r="D122" s="382" t="str">
        <f>'Portefeuille SP2'!E134</f>
        <v>PTF</v>
      </c>
      <c r="E122" s="382" t="str">
        <f t="shared" si="7"/>
        <v>BIW</v>
      </c>
      <c r="F122" s="382" t="str">
        <f t="shared" si="8"/>
        <v/>
      </c>
      <c r="G122" s="382" t="str">
        <f>'Portefeuille SP2'!C134</f>
        <v>SP1</v>
      </c>
      <c r="H122" s="382">
        <f>'Portefeuille SP2'!F134</f>
        <v>0</v>
      </c>
      <c r="I122" s="382"/>
      <c r="J122" s="382" t="str">
        <f>'Portefeuille SP2'!D134</f>
        <v xml:space="preserve">BIW </v>
      </c>
      <c r="K122" s="385">
        <f>'Portefeuille SP2'!H134</f>
        <v>0</v>
      </c>
      <c r="L122" s="157">
        <f>'Portefeuille SP2'!U134</f>
        <v>-3.8</v>
      </c>
      <c r="M122" s="386"/>
      <c r="N122" s="386"/>
      <c r="O122" s="386"/>
      <c r="P122" s="387">
        <f>'Portefeuille SP2'!M134</f>
        <v>0</v>
      </c>
      <c r="Q122" s="387"/>
      <c r="R122" s="387">
        <f>'Portefeuille SP2'!N134</f>
        <v>0</v>
      </c>
      <c r="S122" s="387"/>
      <c r="T122" s="382" t="str">
        <f>'Portefeuille SP2'!R134</f>
        <v>TBD</v>
      </c>
      <c r="U122" s="387">
        <f>'Portefeuille SP2'!K134</f>
        <v>0</v>
      </c>
      <c r="V122" s="399">
        <f>'Portefeuille SP2'!S134</f>
        <v>1</v>
      </c>
      <c r="W122" s="387"/>
      <c r="X122" s="387"/>
      <c r="Y122" s="387"/>
      <c r="Z122" s="387"/>
      <c r="AA122" s="387"/>
      <c r="AB122" s="387"/>
      <c r="AC122" s="387"/>
      <c r="AD122" s="387"/>
      <c r="AE122" s="400">
        <f>'Portefeuille SP2'!J134</f>
        <v>0</v>
      </c>
      <c r="AF122" s="387"/>
      <c r="AG122" s="387"/>
      <c r="AH122" s="389"/>
      <c r="AI122" s="389"/>
      <c r="AJ122" s="403">
        <f>'Portefeuille SP2'!V134</f>
        <v>0</v>
      </c>
      <c r="AK122" s="403">
        <f>'Portefeuille SP2'!W134</f>
        <v>0</v>
      </c>
      <c r="AL122" s="403">
        <f>'Portefeuille SP2'!X134</f>
        <v>0</v>
      </c>
      <c r="AM122" s="403">
        <f>'Portefeuille SP2'!Y134</f>
        <v>1</v>
      </c>
      <c r="AN122" s="403">
        <f>'Portefeuille SP2'!Z134</f>
        <v>1</v>
      </c>
      <c r="AO122" s="403">
        <f>'Portefeuille SP2'!AA134</f>
        <v>0</v>
      </c>
      <c r="AP122" s="403">
        <f>'Portefeuille SP2'!AB134</f>
        <v>0</v>
      </c>
      <c r="AQ122" s="403">
        <f>'Portefeuille SP2'!AC134</f>
        <v>1</v>
      </c>
      <c r="AR122" s="403">
        <f>'Portefeuille SP2'!AD134</f>
        <v>1</v>
      </c>
      <c r="AS122" s="403">
        <f>'Portefeuille SP2'!AE134</f>
        <v>0</v>
      </c>
      <c r="AT122" s="403">
        <f>'Portefeuille SP2'!AF134</f>
        <v>0</v>
      </c>
      <c r="AU122" s="403">
        <f>'Portefeuille SP2'!AG134</f>
        <v>0</v>
      </c>
      <c r="AV122" s="403">
        <f>'Portefeuille SP2'!AH134</f>
        <v>1</v>
      </c>
      <c r="AW122" s="403">
        <f>'Portefeuille SP2'!AI134</f>
        <v>1</v>
      </c>
      <c r="AX122" s="403">
        <f>'Portefeuille SP2'!AJ134</f>
        <v>0</v>
      </c>
      <c r="AY122" s="403">
        <f>'Portefeuille SP2'!AK134</f>
        <v>0</v>
      </c>
      <c r="AZ122" s="403">
        <f>'Portefeuille SP2'!AL134</f>
        <v>1</v>
      </c>
      <c r="BA122" s="403">
        <f>'Portefeuille SP2'!AM134</f>
        <v>1</v>
      </c>
      <c r="BB122" s="403">
        <f>'Portefeuille SP2'!AN134</f>
        <v>0</v>
      </c>
      <c r="BC122" s="403">
        <f>'Portefeuille SP2'!AO134</f>
        <v>0</v>
      </c>
      <c r="BD122" s="403">
        <f>'Portefeuille SP2'!AP134</f>
        <v>0</v>
      </c>
      <c r="BE122" s="403">
        <f>'Portefeuille SP2'!AQ134</f>
        <v>1</v>
      </c>
      <c r="BF122" s="403">
        <f>'Portefeuille SP2'!AR134</f>
        <v>1</v>
      </c>
      <c r="BG122" s="403" t="e">
        <f>'Portefeuille SP2'!#REF!</f>
        <v>#REF!</v>
      </c>
      <c r="BH122" s="403" t="e">
        <f>'Portefeuille SP2'!#REF!</f>
        <v>#REF!</v>
      </c>
      <c r="BI122" s="403" t="e">
        <f>'Portefeuille SP2'!#REF!</f>
        <v>#REF!</v>
      </c>
      <c r="BJ122" s="403" t="e">
        <f>'Portefeuille SP2'!#REF!</f>
        <v>#REF!</v>
      </c>
      <c r="BK122" s="403" t="e">
        <f>'Portefeuille SP2'!#REF!</f>
        <v>#REF!</v>
      </c>
      <c r="BL122" s="388"/>
      <c r="BM122" s="404">
        <f>'Portefeuille SP2'!L134</f>
        <v>0</v>
      </c>
    </row>
    <row r="123" spans="1:65" ht="15" customHeight="1">
      <c r="A123" s="383">
        <f>'Portefeuille SP2'!B135</f>
        <v>0</v>
      </c>
      <c r="B123" s="390" t="str">
        <f>'Portefeuille SP2'!Q135</f>
        <v>DECIDED</v>
      </c>
      <c r="C123" s="384"/>
      <c r="D123" s="382" t="str">
        <f>'Portefeuille SP2'!E135</f>
        <v>PTF</v>
      </c>
      <c r="E123" s="382" t="str">
        <f t="shared" si="7"/>
        <v>BIW</v>
      </c>
      <c r="F123" s="382" t="str">
        <f t="shared" si="8"/>
        <v/>
      </c>
      <c r="G123" s="382" t="str">
        <f>'Portefeuille SP2'!C135</f>
        <v>SP1</v>
      </c>
      <c r="H123" s="382">
        <f>'Portefeuille SP2'!F135</f>
        <v>0</v>
      </c>
      <c r="I123" s="382"/>
      <c r="J123" s="382" t="str">
        <f>'Portefeuille SP2'!D135</f>
        <v xml:space="preserve">BIW </v>
      </c>
      <c r="K123" s="385">
        <f>'Portefeuille SP2'!H135</f>
        <v>0</v>
      </c>
      <c r="L123" s="157">
        <f>'Portefeuille SP2'!U135</f>
        <v>0.60000000000000009</v>
      </c>
      <c r="M123" s="386"/>
      <c r="N123" s="386"/>
      <c r="O123" s="386"/>
      <c r="P123" s="387">
        <f>'Portefeuille SP2'!M135</f>
        <v>0</v>
      </c>
      <c r="Q123" s="387"/>
      <c r="R123" s="387">
        <f>'Portefeuille SP2'!N135</f>
        <v>0</v>
      </c>
      <c r="S123" s="387"/>
      <c r="T123" s="382" t="str">
        <f>'Portefeuille SP2'!R135</f>
        <v>TBD</v>
      </c>
      <c r="U123" s="387">
        <f>'Portefeuille SP2'!K135</f>
        <v>0</v>
      </c>
      <c r="V123" s="399">
        <f>'Portefeuille SP2'!S135</f>
        <v>0.5</v>
      </c>
      <c r="W123" s="387"/>
      <c r="X123" s="387"/>
      <c r="Y123" s="387"/>
      <c r="Z123" s="387"/>
      <c r="AA123" s="387"/>
      <c r="AB123" s="387"/>
      <c r="AC123" s="387"/>
      <c r="AD123" s="387"/>
      <c r="AE123" s="400">
        <f>'Portefeuille SP2'!J135</f>
        <v>0</v>
      </c>
      <c r="AF123" s="387"/>
      <c r="AG123" s="387"/>
      <c r="AH123" s="389"/>
      <c r="AI123" s="389"/>
      <c r="AJ123" s="403">
        <f>'Portefeuille SP2'!V135</f>
        <v>0</v>
      </c>
      <c r="AK123" s="403">
        <f>'Portefeuille SP2'!W135</f>
        <v>0</v>
      </c>
      <c r="AL123" s="403">
        <f>'Portefeuille SP2'!X135</f>
        <v>0</v>
      </c>
      <c r="AM123" s="403">
        <f>'Portefeuille SP2'!Y135</f>
        <v>1</v>
      </c>
      <c r="AN123" s="403">
        <f>'Portefeuille SP2'!Z135</f>
        <v>1</v>
      </c>
      <c r="AO123" s="403">
        <f>'Portefeuille SP2'!AA135</f>
        <v>0</v>
      </c>
      <c r="AP123" s="403">
        <f>'Portefeuille SP2'!AB135</f>
        <v>0</v>
      </c>
      <c r="AQ123" s="403">
        <f>'Portefeuille SP2'!AC135</f>
        <v>1</v>
      </c>
      <c r="AR123" s="403">
        <f>'Portefeuille SP2'!AD135</f>
        <v>1</v>
      </c>
      <c r="AS123" s="403">
        <f>'Portefeuille SP2'!AE135</f>
        <v>0</v>
      </c>
      <c r="AT123" s="403">
        <f>'Portefeuille SP2'!AF135</f>
        <v>0</v>
      </c>
      <c r="AU123" s="403">
        <f>'Portefeuille SP2'!AG135</f>
        <v>0</v>
      </c>
      <c r="AV123" s="403">
        <f>'Portefeuille SP2'!AH135</f>
        <v>1</v>
      </c>
      <c r="AW123" s="403">
        <f>'Portefeuille SP2'!AI135</f>
        <v>1</v>
      </c>
      <c r="AX123" s="403">
        <f>'Portefeuille SP2'!AJ135</f>
        <v>0</v>
      </c>
      <c r="AY123" s="403">
        <f>'Portefeuille SP2'!AK135</f>
        <v>0</v>
      </c>
      <c r="AZ123" s="403">
        <f>'Portefeuille SP2'!AL135</f>
        <v>1</v>
      </c>
      <c r="BA123" s="403">
        <f>'Portefeuille SP2'!AM135</f>
        <v>1</v>
      </c>
      <c r="BB123" s="403">
        <f>'Portefeuille SP2'!AN135</f>
        <v>0</v>
      </c>
      <c r="BC123" s="403">
        <f>'Portefeuille SP2'!AO135</f>
        <v>0</v>
      </c>
      <c r="BD123" s="403">
        <f>'Portefeuille SP2'!AP135</f>
        <v>0</v>
      </c>
      <c r="BE123" s="403">
        <f>'Portefeuille SP2'!AQ135</f>
        <v>1</v>
      </c>
      <c r="BF123" s="403">
        <f>'Portefeuille SP2'!AR135</f>
        <v>1</v>
      </c>
      <c r="BG123" s="403" t="e">
        <f>'Portefeuille SP2'!#REF!</f>
        <v>#REF!</v>
      </c>
      <c r="BH123" s="403" t="e">
        <f>'Portefeuille SP2'!#REF!</f>
        <v>#REF!</v>
      </c>
      <c r="BI123" s="403" t="e">
        <f>'Portefeuille SP2'!#REF!</f>
        <v>#REF!</v>
      </c>
      <c r="BJ123" s="403" t="e">
        <f>'Portefeuille SP2'!#REF!</f>
        <v>#REF!</v>
      </c>
      <c r="BK123" s="403" t="e">
        <f>'Portefeuille SP2'!#REF!</f>
        <v>#REF!</v>
      </c>
      <c r="BL123" s="388"/>
      <c r="BM123" s="404" t="str">
        <f>'Portefeuille SP2'!L135</f>
        <v>10/04/2024 : Entre 2,8 et 2,1 kg de plus avec Cijuan. Mais Pb avec KYB.
08/02/2024 : Choix achat à orienter vers le fournisseur le moins lourd</v>
      </c>
    </row>
    <row r="124" spans="1:65" ht="15" customHeight="1">
      <c r="A124" s="383">
        <f>'Portefeuille SP2'!B136</f>
        <v>0</v>
      </c>
      <c r="B124" s="390" t="str">
        <f>'Portefeuille SP2'!Q136</f>
        <v>CANCELED</v>
      </c>
      <c r="C124" s="384"/>
      <c r="D124" s="382" t="str">
        <f>'Portefeuille SP2'!E136</f>
        <v>TH</v>
      </c>
      <c r="E124" s="382" t="str">
        <f t="shared" si="7"/>
        <v>BIW</v>
      </c>
      <c r="F124" s="382" t="str">
        <f t="shared" si="8"/>
        <v/>
      </c>
      <c r="G124" s="382" t="str">
        <f>'Portefeuille SP2'!C136</f>
        <v>SP2</v>
      </c>
      <c r="H124" s="382">
        <f>'Portefeuille SP2'!F136</f>
        <v>0</v>
      </c>
      <c r="I124" s="382"/>
      <c r="J124" s="382" t="str">
        <f>'Portefeuille SP2'!D136</f>
        <v xml:space="preserve">BIW </v>
      </c>
      <c r="K124" s="385" t="str">
        <f>'Portefeuille SP2'!H136</f>
        <v>Console</v>
      </c>
      <c r="L124" s="157">
        <f>'Portefeuille SP2'!U136</f>
        <v>-0.2</v>
      </c>
      <c r="M124" s="386"/>
      <c r="N124" s="386"/>
      <c r="O124" s="386"/>
      <c r="P124" s="387" t="str">
        <f>'Portefeuille SP2'!M136</f>
        <v>275K€</v>
      </c>
      <c r="Q124" s="387"/>
      <c r="R124" s="387">
        <f>'Portefeuille SP2'!N136</f>
        <v>0</v>
      </c>
      <c r="S124" s="387"/>
      <c r="T124" s="382" t="str">
        <f>'Portefeuille SP2'!R136</f>
        <v>TBD</v>
      </c>
      <c r="U124" s="387" t="str">
        <f>'Portefeuille SP2'!K136</f>
        <v>w43
PORO signature</v>
      </c>
      <c r="V124" s="399">
        <f>'Portefeuille SP2'!S136</f>
        <v>1</v>
      </c>
      <c r="W124" s="387"/>
      <c r="X124" s="387"/>
      <c r="Y124" s="387"/>
      <c r="Z124" s="387"/>
      <c r="AA124" s="387"/>
      <c r="AB124" s="387"/>
      <c r="AC124" s="387"/>
      <c r="AD124" s="387"/>
      <c r="AE124" s="400" t="str">
        <f>'Portefeuille SP2'!J136</f>
        <v>30/09/2024 passage en réunion de décision proposition annulé -&gt; canceled
Seul Alfa demande une console EDG.
https://docinfogroupe.stellantis.com/ead/doc/ref.21007_24_00110/v.vc/fiche</v>
      </c>
      <c r="AF124" s="387"/>
      <c r="AG124" s="387"/>
      <c r="AH124" s="389"/>
      <c r="AI124" s="389"/>
      <c r="AJ124" s="403">
        <f>'Portefeuille SP2'!V136</f>
        <v>0</v>
      </c>
      <c r="AK124" s="403">
        <f>'Portefeuille SP2'!W136</f>
        <v>0</v>
      </c>
      <c r="AL124" s="403">
        <f>'Portefeuille SP2'!X136</f>
        <v>0</v>
      </c>
      <c r="AM124" s="403">
        <f>'Portefeuille SP2'!Y136</f>
        <v>1</v>
      </c>
      <c r="AN124" s="403">
        <f>'Portefeuille SP2'!Z136</f>
        <v>1</v>
      </c>
      <c r="AO124" s="403">
        <f>'Portefeuille SP2'!AA136</f>
        <v>0</v>
      </c>
      <c r="AP124" s="403">
        <f>'Portefeuille SP2'!AB136</f>
        <v>0</v>
      </c>
      <c r="AQ124" s="403">
        <f>'Portefeuille SP2'!AC136</f>
        <v>1</v>
      </c>
      <c r="AR124" s="403">
        <f>'Portefeuille SP2'!AD136</f>
        <v>1</v>
      </c>
      <c r="AS124" s="403">
        <f>'Portefeuille SP2'!AE136</f>
        <v>0</v>
      </c>
      <c r="AT124" s="403">
        <f>'Portefeuille SP2'!AF136</f>
        <v>0</v>
      </c>
      <c r="AU124" s="403">
        <f>'Portefeuille SP2'!AG136</f>
        <v>0</v>
      </c>
      <c r="AV124" s="403">
        <f>'Portefeuille SP2'!AH136</f>
        <v>1</v>
      </c>
      <c r="AW124" s="403">
        <f>'Portefeuille SP2'!AI136</f>
        <v>1</v>
      </c>
      <c r="AX124" s="403">
        <f>'Portefeuille SP2'!AJ136</f>
        <v>0</v>
      </c>
      <c r="AY124" s="403">
        <f>'Portefeuille SP2'!AK136</f>
        <v>0</v>
      </c>
      <c r="AZ124" s="403">
        <f>'Portefeuille SP2'!AL136</f>
        <v>1</v>
      </c>
      <c r="BA124" s="403">
        <f>'Portefeuille SP2'!AM136</f>
        <v>1</v>
      </c>
      <c r="BB124" s="403">
        <f>'Portefeuille SP2'!AN136</f>
        <v>0</v>
      </c>
      <c r="BC124" s="403">
        <f>'Portefeuille SP2'!AO136</f>
        <v>0</v>
      </c>
      <c r="BD124" s="403">
        <f>'Portefeuille SP2'!AP136</f>
        <v>0</v>
      </c>
      <c r="BE124" s="403">
        <f>'Portefeuille SP2'!AQ136</f>
        <v>1</v>
      </c>
      <c r="BF124" s="403">
        <f>'Portefeuille SP2'!AR136</f>
        <v>1</v>
      </c>
      <c r="BG124" s="403" t="e">
        <f>'Portefeuille SP2'!#REF!</f>
        <v>#REF!</v>
      </c>
      <c r="BH124" s="403" t="e">
        <f>'Portefeuille SP2'!#REF!</f>
        <v>#REF!</v>
      </c>
      <c r="BI124" s="403" t="e">
        <f>'Portefeuille SP2'!#REF!</f>
        <v>#REF!</v>
      </c>
      <c r="BJ124" s="403" t="e">
        <f>'Portefeuille SP2'!#REF!</f>
        <v>#REF!</v>
      </c>
      <c r="BK124" s="403" t="e">
        <f>'Portefeuille SP2'!#REF!</f>
        <v>#REF!</v>
      </c>
      <c r="BL124" s="388"/>
      <c r="BM124" s="404" t="str">
        <f>'Portefeuille SP2'!L136</f>
        <v>REF = Butterfly</v>
      </c>
    </row>
    <row r="125" spans="1:65" ht="15" customHeight="1">
      <c r="A125" s="383" t="str">
        <f>'Portefeuille SP2'!B137</f>
        <v>27/06/2024</v>
      </c>
      <c r="B125" s="390" t="str">
        <f>'Portefeuille SP2'!Q137</f>
        <v>IN PROGRESS</v>
      </c>
      <c r="C125" s="384"/>
      <c r="D125" s="382" t="str">
        <f>'Portefeuille SP2'!E137</f>
        <v>TH</v>
      </c>
      <c r="E125" s="382" t="str">
        <f t="shared" si="7"/>
        <v>SWX</v>
      </c>
      <c r="F125" s="382" t="str">
        <f t="shared" ref="F125:F126" si="11">MID(J125, 4, 20)</f>
        <v>/EE</v>
      </c>
      <c r="G125" s="382" t="str">
        <f>'Portefeuille SP2'!C137</f>
        <v>SP1</v>
      </c>
      <c r="H125" s="382" t="str">
        <f>'Portefeuille SP2'!F137</f>
        <v>Isabelle Moro phillipe BOILLAUT</v>
      </c>
      <c r="I125" s="428" t="s">
        <v>1212</v>
      </c>
      <c r="J125" s="382" t="str">
        <f>'Portefeuille SP2'!D137</f>
        <v>SWX/EE</v>
      </c>
      <c r="K125" s="385" t="str">
        <f>'Portefeuille SP2'!H137</f>
        <v>LV HARNESS</v>
      </c>
      <c r="L125" s="157">
        <f>'Portefeuille SP2'!U137</f>
        <v>-0.15</v>
      </c>
      <c r="M125" s="386"/>
      <c r="N125" s="386"/>
      <c r="O125" s="386"/>
      <c r="P125" s="400">
        <f>'Portefeuille SP2'!M137</f>
        <v>0</v>
      </c>
      <c r="Q125" s="387"/>
      <c r="R125" s="387">
        <f>'Portefeuille SP2'!N137</f>
        <v>0</v>
      </c>
      <c r="S125" s="387"/>
      <c r="T125" s="382">
        <f>'Portefeuille SP2'!R137</f>
        <v>0</v>
      </c>
      <c r="U125" s="387">
        <f>'Portefeuille SP2'!K137</f>
        <v>0</v>
      </c>
      <c r="V125" s="399">
        <f>'Portefeuille SP2'!S137</f>
        <v>0.5</v>
      </c>
      <c r="W125" s="387"/>
      <c r="X125" s="387"/>
      <c r="Y125" s="387"/>
      <c r="Z125" s="387"/>
      <c r="AA125" s="387"/>
      <c r="AB125" s="387"/>
      <c r="AC125" s="387"/>
      <c r="AD125" s="387"/>
      <c r="AE125" s="408">
        <f>'Portefeuille SP2'!J137</f>
        <v>0</v>
      </c>
      <c r="AF125" s="387"/>
      <c r="AG125" s="387"/>
      <c r="AH125" s="389"/>
      <c r="AI125" s="389"/>
      <c r="AJ125" s="403">
        <f>'Portefeuille SP2'!V137</f>
        <v>1</v>
      </c>
      <c r="AK125" s="403">
        <f>'Portefeuille SP2'!W137</f>
        <v>1</v>
      </c>
      <c r="AL125" s="403">
        <f>'Portefeuille SP2'!X137</f>
        <v>1</v>
      </c>
      <c r="AM125" s="403">
        <f>'Portefeuille SP2'!Y137</f>
        <v>1</v>
      </c>
      <c r="AN125" s="403">
        <f>'Portefeuille SP2'!Z137</f>
        <v>1</v>
      </c>
      <c r="AO125" s="403">
        <f>'Portefeuille SP2'!AA137</f>
        <v>1</v>
      </c>
      <c r="AP125" s="403">
        <f>'Portefeuille SP2'!AB137</f>
        <v>1</v>
      </c>
      <c r="AQ125" s="403">
        <f>'Portefeuille SP2'!AC137</f>
        <v>1</v>
      </c>
      <c r="AR125" s="403">
        <f>'Portefeuille SP2'!AD137</f>
        <v>1</v>
      </c>
      <c r="AS125" s="403">
        <f>'Portefeuille SP2'!AE137</f>
        <v>1</v>
      </c>
      <c r="AT125" s="403">
        <f>'Portefeuille SP2'!AF137</f>
        <v>1</v>
      </c>
      <c r="AU125" s="403">
        <f>'Portefeuille SP2'!AG137</f>
        <v>1</v>
      </c>
      <c r="AV125" s="403">
        <f>'Portefeuille SP2'!AH137</f>
        <v>1</v>
      </c>
      <c r="AW125" s="403">
        <f>'Portefeuille SP2'!AI137</f>
        <v>1</v>
      </c>
      <c r="AX125" s="403">
        <f>'Portefeuille SP2'!AJ137</f>
        <v>1</v>
      </c>
      <c r="AY125" s="403">
        <f>'Portefeuille SP2'!AK137</f>
        <v>1</v>
      </c>
      <c r="AZ125" s="403">
        <f>'Portefeuille SP2'!AL137</f>
        <v>1</v>
      </c>
      <c r="BA125" s="403">
        <f>'Portefeuille SP2'!AM137</f>
        <v>1</v>
      </c>
      <c r="BB125" s="403">
        <f>'Portefeuille SP2'!AN137</f>
        <v>1</v>
      </c>
      <c r="BC125" s="403">
        <f>'Portefeuille SP2'!AO137</f>
        <v>1</v>
      </c>
      <c r="BD125" s="403">
        <f>'Portefeuille SP2'!AP137</f>
        <v>1</v>
      </c>
      <c r="BE125" s="403">
        <f>'Portefeuille SP2'!AQ137</f>
        <v>1</v>
      </c>
      <c r="BF125" s="403">
        <f>'Portefeuille SP2'!AR137</f>
        <v>1</v>
      </c>
      <c r="BG125" s="403" t="e">
        <f>'Portefeuille SP2'!#REF!</f>
        <v>#REF!</v>
      </c>
      <c r="BH125" s="403" t="e">
        <f>'Portefeuille SP2'!#REF!</f>
        <v>#REF!</v>
      </c>
      <c r="BI125" s="403" t="e">
        <f>'Portefeuille SP2'!#REF!</f>
        <v>#REF!</v>
      </c>
      <c r="BJ125" s="403" t="e">
        <f>'Portefeuille SP2'!#REF!</f>
        <v>#REF!</v>
      </c>
      <c r="BK125" s="403" t="e">
        <f>'Portefeuille SP2'!#REF!</f>
        <v>#REF!</v>
      </c>
      <c r="BL125" s="388"/>
      <c r="BM125" s="404" t="str">
        <f>'Portefeuille SP2'!L137</f>
        <v>27/06/2024 Estim à -0,3kg (-50%)
25/03/2024 A développer à l'aide des prochains plans faisceaux : X0
13/03/2024b New</v>
      </c>
    </row>
    <row r="126" spans="1:65" ht="15" customHeight="1">
      <c r="A126" s="383">
        <f>'Portefeuille SP2'!B138</f>
        <v>45536</v>
      </c>
      <c r="B126" s="390" t="str">
        <f>'Portefeuille SP2'!Q138</f>
        <v>CANCELED</v>
      </c>
      <c r="C126" s="384"/>
      <c r="D126" s="382" t="str">
        <f>'Portefeuille SP2'!E138</f>
        <v>TH</v>
      </c>
      <c r="E126" s="382" t="str">
        <f t="shared" si="7"/>
        <v>BIW</v>
      </c>
      <c r="F126" s="382" t="str">
        <f t="shared" si="11"/>
        <v xml:space="preserve"> </v>
      </c>
      <c r="G126" s="382" t="str">
        <f>'Portefeuille SP2'!C138</f>
        <v>SP2</v>
      </c>
      <c r="H126" s="382" t="str">
        <f>'Portefeuille SP2'!F138</f>
        <v>HALIM</v>
      </c>
      <c r="I126" s="428" t="s">
        <v>1212</v>
      </c>
      <c r="J126" s="382" t="str">
        <f>'Portefeuille SP2'!D138</f>
        <v xml:space="preserve">BIW </v>
      </c>
      <c r="K126" s="385" t="str">
        <f>'Portefeuille SP2'!H138</f>
        <v>Grab handle</v>
      </c>
      <c r="L126" s="157">
        <f>'Portefeuille SP2'!U138</f>
        <v>-0.15</v>
      </c>
      <c r="M126" s="386"/>
      <c r="N126" s="386"/>
      <c r="O126" s="386"/>
      <c r="P126" s="400">
        <f>'Portefeuille SP2'!M138</f>
        <v>0</v>
      </c>
      <c r="Q126" s="387"/>
      <c r="R126" s="387">
        <f>'Portefeuille SP2'!N138</f>
        <v>-0.28999999999999998</v>
      </c>
      <c r="S126" s="387"/>
      <c r="T126" s="382" t="str">
        <f>'Portefeuille SP2'!R138</f>
        <v>TBD</v>
      </c>
      <c r="U126" s="387" t="str">
        <f>'Portefeuille SP2'!K138</f>
        <v>PM-CM</v>
      </c>
      <c r="V126" s="399">
        <f>'Portefeuille SP2'!S138</f>
        <v>0.25</v>
      </c>
      <c r="W126" s="387"/>
      <c r="X126" s="387"/>
      <c r="Y126" s="387"/>
      <c r="Z126" s="387"/>
      <c r="AA126" s="387"/>
      <c r="AB126" s="387"/>
      <c r="AC126" s="387"/>
      <c r="AD126" s="387"/>
      <c r="AE126" s="408" t="str">
        <f>'Portefeuille SP2'!J138</f>
        <v>LM 10/10/25
support poignée à supprimer si plus de poignée</v>
      </c>
      <c r="AF126" s="387"/>
      <c r="AG126" s="387"/>
      <c r="AH126" s="389"/>
      <c r="AI126" s="389"/>
      <c r="AJ126" s="403">
        <f>'Portefeuille SP2'!V138</f>
        <v>1</v>
      </c>
      <c r="AK126" s="403">
        <f>'Portefeuille SP2'!W138</f>
        <v>1</v>
      </c>
      <c r="AL126" s="403">
        <f>'Portefeuille SP2'!X138</f>
        <v>1</v>
      </c>
      <c r="AM126" s="403">
        <f>'Portefeuille SP2'!Y138</f>
        <v>1</v>
      </c>
      <c r="AN126" s="403">
        <f>'Portefeuille SP2'!Z138</f>
        <v>1</v>
      </c>
      <c r="AO126" s="403">
        <f>'Portefeuille SP2'!AA138</f>
        <v>1</v>
      </c>
      <c r="AP126" s="403">
        <f>'Portefeuille SP2'!AB138</f>
        <v>1</v>
      </c>
      <c r="AQ126" s="403">
        <f>'Portefeuille SP2'!AC138</f>
        <v>1</v>
      </c>
      <c r="AR126" s="403">
        <f>'Portefeuille SP2'!AD138</f>
        <v>1</v>
      </c>
      <c r="AS126" s="403">
        <f>'Portefeuille SP2'!AE138</f>
        <v>1</v>
      </c>
      <c r="AT126" s="403">
        <f>'Portefeuille SP2'!AF138</f>
        <v>1</v>
      </c>
      <c r="AU126" s="403">
        <f>'Portefeuille SP2'!AG138</f>
        <v>1</v>
      </c>
      <c r="AV126" s="403">
        <f>'Portefeuille SP2'!AH138</f>
        <v>1</v>
      </c>
      <c r="AW126" s="403">
        <f>'Portefeuille SP2'!AI138</f>
        <v>1</v>
      </c>
      <c r="AX126" s="403">
        <f>'Portefeuille SP2'!AJ138</f>
        <v>1</v>
      </c>
      <c r="AY126" s="403">
        <f>'Portefeuille SP2'!AK138</f>
        <v>1</v>
      </c>
      <c r="AZ126" s="403">
        <f>'Portefeuille SP2'!AL138</f>
        <v>1</v>
      </c>
      <c r="BA126" s="403">
        <f>'Portefeuille SP2'!AM138</f>
        <v>1</v>
      </c>
      <c r="BB126" s="403">
        <f>'Portefeuille SP2'!AN138</f>
        <v>1</v>
      </c>
      <c r="BC126" s="403">
        <f>'Portefeuille SP2'!AO138</f>
        <v>1</v>
      </c>
      <c r="BD126" s="403">
        <f>'Portefeuille SP2'!AP138</f>
        <v>1</v>
      </c>
      <c r="BE126" s="403">
        <f>'Portefeuille SP2'!AQ138</f>
        <v>1</v>
      </c>
      <c r="BF126" s="403">
        <f>'Portefeuille SP2'!AR138</f>
        <v>1</v>
      </c>
      <c r="BG126" s="403" t="e">
        <f>'Portefeuille SP2'!#REF!</f>
        <v>#REF!</v>
      </c>
      <c r="BH126" s="403" t="e">
        <f>'Portefeuille SP2'!#REF!</f>
        <v>#REF!</v>
      </c>
      <c r="BI126" s="403" t="e">
        <f>'Portefeuille SP2'!#REF!</f>
        <v>#REF!</v>
      </c>
      <c r="BJ126" s="403" t="e">
        <f>'Portefeuille SP2'!#REF!</f>
        <v>#REF!</v>
      </c>
      <c r="BK126" s="403" t="e">
        <f>'Portefeuille SP2'!#REF!</f>
        <v>#REF!</v>
      </c>
      <c r="BL126" s="388"/>
      <c r="BM126" s="404">
        <f>'Portefeuille SP2'!L138</f>
        <v>0</v>
      </c>
    </row>
    <row r="127" spans="1:65" ht="15" customHeight="1">
      <c r="A127" s="383">
        <f>'Portefeuille SP2'!B139</f>
        <v>0</v>
      </c>
      <c r="B127" s="390" t="str">
        <f>'Portefeuille SP2'!Q139</f>
        <v>CANCELED</v>
      </c>
      <c r="C127" s="384"/>
      <c r="D127" s="382" t="str">
        <f>'Portefeuille SP2'!E139</f>
        <v>PTF</v>
      </c>
      <c r="E127" s="382" t="str">
        <f t="shared" si="7"/>
        <v>BIW</v>
      </c>
      <c r="F127" s="382" t="str">
        <f t="shared" si="8"/>
        <v/>
      </c>
      <c r="G127" s="382" t="str">
        <f>'Portefeuille SP2'!C139</f>
        <v>SP1</v>
      </c>
      <c r="H127" s="382">
        <f>'Portefeuille SP2'!F139</f>
        <v>0</v>
      </c>
      <c r="I127" s="382"/>
      <c r="J127" s="382" t="str">
        <f>'Portefeuille SP2'!D139</f>
        <v xml:space="preserve">BIW </v>
      </c>
      <c r="K127" s="385">
        <f>'Portefeuille SP2'!H139</f>
        <v>0</v>
      </c>
      <c r="L127" s="157">
        <f>'Portefeuille SP2'!U139</f>
        <v>0</v>
      </c>
      <c r="M127" s="386"/>
      <c r="N127" s="386"/>
      <c r="O127" s="386"/>
      <c r="P127" s="387">
        <f>'Portefeuille SP2'!M139</f>
        <v>0</v>
      </c>
      <c r="Q127" s="387"/>
      <c r="R127" s="387">
        <f>'Portefeuille SP2'!N139</f>
        <v>0</v>
      </c>
      <c r="S127" s="387"/>
      <c r="T127" s="382">
        <f>'Portefeuille SP2'!R139</f>
        <v>0</v>
      </c>
      <c r="U127" s="387">
        <f>'Portefeuille SP2'!K139</f>
        <v>0</v>
      </c>
      <c r="V127" s="399">
        <f>'Portefeuille SP2'!S139</f>
        <v>0</v>
      </c>
      <c r="W127" s="387"/>
      <c r="X127" s="387"/>
      <c r="Y127" s="387"/>
      <c r="Z127" s="387"/>
      <c r="AA127" s="387"/>
      <c r="AB127" s="387"/>
      <c r="AC127" s="387"/>
      <c r="AD127" s="387"/>
      <c r="AE127" s="400">
        <f>'Portefeuille SP2'!J139</f>
        <v>0</v>
      </c>
      <c r="AF127" s="387"/>
      <c r="AG127" s="387"/>
      <c r="AH127" s="389"/>
      <c r="AI127" s="389"/>
      <c r="AJ127" s="403">
        <f>'Portefeuille SP2'!V139</f>
        <v>0</v>
      </c>
      <c r="AK127" s="403">
        <f>'Portefeuille SP2'!W139</f>
        <v>0</v>
      </c>
      <c r="AL127" s="403">
        <f>'Portefeuille SP2'!X139</f>
        <v>0</v>
      </c>
      <c r="AM127" s="403">
        <f>'Portefeuille SP2'!Y139</f>
        <v>1</v>
      </c>
      <c r="AN127" s="403">
        <f>'Portefeuille SP2'!Z139</f>
        <v>1</v>
      </c>
      <c r="AO127" s="403">
        <f>'Portefeuille SP2'!AA139</f>
        <v>0</v>
      </c>
      <c r="AP127" s="403">
        <f>'Portefeuille SP2'!AB139</f>
        <v>0</v>
      </c>
      <c r="AQ127" s="403">
        <f>'Portefeuille SP2'!AC139</f>
        <v>1</v>
      </c>
      <c r="AR127" s="403">
        <f>'Portefeuille SP2'!AD139</f>
        <v>1</v>
      </c>
      <c r="AS127" s="403">
        <f>'Portefeuille SP2'!AE139</f>
        <v>0</v>
      </c>
      <c r="AT127" s="403">
        <f>'Portefeuille SP2'!AF139</f>
        <v>0</v>
      </c>
      <c r="AU127" s="403">
        <f>'Portefeuille SP2'!AG139</f>
        <v>0</v>
      </c>
      <c r="AV127" s="403">
        <f>'Portefeuille SP2'!AH139</f>
        <v>1</v>
      </c>
      <c r="AW127" s="403">
        <f>'Portefeuille SP2'!AI139</f>
        <v>1</v>
      </c>
      <c r="AX127" s="403">
        <f>'Portefeuille SP2'!AJ139</f>
        <v>0</v>
      </c>
      <c r="AY127" s="403">
        <f>'Portefeuille SP2'!AK139</f>
        <v>0</v>
      </c>
      <c r="AZ127" s="403">
        <f>'Portefeuille SP2'!AL139</f>
        <v>1</v>
      </c>
      <c r="BA127" s="403">
        <f>'Portefeuille SP2'!AM139</f>
        <v>1</v>
      </c>
      <c r="BB127" s="403">
        <f>'Portefeuille SP2'!AN139</f>
        <v>0</v>
      </c>
      <c r="BC127" s="403">
        <f>'Portefeuille SP2'!AO139</f>
        <v>0</v>
      </c>
      <c r="BD127" s="403">
        <f>'Portefeuille SP2'!AP139</f>
        <v>0</v>
      </c>
      <c r="BE127" s="403">
        <f>'Portefeuille SP2'!AQ139</f>
        <v>1</v>
      </c>
      <c r="BF127" s="403">
        <f>'Portefeuille SP2'!AR139</f>
        <v>1</v>
      </c>
      <c r="BG127" s="403" t="e">
        <f>'Portefeuille SP2'!#REF!</f>
        <v>#REF!</v>
      </c>
      <c r="BH127" s="403" t="e">
        <f>'Portefeuille SP2'!#REF!</f>
        <v>#REF!</v>
      </c>
      <c r="BI127" s="403" t="e">
        <f>'Portefeuille SP2'!#REF!</f>
        <v>#REF!</v>
      </c>
      <c r="BJ127" s="403" t="e">
        <f>'Portefeuille SP2'!#REF!</f>
        <v>#REF!</v>
      </c>
      <c r="BK127" s="403" t="e">
        <f>'Portefeuille SP2'!#REF!</f>
        <v>#REF!</v>
      </c>
      <c r="BL127" s="388"/>
      <c r="BM127" s="404" t="str">
        <f>'Portefeuille SP2'!L139</f>
        <v>29/04/2024 : opti design sans derive masse</v>
      </c>
    </row>
    <row r="128" spans="1:65" ht="15" customHeight="1">
      <c r="A128" s="383">
        <f>'Portefeuille SP2'!B140</f>
        <v>0</v>
      </c>
      <c r="B128" s="390" t="str">
        <f>'Portefeuille SP2'!Q140</f>
        <v>CANCELED</v>
      </c>
      <c r="C128" s="384"/>
      <c r="D128" s="382" t="str">
        <f>'Portefeuille SP2'!E140</f>
        <v>PTF</v>
      </c>
      <c r="E128" s="382" t="str">
        <f t="shared" si="7"/>
        <v>BIW</v>
      </c>
      <c r="F128" s="382" t="str">
        <f t="shared" si="8"/>
        <v/>
      </c>
      <c r="G128" s="382" t="str">
        <f>'Portefeuille SP2'!C140</f>
        <v>SP1</v>
      </c>
      <c r="H128" s="382">
        <f>'Portefeuille SP2'!F140</f>
        <v>0</v>
      </c>
      <c r="I128" s="382"/>
      <c r="J128" s="382" t="str">
        <f>'Portefeuille SP2'!D140</f>
        <v xml:space="preserve">BIW </v>
      </c>
      <c r="K128" s="385">
        <f>'Portefeuille SP2'!H140</f>
        <v>0</v>
      </c>
      <c r="L128" s="157">
        <f>'Portefeuille SP2'!U140</f>
        <v>0</v>
      </c>
      <c r="M128" s="386"/>
      <c r="N128" s="386"/>
      <c r="O128" s="386"/>
      <c r="P128" s="387">
        <f>'Portefeuille SP2'!M140</f>
        <v>0</v>
      </c>
      <c r="Q128" s="387"/>
      <c r="R128" s="387" t="str">
        <f>'Portefeuille SP2'!N140</f>
        <v/>
      </c>
      <c r="S128" s="387"/>
      <c r="T128" s="382">
        <f>'Portefeuille SP2'!R140</f>
        <v>0</v>
      </c>
      <c r="U128" s="387">
        <f>'Portefeuille SP2'!K140</f>
        <v>0</v>
      </c>
      <c r="V128" s="399">
        <f>'Portefeuille SP2'!S140</f>
        <v>0</v>
      </c>
      <c r="W128" s="387"/>
      <c r="X128" s="387"/>
      <c r="Y128" s="387"/>
      <c r="Z128" s="387"/>
      <c r="AA128" s="387"/>
      <c r="AB128" s="387"/>
      <c r="AC128" s="387"/>
      <c r="AD128" s="387"/>
      <c r="AE128" s="400">
        <f>'Portefeuille SP2'!J140</f>
        <v>0</v>
      </c>
      <c r="AF128" s="387"/>
      <c r="AG128" s="387"/>
      <c r="AH128" s="389"/>
      <c r="AI128" s="389"/>
      <c r="AJ128" s="403">
        <f>'Portefeuille SP2'!V140</f>
        <v>0</v>
      </c>
      <c r="AK128" s="403">
        <f>'Portefeuille SP2'!W140</f>
        <v>0</v>
      </c>
      <c r="AL128" s="403">
        <f>'Portefeuille SP2'!X140</f>
        <v>0</v>
      </c>
      <c r="AM128" s="403">
        <f>'Portefeuille SP2'!Y140</f>
        <v>1</v>
      </c>
      <c r="AN128" s="403">
        <f>'Portefeuille SP2'!Z140</f>
        <v>1</v>
      </c>
      <c r="AO128" s="403">
        <f>'Portefeuille SP2'!AA140</f>
        <v>0</v>
      </c>
      <c r="AP128" s="403">
        <f>'Portefeuille SP2'!AB140</f>
        <v>0</v>
      </c>
      <c r="AQ128" s="403">
        <f>'Portefeuille SP2'!AC140</f>
        <v>1</v>
      </c>
      <c r="AR128" s="403">
        <f>'Portefeuille SP2'!AD140</f>
        <v>1</v>
      </c>
      <c r="AS128" s="403">
        <f>'Portefeuille SP2'!AE140</f>
        <v>0</v>
      </c>
      <c r="AT128" s="403">
        <f>'Portefeuille SP2'!AF140</f>
        <v>0</v>
      </c>
      <c r="AU128" s="403">
        <f>'Portefeuille SP2'!AG140</f>
        <v>0</v>
      </c>
      <c r="AV128" s="403">
        <f>'Portefeuille SP2'!AH140</f>
        <v>1</v>
      </c>
      <c r="AW128" s="403">
        <f>'Portefeuille SP2'!AI140</f>
        <v>1</v>
      </c>
      <c r="AX128" s="403">
        <f>'Portefeuille SP2'!AJ140</f>
        <v>0</v>
      </c>
      <c r="AY128" s="403">
        <f>'Portefeuille SP2'!AK140</f>
        <v>0</v>
      </c>
      <c r="AZ128" s="403">
        <f>'Portefeuille SP2'!AL140</f>
        <v>1</v>
      </c>
      <c r="BA128" s="403">
        <f>'Portefeuille SP2'!AM140</f>
        <v>1</v>
      </c>
      <c r="BB128" s="403">
        <f>'Portefeuille SP2'!AN140</f>
        <v>0</v>
      </c>
      <c r="BC128" s="403">
        <f>'Portefeuille SP2'!AO140</f>
        <v>0</v>
      </c>
      <c r="BD128" s="403">
        <f>'Portefeuille SP2'!AP140</f>
        <v>0</v>
      </c>
      <c r="BE128" s="403">
        <f>'Portefeuille SP2'!AQ140</f>
        <v>1</v>
      </c>
      <c r="BF128" s="403">
        <f>'Portefeuille SP2'!AR140</f>
        <v>1</v>
      </c>
      <c r="BG128" s="403" t="e">
        <f>'Portefeuille SP2'!#REF!</f>
        <v>#REF!</v>
      </c>
      <c r="BH128" s="403" t="e">
        <f>'Portefeuille SP2'!#REF!</f>
        <v>#REF!</v>
      </c>
      <c r="BI128" s="403" t="e">
        <f>'Portefeuille SP2'!#REF!</f>
        <v>#REF!</v>
      </c>
      <c r="BJ128" s="403" t="e">
        <f>'Portefeuille SP2'!#REF!</f>
        <v>#REF!</v>
      </c>
      <c r="BK128" s="403" t="e">
        <f>'Portefeuille SP2'!#REF!</f>
        <v>#REF!</v>
      </c>
      <c r="BL128" s="388"/>
      <c r="BM128" s="404" t="str">
        <f>'Portefeuille SP2'!L140</f>
        <v>29/04/2024 : pas applicable sur STLA-S</v>
      </c>
    </row>
    <row r="129" spans="1:65" ht="15" customHeight="1">
      <c r="A129" s="383">
        <f>'Portefeuille SP2'!B141</f>
        <v>0</v>
      </c>
      <c r="B129" s="390" t="str">
        <f>'Portefeuille SP2'!Q141</f>
        <v>DECIDED</v>
      </c>
      <c r="C129" s="384"/>
      <c r="D129" s="382" t="str">
        <f>'Portefeuille SP2'!E141</f>
        <v>PTF</v>
      </c>
      <c r="E129" s="382" t="str">
        <f t="shared" si="7"/>
        <v>BIW</v>
      </c>
      <c r="F129" s="382" t="str">
        <f t="shared" si="8"/>
        <v/>
      </c>
      <c r="G129" s="382" t="str">
        <f>'Portefeuille SP2'!C141</f>
        <v>SP1</v>
      </c>
      <c r="H129" s="382">
        <f>'Portefeuille SP2'!F141</f>
        <v>0</v>
      </c>
      <c r="I129" s="382"/>
      <c r="J129" s="382" t="str">
        <f>'Portefeuille SP2'!D141</f>
        <v xml:space="preserve">BIW </v>
      </c>
      <c r="K129" s="385">
        <f>'Portefeuille SP2'!H141</f>
        <v>0</v>
      </c>
      <c r="L129" s="157">
        <f>'Portefeuille SP2'!U141</f>
        <v>-0.15000000000000002</v>
      </c>
      <c r="M129" s="386"/>
      <c r="N129" s="386"/>
      <c r="O129" s="386"/>
      <c r="P129" s="387">
        <f>'Portefeuille SP2'!M141</f>
        <v>0</v>
      </c>
      <c r="Q129" s="387"/>
      <c r="R129" s="387" t="str">
        <f>'Portefeuille SP2'!N141</f>
        <v/>
      </c>
      <c r="S129" s="387"/>
      <c r="T129" s="382" t="str">
        <f>'Portefeuille SP2'!R141</f>
        <v>TBD</v>
      </c>
      <c r="U129" s="387">
        <f>'Portefeuille SP2'!K141</f>
        <v>0</v>
      </c>
      <c r="V129" s="399">
        <f>'Portefeuille SP2'!S141</f>
        <v>0.75</v>
      </c>
      <c r="W129" s="387"/>
      <c r="X129" s="387"/>
      <c r="Y129" s="387"/>
      <c r="Z129" s="387"/>
      <c r="AA129" s="387"/>
      <c r="AB129" s="387"/>
      <c r="AC129" s="387"/>
      <c r="AD129" s="387"/>
      <c r="AE129" s="400">
        <f>'Portefeuille SP2'!J141</f>
        <v>0</v>
      </c>
      <c r="AF129" s="387"/>
      <c r="AG129" s="387"/>
      <c r="AH129" s="389"/>
      <c r="AI129" s="389"/>
      <c r="AJ129" s="403">
        <f>'Portefeuille SP2'!V141</f>
        <v>0</v>
      </c>
      <c r="AK129" s="403">
        <f>'Portefeuille SP2'!W141</f>
        <v>0</v>
      </c>
      <c r="AL129" s="403">
        <f>'Portefeuille SP2'!X141</f>
        <v>0</v>
      </c>
      <c r="AM129" s="403">
        <f>'Portefeuille SP2'!Y141</f>
        <v>1</v>
      </c>
      <c r="AN129" s="403">
        <f>'Portefeuille SP2'!Z141</f>
        <v>1</v>
      </c>
      <c r="AO129" s="403">
        <f>'Portefeuille SP2'!AA141</f>
        <v>0</v>
      </c>
      <c r="AP129" s="403">
        <f>'Portefeuille SP2'!AB141</f>
        <v>0</v>
      </c>
      <c r="AQ129" s="403">
        <f>'Portefeuille SP2'!AC141</f>
        <v>1</v>
      </c>
      <c r="AR129" s="403">
        <f>'Portefeuille SP2'!AD141</f>
        <v>1</v>
      </c>
      <c r="AS129" s="403">
        <f>'Portefeuille SP2'!AE141</f>
        <v>0</v>
      </c>
      <c r="AT129" s="403">
        <f>'Portefeuille SP2'!AF141</f>
        <v>0</v>
      </c>
      <c r="AU129" s="403">
        <f>'Portefeuille SP2'!AG141</f>
        <v>0</v>
      </c>
      <c r="AV129" s="403">
        <f>'Portefeuille SP2'!AH141</f>
        <v>1</v>
      </c>
      <c r="AW129" s="403">
        <f>'Portefeuille SP2'!AI141</f>
        <v>1</v>
      </c>
      <c r="AX129" s="403">
        <f>'Portefeuille SP2'!AJ141</f>
        <v>0</v>
      </c>
      <c r="AY129" s="403">
        <f>'Portefeuille SP2'!AK141</f>
        <v>0</v>
      </c>
      <c r="AZ129" s="403">
        <f>'Portefeuille SP2'!AL141</f>
        <v>1</v>
      </c>
      <c r="BA129" s="403">
        <f>'Portefeuille SP2'!AM141</f>
        <v>1</v>
      </c>
      <c r="BB129" s="403">
        <f>'Portefeuille SP2'!AN141</f>
        <v>0</v>
      </c>
      <c r="BC129" s="403">
        <f>'Portefeuille SP2'!AO141</f>
        <v>0</v>
      </c>
      <c r="BD129" s="403">
        <f>'Portefeuille SP2'!AP141</f>
        <v>0</v>
      </c>
      <c r="BE129" s="403">
        <f>'Portefeuille SP2'!AQ141</f>
        <v>1</v>
      </c>
      <c r="BF129" s="403">
        <f>'Portefeuille SP2'!AR141</f>
        <v>1</v>
      </c>
      <c r="BG129" s="403" t="e">
        <f>'Portefeuille SP2'!#REF!</f>
        <v>#REF!</v>
      </c>
      <c r="BH129" s="403" t="e">
        <f>'Portefeuille SP2'!#REF!</f>
        <v>#REF!</v>
      </c>
      <c r="BI129" s="403" t="e">
        <f>'Portefeuille SP2'!#REF!</f>
        <v>#REF!</v>
      </c>
      <c r="BJ129" s="403" t="e">
        <f>'Portefeuille SP2'!#REF!</f>
        <v>#REF!</v>
      </c>
      <c r="BK129" s="403" t="e">
        <f>'Portefeuille SP2'!#REF!</f>
        <v>#REF!</v>
      </c>
      <c r="BL129" s="388"/>
      <c r="BM129" s="404" t="str">
        <f>'Portefeuille SP2'!L141</f>
        <v>26/03/2024 : QCDP déjà fait, à revoir. Besoin de faire une pièce silhouette pour l'étanchéité.</v>
      </c>
    </row>
    <row r="130" spans="1:65" ht="15" customHeight="1">
      <c r="A130" s="383">
        <f>'Portefeuille SP2'!B142</f>
        <v>0</v>
      </c>
      <c r="B130" s="390" t="str">
        <f>'Portefeuille SP2'!Q142</f>
        <v>CANCELED</v>
      </c>
      <c r="C130" s="384"/>
      <c r="D130" s="382" t="str">
        <f>'Portefeuille SP2'!E142</f>
        <v>PTF</v>
      </c>
      <c r="E130" s="382" t="str">
        <f t="shared" si="7"/>
        <v>BIW</v>
      </c>
      <c r="F130" s="382" t="str">
        <f t="shared" si="8"/>
        <v/>
      </c>
      <c r="G130" s="382" t="str">
        <f>'Portefeuille SP2'!C142</f>
        <v>SP1</v>
      </c>
      <c r="H130" s="382">
        <f>'Portefeuille SP2'!F142</f>
        <v>0</v>
      </c>
      <c r="I130" s="382"/>
      <c r="J130" s="382" t="str">
        <f>'Portefeuille SP2'!D142</f>
        <v xml:space="preserve">BIW </v>
      </c>
      <c r="K130" s="385">
        <f>'Portefeuille SP2'!H142</f>
        <v>0</v>
      </c>
      <c r="L130" s="157">
        <f>'Portefeuille SP2'!U142</f>
        <v>0</v>
      </c>
      <c r="M130" s="386"/>
      <c r="N130" s="386"/>
      <c r="O130" s="386"/>
      <c r="P130" s="387">
        <f>'Portefeuille SP2'!M142</f>
        <v>0</v>
      </c>
      <c r="Q130" s="387"/>
      <c r="R130" s="387" t="str">
        <f>'Portefeuille SP2'!N142</f>
        <v>Cout plus elevé, mais reduit par la reduction de matiere</v>
      </c>
      <c r="S130" s="387"/>
      <c r="T130" s="382">
        <f>'Portefeuille SP2'!R142</f>
        <v>0</v>
      </c>
      <c r="U130" s="387">
        <f>'Portefeuille SP2'!K142</f>
        <v>0</v>
      </c>
      <c r="V130" s="399">
        <f>'Portefeuille SP2'!S142</f>
        <v>0</v>
      </c>
      <c r="W130" s="387"/>
      <c r="X130" s="387"/>
      <c r="Y130" s="387"/>
      <c r="Z130" s="387"/>
      <c r="AA130" s="387"/>
      <c r="AB130" s="387"/>
      <c r="AC130" s="387"/>
      <c r="AD130" s="387"/>
      <c r="AE130" s="400">
        <f>'Portefeuille SP2'!J142</f>
        <v>0</v>
      </c>
      <c r="AF130" s="387"/>
      <c r="AG130" s="387"/>
      <c r="AH130" s="389"/>
      <c r="AI130" s="389"/>
      <c r="AJ130" s="403">
        <f>'Portefeuille SP2'!V142</f>
        <v>0</v>
      </c>
      <c r="AK130" s="403">
        <f>'Portefeuille SP2'!W142</f>
        <v>0</v>
      </c>
      <c r="AL130" s="403">
        <f>'Portefeuille SP2'!X142</f>
        <v>0</v>
      </c>
      <c r="AM130" s="403">
        <f>'Portefeuille SP2'!Y142</f>
        <v>1</v>
      </c>
      <c r="AN130" s="403">
        <f>'Portefeuille SP2'!Z142</f>
        <v>1</v>
      </c>
      <c r="AO130" s="403">
        <f>'Portefeuille SP2'!AA142</f>
        <v>0</v>
      </c>
      <c r="AP130" s="403">
        <f>'Portefeuille SP2'!AB142</f>
        <v>0</v>
      </c>
      <c r="AQ130" s="403">
        <f>'Portefeuille SP2'!AC142</f>
        <v>1</v>
      </c>
      <c r="AR130" s="403">
        <f>'Portefeuille SP2'!AD142</f>
        <v>1</v>
      </c>
      <c r="AS130" s="403">
        <f>'Portefeuille SP2'!AE142</f>
        <v>0</v>
      </c>
      <c r="AT130" s="403">
        <f>'Portefeuille SP2'!AF142</f>
        <v>0</v>
      </c>
      <c r="AU130" s="403">
        <f>'Portefeuille SP2'!AG142</f>
        <v>0</v>
      </c>
      <c r="AV130" s="403">
        <f>'Portefeuille SP2'!AH142</f>
        <v>1</v>
      </c>
      <c r="AW130" s="403">
        <f>'Portefeuille SP2'!AI142</f>
        <v>1</v>
      </c>
      <c r="AX130" s="403">
        <f>'Portefeuille SP2'!AJ142</f>
        <v>0</v>
      </c>
      <c r="AY130" s="403">
        <f>'Portefeuille SP2'!AK142</f>
        <v>0</v>
      </c>
      <c r="AZ130" s="403">
        <f>'Portefeuille SP2'!AL142</f>
        <v>1</v>
      </c>
      <c r="BA130" s="403">
        <f>'Portefeuille SP2'!AM142</f>
        <v>1</v>
      </c>
      <c r="BB130" s="403">
        <f>'Portefeuille SP2'!AN142</f>
        <v>0</v>
      </c>
      <c r="BC130" s="403">
        <f>'Portefeuille SP2'!AO142</f>
        <v>0</v>
      </c>
      <c r="BD130" s="403">
        <f>'Portefeuille SP2'!AP142</f>
        <v>0</v>
      </c>
      <c r="BE130" s="403">
        <f>'Portefeuille SP2'!AQ142</f>
        <v>1</v>
      </c>
      <c r="BF130" s="403">
        <f>'Portefeuille SP2'!AR142</f>
        <v>1</v>
      </c>
      <c r="BG130" s="403" t="e">
        <f>'Portefeuille SP2'!#REF!</f>
        <v>#REF!</v>
      </c>
      <c r="BH130" s="403" t="e">
        <f>'Portefeuille SP2'!#REF!</f>
        <v>#REF!</v>
      </c>
      <c r="BI130" s="403" t="e">
        <f>'Portefeuille SP2'!#REF!</f>
        <v>#REF!</v>
      </c>
      <c r="BJ130" s="403" t="e">
        <f>'Portefeuille SP2'!#REF!</f>
        <v>#REF!</v>
      </c>
      <c r="BK130" s="403" t="e">
        <f>'Portefeuille SP2'!#REF!</f>
        <v>#REF!</v>
      </c>
      <c r="BL130" s="388"/>
      <c r="BM130" s="404" t="str">
        <f>'Portefeuille SP2'!L142</f>
        <v>26/03/2024 : possibilité d'appliquer un process permettant de diminuer les ep. Panier de pièce à fournir à Arcelor. A integrer dans OPTIMASS</v>
      </c>
    </row>
    <row r="131" spans="1:65" ht="15" customHeight="1">
      <c r="A131" s="383">
        <f>'Portefeuille SP2'!B143</f>
        <v>0</v>
      </c>
      <c r="B131" s="390" t="str">
        <f>'Portefeuille SP2'!Q143</f>
        <v>CANCELED</v>
      </c>
      <c r="C131" s="384"/>
      <c r="D131" s="382" t="str">
        <f>'Portefeuille SP2'!E143</f>
        <v>PTF</v>
      </c>
      <c r="E131" s="382" t="str">
        <f t="shared" si="7"/>
        <v>BIW</v>
      </c>
      <c r="F131" s="382" t="str">
        <f t="shared" si="8"/>
        <v/>
      </c>
      <c r="G131" s="382" t="str">
        <f>'Portefeuille SP2'!C143</f>
        <v>SP1</v>
      </c>
      <c r="H131" s="382">
        <f>'Portefeuille SP2'!F143</f>
        <v>0</v>
      </c>
      <c r="I131" s="382"/>
      <c r="J131" s="382" t="str">
        <f>'Portefeuille SP2'!D143</f>
        <v xml:space="preserve">BIW </v>
      </c>
      <c r="K131" s="385">
        <f>'Portefeuille SP2'!H143</f>
        <v>0</v>
      </c>
      <c r="L131" s="157">
        <f>'Portefeuille SP2'!U143</f>
        <v>0</v>
      </c>
      <c r="M131" s="386"/>
      <c r="N131" s="386"/>
      <c r="O131" s="386"/>
      <c r="P131" s="387">
        <f>'Portefeuille SP2'!M143</f>
        <v>0</v>
      </c>
      <c r="Q131" s="387"/>
      <c r="R131" s="387" t="str">
        <f>'Portefeuille SP2'!N143</f>
        <v/>
      </c>
      <c r="S131" s="387"/>
      <c r="T131" s="382">
        <f>'Portefeuille SP2'!R143</f>
        <v>0</v>
      </c>
      <c r="U131" s="387">
        <f>'Portefeuille SP2'!K143</f>
        <v>0</v>
      </c>
      <c r="V131" s="399">
        <f>'Portefeuille SP2'!S143</f>
        <v>0</v>
      </c>
      <c r="W131" s="387"/>
      <c r="X131" s="387"/>
      <c r="Y131" s="387"/>
      <c r="Z131" s="387"/>
      <c r="AA131" s="387"/>
      <c r="AB131" s="387"/>
      <c r="AC131" s="387"/>
      <c r="AD131" s="387"/>
      <c r="AE131" s="400">
        <f>'Portefeuille SP2'!J143</f>
        <v>0</v>
      </c>
      <c r="AF131" s="387"/>
      <c r="AG131" s="387"/>
      <c r="AH131" s="389"/>
      <c r="AI131" s="389"/>
      <c r="AJ131" s="403">
        <f>'Portefeuille SP2'!V143</f>
        <v>0</v>
      </c>
      <c r="AK131" s="403">
        <f>'Portefeuille SP2'!W143</f>
        <v>0</v>
      </c>
      <c r="AL131" s="403">
        <f>'Portefeuille SP2'!X143</f>
        <v>0</v>
      </c>
      <c r="AM131" s="403">
        <f>'Portefeuille SP2'!Y143</f>
        <v>1</v>
      </c>
      <c r="AN131" s="403">
        <f>'Portefeuille SP2'!Z143</f>
        <v>1</v>
      </c>
      <c r="AO131" s="403">
        <f>'Portefeuille SP2'!AA143</f>
        <v>0</v>
      </c>
      <c r="AP131" s="403">
        <f>'Portefeuille SP2'!AB143</f>
        <v>0</v>
      </c>
      <c r="AQ131" s="403">
        <f>'Portefeuille SP2'!AC143</f>
        <v>1</v>
      </c>
      <c r="AR131" s="403">
        <f>'Portefeuille SP2'!AD143</f>
        <v>1</v>
      </c>
      <c r="AS131" s="403">
        <f>'Portefeuille SP2'!AE143</f>
        <v>0</v>
      </c>
      <c r="AT131" s="403">
        <f>'Portefeuille SP2'!AF143</f>
        <v>0</v>
      </c>
      <c r="AU131" s="403">
        <f>'Portefeuille SP2'!AG143</f>
        <v>0</v>
      </c>
      <c r="AV131" s="403">
        <f>'Portefeuille SP2'!AH143</f>
        <v>1</v>
      </c>
      <c r="AW131" s="403">
        <f>'Portefeuille SP2'!AI143</f>
        <v>1</v>
      </c>
      <c r="AX131" s="403">
        <f>'Portefeuille SP2'!AJ143</f>
        <v>0</v>
      </c>
      <c r="AY131" s="403">
        <f>'Portefeuille SP2'!AK143</f>
        <v>0</v>
      </c>
      <c r="AZ131" s="403">
        <f>'Portefeuille SP2'!AL143</f>
        <v>1</v>
      </c>
      <c r="BA131" s="403">
        <f>'Portefeuille SP2'!AM143</f>
        <v>1</v>
      </c>
      <c r="BB131" s="403">
        <f>'Portefeuille SP2'!AN143</f>
        <v>0</v>
      </c>
      <c r="BC131" s="403">
        <f>'Portefeuille SP2'!AO143</f>
        <v>0</v>
      </c>
      <c r="BD131" s="403">
        <f>'Portefeuille SP2'!AP143</f>
        <v>0</v>
      </c>
      <c r="BE131" s="403">
        <f>'Portefeuille SP2'!AQ143</f>
        <v>1</v>
      </c>
      <c r="BF131" s="403">
        <f>'Portefeuille SP2'!AR143</f>
        <v>1</v>
      </c>
      <c r="BG131" s="403" t="e">
        <f>'Portefeuille SP2'!#REF!</f>
        <v>#REF!</v>
      </c>
      <c r="BH131" s="403" t="e">
        <f>'Portefeuille SP2'!#REF!</f>
        <v>#REF!</v>
      </c>
      <c r="BI131" s="403" t="e">
        <f>'Portefeuille SP2'!#REF!</f>
        <v>#REF!</v>
      </c>
      <c r="BJ131" s="403" t="e">
        <f>'Portefeuille SP2'!#REF!</f>
        <v>#REF!</v>
      </c>
      <c r="BK131" s="403" t="e">
        <f>'Portefeuille SP2'!#REF!</f>
        <v>#REF!</v>
      </c>
      <c r="BL131" s="388"/>
      <c r="BM131" s="404" t="str">
        <f>'Portefeuille SP2'!L143</f>
        <v>26/03/2024 : Optimass</v>
      </c>
    </row>
    <row r="132" spans="1:65" ht="15" customHeight="1">
      <c r="A132" s="383">
        <f>'Portefeuille SP2'!B144</f>
        <v>0</v>
      </c>
      <c r="B132" s="390" t="str">
        <f>'Portefeuille SP2'!Q144</f>
        <v>CANCELED</v>
      </c>
      <c r="C132" s="384"/>
      <c r="D132" s="382" t="str">
        <f>'Portefeuille SP2'!E144</f>
        <v>PTF</v>
      </c>
      <c r="E132" s="382" t="str">
        <f t="shared" si="7"/>
        <v>BIW</v>
      </c>
      <c r="F132" s="382" t="str">
        <f t="shared" si="8"/>
        <v/>
      </c>
      <c r="G132" s="382" t="str">
        <f>'Portefeuille SP2'!C144</f>
        <v>SP1</v>
      </c>
      <c r="H132" s="382">
        <f>'Portefeuille SP2'!F144</f>
        <v>0</v>
      </c>
      <c r="I132" s="382"/>
      <c r="J132" s="382" t="str">
        <f>'Portefeuille SP2'!D144</f>
        <v xml:space="preserve">BIW </v>
      </c>
      <c r="K132" s="385">
        <f>'Portefeuille SP2'!H144</f>
        <v>0</v>
      </c>
      <c r="L132" s="157">
        <f>'Portefeuille SP2'!U144</f>
        <v>0</v>
      </c>
      <c r="M132" s="386"/>
      <c r="N132" s="386"/>
      <c r="O132" s="386"/>
      <c r="P132" s="387">
        <f>'Portefeuille SP2'!M144</f>
        <v>0</v>
      </c>
      <c r="Q132" s="387"/>
      <c r="R132" s="387" t="str">
        <f>'Portefeuille SP2'!N144</f>
        <v>A priori transparent vs TPC car peu de marge.</v>
      </c>
      <c r="S132" s="387"/>
      <c r="T132" s="382">
        <f>'Portefeuille SP2'!R144</f>
        <v>0</v>
      </c>
      <c r="U132" s="387">
        <f>'Portefeuille SP2'!K144</f>
        <v>0</v>
      </c>
      <c r="V132" s="399">
        <f>'Portefeuille SP2'!S144</f>
        <v>0</v>
      </c>
      <c r="W132" s="387"/>
      <c r="X132" s="387"/>
      <c r="Y132" s="387"/>
      <c r="Z132" s="387"/>
      <c r="AA132" s="387"/>
      <c r="AB132" s="387"/>
      <c r="AC132" s="387"/>
      <c r="AD132" s="387"/>
      <c r="AE132" s="400">
        <f>'Portefeuille SP2'!J144</f>
        <v>0</v>
      </c>
      <c r="AF132" s="387"/>
      <c r="AG132" s="387"/>
      <c r="AH132" s="389"/>
      <c r="AI132" s="389"/>
      <c r="AJ132" s="403">
        <f>'Portefeuille SP2'!V144</f>
        <v>0</v>
      </c>
      <c r="AK132" s="403">
        <f>'Portefeuille SP2'!W144</f>
        <v>0</v>
      </c>
      <c r="AL132" s="403">
        <f>'Portefeuille SP2'!X144</f>
        <v>0</v>
      </c>
      <c r="AM132" s="403">
        <f>'Portefeuille SP2'!Y144</f>
        <v>1</v>
      </c>
      <c r="AN132" s="403">
        <f>'Portefeuille SP2'!Z144</f>
        <v>1</v>
      </c>
      <c r="AO132" s="403">
        <f>'Portefeuille SP2'!AA144</f>
        <v>0</v>
      </c>
      <c r="AP132" s="403">
        <f>'Portefeuille SP2'!AB144</f>
        <v>0</v>
      </c>
      <c r="AQ132" s="403">
        <f>'Portefeuille SP2'!AC144</f>
        <v>1</v>
      </c>
      <c r="AR132" s="403">
        <f>'Portefeuille SP2'!AD144</f>
        <v>1</v>
      </c>
      <c r="AS132" s="403">
        <f>'Portefeuille SP2'!AE144</f>
        <v>0</v>
      </c>
      <c r="AT132" s="403">
        <f>'Portefeuille SP2'!AF144</f>
        <v>0</v>
      </c>
      <c r="AU132" s="403">
        <f>'Portefeuille SP2'!AG144</f>
        <v>0</v>
      </c>
      <c r="AV132" s="403">
        <f>'Portefeuille SP2'!AH144</f>
        <v>1</v>
      </c>
      <c r="AW132" s="403">
        <f>'Portefeuille SP2'!AI144</f>
        <v>1</v>
      </c>
      <c r="AX132" s="403">
        <f>'Portefeuille SP2'!AJ144</f>
        <v>0</v>
      </c>
      <c r="AY132" s="403">
        <f>'Portefeuille SP2'!AK144</f>
        <v>0</v>
      </c>
      <c r="AZ132" s="403">
        <f>'Portefeuille SP2'!AL144</f>
        <v>1</v>
      </c>
      <c r="BA132" s="403">
        <f>'Portefeuille SP2'!AM144</f>
        <v>1</v>
      </c>
      <c r="BB132" s="403">
        <f>'Portefeuille SP2'!AN144</f>
        <v>0</v>
      </c>
      <c r="BC132" s="403">
        <f>'Portefeuille SP2'!AO144</f>
        <v>0</v>
      </c>
      <c r="BD132" s="403">
        <f>'Portefeuille SP2'!AP144</f>
        <v>0</v>
      </c>
      <c r="BE132" s="403">
        <f>'Portefeuille SP2'!AQ144</f>
        <v>1</v>
      </c>
      <c r="BF132" s="403">
        <f>'Portefeuille SP2'!AR144</f>
        <v>1</v>
      </c>
      <c r="BG132" s="403" t="e">
        <f>'Portefeuille SP2'!#REF!</f>
        <v>#REF!</v>
      </c>
      <c r="BH132" s="403" t="e">
        <f>'Portefeuille SP2'!#REF!</f>
        <v>#REF!</v>
      </c>
      <c r="BI132" s="403" t="e">
        <f>'Portefeuille SP2'!#REF!</f>
        <v>#REF!</v>
      </c>
      <c r="BJ132" s="403" t="e">
        <f>'Portefeuille SP2'!#REF!</f>
        <v>#REF!</v>
      </c>
      <c r="BK132" s="403" t="e">
        <f>'Portefeuille SP2'!#REF!</f>
        <v>#REF!</v>
      </c>
      <c r="BL132" s="388"/>
      <c r="BM132" s="404" t="str">
        <f>'Portefeuille SP2'!L144</f>
        <v>26/03/2024 : Optimass</v>
      </c>
    </row>
    <row r="133" spans="1:65" ht="15" customHeight="1">
      <c r="A133" s="383" t="str">
        <f>'Portefeuille SP2'!B145</f>
        <v>11/06/2025</v>
      </c>
      <c r="B133" s="390" t="str">
        <f>'Portefeuille SP2'!Q145</f>
        <v>CANCELED</v>
      </c>
      <c r="C133" s="384"/>
      <c r="D133" s="382" t="str">
        <f>'Portefeuille SP2'!E145</f>
        <v>TH</v>
      </c>
      <c r="E133" s="382" t="str">
        <f t="shared" si="7"/>
        <v>INT</v>
      </c>
      <c r="F133" s="382" t="str">
        <f>MID(J133, 4, 20)</f>
        <v xml:space="preserve"> - SEATS/TRIMS</v>
      </c>
      <c r="G133" s="382" t="str">
        <f>'Portefeuille SP2'!C145</f>
        <v>SPC_1</v>
      </c>
      <c r="H133" s="382" t="str">
        <f>'Portefeuille SP2'!F145</f>
        <v>HALIM</v>
      </c>
      <c r="I133" s="428" t="s">
        <v>1212</v>
      </c>
      <c r="J133" s="382" t="str">
        <f>'Portefeuille SP2'!D145</f>
        <v>INT - SEATS/TRIMS</v>
      </c>
      <c r="K133" s="385" t="str">
        <f>'Portefeuille SP2'!H145</f>
        <v>optim design</v>
      </c>
      <c r="L133" s="157">
        <f>'Portefeuille SP2'!U145</f>
        <v>-0.2</v>
      </c>
      <c r="M133" s="386"/>
      <c r="N133" s="386"/>
      <c r="O133" s="386"/>
      <c r="P133" s="400">
        <f>'Portefeuille SP2'!M145</f>
        <v>0</v>
      </c>
      <c r="Q133" s="387"/>
      <c r="R133" s="387">
        <f>'Portefeuille SP2'!N145</f>
        <v>0</v>
      </c>
      <c r="S133" s="387"/>
      <c r="T133" s="382" t="str">
        <f>'Portefeuille SP2'!R145</f>
        <v>TBD</v>
      </c>
      <c r="U133" s="387" t="str">
        <f>'Portefeuille SP2'!K145</f>
        <v>SFM</v>
      </c>
      <c r="V133" s="399">
        <f>'Portefeuille SP2'!S145</f>
        <v>0.25</v>
      </c>
      <c r="W133" s="387"/>
      <c r="X133" s="387"/>
      <c r="Y133" s="387"/>
      <c r="Z133" s="387"/>
      <c r="AA133" s="387"/>
      <c r="AB133" s="387"/>
      <c r="AC133" s="387"/>
      <c r="AD133" s="387"/>
      <c r="AE133" s="408" t="str">
        <f>'Portefeuille SP2'!J145</f>
        <v>24/06/2025 siège reconduit SP1 avec tissus spécifique - risk SP1/SP2 enrichissement</v>
      </c>
      <c r="AF133" s="387"/>
      <c r="AG133" s="387"/>
      <c r="AH133" s="389"/>
      <c r="AI133" s="389"/>
      <c r="AJ133" s="403">
        <f>'Portefeuille SP2'!V145</f>
        <v>1</v>
      </c>
      <c r="AK133" s="403">
        <f>'Portefeuille SP2'!W145</f>
        <v>1</v>
      </c>
      <c r="AL133" s="403">
        <f>'Portefeuille SP2'!X145</f>
        <v>1</v>
      </c>
      <c r="AM133" s="403">
        <f>'Portefeuille SP2'!Y145</f>
        <v>1</v>
      </c>
      <c r="AN133" s="403">
        <f>'Portefeuille SP2'!Z145</f>
        <v>1</v>
      </c>
      <c r="AO133" s="403">
        <f>'Portefeuille SP2'!AA145</f>
        <v>1</v>
      </c>
      <c r="AP133" s="403">
        <f>'Portefeuille SP2'!AB145</f>
        <v>1</v>
      </c>
      <c r="AQ133" s="403">
        <f>'Portefeuille SP2'!AC145</f>
        <v>1</v>
      </c>
      <c r="AR133" s="403">
        <f>'Portefeuille SP2'!AD145</f>
        <v>1</v>
      </c>
      <c r="AS133" s="403">
        <f>'Portefeuille SP2'!AE145</f>
        <v>1</v>
      </c>
      <c r="AT133" s="403">
        <f>'Portefeuille SP2'!AF145</f>
        <v>1</v>
      </c>
      <c r="AU133" s="403">
        <f>'Portefeuille SP2'!AG145</f>
        <v>1</v>
      </c>
      <c r="AV133" s="403">
        <f>'Portefeuille SP2'!AH145</f>
        <v>1</v>
      </c>
      <c r="AW133" s="403">
        <f>'Portefeuille SP2'!AI145</f>
        <v>1</v>
      </c>
      <c r="AX133" s="403">
        <f>'Portefeuille SP2'!AJ145</f>
        <v>1</v>
      </c>
      <c r="AY133" s="403">
        <f>'Portefeuille SP2'!AK145</f>
        <v>1</v>
      </c>
      <c r="AZ133" s="403">
        <f>'Portefeuille SP2'!AL145</f>
        <v>1</v>
      </c>
      <c r="BA133" s="403">
        <f>'Portefeuille SP2'!AM145</f>
        <v>1</v>
      </c>
      <c r="BB133" s="403">
        <f>'Portefeuille SP2'!AN145</f>
        <v>1</v>
      </c>
      <c r="BC133" s="403">
        <f>'Portefeuille SP2'!AO145</f>
        <v>1</v>
      </c>
      <c r="BD133" s="403">
        <f>'Portefeuille SP2'!AP145</f>
        <v>1</v>
      </c>
      <c r="BE133" s="403">
        <f>'Portefeuille SP2'!AQ145</f>
        <v>1</v>
      </c>
      <c r="BF133" s="403">
        <f>'Portefeuille SP2'!AR145</f>
        <v>1</v>
      </c>
      <c r="BG133" s="403" t="e">
        <f>'Portefeuille SP2'!#REF!</f>
        <v>#REF!</v>
      </c>
      <c r="BH133" s="403" t="e">
        <f>'Portefeuille SP2'!#REF!</f>
        <v>#REF!</v>
      </c>
      <c r="BI133" s="403" t="e">
        <f>'Portefeuille SP2'!#REF!</f>
        <v>#REF!</v>
      </c>
      <c r="BJ133" s="403" t="e">
        <f>'Portefeuille SP2'!#REF!</f>
        <v>#REF!</v>
      </c>
      <c r="BK133" s="403" t="e">
        <f>'Portefeuille SP2'!#REF!</f>
        <v>#REF!</v>
      </c>
      <c r="BL133" s="388"/>
      <c r="BM133" s="404" t="str">
        <f>'Portefeuille SP2'!L145</f>
        <v>11/06/2025 Style non gélé , mais orientation en cours avec Tie down donc Potentiel a descendre a 25% [ald50%]
18/11/2024 Maj suite SYNC3 =&gt;-0,8kg*50% (ald 25%*-0,2kg)
05/11/2024 Reporté 2025
25/09/2024 EN attente choirs frns =&gt; Fin Sept
11/07/2024 choix frns CW39</v>
      </c>
    </row>
    <row r="134" spans="1:65" ht="15" customHeight="1">
      <c r="A134" s="383">
        <f>'Portefeuille SP2'!B146</f>
        <v>0</v>
      </c>
      <c r="B134" s="390" t="str">
        <f>'Portefeuille SP2'!Q146</f>
        <v>DECIDED</v>
      </c>
      <c r="C134" s="384"/>
      <c r="D134" s="382" t="str">
        <f>'Portefeuille SP2'!E146</f>
        <v>PTF</v>
      </c>
      <c r="E134" s="382" t="str">
        <f t="shared" si="7"/>
        <v>BIW</v>
      </c>
      <c r="F134" s="382" t="str">
        <f t="shared" si="8"/>
        <v/>
      </c>
      <c r="G134" s="382" t="str">
        <f>'Portefeuille SP2'!C146</f>
        <v>SP1</v>
      </c>
      <c r="H134" s="382">
        <f>'Portefeuille SP2'!F146</f>
        <v>0</v>
      </c>
      <c r="I134" s="382"/>
      <c r="J134" s="382" t="str">
        <f>'Portefeuille SP2'!D146</f>
        <v xml:space="preserve">BIW </v>
      </c>
      <c r="K134" s="385">
        <f>'Portefeuille SP2'!H146</f>
        <v>0</v>
      </c>
      <c r="L134" s="157">
        <f>'Portefeuille SP2'!U146</f>
        <v>-0.25</v>
      </c>
      <c r="M134" s="386"/>
      <c r="N134" s="386"/>
      <c r="O134" s="386"/>
      <c r="P134" s="387">
        <f>'Portefeuille SP2'!M146</f>
        <v>0</v>
      </c>
      <c r="Q134" s="387"/>
      <c r="R134" s="387">
        <f>'Portefeuille SP2'!N146</f>
        <v>-1</v>
      </c>
      <c r="S134" s="387"/>
      <c r="T134" s="382" t="str">
        <f>'Portefeuille SP2'!R146</f>
        <v>TBD</v>
      </c>
      <c r="U134" s="387">
        <f>'Portefeuille SP2'!K146</f>
        <v>0</v>
      </c>
      <c r="V134" s="399">
        <f>'Portefeuille SP2'!S146</f>
        <v>0.25</v>
      </c>
      <c r="W134" s="387"/>
      <c r="X134" s="387"/>
      <c r="Y134" s="387"/>
      <c r="Z134" s="387"/>
      <c r="AA134" s="387"/>
      <c r="AB134" s="387"/>
      <c r="AC134" s="387"/>
      <c r="AD134" s="387"/>
      <c r="AE134" s="400">
        <f>'Portefeuille SP2'!J146</f>
        <v>0</v>
      </c>
      <c r="AF134" s="387"/>
      <c r="AG134" s="387"/>
      <c r="AH134" s="389"/>
      <c r="AI134" s="389"/>
      <c r="AJ134" s="403">
        <f>'Portefeuille SP2'!V146</f>
        <v>0</v>
      </c>
      <c r="AK134" s="403">
        <f>'Portefeuille SP2'!W146</f>
        <v>0</v>
      </c>
      <c r="AL134" s="403">
        <f>'Portefeuille SP2'!X146</f>
        <v>0</v>
      </c>
      <c r="AM134" s="403">
        <f>'Portefeuille SP2'!Y146</f>
        <v>1</v>
      </c>
      <c r="AN134" s="403">
        <f>'Portefeuille SP2'!Z146</f>
        <v>1</v>
      </c>
      <c r="AO134" s="403">
        <f>'Portefeuille SP2'!AA146</f>
        <v>0</v>
      </c>
      <c r="AP134" s="403">
        <f>'Portefeuille SP2'!AB146</f>
        <v>0</v>
      </c>
      <c r="AQ134" s="403">
        <f>'Portefeuille SP2'!AC146</f>
        <v>1</v>
      </c>
      <c r="AR134" s="403">
        <f>'Portefeuille SP2'!AD146</f>
        <v>1</v>
      </c>
      <c r="AS134" s="403">
        <f>'Portefeuille SP2'!AE146</f>
        <v>0</v>
      </c>
      <c r="AT134" s="403">
        <f>'Portefeuille SP2'!AF146</f>
        <v>0</v>
      </c>
      <c r="AU134" s="403">
        <f>'Portefeuille SP2'!AG146</f>
        <v>0</v>
      </c>
      <c r="AV134" s="403">
        <f>'Portefeuille SP2'!AH146</f>
        <v>1</v>
      </c>
      <c r="AW134" s="403">
        <f>'Portefeuille SP2'!AI146</f>
        <v>1</v>
      </c>
      <c r="AX134" s="403">
        <f>'Portefeuille SP2'!AJ146</f>
        <v>0</v>
      </c>
      <c r="AY134" s="403">
        <f>'Portefeuille SP2'!AK146</f>
        <v>0</v>
      </c>
      <c r="AZ134" s="403">
        <f>'Portefeuille SP2'!AL146</f>
        <v>1</v>
      </c>
      <c r="BA134" s="403">
        <f>'Portefeuille SP2'!AM146</f>
        <v>1</v>
      </c>
      <c r="BB134" s="403">
        <f>'Portefeuille SP2'!AN146</f>
        <v>0</v>
      </c>
      <c r="BC134" s="403">
        <f>'Portefeuille SP2'!AO146</f>
        <v>0</v>
      </c>
      <c r="BD134" s="403">
        <f>'Portefeuille SP2'!AP146</f>
        <v>0</v>
      </c>
      <c r="BE134" s="403">
        <f>'Portefeuille SP2'!AQ146</f>
        <v>1</v>
      </c>
      <c r="BF134" s="403">
        <f>'Portefeuille SP2'!AR146</f>
        <v>1</v>
      </c>
      <c r="BG134" s="403" t="e">
        <f>'Portefeuille SP2'!#REF!</f>
        <v>#REF!</v>
      </c>
      <c r="BH134" s="403" t="e">
        <f>'Portefeuille SP2'!#REF!</f>
        <v>#REF!</v>
      </c>
      <c r="BI134" s="403" t="e">
        <f>'Portefeuille SP2'!#REF!</f>
        <v>#REF!</v>
      </c>
      <c r="BJ134" s="403" t="e">
        <f>'Portefeuille SP2'!#REF!</f>
        <v>#REF!</v>
      </c>
      <c r="BK134" s="403" t="e">
        <f>'Portefeuille SP2'!#REF!</f>
        <v>#REF!</v>
      </c>
      <c r="BL134" s="388"/>
      <c r="BM134" s="404" t="str">
        <f>'Portefeuille SP2'!L146</f>
        <v>26/04/2024 : acté
10/04/2024 : Design en cours. 
21/03/2024 : new</v>
      </c>
    </row>
    <row r="135" spans="1:65" ht="15" customHeight="1">
      <c r="A135" s="383" t="str">
        <f>'Portefeuille SP2'!B147</f>
        <v>05/11/2024</v>
      </c>
      <c r="B135" s="390" t="str">
        <f>'Portefeuille SP2'!Q147</f>
        <v>IN PROGRESS</v>
      </c>
      <c r="C135" s="384"/>
      <c r="D135" s="382" t="str">
        <f>'Portefeuille SP2'!E147</f>
        <v>TH</v>
      </c>
      <c r="E135" s="382" t="str">
        <f t="shared" si="7"/>
        <v>FRS</v>
      </c>
      <c r="F135" s="382" t="str">
        <f>MID(J135, 4, 20)</f>
        <v>D</v>
      </c>
      <c r="G135" s="382" t="str">
        <f>'Portefeuille SP2'!C147</f>
        <v>SP1</v>
      </c>
      <c r="H135" s="382" t="str">
        <f>'Portefeuille SP2'!F147</f>
        <v>Sébastien Bonnefoi (P1H)/
Jean Michel Gabus P1X</v>
      </c>
      <c r="I135" s="428" t="s">
        <v>1212</v>
      </c>
      <c r="J135" s="382" t="str">
        <f>'Portefeuille SP2'!D147</f>
        <v>FRSD</v>
      </c>
      <c r="K135" s="385" t="str">
        <f>'Portefeuille SP2'!H147</f>
        <v>optim design</v>
      </c>
      <c r="L135" s="157">
        <f>'Portefeuille SP2'!U147</f>
        <v>-0.2</v>
      </c>
      <c r="M135" s="386"/>
      <c r="N135" s="386"/>
      <c r="O135" s="386"/>
      <c r="P135" s="400">
        <f>'Portefeuille SP2'!M147</f>
        <v>0</v>
      </c>
      <c r="Q135" s="387"/>
      <c r="R135" s="387">
        <f>'Portefeuille SP2'!N147</f>
        <v>0</v>
      </c>
      <c r="S135" s="387"/>
      <c r="T135" s="382">
        <f>'Portefeuille SP2'!R147</f>
        <v>0</v>
      </c>
      <c r="U135" s="387">
        <f>'Portefeuille SP2'!K147</f>
        <v>0</v>
      </c>
      <c r="V135" s="399">
        <f>'Portefeuille SP2'!S147</f>
        <v>1</v>
      </c>
      <c r="W135" s="387"/>
      <c r="X135" s="387"/>
      <c r="Y135" s="387"/>
      <c r="Z135" s="387"/>
      <c r="AA135" s="387"/>
      <c r="AB135" s="387"/>
      <c r="AC135" s="387"/>
      <c r="AD135" s="387"/>
      <c r="AE135" s="408">
        <f>'Portefeuille SP2'!J147</f>
        <v>0</v>
      </c>
      <c r="AF135" s="387"/>
      <c r="AG135" s="387"/>
      <c r="AH135" s="389"/>
      <c r="AI135" s="389"/>
      <c r="AJ135" s="403">
        <f>'Portefeuille SP2'!V147</f>
        <v>1</v>
      </c>
      <c r="AK135" s="403">
        <f>'Portefeuille SP2'!W147</f>
        <v>1</v>
      </c>
      <c r="AL135" s="403">
        <f>'Portefeuille SP2'!X147</f>
        <v>1</v>
      </c>
      <c r="AM135" s="403">
        <f>'Portefeuille SP2'!Y147</f>
        <v>1</v>
      </c>
      <c r="AN135" s="403">
        <f>'Portefeuille SP2'!Z147</f>
        <v>1</v>
      </c>
      <c r="AO135" s="403">
        <f>'Portefeuille SP2'!AA147</f>
        <v>1</v>
      </c>
      <c r="AP135" s="403">
        <f>'Portefeuille SP2'!AB147</f>
        <v>1</v>
      </c>
      <c r="AQ135" s="403">
        <f>'Portefeuille SP2'!AC147</f>
        <v>1</v>
      </c>
      <c r="AR135" s="403">
        <f>'Portefeuille SP2'!AD147</f>
        <v>1</v>
      </c>
      <c r="AS135" s="403">
        <f>'Portefeuille SP2'!AE147</f>
        <v>1</v>
      </c>
      <c r="AT135" s="403">
        <f>'Portefeuille SP2'!AF147</f>
        <v>1</v>
      </c>
      <c r="AU135" s="403">
        <f>'Portefeuille SP2'!AG147</f>
        <v>1</v>
      </c>
      <c r="AV135" s="403">
        <f>'Portefeuille SP2'!AH147</f>
        <v>1</v>
      </c>
      <c r="AW135" s="403">
        <f>'Portefeuille SP2'!AI147</f>
        <v>1</v>
      </c>
      <c r="AX135" s="403">
        <f>'Portefeuille SP2'!AJ147</f>
        <v>1</v>
      </c>
      <c r="AY135" s="403">
        <f>'Portefeuille SP2'!AK147</f>
        <v>1</v>
      </c>
      <c r="AZ135" s="403">
        <f>'Portefeuille SP2'!AL147</f>
        <v>1</v>
      </c>
      <c r="BA135" s="403">
        <f>'Portefeuille SP2'!AM147</f>
        <v>1</v>
      </c>
      <c r="BB135" s="403">
        <f>'Portefeuille SP2'!AN147</f>
        <v>1</v>
      </c>
      <c r="BC135" s="403">
        <f>'Portefeuille SP2'!AO147</f>
        <v>1</v>
      </c>
      <c r="BD135" s="403">
        <f>'Portefeuille SP2'!AP147</f>
        <v>1</v>
      </c>
      <c r="BE135" s="403">
        <f>'Portefeuille SP2'!AQ147</f>
        <v>1</v>
      </c>
      <c r="BF135" s="403">
        <f>'Portefeuille SP2'!AR147</f>
        <v>1</v>
      </c>
      <c r="BG135" s="403" t="e">
        <f>'Portefeuille SP2'!#REF!</f>
        <v>#REF!</v>
      </c>
      <c r="BH135" s="403" t="e">
        <f>'Portefeuille SP2'!#REF!</f>
        <v>#REF!</v>
      </c>
      <c r="BI135" s="403" t="e">
        <f>'Portefeuille SP2'!#REF!</f>
        <v>#REF!</v>
      </c>
      <c r="BJ135" s="403" t="e">
        <f>'Portefeuille SP2'!#REF!</f>
        <v>#REF!</v>
      </c>
      <c r="BK135" s="403" t="e">
        <f>'Portefeuille SP2'!#REF!</f>
        <v>#REF!</v>
      </c>
      <c r="BL135" s="388"/>
      <c r="BM135" s="404" t="str">
        <f>'Portefeuille SP2'!L147</f>
        <v>05/11/2024 Confirmé : passage de 3.5 à 3 mm validé sur le charnon mobile / Gain -0.2 kg /véhicule. ce sera intégré dans les def post SYNC3, lors du restart (100% ald -75%)
07/10/2024 Suite au SYNC3, validation via GDM</v>
      </c>
    </row>
    <row r="136" spans="1:65" ht="15" customHeight="1">
      <c r="A136" s="383">
        <f>'Portefeuille SP2'!B148</f>
        <v>0</v>
      </c>
      <c r="B136" s="390" t="str">
        <f>'Portefeuille SP2'!Q148</f>
        <v>CANCELED</v>
      </c>
      <c r="C136" s="384"/>
      <c r="D136" s="382" t="str">
        <f>'Portefeuille SP2'!E148</f>
        <v>TH</v>
      </c>
      <c r="E136" s="382" t="str">
        <f t="shared" si="7"/>
        <v>BIW</v>
      </c>
      <c r="F136" s="382" t="str">
        <f t="shared" si="8"/>
        <v/>
      </c>
      <c r="G136" s="382" t="str">
        <f>'Portefeuille SP2'!C148</f>
        <v>SP2</v>
      </c>
      <c r="H136" s="382">
        <f>'Portefeuille SP2'!F148</f>
        <v>0</v>
      </c>
      <c r="I136" s="382"/>
      <c r="J136" s="382" t="str">
        <f>'Portefeuille SP2'!D148</f>
        <v xml:space="preserve">BIW </v>
      </c>
      <c r="K136" s="385" t="str">
        <f>'Portefeuille SP2'!H148</f>
        <v xml:space="preserve">tailgate </v>
      </c>
      <c r="L136" s="157">
        <f>'Portefeuille SP2'!U148</f>
        <v>0</v>
      </c>
      <c r="M136" s="386"/>
      <c r="N136" s="386"/>
      <c r="O136" s="386"/>
      <c r="P136" s="387">
        <f>'Portefeuille SP2'!M148</f>
        <v>0</v>
      </c>
      <c r="Q136" s="387"/>
      <c r="R136" s="387">
        <f>'Portefeuille SP2'!N148</f>
        <v>0</v>
      </c>
      <c r="S136" s="387"/>
      <c r="T136" s="382" t="str">
        <f>'Portefeuille SP2'!R148</f>
        <v>TBD</v>
      </c>
      <c r="U136" s="387">
        <f>'Portefeuille SP2'!K148</f>
        <v>0</v>
      </c>
      <c r="V136" s="399">
        <f>'Portefeuille SP2'!S148</f>
        <v>0</v>
      </c>
      <c r="W136" s="387"/>
      <c r="X136" s="387"/>
      <c r="Y136" s="387"/>
      <c r="Z136" s="387"/>
      <c r="AA136" s="387"/>
      <c r="AB136" s="387"/>
      <c r="AC136" s="387"/>
      <c r="AD136" s="387"/>
      <c r="AE136" s="400">
        <f>'Portefeuille SP2'!J148</f>
        <v>0</v>
      </c>
      <c r="AF136" s="387"/>
      <c r="AG136" s="387"/>
      <c r="AH136" s="389"/>
      <c r="AI136" s="389"/>
      <c r="AJ136" s="403">
        <f>'Portefeuille SP2'!V148</f>
        <v>0</v>
      </c>
      <c r="AK136" s="403">
        <f>'Portefeuille SP2'!W148</f>
        <v>0</v>
      </c>
      <c r="AL136" s="403">
        <f>'Portefeuille SP2'!X148</f>
        <v>0</v>
      </c>
      <c r="AM136" s="403">
        <f>'Portefeuille SP2'!Y148</f>
        <v>1</v>
      </c>
      <c r="AN136" s="403">
        <f>'Portefeuille SP2'!Z148</f>
        <v>1</v>
      </c>
      <c r="AO136" s="403">
        <f>'Portefeuille SP2'!AA148</f>
        <v>0</v>
      </c>
      <c r="AP136" s="403">
        <f>'Portefeuille SP2'!AB148</f>
        <v>0</v>
      </c>
      <c r="AQ136" s="403">
        <f>'Portefeuille SP2'!AC148</f>
        <v>1</v>
      </c>
      <c r="AR136" s="403">
        <f>'Portefeuille SP2'!AD148</f>
        <v>1</v>
      </c>
      <c r="AS136" s="403">
        <f>'Portefeuille SP2'!AE148</f>
        <v>0</v>
      </c>
      <c r="AT136" s="403">
        <f>'Portefeuille SP2'!AF148</f>
        <v>0</v>
      </c>
      <c r="AU136" s="403">
        <f>'Portefeuille SP2'!AG148</f>
        <v>0</v>
      </c>
      <c r="AV136" s="403">
        <f>'Portefeuille SP2'!AH148</f>
        <v>1</v>
      </c>
      <c r="AW136" s="403">
        <f>'Portefeuille SP2'!AI148</f>
        <v>1</v>
      </c>
      <c r="AX136" s="403">
        <f>'Portefeuille SP2'!AJ148</f>
        <v>0</v>
      </c>
      <c r="AY136" s="403">
        <f>'Portefeuille SP2'!AK148</f>
        <v>0</v>
      </c>
      <c r="AZ136" s="403">
        <f>'Portefeuille SP2'!AL148</f>
        <v>1</v>
      </c>
      <c r="BA136" s="403">
        <f>'Portefeuille SP2'!AM148</f>
        <v>1</v>
      </c>
      <c r="BB136" s="403">
        <f>'Portefeuille SP2'!AN148</f>
        <v>0</v>
      </c>
      <c r="BC136" s="403">
        <f>'Portefeuille SP2'!AO148</f>
        <v>0</v>
      </c>
      <c r="BD136" s="403">
        <f>'Portefeuille SP2'!AP148</f>
        <v>0</v>
      </c>
      <c r="BE136" s="403">
        <f>'Portefeuille SP2'!AQ148</f>
        <v>1</v>
      </c>
      <c r="BF136" s="403">
        <f>'Portefeuille SP2'!AR148</f>
        <v>1</v>
      </c>
      <c r="BG136" s="403" t="e">
        <f>'Portefeuille SP2'!#REF!</f>
        <v>#REF!</v>
      </c>
      <c r="BH136" s="403" t="e">
        <f>'Portefeuille SP2'!#REF!</f>
        <v>#REF!</v>
      </c>
      <c r="BI136" s="403" t="e">
        <f>'Portefeuille SP2'!#REF!</f>
        <v>#REF!</v>
      </c>
      <c r="BJ136" s="403" t="e">
        <f>'Portefeuille SP2'!#REF!</f>
        <v>#REF!</v>
      </c>
      <c r="BK136" s="403" t="e">
        <f>'Portefeuille SP2'!#REF!</f>
        <v>#REF!</v>
      </c>
      <c r="BL136" s="388"/>
      <c r="BM136" s="404">
        <f>'Portefeuille SP2'!L148</f>
        <v>0</v>
      </c>
    </row>
    <row r="137" spans="1:65" ht="15" customHeight="1">
      <c r="A137" s="383">
        <f>'Portefeuille SP2'!B149</f>
        <v>0</v>
      </c>
      <c r="B137" s="390" t="str">
        <f>'Portefeuille SP2'!Q149</f>
        <v>CANCELED</v>
      </c>
      <c r="C137" s="384"/>
      <c r="D137" s="382" t="str">
        <f>'Portefeuille SP2'!E149</f>
        <v>PTF</v>
      </c>
      <c r="E137" s="382" t="str">
        <f t="shared" ref="E137:E200" si="12">LEFT(J137,3)</f>
        <v>BIW</v>
      </c>
      <c r="F137" s="382" t="str">
        <f t="shared" ref="F137:F200" si="13">MID(J137, 6, 20)</f>
        <v/>
      </c>
      <c r="G137" s="382" t="str">
        <f>'Portefeuille SP2'!C149</f>
        <v>SP1</v>
      </c>
      <c r="H137" s="382">
        <f>'Portefeuille SP2'!F149</f>
        <v>0</v>
      </c>
      <c r="I137" s="382"/>
      <c r="J137" s="382" t="str">
        <f>'Portefeuille SP2'!D149</f>
        <v xml:space="preserve">BIW </v>
      </c>
      <c r="K137" s="385">
        <f>'Portefeuille SP2'!H149</f>
        <v>0</v>
      </c>
      <c r="L137" s="157">
        <f>'Portefeuille SP2'!U149</f>
        <v>0</v>
      </c>
      <c r="M137" s="386"/>
      <c r="N137" s="386"/>
      <c r="O137" s="386"/>
      <c r="P137" s="387">
        <f>'Portefeuille SP2'!M149</f>
        <v>0</v>
      </c>
      <c r="Q137" s="387"/>
      <c r="R137" s="387" t="str">
        <f>'Portefeuille SP2'!N149</f>
        <v/>
      </c>
      <c r="S137" s="387"/>
      <c r="T137" s="382">
        <f>'Portefeuille SP2'!R149</f>
        <v>0</v>
      </c>
      <c r="U137" s="387">
        <f>'Portefeuille SP2'!K149</f>
        <v>0</v>
      </c>
      <c r="V137" s="399">
        <f>'Portefeuille SP2'!S149</f>
        <v>0</v>
      </c>
      <c r="W137" s="387"/>
      <c r="X137" s="387"/>
      <c r="Y137" s="387"/>
      <c r="Z137" s="387"/>
      <c r="AA137" s="387"/>
      <c r="AB137" s="387"/>
      <c r="AC137" s="387"/>
      <c r="AD137" s="387"/>
      <c r="AE137" s="400">
        <f>'Portefeuille SP2'!J149</f>
        <v>0</v>
      </c>
      <c r="AF137" s="387"/>
      <c r="AG137" s="387"/>
      <c r="AH137" s="389"/>
      <c r="AI137" s="389"/>
      <c r="AJ137" s="403">
        <f>'Portefeuille SP2'!V149</f>
        <v>0</v>
      </c>
      <c r="AK137" s="403">
        <f>'Portefeuille SP2'!W149</f>
        <v>0</v>
      </c>
      <c r="AL137" s="403">
        <f>'Portefeuille SP2'!X149</f>
        <v>0</v>
      </c>
      <c r="AM137" s="403">
        <f>'Portefeuille SP2'!Y149</f>
        <v>1</v>
      </c>
      <c r="AN137" s="403">
        <f>'Portefeuille SP2'!Z149</f>
        <v>1</v>
      </c>
      <c r="AO137" s="403">
        <f>'Portefeuille SP2'!AA149</f>
        <v>0</v>
      </c>
      <c r="AP137" s="403">
        <f>'Portefeuille SP2'!AB149</f>
        <v>0</v>
      </c>
      <c r="AQ137" s="403">
        <f>'Portefeuille SP2'!AC149</f>
        <v>1</v>
      </c>
      <c r="AR137" s="403">
        <f>'Portefeuille SP2'!AD149</f>
        <v>1</v>
      </c>
      <c r="AS137" s="403">
        <f>'Portefeuille SP2'!AE149</f>
        <v>0</v>
      </c>
      <c r="AT137" s="403">
        <f>'Portefeuille SP2'!AF149</f>
        <v>0</v>
      </c>
      <c r="AU137" s="403">
        <f>'Portefeuille SP2'!AG149</f>
        <v>0</v>
      </c>
      <c r="AV137" s="403">
        <f>'Portefeuille SP2'!AH149</f>
        <v>1</v>
      </c>
      <c r="AW137" s="403">
        <f>'Portefeuille SP2'!AI149</f>
        <v>1</v>
      </c>
      <c r="AX137" s="403">
        <f>'Portefeuille SP2'!AJ149</f>
        <v>0</v>
      </c>
      <c r="AY137" s="403">
        <f>'Portefeuille SP2'!AK149</f>
        <v>0</v>
      </c>
      <c r="AZ137" s="403">
        <f>'Portefeuille SP2'!AL149</f>
        <v>1</v>
      </c>
      <c r="BA137" s="403">
        <f>'Portefeuille SP2'!AM149</f>
        <v>1</v>
      </c>
      <c r="BB137" s="403">
        <f>'Portefeuille SP2'!AN149</f>
        <v>0</v>
      </c>
      <c r="BC137" s="403">
        <f>'Portefeuille SP2'!AO149</f>
        <v>0</v>
      </c>
      <c r="BD137" s="403">
        <f>'Portefeuille SP2'!AP149</f>
        <v>0</v>
      </c>
      <c r="BE137" s="403">
        <f>'Portefeuille SP2'!AQ149</f>
        <v>1</v>
      </c>
      <c r="BF137" s="403">
        <f>'Portefeuille SP2'!AR149</f>
        <v>1</v>
      </c>
      <c r="BG137" s="403" t="e">
        <f>'Portefeuille SP2'!#REF!</f>
        <v>#REF!</v>
      </c>
      <c r="BH137" s="403" t="e">
        <f>'Portefeuille SP2'!#REF!</f>
        <v>#REF!</v>
      </c>
      <c r="BI137" s="403" t="e">
        <f>'Portefeuille SP2'!#REF!</f>
        <v>#REF!</v>
      </c>
      <c r="BJ137" s="403" t="e">
        <f>'Portefeuille SP2'!#REF!</f>
        <v>#REF!</v>
      </c>
      <c r="BK137" s="403" t="e">
        <f>'Portefeuille SP2'!#REF!</f>
        <v>#REF!</v>
      </c>
      <c r="BL137" s="388"/>
      <c r="BM137" s="404" t="str">
        <f>'Portefeuille SP2'!L149</f>
        <v>10/04/2024 : Question à poser au fournisseur, quand il sera choisi.</v>
      </c>
    </row>
    <row r="138" spans="1:65" ht="15" customHeight="1">
      <c r="A138" s="383">
        <f>'Portefeuille SP2'!B150</f>
        <v>0</v>
      </c>
      <c r="B138" s="390" t="str">
        <f>'Portefeuille SP2'!Q150</f>
        <v>CANCELED</v>
      </c>
      <c r="C138" s="384"/>
      <c r="D138" s="382" t="str">
        <f>'Portefeuille SP2'!E150</f>
        <v>PTF</v>
      </c>
      <c r="E138" s="382" t="str">
        <f t="shared" si="12"/>
        <v>BIW</v>
      </c>
      <c r="F138" s="382" t="str">
        <f t="shared" si="13"/>
        <v/>
      </c>
      <c r="G138" s="382" t="str">
        <f>'Portefeuille SP2'!C150</f>
        <v>SP1</v>
      </c>
      <c r="H138" s="382">
        <f>'Portefeuille SP2'!F150</f>
        <v>0</v>
      </c>
      <c r="I138" s="382"/>
      <c r="J138" s="382" t="str">
        <f>'Portefeuille SP2'!D150</f>
        <v xml:space="preserve">BIW </v>
      </c>
      <c r="K138" s="385">
        <f>'Portefeuille SP2'!H150</f>
        <v>0</v>
      </c>
      <c r="L138" s="157">
        <f>'Portefeuille SP2'!U150</f>
        <v>0.125</v>
      </c>
      <c r="M138" s="386"/>
      <c r="N138" s="386"/>
      <c r="O138" s="386"/>
      <c r="P138" s="387">
        <f>'Portefeuille SP2'!M150</f>
        <v>0</v>
      </c>
      <c r="Q138" s="387"/>
      <c r="R138" s="387">
        <f>'Portefeuille SP2'!N150</f>
        <v>0</v>
      </c>
      <c r="S138" s="387"/>
      <c r="T138" s="382" t="str">
        <f>'Portefeuille SP2'!R150</f>
        <v>TBD</v>
      </c>
      <c r="U138" s="387">
        <f>'Portefeuille SP2'!K150</f>
        <v>0</v>
      </c>
      <c r="V138" s="399">
        <f>'Portefeuille SP2'!S150</f>
        <v>0.25</v>
      </c>
      <c r="W138" s="387"/>
      <c r="X138" s="387"/>
      <c r="Y138" s="387"/>
      <c r="Z138" s="387"/>
      <c r="AA138" s="387"/>
      <c r="AB138" s="387"/>
      <c r="AC138" s="387"/>
      <c r="AD138" s="387"/>
      <c r="AE138" s="400">
        <f>'Portefeuille SP2'!J150</f>
        <v>0</v>
      </c>
      <c r="AF138" s="387"/>
      <c r="AG138" s="387"/>
      <c r="AH138" s="389"/>
      <c r="AI138" s="389"/>
      <c r="AJ138" s="403">
        <f>'Portefeuille SP2'!V150</f>
        <v>0</v>
      </c>
      <c r="AK138" s="403">
        <f>'Portefeuille SP2'!W150</f>
        <v>0</v>
      </c>
      <c r="AL138" s="403">
        <f>'Portefeuille SP2'!X150</f>
        <v>0</v>
      </c>
      <c r="AM138" s="403">
        <f>'Portefeuille SP2'!Y150</f>
        <v>1</v>
      </c>
      <c r="AN138" s="403">
        <f>'Portefeuille SP2'!Z150</f>
        <v>1</v>
      </c>
      <c r="AO138" s="403">
        <f>'Portefeuille SP2'!AA150</f>
        <v>0</v>
      </c>
      <c r="AP138" s="403">
        <f>'Portefeuille SP2'!AB150</f>
        <v>0</v>
      </c>
      <c r="AQ138" s="403">
        <f>'Portefeuille SP2'!AC150</f>
        <v>1</v>
      </c>
      <c r="AR138" s="403">
        <f>'Portefeuille SP2'!AD150</f>
        <v>1</v>
      </c>
      <c r="AS138" s="403">
        <f>'Portefeuille SP2'!AE150</f>
        <v>0</v>
      </c>
      <c r="AT138" s="403">
        <f>'Portefeuille SP2'!AF150</f>
        <v>0</v>
      </c>
      <c r="AU138" s="403">
        <f>'Portefeuille SP2'!AG150</f>
        <v>0</v>
      </c>
      <c r="AV138" s="403">
        <f>'Portefeuille SP2'!AH150</f>
        <v>1</v>
      </c>
      <c r="AW138" s="403">
        <f>'Portefeuille SP2'!AI150</f>
        <v>1</v>
      </c>
      <c r="AX138" s="403">
        <f>'Portefeuille SP2'!AJ150</f>
        <v>0</v>
      </c>
      <c r="AY138" s="403">
        <f>'Portefeuille SP2'!AK150</f>
        <v>0</v>
      </c>
      <c r="AZ138" s="403">
        <f>'Portefeuille SP2'!AL150</f>
        <v>1</v>
      </c>
      <c r="BA138" s="403">
        <f>'Portefeuille SP2'!AM150</f>
        <v>1</v>
      </c>
      <c r="BB138" s="403">
        <f>'Portefeuille SP2'!AN150</f>
        <v>0</v>
      </c>
      <c r="BC138" s="403">
        <f>'Portefeuille SP2'!AO150</f>
        <v>0</v>
      </c>
      <c r="BD138" s="403">
        <f>'Portefeuille SP2'!AP150</f>
        <v>0</v>
      </c>
      <c r="BE138" s="403">
        <f>'Portefeuille SP2'!AQ150</f>
        <v>1</v>
      </c>
      <c r="BF138" s="403">
        <f>'Portefeuille SP2'!AR150</f>
        <v>1</v>
      </c>
      <c r="BG138" s="403" t="e">
        <f>'Portefeuille SP2'!#REF!</f>
        <v>#REF!</v>
      </c>
      <c r="BH138" s="403" t="e">
        <f>'Portefeuille SP2'!#REF!</f>
        <v>#REF!</v>
      </c>
      <c r="BI138" s="403" t="e">
        <f>'Portefeuille SP2'!#REF!</f>
        <v>#REF!</v>
      </c>
      <c r="BJ138" s="403" t="e">
        <f>'Portefeuille SP2'!#REF!</f>
        <v>#REF!</v>
      </c>
      <c r="BK138" s="403" t="e">
        <f>'Portefeuille SP2'!#REF!</f>
        <v>#REF!</v>
      </c>
      <c r="BL138" s="388"/>
      <c r="BM138" s="404" t="str">
        <f>'Portefeuille SP2'!L150</f>
        <v>26/03/2024 : demande manufacturing</v>
      </c>
    </row>
    <row r="139" spans="1:65" ht="15" customHeight="1">
      <c r="A139" s="383">
        <f>'Portefeuille SP2'!B151</f>
        <v>0</v>
      </c>
      <c r="B139" s="390" t="str">
        <f>'Portefeuille SP2'!Q151</f>
        <v>CANCELED</v>
      </c>
      <c r="C139" s="384"/>
      <c r="D139" s="382" t="str">
        <f>'Portefeuille SP2'!E151</f>
        <v>PTF</v>
      </c>
      <c r="E139" s="382" t="str">
        <f t="shared" si="12"/>
        <v>BIW</v>
      </c>
      <c r="F139" s="382" t="str">
        <f t="shared" si="13"/>
        <v/>
      </c>
      <c r="G139" s="382" t="str">
        <f>'Portefeuille SP2'!C151</f>
        <v>SP1</v>
      </c>
      <c r="H139" s="382">
        <f>'Portefeuille SP2'!F151</f>
        <v>0</v>
      </c>
      <c r="I139" s="382"/>
      <c r="J139" s="382" t="str">
        <f>'Portefeuille SP2'!D151</f>
        <v xml:space="preserve">BIW </v>
      </c>
      <c r="K139" s="385">
        <f>'Portefeuille SP2'!H151</f>
        <v>0</v>
      </c>
      <c r="L139" s="157">
        <f>'Portefeuille SP2'!U151</f>
        <v>0</v>
      </c>
      <c r="M139" s="386"/>
      <c r="N139" s="386"/>
      <c r="O139" s="386"/>
      <c r="P139" s="387">
        <f>'Portefeuille SP2'!M151</f>
        <v>0</v>
      </c>
      <c r="Q139" s="387"/>
      <c r="R139" s="387" t="str">
        <f>'Portefeuille SP2'!N151</f>
        <v/>
      </c>
      <c r="S139" s="387"/>
      <c r="T139" s="382">
        <f>'Portefeuille SP2'!R151</f>
        <v>0</v>
      </c>
      <c r="U139" s="387">
        <f>'Portefeuille SP2'!K151</f>
        <v>0</v>
      </c>
      <c r="V139" s="399">
        <f>'Portefeuille SP2'!S151</f>
        <v>0</v>
      </c>
      <c r="W139" s="387"/>
      <c r="X139" s="387"/>
      <c r="Y139" s="387"/>
      <c r="Z139" s="387"/>
      <c r="AA139" s="387"/>
      <c r="AB139" s="387"/>
      <c r="AC139" s="387"/>
      <c r="AD139" s="387"/>
      <c r="AE139" s="400">
        <f>'Portefeuille SP2'!J151</f>
        <v>0</v>
      </c>
      <c r="AF139" s="387"/>
      <c r="AG139" s="387"/>
      <c r="AH139" s="389"/>
      <c r="AI139" s="389"/>
      <c r="AJ139" s="403">
        <f>'Portefeuille SP2'!V151</f>
        <v>0</v>
      </c>
      <c r="AK139" s="403">
        <f>'Portefeuille SP2'!W151</f>
        <v>0</v>
      </c>
      <c r="AL139" s="403">
        <f>'Portefeuille SP2'!X151</f>
        <v>0</v>
      </c>
      <c r="AM139" s="403">
        <f>'Portefeuille SP2'!Y151</f>
        <v>1</v>
      </c>
      <c r="AN139" s="403">
        <f>'Portefeuille SP2'!Z151</f>
        <v>1</v>
      </c>
      <c r="AO139" s="403">
        <f>'Portefeuille SP2'!AA151</f>
        <v>0</v>
      </c>
      <c r="AP139" s="403">
        <f>'Portefeuille SP2'!AB151</f>
        <v>0</v>
      </c>
      <c r="AQ139" s="403">
        <f>'Portefeuille SP2'!AC151</f>
        <v>1</v>
      </c>
      <c r="AR139" s="403">
        <f>'Portefeuille SP2'!AD151</f>
        <v>1</v>
      </c>
      <c r="AS139" s="403">
        <f>'Portefeuille SP2'!AE151</f>
        <v>0</v>
      </c>
      <c r="AT139" s="403">
        <f>'Portefeuille SP2'!AF151</f>
        <v>0</v>
      </c>
      <c r="AU139" s="403">
        <f>'Portefeuille SP2'!AG151</f>
        <v>0</v>
      </c>
      <c r="AV139" s="403">
        <f>'Portefeuille SP2'!AH151</f>
        <v>1</v>
      </c>
      <c r="AW139" s="403">
        <f>'Portefeuille SP2'!AI151</f>
        <v>1</v>
      </c>
      <c r="AX139" s="403">
        <f>'Portefeuille SP2'!AJ151</f>
        <v>0</v>
      </c>
      <c r="AY139" s="403">
        <f>'Portefeuille SP2'!AK151</f>
        <v>0</v>
      </c>
      <c r="AZ139" s="403">
        <f>'Portefeuille SP2'!AL151</f>
        <v>1</v>
      </c>
      <c r="BA139" s="403">
        <f>'Portefeuille SP2'!AM151</f>
        <v>1</v>
      </c>
      <c r="BB139" s="403">
        <f>'Portefeuille SP2'!AN151</f>
        <v>0</v>
      </c>
      <c r="BC139" s="403">
        <f>'Portefeuille SP2'!AO151</f>
        <v>0</v>
      </c>
      <c r="BD139" s="403">
        <f>'Portefeuille SP2'!AP151</f>
        <v>0</v>
      </c>
      <c r="BE139" s="403">
        <f>'Portefeuille SP2'!AQ151</f>
        <v>1</v>
      </c>
      <c r="BF139" s="403">
        <f>'Portefeuille SP2'!AR151</f>
        <v>1</v>
      </c>
      <c r="BG139" s="403" t="e">
        <f>'Portefeuille SP2'!#REF!</f>
        <v>#REF!</v>
      </c>
      <c r="BH139" s="403" t="e">
        <f>'Portefeuille SP2'!#REF!</f>
        <v>#REF!</v>
      </c>
      <c r="BI139" s="403" t="e">
        <f>'Portefeuille SP2'!#REF!</f>
        <v>#REF!</v>
      </c>
      <c r="BJ139" s="403" t="e">
        <f>'Portefeuille SP2'!#REF!</f>
        <v>#REF!</v>
      </c>
      <c r="BK139" s="403" t="e">
        <f>'Portefeuille SP2'!#REF!</f>
        <v>#REF!</v>
      </c>
      <c r="BL139" s="388"/>
      <c r="BM139" s="404" t="str">
        <f>'Portefeuille SP2'!L151</f>
        <v>03/04/2024 : peu de colle structurale utilisée. Démarche faite, mais montre peu de gain. Ressortir le dossier pour avoir la longueur totale vs retex.</v>
      </c>
    </row>
    <row r="140" spans="1:65" ht="15" customHeight="1">
      <c r="A140" s="383">
        <f>'Portefeuille SP2'!B152</f>
        <v>0</v>
      </c>
      <c r="B140" s="390" t="str">
        <f>'Portefeuille SP2'!Q152</f>
        <v>CANCELED</v>
      </c>
      <c r="C140" s="384"/>
      <c r="D140" s="382" t="str">
        <f>'Portefeuille SP2'!E152</f>
        <v>PTF</v>
      </c>
      <c r="E140" s="382" t="str">
        <f t="shared" si="12"/>
        <v>BIW</v>
      </c>
      <c r="F140" s="382" t="str">
        <f t="shared" si="13"/>
        <v/>
      </c>
      <c r="G140" s="382" t="str">
        <f>'Portefeuille SP2'!C152</f>
        <v>SP1</v>
      </c>
      <c r="H140" s="382">
        <f>'Portefeuille SP2'!F152</f>
        <v>0</v>
      </c>
      <c r="I140" s="382"/>
      <c r="J140" s="382" t="str">
        <f>'Portefeuille SP2'!D152</f>
        <v xml:space="preserve">BIW </v>
      </c>
      <c r="K140" s="385">
        <f>'Portefeuille SP2'!H152</f>
        <v>0</v>
      </c>
      <c r="L140" s="157">
        <f>'Portefeuille SP2'!U152</f>
        <v>0</v>
      </c>
      <c r="M140" s="386"/>
      <c r="N140" s="386"/>
      <c r="O140" s="386"/>
      <c r="P140" s="387">
        <f>'Portefeuille SP2'!M152</f>
        <v>0</v>
      </c>
      <c r="Q140" s="387"/>
      <c r="R140" s="387" t="str">
        <f>'Portefeuille SP2'!N152</f>
        <v/>
      </c>
      <c r="S140" s="387"/>
      <c r="T140" s="382">
        <f>'Portefeuille SP2'!R152</f>
        <v>0</v>
      </c>
      <c r="U140" s="387">
        <f>'Portefeuille SP2'!K152</f>
        <v>0</v>
      </c>
      <c r="V140" s="399">
        <f>'Portefeuille SP2'!S152</f>
        <v>0</v>
      </c>
      <c r="W140" s="387"/>
      <c r="X140" s="387"/>
      <c r="Y140" s="387"/>
      <c r="Z140" s="387"/>
      <c r="AA140" s="387"/>
      <c r="AB140" s="387"/>
      <c r="AC140" s="387"/>
      <c r="AD140" s="387"/>
      <c r="AE140" s="400">
        <f>'Portefeuille SP2'!J152</f>
        <v>0</v>
      </c>
      <c r="AF140" s="387"/>
      <c r="AG140" s="387"/>
      <c r="AH140" s="389"/>
      <c r="AI140" s="389"/>
      <c r="AJ140" s="403">
        <f>'Portefeuille SP2'!V152</f>
        <v>0</v>
      </c>
      <c r="AK140" s="403">
        <f>'Portefeuille SP2'!W152</f>
        <v>0</v>
      </c>
      <c r="AL140" s="403">
        <f>'Portefeuille SP2'!X152</f>
        <v>0</v>
      </c>
      <c r="AM140" s="403">
        <f>'Portefeuille SP2'!Y152</f>
        <v>1</v>
      </c>
      <c r="AN140" s="403">
        <f>'Portefeuille SP2'!Z152</f>
        <v>1</v>
      </c>
      <c r="AO140" s="403">
        <f>'Portefeuille SP2'!AA152</f>
        <v>0</v>
      </c>
      <c r="AP140" s="403">
        <f>'Portefeuille SP2'!AB152</f>
        <v>0</v>
      </c>
      <c r="AQ140" s="403">
        <f>'Portefeuille SP2'!AC152</f>
        <v>1</v>
      </c>
      <c r="AR140" s="403">
        <f>'Portefeuille SP2'!AD152</f>
        <v>1</v>
      </c>
      <c r="AS140" s="403">
        <f>'Portefeuille SP2'!AE152</f>
        <v>0</v>
      </c>
      <c r="AT140" s="403">
        <f>'Portefeuille SP2'!AF152</f>
        <v>0</v>
      </c>
      <c r="AU140" s="403">
        <f>'Portefeuille SP2'!AG152</f>
        <v>0</v>
      </c>
      <c r="AV140" s="403">
        <f>'Portefeuille SP2'!AH152</f>
        <v>1</v>
      </c>
      <c r="AW140" s="403">
        <f>'Portefeuille SP2'!AI152</f>
        <v>1</v>
      </c>
      <c r="AX140" s="403">
        <f>'Portefeuille SP2'!AJ152</f>
        <v>0</v>
      </c>
      <c r="AY140" s="403">
        <f>'Portefeuille SP2'!AK152</f>
        <v>0</v>
      </c>
      <c r="AZ140" s="403">
        <f>'Portefeuille SP2'!AL152</f>
        <v>1</v>
      </c>
      <c r="BA140" s="403">
        <f>'Portefeuille SP2'!AM152</f>
        <v>1</v>
      </c>
      <c r="BB140" s="403">
        <f>'Portefeuille SP2'!AN152</f>
        <v>0</v>
      </c>
      <c r="BC140" s="403">
        <f>'Portefeuille SP2'!AO152</f>
        <v>0</v>
      </c>
      <c r="BD140" s="403">
        <f>'Portefeuille SP2'!AP152</f>
        <v>0</v>
      </c>
      <c r="BE140" s="403">
        <f>'Portefeuille SP2'!AQ152</f>
        <v>1</v>
      </c>
      <c r="BF140" s="403">
        <f>'Portefeuille SP2'!AR152</f>
        <v>1</v>
      </c>
      <c r="BG140" s="403" t="e">
        <f>'Portefeuille SP2'!#REF!</f>
        <v>#REF!</v>
      </c>
      <c r="BH140" s="403" t="e">
        <f>'Portefeuille SP2'!#REF!</f>
        <v>#REF!</v>
      </c>
      <c r="BI140" s="403" t="e">
        <f>'Portefeuille SP2'!#REF!</f>
        <v>#REF!</v>
      </c>
      <c r="BJ140" s="403" t="e">
        <f>'Portefeuille SP2'!#REF!</f>
        <v>#REF!</v>
      </c>
      <c r="BK140" s="403" t="e">
        <f>'Portefeuille SP2'!#REF!</f>
        <v>#REF!</v>
      </c>
      <c r="BL140" s="388"/>
      <c r="BM140" s="404" t="str">
        <f>'Portefeuille SP2'!L152</f>
        <v>27/03/2024 New WS S14</v>
      </c>
    </row>
    <row r="141" spans="1:65" ht="15" customHeight="1">
      <c r="A141" s="383">
        <f>'Portefeuille SP2'!B153</f>
        <v>0</v>
      </c>
      <c r="B141" s="390" t="str">
        <f>'Portefeuille SP2'!Q153</f>
        <v>DECIDED</v>
      </c>
      <c r="C141" s="384"/>
      <c r="D141" s="382" t="str">
        <f>'Portefeuille SP2'!E153</f>
        <v>PTF</v>
      </c>
      <c r="E141" s="382" t="str">
        <f t="shared" si="12"/>
        <v>BIW</v>
      </c>
      <c r="F141" s="382" t="str">
        <f t="shared" si="13"/>
        <v/>
      </c>
      <c r="G141" s="382" t="str">
        <f>'Portefeuille SP2'!C153</f>
        <v>SP1</v>
      </c>
      <c r="H141" s="382">
        <f>'Portefeuille SP2'!F153</f>
        <v>0</v>
      </c>
      <c r="I141" s="382"/>
      <c r="J141" s="382" t="str">
        <f>'Portefeuille SP2'!D153</f>
        <v xml:space="preserve">BIW </v>
      </c>
      <c r="K141" s="385">
        <f>'Portefeuille SP2'!H153</f>
        <v>0</v>
      </c>
      <c r="L141" s="157">
        <f>'Portefeuille SP2'!U153</f>
        <v>-0.6</v>
      </c>
      <c r="M141" s="386"/>
      <c r="N141" s="386"/>
      <c r="O141" s="386"/>
      <c r="P141" s="387">
        <f>'Portefeuille SP2'!M153</f>
        <v>0</v>
      </c>
      <c r="Q141" s="387"/>
      <c r="R141" s="387">
        <f>'Portefeuille SP2'!N153</f>
        <v>0</v>
      </c>
      <c r="S141" s="387"/>
      <c r="T141" s="382">
        <f>'Portefeuille SP2'!R153</f>
        <v>0</v>
      </c>
      <c r="U141" s="387">
        <f>'Portefeuille SP2'!K153</f>
        <v>0</v>
      </c>
      <c r="V141" s="399">
        <f>'Portefeuille SP2'!S153</f>
        <v>1</v>
      </c>
      <c r="W141" s="387"/>
      <c r="X141" s="387"/>
      <c r="Y141" s="387"/>
      <c r="Z141" s="387"/>
      <c r="AA141" s="387"/>
      <c r="AB141" s="387"/>
      <c r="AC141" s="387"/>
      <c r="AD141" s="387"/>
      <c r="AE141" s="400">
        <f>'Portefeuille SP2'!J153</f>
        <v>0</v>
      </c>
      <c r="AF141" s="387"/>
      <c r="AG141" s="387"/>
      <c r="AH141" s="389"/>
      <c r="AI141" s="389"/>
      <c r="AJ141" s="403">
        <f>'Portefeuille SP2'!V153</f>
        <v>0</v>
      </c>
      <c r="AK141" s="403">
        <f>'Portefeuille SP2'!W153</f>
        <v>0</v>
      </c>
      <c r="AL141" s="403">
        <f>'Portefeuille SP2'!X153</f>
        <v>0</v>
      </c>
      <c r="AM141" s="403">
        <f>'Portefeuille SP2'!Y153</f>
        <v>1</v>
      </c>
      <c r="AN141" s="403">
        <f>'Portefeuille SP2'!Z153</f>
        <v>1</v>
      </c>
      <c r="AO141" s="403">
        <f>'Portefeuille SP2'!AA153</f>
        <v>0</v>
      </c>
      <c r="AP141" s="403">
        <f>'Portefeuille SP2'!AB153</f>
        <v>0</v>
      </c>
      <c r="AQ141" s="403">
        <f>'Portefeuille SP2'!AC153</f>
        <v>1</v>
      </c>
      <c r="AR141" s="403">
        <f>'Portefeuille SP2'!AD153</f>
        <v>1</v>
      </c>
      <c r="AS141" s="403">
        <f>'Portefeuille SP2'!AE153</f>
        <v>0</v>
      </c>
      <c r="AT141" s="403">
        <f>'Portefeuille SP2'!AF153</f>
        <v>0</v>
      </c>
      <c r="AU141" s="403">
        <f>'Portefeuille SP2'!AG153</f>
        <v>0</v>
      </c>
      <c r="AV141" s="403">
        <f>'Portefeuille SP2'!AH153</f>
        <v>1</v>
      </c>
      <c r="AW141" s="403">
        <f>'Portefeuille SP2'!AI153</f>
        <v>1</v>
      </c>
      <c r="AX141" s="403">
        <f>'Portefeuille SP2'!AJ153</f>
        <v>0</v>
      </c>
      <c r="AY141" s="403">
        <f>'Portefeuille SP2'!AK153</f>
        <v>0</v>
      </c>
      <c r="AZ141" s="403">
        <f>'Portefeuille SP2'!AL153</f>
        <v>1</v>
      </c>
      <c r="BA141" s="403">
        <f>'Portefeuille SP2'!AM153</f>
        <v>1</v>
      </c>
      <c r="BB141" s="403">
        <f>'Portefeuille SP2'!AN153</f>
        <v>0</v>
      </c>
      <c r="BC141" s="403">
        <f>'Portefeuille SP2'!AO153</f>
        <v>0</v>
      </c>
      <c r="BD141" s="403">
        <f>'Portefeuille SP2'!AP153</f>
        <v>0</v>
      </c>
      <c r="BE141" s="403">
        <f>'Portefeuille SP2'!AQ153</f>
        <v>1</v>
      </c>
      <c r="BF141" s="403">
        <f>'Portefeuille SP2'!AR153</f>
        <v>1</v>
      </c>
      <c r="BG141" s="403" t="e">
        <f>'Portefeuille SP2'!#REF!</f>
        <v>#REF!</v>
      </c>
      <c r="BH141" s="403" t="e">
        <f>'Portefeuille SP2'!#REF!</f>
        <v>#REF!</v>
      </c>
      <c r="BI141" s="403" t="e">
        <f>'Portefeuille SP2'!#REF!</f>
        <v>#REF!</v>
      </c>
      <c r="BJ141" s="403" t="e">
        <f>'Portefeuille SP2'!#REF!</f>
        <v>#REF!</v>
      </c>
      <c r="BK141" s="403" t="e">
        <f>'Portefeuille SP2'!#REF!</f>
        <v>#REF!</v>
      </c>
      <c r="BL141" s="388"/>
      <c r="BM141" s="404">
        <f>'Portefeuille SP2'!L153</f>
        <v>0</v>
      </c>
    </row>
    <row r="142" spans="1:65" ht="15" customHeight="1">
      <c r="A142" s="383" t="str">
        <f>'Portefeuille SP2'!B154</f>
        <v>28/05/2025</v>
      </c>
      <c r="B142" s="390" t="str">
        <f>'Portefeuille SP2'!Q154</f>
        <v>CANCELED</v>
      </c>
      <c r="C142" s="384"/>
      <c r="D142" s="382" t="str">
        <f>'Portefeuille SP2'!E154</f>
        <v>TH</v>
      </c>
      <c r="E142" s="382" t="str">
        <f t="shared" si="12"/>
        <v>BIW</v>
      </c>
      <c r="F142" s="382" t="str">
        <f>MID(J142, 4, 20)</f>
        <v xml:space="preserve"> </v>
      </c>
      <c r="G142" s="382" t="str">
        <f>'Portefeuille SP2'!C154</f>
        <v>SP1</v>
      </c>
      <c r="H142" s="382" t="str">
        <f>'Portefeuille SP2'!F154</f>
        <v>Franck Baillon (SP1)/
Cyrille P1X</v>
      </c>
      <c r="I142" s="428" t="s">
        <v>1212</v>
      </c>
      <c r="J142" s="382" t="str">
        <f>'Portefeuille SP2'!D154</f>
        <v xml:space="preserve">BIW </v>
      </c>
      <c r="K142" s="385" t="str">
        <f>'Portefeuille SP2'!H154</f>
        <v>Common parts P1HX</v>
      </c>
      <c r="L142" s="157">
        <f>'Portefeuille SP2'!U154</f>
        <v>-0.2</v>
      </c>
      <c r="M142" s="386"/>
      <c r="N142" s="386"/>
      <c r="O142" s="386"/>
      <c r="P142" s="400">
        <f>'Portefeuille SP2'!M154</f>
        <v>0</v>
      </c>
      <c r="Q142" s="387"/>
      <c r="R142" s="387">
        <f>'Portefeuille SP2'!N154</f>
        <v>0</v>
      </c>
      <c r="S142" s="387"/>
      <c r="T142" s="382">
        <f>'Portefeuille SP2'!R154</f>
        <v>0</v>
      </c>
      <c r="U142" s="387">
        <f>'Portefeuille SP2'!K154</f>
        <v>0</v>
      </c>
      <c r="V142" s="399">
        <f>'Portefeuille SP2'!S154</f>
        <v>0.5</v>
      </c>
      <c r="W142" s="387"/>
      <c r="X142" s="387"/>
      <c r="Y142" s="387"/>
      <c r="Z142" s="387"/>
      <c r="AA142" s="387"/>
      <c r="AB142" s="387"/>
      <c r="AC142" s="387"/>
      <c r="AD142" s="387"/>
      <c r="AE142" s="408" t="str">
        <f>'Portefeuille SP2'!J154</f>
        <v>A checker…...</v>
      </c>
      <c r="AF142" s="387"/>
      <c r="AG142" s="387"/>
      <c r="AH142" s="389"/>
      <c r="AI142" s="389"/>
      <c r="AJ142" s="403">
        <f>'Portefeuille SP2'!V154</f>
        <v>1</v>
      </c>
      <c r="AK142" s="403">
        <f>'Portefeuille SP2'!W154</f>
        <v>1</v>
      </c>
      <c r="AL142" s="403">
        <f>'Portefeuille SP2'!X154</f>
        <v>1</v>
      </c>
      <c r="AM142" s="403">
        <f>'Portefeuille SP2'!Y154</f>
        <v>1</v>
      </c>
      <c r="AN142" s="403">
        <f>'Portefeuille SP2'!Z154</f>
        <v>1</v>
      </c>
      <c r="AO142" s="403">
        <f>'Portefeuille SP2'!AA154</f>
        <v>1</v>
      </c>
      <c r="AP142" s="403">
        <f>'Portefeuille SP2'!AB154</f>
        <v>1</v>
      </c>
      <c r="AQ142" s="403">
        <f>'Portefeuille SP2'!AC154</f>
        <v>1</v>
      </c>
      <c r="AR142" s="403">
        <f>'Portefeuille SP2'!AD154</f>
        <v>1</v>
      </c>
      <c r="AS142" s="403">
        <f>'Portefeuille SP2'!AE154</f>
        <v>1</v>
      </c>
      <c r="AT142" s="403">
        <f>'Portefeuille SP2'!AF154</f>
        <v>1</v>
      </c>
      <c r="AU142" s="403">
        <f>'Portefeuille SP2'!AG154</f>
        <v>1</v>
      </c>
      <c r="AV142" s="403">
        <f>'Portefeuille SP2'!AH154</f>
        <v>1</v>
      </c>
      <c r="AW142" s="403">
        <f>'Portefeuille SP2'!AI154</f>
        <v>1</v>
      </c>
      <c r="AX142" s="403">
        <f>'Portefeuille SP2'!AJ154</f>
        <v>1</v>
      </c>
      <c r="AY142" s="403">
        <f>'Portefeuille SP2'!AK154</f>
        <v>1</v>
      </c>
      <c r="AZ142" s="403">
        <f>'Portefeuille SP2'!AL154</f>
        <v>1</v>
      </c>
      <c r="BA142" s="403">
        <f>'Portefeuille SP2'!AM154</f>
        <v>1</v>
      </c>
      <c r="BB142" s="403">
        <f>'Portefeuille SP2'!AN154</f>
        <v>1</v>
      </c>
      <c r="BC142" s="403">
        <f>'Portefeuille SP2'!AO154</f>
        <v>1</v>
      </c>
      <c r="BD142" s="403">
        <f>'Portefeuille SP2'!AP154</f>
        <v>1</v>
      </c>
      <c r="BE142" s="403">
        <f>'Portefeuille SP2'!AQ154</f>
        <v>1</v>
      </c>
      <c r="BF142" s="403">
        <f>'Portefeuille SP2'!AR154</f>
        <v>1</v>
      </c>
      <c r="BG142" s="403" t="e">
        <f>'Portefeuille SP2'!#REF!</f>
        <v>#REF!</v>
      </c>
      <c r="BH142" s="403" t="e">
        <f>'Portefeuille SP2'!#REF!</f>
        <v>#REF!</v>
      </c>
      <c r="BI142" s="403" t="e">
        <f>'Portefeuille SP2'!#REF!</f>
        <v>#REF!</v>
      </c>
      <c r="BJ142" s="403" t="e">
        <f>'Portefeuille SP2'!#REF!</f>
        <v>#REF!</v>
      </c>
      <c r="BK142" s="403" t="e">
        <f>'Portefeuille SP2'!#REF!</f>
        <v>#REF!</v>
      </c>
      <c r="BL142" s="388"/>
      <c r="BM142" s="404" t="str">
        <f>'Portefeuille SP2'!L154</f>
        <v>28/05/2025 CHANTIER MASSE : Périmètre Commune à re-partager avec Franck</v>
      </c>
    </row>
    <row r="143" spans="1:65" ht="15" customHeight="1">
      <c r="A143" s="383">
        <f>'Portefeuille SP2'!B155</f>
        <v>0</v>
      </c>
      <c r="B143" s="390" t="str">
        <f>'Portefeuille SP2'!Q155</f>
        <v>CANCELED</v>
      </c>
      <c r="C143" s="384"/>
      <c r="D143" s="382" t="str">
        <f>'Portefeuille SP2'!E155</f>
        <v>TH</v>
      </c>
      <c r="E143" s="382" t="str">
        <f t="shared" si="12"/>
        <v>BIW</v>
      </c>
      <c r="F143" s="382" t="str">
        <f t="shared" si="13"/>
        <v/>
      </c>
      <c r="G143" s="382" t="str">
        <f>'Portefeuille SP2'!C155</f>
        <v>SP2</v>
      </c>
      <c r="H143" s="382">
        <f>'Portefeuille SP2'!F155</f>
        <v>0</v>
      </c>
      <c r="I143" s="382"/>
      <c r="J143" s="382" t="str">
        <f>'Portefeuille SP2'!D155</f>
        <v xml:space="preserve">BIW </v>
      </c>
      <c r="K143" s="385" t="str">
        <f>'Portefeuille SP2'!H155</f>
        <v>Door pannel</v>
      </c>
      <c r="L143" s="157">
        <f>'Portefeuille SP2'!U155</f>
        <v>0.6</v>
      </c>
      <c r="M143" s="386"/>
      <c r="N143" s="386"/>
      <c r="O143" s="386"/>
      <c r="P143" s="387" t="str">
        <f>'Portefeuille SP2'!M155</f>
        <v>????</v>
      </c>
      <c r="Q143" s="387"/>
      <c r="R143" s="387" t="str">
        <f>'Portefeuille SP2'!N155</f>
        <v>????</v>
      </c>
      <c r="S143" s="387"/>
      <c r="T143" s="382" t="str">
        <f>'Portefeuille SP2'!R155</f>
        <v>TBD</v>
      </c>
      <c r="U143" s="387" t="str">
        <f>'Portefeuille SP2'!K155</f>
        <v>w09/2025
door panel supplier award</v>
      </c>
      <c r="V143" s="399">
        <f>'Portefeuille SP2'!S155</f>
        <v>1</v>
      </c>
      <c r="W143" s="387"/>
      <c r="X143" s="387"/>
      <c r="Y143" s="387"/>
      <c r="Z143" s="387"/>
      <c r="AA143" s="387"/>
      <c r="AB143" s="387"/>
      <c r="AC143" s="387"/>
      <c r="AD143" s="387"/>
      <c r="AE143" s="400" t="str">
        <f>'Portefeuille SP2'!J155</f>
        <v xml:space="preserve">24/09/2024 -LM-invest-TPC voir valérie
BOM intégre cette politique matière
attente retour fournisseur </v>
      </c>
      <c r="AF143" s="387"/>
      <c r="AG143" s="387"/>
      <c r="AH143" s="389"/>
      <c r="AI143" s="389"/>
      <c r="AJ143" s="403">
        <f>'Portefeuille SP2'!V155</f>
        <v>0</v>
      </c>
      <c r="AK143" s="403">
        <f>'Portefeuille SP2'!W155</f>
        <v>0</v>
      </c>
      <c r="AL143" s="403">
        <f>'Portefeuille SP2'!X155</f>
        <v>0</v>
      </c>
      <c r="AM143" s="403">
        <f>'Portefeuille SP2'!Y155</f>
        <v>1</v>
      </c>
      <c r="AN143" s="403">
        <f>'Portefeuille SP2'!Z155</f>
        <v>1</v>
      </c>
      <c r="AO143" s="403">
        <f>'Portefeuille SP2'!AA155</f>
        <v>0</v>
      </c>
      <c r="AP143" s="403">
        <f>'Portefeuille SP2'!AB155</f>
        <v>0</v>
      </c>
      <c r="AQ143" s="403">
        <f>'Portefeuille SP2'!AC155</f>
        <v>1</v>
      </c>
      <c r="AR143" s="403">
        <f>'Portefeuille SP2'!AD155</f>
        <v>1</v>
      </c>
      <c r="AS143" s="403">
        <f>'Portefeuille SP2'!AE155</f>
        <v>0</v>
      </c>
      <c r="AT143" s="403">
        <f>'Portefeuille SP2'!AF155</f>
        <v>0</v>
      </c>
      <c r="AU143" s="403">
        <f>'Portefeuille SP2'!AG155</f>
        <v>0</v>
      </c>
      <c r="AV143" s="403">
        <f>'Portefeuille SP2'!AH155</f>
        <v>1</v>
      </c>
      <c r="AW143" s="403">
        <f>'Portefeuille SP2'!AI155</f>
        <v>1</v>
      </c>
      <c r="AX143" s="403">
        <f>'Portefeuille SP2'!AJ155</f>
        <v>0</v>
      </c>
      <c r="AY143" s="403">
        <f>'Portefeuille SP2'!AK155</f>
        <v>0</v>
      </c>
      <c r="AZ143" s="403">
        <f>'Portefeuille SP2'!AL155</f>
        <v>1</v>
      </c>
      <c r="BA143" s="403">
        <f>'Portefeuille SP2'!AM155</f>
        <v>1</v>
      </c>
      <c r="BB143" s="403">
        <f>'Portefeuille SP2'!AN155</f>
        <v>0</v>
      </c>
      <c r="BC143" s="403">
        <f>'Portefeuille SP2'!AO155</f>
        <v>0</v>
      </c>
      <c r="BD143" s="403">
        <f>'Portefeuille SP2'!AP155</f>
        <v>0</v>
      </c>
      <c r="BE143" s="403">
        <f>'Portefeuille SP2'!AQ155</f>
        <v>1</v>
      </c>
      <c r="BF143" s="403">
        <f>'Portefeuille SP2'!AR155</f>
        <v>1</v>
      </c>
      <c r="BG143" s="403" t="e">
        <f>'Portefeuille SP2'!#REF!</f>
        <v>#REF!</v>
      </c>
      <c r="BH143" s="403" t="e">
        <f>'Portefeuille SP2'!#REF!</f>
        <v>#REF!</v>
      </c>
      <c r="BI143" s="403" t="e">
        <f>'Portefeuille SP2'!#REF!</f>
        <v>#REF!</v>
      </c>
      <c r="BJ143" s="403" t="e">
        <f>'Portefeuille SP2'!#REF!</f>
        <v>#REF!</v>
      </c>
      <c r="BK143" s="403" t="e">
        <f>'Portefeuille SP2'!#REF!</f>
        <v>#REF!</v>
      </c>
      <c r="BL143" s="388"/>
      <c r="BM143" s="404">
        <f>'Portefeuille SP2'!L155</f>
        <v>0</v>
      </c>
    </row>
    <row r="144" spans="1:65" ht="15" customHeight="1">
      <c r="A144" s="383">
        <f>'Portefeuille SP2'!B156</f>
        <v>0</v>
      </c>
      <c r="B144" s="390" t="str">
        <f>'Portefeuille SP2'!Q156</f>
        <v>CANCELED</v>
      </c>
      <c r="C144" s="384"/>
      <c r="D144" s="382" t="str">
        <f>'Portefeuille SP2'!E156</f>
        <v>TH</v>
      </c>
      <c r="E144" s="382" t="str">
        <f t="shared" si="12"/>
        <v>BIW</v>
      </c>
      <c r="F144" s="382" t="str">
        <f t="shared" si="13"/>
        <v/>
      </c>
      <c r="G144" s="382" t="str">
        <f>'Portefeuille SP2'!C156</f>
        <v>SP2</v>
      </c>
      <c r="H144" s="382">
        <f>'Portefeuille SP2'!F156</f>
        <v>0</v>
      </c>
      <c r="I144" s="382"/>
      <c r="J144" s="382" t="str">
        <f>'Portefeuille SP2'!D156</f>
        <v xml:space="preserve">BIW </v>
      </c>
      <c r="K144" s="385" t="str">
        <f>'Portefeuille SP2'!H156</f>
        <v>remove spolier</v>
      </c>
      <c r="L144" s="157">
        <f>'Portefeuille SP2'!U156</f>
        <v>0</v>
      </c>
      <c r="M144" s="386"/>
      <c r="N144" s="386"/>
      <c r="O144" s="386"/>
      <c r="P144" s="387">
        <f>'Portefeuille SP2'!M156</f>
        <v>0</v>
      </c>
      <c r="Q144" s="387"/>
      <c r="R144" s="387">
        <f>'Portefeuille SP2'!N156</f>
        <v>-0.1</v>
      </c>
      <c r="S144" s="387"/>
      <c r="T144" s="382" t="str">
        <f>'Portefeuille SP2'!R156</f>
        <v>TBD</v>
      </c>
      <c r="U144" s="387" t="str">
        <f>'Portefeuille SP2'!K156</f>
        <v>PM-CM</v>
      </c>
      <c r="V144" s="399">
        <f>'Portefeuille SP2'!S156</f>
        <v>0</v>
      </c>
      <c r="W144" s="387"/>
      <c r="X144" s="387"/>
      <c r="Y144" s="387"/>
      <c r="Z144" s="387"/>
      <c r="AA144" s="387"/>
      <c r="AB144" s="387"/>
      <c r="AC144" s="387"/>
      <c r="AD144" s="387"/>
      <c r="AE144" s="400" t="str">
        <f>'Portefeuille SP2'!J156</f>
        <v>to check with serkan and nicolas
+risk update at 0,2kg
0% car volet pastic</v>
      </c>
      <c r="AF144" s="387"/>
      <c r="AG144" s="387"/>
      <c r="AH144" s="389"/>
      <c r="AI144" s="389"/>
      <c r="AJ144" s="403">
        <f>'Portefeuille SP2'!V156</f>
        <v>0</v>
      </c>
      <c r="AK144" s="403">
        <f>'Portefeuille SP2'!W156</f>
        <v>0</v>
      </c>
      <c r="AL144" s="403">
        <f>'Portefeuille SP2'!X156</f>
        <v>0</v>
      </c>
      <c r="AM144" s="403">
        <f>'Portefeuille SP2'!Y156</f>
        <v>1</v>
      </c>
      <c r="AN144" s="403">
        <f>'Portefeuille SP2'!Z156</f>
        <v>1</v>
      </c>
      <c r="AO144" s="403">
        <f>'Portefeuille SP2'!AA156</f>
        <v>0</v>
      </c>
      <c r="AP144" s="403">
        <f>'Portefeuille SP2'!AB156</f>
        <v>0</v>
      </c>
      <c r="AQ144" s="403">
        <f>'Portefeuille SP2'!AC156</f>
        <v>1</v>
      </c>
      <c r="AR144" s="403">
        <f>'Portefeuille SP2'!AD156</f>
        <v>1</v>
      </c>
      <c r="AS144" s="403">
        <f>'Portefeuille SP2'!AE156</f>
        <v>0</v>
      </c>
      <c r="AT144" s="403">
        <f>'Portefeuille SP2'!AF156</f>
        <v>0</v>
      </c>
      <c r="AU144" s="403">
        <f>'Portefeuille SP2'!AG156</f>
        <v>0</v>
      </c>
      <c r="AV144" s="403">
        <f>'Portefeuille SP2'!AH156</f>
        <v>1</v>
      </c>
      <c r="AW144" s="403">
        <f>'Portefeuille SP2'!AI156</f>
        <v>1</v>
      </c>
      <c r="AX144" s="403">
        <f>'Portefeuille SP2'!AJ156</f>
        <v>0</v>
      </c>
      <c r="AY144" s="403">
        <f>'Portefeuille SP2'!AK156</f>
        <v>0</v>
      </c>
      <c r="AZ144" s="403">
        <f>'Portefeuille SP2'!AL156</f>
        <v>1</v>
      </c>
      <c r="BA144" s="403">
        <f>'Portefeuille SP2'!AM156</f>
        <v>1</v>
      </c>
      <c r="BB144" s="403">
        <f>'Portefeuille SP2'!AN156</f>
        <v>0</v>
      </c>
      <c r="BC144" s="403">
        <f>'Portefeuille SP2'!AO156</f>
        <v>0</v>
      </c>
      <c r="BD144" s="403">
        <f>'Portefeuille SP2'!AP156</f>
        <v>0</v>
      </c>
      <c r="BE144" s="403">
        <f>'Portefeuille SP2'!AQ156</f>
        <v>1</v>
      </c>
      <c r="BF144" s="403">
        <f>'Portefeuille SP2'!AR156</f>
        <v>1</v>
      </c>
      <c r="BG144" s="403" t="e">
        <f>'Portefeuille SP2'!#REF!</f>
        <v>#REF!</v>
      </c>
      <c r="BH144" s="403" t="e">
        <f>'Portefeuille SP2'!#REF!</f>
        <v>#REF!</v>
      </c>
      <c r="BI144" s="403" t="e">
        <f>'Portefeuille SP2'!#REF!</f>
        <v>#REF!</v>
      </c>
      <c r="BJ144" s="403" t="e">
        <f>'Portefeuille SP2'!#REF!</f>
        <v>#REF!</v>
      </c>
      <c r="BK144" s="403" t="e">
        <f>'Portefeuille SP2'!#REF!</f>
        <v>#REF!</v>
      </c>
      <c r="BL144" s="388"/>
      <c r="BM144" s="404">
        <f>'Portefeuille SP2'!L156</f>
        <v>0</v>
      </c>
    </row>
    <row r="145" spans="1:65" ht="15" customHeight="1">
      <c r="A145" s="383" t="str">
        <f>'Portefeuille SP2'!B157</f>
        <v>28/05/2025</v>
      </c>
      <c r="B145" s="390" t="str">
        <f>'Portefeuille SP2'!Q157</f>
        <v>CANCELED</v>
      </c>
      <c r="C145" s="384"/>
      <c r="D145" s="382" t="str">
        <f>'Portefeuille SP2'!E157</f>
        <v>TH</v>
      </c>
      <c r="E145" s="382" t="str">
        <f t="shared" si="12"/>
        <v>INT</v>
      </c>
      <c r="F145" s="382" t="str">
        <f t="shared" ref="F145:F146" si="14">MID(J145, 4, 20)</f>
        <v xml:space="preserve"> - PDB/CONSOLE</v>
      </c>
      <c r="G145" s="382" t="str">
        <f>'Portefeuille SP2'!C157</f>
        <v>SP1</v>
      </c>
      <c r="H145" s="382" t="str">
        <f>'Portefeuille SP2'!F157</f>
        <v>FREDERIC BRUNIER</v>
      </c>
      <c r="I145" s="428" t="s">
        <v>1212</v>
      </c>
      <c r="J145" s="382" t="str">
        <f>'Portefeuille SP2'!D157</f>
        <v>INT - PDB/CONSOLE</v>
      </c>
      <c r="K145" s="385" t="str">
        <f>'Portefeuille SP2'!H157</f>
        <v>Front panel trim</v>
      </c>
      <c r="L145" s="157">
        <f>'Portefeuille SP2'!U157</f>
        <v>-0.2</v>
      </c>
      <c r="M145" s="386"/>
      <c r="N145" s="386"/>
      <c r="O145" s="386"/>
      <c r="P145" s="400">
        <f>'Portefeuille SP2'!M157</f>
        <v>0</v>
      </c>
      <c r="Q145" s="387"/>
      <c r="R145" s="387">
        <f>'Portefeuille SP2'!N157</f>
        <v>0</v>
      </c>
      <c r="S145" s="387"/>
      <c r="T145" s="382">
        <f>'Portefeuille SP2'!R157</f>
        <v>0</v>
      </c>
      <c r="U145" s="387">
        <f>'Portefeuille SP2'!K157</f>
        <v>0</v>
      </c>
      <c r="V145" s="399">
        <f>'Portefeuille SP2'!S157</f>
        <v>0.25</v>
      </c>
      <c r="W145" s="387"/>
      <c r="X145" s="387"/>
      <c r="Y145" s="387"/>
      <c r="Z145" s="387"/>
      <c r="AA145" s="387"/>
      <c r="AB145" s="387"/>
      <c r="AC145" s="387"/>
      <c r="AD145" s="387"/>
      <c r="AE145" s="408" t="str">
        <f>'Portefeuille SP2'!J157</f>
        <v>16/03/2026 lm ligne à supprimer</v>
      </c>
      <c r="AF145" s="387"/>
      <c r="AG145" s="387"/>
      <c r="AH145" s="389"/>
      <c r="AI145" s="389"/>
      <c r="AJ145" s="403">
        <f>'Portefeuille SP2'!V157</f>
        <v>1</v>
      </c>
      <c r="AK145" s="403">
        <f>'Portefeuille SP2'!W157</f>
        <v>1</v>
      </c>
      <c r="AL145" s="403">
        <f>'Portefeuille SP2'!X157</f>
        <v>1</v>
      </c>
      <c r="AM145" s="403">
        <f>'Portefeuille SP2'!Y157</f>
        <v>1</v>
      </c>
      <c r="AN145" s="403">
        <f>'Portefeuille SP2'!Z157</f>
        <v>1</v>
      </c>
      <c r="AO145" s="403">
        <f>'Portefeuille SP2'!AA157</f>
        <v>1</v>
      </c>
      <c r="AP145" s="403">
        <f>'Portefeuille SP2'!AB157</f>
        <v>1</v>
      </c>
      <c r="AQ145" s="403">
        <f>'Portefeuille SP2'!AC157</f>
        <v>1</v>
      </c>
      <c r="AR145" s="403">
        <f>'Portefeuille SP2'!AD157</f>
        <v>1</v>
      </c>
      <c r="AS145" s="403">
        <f>'Portefeuille SP2'!AE157</f>
        <v>1</v>
      </c>
      <c r="AT145" s="403">
        <f>'Portefeuille SP2'!AF157</f>
        <v>1</v>
      </c>
      <c r="AU145" s="403">
        <f>'Portefeuille SP2'!AG157</f>
        <v>1</v>
      </c>
      <c r="AV145" s="403">
        <f>'Portefeuille SP2'!AH157</f>
        <v>1</v>
      </c>
      <c r="AW145" s="403">
        <f>'Portefeuille SP2'!AI157</f>
        <v>1</v>
      </c>
      <c r="AX145" s="403">
        <f>'Portefeuille SP2'!AJ157</f>
        <v>1</v>
      </c>
      <c r="AY145" s="403">
        <f>'Portefeuille SP2'!AK157</f>
        <v>1</v>
      </c>
      <c r="AZ145" s="403">
        <f>'Portefeuille SP2'!AL157</f>
        <v>1</v>
      </c>
      <c r="BA145" s="403">
        <f>'Portefeuille SP2'!AM157</f>
        <v>1</v>
      </c>
      <c r="BB145" s="403">
        <f>'Portefeuille SP2'!AN157</f>
        <v>1</v>
      </c>
      <c r="BC145" s="403">
        <f>'Portefeuille SP2'!AO157</f>
        <v>1</v>
      </c>
      <c r="BD145" s="403">
        <f>'Portefeuille SP2'!AP157</f>
        <v>1</v>
      </c>
      <c r="BE145" s="403">
        <f>'Portefeuille SP2'!AQ157</f>
        <v>1</v>
      </c>
      <c r="BF145" s="403">
        <f>'Portefeuille SP2'!AR157</f>
        <v>1</v>
      </c>
      <c r="BG145" s="403" t="e">
        <f>'Portefeuille SP2'!#REF!</f>
        <v>#REF!</v>
      </c>
      <c r="BH145" s="403" t="e">
        <f>'Portefeuille SP2'!#REF!</f>
        <v>#REF!</v>
      </c>
      <c r="BI145" s="403" t="e">
        <f>'Portefeuille SP2'!#REF!</f>
        <v>#REF!</v>
      </c>
      <c r="BJ145" s="403" t="e">
        <f>'Portefeuille SP2'!#REF!</f>
        <v>#REF!</v>
      </c>
      <c r="BK145" s="403" t="e">
        <f>'Portefeuille SP2'!#REF!</f>
        <v>#REF!</v>
      </c>
      <c r="BL145" s="388"/>
      <c r="BM145" s="404" t="str">
        <f>'Portefeuille SP2'!L157</f>
        <v>28/05/2025 CHANTIER MASSE : Vérifier cohérence des masses</v>
      </c>
    </row>
    <row r="146" spans="1:65" ht="15" customHeight="1">
      <c r="A146" s="383" t="str">
        <f>'Portefeuille SP2'!B158</f>
        <v>28/05/2025</v>
      </c>
      <c r="B146" s="390" t="str">
        <f>'Portefeuille SP2'!Q158</f>
        <v>IN PROGRESS</v>
      </c>
      <c r="C146" s="384"/>
      <c r="D146" s="382" t="str">
        <f>'Portefeuille SP2'!E158</f>
        <v>TH</v>
      </c>
      <c r="E146" s="382" t="str">
        <f t="shared" si="12"/>
        <v>SWX</v>
      </c>
      <c r="F146" s="382" t="str">
        <f t="shared" si="14"/>
        <v>/EE</v>
      </c>
      <c r="G146" s="382" t="str">
        <f>'Portefeuille SP2'!C158</f>
        <v>SP1</v>
      </c>
      <c r="H146" s="382" t="str">
        <f>'Portefeuille SP2'!F158</f>
        <v>Isabelle Moro</v>
      </c>
      <c r="I146" s="428" t="s">
        <v>1212</v>
      </c>
      <c r="J146" s="382" t="str">
        <f>'Portefeuille SP2'!D158</f>
        <v>SWX/EE</v>
      </c>
      <c r="K146" s="385" t="str">
        <f>'Portefeuille SP2'!H158</f>
        <v>Rear speaker</v>
      </c>
      <c r="L146" s="157">
        <f>'Portefeuille SP2'!U158</f>
        <v>-0.25</v>
      </c>
      <c r="M146" s="386"/>
      <c r="N146" s="386"/>
      <c r="O146" s="386"/>
      <c r="P146" s="400">
        <f>'Portefeuille SP2'!M158</f>
        <v>0</v>
      </c>
      <c r="Q146" s="387"/>
      <c r="R146" s="387">
        <f>'Portefeuille SP2'!N158</f>
        <v>0</v>
      </c>
      <c r="S146" s="387"/>
      <c r="T146" s="382">
        <f>'Portefeuille SP2'!R158</f>
        <v>0</v>
      </c>
      <c r="U146" s="387">
        <f>'Portefeuille SP2'!K158</f>
        <v>0</v>
      </c>
      <c r="V146" s="399">
        <f>'Portefeuille SP2'!S158</f>
        <v>0.25</v>
      </c>
      <c r="W146" s="387"/>
      <c r="X146" s="387"/>
      <c r="Y146" s="387"/>
      <c r="Z146" s="387"/>
      <c r="AA146" s="387"/>
      <c r="AB146" s="387"/>
      <c r="AC146" s="387"/>
      <c r="AD146" s="387"/>
      <c r="AE146" s="408">
        <f>'Portefeuille SP2'!J158</f>
        <v>0</v>
      </c>
      <c r="AF146" s="387"/>
      <c r="AG146" s="387"/>
      <c r="AH146" s="389"/>
      <c r="AI146" s="389"/>
      <c r="AJ146" s="403">
        <f>'Portefeuille SP2'!V158</f>
        <v>1</v>
      </c>
      <c r="AK146" s="403">
        <f>'Portefeuille SP2'!W158</f>
        <v>1</v>
      </c>
      <c r="AL146" s="403">
        <f>'Portefeuille SP2'!X158</f>
        <v>1</v>
      </c>
      <c r="AM146" s="403">
        <f>'Portefeuille SP2'!Y158</f>
        <v>1</v>
      </c>
      <c r="AN146" s="403">
        <f>'Portefeuille SP2'!Z158</f>
        <v>1</v>
      </c>
      <c r="AO146" s="403">
        <f>'Portefeuille SP2'!AA158</f>
        <v>1</v>
      </c>
      <c r="AP146" s="403">
        <f>'Portefeuille SP2'!AB158</f>
        <v>1</v>
      </c>
      <c r="AQ146" s="403">
        <f>'Portefeuille SP2'!AC158</f>
        <v>1</v>
      </c>
      <c r="AR146" s="403">
        <f>'Portefeuille SP2'!AD158</f>
        <v>1</v>
      </c>
      <c r="AS146" s="403">
        <f>'Portefeuille SP2'!AE158</f>
        <v>1</v>
      </c>
      <c r="AT146" s="403">
        <f>'Portefeuille SP2'!AF158</f>
        <v>1</v>
      </c>
      <c r="AU146" s="403">
        <f>'Portefeuille SP2'!AG158</f>
        <v>1</v>
      </c>
      <c r="AV146" s="403">
        <f>'Portefeuille SP2'!AH158</f>
        <v>1</v>
      </c>
      <c r="AW146" s="403">
        <f>'Portefeuille SP2'!AI158</f>
        <v>1</v>
      </c>
      <c r="AX146" s="403">
        <f>'Portefeuille SP2'!AJ158</f>
        <v>1</v>
      </c>
      <c r="AY146" s="403">
        <f>'Portefeuille SP2'!AK158</f>
        <v>1</v>
      </c>
      <c r="AZ146" s="403">
        <f>'Portefeuille SP2'!AL158</f>
        <v>1</v>
      </c>
      <c r="BA146" s="403">
        <f>'Portefeuille SP2'!AM158</f>
        <v>1</v>
      </c>
      <c r="BB146" s="403">
        <f>'Portefeuille SP2'!AN158</f>
        <v>1</v>
      </c>
      <c r="BC146" s="403">
        <f>'Portefeuille SP2'!AO158</f>
        <v>1</v>
      </c>
      <c r="BD146" s="403">
        <f>'Portefeuille SP2'!AP158</f>
        <v>1</v>
      </c>
      <c r="BE146" s="403">
        <f>'Portefeuille SP2'!AQ158</f>
        <v>1</v>
      </c>
      <c r="BF146" s="403">
        <f>'Portefeuille SP2'!AR158</f>
        <v>1</v>
      </c>
      <c r="BG146" s="403" t="e">
        <f>'Portefeuille SP2'!#REF!</f>
        <v>#REF!</v>
      </c>
      <c r="BH146" s="403" t="e">
        <f>'Portefeuille SP2'!#REF!</f>
        <v>#REF!</v>
      </c>
      <c r="BI146" s="403" t="e">
        <f>'Portefeuille SP2'!#REF!</f>
        <v>#REF!</v>
      </c>
      <c r="BJ146" s="403" t="e">
        <f>'Portefeuille SP2'!#REF!</f>
        <v>#REF!</v>
      </c>
      <c r="BK146" s="403" t="e">
        <f>'Portefeuille SP2'!#REF!</f>
        <v>#REF!</v>
      </c>
      <c r="BL146" s="388"/>
      <c r="BM146" s="404" t="str">
        <f>'Portefeuille SP2'!L158</f>
        <v>28/05/2025 CHANTIER MASSE : Créer une MeG</v>
      </c>
    </row>
    <row r="147" spans="1:65" ht="15" customHeight="1">
      <c r="A147" s="383">
        <f>'Portefeuille SP2'!B159</f>
        <v>0</v>
      </c>
      <c r="B147" s="390" t="str">
        <f>'Portefeuille SP2'!Q159</f>
        <v>CANCELED</v>
      </c>
      <c r="C147" s="384"/>
      <c r="D147" s="382" t="str">
        <f>'Portefeuille SP2'!E159</f>
        <v>TH</v>
      </c>
      <c r="E147" s="382" t="str">
        <f t="shared" si="12"/>
        <v>BIW</v>
      </c>
      <c r="F147" s="382" t="str">
        <f t="shared" si="13"/>
        <v/>
      </c>
      <c r="G147" s="382" t="str">
        <f>'Portefeuille SP2'!C159</f>
        <v>SP2</v>
      </c>
      <c r="H147" s="382">
        <f>'Portefeuille SP2'!F159</f>
        <v>0</v>
      </c>
      <c r="I147" s="382"/>
      <c r="J147" s="382" t="str">
        <f>'Portefeuille SP2'!D159</f>
        <v xml:space="preserve">BIW </v>
      </c>
      <c r="K147" s="385" t="str">
        <f>'Portefeuille SP2'!H159</f>
        <v>Roof Arch Reinforcer</v>
      </c>
      <c r="L147" s="157">
        <f>'Portefeuille SP2'!U159</f>
        <v>0.75</v>
      </c>
      <c r="M147" s="386"/>
      <c r="N147" s="386"/>
      <c r="O147" s="386"/>
      <c r="P147" s="387">
        <f>'Portefeuille SP2'!M159</f>
        <v>0</v>
      </c>
      <c r="Q147" s="387"/>
      <c r="R147" s="387">
        <f>'Portefeuille SP2'!N159</f>
        <v>1.5</v>
      </c>
      <c r="S147" s="387"/>
      <c r="T147" s="382" t="str">
        <f>'Portefeuille SP2'!R159</f>
        <v>TBD</v>
      </c>
      <c r="U147" s="387" t="str">
        <f>'Portefeuille SP2'!K159</f>
        <v>CM+sync1</v>
      </c>
      <c r="V147" s="399">
        <f>'Portefeuille SP2'!S159</f>
        <v>0.75</v>
      </c>
      <c r="W147" s="387"/>
      <c r="X147" s="387"/>
      <c r="Y147" s="387"/>
      <c r="Z147" s="387"/>
      <c r="AA147" s="387"/>
      <c r="AB147" s="387"/>
      <c r="AC147" s="387"/>
      <c r="AD147" s="387"/>
      <c r="AE147" s="400" t="str">
        <f>'Portefeuille SP2'!J159</f>
        <v>24/09/2024 LM - ligne à Cancel - ne sera pas appliqué.
to pass to 100%</v>
      </c>
      <c r="AF147" s="387"/>
      <c r="AG147" s="387"/>
      <c r="AH147" s="389"/>
      <c r="AI147" s="389"/>
      <c r="AJ147" s="403">
        <f>'Portefeuille SP2'!V159</f>
        <v>0</v>
      </c>
      <c r="AK147" s="403">
        <f>'Portefeuille SP2'!W159</f>
        <v>0</v>
      </c>
      <c r="AL147" s="403">
        <f>'Portefeuille SP2'!X159</f>
        <v>0</v>
      </c>
      <c r="AM147" s="403">
        <f>'Portefeuille SP2'!Y159</f>
        <v>1</v>
      </c>
      <c r="AN147" s="403">
        <f>'Portefeuille SP2'!Z159</f>
        <v>1</v>
      </c>
      <c r="AO147" s="403">
        <f>'Portefeuille SP2'!AA159</f>
        <v>0</v>
      </c>
      <c r="AP147" s="403">
        <f>'Portefeuille SP2'!AB159</f>
        <v>0</v>
      </c>
      <c r="AQ147" s="403">
        <f>'Portefeuille SP2'!AC159</f>
        <v>1</v>
      </c>
      <c r="AR147" s="403">
        <f>'Portefeuille SP2'!AD159</f>
        <v>1</v>
      </c>
      <c r="AS147" s="403">
        <f>'Portefeuille SP2'!AE159</f>
        <v>0</v>
      </c>
      <c r="AT147" s="403">
        <f>'Portefeuille SP2'!AF159</f>
        <v>0</v>
      </c>
      <c r="AU147" s="403">
        <f>'Portefeuille SP2'!AG159</f>
        <v>0</v>
      </c>
      <c r="AV147" s="403">
        <f>'Portefeuille SP2'!AH159</f>
        <v>1</v>
      </c>
      <c r="AW147" s="403">
        <f>'Portefeuille SP2'!AI159</f>
        <v>1</v>
      </c>
      <c r="AX147" s="403">
        <f>'Portefeuille SP2'!AJ159</f>
        <v>0</v>
      </c>
      <c r="AY147" s="403">
        <f>'Portefeuille SP2'!AK159</f>
        <v>0</v>
      </c>
      <c r="AZ147" s="403">
        <f>'Portefeuille SP2'!AL159</f>
        <v>1</v>
      </c>
      <c r="BA147" s="403">
        <f>'Portefeuille SP2'!AM159</f>
        <v>1</v>
      </c>
      <c r="BB147" s="403">
        <f>'Portefeuille SP2'!AN159</f>
        <v>0</v>
      </c>
      <c r="BC147" s="403">
        <f>'Portefeuille SP2'!AO159</f>
        <v>0</v>
      </c>
      <c r="BD147" s="403">
        <f>'Portefeuille SP2'!AP159</f>
        <v>0</v>
      </c>
      <c r="BE147" s="403">
        <f>'Portefeuille SP2'!AQ159</f>
        <v>1</v>
      </c>
      <c r="BF147" s="403">
        <f>'Portefeuille SP2'!AR159</f>
        <v>1</v>
      </c>
      <c r="BG147" s="403" t="e">
        <f>'Portefeuille SP2'!#REF!</f>
        <v>#REF!</v>
      </c>
      <c r="BH147" s="403" t="e">
        <f>'Portefeuille SP2'!#REF!</f>
        <v>#REF!</v>
      </c>
      <c r="BI147" s="403" t="e">
        <f>'Portefeuille SP2'!#REF!</f>
        <v>#REF!</v>
      </c>
      <c r="BJ147" s="403" t="e">
        <f>'Portefeuille SP2'!#REF!</f>
        <v>#REF!</v>
      </c>
      <c r="BK147" s="403" t="e">
        <f>'Portefeuille SP2'!#REF!</f>
        <v>#REF!</v>
      </c>
      <c r="BL147" s="388"/>
      <c r="BM147" s="404" t="str">
        <f>'Portefeuille SP2'!L159</f>
        <v xml:space="preserve">risk out à confirmer avec le metier </v>
      </c>
    </row>
    <row r="148" spans="1:65" ht="15" customHeight="1">
      <c r="A148" s="383">
        <f>'Portefeuille SP2'!B160</f>
        <v>0</v>
      </c>
      <c r="B148" s="390" t="str">
        <f>'Portefeuille SP2'!Q160</f>
        <v>CANCELED</v>
      </c>
      <c r="C148" s="384"/>
      <c r="D148" s="382" t="str">
        <f>'Portefeuille SP2'!E160</f>
        <v>TH</v>
      </c>
      <c r="E148" s="382" t="str">
        <f t="shared" si="12"/>
        <v>BIW</v>
      </c>
      <c r="F148" s="382" t="str">
        <f t="shared" si="13"/>
        <v/>
      </c>
      <c r="G148" s="382" t="str">
        <f>'Portefeuille SP2'!C160</f>
        <v>SP2</v>
      </c>
      <c r="H148" s="382">
        <f>'Portefeuille SP2'!F160</f>
        <v>0</v>
      </c>
      <c r="I148" s="382"/>
      <c r="J148" s="382" t="str">
        <f>'Portefeuille SP2'!D160</f>
        <v xml:space="preserve">BIW </v>
      </c>
      <c r="K148" s="385">
        <f>'Portefeuille SP2'!H160</f>
        <v>0</v>
      </c>
      <c r="L148" s="157">
        <f>'Portefeuille SP2'!U160</f>
        <v>0.1</v>
      </c>
      <c r="M148" s="386"/>
      <c r="N148" s="386"/>
      <c r="O148" s="386"/>
      <c r="P148" s="387">
        <f>'Portefeuille SP2'!M160</f>
        <v>0</v>
      </c>
      <c r="Q148" s="387"/>
      <c r="R148" s="387">
        <f>'Portefeuille SP2'!N160</f>
        <v>1.3</v>
      </c>
      <c r="S148" s="387"/>
      <c r="T148" s="382" t="str">
        <f>'Portefeuille SP2'!R160</f>
        <v>TBD</v>
      </c>
      <c r="U148" s="387" t="str">
        <f>'Portefeuille SP2'!K160</f>
        <v>sync1</v>
      </c>
      <c r="V148" s="399">
        <f>'Portefeuille SP2'!S160</f>
        <v>0.1</v>
      </c>
      <c r="W148" s="387"/>
      <c r="X148" s="387"/>
      <c r="Y148" s="387"/>
      <c r="Z148" s="387"/>
      <c r="AA148" s="387"/>
      <c r="AB148" s="387"/>
      <c r="AC148" s="387"/>
      <c r="AD148" s="387"/>
      <c r="AE148" s="400" t="str">
        <f>'Portefeuille SP2'!J160</f>
        <v>24/09/2024 -LM- à supprimer car suppression du raidisseur car softnose
Not in ref projet</v>
      </c>
      <c r="AF148" s="387"/>
      <c r="AG148" s="387"/>
      <c r="AH148" s="389"/>
      <c r="AI148" s="389"/>
      <c r="AJ148" s="403">
        <f>'Portefeuille SP2'!V160</f>
        <v>0</v>
      </c>
      <c r="AK148" s="403">
        <f>'Portefeuille SP2'!W160</f>
        <v>0</v>
      </c>
      <c r="AL148" s="403">
        <f>'Portefeuille SP2'!X160</f>
        <v>0</v>
      </c>
      <c r="AM148" s="403">
        <f>'Portefeuille SP2'!Y160</f>
        <v>1</v>
      </c>
      <c r="AN148" s="403">
        <f>'Portefeuille SP2'!Z160</f>
        <v>1</v>
      </c>
      <c r="AO148" s="403">
        <f>'Portefeuille SP2'!AA160</f>
        <v>0</v>
      </c>
      <c r="AP148" s="403">
        <f>'Portefeuille SP2'!AB160</f>
        <v>0</v>
      </c>
      <c r="AQ148" s="403">
        <f>'Portefeuille SP2'!AC160</f>
        <v>1</v>
      </c>
      <c r="AR148" s="403">
        <f>'Portefeuille SP2'!AD160</f>
        <v>1</v>
      </c>
      <c r="AS148" s="403">
        <f>'Portefeuille SP2'!AE160</f>
        <v>0</v>
      </c>
      <c r="AT148" s="403">
        <f>'Portefeuille SP2'!AF160</f>
        <v>0</v>
      </c>
      <c r="AU148" s="403">
        <f>'Portefeuille SP2'!AG160</f>
        <v>0</v>
      </c>
      <c r="AV148" s="403">
        <f>'Portefeuille SP2'!AH160</f>
        <v>1</v>
      </c>
      <c r="AW148" s="403">
        <f>'Portefeuille SP2'!AI160</f>
        <v>1</v>
      </c>
      <c r="AX148" s="403">
        <f>'Portefeuille SP2'!AJ160</f>
        <v>0</v>
      </c>
      <c r="AY148" s="403">
        <f>'Portefeuille SP2'!AK160</f>
        <v>0</v>
      </c>
      <c r="AZ148" s="403">
        <f>'Portefeuille SP2'!AL160</f>
        <v>1</v>
      </c>
      <c r="BA148" s="403">
        <f>'Portefeuille SP2'!AM160</f>
        <v>1</v>
      </c>
      <c r="BB148" s="403">
        <f>'Portefeuille SP2'!AN160</f>
        <v>0</v>
      </c>
      <c r="BC148" s="403">
        <f>'Portefeuille SP2'!AO160</f>
        <v>0</v>
      </c>
      <c r="BD148" s="403">
        <f>'Portefeuille SP2'!AP160</f>
        <v>0</v>
      </c>
      <c r="BE148" s="403">
        <f>'Portefeuille SP2'!AQ160</f>
        <v>1</v>
      </c>
      <c r="BF148" s="403">
        <f>'Portefeuille SP2'!AR160</f>
        <v>1</v>
      </c>
      <c r="BG148" s="403" t="e">
        <f>'Portefeuille SP2'!#REF!</f>
        <v>#REF!</v>
      </c>
      <c r="BH148" s="403" t="e">
        <f>'Portefeuille SP2'!#REF!</f>
        <v>#REF!</v>
      </c>
      <c r="BI148" s="403" t="e">
        <f>'Portefeuille SP2'!#REF!</f>
        <v>#REF!</v>
      </c>
      <c r="BJ148" s="403" t="e">
        <f>'Portefeuille SP2'!#REF!</f>
        <v>#REF!</v>
      </c>
      <c r="BK148" s="403" t="e">
        <f>'Portefeuille SP2'!#REF!</f>
        <v>#REF!</v>
      </c>
      <c r="BL148" s="388"/>
      <c r="BM148" s="404">
        <f>'Portefeuille SP2'!L160</f>
        <v>0</v>
      </c>
    </row>
    <row r="149" spans="1:65" ht="15" customHeight="1">
      <c r="A149" s="383" t="str">
        <f>'Portefeuille SP2'!B161</f>
        <v>10/06/2025</v>
      </c>
      <c r="B149" s="390" t="str">
        <f>'Portefeuille SP2'!Q161</f>
        <v>IN PROGRESS</v>
      </c>
      <c r="C149" s="384"/>
      <c r="D149" s="382" t="str">
        <f>'Portefeuille SP2'!E161</f>
        <v>TH</v>
      </c>
      <c r="E149" s="382" t="str">
        <f t="shared" si="12"/>
        <v>All</v>
      </c>
      <c r="F149" s="382" t="str">
        <f>MID(J149, 4, 20)</f>
        <v/>
      </c>
      <c r="G149" s="382" t="str">
        <f>'Portefeuille SP2'!C161</f>
        <v>SP1</v>
      </c>
      <c r="H149" s="382" t="str">
        <f>'Portefeuille SP2'!F161</f>
        <v>all</v>
      </c>
      <c r="I149" s="428" t="s">
        <v>1212</v>
      </c>
      <c r="J149" s="382" t="str">
        <f>'Portefeuille SP2'!D161</f>
        <v>All</v>
      </c>
      <c r="K149" s="385" t="str">
        <f>'Portefeuille SP2'!H161</f>
        <v>Common parts P1HX</v>
      </c>
      <c r="L149" s="157">
        <f>'Portefeuille SP2'!U161</f>
        <v>-1</v>
      </c>
      <c r="M149" s="386"/>
      <c r="N149" s="386"/>
      <c r="O149" s="386"/>
      <c r="P149" s="400">
        <f>'Portefeuille SP2'!M161</f>
        <v>0</v>
      </c>
      <c r="Q149" s="387"/>
      <c r="R149" s="387">
        <f>'Portefeuille SP2'!N161</f>
        <v>0</v>
      </c>
      <c r="S149" s="387"/>
      <c r="T149" s="382">
        <f>'Portefeuille SP2'!R161</f>
        <v>0</v>
      </c>
      <c r="U149" s="387">
        <f>'Portefeuille SP2'!K161</f>
        <v>0</v>
      </c>
      <c r="V149" s="399">
        <f>'Portefeuille SP2'!S161</f>
        <v>1</v>
      </c>
      <c r="W149" s="387"/>
      <c r="X149" s="387"/>
      <c r="Y149" s="387"/>
      <c r="Z149" s="387"/>
      <c r="AA149" s="387"/>
      <c r="AB149" s="387"/>
      <c r="AC149" s="387"/>
      <c r="AD149" s="387"/>
      <c r="AE149" s="408" t="str">
        <f>'Portefeuille SP2'!J161</f>
        <v>CP P1H Sébastien Dupuis</v>
      </c>
      <c r="AF149" s="387"/>
      <c r="AG149" s="387"/>
      <c r="AH149" s="389"/>
      <c r="AI149" s="389"/>
      <c r="AJ149" s="403">
        <f>'Portefeuille SP2'!V161</f>
        <v>1</v>
      </c>
      <c r="AK149" s="403">
        <f>'Portefeuille SP2'!W161</f>
        <v>1</v>
      </c>
      <c r="AL149" s="403">
        <f>'Portefeuille SP2'!X161</f>
        <v>1</v>
      </c>
      <c r="AM149" s="403">
        <f>'Portefeuille SP2'!Y161</f>
        <v>1</v>
      </c>
      <c r="AN149" s="403">
        <f>'Portefeuille SP2'!Z161</f>
        <v>1</v>
      </c>
      <c r="AO149" s="403">
        <f>'Portefeuille SP2'!AA161</f>
        <v>1</v>
      </c>
      <c r="AP149" s="403">
        <f>'Portefeuille SP2'!AB161</f>
        <v>1</v>
      </c>
      <c r="AQ149" s="403">
        <f>'Portefeuille SP2'!AC161</f>
        <v>1</v>
      </c>
      <c r="AR149" s="403">
        <f>'Portefeuille SP2'!AD161</f>
        <v>1</v>
      </c>
      <c r="AS149" s="403">
        <f>'Portefeuille SP2'!AE161</f>
        <v>1</v>
      </c>
      <c r="AT149" s="403">
        <f>'Portefeuille SP2'!AF161</f>
        <v>1</v>
      </c>
      <c r="AU149" s="403">
        <f>'Portefeuille SP2'!AG161</f>
        <v>1</v>
      </c>
      <c r="AV149" s="403">
        <f>'Portefeuille SP2'!AH161</f>
        <v>1</v>
      </c>
      <c r="AW149" s="403">
        <f>'Portefeuille SP2'!AI161</f>
        <v>1</v>
      </c>
      <c r="AX149" s="403">
        <f>'Portefeuille SP2'!AJ161</f>
        <v>1</v>
      </c>
      <c r="AY149" s="403">
        <f>'Portefeuille SP2'!AK161</f>
        <v>1</v>
      </c>
      <c r="AZ149" s="403">
        <f>'Portefeuille SP2'!AL161</f>
        <v>1</v>
      </c>
      <c r="BA149" s="403">
        <f>'Portefeuille SP2'!AM161</f>
        <v>1</v>
      </c>
      <c r="BB149" s="403">
        <f>'Portefeuille SP2'!AN161</f>
        <v>1</v>
      </c>
      <c r="BC149" s="403">
        <f>'Portefeuille SP2'!AO161</f>
        <v>1</v>
      </c>
      <c r="BD149" s="403">
        <f>'Portefeuille SP2'!AP161</f>
        <v>1</v>
      </c>
      <c r="BE149" s="403">
        <f>'Portefeuille SP2'!AQ161</f>
        <v>1</v>
      </c>
      <c r="BF149" s="403">
        <f>'Portefeuille SP2'!AR161</f>
        <v>1</v>
      </c>
      <c r="BG149" s="403" t="e">
        <f>'Portefeuille SP2'!#REF!</f>
        <v>#REF!</v>
      </c>
      <c r="BH149" s="403" t="e">
        <f>'Portefeuille SP2'!#REF!</f>
        <v>#REF!</v>
      </c>
      <c r="BI149" s="403" t="e">
        <f>'Portefeuille SP2'!#REF!</f>
        <v>#REF!</v>
      </c>
      <c r="BJ149" s="403" t="e">
        <f>'Portefeuille SP2'!#REF!</f>
        <v>#REF!</v>
      </c>
      <c r="BK149" s="403" t="e">
        <f>'Portefeuille SP2'!#REF!</f>
        <v>#REF!</v>
      </c>
      <c r="BL149" s="388"/>
      <c r="BM149" s="404" t="str">
        <f>'Portefeuille SP2'!L161</f>
        <v>02/07/2025 Du périmètre commun (182kg) =&gt; n'est optimisable que ~52kg [passe à -1kg]
10/06/2025 Effort d'allégement sur les pièces communes P1HX (-2%)</v>
      </c>
    </row>
    <row r="150" spans="1:65" ht="15" customHeight="1">
      <c r="A150" s="383">
        <f>'Portefeuille SP2'!B162</f>
        <v>0</v>
      </c>
      <c r="B150" s="390" t="str">
        <f>'Portefeuille SP2'!Q162</f>
        <v>DECIDED</v>
      </c>
      <c r="C150" s="384"/>
      <c r="D150" s="382" t="str">
        <f>'Portefeuille SP2'!E162</f>
        <v>TH</v>
      </c>
      <c r="E150" s="382" t="str">
        <f t="shared" si="12"/>
        <v>BIW</v>
      </c>
      <c r="F150" s="382" t="str">
        <f t="shared" si="13"/>
        <v/>
      </c>
      <c r="G150" s="382" t="str">
        <f>'Portefeuille SP2'!C162</f>
        <v>SP2</v>
      </c>
      <c r="H150" s="382">
        <f>'Portefeuille SP2'!F162</f>
        <v>0</v>
      </c>
      <c r="I150" s="382"/>
      <c r="J150" s="382" t="str">
        <f>'Portefeuille SP2'!D162</f>
        <v xml:space="preserve">BIW </v>
      </c>
      <c r="K150" s="385" t="str">
        <f>'Portefeuille SP2'!H162</f>
        <v xml:space="preserve">Hood side reduction </v>
      </c>
      <c r="L150" s="157">
        <f>'Portefeuille SP2'!U162</f>
        <v>1.46</v>
      </c>
      <c r="M150" s="386"/>
      <c r="N150" s="386"/>
      <c r="O150" s="386"/>
      <c r="P150" s="387">
        <f>'Portefeuille SP2'!M162</f>
        <v>0</v>
      </c>
      <c r="Q150" s="387"/>
      <c r="R150" s="387">
        <f>'Portefeuille SP2'!N162</f>
        <v>-0.65</v>
      </c>
      <c r="S150" s="387"/>
      <c r="T150" s="382" t="str">
        <f>'Portefeuille SP2'!R162</f>
        <v>TBD</v>
      </c>
      <c r="U150" s="387" t="str">
        <f>'Portefeuille SP2'!K162</f>
        <v>decided</v>
      </c>
      <c r="V150" s="399">
        <f>'Portefeuille SP2'!S162</f>
        <v>1</v>
      </c>
      <c r="W150" s="387"/>
      <c r="X150" s="387"/>
      <c r="Y150" s="387"/>
      <c r="Z150" s="387"/>
      <c r="AA150" s="387"/>
      <c r="AB150" s="387"/>
      <c r="AC150" s="387"/>
      <c r="AD150" s="387"/>
      <c r="AE150" s="400" t="str">
        <f>'Portefeuille SP2'!J162</f>
        <v>08/10/2024: BDD à jour
Valable pour O3H.</v>
      </c>
      <c r="AF150" s="387"/>
      <c r="AG150" s="387"/>
      <c r="AH150" s="389"/>
      <c r="AI150" s="389"/>
      <c r="AJ150" s="403">
        <f>'Portefeuille SP2'!V162</f>
        <v>0</v>
      </c>
      <c r="AK150" s="403">
        <f>'Portefeuille SP2'!W162</f>
        <v>0</v>
      </c>
      <c r="AL150" s="403">
        <f>'Portefeuille SP2'!X162</f>
        <v>0</v>
      </c>
      <c r="AM150" s="403">
        <f>'Portefeuille SP2'!Y162</f>
        <v>1</v>
      </c>
      <c r="AN150" s="403">
        <f>'Portefeuille SP2'!Z162</f>
        <v>1</v>
      </c>
      <c r="AO150" s="403">
        <f>'Portefeuille SP2'!AA162</f>
        <v>0</v>
      </c>
      <c r="AP150" s="403">
        <f>'Portefeuille SP2'!AB162</f>
        <v>0</v>
      </c>
      <c r="AQ150" s="403">
        <f>'Portefeuille SP2'!AC162</f>
        <v>1</v>
      </c>
      <c r="AR150" s="403">
        <f>'Portefeuille SP2'!AD162</f>
        <v>1</v>
      </c>
      <c r="AS150" s="403">
        <f>'Portefeuille SP2'!AE162</f>
        <v>0</v>
      </c>
      <c r="AT150" s="403">
        <f>'Portefeuille SP2'!AF162</f>
        <v>0</v>
      </c>
      <c r="AU150" s="403">
        <f>'Portefeuille SP2'!AG162</f>
        <v>0</v>
      </c>
      <c r="AV150" s="403">
        <f>'Portefeuille SP2'!AH162</f>
        <v>1</v>
      </c>
      <c r="AW150" s="403">
        <f>'Portefeuille SP2'!AI162</f>
        <v>1</v>
      </c>
      <c r="AX150" s="403">
        <f>'Portefeuille SP2'!AJ162</f>
        <v>0</v>
      </c>
      <c r="AY150" s="403">
        <f>'Portefeuille SP2'!AK162</f>
        <v>0</v>
      </c>
      <c r="AZ150" s="403">
        <f>'Portefeuille SP2'!AL162</f>
        <v>1</v>
      </c>
      <c r="BA150" s="403">
        <f>'Portefeuille SP2'!AM162</f>
        <v>1</v>
      </c>
      <c r="BB150" s="403">
        <f>'Portefeuille SP2'!AN162</f>
        <v>0</v>
      </c>
      <c r="BC150" s="403">
        <f>'Portefeuille SP2'!AO162</f>
        <v>0</v>
      </c>
      <c r="BD150" s="403">
        <f>'Portefeuille SP2'!AP162</f>
        <v>0</v>
      </c>
      <c r="BE150" s="403">
        <f>'Portefeuille SP2'!AQ162</f>
        <v>1</v>
      </c>
      <c r="BF150" s="403">
        <f>'Portefeuille SP2'!AR162</f>
        <v>1</v>
      </c>
      <c r="BG150" s="403" t="e">
        <f>'Portefeuille SP2'!#REF!</f>
        <v>#REF!</v>
      </c>
      <c r="BH150" s="403" t="e">
        <f>'Portefeuille SP2'!#REF!</f>
        <v>#REF!</v>
      </c>
      <c r="BI150" s="403" t="e">
        <f>'Portefeuille SP2'!#REF!</f>
        <v>#REF!</v>
      </c>
      <c r="BJ150" s="403" t="e">
        <f>'Portefeuille SP2'!#REF!</f>
        <v>#REF!</v>
      </c>
      <c r="BK150" s="403" t="e">
        <f>'Portefeuille SP2'!#REF!</f>
        <v>#REF!</v>
      </c>
      <c r="BL150" s="388"/>
      <c r="BM150" s="404">
        <f>'Portefeuille SP2'!L162</f>
        <v>0</v>
      </c>
    </row>
    <row r="151" spans="1:65" ht="15" customHeight="1">
      <c r="A151" s="383">
        <f>'Portefeuille SP2'!B163</f>
        <v>45536</v>
      </c>
      <c r="B151" s="390" t="str">
        <f>'Portefeuille SP2'!Q163</f>
        <v>CANCELED</v>
      </c>
      <c r="C151" s="384"/>
      <c r="D151" s="382" t="str">
        <f>'Portefeuille SP2'!E163</f>
        <v>TH</v>
      </c>
      <c r="E151" s="382" t="str">
        <f t="shared" si="12"/>
        <v>INT</v>
      </c>
      <c r="F151" s="382" t="str">
        <f t="shared" ref="F151:F152" si="15">MID(J151, 4, 20)</f>
        <v xml:space="preserve"> - PDB/CONSOLE</v>
      </c>
      <c r="G151" s="382" t="str">
        <f>'Portefeuille SP2'!C163</f>
        <v>SP1</v>
      </c>
      <c r="H151" s="382" t="str">
        <f>'Portefeuille SP2'!F163</f>
        <v>FREDERIC BRUNIER</v>
      </c>
      <c r="I151" s="428" t="s">
        <v>1212</v>
      </c>
      <c r="J151" s="382" t="str">
        <f>'Portefeuille SP2'!D163</f>
        <v>INT - PDB/CONSOLE</v>
      </c>
      <c r="K151" s="385" t="str">
        <f>'Portefeuille SP2'!H163</f>
        <v>Raw material Change</v>
      </c>
      <c r="L151" s="157">
        <f>'Portefeuille SP2'!U163</f>
        <v>-0.33500000000000002</v>
      </c>
      <c r="M151" s="386"/>
      <c r="N151" s="386"/>
      <c r="O151" s="386"/>
      <c r="P151" s="400" t="str">
        <f>'Portefeuille SP2'!M163</f>
        <v>TBD</v>
      </c>
      <c r="Q151" s="387"/>
      <c r="R151" s="387" t="str">
        <f>'Portefeuille SP2'!N163</f>
        <v>TBD</v>
      </c>
      <c r="S151" s="387"/>
      <c r="T151" s="382">
        <f>'Portefeuille SP2'!R163</f>
        <v>0</v>
      </c>
      <c r="U151" s="387" t="str">
        <f>'Portefeuille SP2'!K163</f>
        <v>W09/2025 door pannel supplier award
IP: Make
?????? Attente Valérie</v>
      </c>
      <c r="V151" s="399">
        <f>'Portefeuille SP2'!S163</f>
        <v>0.5</v>
      </c>
      <c r="W151" s="387"/>
      <c r="X151" s="387"/>
      <c r="Y151" s="387"/>
      <c r="Z151" s="387"/>
      <c r="AA151" s="387"/>
      <c r="AB151" s="387"/>
      <c r="AC151" s="387"/>
      <c r="AD151" s="387"/>
      <c r="AE151" s="408" t="str">
        <f>'Portefeuille SP2'!J163</f>
        <v>16/02/2026 Lm Ligne à supprimer
24/06/2025 à confirmer au restart
24/09/2024 LM - supprimer ligne 130 et garder celle-ci
08/07 : passage en matière NAFI (recyclée - 20% de fibres de chanvre), gain CO2 … gain masse de 15% sur le perimètre concerné (IP, CONSOLE &amp; DP)
proposition de split en 2 avec DP ( voir Valérie)</v>
      </c>
      <c r="AF151" s="387"/>
      <c r="AG151" s="387"/>
      <c r="AH151" s="389"/>
      <c r="AI151" s="389"/>
      <c r="AJ151" s="403">
        <f>'Portefeuille SP2'!V163</f>
        <v>1</v>
      </c>
      <c r="AK151" s="403">
        <f>'Portefeuille SP2'!W163</f>
        <v>1</v>
      </c>
      <c r="AL151" s="403">
        <f>'Portefeuille SP2'!X163</f>
        <v>1</v>
      </c>
      <c r="AM151" s="403">
        <f>'Portefeuille SP2'!Y163</f>
        <v>1</v>
      </c>
      <c r="AN151" s="403">
        <f>'Portefeuille SP2'!Z163</f>
        <v>1</v>
      </c>
      <c r="AO151" s="403">
        <f>'Portefeuille SP2'!AA163</f>
        <v>1</v>
      </c>
      <c r="AP151" s="403">
        <f>'Portefeuille SP2'!AB163</f>
        <v>1</v>
      </c>
      <c r="AQ151" s="403">
        <f>'Portefeuille SP2'!AC163</f>
        <v>1</v>
      </c>
      <c r="AR151" s="403">
        <f>'Portefeuille SP2'!AD163</f>
        <v>1</v>
      </c>
      <c r="AS151" s="403">
        <f>'Portefeuille SP2'!AE163</f>
        <v>1</v>
      </c>
      <c r="AT151" s="403">
        <f>'Portefeuille SP2'!AF163</f>
        <v>1</v>
      </c>
      <c r="AU151" s="403">
        <f>'Portefeuille SP2'!AG163</f>
        <v>1</v>
      </c>
      <c r="AV151" s="403">
        <f>'Portefeuille SP2'!AH163</f>
        <v>1</v>
      </c>
      <c r="AW151" s="403">
        <f>'Portefeuille SP2'!AI163</f>
        <v>1</v>
      </c>
      <c r="AX151" s="403">
        <f>'Portefeuille SP2'!AJ163</f>
        <v>1</v>
      </c>
      <c r="AY151" s="403">
        <f>'Portefeuille SP2'!AK163</f>
        <v>1</v>
      </c>
      <c r="AZ151" s="403">
        <f>'Portefeuille SP2'!AL163</f>
        <v>1</v>
      </c>
      <c r="BA151" s="403">
        <f>'Portefeuille SP2'!AM163</f>
        <v>1</v>
      </c>
      <c r="BB151" s="403">
        <f>'Portefeuille SP2'!AN163</f>
        <v>1</v>
      </c>
      <c r="BC151" s="403">
        <f>'Portefeuille SP2'!AO163</f>
        <v>1</v>
      </c>
      <c r="BD151" s="403">
        <f>'Portefeuille SP2'!AP163</f>
        <v>1</v>
      </c>
      <c r="BE151" s="403">
        <f>'Portefeuille SP2'!AQ163</f>
        <v>1</v>
      </c>
      <c r="BF151" s="403">
        <f>'Portefeuille SP2'!AR163</f>
        <v>1</v>
      </c>
      <c r="BG151" s="403" t="e">
        <f>'Portefeuille SP2'!#REF!</f>
        <v>#REF!</v>
      </c>
      <c r="BH151" s="403" t="e">
        <f>'Portefeuille SP2'!#REF!</f>
        <v>#REF!</v>
      </c>
      <c r="BI151" s="403" t="e">
        <f>'Portefeuille SP2'!#REF!</f>
        <v>#REF!</v>
      </c>
      <c r="BJ151" s="403" t="e">
        <f>'Portefeuille SP2'!#REF!</f>
        <v>#REF!</v>
      </c>
      <c r="BK151" s="403" t="e">
        <f>'Portefeuille SP2'!#REF!</f>
        <v>#REF!</v>
      </c>
      <c r="BL151" s="388"/>
      <c r="BM151" s="404">
        <f>'Portefeuille SP2'!L163</f>
        <v>0</v>
      </c>
    </row>
    <row r="152" spans="1:65" ht="15" customHeight="1">
      <c r="A152" s="383" t="str">
        <f>'Portefeuille SP2'!B166</f>
        <v>03/09/2024</v>
      </c>
      <c r="B152" s="390" t="str">
        <f>'Portefeuille SP2'!Q166</f>
        <v>DECIDED</v>
      </c>
      <c r="C152" s="384"/>
      <c r="D152" s="382" t="str">
        <f>'Portefeuille SP2'!E166</f>
        <v>TH</v>
      </c>
      <c r="E152" s="382" t="str">
        <f t="shared" si="12"/>
        <v>DIW</v>
      </c>
      <c r="F152" s="382" t="str">
        <f t="shared" si="15"/>
        <v/>
      </c>
      <c r="G152" s="382" t="str">
        <f>'Portefeuille SP2'!C166</f>
        <v>SP1</v>
      </c>
      <c r="H152" s="382" t="str">
        <f>'Portefeuille SP2'!F166</f>
        <v>Damien Demougeot/
Cyrille P1X</v>
      </c>
      <c r="I152" s="428" t="s">
        <v>1212</v>
      </c>
      <c r="J152" s="382" t="str">
        <f>'Portefeuille SP2'!D166</f>
        <v>DIW</v>
      </c>
      <c r="K152" s="385" t="str">
        <f>'Portefeuille SP2'!H166</f>
        <v>Panel AR_P1X: thickness 0.85</v>
      </c>
      <c r="L152" s="157">
        <f>'Portefeuille SP2'!U166</f>
        <v>-0.48</v>
      </c>
      <c r="M152" s="386"/>
      <c r="N152" s="386"/>
      <c r="O152" s="386"/>
      <c r="P152" s="400">
        <f>'Portefeuille SP2'!M166</f>
        <v>0</v>
      </c>
      <c r="Q152" s="387"/>
      <c r="R152" s="387">
        <f>'Portefeuille SP2'!N166</f>
        <v>0</v>
      </c>
      <c r="S152" s="387"/>
      <c r="T152" s="382">
        <f>'Portefeuille SP2'!R166</f>
        <v>0</v>
      </c>
      <c r="U152" s="387">
        <f>'Portefeuille SP2'!K166</f>
        <v>0</v>
      </c>
      <c r="V152" s="399">
        <f>'Portefeuille SP2'!S166</f>
        <v>1</v>
      </c>
      <c r="W152" s="387"/>
      <c r="X152" s="387"/>
      <c r="Y152" s="387"/>
      <c r="Z152" s="387"/>
      <c r="AA152" s="387"/>
      <c r="AB152" s="387"/>
      <c r="AC152" s="387"/>
      <c r="AD152" s="387"/>
      <c r="AE152" s="408" t="str">
        <f>'Portefeuille SP2'!J166</f>
        <v>06/02/2026 LM
Epaisseur à 0.65 appliqué sur les portes
sujet à supprimer</v>
      </c>
      <c r="AF152" s="387"/>
      <c r="AG152" s="387"/>
      <c r="AH152" s="389"/>
      <c r="AI152" s="389"/>
      <c r="AJ152" s="403">
        <f>'Portefeuille SP2'!V166</f>
        <v>1</v>
      </c>
      <c r="AK152" s="403">
        <f>'Portefeuille SP2'!W166</f>
        <v>1</v>
      </c>
      <c r="AL152" s="403">
        <f>'Portefeuille SP2'!X166</f>
        <v>1</v>
      </c>
      <c r="AM152" s="403">
        <f>'Portefeuille SP2'!Y166</f>
        <v>1</v>
      </c>
      <c r="AN152" s="403">
        <f>'Portefeuille SP2'!Z166</f>
        <v>1</v>
      </c>
      <c r="AO152" s="403">
        <f>'Portefeuille SP2'!AA166</f>
        <v>1</v>
      </c>
      <c r="AP152" s="403">
        <f>'Portefeuille SP2'!AB166</f>
        <v>1</v>
      </c>
      <c r="AQ152" s="403">
        <f>'Portefeuille SP2'!AC166</f>
        <v>1</v>
      </c>
      <c r="AR152" s="403">
        <f>'Portefeuille SP2'!AD166</f>
        <v>1</v>
      </c>
      <c r="AS152" s="403">
        <f>'Portefeuille SP2'!AE166</f>
        <v>1</v>
      </c>
      <c r="AT152" s="403">
        <f>'Portefeuille SP2'!AF166</f>
        <v>1</v>
      </c>
      <c r="AU152" s="403">
        <f>'Portefeuille SP2'!AG166</f>
        <v>1</v>
      </c>
      <c r="AV152" s="403">
        <f>'Portefeuille SP2'!AH166</f>
        <v>1</v>
      </c>
      <c r="AW152" s="403">
        <f>'Portefeuille SP2'!AI166</f>
        <v>1</v>
      </c>
      <c r="AX152" s="403">
        <f>'Portefeuille SP2'!AJ166</f>
        <v>1</v>
      </c>
      <c r="AY152" s="403">
        <f>'Portefeuille SP2'!AK166</f>
        <v>1</v>
      </c>
      <c r="AZ152" s="403">
        <f>'Portefeuille SP2'!AL166</f>
        <v>1</v>
      </c>
      <c r="BA152" s="403">
        <f>'Portefeuille SP2'!AM166</f>
        <v>1</v>
      </c>
      <c r="BB152" s="403">
        <f>'Portefeuille SP2'!AN166</f>
        <v>1</v>
      </c>
      <c r="BC152" s="403">
        <f>'Portefeuille SP2'!AO166</f>
        <v>1</v>
      </c>
      <c r="BD152" s="403">
        <f>'Portefeuille SP2'!AP166</f>
        <v>1</v>
      </c>
      <c r="BE152" s="403">
        <f>'Portefeuille SP2'!AQ166</f>
        <v>1</v>
      </c>
      <c r="BF152" s="403">
        <f>'Portefeuille SP2'!AR166</f>
        <v>1</v>
      </c>
      <c r="BG152" s="403" t="e">
        <f>'Portefeuille SP2'!#REF!</f>
        <v>#REF!</v>
      </c>
      <c r="BH152" s="403" t="e">
        <f>'Portefeuille SP2'!#REF!</f>
        <v>#REF!</v>
      </c>
      <c r="BI152" s="403" t="e">
        <f>'Portefeuille SP2'!#REF!</f>
        <v>#REF!</v>
      </c>
      <c r="BJ152" s="403" t="e">
        <f>'Portefeuille SP2'!#REF!</f>
        <v>#REF!</v>
      </c>
      <c r="BK152" s="403" t="e">
        <f>'Portefeuille SP2'!#REF!</f>
        <v>#REF!</v>
      </c>
      <c r="BL152" s="388"/>
      <c r="BM152" s="404" t="str">
        <f>'Portefeuille SP2'!L166</f>
        <v>03/09/2024 Retour Métier sur hypothèse Ref 
13/03/2024 NVH constraint (P21:0,65)
CW10 ref</v>
      </c>
    </row>
    <row r="153" spans="1:65" ht="15" customHeight="1">
      <c r="A153" s="383">
        <f>'Portefeuille SP2'!B167</f>
        <v>0</v>
      </c>
      <c r="B153" s="390" t="str">
        <f>'Portefeuille SP2'!Q167</f>
        <v>DECIDED</v>
      </c>
      <c r="C153" s="384"/>
      <c r="D153" s="382" t="str">
        <f>'Portefeuille SP2'!E167</f>
        <v>PTF</v>
      </c>
      <c r="E153" s="382" t="str">
        <f t="shared" si="12"/>
        <v>BIW</v>
      </c>
      <c r="F153" s="382" t="str">
        <f t="shared" si="13"/>
        <v/>
      </c>
      <c r="G153" s="382" t="str">
        <f>'Portefeuille SP2'!C167</f>
        <v>SP1</v>
      </c>
      <c r="H153" s="382">
        <f>'Portefeuille SP2'!F167</f>
        <v>0</v>
      </c>
      <c r="I153" s="382"/>
      <c r="J153" s="382" t="str">
        <f>'Portefeuille SP2'!D167</f>
        <v xml:space="preserve">BIW </v>
      </c>
      <c r="K153" s="385">
        <f>'Portefeuille SP2'!H167</f>
        <v>0</v>
      </c>
      <c r="L153" s="157">
        <f>'Portefeuille SP2'!U167</f>
        <v>-8.0000000000000016E-2</v>
      </c>
      <c r="M153" s="386"/>
      <c r="N153" s="386"/>
      <c r="O153" s="386"/>
      <c r="P153" s="387">
        <f>'Portefeuille SP2'!M167</f>
        <v>0</v>
      </c>
      <c r="Q153" s="387"/>
      <c r="R153" s="387">
        <f>'Portefeuille SP2'!N167</f>
        <v>10</v>
      </c>
      <c r="S153" s="387"/>
      <c r="T153" s="382" t="str">
        <f>'Portefeuille SP2'!R167</f>
        <v>TBD</v>
      </c>
      <c r="U153" s="387">
        <f>'Portefeuille SP2'!K167</f>
        <v>0</v>
      </c>
      <c r="V153" s="399">
        <f>'Portefeuille SP2'!S167</f>
        <v>0.2</v>
      </c>
      <c r="W153" s="387"/>
      <c r="X153" s="387"/>
      <c r="Y153" s="387"/>
      <c r="Z153" s="387"/>
      <c r="AA153" s="387"/>
      <c r="AB153" s="387"/>
      <c r="AC153" s="387"/>
      <c r="AD153" s="387"/>
      <c r="AE153" s="400">
        <f>'Portefeuille SP2'!J167</f>
        <v>0</v>
      </c>
      <c r="AF153" s="387"/>
      <c r="AG153" s="387"/>
      <c r="AH153" s="389"/>
      <c r="AI153" s="389"/>
      <c r="AJ153" s="403">
        <f>'Portefeuille SP2'!V167</f>
        <v>0</v>
      </c>
      <c r="AK153" s="403">
        <f>'Portefeuille SP2'!W167</f>
        <v>0</v>
      </c>
      <c r="AL153" s="403">
        <f>'Portefeuille SP2'!X167</f>
        <v>0</v>
      </c>
      <c r="AM153" s="403">
        <f>'Portefeuille SP2'!Y167</f>
        <v>1</v>
      </c>
      <c r="AN153" s="403">
        <f>'Portefeuille SP2'!Z167</f>
        <v>1</v>
      </c>
      <c r="AO153" s="403">
        <f>'Portefeuille SP2'!AA167</f>
        <v>0</v>
      </c>
      <c r="AP153" s="403">
        <f>'Portefeuille SP2'!AB167</f>
        <v>0</v>
      </c>
      <c r="AQ153" s="403">
        <f>'Portefeuille SP2'!AC167</f>
        <v>1</v>
      </c>
      <c r="AR153" s="403">
        <f>'Portefeuille SP2'!AD167</f>
        <v>1</v>
      </c>
      <c r="AS153" s="403">
        <f>'Portefeuille SP2'!AE167</f>
        <v>0</v>
      </c>
      <c r="AT153" s="403">
        <f>'Portefeuille SP2'!AF167</f>
        <v>0</v>
      </c>
      <c r="AU153" s="403">
        <f>'Portefeuille SP2'!AG167</f>
        <v>0</v>
      </c>
      <c r="AV153" s="403">
        <f>'Portefeuille SP2'!AH167</f>
        <v>1</v>
      </c>
      <c r="AW153" s="403">
        <f>'Portefeuille SP2'!AI167</f>
        <v>1</v>
      </c>
      <c r="AX153" s="403">
        <f>'Portefeuille SP2'!AJ167</f>
        <v>0</v>
      </c>
      <c r="AY153" s="403">
        <f>'Portefeuille SP2'!AK167</f>
        <v>0</v>
      </c>
      <c r="AZ153" s="403">
        <f>'Portefeuille SP2'!AL167</f>
        <v>1</v>
      </c>
      <c r="BA153" s="403">
        <f>'Portefeuille SP2'!AM167</f>
        <v>1</v>
      </c>
      <c r="BB153" s="403">
        <f>'Portefeuille SP2'!AN167</f>
        <v>0</v>
      </c>
      <c r="BC153" s="403">
        <f>'Portefeuille SP2'!AO167</f>
        <v>0</v>
      </c>
      <c r="BD153" s="403">
        <f>'Portefeuille SP2'!AP167</f>
        <v>0</v>
      </c>
      <c r="BE153" s="403">
        <f>'Portefeuille SP2'!AQ167</f>
        <v>1</v>
      </c>
      <c r="BF153" s="403">
        <f>'Portefeuille SP2'!AR167</f>
        <v>1</v>
      </c>
      <c r="BG153" s="403" t="e">
        <f>'Portefeuille SP2'!#REF!</f>
        <v>#REF!</v>
      </c>
      <c r="BH153" s="403" t="e">
        <f>'Portefeuille SP2'!#REF!</f>
        <v>#REF!</v>
      </c>
      <c r="BI153" s="403" t="e">
        <f>'Portefeuille SP2'!#REF!</f>
        <v>#REF!</v>
      </c>
      <c r="BJ153" s="403" t="e">
        <f>'Portefeuille SP2'!#REF!</f>
        <v>#REF!</v>
      </c>
      <c r="BK153" s="403" t="e">
        <f>'Portefeuille SP2'!#REF!</f>
        <v>#REF!</v>
      </c>
      <c r="BL153" s="388"/>
      <c r="BM153" s="404" t="str">
        <f>'Portefeuille SP2'!L167</f>
        <v>10/04/2024 : besoin d'avoir une vision sur la décli des AWD sur SP1 / SP2,
03/04/2024 : gain estimé hors bras ar inf. Suppose d'abord l'annulation du AWD du périmètre.</v>
      </c>
    </row>
    <row r="154" spans="1:65" ht="15" customHeight="1">
      <c r="A154" s="383">
        <f>'Portefeuille SP2'!B168</f>
        <v>0</v>
      </c>
      <c r="B154" s="390" t="str">
        <f>'Portefeuille SP2'!Q168</f>
        <v>DECIDED</v>
      </c>
      <c r="C154" s="384"/>
      <c r="D154" s="382" t="str">
        <f>'Portefeuille SP2'!E168</f>
        <v>PTF</v>
      </c>
      <c r="E154" s="382" t="str">
        <f t="shared" si="12"/>
        <v>BIW</v>
      </c>
      <c r="F154" s="382" t="str">
        <f t="shared" si="13"/>
        <v/>
      </c>
      <c r="G154" s="382" t="str">
        <f>'Portefeuille SP2'!C168</f>
        <v>SP1</v>
      </c>
      <c r="H154" s="382">
        <f>'Portefeuille SP2'!F168</f>
        <v>0</v>
      </c>
      <c r="I154" s="382"/>
      <c r="J154" s="382" t="str">
        <f>'Portefeuille SP2'!D168</f>
        <v xml:space="preserve">BIW </v>
      </c>
      <c r="K154" s="385">
        <f>'Portefeuille SP2'!H168</f>
        <v>0</v>
      </c>
      <c r="L154" s="157">
        <f>'Portefeuille SP2'!U168</f>
        <v>-0.15000000000000002</v>
      </c>
      <c r="M154" s="386"/>
      <c r="N154" s="386"/>
      <c r="O154" s="386"/>
      <c r="P154" s="387">
        <f>'Portefeuille SP2'!M168</f>
        <v>0</v>
      </c>
      <c r="Q154" s="387"/>
      <c r="R154" s="387">
        <f>'Portefeuille SP2'!N168</f>
        <v>-0.1</v>
      </c>
      <c r="S154" s="387"/>
      <c r="T154" s="382" t="str">
        <f>'Portefeuille SP2'!R168</f>
        <v>TBD</v>
      </c>
      <c r="U154" s="387">
        <f>'Portefeuille SP2'!K168</f>
        <v>0</v>
      </c>
      <c r="V154" s="399">
        <f>'Portefeuille SP2'!S168</f>
        <v>0.75</v>
      </c>
      <c r="W154" s="387"/>
      <c r="X154" s="387"/>
      <c r="Y154" s="387"/>
      <c r="Z154" s="387"/>
      <c r="AA154" s="387"/>
      <c r="AB154" s="387"/>
      <c r="AC154" s="387"/>
      <c r="AD154" s="387"/>
      <c r="AE154" s="400">
        <f>'Portefeuille SP2'!J168</f>
        <v>0</v>
      </c>
      <c r="AF154" s="387"/>
      <c r="AG154" s="387"/>
      <c r="AH154" s="389"/>
      <c r="AI154" s="389"/>
      <c r="AJ154" s="403">
        <f>'Portefeuille SP2'!V168</f>
        <v>0</v>
      </c>
      <c r="AK154" s="403">
        <f>'Portefeuille SP2'!W168</f>
        <v>0</v>
      </c>
      <c r="AL154" s="403">
        <f>'Portefeuille SP2'!X168</f>
        <v>0</v>
      </c>
      <c r="AM154" s="403">
        <f>'Portefeuille SP2'!Y168</f>
        <v>1</v>
      </c>
      <c r="AN154" s="403">
        <f>'Portefeuille SP2'!Z168</f>
        <v>1</v>
      </c>
      <c r="AO154" s="403">
        <f>'Portefeuille SP2'!AA168</f>
        <v>0</v>
      </c>
      <c r="AP154" s="403">
        <f>'Portefeuille SP2'!AB168</f>
        <v>0</v>
      </c>
      <c r="AQ154" s="403">
        <f>'Portefeuille SP2'!AC168</f>
        <v>1</v>
      </c>
      <c r="AR154" s="403">
        <f>'Portefeuille SP2'!AD168</f>
        <v>1</v>
      </c>
      <c r="AS154" s="403">
        <f>'Portefeuille SP2'!AE168</f>
        <v>0</v>
      </c>
      <c r="AT154" s="403">
        <f>'Portefeuille SP2'!AF168</f>
        <v>0</v>
      </c>
      <c r="AU154" s="403">
        <f>'Portefeuille SP2'!AG168</f>
        <v>0</v>
      </c>
      <c r="AV154" s="403">
        <f>'Portefeuille SP2'!AH168</f>
        <v>1</v>
      </c>
      <c r="AW154" s="403">
        <f>'Portefeuille SP2'!AI168</f>
        <v>1</v>
      </c>
      <c r="AX154" s="403">
        <f>'Portefeuille SP2'!AJ168</f>
        <v>0</v>
      </c>
      <c r="AY154" s="403">
        <f>'Portefeuille SP2'!AK168</f>
        <v>0</v>
      </c>
      <c r="AZ154" s="403">
        <f>'Portefeuille SP2'!AL168</f>
        <v>1</v>
      </c>
      <c r="BA154" s="403">
        <f>'Portefeuille SP2'!AM168</f>
        <v>1</v>
      </c>
      <c r="BB154" s="403">
        <f>'Portefeuille SP2'!AN168</f>
        <v>0</v>
      </c>
      <c r="BC154" s="403">
        <f>'Portefeuille SP2'!AO168</f>
        <v>0</v>
      </c>
      <c r="BD154" s="403">
        <f>'Portefeuille SP2'!AP168</f>
        <v>0</v>
      </c>
      <c r="BE154" s="403">
        <f>'Portefeuille SP2'!AQ168</f>
        <v>1</v>
      </c>
      <c r="BF154" s="403">
        <f>'Portefeuille SP2'!AR168</f>
        <v>1</v>
      </c>
      <c r="BG154" s="403" t="e">
        <f>'Portefeuille SP2'!#REF!</f>
        <v>#REF!</v>
      </c>
      <c r="BH154" s="403" t="e">
        <f>'Portefeuille SP2'!#REF!</f>
        <v>#REF!</v>
      </c>
      <c r="BI154" s="403" t="e">
        <f>'Portefeuille SP2'!#REF!</f>
        <v>#REF!</v>
      </c>
      <c r="BJ154" s="403" t="e">
        <f>'Portefeuille SP2'!#REF!</f>
        <v>#REF!</v>
      </c>
      <c r="BK154" s="403" t="e">
        <f>'Portefeuille SP2'!#REF!</f>
        <v>#REF!</v>
      </c>
      <c r="BL154" s="388"/>
      <c r="BM154" s="404" t="str">
        <f>'Portefeuille SP2'!L168</f>
        <v xml:space="preserve">11/09/2024 : Décidé. Ajout sur la facade à quantifier -&gt; voir avec Arnaud S. Pour le gain réel.
19/06/2024 : En attente proposition du fournisseur de façade. Voir avec Peter Reghem
14/02/2024 : nouvelle piste. Application tout type
</v>
      </c>
    </row>
    <row r="155" spans="1:65" ht="15" customHeight="1">
      <c r="A155" s="383">
        <f>'Portefeuille SP2'!B169</f>
        <v>45536</v>
      </c>
      <c r="B155" s="390" t="str">
        <f>'Portefeuille SP2'!Q169</f>
        <v>DECIDED</v>
      </c>
      <c r="C155" s="384"/>
      <c r="D155" s="382" t="str">
        <f>'Portefeuille SP2'!E169</f>
        <v>TH</v>
      </c>
      <c r="E155" s="382" t="str">
        <f t="shared" si="12"/>
        <v>BIW</v>
      </c>
      <c r="F155" s="382" t="str">
        <f t="shared" si="13"/>
        <v/>
      </c>
      <c r="G155" s="382" t="str">
        <f>'Portefeuille SP2'!C169</f>
        <v>SP2</v>
      </c>
      <c r="H155" s="382" t="str">
        <f>'Portefeuille SP2'!F169</f>
        <v>?</v>
      </c>
      <c r="I155" s="382"/>
      <c r="J155" s="382" t="str">
        <f>'Portefeuille SP2'!D169</f>
        <v xml:space="preserve">BIW </v>
      </c>
      <c r="K155" s="385" t="str">
        <f>'Portefeuille SP2'!H169</f>
        <v xml:space="preserve">Rocker trim </v>
      </c>
      <c r="L155" s="157">
        <f>'Portefeuille SP2'!U169</f>
        <v>1.7600000000000002</v>
      </c>
      <c r="M155" s="386"/>
      <c r="N155" s="386"/>
      <c r="O155" s="386"/>
      <c r="P155" s="387">
        <f>'Portefeuille SP2'!M169</f>
        <v>320</v>
      </c>
      <c r="Q155" s="387"/>
      <c r="R155" s="387">
        <f>'Portefeuille SP2'!N169</f>
        <v>17</v>
      </c>
      <c r="S155" s="387"/>
      <c r="T155" s="382" t="str">
        <f>'Portefeuille SP2'!R169</f>
        <v>TBD</v>
      </c>
      <c r="U155" s="387" t="str">
        <f>'Portefeuille SP2'!K169</f>
        <v>CW27</v>
      </c>
      <c r="V155" s="399">
        <f>'Portefeuille SP2'!S169</f>
        <v>0.8</v>
      </c>
      <c r="W155" s="387"/>
      <c r="X155" s="387"/>
      <c r="Y155" s="387"/>
      <c r="Z155" s="387"/>
      <c r="AA155" s="387"/>
      <c r="AB155" s="387"/>
      <c r="AC155" s="387"/>
      <c r="AD155" s="387"/>
      <c r="AE155" s="400" t="str">
        <f>'Portefeuille SP2'!J169</f>
        <v>06/01/2026 LM
Non appliqué sur P3U - à supprimer
28/04/2025 : O3H non - P3X - oui
Valider pour Opel, Peugeot à confirmer Jérome
To validate in decision meeting</v>
      </c>
      <c r="AF155" s="387"/>
      <c r="AG155" s="387"/>
      <c r="AH155" s="389"/>
      <c r="AI155" s="389"/>
      <c r="AJ155" s="403">
        <f>'Portefeuille SP2'!V169</f>
        <v>0</v>
      </c>
      <c r="AK155" s="403">
        <f>'Portefeuille SP2'!W169</f>
        <v>0</v>
      </c>
      <c r="AL155" s="403">
        <f>'Portefeuille SP2'!X169</f>
        <v>0</v>
      </c>
      <c r="AM155" s="403">
        <f>'Portefeuille SP2'!Y169</f>
        <v>0</v>
      </c>
      <c r="AN155" s="403">
        <f>'Portefeuille SP2'!Z169</f>
        <v>0</v>
      </c>
      <c r="AO155" s="403">
        <f>'Portefeuille SP2'!AA169</f>
        <v>0</v>
      </c>
      <c r="AP155" s="403">
        <f>'Portefeuille SP2'!AB169</f>
        <v>0</v>
      </c>
      <c r="AQ155" s="403">
        <f>'Portefeuille SP2'!AC169</f>
        <v>0</v>
      </c>
      <c r="AR155" s="403">
        <f>'Portefeuille SP2'!AD169</f>
        <v>0</v>
      </c>
      <c r="AS155" s="403">
        <f>'Portefeuille SP2'!AE169</f>
        <v>1</v>
      </c>
      <c r="AT155" s="403">
        <f>'Portefeuille SP2'!AF169</f>
        <v>1</v>
      </c>
      <c r="AU155" s="403">
        <f>'Portefeuille SP2'!AG169</f>
        <v>1</v>
      </c>
      <c r="AV155" s="403">
        <f>'Portefeuille SP2'!AH169</f>
        <v>1</v>
      </c>
      <c r="AW155" s="403">
        <f>'Portefeuille SP2'!AI169</f>
        <v>1</v>
      </c>
      <c r="AX155" s="403">
        <f>'Portefeuille SP2'!AJ169</f>
        <v>1</v>
      </c>
      <c r="AY155" s="403">
        <f>'Portefeuille SP2'!AK169</f>
        <v>1</v>
      </c>
      <c r="AZ155" s="403">
        <f>'Portefeuille SP2'!AL169</f>
        <v>1</v>
      </c>
      <c r="BA155" s="403">
        <f>'Portefeuille SP2'!AM169</f>
        <v>1</v>
      </c>
      <c r="BB155" s="403">
        <f>'Portefeuille SP2'!AN169</f>
        <v>1</v>
      </c>
      <c r="BC155" s="403">
        <f>'Portefeuille SP2'!AO169</f>
        <v>1</v>
      </c>
      <c r="BD155" s="403">
        <f>'Portefeuille SP2'!AP169</f>
        <v>1</v>
      </c>
      <c r="BE155" s="403">
        <f>'Portefeuille SP2'!AQ169</f>
        <v>1</v>
      </c>
      <c r="BF155" s="403">
        <f>'Portefeuille SP2'!AR169</f>
        <v>1</v>
      </c>
      <c r="BG155" s="403" t="e">
        <f>'Portefeuille SP2'!#REF!</f>
        <v>#REF!</v>
      </c>
      <c r="BH155" s="403" t="e">
        <f>'Portefeuille SP2'!#REF!</f>
        <v>#REF!</v>
      </c>
      <c r="BI155" s="403" t="e">
        <f>'Portefeuille SP2'!#REF!</f>
        <v>#REF!</v>
      </c>
      <c r="BJ155" s="403" t="e">
        <f>'Portefeuille SP2'!#REF!</f>
        <v>#REF!</v>
      </c>
      <c r="BK155" s="403" t="e">
        <f>'Portefeuille SP2'!#REF!</f>
        <v>#REF!</v>
      </c>
      <c r="BL155" s="388"/>
      <c r="BM155" s="404" t="str">
        <f>'Portefeuille SP2'!L169</f>
        <v>26/06/2025 a reboucler après hypothèse projet</v>
      </c>
    </row>
    <row r="156" spans="1:65" ht="15" customHeight="1">
      <c r="A156" s="383">
        <f>'Portefeuille SP2'!B170</f>
        <v>0</v>
      </c>
      <c r="B156" s="390" t="str">
        <f>'Portefeuille SP2'!Q170</f>
        <v>CANCELED</v>
      </c>
      <c r="C156" s="384"/>
      <c r="D156" s="382" t="str">
        <f>'Portefeuille SP2'!E170</f>
        <v>TH</v>
      </c>
      <c r="E156" s="382" t="str">
        <f t="shared" si="12"/>
        <v>BIW</v>
      </c>
      <c r="F156" s="382" t="str">
        <f t="shared" si="13"/>
        <v/>
      </c>
      <c r="G156" s="382" t="str">
        <f>'Portefeuille SP2'!C170</f>
        <v>SP2</v>
      </c>
      <c r="H156" s="382">
        <f>'Portefeuille SP2'!F170</f>
        <v>0</v>
      </c>
      <c r="I156" s="382"/>
      <c r="J156" s="382" t="str">
        <f>'Portefeuille SP2'!D170</f>
        <v xml:space="preserve">BIW </v>
      </c>
      <c r="K156" s="385" t="str">
        <f>'Portefeuille SP2'!H170</f>
        <v>Lit Logo / T2</v>
      </c>
      <c r="L156" s="157">
        <f>'Portefeuille SP2'!U170</f>
        <v>0</v>
      </c>
      <c r="M156" s="386"/>
      <c r="N156" s="386"/>
      <c r="O156" s="386"/>
      <c r="P156" s="387">
        <f>'Portefeuille SP2'!M170</f>
        <v>0</v>
      </c>
      <c r="Q156" s="387"/>
      <c r="R156" s="387">
        <f>'Portefeuille SP2'!N170</f>
        <v>-31</v>
      </c>
      <c r="S156" s="387"/>
      <c r="T156" s="382" t="str">
        <f>'Portefeuille SP2'!R170</f>
        <v>TBD</v>
      </c>
      <c r="U156" s="387" t="str">
        <f>'Portefeuille SP2'!K170</f>
        <v>CM poro signature</v>
      </c>
      <c r="V156" s="399">
        <f>'Portefeuille SP2'!S170</f>
        <v>0</v>
      </c>
      <c r="W156" s="387"/>
      <c r="X156" s="387"/>
      <c r="Y156" s="387"/>
      <c r="Z156" s="387"/>
      <c r="AA156" s="387"/>
      <c r="AB156" s="387"/>
      <c r="AC156" s="387"/>
      <c r="AD156" s="387"/>
      <c r="AE156" s="400">
        <f>'Portefeuille SP2'!J170</f>
        <v>0</v>
      </c>
      <c r="AF156" s="387"/>
      <c r="AG156" s="387"/>
      <c r="AH156" s="389"/>
      <c r="AI156" s="389"/>
      <c r="AJ156" s="403">
        <f>'Portefeuille SP2'!V170</f>
        <v>0</v>
      </c>
      <c r="AK156" s="403">
        <f>'Portefeuille SP2'!W170</f>
        <v>0</v>
      </c>
      <c r="AL156" s="403">
        <f>'Portefeuille SP2'!X170</f>
        <v>0</v>
      </c>
      <c r="AM156" s="403">
        <f>'Portefeuille SP2'!Y170</f>
        <v>1</v>
      </c>
      <c r="AN156" s="403">
        <f>'Portefeuille SP2'!Z170</f>
        <v>1</v>
      </c>
      <c r="AO156" s="403">
        <f>'Portefeuille SP2'!AA170</f>
        <v>0</v>
      </c>
      <c r="AP156" s="403">
        <f>'Portefeuille SP2'!AB170</f>
        <v>0</v>
      </c>
      <c r="AQ156" s="403">
        <f>'Portefeuille SP2'!AC170</f>
        <v>1</v>
      </c>
      <c r="AR156" s="403">
        <f>'Portefeuille SP2'!AD170</f>
        <v>1</v>
      </c>
      <c r="AS156" s="403">
        <f>'Portefeuille SP2'!AE170</f>
        <v>0</v>
      </c>
      <c r="AT156" s="403">
        <f>'Portefeuille SP2'!AF170</f>
        <v>0</v>
      </c>
      <c r="AU156" s="403">
        <f>'Portefeuille SP2'!AG170</f>
        <v>0</v>
      </c>
      <c r="AV156" s="403">
        <f>'Portefeuille SP2'!AH170</f>
        <v>1</v>
      </c>
      <c r="AW156" s="403">
        <f>'Portefeuille SP2'!AI170</f>
        <v>1</v>
      </c>
      <c r="AX156" s="403">
        <f>'Portefeuille SP2'!AJ170</f>
        <v>0</v>
      </c>
      <c r="AY156" s="403">
        <f>'Portefeuille SP2'!AK170</f>
        <v>0</v>
      </c>
      <c r="AZ156" s="403">
        <f>'Portefeuille SP2'!AL170</f>
        <v>1</v>
      </c>
      <c r="BA156" s="403">
        <f>'Portefeuille SP2'!AM170</f>
        <v>1</v>
      </c>
      <c r="BB156" s="403">
        <f>'Portefeuille SP2'!AN170</f>
        <v>0</v>
      </c>
      <c r="BC156" s="403">
        <f>'Portefeuille SP2'!AO170</f>
        <v>0</v>
      </c>
      <c r="BD156" s="403">
        <f>'Portefeuille SP2'!AP170</f>
        <v>0</v>
      </c>
      <c r="BE156" s="403">
        <f>'Portefeuille SP2'!AQ170</f>
        <v>1</v>
      </c>
      <c r="BF156" s="403">
        <f>'Portefeuille SP2'!AR170</f>
        <v>1</v>
      </c>
      <c r="BG156" s="403" t="e">
        <f>'Portefeuille SP2'!#REF!</f>
        <v>#REF!</v>
      </c>
      <c r="BH156" s="403" t="e">
        <f>'Portefeuille SP2'!#REF!</f>
        <v>#REF!</v>
      </c>
      <c r="BI156" s="403" t="e">
        <f>'Portefeuille SP2'!#REF!</f>
        <v>#REF!</v>
      </c>
      <c r="BJ156" s="403" t="e">
        <f>'Portefeuille SP2'!#REF!</f>
        <v>#REF!</v>
      </c>
      <c r="BK156" s="403" t="e">
        <f>'Portefeuille SP2'!#REF!</f>
        <v>#REF!</v>
      </c>
      <c r="BL156" s="388"/>
      <c r="BM156" s="404">
        <f>'Portefeuille SP2'!L170</f>
        <v>0</v>
      </c>
    </row>
    <row r="157" spans="1:65" ht="15" customHeight="1">
      <c r="A157" s="383">
        <f>'Portefeuille SP2'!B171</f>
        <v>0</v>
      </c>
      <c r="B157" s="390" t="str">
        <f>'Portefeuille SP2'!Q171</f>
        <v>CANCELED</v>
      </c>
      <c r="C157" s="384"/>
      <c r="D157" s="382" t="str">
        <f>'Portefeuille SP2'!E171</f>
        <v>TH</v>
      </c>
      <c r="E157" s="382" t="str">
        <f t="shared" si="12"/>
        <v>BIW</v>
      </c>
      <c r="F157" s="382" t="str">
        <f t="shared" si="13"/>
        <v/>
      </c>
      <c r="G157" s="382" t="str">
        <f>'Portefeuille SP2'!C171</f>
        <v>SP2</v>
      </c>
      <c r="H157" s="382">
        <f>'Portefeuille SP2'!F171</f>
        <v>0</v>
      </c>
      <c r="I157" s="382"/>
      <c r="J157" s="382" t="str">
        <f>'Portefeuille SP2'!D171</f>
        <v xml:space="preserve">BIW </v>
      </c>
      <c r="K157" s="385" t="str">
        <f>'Portefeuille SP2'!H171</f>
        <v>T2</v>
      </c>
      <c r="L157" s="157">
        <f>'Portefeuille SP2'!U171</f>
        <v>0</v>
      </c>
      <c r="M157" s="386"/>
      <c r="N157" s="386"/>
      <c r="O157" s="386"/>
      <c r="P157" s="387">
        <f>'Portefeuille SP2'!M171</f>
        <v>0</v>
      </c>
      <c r="Q157" s="387"/>
      <c r="R157" s="387">
        <f>'Portefeuille SP2'!N171</f>
        <v>0</v>
      </c>
      <c r="S157" s="387"/>
      <c r="T157" s="382" t="str">
        <f>'Portefeuille SP2'!R171</f>
        <v>TBD</v>
      </c>
      <c r="U157" s="387" t="str">
        <f>'Portefeuille SP2'!K171</f>
        <v>CM-4CW</v>
      </c>
      <c r="V157" s="399">
        <f>'Portefeuille SP2'!S171</f>
        <v>0</v>
      </c>
      <c r="W157" s="387"/>
      <c r="X157" s="387"/>
      <c r="Y157" s="387"/>
      <c r="Z157" s="387"/>
      <c r="AA157" s="387"/>
      <c r="AB157" s="387"/>
      <c r="AC157" s="387"/>
      <c r="AD157" s="387"/>
      <c r="AE157" s="400" t="str">
        <f>'Portefeuille SP2'!J171</f>
        <v>BDD to check and validate with cherkan synthesis =&gt; 3kg?</v>
      </c>
      <c r="AF157" s="387"/>
      <c r="AG157" s="387"/>
      <c r="AH157" s="389"/>
      <c r="AI157" s="389"/>
      <c r="AJ157" s="403">
        <f>'Portefeuille SP2'!V171</f>
        <v>0</v>
      </c>
      <c r="AK157" s="403">
        <f>'Portefeuille SP2'!W171</f>
        <v>0</v>
      </c>
      <c r="AL157" s="403">
        <f>'Portefeuille SP2'!X171</f>
        <v>0</v>
      </c>
      <c r="AM157" s="403">
        <f>'Portefeuille SP2'!Y171</f>
        <v>1</v>
      </c>
      <c r="AN157" s="403">
        <f>'Portefeuille SP2'!Z171</f>
        <v>1</v>
      </c>
      <c r="AO157" s="403">
        <f>'Portefeuille SP2'!AA171</f>
        <v>0</v>
      </c>
      <c r="AP157" s="403">
        <f>'Portefeuille SP2'!AB171</f>
        <v>0</v>
      </c>
      <c r="AQ157" s="403">
        <f>'Portefeuille SP2'!AC171</f>
        <v>1</v>
      </c>
      <c r="AR157" s="403">
        <f>'Portefeuille SP2'!AD171</f>
        <v>1</v>
      </c>
      <c r="AS157" s="403">
        <f>'Portefeuille SP2'!AE171</f>
        <v>0</v>
      </c>
      <c r="AT157" s="403">
        <f>'Portefeuille SP2'!AF171</f>
        <v>0</v>
      </c>
      <c r="AU157" s="403">
        <f>'Portefeuille SP2'!AG171</f>
        <v>0</v>
      </c>
      <c r="AV157" s="403">
        <f>'Portefeuille SP2'!AH171</f>
        <v>1</v>
      </c>
      <c r="AW157" s="403">
        <f>'Portefeuille SP2'!AI171</f>
        <v>1</v>
      </c>
      <c r="AX157" s="403">
        <f>'Portefeuille SP2'!AJ171</f>
        <v>0</v>
      </c>
      <c r="AY157" s="403">
        <f>'Portefeuille SP2'!AK171</f>
        <v>0</v>
      </c>
      <c r="AZ157" s="403">
        <f>'Portefeuille SP2'!AL171</f>
        <v>1</v>
      </c>
      <c r="BA157" s="403">
        <f>'Portefeuille SP2'!AM171</f>
        <v>1</v>
      </c>
      <c r="BB157" s="403">
        <f>'Portefeuille SP2'!AN171</f>
        <v>0</v>
      </c>
      <c r="BC157" s="403">
        <f>'Portefeuille SP2'!AO171</f>
        <v>0</v>
      </c>
      <c r="BD157" s="403">
        <f>'Portefeuille SP2'!AP171</f>
        <v>0</v>
      </c>
      <c r="BE157" s="403">
        <f>'Portefeuille SP2'!AQ171</f>
        <v>1</v>
      </c>
      <c r="BF157" s="403">
        <f>'Portefeuille SP2'!AR171</f>
        <v>1</v>
      </c>
      <c r="BG157" s="403" t="e">
        <f>'Portefeuille SP2'!#REF!</f>
        <v>#REF!</v>
      </c>
      <c r="BH157" s="403" t="e">
        <f>'Portefeuille SP2'!#REF!</f>
        <v>#REF!</v>
      </c>
      <c r="BI157" s="403" t="e">
        <f>'Portefeuille SP2'!#REF!</f>
        <v>#REF!</v>
      </c>
      <c r="BJ157" s="403" t="e">
        <f>'Portefeuille SP2'!#REF!</f>
        <v>#REF!</v>
      </c>
      <c r="BK157" s="403" t="e">
        <f>'Portefeuille SP2'!#REF!</f>
        <v>#REF!</v>
      </c>
      <c r="BL157" s="388"/>
      <c r="BM157" s="404">
        <f>'Portefeuille SP2'!L171</f>
        <v>0</v>
      </c>
    </row>
    <row r="158" spans="1:65" ht="15" customHeight="1">
      <c r="A158" s="383">
        <f>'Portefeuille SP2'!B172</f>
        <v>0</v>
      </c>
      <c r="B158" s="390" t="str">
        <f>'Portefeuille SP2'!Q172</f>
        <v>CANCELED</v>
      </c>
      <c r="C158" s="384"/>
      <c r="D158" s="382" t="str">
        <f>'Portefeuille SP2'!E172</f>
        <v>TH</v>
      </c>
      <c r="E158" s="382" t="str">
        <f t="shared" si="12"/>
        <v>BIW</v>
      </c>
      <c r="F158" s="382" t="str">
        <f t="shared" si="13"/>
        <v/>
      </c>
      <c r="G158" s="382" t="str">
        <f>'Portefeuille SP2'!C172</f>
        <v>SP2</v>
      </c>
      <c r="H158" s="382">
        <f>'Portefeuille SP2'!F172</f>
        <v>0</v>
      </c>
      <c r="I158" s="382"/>
      <c r="J158" s="382" t="str">
        <f>'Portefeuille SP2'!D172</f>
        <v xml:space="preserve">BIW </v>
      </c>
      <c r="K158" s="385">
        <f>'Portefeuille SP2'!H172</f>
        <v>0</v>
      </c>
      <c r="L158" s="157">
        <f>'Portefeuille SP2'!U172</f>
        <v>0</v>
      </c>
      <c r="M158" s="386"/>
      <c r="N158" s="386"/>
      <c r="O158" s="386"/>
      <c r="P158" s="387">
        <f>'Portefeuille SP2'!M172</f>
        <v>0</v>
      </c>
      <c r="Q158" s="387"/>
      <c r="R158" s="387">
        <f>'Portefeuille SP2'!N172</f>
        <v>-6</v>
      </c>
      <c r="S158" s="387"/>
      <c r="T158" s="382" t="str">
        <f>'Portefeuille SP2'!R172</f>
        <v>TBD</v>
      </c>
      <c r="U158" s="387" t="str">
        <f>'Portefeuille SP2'!K172</f>
        <v>SFM</v>
      </c>
      <c r="V158" s="399">
        <f>'Portefeuille SP2'!S172</f>
        <v>0</v>
      </c>
      <c r="W158" s="387"/>
      <c r="X158" s="387"/>
      <c r="Y158" s="387"/>
      <c r="Z158" s="387"/>
      <c r="AA158" s="387"/>
      <c r="AB158" s="387"/>
      <c r="AC158" s="387"/>
      <c r="AD158" s="387"/>
      <c r="AE158" s="400" t="str">
        <f>'Portefeuille SP2'!J172</f>
        <v>Attente choix et techno du FNR.</v>
      </c>
      <c r="AF158" s="387"/>
      <c r="AG158" s="387"/>
      <c r="AH158" s="389"/>
      <c r="AI158" s="389"/>
      <c r="AJ158" s="403">
        <f>'Portefeuille SP2'!V172</f>
        <v>0</v>
      </c>
      <c r="AK158" s="403">
        <f>'Portefeuille SP2'!W172</f>
        <v>0</v>
      </c>
      <c r="AL158" s="403">
        <f>'Portefeuille SP2'!X172</f>
        <v>0</v>
      </c>
      <c r="AM158" s="403">
        <f>'Portefeuille SP2'!Y172</f>
        <v>1</v>
      </c>
      <c r="AN158" s="403">
        <f>'Portefeuille SP2'!Z172</f>
        <v>1</v>
      </c>
      <c r="AO158" s="403">
        <f>'Portefeuille SP2'!AA172</f>
        <v>0</v>
      </c>
      <c r="AP158" s="403">
        <f>'Portefeuille SP2'!AB172</f>
        <v>0</v>
      </c>
      <c r="AQ158" s="403">
        <f>'Portefeuille SP2'!AC172</f>
        <v>1</v>
      </c>
      <c r="AR158" s="403">
        <f>'Portefeuille SP2'!AD172</f>
        <v>1</v>
      </c>
      <c r="AS158" s="403">
        <f>'Portefeuille SP2'!AE172</f>
        <v>0</v>
      </c>
      <c r="AT158" s="403">
        <f>'Portefeuille SP2'!AF172</f>
        <v>0</v>
      </c>
      <c r="AU158" s="403">
        <f>'Portefeuille SP2'!AG172</f>
        <v>0</v>
      </c>
      <c r="AV158" s="403">
        <f>'Portefeuille SP2'!AH172</f>
        <v>1</v>
      </c>
      <c r="AW158" s="403">
        <f>'Portefeuille SP2'!AI172</f>
        <v>1</v>
      </c>
      <c r="AX158" s="403">
        <f>'Portefeuille SP2'!AJ172</f>
        <v>0</v>
      </c>
      <c r="AY158" s="403">
        <f>'Portefeuille SP2'!AK172</f>
        <v>0</v>
      </c>
      <c r="AZ158" s="403">
        <f>'Portefeuille SP2'!AL172</f>
        <v>1</v>
      </c>
      <c r="BA158" s="403">
        <f>'Portefeuille SP2'!AM172</f>
        <v>1</v>
      </c>
      <c r="BB158" s="403">
        <f>'Portefeuille SP2'!AN172</f>
        <v>0</v>
      </c>
      <c r="BC158" s="403">
        <f>'Portefeuille SP2'!AO172</f>
        <v>0</v>
      </c>
      <c r="BD158" s="403">
        <f>'Portefeuille SP2'!AP172</f>
        <v>0</v>
      </c>
      <c r="BE158" s="403">
        <f>'Portefeuille SP2'!AQ172</f>
        <v>1</v>
      </c>
      <c r="BF158" s="403">
        <f>'Portefeuille SP2'!AR172</f>
        <v>1</v>
      </c>
      <c r="BG158" s="403" t="e">
        <f>'Portefeuille SP2'!#REF!</f>
        <v>#REF!</v>
      </c>
      <c r="BH158" s="403" t="e">
        <f>'Portefeuille SP2'!#REF!</f>
        <v>#REF!</v>
      </c>
      <c r="BI158" s="403" t="e">
        <f>'Portefeuille SP2'!#REF!</f>
        <v>#REF!</v>
      </c>
      <c r="BJ158" s="403" t="e">
        <f>'Portefeuille SP2'!#REF!</f>
        <v>#REF!</v>
      </c>
      <c r="BK158" s="403" t="e">
        <f>'Portefeuille SP2'!#REF!</f>
        <v>#REF!</v>
      </c>
      <c r="BL158" s="388"/>
      <c r="BM158" s="404">
        <f>'Portefeuille SP2'!L172</f>
        <v>0</v>
      </c>
    </row>
    <row r="159" spans="1:65" ht="15" customHeight="1">
      <c r="A159" s="383">
        <f>'Portefeuille SP2'!B173</f>
        <v>0</v>
      </c>
      <c r="B159" s="390" t="str">
        <f>'Portefeuille SP2'!Q173</f>
        <v>DECIDED</v>
      </c>
      <c r="C159" s="384"/>
      <c r="D159" s="382" t="str">
        <f>'Portefeuille SP2'!E173</f>
        <v>PTF</v>
      </c>
      <c r="E159" s="382" t="str">
        <f t="shared" si="12"/>
        <v>BIW</v>
      </c>
      <c r="F159" s="382" t="str">
        <f t="shared" si="13"/>
        <v/>
      </c>
      <c r="G159" s="382" t="str">
        <f>'Portefeuille SP2'!C173</f>
        <v>SP1</v>
      </c>
      <c r="H159" s="382">
        <f>'Portefeuille SP2'!F173</f>
        <v>0</v>
      </c>
      <c r="I159" s="382"/>
      <c r="J159" s="382" t="str">
        <f>'Portefeuille SP2'!D173</f>
        <v xml:space="preserve">BIW </v>
      </c>
      <c r="K159" s="385">
        <f>'Portefeuille SP2'!H173</f>
        <v>0</v>
      </c>
      <c r="L159" s="157">
        <f>'Portefeuille SP2'!U173</f>
        <v>-1</v>
      </c>
      <c r="M159" s="386"/>
      <c r="N159" s="386"/>
      <c r="O159" s="386"/>
      <c r="P159" s="387">
        <f>'Portefeuille SP2'!M173</f>
        <v>0</v>
      </c>
      <c r="Q159" s="387"/>
      <c r="R159" s="387">
        <f>'Portefeuille SP2'!N173</f>
        <v>0</v>
      </c>
      <c r="S159" s="387"/>
      <c r="T159" s="382">
        <f>'Portefeuille SP2'!R173</f>
        <v>0</v>
      </c>
      <c r="U159" s="387">
        <f>'Portefeuille SP2'!K173</f>
        <v>0</v>
      </c>
      <c r="V159" s="399">
        <f>'Portefeuille SP2'!S173</f>
        <v>1</v>
      </c>
      <c r="W159" s="387"/>
      <c r="X159" s="387"/>
      <c r="Y159" s="387"/>
      <c r="Z159" s="387"/>
      <c r="AA159" s="387"/>
      <c r="AB159" s="387"/>
      <c r="AC159" s="387"/>
      <c r="AD159" s="387"/>
      <c r="AE159" s="400">
        <f>'Portefeuille SP2'!J173</f>
        <v>0</v>
      </c>
      <c r="AF159" s="387"/>
      <c r="AG159" s="387"/>
      <c r="AH159" s="389"/>
      <c r="AI159" s="389"/>
      <c r="AJ159" s="403">
        <f>'Portefeuille SP2'!V173</f>
        <v>0</v>
      </c>
      <c r="AK159" s="403">
        <f>'Portefeuille SP2'!W173</f>
        <v>0</v>
      </c>
      <c r="AL159" s="403">
        <f>'Portefeuille SP2'!X173</f>
        <v>0</v>
      </c>
      <c r="AM159" s="403">
        <f>'Portefeuille SP2'!Y173</f>
        <v>1</v>
      </c>
      <c r="AN159" s="403">
        <f>'Portefeuille SP2'!Z173</f>
        <v>1</v>
      </c>
      <c r="AO159" s="403">
        <f>'Portefeuille SP2'!AA173</f>
        <v>0</v>
      </c>
      <c r="AP159" s="403">
        <f>'Portefeuille SP2'!AB173</f>
        <v>0</v>
      </c>
      <c r="AQ159" s="403">
        <f>'Portefeuille SP2'!AC173</f>
        <v>1</v>
      </c>
      <c r="AR159" s="403">
        <f>'Portefeuille SP2'!AD173</f>
        <v>1</v>
      </c>
      <c r="AS159" s="403">
        <f>'Portefeuille SP2'!AE173</f>
        <v>0</v>
      </c>
      <c r="AT159" s="403">
        <f>'Portefeuille SP2'!AF173</f>
        <v>0</v>
      </c>
      <c r="AU159" s="403">
        <f>'Portefeuille SP2'!AG173</f>
        <v>0</v>
      </c>
      <c r="AV159" s="403">
        <f>'Portefeuille SP2'!AH173</f>
        <v>1</v>
      </c>
      <c r="AW159" s="403">
        <f>'Portefeuille SP2'!AI173</f>
        <v>1</v>
      </c>
      <c r="AX159" s="403">
        <f>'Portefeuille SP2'!AJ173</f>
        <v>0</v>
      </c>
      <c r="AY159" s="403">
        <f>'Portefeuille SP2'!AK173</f>
        <v>0</v>
      </c>
      <c r="AZ159" s="403">
        <f>'Portefeuille SP2'!AL173</f>
        <v>1</v>
      </c>
      <c r="BA159" s="403">
        <f>'Portefeuille SP2'!AM173</f>
        <v>1</v>
      </c>
      <c r="BB159" s="403">
        <f>'Portefeuille SP2'!AN173</f>
        <v>0</v>
      </c>
      <c r="BC159" s="403">
        <f>'Portefeuille SP2'!AO173</f>
        <v>0</v>
      </c>
      <c r="BD159" s="403">
        <f>'Portefeuille SP2'!AP173</f>
        <v>0</v>
      </c>
      <c r="BE159" s="403">
        <f>'Portefeuille SP2'!AQ173</f>
        <v>1</v>
      </c>
      <c r="BF159" s="403">
        <f>'Portefeuille SP2'!AR173</f>
        <v>1</v>
      </c>
      <c r="BG159" s="403" t="e">
        <f>'Portefeuille SP2'!#REF!</f>
        <v>#REF!</v>
      </c>
      <c r="BH159" s="403" t="e">
        <f>'Portefeuille SP2'!#REF!</f>
        <v>#REF!</v>
      </c>
      <c r="BI159" s="403" t="e">
        <f>'Portefeuille SP2'!#REF!</f>
        <v>#REF!</v>
      </c>
      <c r="BJ159" s="403" t="e">
        <f>'Portefeuille SP2'!#REF!</f>
        <v>#REF!</v>
      </c>
      <c r="BK159" s="403" t="e">
        <f>'Portefeuille SP2'!#REF!</f>
        <v>#REF!</v>
      </c>
      <c r="BL159" s="388"/>
      <c r="BM159" s="404" t="str">
        <f>'Portefeuille SP2'!L173</f>
        <v>18/09/2024 : officialisé. A mettre dans le bilan
28/06/2024 : 1er resultats endurance Nok, mais atteignable avec moins de gain masse
11/06/2024 : Modification du concept des corps creux. Résultat chantier BCI S24.</v>
      </c>
    </row>
    <row r="160" spans="1:65" ht="15" customHeight="1">
      <c r="A160" s="383">
        <f>'Portefeuille SP2'!B174</f>
        <v>0</v>
      </c>
      <c r="B160" s="390" t="str">
        <f>'Portefeuille SP2'!Q174</f>
        <v>CANCELED</v>
      </c>
      <c r="C160" s="384"/>
      <c r="D160" s="382" t="str">
        <f>'Portefeuille SP2'!E174</f>
        <v>TH</v>
      </c>
      <c r="E160" s="382" t="str">
        <f t="shared" si="12"/>
        <v>BIW</v>
      </c>
      <c r="F160" s="382" t="str">
        <f t="shared" si="13"/>
        <v/>
      </c>
      <c r="G160" s="382" t="str">
        <f>'Portefeuille SP2'!C174</f>
        <v>SP2</v>
      </c>
      <c r="H160" s="382">
        <f>'Portefeuille SP2'!F174</f>
        <v>0</v>
      </c>
      <c r="I160" s="382"/>
      <c r="J160" s="382" t="str">
        <f>'Portefeuille SP2'!D174</f>
        <v xml:space="preserve">BIW </v>
      </c>
      <c r="K160" s="385" t="str">
        <f>'Portefeuille SP2'!H174</f>
        <v>Console</v>
      </c>
      <c r="L160" s="157">
        <f>'Portefeuille SP2'!U174</f>
        <v>0</v>
      </c>
      <c r="M160" s="386"/>
      <c r="N160" s="386"/>
      <c r="O160" s="386"/>
      <c r="P160" s="387">
        <f>'Portefeuille SP2'!M174</f>
        <v>0</v>
      </c>
      <c r="Q160" s="387"/>
      <c r="R160" s="387" t="str">
        <f>'Portefeuille SP2'!N174</f>
        <v>"5,5"</v>
      </c>
      <c r="S160" s="387"/>
      <c r="T160" s="382" t="str">
        <f>'Portefeuille SP2'!R174</f>
        <v>TBD</v>
      </c>
      <c r="U160" s="387">
        <f>'Portefeuille SP2'!K174</f>
        <v>0</v>
      </c>
      <c r="V160" s="399">
        <f>'Portefeuille SP2'!S174</f>
        <v>0</v>
      </c>
      <c r="W160" s="387"/>
      <c r="X160" s="387"/>
      <c r="Y160" s="387"/>
      <c r="Z160" s="387"/>
      <c r="AA160" s="387"/>
      <c r="AB160" s="387"/>
      <c r="AC160" s="387"/>
      <c r="AD160" s="387"/>
      <c r="AE160" s="400" t="str">
        <f>'Portefeuille SP2'!J174</f>
        <v>24/09/2024 Butterfly armrest on SP2
https://docinfogroupe.stellantis.com/ead/doc/ref.21007_24_00110/v.vc/fiche</v>
      </c>
      <c r="AF160" s="387"/>
      <c r="AG160" s="387"/>
      <c r="AH160" s="389"/>
      <c r="AI160" s="389"/>
      <c r="AJ160" s="403">
        <f>'Portefeuille SP2'!V174</f>
        <v>0</v>
      </c>
      <c r="AK160" s="403">
        <f>'Portefeuille SP2'!W174</f>
        <v>0</v>
      </c>
      <c r="AL160" s="403">
        <f>'Portefeuille SP2'!X174</f>
        <v>0</v>
      </c>
      <c r="AM160" s="403">
        <f>'Portefeuille SP2'!Y174</f>
        <v>1</v>
      </c>
      <c r="AN160" s="403">
        <f>'Portefeuille SP2'!Z174</f>
        <v>1</v>
      </c>
      <c r="AO160" s="403">
        <f>'Portefeuille SP2'!AA174</f>
        <v>0</v>
      </c>
      <c r="AP160" s="403">
        <f>'Portefeuille SP2'!AB174</f>
        <v>0</v>
      </c>
      <c r="AQ160" s="403">
        <f>'Portefeuille SP2'!AC174</f>
        <v>1</v>
      </c>
      <c r="AR160" s="403">
        <f>'Portefeuille SP2'!AD174</f>
        <v>1</v>
      </c>
      <c r="AS160" s="403">
        <f>'Portefeuille SP2'!AE174</f>
        <v>0</v>
      </c>
      <c r="AT160" s="403">
        <f>'Portefeuille SP2'!AF174</f>
        <v>0</v>
      </c>
      <c r="AU160" s="403">
        <f>'Portefeuille SP2'!AG174</f>
        <v>0</v>
      </c>
      <c r="AV160" s="403">
        <f>'Portefeuille SP2'!AH174</f>
        <v>1</v>
      </c>
      <c r="AW160" s="403">
        <f>'Portefeuille SP2'!AI174</f>
        <v>1</v>
      </c>
      <c r="AX160" s="403">
        <f>'Portefeuille SP2'!AJ174</f>
        <v>0</v>
      </c>
      <c r="AY160" s="403">
        <f>'Portefeuille SP2'!AK174</f>
        <v>0</v>
      </c>
      <c r="AZ160" s="403">
        <f>'Portefeuille SP2'!AL174</f>
        <v>1</v>
      </c>
      <c r="BA160" s="403">
        <f>'Portefeuille SP2'!AM174</f>
        <v>1</v>
      </c>
      <c r="BB160" s="403">
        <f>'Portefeuille SP2'!AN174</f>
        <v>0</v>
      </c>
      <c r="BC160" s="403">
        <f>'Portefeuille SP2'!AO174</f>
        <v>0</v>
      </c>
      <c r="BD160" s="403">
        <f>'Portefeuille SP2'!AP174</f>
        <v>0</v>
      </c>
      <c r="BE160" s="403">
        <f>'Portefeuille SP2'!AQ174</f>
        <v>1</v>
      </c>
      <c r="BF160" s="403">
        <f>'Portefeuille SP2'!AR174</f>
        <v>1</v>
      </c>
      <c r="BG160" s="403" t="e">
        <f>'Portefeuille SP2'!#REF!</f>
        <v>#REF!</v>
      </c>
      <c r="BH160" s="403" t="e">
        <f>'Portefeuille SP2'!#REF!</f>
        <v>#REF!</v>
      </c>
      <c r="BI160" s="403" t="e">
        <f>'Portefeuille SP2'!#REF!</f>
        <v>#REF!</v>
      </c>
      <c r="BJ160" s="403" t="e">
        <f>'Portefeuille SP2'!#REF!</f>
        <v>#REF!</v>
      </c>
      <c r="BK160" s="403" t="e">
        <f>'Portefeuille SP2'!#REF!</f>
        <v>#REF!</v>
      </c>
      <c r="BL160" s="388"/>
      <c r="BM160" s="404">
        <f>'Portefeuille SP2'!L174</f>
        <v>0</v>
      </c>
    </row>
    <row r="161" spans="1:65" ht="15" customHeight="1">
      <c r="A161" s="383">
        <f>'Portefeuille SP2'!B175</f>
        <v>0</v>
      </c>
      <c r="B161" s="390" t="str">
        <f>'Portefeuille SP2'!Q175</f>
        <v>CANCELED</v>
      </c>
      <c r="C161" s="384"/>
      <c r="D161" s="382" t="str">
        <f>'Portefeuille SP2'!E175</f>
        <v>TH</v>
      </c>
      <c r="E161" s="382" t="str">
        <f t="shared" si="12"/>
        <v>BIW</v>
      </c>
      <c r="F161" s="382" t="str">
        <f>MID(J161, 4, 20)</f>
        <v xml:space="preserve"> </v>
      </c>
      <c r="G161" s="382" t="str">
        <f>'Portefeuille SP2'!C175</f>
        <v>SPC_1</v>
      </c>
      <c r="H161" s="382" t="str">
        <f>'Portefeuille SP2'!F175</f>
        <v>NICOLAS TESSIER</v>
      </c>
      <c r="I161" s="382" t="s">
        <v>1213</v>
      </c>
      <c r="J161" s="382" t="str">
        <f>'Portefeuille SP2'!D175</f>
        <v xml:space="preserve">BIW </v>
      </c>
      <c r="K161" s="385" t="str">
        <f>'Portefeuille SP2'!H175</f>
        <v>Structural glue</v>
      </c>
      <c r="L161" s="157">
        <f>'Portefeuille SP2'!U175</f>
        <v>0</v>
      </c>
      <c r="M161" s="386"/>
      <c r="N161" s="386"/>
      <c r="O161" s="386"/>
      <c r="P161" s="400">
        <f>'Portefeuille SP2'!M175</f>
        <v>0</v>
      </c>
      <c r="Q161" s="387"/>
      <c r="R161" s="387">
        <f>'Portefeuille SP2'!N175</f>
        <v>0</v>
      </c>
      <c r="S161" s="387"/>
      <c r="T161" s="382" t="str">
        <f>'Portefeuille SP2'!R175</f>
        <v>Step4</v>
      </c>
      <c r="U161" s="387" t="str">
        <f>'Portefeuille SP2'!K175</f>
        <v>PM-CM</v>
      </c>
      <c r="V161" s="399">
        <f>'Portefeuille SP2'!S175</f>
        <v>0</v>
      </c>
      <c r="W161" s="387"/>
      <c r="X161" s="387"/>
      <c r="Y161" s="387"/>
      <c r="Z161" s="387"/>
      <c r="AA161" s="387"/>
      <c r="AB161" s="387"/>
      <c r="AC161" s="387"/>
      <c r="AD161" s="387"/>
      <c r="AE161" s="408">
        <f>'Portefeuille SP2'!J175</f>
        <v>0</v>
      </c>
      <c r="AF161" s="387"/>
      <c r="AG161" s="387"/>
      <c r="AH161" s="389"/>
      <c r="AI161" s="389"/>
      <c r="AJ161" s="403">
        <f>'Portefeuille SP2'!V175</f>
        <v>0</v>
      </c>
      <c r="AK161" s="403">
        <f>'Portefeuille SP2'!W175</f>
        <v>0</v>
      </c>
      <c r="AL161" s="403">
        <f>'Portefeuille SP2'!X175</f>
        <v>0</v>
      </c>
      <c r="AM161" s="403">
        <f>'Portefeuille SP2'!Y175</f>
        <v>1</v>
      </c>
      <c r="AN161" s="403">
        <f>'Portefeuille SP2'!Z175</f>
        <v>1</v>
      </c>
      <c r="AO161" s="403">
        <f>'Portefeuille SP2'!AA175</f>
        <v>0</v>
      </c>
      <c r="AP161" s="403">
        <f>'Portefeuille SP2'!AB175</f>
        <v>0</v>
      </c>
      <c r="AQ161" s="403">
        <f>'Portefeuille SP2'!AC175</f>
        <v>1</v>
      </c>
      <c r="AR161" s="403">
        <f>'Portefeuille SP2'!AD175</f>
        <v>1</v>
      </c>
      <c r="AS161" s="403">
        <f>'Portefeuille SP2'!AE175</f>
        <v>0</v>
      </c>
      <c r="AT161" s="403">
        <f>'Portefeuille SP2'!AF175</f>
        <v>0</v>
      </c>
      <c r="AU161" s="403">
        <f>'Portefeuille SP2'!AG175</f>
        <v>0</v>
      </c>
      <c r="AV161" s="403">
        <f>'Portefeuille SP2'!AH175</f>
        <v>1</v>
      </c>
      <c r="AW161" s="403">
        <f>'Portefeuille SP2'!AI175</f>
        <v>1</v>
      </c>
      <c r="AX161" s="403">
        <f>'Portefeuille SP2'!AJ175</f>
        <v>0</v>
      </c>
      <c r="AY161" s="403">
        <f>'Portefeuille SP2'!AK175</f>
        <v>0</v>
      </c>
      <c r="AZ161" s="403">
        <f>'Portefeuille SP2'!AL175</f>
        <v>1</v>
      </c>
      <c r="BA161" s="403">
        <f>'Portefeuille SP2'!AM175</f>
        <v>1</v>
      </c>
      <c r="BB161" s="403">
        <f>'Portefeuille SP2'!AN175</f>
        <v>0</v>
      </c>
      <c r="BC161" s="403">
        <f>'Portefeuille SP2'!AO175</f>
        <v>0</v>
      </c>
      <c r="BD161" s="403">
        <f>'Portefeuille SP2'!AP175</f>
        <v>0</v>
      </c>
      <c r="BE161" s="403">
        <f>'Portefeuille SP2'!AQ175</f>
        <v>1</v>
      </c>
      <c r="BF161" s="403">
        <f>'Portefeuille SP2'!AR175</f>
        <v>1</v>
      </c>
      <c r="BG161" s="403" t="e">
        <f>'Portefeuille SP2'!#REF!</f>
        <v>#REF!</v>
      </c>
      <c r="BH161" s="403" t="e">
        <f>'Portefeuille SP2'!#REF!</f>
        <v>#REF!</v>
      </c>
      <c r="BI161" s="403" t="e">
        <f>'Portefeuille SP2'!#REF!</f>
        <v>#REF!</v>
      </c>
      <c r="BJ161" s="403" t="e">
        <f>'Portefeuille SP2'!#REF!</f>
        <v>#REF!</v>
      </c>
      <c r="BK161" s="403" t="e">
        <f>'Portefeuille SP2'!#REF!</f>
        <v>#REF!</v>
      </c>
      <c r="BL161" s="388"/>
      <c r="BM161" s="404" t="str">
        <f>'Portefeuille SP2'!L175</f>
        <v>18/04/2024 P1h forecast with optim process =&gt; Roof
27/03/2024 New WS S14</v>
      </c>
    </row>
    <row r="162" spans="1:65" ht="15" customHeight="1">
      <c r="A162" s="383">
        <f>'Portefeuille SP2'!B176</f>
        <v>0</v>
      </c>
      <c r="B162" s="390" t="str">
        <f>'Portefeuille SP2'!Q176</f>
        <v>DECIDED</v>
      </c>
      <c r="C162" s="384"/>
      <c r="D162" s="382" t="str">
        <f>'Portefeuille SP2'!E176</f>
        <v>PTF</v>
      </c>
      <c r="E162" s="382" t="str">
        <f t="shared" si="12"/>
        <v>BIW</v>
      </c>
      <c r="F162" s="382" t="str">
        <f t="shared" si="13"/>
        <v/>
      </c>
      <c r="G162" s="382" t="str">
        <f>'Portefeuille SP2'!C176</f>
        <v>SP1</v>
      </c>
      <c r="H162" s="382">
        <f>'Portefeuille SP2'!F176</f>
        <v>0</v>
      </c>
      <c r="I162" s="382"/>
      <c r="J162" s="382" t="str">
        <f>'Portefeuille SP2'!D176</f>
        <v xml:space="preserve">BIW </v>
      </c>
      <c r="K162" s="385">
        <f>'Portefeuille SP2'!H176</f>
        <v>0</v>
      </c>
      <c r="L162" s="157">
        <f>'Portefeuille SP2'!U176</f>
        <v>0.1</v>
      </c>
      <c r="M162" s="386"/>
      <c r="N162" s="386"/>
      <c r="O162" s="386"/>
      <c r="P162" s="387">
        <f>'Portefeuille SP2'!M176</f>
        <v>0</v>
      </c>
      <c r="Q162" s="387"/>
      <c r="R162" s="387">
        <f>'Portefeuille SP2'!N176</f>
        <v>0.1</v>
      </c>
      <c r="S162" s="387"/>
      <c r="T162" s="382" t="str">
        <f>'Portefeuille SP2'!R176</f>
        <v>TBD</v>
      </c>
      <c r="U162" s="387">
        <f>'Portefeuille SP2'!K176</f>
        <v>0</v>
      </c>
      <c r="V162" s="399">
        <f>'Portefeuille SP2'!S176</f>
        <v>1</v>
      </c>
      <c r="W162" s="387"/>
      <c r="X162" s="387"/>
      <c r="Y162" s="387"/>
      <c r="Z162" s="387"/>
      <c r="AA162" s="387"/>
      <c r="AB162" s="387"/>
      <c r="AC162" s="387"/>
      <c r="AD162" s="387"/>
      <c r="AE162" s="400">
        <f>'Portefeuille SP2'!J176</f>
        <v>0</v>
      </c>
      <c r="AF162" s="387"/>
      <c r="AG162" s="387"/>
      <c r="AH162" s="389"/>
      <c r="AI162" s="389"/>
      <c r="AJ162" s="403">
        <f>'Portefeuille SP2'!V176</f>
        <v>0</v>
      </c>
      <c r="AK162" s="403">
        <f>'Portefeuille SP2'!W176</f>
        <v>0</v>
      </c>
      <c r="AL162" s="403">
        <f>'Portefeuille SP2'!X176</f>
        <v>0</v>
      </c>
      <c r="AM162" s="403">
        <f>'Portefeuille SP2'!Y176</f>
        <v>1</v>
      </c>
      <c r="AN162" s="403">
        <f>'Portefeuille SP2'!Z176</f>
        <v>1</v>
      </c>
      <c r="AO162" s="403">
        <f>'Portefeuille SP2'!AA176</f>
        <v>0</v>
      </c>
      <c r="AP162" s="403">
        <f>'Portefeuille SP2'!AB176</f>
        <v>0</v>
      </c>
      <c r="AQ162" s="403">
        <f>'Portefeuille SP2'!AC176</f>
        <v>1</v>
      </c>
      <c r="AR162" s="403">
        <f>'Portefeuille SP2'!AD176</f>
        <v>1</v>
      </c>
      <c r="AS162" s="403">
        <f>'Portefeuille SP2'!AE176</f>
        <v>0</v>
      </c>
      <c r="AT162" s="403">
        <f>'Portefeuille SP2'!AF176</f>
        <v>0</v>
      </c>
      <c r="AU162" s="403">
        <f>'Portefeuille SP2'!AG176</f>
        <v>0</v>
      </c>
      <c r="AV162" s="403">
        <f>'Portefeuille SP2'!AH176</f>
        <v>1</v>
      </c>
      <c r="AW162" s="403">
        <f>'Portefeuille SP2'!AI176</f>
        <v>1</v>
      </c>
      <c r="AX162" s="403">
        <f>'Portefeuille SP2'!AJ176</f>
        <v>0</v>
      </c>
      <c r="AY162" s="403">
        <f>'Portefeuille SP2'!AK176</f>
        <v>0</v>
      </c>
      <c r="AZ162" s="403">
        <f>'Portefeuille SP2'!AL176</f>
        <v>1</v>
      </c>
      <c r="BA162" s="403">
        <f>'Portefeuille SP2'!AM176</f>
        <v>1</v>
      </c>
      <c r="BB162" s="403">
        <f>'Portefeuille SP2'!AN176</f>
        <v>0</v>
      </c>
      <c r="BC162" s="403">
        <f>'Portefeuille SP2'!AO176</f>
        <v>0</v>
      </c>
      <c r="BD162" s="403">
        <f>'Portefeuille SP2'!AP176</f>
        <v>0</v>
      </c>
      <c r="BE162" s="403">
        <f>'Portefeuille SP2'!AQ176</f>
        <v>1</v>
      </c>
      <c r="BF162" s="403">
        <f>'Portefeuille SP2'!AR176</f>
        <v>1</v>
      </c>
      <c r="BG162" s="403" t="e">
        <f>'Portefeuille SP2'!#REF!</f>
        <v>#REF!</v>
      </c>
      <c r="BH162" s="403" t="e">
        <f>'Portefeuille SP2'!#REF!</f>
        <v>#REF!</v>
      </c>
      <c r="BI162" s="403" t="e">
        <f>'Portefeuille SP2'!#REF!</f>
        <v>#REF!</v>
      </c>
      <c r="BJ162" s="403" t="e">
        <f>'Portefeuille SP2'!#REF!</f>
        <v>#REF!</v>
      </c>
      <c r="BK162" s="403" t="e">
        <f>'Portefeuille SP2'!#REF!</f>
        <v>#REF!</v>
      </c>
      <c r="BL162" s="388"/>
      <c r="BM162" s="404" t="str">
        <f>'Portefeuille SP2'!L176</f>
        <v>10/04/2024 : design finalisé. Masse à récuperer
23/10/2023 : Création de la piste</v>
      </c>
    </row>
    <row r="163" spans="1:65" ht="15" customHeight="1">
      <c r="A163" s="383" t="str">
        <f>'Portefeuille SP2'!B177</f>
        <v>06/06/2025</v>
      </c>
      <c r="B163" s="390" t="str">
        <f>'Portefeuille SP2'!Q177</f>
        <v>CANCELED</v>
      </c>
      <c r="C163" s="384"/>
      <c r="D163" s="382" t="str">
        <f>'Portefeuille SP2'!E177</f>
        <v>TH</v>
      </c>
      <c r="E163" s="382" t="str">
        <f t="shared" si="12"/>
        <v>FRS</v>
      </c>
      <c r="F163" s="382" t="str">
        <f>MID(J163, 4, 20)</f>
        <v>D</v>
      </c>
      <c r="G163" s="382" t="str">
        <f>'Portefeuille SP2'!C177</f>
        <v>SP1</v>
      </c>
      <c r="H163" s="382" t="str">
        <f>'Portefeuille SP2'!F177</f>
        <v>Sébastien Bonnefoi (P1H)/
Jean Michel Gabus P1X</v>
      </c>
      <c r="I163" s="428" t="s">
        <v>1212</v>
      </c>
      <c r="J163" s="382" t="str">
        <f>'Portefeuille SP2'!D177</f>
        <v>FRSD</v>
      </c>
      <c r="K163" s="385" t="str">
        <f>'Portefeuille SP2'!H177</f>
        <v>num/phys</v>
      </c>
      <c r="L163" s="157">
        <f>'Portefeuille SP2'!U177</f>
        <v>-0.5</v>
      </c>
      <c r="M163" s="386"/>
      <c r="N163" s="386"/>
      <c r="O163" s="386"/>
      <c r="P163" s="400">
        <f>'Portefeuille SP2'!M177</f>
        <v>0</v>
      </c>
      <c r="Q163" s="387"/>
      <c r="R163" s="387">
        <f>'Portefeuille SP2'!N177</f>
        <v>0</v>
      </c>
      <c r="S163" s="387"/>
      <c r="T163" s="382">
        <f>'Portefeuille SP2'!R177</f>
        <v>0</v>
      </c>
      <c r="U163" s="387">
        <f>'Portefeuille SP2'!K177</f>
        <v>0</v>
      </c>
      <c r="V163" s="399">
        <f>'Portefeuille SP2'!S177</f>
        <v>1</v>
      </c>
      <c r="W163" s="387"/>
      <c r="X163" s="387"/>
      <c r="Y163" s="387"/>
      <c r="Z163" s="387"/>
      <c r="AA163" s="387"/>
      <c r="AB163" s="387"/>
      <c r="AC163" s="387"/>
      <c r="AD163" s="387"/>
      <c r="AE163" s="408">
        <f>'Portefeuille SP2'!J177</f>
        <v>0</v>
      </c>
      <c r="AF163" s="387"/>
      <c r="AG163" s="387"/>
      <c r="AH163" s="389"/>
      <c r="AI163" s="389"/>
      <c r="AJ163" s="403">
        <f>'Portefeuille SP2'!V177</f>
        <v>1</v>
      </c>
      <c r="AK163" s="403">
        <f>'Portefeuille SP2'!W177</f>
        <v>1</v>
      </c>
      <c r="AL163" s="403">
        <f>'Portefeuille SP2'!X177</f>
        <v>1</v>
      </c>
      <c r="AM163" s="403">
        <f>'Portefeuille SP2'!Y177</f>
        <v>1</v>
      </c>
      <c r="AN163" s="403">
        <f>'Portefeuille SP2'!Z177</f>
        <v>1</v>
      </c>
      <c r="AO163" s="403">
        <f>'Portefeuille SP2'!AA177</f>
        <v>1</v>
      </c>
      <c r="AP163" s="403">
        <f>'Portefeuille SP2'!AB177</f>
        <v>1</v>
      </c>
      <c r="AQ163" s="403">
        <f>'Portefeuille SP2'!AC177</f>
        <v>1</v>
      </c>
      <c r="AR163" s="403">
        <f>'Portefeuille SP2'!AD177</f>
        <v>1</v>
      </c>
      <c r="AS163" s="403">
        <f>'Portefeuille SP2'!AE177</f>
        <v>1</v>
      </c>
      <c r="AT163" s="403">
        <f>'Portefeuille SP2'!AF177</f>
        <v>1</v>
      </c>
      <c r="AU163" s="403">
        <f>'Portefeuille SP2'!AG177</f>
        <v>1</v>
      </c>
      <c r="AV163" s="403">
        <f>'Portefeuille SP2'!AH177</f>
        <v>1</v>
      </c>
      <c r="AW163" s="403">
        <f>'Portefeuille SP2'!AI177</f>
        <v>1</v>
      </c>
      <c r="AX163" s="403">
        <f>'Portefeuille SP2'!AJ177</f>
        <v>1</v>
      </c>
      <c r="AY163" s="403">
        <f>'Portefeuille SP2'!AK177</f>
        <v>1</v>
      </c>
      <c r="AZ163" s="403">
        <f>'Portefeuille SP2'!AL177</f>
        <v>1</v>
      </c>
      <c r="BA163" s="403">
        <f>'Portefeuille SP2'!AM177</f>
        <v>1</v>
      </c>
      <c r="BB163" s="403">
        <f>'Portefeuille SP2'!AN177</f>
        <v>1</v>
      </c>
      <c r="BC163" s="403">
        <f>'Portefeuille SP2'!AO177</f>
        <v>1</v>
      </c>
      <c r="BD163" s="403">
        <f>'Portefeuille SP2'!AP177</f>
        <v>1</v>
      </c>
      <c r="BE163" s="403">
        <f>'Portefeuille SP2'!AQ177</f>
        <v>1</v>
      </c>
      <c r="BF163" s="403">
        <f>'Portefeuille SP2'!AR177</f>
        <v>1</v>
      </c>
      <c r="BG163" s="403" t="e">
        <f>'Portefeuille SP2'!#REF!</f>
        <v>#REF!</v>
      </c>
      <c r="BH163" s="403" t="e">
        <f>'Portefeuille SP2'!#REF!</f>
        <v>#REF!</v>
      </c>
      <c r="BI163" s="403" t="e">
        <f>'Portefeuille SP2'!#REF!</f>
        <v>#REF!</v>
      </c>
      <c r="BJ163" s="403" t="e">
        <f>'Portefeuille SP2'!#REF!</f>
        <v>#REF!</v>
      </c>
      <c r="BK163" s="403" t="e">
        <f>'Portefeuille SP2'!#REF!</f>
        <v>#REF!</v>
      </c>
      <c r="BL163" s="388"/>
      <c r="BM163" s="404" t="str">
        <f>'Portefeuille SP2'!L177</f>
        <v>06/06/2025 A revoir si decision du volet Plastique
28/05/2025 CHANTIER MASSE : Masse P1X</v>
      </c>
    </row>
    <row r="164" spans="1:65" ht="15" customHeight="1">
      <c r="A164" s="383">
        <f>'Portefeuille SP2'!B178</f>
        <v>0</v>
      </c>
      <c r="B164" s="390" t="str">
        <f>'Portefeuille SP2'!Q178</f>
        <v>CANCELED</v>
      </c>
      <c r="C164" s="384"/>
      <c r="D164" s="382" t="str">
        <f>'Portefeuille SP2'!E178</f>
        <v>PTF</v>
      </c>
      <c r="E164" s="382" t="str">
        <f t="shared" si="12"/>
        <v>BIW</v>
      </c>
      <c r="F164" s="382" t="str">
        <f t="shared" si="13"/>
        <v/>
      </c>
      <c r="G164" s="382" t="str">
        <f>'Portefeuille SP2'!C178</f>
        <v>SP1</v>
      </c>
      <c r="H164" s="382">
        <f>'Portefeuille SP2'!F178</f>
        <v>0</v>
      </c>
      <c r="I164" s="382"/>
      <c r="J164" s="382" t="str">
        <f>'Portefeuille SP2'!D178</f>
        <v xml:space="preserve">BIW </v>
      </c>
      <c r="K164" s="385">
        <f>'Portefeuille SP2'!H178</f>
        <v>0</v>
      </c>
      <c r="L164" s="157">
        <f>'Portefeuille SP2'!U178</f>
        <v>0</v>
      </c>
      <c r="M164" s="386"/>
      <c r="N164" s="386"/>
      <c r="O164" s="386"/>
      <c r="P164" s="387">
        <f>'Portefeuille SP2'!M178</f>
        <v>0</v>
      </c>
      <c r="Q164" s="387"/>
      <c r="R164" s="387" t="str">
        <f>'Portefeuille SP2'!N178</f>
        <v/>
      </c>
      <c r="S164" s="387"/>
      <c r="T164" s="382" t="str">
        <f>'Portefeuille SP2'!R178</f>
        <v>TBD</v>
      </c>
      <c r="U164" s="387">
        <f>'Portefeuille SP2'!K178</f>
        <v>0</v>
      </c>
      <c r="V164" s="399">
        <f>'Portefeuille SP2'!S178</f>
        <v>1</v>
      </c>
      <c r="W164" s="387"/>
      <c r="X164" s="387"/>
      <c r="Y164" s="387"/>
      <c r="Z164" s="387"/>
      <c r="AA164" s="387"/>
      <c r="AB164" s="387"/>
      <c r="AC164" s="387"/>
      <c r="AD164" s="387"/>
      <c r="AE164" s="400">
        <f>'Portefeuille SP2'!J178</f>
        <v>0</v>
      </c>
      <c r="AF164" s="387"/>
      <c r="AG164" s="387"/>
      <c r="AH164" s="389"/>
      <c r="AI164" s="389"/>
      <c r="AJ164" s="403">
        <f>'Portefeuille SP2'!V178</f>
        <v>0</v>
      </c>
      <c r="AK164" s="403">
        <f>'Portefeuille SP2'!W178</f>
        <v>0</v>
      </c>
      <c r="AL164" s="403">
        <f>'Portefeuille SP2'!X178</f>
        <v>0</v>
      </c>
      <c r="AM164" s="403">
        <f>'Portefeuille SP2'!Y178</f>
        <v>1</v>
      </c>
      <c r="AN164" s="403">
        <f>'Portefeuille SP2'!Z178</f>
        <v>1</v>
      </c>
      <c r="AO164" s="403">
        <f>'Portefeuille SP2'!AA178</f>
        <v>0</v>
      </c>
      <c r="AP164" s="403">
        <f>'Portefeuille SP2'!AB178</f>
        <v>0</v>
      </c>
      <c r="AQ164" s="403">
        <f>'Portefeuille SP2'!AC178</f>
        <v>1</v>
      </c>
      <c r="AR164" s="403">
        <f>'Portefeuille SP2'!AD178</f>
        <v>1</v>
      </c>
      <c r="AS164" s="403">
        <f>'Portefeuille SP2'!AE178</f>
        <v>0</v>
      </c>
      <c r="AT164" s="403">
        <f>'Portefeuille SP2'!AF178</f>
        <v>0</v>
      </c>
      <c r="AU164" s="403">
        <f>'Portefeuille SP2'!AG178</f>
        <v>0</v>
      </c>
      <c r="AV164" s="403">
        <f>'Portefeuille SP2'!AH178</f>
        <v>1</v>
      </c>
      <c r="AW164" s="403">
        <f>'Portefeuille SP2'!AI178</f>
        <v>1</v>
      </c>
      <c r="AX164" s="403">
        <f>'Portefeuille SP2'!AJ178</f>
        <v>0</v>
      </c>
      <c r="AY164" s="403">
        <f>'Portefeuille SP2'!AK178</f>
        <v>0</v>
      </c>
      <c r="AZ164" s="403">
        <f>'Portefeuille SP2'!AL178</f>
        <v>1</v>
      </c>
      <c r="BA164" s="403">
        <f>'Portefeuille SP2'!AM178</f>
        <v>1</v>
      </c>
      <c r="BB164" s="403">
        <f>'Portefeuille SP2'!AN178</f>
        <v>0</v>
      </c>
      <c r="BC164" s="403">
        <f>'Portefeuille SP2'!AO178</f>
        <v>0</v>
      </c>
      <c r="BD164" s="403">
        <f>'Portefeuille SP2'!AP178</f>
        <v>0</v>
      </c>
      <c r="BE164" s="403">
        <f>'Portefeuille SP2'!AQ178</f>
        <v>1</v>
      </c>
      <c r="BF164" s="403">
        <f>'Portefeuille SP2'!AR178</f>
        <v>1</v>
      </c>
      <c r="BG164" s="403" t="e">
        <f>'Portefeuille SP2'!#REF!</f>
        <v>#REF!</v>
      </c>
      <c r="BH164" s="403" t="e">
        <f>'Portefeuille SP2'!#REF!</f>
        <v>#REF!</v>
      </c>
      <c r="BI164" s="403" t="e">
        <f>'Portefeuille SP2'!#REF!</f>
        <v>#REF!</v>
      </c>
      <c r="BJ164" s="403" t="e">
        <f>'Portefeuille SP2'!#REF!</f>
        <v>#REF!</v>
      </c>
      <c r="BK164" s="403" t="e">
        <f>'Portefeuille SP2'!#REF!</f>
        <v>#REF!</v>
      </c>
      <c r="BL164" s="388"/>
      <c r="BM164" s="404" t="str">
        <f>'Portefeuille SP2'!L178</f>
        <v>29/04/2024 : Resultat mauvais renforcement à faire, valeur masse inconnue
Voir les resultats de calcul</v>
      </c>
    </row>
    <row r="165" spans="1:65" ht="15" customHeight="1">
      <c r="A165" s="383">
        <f>'Portefeuille SP2'!B179</f>
        <v>0</v>
      </c>
      <c r="B165" s="390" t="str">
        <f>'Portefeuille SP2'!Q179</f>
        <v>CANCELED</v>
      </c>
      <c r="C165" s="384"/>
      <c r="D165" s="382" t="str">
        <f>'Portefeuille SP2'!E179</f>
        <v>PTF</v>
      </c>
      <c r="E165" s="382" t="str">
        <f t="shared" si="12"/>
        <v>BIW</v>
      </c>
      <c r="F165" s="382" t="str">
        <f t="shared" si="13"/>
        <v/>
      </c>
      <c r="G165" s="382" t="str">
        <f>'Portefeuille SP2'!C179</f>
        <v>SP1</v>
      </c>
      <c r="H165" s="382">
        <f>'Portefeuille SP2'!F179</f>
        <v>0</v>
      </c>
      <c r="I165" s="382"/>
      <c r="J165" s="382" t="str">
        <f>'Portefeuille SP2'!D179</f>
        <v xml:space="preserve">BIW </v>
      </c>
      <c r="K165" s="385">
        <f>'Portefeuille SP2'!H179</f>
        <v>0</v>
      </c>
      <c r="L165" s="157">
        <f>'Portefeuille SP2'!U179</f>
        <v>-2.6</v>
      </c>
      <c r="M165" s="386"/>
      <c r="N165" s="386"/>
      <c r="O165" s="386"/>
      <c r="P165" s="387">
        <f>'Portefeuille SP2'!M179</f>
        <v>0</v>
      </c>
      <c r="Q165" s="387"/>
      <c r="R165" s="387">
        <f>'Portefeuille SP2'!N179</f>
        <v>0</v>
      </c>
      <c r="S165" s="387"/>
      <c r="T165" s="382" t="str">
        <f>'Portefeuille SP2'!R179</f>
        <v>TBD</v>
      </c>
      <c r="U165" s="387">
        <f>'Portefeuille SP2'!K179</f>
        <v>0</v>
      </c>
      <c r="V165" s="399">
        <f>'Portefeuille SP2'!S179</f>
        <v>1</v>
      </c>
      <c r="W165" s="387"/>
      <c r="X165" s="387"/>
      <c r="Y165" s="387"/>
      <c r="Z165" s="387"/>
      <c r="AA165" s="387"/>
      <c r="AB165" s="387"/>
      <c r="AC165" s="387"/>
      <c r="AD165" s="387"/>
      <c r="AE165" s="400">
        <f>'Portefeuille SP2'!J179</f>
        <v>0</v>
      </c>
      <c r="AF165" s="387"/>
      <c r="AG165" s="387"/>
      <c r="AH165" s="389"/>
      <c r="AI165" s="389"/>
      <c r="AJ165" s="403">
        <f>'Portefeuille SP2'!V179</f>
        <v>0</v>
      </c>
      <c r="AK165" s="403">
        <f>'Portefeuille SP2'!W179</f>
        <v>0</v>
      </c>
      <c r="AL165" s="403">
        <f>'Portefeuille SP2'!X179</f>
        <v>0</v>
      </c>
      <c r="AM165" s="403">
        <f>'Portefeuille SP2'!Y179</f>
        <v>1</v>
      </c>
      <c r="AN165" s="403">
        <f>'Portefeuille SP2'!Z179</f>
        <v>1</v>
      </c>
      <c r="AO165" s="403">
        <f>'Portefeuille SP2'!AA179</f>
        <v>0</v>
      </c>
      <c r="AP165" s="403">
        <f>'Portefeuille SP2'!AB179</f>
        <v>0</v>
      </c>
      <c r="AQ165" s="403">
        <f>'Portefeuille SP2'!AC179</f>
        <v>1</v>
      </c>
      <c r="AR165" s="403">
        <f>'Portefeuille SP2'!AD179</f>
        <v>1</v>
      </c>
      <c r="AS165" s="403">
        <f>'Portefeuille SP2'!AE179</f>
        <v>0</v>
      </c>
      <c r="AT165" s="403">
        <f>'Portefeuille SP2'!AF179</f>
        <v>0</v>
      </c>
      <c r="AU165" s="403">
        <f>'Portefeuille SP2'!AG179</f>
        <v>0</v>
      </c>
      <c r="AV165" s="403">
        <f>'Portefeuille SP2'!AH179</f>
        <v>1</v>
      </c>
      <c r="AW165" s="403">
        <f>'Portefeuille SP2'!AI179</f>
        <v>1</v>
      </c>
      <c r="AX165" s="403">
        <f>'Portefeuille SP2'!AJ179</f>
        <v>0</v>
      </c>
      <c r="AY165" s="403">
        <f>'Portefeuille SP2'!AK179</f>
        <v>0</v>
      </c>
      <c r="AZ165" s="403">
        <f>'Portefeuille SP2'!AL179</f>
        <v>1</v>
      </c>
      <c r="BA165" s="403">
        <f>'Portefeuille SP2'!AM179</f>
        <v>1</v>
      </c>
      <c r="BB165" s="403">
        <f>'Portefeuille SP2'!AN179</f>
        <v>0</v>
      </c>
      <c r="BC165" s="403">
        <f>'Portefeuille SP2'!AO179</f>
        <v>0</v>
      </c>
      <c r="BD165" s="403">
        <f>'Portefeuille SP2'!AP179</f>
        <v>0</v>
      </c>
      <c r="BE165" s="403">
        <f>'Portefeuille SP2'!AQ179</f>
        <v>1</v>
      </c>
      <c r="BF165" s="403">
        <f>'Portefeuille SP2'!AR179</f>
        <v>1</v>
      </c>
      <c r="BG165" s="403" t="e">
        <f>'Portefeuille SP2'!#REF!</f>
        <v>#REF!</v>
      </c>
      <c r="BH165" s="403" t="e">
        <f>'Portefeuille SP2'!#REF!</f>
        <v>#REF!</v>
      </c>
      <c r="BI165" s="403" t="e">
        <f>'Portefeuille SP2'!#REF!</f>
        <v>#REF!</v>
      </c>
      <c r="BJ165" s="403" t="e">
        <f>'Portefeuille SP2'!#REF!</f>
        <v>#REF!</v>
      </c>
      <c r="BK165" s="403" t="e">
        <f>'Portefeuille SP2'!#REF!</f>
        <v>#REF!</v>
      </c>
      <c r="BL165" s="388"/>
      <c r="BM165" s="404" t="str">
        <f>'Portefeuille SP2'!L179</f>
        <v>19/06/2024 : en cours sur SP1 et sur SP2
13/03/2024 ECMP &gt; APV</v>
      </c>
    </row>
    <row r="166" spans="1:65" ht="15" customHeight="1">
      <c r="A166" s="383">
        <f>'Portefeuille SP2'!B180</f>
        <v>45536</v>
      </c>
      <c r="B166" s="390" t="str">
        <f>'Portefeuille SP2'!Q180</f>
        <v>DECIDED</v>
      </c>
      <c r="C166" s="384"/>
      <c r="D166" s="382" t="str">
        <f>'Portefeuille SP2'!E180</f>
        <v>TH</v>
      </c>
      <c r="E166" s="382" t="str">
        <f t="shared" si="12"/>
        <v>BIW</v>
      </c>
      <c r="F166" s="382" t="str">
        <f t="shared" si="13"/>
        <v/>
      </c>
      <c r="G166" s="382" t="str">
        <f>'Portefeuille SP2'!C180</f>
        <v>SP2</v>
      </c>
      <c r="H166" s="382">
        <f>'Portefeuille SP2'!F180</f>
        <v>0</v>
      </c>
      <c r="I166" s="382"/>
      <c r="J166" s="382" t="str">
        <f>'Portefeuille SP2'!D180</f>
        <v xml:space="preserve">BIW </v>
      </c>
      <c r="K166" s="385" t="str">
        <f>'Portefeuille SP2'!H180</f>
        <v>Rear Door Hinge position</v>
      </c>
      <c r="L166" s="157">
        <f>'Portefeuille SP2'!U180</f>
        <v>0.4</v>
      </c>
      <c r="M166" s="386"/>
      <c r="N166" s="386"/>
      <c r="O166" s="386"/>
      <c r="P166" s="387" t="str">
        <f>'Portefeuille SP2'!M180</f>
        <v>100K€</v>
      </c>
      <c r="Q166" s="387"/>
      <c r="R166" s="387">
        <f>'Portefeuille SP2'!N180</f>
        <v>1</v>
      </c>
      <c r="S166" s="387"/>
      <c r="T166" s="382" t="str">
        <f>'Portefeuille SP2'!R180</f>
        <v>TBD</v>
      </c>
      <c r="U166" s="387" t="str">
        <f>'Portefeuille SP2'!K180</f>
        <v>GO Sync1</v>
      </c>
      <c r="V166" s="399">
        <f>'Portefeuille SP2'!S180</f>
        <v>0.4</v>
      </c>
      <c r="W166" s="387"/>
      <c r="X166" s="387"/>
      <c r="Y166" s="387"/>
      <c r="Z166" s="387"/>
      <c r="AA166" s="387"/>
      <c r="AB166" s="387"/>
      <c r="AC166" s="387"/>
      <c r="AD166" s="387"/>
      <c r="AE166" s="400" t="str">
        <f>'Portefeuille SP2'!J180</f>
        <v>28/04/0205 LM: BDD à jour passé à Decided Stéphane
26/03/2025 - Check MASS with Cyrille (Proposal 3)
Passed to 400Gr ald 750 Gr
24/09/2024 -LM- Invest / TPC en cours</v>
      </c>
      <c r="AF166" s="387"/>
      <c r="AG166" s="387"/>
      <c r="AH166" s="389"/>
      <c r="AI166" s="389"/>
      <c r="AJ166" s="403">
        <f>'Portefeuille SP2'!V180</f>
        <v>0</v>
      </c>
      <c r="AK166" s="403">
        <f>'Portefeuille SP2'!W180</f>
        <v>0</v>
      </c>
      <c r="AL166" s="403">
        <f>'Portefeuille SP2'!X180</f>
        <v>0</v>
      </c>
      <c r="AM166" s="403">
        <f>'Portefeuille SP2'!Y180</f>
        <v>1</v>
      </c>
      <c r="AN166" s="403">
        <f>'Portefeuille SP2'!Z180</f>
        <v>1</v>
      </c>
      <c r="AO166" s="403">
        <f>'Portefeuille SP2'!AA180</f>
        <v>0</v>
      </c>
      <c r="AP166" s="403">
        <f>'Portefeuille SP2'!AB180</f>
        <v>0</v>
      </c>
      <c r="AQ166" s="403">
        <f>'Portefeuille SP2'!AC180</f>
        <v>1</v>
      </c>
      <c r="AR166" s="403">
        <f>'Portefeuille SP2'!AD180</f>
        <v>1</v>
      </c>
      <c r="AS166" s="403">
        <f>'Portefeuille SP2'!AE180</f>
        <v>0</v>
      </c>
      <c r="AT166" s="403">
        <f>'Portefeuille SP2'!AF180</f>
        <v>0</v>
      </c>
      <c r="AU166" s="403">
        <f>'Portefeuille SP2'!AG180</f>
        <v>0</v>
      </c>
      <c r="AV166" s="403">
        <f>'Portefeuille SP2'!AH180</f>
        <v>1</v>
      </c>
      <c r="AW166" s="403">
        <f>'Portefeuille SP2'!AI180</f>
        <v>1</v>
      </c>
      <c r="AX166" s="403">
        <f>'Portefeuille SP2'!AJ180</f>
        <v>0</v>
      </c>
      <c r="AY166" s="403">
        <f>'Portefeuille SP2'!AK180</f>
        <v>0</v>
      </c>
      <c r="AZ166" s="403">
        <f>'Portefeuille SP2'!AL180</f>
        <v>1</v>
      </c>
      <c r="BA166" s="403">
        <f>'Portefeuille SP2'!AM180</f>
        <v>1</v>
      </c>
      <c r="BB166" s="403">
        <f>'Portefeuille SP2'!AN180</f>
        <v>0</v>
      </c>
      <c r="BC166" s="403">
        <f>'Portefeuille SP2'!AO180</f>
        <v>0</v>
      </c>
      <c r="BD166" s="403">
        <f>'Portefeuille SP2'!AP180</f>
        <v>0</v>
      </c>
      <c r="BE166" s="403">
        <f>'Portefeuille SP2'!AQ180</f>
        <v>1</v>
      </c>
      <c r="BF166" s="403">
        <f>'Portefeuille SP2'!AR180</f>
        <v>1</v>
      </c>
      <c r="BG166" s="403" t="e">
        <f>'Portefeuille SP2'!#REF!</f>
        <v>#REF!</v>
      </c>
      <c r="BH166" s="403" t="e">
        <f>'Portefeuille SP2'!#REF!</f>
        <v>#REF!</v>
      </c>
      <c r="BI166" s="403" t="e">
        <f>'Portefeuille SP2'!#REF!</f>
        <v>#REF!</v>
      </c>
      <c r="BJ166" s="403" t="e">
        <f>'Portefeuille SP2'!#REF!</f>
        <v>#REF!</v>
      </c>
      <c r="BK166" s="403" t="e">
        <f>'Portefeuille SP2'!#REF!</f>
        <v>#REF!</v>
      </c>
      <c r="BL166" s="388"/>
      <c r="BM166" s="404">
        <f>'Portefeuille SP2'!L180</f>
        <v>0</v>
      </c>
    </row>
    <row r="167" spans="1:65" ht="15" customHeight="1">
      <c r="A167" s="383">
        <f>'Portefeuille SP2'!B181</f>
        <v>45536</v>
      </c>
      <c r="B167" s="390" t="str">
        <f>'Portefeuille SP2'!Q181</f>
        <v>CANCELED</v>
      </c>
      <c r="C167" s="384"/>
      <c r="D167" s="382" t="str">
        <f>'Portefeuille SP2'!E181</f>
        <v>TH</v>
      </c>
      <c r="E167" s="382" t="str">
        <f t="shared" si="12"/>
        <v>FRS</v>
      </c>
      <c r="F167" s="382" t="str">
        <f>MID(J167, 4, 20)</f>
        <v>D</v>
      </c>
      <c r="G167" s="382" t="str">
        <f>'Portefeuille SP2'!C181</f>
        <v>SPC_1</v>
      </c>
      <c r="H167" s="382" t="str">
        <f>'Portefeuille SP2'!F181</f>
        <v>MICHAEL BORE</v>
      </c>
      <c r="I167" s="428" t="s">
        <v>1212</v>
      </c>
      <c r="J167" s="382" t="str">
        <f>'Portefeuille SP2'!D181</f>
        <v>FRSD</v>
      </c>
      <c r="K167" s="385" t="str">
        <f>'Portefeuille SP2'!H181</f>
        <v>front visor w/o light</v>
      </c>
      <c r="L167" s="157">
        <f>'Portefeuille SP2'!U181</f>
        <v>-0.5</v>
      </c>
      <c r="M167" s="386"/>
      <c r="N167" s="386"/>
      <c r="O167" s="386"/>
      <c r="P167" s="400" t="str">
        <f>'Portefeuille SP2'!M181</f>
        <v>300K€ enjoliveur</v>
      </c>
      <c r="Q167" s="387"/>
      <c r="R167" s="387" t="str">
        <f>'Portefeuille SP2'!N181</f>
        <v>(-54,38)</v>
      </c>
      <c r="S167" s="387"/>
      <c r="T167" s="382" t="str">
        <f>'Portefeuille SP2'!R181</f>
        <v>TBD</v>
      </c>
      <c r="U167" s="387" t="str">
        <f>'Portefeuille SP2'!K181</f>
        <v>PM poro signature</v>
      </c>
      <c r="V167" s="399">
        <f>'Portefeuille SP2'!S181</f>
        <v>0.5</v>
      </c>
      <c r="W167" s="387"/>
      <c r="X167" s="387"/>
      <c r="Y167" s="387"/>
      <c r="Z167" s="387"/>
      <c r="AA167" s="387"/>
      <c r="AB167" s="387"/>
      <c r="AC167" s="387"/>
      <c r="AD167" s="387"/>
      <c r="AE167" s="408" t="str">
        <f>'Portefeuille SP2'!J181</f>
        <v>LM - 23/01/26
sujet abandonné
LM 29/09/25
que pour JEEP ligne to PORO</v>
      </c>
      <c r="AF167" s="387"/>
      <c r="AG167" s="387"/>
      <c r="AH167" s="389"/>
      <c r="AI167" s="389"/>
      <c r="AJ167" s="403">
        <f>'Portefeuille SP2'!V181</f>
        <v>1</v>
      </c>
      <c r="AK167" s="403">
        <f>'Portefeuille SP2'!W181</f>
        <v>0</v>
      </c>
      <c r="AL167" s="403">
        <f>'Portefeuille SP2'!X181</f>
        <v>0</v>
      </c>
      <c r="AM167" s="403">
        <f>'Portefeuille SP2'!Y181</f>
        <v>0</v>
      </c>
      <c r="AN167" s="403">
        <f>'Portefeuille SP2'!Z181</f>
        <v>0</v>
      </c>
      <c r="AO167" s="403">
        <f>'Portefeuille SP2'!AA181</f>
        <v>0</v>
      </c>
      <c r="AP167" s="403">
        <f>'Portefeuille SP2'!AB181</f>
        <v>0</v>
      </c>
      <c r="AQ167" s="403">
        <f>'Portefeuille SP2'!AC181</f>
        <v>0</v>
      </c>
      <c r="AR167" s="403">
        <f>'Portefeuille SP2'!AD181</f>
        <v>0</v>
      </c>
      <c r="AS167" s="403">
        <f>'Portefeuille SP2'!AE181</f>
        <v>1</v>
      </c>
      <c r="AT167" s="403">
        <f>'Portefeuille SP2'!AF181</f>
        <v>0</v>
      </c>
      <c r="AU167" s="403">
        <f>'Portefeuille SP2'!AG181</f>
        <v>0</v>
      </c>
      <c r="AV167" s="403">
        <f>'Portefeuille SP2'!AH181</f>
        <v>0</v>
      </c>
      <c r="AW167" s="403">
        <f>'Portefeuille SP2'!AI181</f>
        <v>0</v>
      </c>
      <c r="AX167" s="403">
        <f>'Portefeuille SP2'!AJ181</f>
        <v>0</v>
      </c>
      <c r="AY167" s="403">
        <f>'Portefeuille SP2'!AK181</f>
        <v>0</v>
      </c>
      <c r="AZ167" s="403">
        <f>'Portefeuille SP2'!AL181</f>
        <v>0</v>
      </c>
      <c r="BA167" s="403">
        <f>'Portefeuille SP2'!AM181</f>
        <v>0</v>
      </c>
      <c r="BB167" s="403">
        <f>'Portefeuille SP2'!AN181</f>
        <v>1</v>
      </c>
      <c r="BC167" s="403">
        <f>'Portefeuille SP2'!AO181</f>
        <v>1</v>
      </c>
      <c r="BD167" s="403">
        <f>'Portefeuille SP2'!AP181</f>
        <v>1</v>
      </c>
      <c r="BE167" s="403">
        <f>'Portefeuille SP2'!AQ181</f>
        <v>1</v>
      </c>
      <c r="BF167" s="403">
        <f>'Portefeuille SP2'!AR181</f>
        <v>1</v>
      </c>
      <c r="BG167" s="403" t="e">
        <f>'Portefeuille SP2'!#REF!</f>
        <v>#REF!</v>
      </c>
      <c r="BH167" s="403" t="e">
        <f>'Portefeuille SP2'!#REF!</f>
        <v>#REF!</v>
      </c>
      <c r="BI167" s="403" t="e">
        <f>'Portefeuille SP2'!#REF!</f>
        <v>#REF!</v>
      </c>
      <c r="BJ167" s="403" t="e">
        <f>'Portefeuille SP2'!#REF!</f>
        <v>#REF!</v>
      </c>
      <c r="BK167" s="403" t="e">
        <f>'Portefeuille SP2'!#REF!</f>
        <v>#REF!</v>
      </c>
      <c r="BL167" s="388"/>
      <c r="BM167" s="404" t="str">
        <f>'Portefeuille SP2'!L181</f>
        <v>passage en REF post CM</v>
      </c>
    </row>
    <row r="168" spans="1:65" ht="15" customHeight="1">
      <c r="A168" s="383">
        <f>'Portefeuille SP2'!B182</f>
        <v>45536</v>
      </c>
      <c r="B168" s="390" t="str">
        <f>'Portefeuille SP2'!Q182</f>
        <v>DECIDED</v>
      </c>
      <c r="C168" s="384"/>
      <c r="D168" s="382" t="str">
        <f>'Portefeuille SP2'!E182</f>
        <v>TH</v>
      </c>
      <c r="E168" s="382" t="str">
        <f t="shared" si="12"/>
        <v>BIW</v>
      </c>
      <c r="F168" s="382" t="str">
        <f t="shared" si="13"/>
        <v/>
      </c>
      <c r="G168" s="382" t="str">
        <f>'Portefeuille SP2'!C182</f>
        <v>SP2</v>
      </c>
      <c r="H168" s="382">
        <f>'Portefeuille SP2'!F182</f>
        <v>0</v>
      </c>
      <c r="I168" s="382"/>
      <c r="J168" s="382" t="str">
        <f>'Portefeuille SP2'!D182</f>
        <v xml:space="preserve">BIW </v>
      </c>
      <c r="K168" s="385" t="str">
        <f>'Portefeuille SP2'!H182</f>
        <v>Hot Stamping lat reinfor</v>
      </c>
      <c r="L168" s="157">
        <f>'Portefeuille SP2'!U182</f>
        <v>-0.5</v>
      </c>
      <c r="M168" s="386"/>
      <c r="N168" s="386"/>
      <c r="O168" s="386"/>
      <c r="P168" s="387">
        <f>'Portefeuille SP2'!M182</f>
        <v>104</v>
      </c>
      <c r="Q168" s="387"/>
      <c r="R168" s="387">
        <f>'Portefeuille SP2'!N182</f>
        <v>-0.8</v>
      </c>
      <c r="S168" s="387"/>
      <c r="T168" s="382" t="str">
        <f>'Portefeuille SP2'!R182</f>
        <v>TBD</v>
      </c>
      <c r="U168" s="387" t="str">
        <f>'Portefeuille SP2'!K182</f>
        <v>PM-CM</v>
      </c>
      <c r="V168" s="399">
        <f>'Portefeuille SP2'!S182</f>
        <v>1</v>
      </c>
      <c r="W168" s="387"/>
      <c r="X168" s="387"/>
      <c r="Y168" s="387"/>
      <c r="Z168" s="387"/>
      <c r="AA168" s="387"/>
      <c r="AB168" s="387"/>
      <c r="AC168" s="387"/>
      <c r="AD168" s="387"/>
      <c r="AE168" s="400" t="str">
        <f>'Portefeuille SP2'!J182</f>
        <v xml:space="preserve">28/04/2025 LM : BDD ok à passer à Decided Stéphane
24/09/2024 -LM- Renfort choc lat  AR en embout à chaud (donc suppression raidisseur)
</v>
      </c>
      <c r="AF168" s="387"/>
      <c r="AG168" s="387"/>
      <c r="AH168" s="389"/>
      <c r="AI168" s="389"/>
      <c r="AJ168" s="403">
        <f>'Portefeuille SP2'!V182</f>
        <v>0</v>
      </c>
      <c r="AK168" s="403">
        <f>'Portefeuille SP2'!W182</f>
        <v>0</v>
      </c>
      <c r="AL168" s="403">
        <f>'Portefeuille SP2'!X182</f>
        <v>0</v>
      </c>
      <c r="AM168" s="403">
        <f>'Portefeuille SP2'!Y182</f>
        <v>1</v>
      </c>
      <c r="AN168" s="403">
        <f>'Portefeuille SP2'!Z182</f>
        <v>1</v>
      </c>
      <c r="AO168" s="403">
        <f>'Portefeuille SP2'!AA182</f>
        <v>0</v>
      </c>
      <c r="AP168" s="403">
        <f>'Portefeuille SP2'!AB182</f>
        <v>0</v>
      </c>
      <c r="AQ168" s="403">
        <f>'Portefeuille SP2'!AC182</f>
        <v>1</v>
      </c>
      <c r="AR168" s="403">
        <f>'Portefeuille SP2'!AD182</f>
        <v>1</v>
      </c>
      <c r="AS168" s="403">
        <f>'Portefeuille SP2'!AE182</f>
        <v>0</v>
      </c>
      <c r="AT168" s="403">
        <f>'Portefeuille SP2'!AF182</f>
        <v>0</v>
      </c>
      <c r="AU168" s="403">
        <f>'Portefeuille SP2'!AG182</f>
        <v>0</v>
      </c>
      <c r="AV168" s="403">
        <f>'Portefeuille SP2'!AH182</f>
        <v>1</v>
      </c>
      <c r="AW168" s="403">
        <f>'Portefeuille SP2'!AI182</f>
        <v>1</v>
      </c>
      <c r="AX168" s="403">
        <f>'Portefeuille SP2'!AJ182</f>
        <v>0</v>
      </c>
      <c r="AY168" s="403">
        <f>'Portefeuille SP2'!AK182</f>
        <v>0</v>
      </c>
      <c r="AZ168" s="403">
        <f>'Portefeuille SP2'!AL182</f>
        <v>1</v>
      </c>
      <c r="BA168" s="403">
        <f>'Portefeuille SP2'!AM182</f>
        <v>1</v>
      </c>
      <c r="BB168" s="403">
        <f>'Portefeuille SP2'!AN182</f>
        <v>0</v>
      </c>
      <c r="BC168" s="403">
        <f>'Portefeuille SP2'!AO182</f>
        <v>0</v>
      </c>
      <c r="BD168" s="403">
        <f>'Portefeuille SP2'!AP182</f>
        <v>0</v>
      </c>
      <c r="BE168" s="403">
        <f>'Portefeuille SP2'!AQ182</f>
        <v>1</v>
      </c>
      <c r="BF168" s="403">
        <f>'Portefeuille SP2'!AR182</f>
        <v>1</v>
      </c>
      <c r="BG168" s="403" t="e">
        <f>'Portefeuille SP2'!#REF!</f>
        <v>#REF!</v>
      </c>
      <c r="BH168" s="403" t="e">
        <f>'Portefeuille SP2'!#REF!</f>
        <v>#REF!</v>
      </c>
      <c r="BI168" s="403" t="e">
        <f>'Portefeuille SP2'!#REF!</f>
        <v>#REF!</v>
      </c>
      <c r="BJ168" s="403" t="e">
        <f>'Portefeuille SP2'!#REF!</f>
        <v>#REF!</v>
      </c>
      <c r="BK168" s="403" t="e">
        <f>'Portefeuille SP2'!#REF!</f>
        <v>#REF!</v>
      </c>
      <c r="BL168" s="388"/>
      <c r="BM168" s="404">
        <f>'Portefeuille SP2'!L182</f>
        <v>0</v>
      </c>
    </row>
    <row r="169" spans="1:65" ht="15" customHeight="1">
      <c r="A169" s="383">
        <f>'Portefeuille SP2'!B183</f>
        <v>45536</v>
      </c>
      <c r="B169" s="390" t="str">
        <f>'Portefeuille SP2'!Q183</f>
        <v>DECIDED</v>
      </c>
      <c r="C169" s="384"/>
      <c r="D169" s="382" t="str">
        <f>'Portefeuille SP2'!E183</f>
        <v>TH</v>
      </c>
      <c r="E169" s="382" t="str">
        <f t="shared" si="12"/>
        <v>BIW</v>
      </c>
      <c r="F169" s="382" t="str">
        <f t="shared" si="13"/>
        <v/>
      </c>
      <c r="G169" s="382" t="str">
        <f>'Portefeuille SP2'!C183</f>
        <v>SP2</v>
      </c>
      <c r="H169" s="382">
        <f>'Portefeuille SP2'!F183</f>
        <v>0</v>
      </c>
      <c r="I169" s="382"/>
      <c r="J169" s="382" t="str">
        <f>'Portefeuille SP2'!D183</f>
        <v xml:space="preserve">BIW </v>
      </c>
      <c r="K169" s="385" t="str">
        <f>'Portefeuille SP2'!H183</f>
        <v>BIW doublure montant baie
renfort montant de baie
doublure d'aile</v>
      </c>
      <c r="L169" s="157">
        <f>'Portefeuille SP2'!U183</f>
        <v>-1</v>
      </c>
      <c r="M169" s="386"/>
      <c r="N169" s="386"/>
      <c r="O169" s="386"/>
      <c r="P169" s="387">
        <f>'Portefeuille SP2'!M183</f>
        <v>120</v>
      </c>
      <c r="Q169" s="387"/>
      <c r="R169" s="387">
        <f>'Portefeuille SP2'!N183</f>
        <v>1.5</v>
      </c>
      <c r="S169" s="387"/>
      <c r="T169" s="382" t="str">
        <f>'Portefeuille SP2'!R183</f>
        <v>TBD</v>
      </c>
      <c r="U169" s="387" t="str">
        <f>'Portefeuille SP2'!K183</f>
        <v>PM-CM</v>
      </c>
      <c r="V169" s="399">
        <f>'Portefeuille SP2'!S183</f>
        <v>1</v>
      </c>
      <c r="W169" s="387"/>
      <c r="X169" s="387"/>
      <c r="Y169" s="387"/>
      <c r="Z169" s="387"/>
      <c r="AA169" s="387"/>
      <c r="AB169" s="387"/>
      <c r="AC169" s="387"/>
      <c r="AD169" s="387"/>
      <c r="AE169" s="400" t="str">
        <f>'Portefeuille SP2'!J183</f>
        <v xml:space="preserve">28/04/2025 LM : BDD ok à passer à Decided Stéphane
24/09/2024 -LM-http://docinfogroupe.inetpsa.com/ead/doc/ref.01353_24_00772/v.vc/pj </v>
      </c>
      <c r="AF169" s="387"/>
      <c r="AG169" s="387"/>
      <c r="AH169" s="389"/>
      <c r="AI169" s="389"/>
      <c r="AJ169" s="403">
        <f>'Portefeuille SP2'!V183</f>
        <v>0</v>
      </c>
      <c r="AK169" s="403">
        <f>'Portefeuille SP2'!W183</f>
        <v>0</v>
      </c>
      <c r="AL169" s="403">
        <f>'Portefeuille SP2'!X183</f>
        <v>0</v>
      </c>
      <c r="AM169" s="403">
        <f>'Portefeuille SP2'!Y183</f>
        <v>1</v>
      </c>
      <c r="AN169" s="403">
        <f>'Portefeuille SP2'!Z183</f>
        <v>1</v>
      </c>
      <c r="AO169" s="403">
        <f>'Portefeuille SP2'!AA183</f>
        <v>0</v>
      </c>
      <c r="AP169" s="403">
        <f>'Portefeuille SP2'!AB183</f>
        <v>0</v>
      </c>
      <c r="AQ169" s="403">
        <f>'Portefeuille SP2'!AC183</f>
        <v>1</v>
      </c>
      <c r="AR169" s="403">
        <f>'Portefeuille SP2'!AD183</f>
        <v>1</v>
      </c>
      <c r="AS169" s="403">
        <f>'Portefeuille SP2'!AE183</f>
        <v>0</v>
      </c>
      <c r="AT169" s="403">
        <f>'Portefeuille SP2'!AF183</f>
        <v>0</v>
      </c>
      <c r="AU169" s="403">
        <f>'Portefeuille SP2'!AG183</f>
        <v>0</v>
      </c>
      <c r="AV169" s="403">
        <f>'Portefeuille SP2'!AH183</f>
        <v>1</v>
      </c>
      <c r="AW169" s="403">
        <f>'Portefeuille SP2'!AI183</f>
        <v>1</v>
      </c>
      <c r="AX169" s="403">
        <f>'Portefeuille SP2'!AJ183</f>
        <v>0</v>
      </c>
      <c r="AY169" s="403">
        <f>'Portefeuille SP2'!AK183</f>
        <v>0</v>
      </c>
      <c r="AZ169" s="403">
        <f>'Portefeuille SP2'!AL183</f>
        <v>1</v>
      </c>
      <c r="BA169" s="403">
        <f>'Portefeuille SP2'!AM183</f>
        <v>1</v>
      </c>
      <c r="BB169" s="403">
        <f>'Portefeuille SP2'!AN183</f>
        <v>0</v>
      </c>
      <c r="BC169" s="403">
        <f>'Portefeuille SP2'!AO183</f>
        <v>0</v>
      </c>
      <c r="BD169" s="403">
        <f>'Portefeuille SP2'!AP183</f>
        <v>0</v>
      </c>
      <c r="BE169" s="403">
        <f>'Portefeuille SP2'!AQ183</f>
        <v>1</v>
      </c>
      <c r="BF169" s="403">
        <f>'Portefeuille SP2'!AR183</f>
        <v>1</v>
      </c>
      <c r="BG169" s="403" t="e">
        <f>'Portefeuille SP2'!#REF!</f>
        <v>#REF!</v>
      </c>
      <c r="BH169" s="403" t="e">
        <f>'Portefeuille SP2'!#REF!</f>
        <v>#REF!</v>
      </c>
      <c r="BI169" s="403" t="e">
        <f>'Portefeuille SP2'!#REF!</f>
        <v>#REF!</v>
      </c>
      <c r="BJ169" s="403" t="e">
        <f>'Portefeuille SP2'!#REF!</f>
        <v>#REF!</v>
      </c>
      <c r="BK169" s="403" t="e">
        <f>'Portefeuille SP2'!#REF!</f>
        <v>#REF!</v>
      </c>
      <c r="BL169" s="388"/>
      <c r="BM169" s="404">
        <f>'Portefeuille SP2'!L183</f>
        <v>0</v>
      </c>
    </row>
    <row r="170" spans="1:65" ht="15" customHeight="1">
      <c r="A170" s="383">
        <f>'Portefeuille SP2'!B184</f>
        <v>45576</v>
      </c>
      <c r="B170" s="390" t="str">
        <f>'Portefeuille SP2'!Q184</f>
        <v>DECIDED</v>
      </c>
      <c r="C170" s="384"/>
      <c r="D170" s="382" t="str">
        <f>'Portefeuille SP2'!E184</f>
        <v>TH</v>
      </c>
      <c r="E170" s="382" t="str">
        <f t="shared" si="12"/>
        <v>BIW</v>
      </c>
      <c r="F170" s="382" t="str">
        <f t="shared" si="13"/>
        <v/>
      </c>
      <c r="G170" s="382" t="str">
        <f>'Portefeuille SP2'!C184</f>
        <v>SP2</v>
      </c>
      <c r="H170" s="382">
        <f>'Portefeuille SP2'!F184</f>
        <v>0</v>
      </c>
      <c r="I170" s="382"/>
      <c r="J170" s="382" t="str">
        <f>'Portefeuille SP2'!D184</f>
        <v xml:space="preserve">BIW </v>
      </c>
      <c r="K170" s="385" t="str">
        <f>'Portefeuille SP2'!H184</f>
        <v>Plastic tailgaite lower spoiler addition</v>
      </c>
      <c r="L170" s="157">
        <f>'Portefeuille SP2'!U184</f>
        <v>0.7</v>
      </c>
      <c r="M170" s="386"/>
      <c r="N170" s="386"/>
      <c r="O170" s="386"/>
      <c r="P170" s="387" t="str">
        <f>'Portefeuille SP2'!M184</f>
        <v>300K€</v>
      </c>
      <c r="Q170" s="387"/>
      <c r="R170" s="387">
        <f>'Portefeuille SP2'!N184</f>
        <v>9</v>
      </c>
      <c r="S170" s="387"/>
      <c r="T170" s="382" t="str">
        <f>'Portefeuille SP2'!R184</f>
        <v>TBD</v>
      </c>
      <c r="U170" s="387" t="str">
        <f>'Portefeuille SP2'!K184</f>
        <v>PM CW30</v>
      </c>
      <c r="V170" s="399">
        <f>'Portefeuille SP2'!S184</f>
        <v>1</v>
      </c>
      <c r="W170" s="387"/>
      <c r="X170" s="387"/>
      <c r="Y170" s="387"/>
      <c r="Z170" s="387"/>
      <c r="AA170" s="387"/>
      <c r="AB170" s="387"/>
      <c r="AC170" s="387"/>
      <c r="AD170" s="387"/>
      <c r="AE170" s="400" t="str">
        <f>'Portefeuille SP2'!J184</f>
        <v xml:space="preserve">08/10/2024: decision SP2 du 11/10/2024
Plastic spoiler QCTP =&gt;  
http://docinfogroupe.inetpsa.com/ead/doc/ref.01341_24_01373/v.vc/fiche
</v>
      </c>
      <c r="AF170" s="387"/>
      <c r="AG170" s="387"/>
      <c r="AH170" s="389"/>
      <c r="AI170" s="389"/>
      <c r="AJ170" s="403">
        <f>'Portefeuille SP2'!V184</f>
        <v>0</v>
      </c>
      <c r="AK170" s="403">
        <f>'Portefeuille SP2'!W184</f>
        <v>0</v>
      </c>
      <c r="AL170" s="403">
        <f>'Portefeuille SP2'!X184</f>
        <v>0</v>
      </c>
      <c r="AM170" s="403">
        <f>'Portefeuille SP2'!Y184</f>
        <v>1</v>
      </c>
      <c r="AN170" s="403">
        <f>'Portefeuille SP2'!Z184</f>
        <v>1</v>
      </c>
      <c r="AO170" s="403">
        <f>'Portefeuille SP2'!AA184</f>
        <v>0</v>
      </c>
      <c r="AP170" s="403">
        <f>'Portefeuille SP2'!AB184</f>
        <v>0</v>
      </c>
      <c r="AQ170" s="403">
        <f>'Portefeuille SP2'!AC184</f>
        <v>1</v>
      </c>
      <c r="AR170" s="403">
        <f>'Portefeuille SP2'!AD184</f>
        <v>1</v>
      </c>
      <c r="AS170" s="403">
        <f>'Portefeuille SP2'!AE184</f>
        <v>0</v>
      </c>
      <c r="AT170" s="403">
        <f>'Portefeuille SP2'!AF184</f>
        <v>0</v>
      </c>
      <c r="AU170" s="403">
        <f>'Portefeuille SP2'!AG184</f>
        <v>0</v>
      </c>
      <c r="AV170" s="403">
        <f>'Portefeuille SP2'!AH184</f>
        <v>1</v>
      </c>
      <c r="AW170" s="403">
        <f>'Portefeuille SP2'!AI184</f>
        <v>1</v>
      </c>
      <c r="AX170" s="403">
        <f>'Portefeuille SP2'!AJ184</f>
        <v>0</v>
      </c>
      <c r="AY170" s="403">
        <f>'Portefeuille SP2'!AK184</f>
        <v>0</v>
      </c>
      <c r="AZ170" s="403">
        <f>'Portefeuille SP2'!AL184</f>
        <v>1</v>
      </c>
      <c r="BA170" s="403">
        <f>'Portefeuille SP2'!AM184</f>
        <v>1</v>
      </c>
      <c r="BB170" s="403">
        <f>'Portefeuille SP2'!AN184</f>
        <v>0</v>
      </c>
      <c r="BC170" s="403">
        <f>'Portefeuille SP2'!AO184</f>
        <v>0</v>
      </c>
      <c r="BD170" s="403">
        <f>'Portefeuille SP2'!AP184</f>
        <v>0</v>
      </c>
      <c r="BE170" s="403">
        <f>'Portefeuille SP2'!AQ184</f>
        <v>1</v>
      </c>
      <c r="BF170" s="403">
        <f>'Portefeuille SP2'!AR184</f>
        <v>1</v>
      </c>
      <c r="BG170" s="403" t="e">
        <f>'Portefeuille SP2'!#REF!</f>
        <v>#REF!</v>
      </c>
      <c r="BH170" s="403" t="e">
        <f>'Portefeuille SP2'!#REF!</f>
        <v>#REF!</v>
      </c>
      <c r="BI170" s="403" t="e">
        <f>'Portefeuille SP2'!#REF!</f>
        <v>#REF!</v>
      </c>
      <c r="BJ170" s="403" t="e">
        <f>'Portefeuille SP2'!#REF!</f>
        <v>#REF!</v>
      </c>
      <c r="BK170" s="403" t="e">
        <f>'Portefeuille SP2'!#REF!</f>
        <v>#REF!</v>
      </c>
      <c r="BL170" s="388"/>
      <c r="BM170" s="404">
        <f>'Portefeuille SP2'!L184</f>
        <v>0</v>
      </c>
    </row>
    <row r="171" spans="1:65" ht="15" customHeight="1">
      <c r="A171" s="383">
        <f>'Portefeuille SP2'!B185</f>
        <v>45576</v>
      </c>
      <c r="B171" s="390" t="str">
        <f>'Portefeuille SP2'!Q185</f>
        <v>DECIDED</v>
      </c>
      <c r="C171" s="384"/>
      <c r="D171" s="382" t="str">
        <f>'Portefeuille SP2'!E185</f>
        <v>TH</v>
      </c>
      <c r="E171" s="382" t="str">
        <f t="shared" si="12"/>
        <v>BIW</v>
      </c>
      <c r="F171" s="382" t="str">
        <f t="shared" si="13"/>
        <v/>
      </c>
      <c r="G171" s="382" t="str">
        <f>'Portefeuille SP2'!C185</f>
        <v>SP2</v>
      </c>
      <c r="H171" s="382">
        <f>'Portefeuille SP2'!F185</f>
        <v>0</v>
      </c>
      <c r="I171" s="382"/>
      <c r="J171" s="382" t="str">
        <f>'Portefeuille SP2'!D185</f>
        <v xml:space="preserve">BIW </v>
      </c>
      <c r="K171" s="385" t="str">
        <f>'Portefeuille SP2'!H185</f>
        <v>armrest reinforcer/ door inner module / Inner Handle</v>
      </c>
      <c r="L171" s="157">
        <f>'Portefeuille SP2'!U185</f>
        <v>1</v>
      </c>
      <c r="M171" s="386"/>
      <c r="N171" s="386"/>
      <c r="O171" s="386"/>
      <c r="P171" s="387" t="str">
        <f>'Portefeuille SP2'!M185</f>
        <v>150K€</v>
      </c>
      <c r="Q171" s="387"/>
      <c r="R171" s="387">
        <f>'Portefeuille SP2'!N185</f>
        <v>0.9</v>
      </c>
      <c r="S171" s="387"/>
      <c r="T171" s="382" t="str">
        <f>'Portefeuille SP2'!R185</f>
        <v>TBD</v>
      </c>
      <c r="U171" s="387" t="str">
        <f>'Portefeuille SP2'!K185</f>
        <v>PM-CM</v>
      </c>
      <c r="V171" s="399">
        <f>'Portefeuille SP2'!S185</f>
        <v>1</v>
      </c>
      <c r="W171" s="387"/>
      <c r="X171" s="387"/>
      <c r="Y171" s="387"/>
      <c r="Z171" s="387"/>
      <c r="AA171" s="387"/>
      <c r="AB171" s="387"/>
      <c r="AC171" s="387"/>
      <c r="AD171" s="387"/>
      <c r="AE171" s="400" t="str">
        <f>'Portefeuille SP2'!J185</f>
        <v>10/04/2025 LM MAJ BDD
11/10/2024 Check SP1 designe</v>
      </c>
      <c r="AF171" s="387"/>
      <c r="AG171" s="387"/>
      <c r="AH171" s="389"/>
      <c r="AI171" s="389"/>
      <c r="AJ171" s="403">
        <f>'Portefeuille SP2'!V185</f>
        <v>0</v>
      </c>
      <c r="AK171" s="403">
        <f>'Portefeuille SP2'!W185</f>
        <v>0</v>
      </c>
      <c r="AL171" s="403">
        <f>'Portefeuille SP2'!X185</f>
        <v>0</v>
      </c>
      <c r="AM171" s="403">
        <f>'Portefeuille SP2'!Y185</f>
        <v>1</v>
      </c>
      <c r="AN171" s="403">
        <f>'Portefeuille SP2'!Z185</f>
        <v>1</v>
      </c>
      <c r="AO171" s="403">
        <f>'Portefeuille SP2'!AA185</f>
        <v>0</v>
      </c>
      <c r="AP171" s="403">
        <f>'Portefeuille SP2'!AB185</f>
        <v>0</v>
      </c>
      <c r="AQ171" s="403">
        <f>'Portefeuille SP2'!AC185</f>
        <v>1</v>
      </c>
      <c r="AR171" s="403">
        <f>'Portefeuille SP2'!AD185</f>
        <v>1</v>
      </c>
      <c r="AS171" s="403">
        <f>'Portefeuille SP2'!AE185</f>
        <v>0</v>
      </c>
      <c r="AT171" s="403">
        <f>'Portefeuille SP2'!AF185</f>
        <v>0</v>
      </c>
      <c r="AU171" s="403">
        <f>'Portefeuille SP2'!AG185</f>
        <v>0</v>
      </c>
      <c r="AV171" s="403">
        <f>'Portefeuille SP2'!AH185</f>
        <v>1</v>
      </c>
      <c r="AW171" s="403">
        <f>'Portefeuille SP2'!AI185</f>
        <v>1</v>
      </c>
      <c r="AX171" s="403">
        <f>'Portefeuille SP2'!AJ185</f>
        <v>0</v>
      </c>
      <c r="AY171" s="403">
        <f>'Portefeuille SP2'!AK185</f>
        <v>0</v>
      </c>
      <c r="AZ171" s="403">
        <f>'Portefeuille SP2'!AL185</f>
        <v>1</v>
      </c>
      <c r="BA171" s="403">
        <f>'Portefeuille SP2'!AM185</f>
        <v>1</v>
      </c>
      <c r="BB171" s="403">
        <f>'Portefeuille SP2'!AN185</f>
        <v>0</v>
      </c>
      <c r="BC171" s="403">
        <f>'Portefeuille SP2'!AO185</f>
        <v>0</v>
      </c>
      <c r="BD171" s="403">
        <f>'Portefeuille SP2'!AP185</f>
        <v>0</v>
      </c>
      <c r="BE171" s="403">
        <f>'Portefeuille SP2'!AQ185</f>
        <v>1</v>
      </c>
      <c r="BF171" s="403">
        <f>'Portefeuille SP2'!AR185</f>
        <v>1</v>
      </c>
      <c r="BG171" s="403" t="e">
        <f>'Portefeuille SP2'!#REF!</f>
        <v>#REF!</v>
      </c>
      <c r="BH171" s="403" t="e">
        <f>'Portefeuille SP2'!#REF!</f>
        <v>#REF!</v>
      </c>
      <c r="BI171" s="403" t="e">
        <f>'Portefeuille SP2'!#REF!</f>
        <v>#REF!</v>
      </c>
      <c r="BJ171" s="403" t="e">
        <f>'Portefeuille SP2'!#REF!</f>
        <v>#REF!</v>
      </c>
      <c r="BK171" s="403" t="e">
        <f>'Portefeuille SP2'!#REF!</f>
        <v>#REF!</v>
      </c>
      <c r="BL171" s="388"/>
      <c r="BM171" s="404">
        <f>'Portefeuille SP2'!L185</f>
        <v>0</v>
      </c>
    </row>
    <row r="172" spans="1:65" ht="15" customHeight="1">
      <c r="A172" s="383">
        <f>'Portefeuille SP2'!B186</f>
        <v>46058</v>
      </c>
      <c r="B172" s="390" t="str">
        <f>'Portefeuille SP2'!Q186</f>
        <v>CANCELED</v>
      </c>
      <c r="C172" s="384"/>
      <c r="D172" s="382" t="str">
        <f>'Portefeuille SP2'!E186</f>
        <v>TH</v>
      </c>
      <c r="E172" s="382" t="str">
        <f t="shared" si="12"/>
        <v>BIW</v>
      </c>
      <c r="F172" s="382" t="str">
        <f>MID(J172, 4, 20)</f>
        <v/>
      </c>
      <c r="G172" s="382" t="str">
        <f>'Portefeuille SP2'!C186</f>
        <v>SP1</v>
      </c>
      <c r="H172" s="382" t="str">
        <f>'Portefeuille SP2'!F186</f>
        <v>Franck Baillon (SP1)/
Cyrille P1X</v>
      </c>
      <c r="I172" s="428" t="s">
        <v>1212</v>
      </c>
      <c r="J172" s="382" t="str">
        <f>'Portefeuille SP2'!D186</f>
        <v>BIW</v>
      </c>
      <c r="K172" s="385" t="str">
        <f>'Portefeuille SP2'!H186</f>
        <v>optimass process</v>
      </c>
      <c r="L172" s="157">
        <f>'Portefeuille SP2'!U186</f>
        <v>-5.75</v>
      </c>
      <c r="M172" s="386"/>
      <c r="N172" s="386"/>
      <c r="O172" s="386"/>
      <c r="P172" s="400">
        <f>'Portefeuille SP2'!M186</f>
        <v>0</v>
      </c>
      <c r="Q172" s="387"/>
      <c r="R172" s="387">
        <f>'Portefeuille SP2'!N186</f>
        <v>0</v>
      </c>
      <c r="S172" s="387"/>
      <c r="T172" s="382">
        <f>'Portefeuille SP2'!R186</f>
        <v>0</v>
      </c>
      <c r="U172" s="387">
        <f>'Portefeuille SP2'!K186</f>
        <v>0</v>
      </c>
      <c r="V172" s="399">
        <f>'Portefeuille SP2'!S186</f>
        <v>0.5</v>
      </c>
      <c r="W172" s="387"/>
      <c r="X172" s="387"/>
      <c r="Y172" s="387"/>
      <c r="Z172" s="387"/>
      <c r="AA172" s="387"/>
      <c r="AB172" s="387"/>
      <c r="AC172" s="387"/>
      <c r="AD172" s="387"/>
      <c r="AE172" s="408">
        <f>'Portefeuille SP2'!J186</f>
        <v>0</v>
      </c>
      <c r="AF172" s="387"/>
      <c r="AG172" s="387"/>
      <c r="AH172" s="389"/>
      <c r="AI172" s="389"/>
      <c r="AJ172" s="403">
        <f>'Portefeuille SP2'!V186</f>
        <v>1</v>
      </c>
      <c r="AK172" s="403">
        <f>'Portefeuille SP2'!W186</f>
        <v>1</v>
      </c>
      <c r="AL172" s="403">
        <f>'Portefeuille SP2'!X186</f>
        <v>1</v>
      </c>
      <c r="AM172" s="403">
        <f>'Portefeuille SP2'!Y186</f>
        <v>1</v>
      </c>
      <c r="AN172" s="403">
        <f>'Portefeuille SP2'!Z186</f>
        <v>1</v>
      </c>
      <c r="AO172" s="403">
        <f>'Portefeuille SP2'!AA186</f>
        <v>1</v>
      </c>
      <c r="AP172" s="403">
        <f>'Portefeuille SP2'!AB186</f>
        <v>1</v>
      </c>
      <c r="AQ172" s="403">
        <f>'Portefeuille SP2'!AC186</f>
        <v>1</v>
      </c>
      <c r="AR172" s="403">
        <f>'Portefeuille SP2'!AD186</f>
        <v>1</v>
      </c>
      <c r="AS172" s="403">
        <f>'Portefeuille SP2'!AE186</f>
        <v>1</v>
      </c>
      <c r="AT172" s="403">
        <f>'Portefeuille SP2'!AF186</f>
        <v>1</v>
      </c>
      <c r="AU172" s="403">
        <f>'Portefeuille SP2'!AG186</f>
        <v>1</v>
      </c>
      <c r="AV172" s="403">
        <f>'Portefeuille SP2'!AH186</f>
        <v>1</v>
      </c>
      <c r="AW172" s="403">
        <f>'Portefeuille SP2'!AI186</f>
        <v>1</v>
      </c>
      <c r="AX172" s="403">
        <f>'Portefeuille SP2'!AJ186</f>
        <v>1</v>
      </c>
      <c r="AY172" s="403">
        <f>'Portefeuille SP2'!AK186</f>
        <v>1</v>
      </c>
      <c r="AZ172" s="403">
        <f>'Portefeuille SP2'!AL186</f>
        <v>1</v>
      </c>
      <c r="BA172" s="403">
        <f>'Portefeuille SP2'!AM186</f>
        <v>1</v>
      </c>
      <c r="BB172" s="403">
        <f>'Portefeuille SP2'!AN186</f>
        <v>1</v>
      </c>
      <c r="BC172" s="403">
        <f>'Portefeuille SP2'!AO186</f>
        <v>1</v>
      </c>
      <c r="BD172" s="403">
        <f>'Portefeuille SP2'!AP186</f>
        <v>1</v>
      </c>
      <c r="BE172" s="403">
        <f>'Portefeuille SP2'!AQ186</f>
        <v>1</v>
      </c>
      <c r="BF172" s="403">
        <f>'Portefeuille SP2'!AR186</f>
        <v>1</v>
      </c>
      <c r="BG172" s="403" t="e">
        <f>'Portefeuille SP2'!#REF!</f>
        <v>#REF!</v>
      </c>
      <c r="BH172" s="403" t="e">
        <f>'Portefeuille SP2'!#REF!</f>
        <v>#REF!</v>
      </c>
      <c r="BI172" s="403" t="e">
        <f>'Portefeuille SP2'!#REF!</f>
        <v>#REF!</v>
      </c>
      <c r="BJ172" s="403" t="e">
        <f>'Portefeuille SP2'!#REF!</f>
        <v>#REF!</v>
      </c>
      <c r="BK172" s="403" t="e">
        <f>'Portefeuille SP2'!#REF!</f>
        <v>#REF!</v>
      </c>
      <c r="BL172" s="388"/>
      <c r="BM172" s="404" t="str">
        <f>'Portefeuille SP2'!L186</f>
        <v>16/01/2026 Ré-évaluation [P1X specif=288kg=&gt;4%=-11,5kg à 50%=-5,8kg]
07/11/2025 Séance INIT S48 en GT Perfo
26/09/2025 sur estim 2% de BCI specif, ratio à 50% (RETEX P1H)
07/06/2024 Proposition cotation RT RAL -4%
22/03/2024 A définir pour les DFNU</v>
      </c>
    </row>
    <row r="173" spans="1:65" ht="15" customHeight="1">
      <c r="A173" s="383">
        <f>'Portefeuille SP2'!B187</f>
        <v>45536</v>
      </c>
      <c r="B173" s="390" t="str">
        <f>'Portefeuille SP2'!Q187</f>
        <v>CANCELED</v>
      </c>
      <c r="C173" s="384"/>
      <c r="D173" s="382" t="str">
        <f>'Portefeuille SP2'!E187</f>
        <v>PTF</v>
      </c>
      <c r="E173" s="382" t="str">
        <f t="shared" si="12"/>
        <v>BIW</v>
      </c>
      <c r="F173" s="382" t="str">
        <f t="shared" si="13"/>
        <v/>
      </c>
      <c r="G173" s="382" t="str">
        <f>'Portefeuille SP2'!C187</f>
        <v>SPC_1</v>
      </c>
      <c r="H173" s="382">
        <f>'Portefeuille SP2'!F187</f>
        <v>0</v>
      </c>
      <c r="I173" s="382"/>
      <c r="J173" s="382" t="str">
        <f>'Portefeuille SP2'!D187</f>
        <v xml:space="preserve">BIW </v>
      </c>
      <c r="K173" s="385" t="str">
        <f>'Portefeuille SP2'!H187</f>
        <v>remove park lock</v>
      </c>
      <c r="L173" s="157">
        <f>'Portefeuille SP2'!U187</f>
        <v>-2.5</v>
      </c>
      <c r="M173" s="386"/>
      <c r="N173" s="386"/>
      <c r="O173" s="386"/>
      <c r="P173" s="387">
        <f>'Portefeuille SP2'!M187</f>
        <v>0</v>
      </c>
      <c r="Q173" s="387"/>
      <c r="R173" s="387">
        <f>'Portefeuille SP2'!N187</f>
        <v>0</v>
      </c>
      <c r="S173" s="387"/>
      <c r="T173" s="382" t="str">
        <f>'Portefeuille SP2'!R187</f>
        <v xml:space="preserve">Step1 </v>
      </c>
      <c r="U173" s="387" t="str">
        <f>'Portefeuille SP2'!K187</f>
        <v>PM-CM</v>
      </c>
      <c r="V173" s="399">
        <f>'Portefeuille SP2'!S187</f>
        <v>1</v>
      </c>
      <c r="W173" s="387"/>
      <c r="X173" s="387"/>
      <c r="Y173" s="387"/>
      <c r="Z173" s="387"/>
      <c r="AA173" s="387"/>
      <c r="AB173" s="387"/>
      <c r="AC173" s="387"/>
      <c r="AD173" s="387"/>
      <c r="AE173" s="400">
        <f>'Portefeuille SP2'!J187</f>
        <v>0</v>
      </c>
      <c r="AF173" s="387"/>
      <c r="AG173" s="387"/>
      <c r="AH173" s="389"/>
      <c r="AI173" s="389"/>
      <c r="AJ173" s="403">
        <f>'Portefeuille SP2'!V187</f>
        <v>0</v>
      </c>
      <c r="AK173" s="403">
        <f>'Portefeuille SP2'!W187</f>
        <v>0</v>
      </c>
      <c r="AL173" s="403">
        <f>'Portefeuille SP2'!X187</f>
        <v>0</v>
      </c>
      <c r="AM173" s="403">
        <f>'Portefeuille SP2'!Y187</f>
        <v>1</v>
      </c>
      <c r="AN173" s="403">
        <f>'Portefeuille SP2'!Z187</f>
        <v>1</v>
      </c>
      <c r="AO173" s="403">
        <f>'Portefeuille SP2'!AA187</f>
        <v>0</v>
      </c>
      <c r="AP173" s="403">
        <f>'Portefeuille SP2'!AB187</f>
        <v>0</v>
      </c>
      <c r="AQ173" s="403">
        <f>'Portefeuille SP2'!AC187</f>
        <v>1</v>
      </c>
      <c r="AR173" s="403">
        <f>'Portefeuille SP2'!AD187</f>
        <v>1</v>
      </c>
      <c r="AS173" s="403">
        <f>'Portefeuille SP2'!AE187</f>
        <v>0</v>
      </c>
      <c r="AT173" s="403">
        <f>'Portefeuille SP2'!AF187</f>
        <v>0</v>
      </c>
      <c r="AU173" s="403">
        <f>'Portefeuille SP2'!AG187</f>
        <v>0</v>
      </c>
      <c r="AV173" s="403">
        <f>'Portefeuille SP2'!AH187</f>
        <v>1</v>
      </c>
      <c r="AW173" s="403">
        <f>'Portefeuille SP2'!AI187</f>
        <v>1</v>
      </c>
      <c r="AX173" s="403">
        <f>'Portefeuille SP2'!AJ187</f>
        <v>0</v>
      </c>
      <c r="AY173" s="403">
        <f>'Portefeuille SP2'!AK187</f>
        <v>0</v>
      </c>
      <c r="AZ173" s="403">
        <f>'Portefeuille SP2'!AL187</f>
        <v>1</v>
      </c>
      <c r="BA173" s="403">
        <f>'Portefeuille SP2'!AM187</f>
        <v>1</v>
      </c>
      <c r="BB173" s="403">
        <f>'Portefeuille SP2'!AN187</f>
        <v>0</v>
      </c>
      <c r="BC173" s="403">
        <f>'Portefeuille SP2'!AO187</f>
        <v>0</v>
      </c>
      <c r="BD173" s="403">
        <f>'Portefeuille SP2'!AP187</f>
        <v>0</v>
      </c>
      <c r="BE173" s="403">
        <f>'Portefeuille SP2'!AQ187</f>
        <v>1</v>
      </c>
      <c r="BF173" s="403">
        <f>'Portefeuille SP2'!AR187</f>
        <v>1</v>
      </c>
      <c r="BG173" s="403" t="e">
        <f>'Portefeuille SP2'!#REF!</f>
        <v>#REF!</v>
      </c>
      <c r="BH173" s="403" t="e">
        <f>'Portefeuille SP2'!#REF!</f>
        <v>#REF!</v>
      </c>
      <c r="BI173" s="403" t="e">
        <f>'Portefeuille SP2'!#REF!</f>
        <v>#REF!</v>
      </c>
      <c r="BJ173" s="403" t="e">
        <f>'Portefeuille SP2'!#REF!</f>
        <v>#REF!</v>
      </c>
      <c r="BK173" s="403" t="e">
        <f>'Portefeuille SP2'!#REF!</f>
        <v>#REF!</v>
      </c>
      <c r="BL173" s="388"/>
      <c r="BM173" s="404">
        <f>'Portefeuille SP2'!L187</f>
        <v>0</v>
      </c>
    </row>
    <row r="174" spans="1:65" ht="15" customHeight="1">
      <c r="A174" s="383">
        <f>'Portefeuille SP2'!B188</f>
        <v>45536</v>
      </c>
      <c r="B174" s="390" t="str">
        <f>'Portefeuille SP2'!Q188</f>
        <v>DECIDED</v>
      </c>
      <c r="C174" s="384"/>
      <c r="D174" s="382" t="str">
        <f>'Portefeuille SP2'!E188</f>
        <v>PTF</v>
      </c>
      <c r="E174" s="382" t="str">
        <f t="shared" si="12"/>
        <v>BIW</v>
      </c>
      <c r="F174" s="382" t="str">
        <f t="shared" si="13"/>
        <v/>
      </c>
      <c r="G174" s="382" t="str">
        <f>'Portefeuille SP2'!C188</f>
        <v>SP2</v>
      </c>
      <c r="H174" s="382">
        <f>'Portefeuille SP2'!F188</f>
        <v>0</v>
      </c>
      <c r="I174" s="382"/>
      <c r="J174" s="382" t="str">
        <f>'Portefeuille SP2'!D188</f>
        <v xml:space="preserve">BIW </v>
      </c>
      <c r="K174" s="385" t="str">
        <f>'Portefeuille SP2'!H188</f>
        <v xml:space="preserve"> Li Ion battery</v>
      </c>
      <c r="L174" s="157">
        <f>'Portefeuille SP2'!U188</f>
        <v>-5</v>
      </c>
      <c r="M174" s="386"/>
      <c r="N174" s="386"/>
      <c r="O174" s="386"/>
      <c r="P174" s="387">
        <f>'Portefeuille SP2'!M188</f>
        <v>0</v>
      </c>
      <c r="Q174" s="387"/>
      <c r="R174" s="387">
        <f>'Portefeuille SP2'!N188</f>
        <v>0</v>
      </c>
      <c r="S174" s="387"/>
      <c r="T174" s="382" t="str">
        <f>'Portefeuille SP2'!R188</f>
        <v>TBD</v>
      </c>
      <c r="U174" s="387" t="str">
        <f>'Portefeuille SP2'!K188</f>
        <v>PM-CM</v>
      </c>
      <c r="V174" s="399">
        <f>'Portefeuille SP2'!S188</f>
        <v>1</v>
      </c>
      <c r="W174" s="387"/>
      <c r="X174" s="387"/>
      <c r="Y174" s="387"/>
      <c r="Z174" s="387"/>
      <c r="AA174" s="387"/>
      <c r="AB174" s="387"/>
      <c r="AC174" s="387"/>
      <c r="AD174" s="387"/>
      <c r="AE174" s="400">
        <f>'Portefeuille SP2'!J188</f>
        <v>0</v>
      </c>
      <c r="AF174" s="387"/>
      <c r="AG174" s="387"/>
      <c r="AH174" s="389"/>
      <c r="AI174" s="389"/>
      <c r="AJ174" s="403">
        <f>'Portefeuille SP2'!V188</f>
        <v>0</v>
      </c>
      <c r="AK174" s="403">
        <f>'Portefeuille SP2'!W188</f>
        <v>0</v>
      </c>
      <c r="AL174" s="403">
        <f>'Portefeuille SP2'!X188</f>
        <v>0</v>
      </c>
      <c r="AM174" s="403">
        <f>'Portefeuille SP2'!Y188</f>
        <v>1</v>
      </c>
      <c r="AN174" s="403">
        <f>'Portefeuille SP2'!Z188</f>
        <v>1</v>
      </c>
      <c r="AO174" s="403">
        <f>'Portefeuille SP2'!AA188</f>
        <v>0</v>
      </c>
      <c r="AP174" s="403">
        <f>'Portefeuille SP2'!AB188</f>
        <v>0</v>
      </c>
      <c r="AQ174" s="403">
        <f>'Portefeuille SP2'!AC188</f>
        <v>1</v>
      </c>
      <c r="AR174" s="403">
        <f>'Portefeuille SP2'!AD188</f>
        <v>1</v>
      </c>
      <c r="AS174" s="403">
        <f>'Portefeuille SP2'!AE188</f>
        <v>0</v>
      </c>
      <c r="AT174" s="403">
        <f>'Portefeuille SP2'!AF188</f>
        <v>0</v>
      </c>
      <c r="AU174" s="403">
        <f>'Portefeuille SP2'!AG188</f>
        <v>0</v>
      </c>
      <c r="AV174" s="403">
        <f>'Portefeuille SP2'!AH188</f>
        <v>1</v>
      </c>
      <c r="AW174" s="403">
        <f>'Portefeuille SP2'!AI188</f>
        <v>1</v>
      </c>
      <c r="AX174" s="403">
        <f>'Portefeuille SP2'!AJ188</f>
        <v>0</v>
      </c>
      <c r="AY174" s="403">
        <f>'Portefeuille SP2'!AK188</f>
        <v>0</v>
      </c>
      <c r="AZ174" s="403">
        <f>'Portefeuille SP2'!AL188</f>
        <v>1</v>
      </c>
      <c r="BA174" s="403">
        <f>'Portefeuille SP2'!AM188</f>
        <v>1</v>
      </c>
      <c r="BB174" s="403">
        <f>'Portefeuille SP2'!AN188</f>
        <v>0</v>
      </c>
      <c r="BC174" s="403">
        <f>'Portefeuille SP2'!AO188</f>
        <v>0</v>
      </c>
      <c r="BD174" s="403">
        <f>'Portefeuille SP2'!AP188</f>
        <v>0</v>
      </c>
      <c r="BE174" s="403">
        <f>'Portefeuille SP2'!AQ188</f>
        <v>1</v>
      </c>
      <c r="BF174" s="403">
        <f>'Portefeuille SP2'!AR188</f>
        <v>1</v>
      </c>
      <c r="BG174" s="403" t="e">
        <f>'Portefeuille SP2'!#REF!</f>
        <v>#REF!</v>
      </c>
      <c r="BH174" s="403" t="e">
        <f>'Portefeuille SP2'!#REF!</f>
        <v>#REF!</v>
      </c>
      <c r="BI174" s="403" t="e">
        <f>'Portefeuille SP2'!#REF!</f>
        <v>#REF!</v>
      </c>
      <c r="BJ174" s="403" t="e">
        <f>'Portefeuille SP2'!#REF!</f>
        <v>#REF!</v>
      </c>
      <c r="BK174" s="403" t="e">
        <f>'Portefeuille SP2'!#REF!</f>
        <v>#REF!</v>
      </c>
      <c r="BL174" s="388"/>
      <c r="BM174" s="404">
        <f>'Portefeuille SP2'!L188</f>
        <v>0</v>
      </c>
    </row>
    <row r="175" spans="1:65" ht="15" customHeight="1">
      <c r="A175" s="383">
        <f>'Portefeuille SP2'!B189</f>
        <v>45335</v>
      </c>
      <c r="B175" s="390" t="str">
        <f>'Portefeuille SP2'!Q189</f>
        <v>CANCELED</v>
      </c>
      <c r="C175" s="384"/>
      <c r="D175" s="382" t="str">
        <f>'Portefeuille SP2'!E189</f>
        <v>PTF</v>
      </c>
      <c r="E175" s="382" t="str">
        <f t="shared" si="12"/>
        <v>BIW</v>
      </c>
      <c r="F175" s="382" t="str">
        <f t="shared" si="13"/>
        <v/>
      </c>
      <c r="G175" s="382" t="str">
        <f>'Portefeuille SP2'!C189</f>
        <v>SPC_1</v>
      </c>
      <c r="H175" s="382">
        <f>'Portefeuille SP2'!F189</f>
        <v>0</v>
      </c>
      <c r="I175" s="382"/>
      <c r="J175" s="382" t="str">
        <f>'Portefeuille SP2'!D189</f>
        <v xml:space="preserve">BIW </v>
      </c>
      <c r="K175" s="385" t="str">
        <f>'Portefeuille SP2'!H189</f>
        <v>PRS  eDCT 50kW</v>
      </c>
      <c r="L175" s="157">
        <f>'Portefeuille SP2'!U189</f>
        <v>-8</v>
      </c>
      <c r="M175" s="386"/>
      <c r="N175" s="386"/>
      <c r="O175" s="386"/>
      <c r="P175" s="387">
        <f>'Portefeuille SP2'!M189</f>
        <v>0</v>
      </c>
      <c r="Q175" s="387"/>
      <c r="R175" s="387">
        <f>'Portefeuille SP2'!N189</f>
        <v>0</v>
      </c>
      <c r="S175" s="387"/>
      <c r="T175" s="382" t="str">
        <f>'Portefeuille SP2'!R189</f>
        <v>TBD</v>
      </c>
      <c r="U175" s="387">
        <f>'Portefeuille SP2'!K189</f>
        <v>0</v>
      </c>
      <c r="V175" s="399">
        <f>'Portefeuille SP2'!S189</f>
        <v>1</v>
      </c>
      <c r="W175" s="387"/>
      <c r="X175" s="387"/>
      <c r="Y175" s="387"/>
      <c r="Z175" s="387"/>
      <c r="AA175" s="387"/>
      <c r="AB175" s="387"/>
      <c r="AC175" s="387"/>
      <c r="AD175" s="387"/>
      <c r="AE175" s="400">
        <f>'Portefeuille SP2'!J189</f>
        <v>0</v>
      </c>
      <c r="AF175" s="387"/>
      <c r="AG175" s="387"/>
      <c r="AH175" s="389"/>
      <c r="AI175" s="389"/>
      <c r="AJ175" s="403">
        <f>'Portefeuille SP2'!V189</f>
        <v>0</v>
      </c>
      <c r="AK175" s="403">
        <f>'Portefeuille SP2'!W189</f>
        <v>0</v>
      </c>
      <c r="AL175" s="403">
        <f>'Portefeuille SP2'!X189</f>
        <v>0</v>
      </c>
      <c r="AM175" s="403">
        <f>'Portefeuille SP2'!Y189</f>
        <v>1</v>
      </c>
      <c r="AN175" s="403">
        <f>'Portefeuille SP2'!Z189</f>
        <v>1</v>
      </c>
      <c r="AO175" s="403">
        <f>'Portefeuille SP2'!AA189</f>
        <v>0</v>
      </c>
      <c r="AP175" s="403">
        <f>'Portefeuille SP2'!AB189</f>
        <v>0</v>
      </c>
      <c r="AQ175" s="403">
        <f>'Portefeuille SP2'!AC189</f>
        <v>1</v>
      </c>
      <c r="AR175" s="403">
        <f>'Portefeuille SP2'!AD189</f>
        <v>1</v>
      </c>
      <c r="AS175" s="403">
        <f>'Portefeuille SP2'!AE189</f>
        <v>0</v>
      </c>
      <c r="AT175" s="403">
        <f>'Portefeuille SP2'!AF189</f>
        <v>0</v>
      </c>
      <c r="AU175" s="403">
        <f>'Portefeuille SP2'!AG189</f>
        <v>0</v>
      </c>
      <c r="AV175" s="403">
        <f>'Portefeuille SP2'!AH189</f>
        <v>1</v>
      </c>
      <c r="AW175" s="403">
        <f>'Portefeuille SP2'!AI189</f>
        <v>1</v>
      </c>
      <c r="AX175" s="403">
        <f>'Portefeuille SP2'!AJ189</f>
        <v>0</v>
      </c>
      <c r="AY175" s="403">
        <f>'Portefeuille SP2'!AK189</f>
        <v>0</v>
      </c>
      <c r="AZ175" s="403">
        <f>'Portefeuille SP2'!AL189</f>
        <v>1</v>
      </c>
      <c r="BA175" s="403">
        <f>'Portefeuille SP2'!AM189</f>
        <v>1</v>
      </c>
      <c r="BB175" s="403">
        <f>'Portefeuille SP2'!AN189</f>
        <v>0</v>
      </c>
      <c r="BC175" s="403">
        <f>'Portefeuille SP2'!AO189</f>
        <v>0</v>
      </c>
      <c r="BD175" s="403">
        <f>'Portefeuille SP2'!AP189</f>
        <v>0</v>
      </c>
      <c r="BE175" s="403">
        <f>'Portefeuille SP2'!AQ189</f>
        <v>1</v>
      </c>
      <c r="BF175" s="403">
        <f>'Portefeuille SP2'!AR189</f>
        <v>1</v>
      </c>
      <c r="BG175" s="403" t="e">
        <f>'Portefeuille SP2'!#REF!</f>
        <v>#REF!</v>
      </c>
      <c r="BH175" s="403" t="e">
        <f>'Portefeuille SP2'!#REF!</f>
        <v>#REF!</v>
      </c>
      <c r="BI175" s="403" t="e">
        <f>'Portefeuille SP2'!#REF!</f>
        <v>#REF!</v>
      </c>
      <c r="BJ175" s="403" t="e">
        <f>'Portefeuille SP2'!#REF!</f>
        <v>#REF!</v>
      </c>
      <c r="BK175" s="403" t="e">
        <f>'Portefeuille SP2'!#REF!</f>
        <v>#REF!</v>
      </c>
      <c r="BL175" s="388"/>
      <c r="BM175" s="404" t="str">
        <f>'Portefeuille SP2'!L189</f>
        <v>cancel  idea after meeting with Vincent mulot 3/3/25</v>
      </c>
    </row>
    <row r="176" spans="1:65" ht="15" customHeight="1">
      <c r="A176" s="383">
        <f>'Portefeuille SP2'!B192</f>
        <v>45335</v>
      </c>
      <c r="B176" s="390" t="str">
        <f>'Portefeuille SP2'!Q192</f>
        <v>DECIDED</v>
      </c>
      <c r="C176" s="384"/>
      <c r="D176" s="382" t="str">
        <f>'Portefeuille SP2'!E192</f>
        <v>PTF</v>
      </c>
      <c r="E176" s="382" t="str">
        <f t="shared" si="12"/>
        <v>BIW</v>
      </c>
      <c r="F176" s="382" t="str">
        <f t="shared" si="13"/>
        <v/>
      </c>
      <c r="G176" s="382" t="str">
        <f>'Portefeuille SP2'!C192</f>
        <v>SPC_1</v>
      </c>
      <c r="H176" s="382">
        <f>'Portefeuille SP2'!F192</f>
        <v>0</v>
      </c>
      <c r="I176" s="382"/>
      <c r="J176" s="382" t="str">
        <f>'Portefeuille SP2'!D192</f>
        <v xml:space="preserve">BIW </v>
      </c>
      <c r="K176" s="385" t="str">
        <f>'Portefeuille SP2'!H192</f>
        <v xml:space="preserve">battery 1,5kWhu </v>
      </c>
      <c r="L176" s="157">
        <f>'Portefeuille SP2'!U192</f>
        <v>-7</v>
      </c>
      <c r="M176" s="386"/>
      <c r="N176" s="386"/>
      <c r="O176" s="386"/>
      <c r="P176" s="387">
        <f>'Portefeuille SP2'!M192</f>
        <v>0</v>
      </c>
      <c r="Q176" s="387"/>
      <c r="R176" s="387">
        <f>'Portefeuille SP2'!N192</f>
        <v>0</v>
      </c>
      <c r="S176" s="387"/>
      <c r="T176" s="382" t="str">
        <f>'Portefeuille SP2'!R192</f>
        <v>TBD</v>
      </c>
      <c r="U176" s="387">
        <f>'Portefeuille SP2'!K192</f>
        <v>0</v>
      </c>
      <c r="V176" s="399">
        <f>'Portefeuille SP2'!S192</f>
        <v>1</v>
      </c>
      <c r="W176" s="387"/>
      <c r="X176" s="387"/>
      <c r="Y176" s="387"/>
      <c r="Z176" s="387"/>
      <c r="AA176" s="387"/>
      <c r="AB176" s="387"/>
      <c r="AC176" s="387"/>
      <c r="AD176" s="387"/>
      <c r="AE176" s="400">
        <f>'Portefeuille SP2'!J192</f>
        <v>0</v>
      </c>
      <c r="AF176" s="387"/>
      <c r="AG176" s="387"/>
      <c r="AH176" s="389"/>
      <c r="AI176" s="389"/>
      <c r="AJ176" s="403">
        <f>'Portefeuille SP2'!V192</f>
        <v>0</v>
      </c>
      <c r="AK176" s="403">
        <f>'Portefeuille SP2'!W192</f>
        <v>0</v>
      </c>
      <c r="AL176" s="403">
        <f>'Portefeuille SP2'!X192</f>
        <v>0</v>
      </c>
      <c r="AM176" s="403">
        <f>'Portefeuille SP2'!Y192</f>
        <v>1</v>
      </c>
      <c r="AN176" s="403">
        <f>'Portefeuille SP2'!Z192</f>
        <v>1</v>
      </c>
      <c r="AO176" s="403">
        <f>'Portefeuille SP2'!AA192</f>
        <v>0</v>
      </c>
      <c r="AP176" s="403">
        <f>'Portefeuille SP2'!AB192</f>
        <v>0</v>
      </c>
      <c r="AQ176" s="403">
        <f>'Portefeuille SP2'!AC192</f>
        <v>1</v>
      </c>
      <c r="AR176" s="403">
        <f>'Portefeuille SP2'!AD192</f>
        <v>1</v>
      </c>
      <c r="AS176" s="403">
        <f>'Portefeuille SP2'!AE192</f>
        <v>0</v>
      </c>
      <c r="AT176" s="403">
        <f>'Portefeuille SP2'!AF192</f>
        <v>0</v>
      </c>
      <c r="AU176" s="403">
        <f>'Portefeuille SP2'!AG192</f>
        <v>0</v>
      </c>
      <c r="AV176" s="403">
        <f>'Portefeuille SP2'!AH192</f>
        <v>1</v>
      </c>
      <c r="AW176" s="403">
        <f>'Portefeuille SP2'!AI192</f>
        <v>1</v>
      </c>
      <c r="AX176" s="403">
        <f>'Portefeuille SP2'!AJ192</f>
        <v>0</v>
      </c>
      <c r="AY176" s="403">
        <f>'Portefeuille SP2'!AK192</f>
        <v>0</v>
      </c>
      <c r="AZ176" s="403">
        <f>'Portefeuille SP2'!AL192</f>
        <v>1</v>
      </c>
      <c r="BA176" s="403">
        <f>'Portefeuille SP2'!AM192</f>
        <v>1</v>
      </c>
      <c r="BB176" s="403">
        <f>'Portefeuille SP2'!AN192</f>
        <v>0</v>
      </c>
      <c r="BC176" s="403">
        <f>'Portefeuille SP2'!AO192</f>
        <v>0</v>
      </c>
      <c r="BD176" s="403">
        <f>'Portefeuille SP2'!AP192</f>
        <v>0</v>
      </c>
      <c r="BE176" s="403">
        <f>'Portefeuille SP2'!AQ192</f>
        <v>1</v>
      </c>
      <c r="BF176" s="403">
        <f>'Portefeuille SP2'!AR192</f>
        <v>1</v>
      </c>
      <c r="BG176" s="403" t="e">
        <f>'Portefeuille SP2'!#REF!</f>
        <v>#REF!</v>
      </c>
      <c r="BH176" s="403" t="e">
        <f>'Portefeuille SP2'!#REF!</f>
        <v>#REF!</v>
      </c>
      <c r="BI176" s="403" t="e">
        <f>'Portefeuille SP2'!#REF!</f>
        <v>#REF!</v>
      </c>
      <c r="BJ176" s="403" t="e">
        <f>'Portefeuille SP2'!#REF!</f>
        <v>#REF!</v>
      </c>
      <c r="BK176" s="403" t="e">
        <f>'Portefeuille SP2'!#REF!</f>
        <v>#REF!</v>
      </c>
      <c r="BL176" s="388"/>
      <c r="BM176" s="404" t="str">
        <f>'Portefeuille SP2'!L192</f>
        <v xml:space="preserve">vincent mulot pour chiffrage masse </v>
      </c>
    </row>
    <row r="177" spans="1:65" ht="15" customHeight="1">
      <c r="A177" s="383">
        <f>'Portefeuille SP2'!B193</f>
        <v>45335</v>
      </c>
      <c r="B177" s="390" t="str">
        <f>'Portefeuille SP2'!Q193</f>
        <v>CANCELED</v>
      </c>
      <c r="C177" s="384"/>
      <c r="D177" s="382" t="str">
        <f>'Portefeuille SP2'!E193</f>
        <v>PTF</v>
      </c>
      <c r="E177" s="382" t="str">
        <f t="shared" si="12"/>
        <v>BCI</v>
      </c>
      <c r="F177" s="382" t="str">
        <f t="shared" ref="F177:F178" si="16">MID(J177, 4, 20)</f>
        <v>_CHASSIS</v>
      </c>
      <c r="G177" s="382" t="str">
        <f>'Portefeuille SP2'!C193</f>
        <v>SPC_1</v>
      </c>
      <c r="H177" s="382" t="str">
        <f>'Portefeuille SP2'!F193</f>
        <v>FREDERIC GUINGAND</v>
      </c>
      <c r="I177" s="382" t="s">
        <v>1213</v>
      </c>
      <c r="J177" s="382" t="str">
        <f>'Portefeuille SP2'!D193</f>
        <v>BCI_CHASSIS</v>
      </c>
      <c r="K177" s="385" t="str">
        <f>'Portefeuille SP2'!H193</f>
        <v>fr axle optimization</v>
      </c>
      <c r="L177" s="157">
        <f>'Portefeuille SP2'!U193</f>
        <v>-5</v>
      </c>
      <c r="M177" s="386"/>
      <c r="N177" s="386"/>
      <c r="O177" s="386"/>
      <c r="P177" s="400">
        <f>'Portefeuille SP2'!M193</f>
        <v>0</v>
      </c>
      <c r="Q177" s="387"/>
      <c r="R177" s="387">
        <f>'Portefeuille SP2'!N193</f>
        <v>0</v>
      </c>
      <c r="S177" s="387"/>
      <c r="T177" s="382" t="str">
        <f>'Portefeuille SP2'!R193</f>
        <v xml:space="preserve">Step1 </v>
      </c>
      <c r="U177" s="387">
        <f>'Portefeuille SP2'!K193</f>
        <v>0</v>
      </c>
      <c r="V177" s="399">
        <f>'Portefeuille SP2'!S193</f>
        <v>1</v>
      </c>
      <c r="W177" s="387"/>
      <c r="X177" s="387"/>
      <c r="Y177" s="387"/>
      <c r="Z177" s="387"/>
      <c r="AA177" s="387"/>
      <c r="AB177" s="387"/>
      <c r="AC177" s="387"/>
      <c r="AD177" s="387"/>
      <c r="AE177" s="408">
        <f>'Portefeuille SP2'!J193</f>
        <v>0</v>
      </c>
      <c r="AF177" s="387"/>
      <c r="AG177" s="387"/>
      <c r="AH177" s="389"/>
      <c r="AI177" s="389"/>
      <c r="AJ177" s="403">
        <f>'Portefeuille SP2'!V193</f>
        <v>0</v>
      </c>
      <c r="AK177" s="403">
        <f>'Portefeuille SP2'!W193</f>
        <v>0</v>
      </c>
      <c r="AL177" s="403">
        <f>'Portefeuille SP2'!X193</f>
        <v>0</v>
      </c>
      <c r="AM177" s="403">
        <f>'Portefeuille SP2'!Y193</f>
        <v>1</v>
      </c>
      <c r="AN177" s="403">
        <f>'Portefeuille SP2'!Z193</f>
        <v>1</v>
      </c>
      <c r="AO177" s="403">
        <f>'Portefeuille SP2'!AA193</f>
        <v>0</v>
      </c>
      <c r="AP177" s="403">
        <f>'Portefeuille SP2'!AB193</f>
        <v>0</v>
      </c>
      <c r="AQ177" s="403">
        <f>'Portefeuille SP2'!AC193</f>
        <v>1</v>
      </c>
      <c r="AR177" s="403">
        <f>'Portefeuille SP2'!AD193</f>
        <v>1</v>
      </c>
      <c r="AS177" s="403">
        <f>'Portefeuille SP2'!AE193</f>
        <v>0</v>
      </c>
      <c r="AT177" s="403">
        <f>'Portefeuille SP2'!AF193</f>
        <v>0</v>
      </c>
      <c r="AU177" s="403">
        <f>'Portefeuille SP2'!AG193</f>
        <v>0</v>
      </c>
      <c r="AV177" s="403">
        <f>'Portefeuille SP2'!AH193</f>
        <v>1</v>
      </c>
      <c r="AW177" s="403">
        <f>'Portefeuille SP2'!AI193</f>
        <v>1</v>
      </c>
      <c r="AX177" s="403">
        <f>'Portefeuille SP2'!AJ193</f>
        <v>0</v>
      </c>
      <c r="AY177" s="403">
        <f>'Portefeuille SP2'!AK193</f>
        <v>0</v>
      </c>
      <c r="AZ177" s="403">
        <f>'Portefeuille SP2'!AL193</f>
        <v>1</v>
      </c>
      <c r="BA177" s="403">
        <f>'Portefeuille SP2'!AM193</f>
        <v>1</v>
      </c>
      <c r="BB177" s="403">
        <f>'Portefeuille SP2'!AN193</f>
        <v>0</v>
      </c>
      <c r="BC177" s="403">
        <f>'Portefeuille SP2'!AO193</f>
        <v>0</v>
      </c>
      <c r="BD177" s="403">
        <f>'Portefeuille SP2'!AP193</f>
        <v>0</v>
      </c>
      <c r="BE177" s="403">
        <f>'Portefeuille SP2'!AQ193</f>
        <v>1</v>
      </c>
      <c r="BF177" s="403">
        <f>'Portefeuille SP2'!AR193</f>
        <v>1</v>
      </c>
      <c r="BG177" s="403" t="e">
        <f>'Portefeuille SP2'!#REF!</f>
        <v>#REF!</v>
      </c>
      <c r="BH177" s="403" t="e">
        <f>'Portefeuille SP2'!#REF!</f>
        <v>#REF!</v>
      </c>
      <c r="BI177" s="403" t="e">
        <f>'Portefeuille SP2'!#REF!</f>
        <v>#REF!</v>
      </c>
      <c r="BJ177" s="403" t="e">
        <f>'Portefeuille SP2'!#REF!</f>
        <v>#REF!</v>
      </c>
      <c r="BK177" s="403" t="e">
        <f>'Portefeuille SP2'!#REF!</f>
        <v>#REF!</v>
      </c>
      <c r="BL177" s="388"/>
      <c r="BM177" s="404">
        <f>'Portefeuille SP2'!L193</f>
        <v>0</v>
      </c>
    </row>
    <row r="178" spans="1:65" ht="15" customHeight="1">
      <c r="A178" s="383">
        <f>'Portefeuille SP2'!B194</f>
        <v>46078</v>
      </c>
      <c r="B178" s="390" t="str">
        <f>'Portefeuille SP2'!Q194</f>
        <v>IN PROGRESS</v>
      </c>
      <c r="C178" s="384"/>
      <c r="D178" s="382" t="str">
        <f>'Portefeuille SP2'!E194</f>
        <v>PTF</v>
      </c>
      <c r="E178" s="382" t="str">
        <f t="shared" si="12"/>
        <v>BCI</v>
      </c>
      <c r="F178" s="382" t="str">
        <f t="shared" si="16"/>
        <v>_CHASSIS</v>
      </c>
      <c r="G178" s="382" t="str">
        <f>'Portefeuille SP2'!C194</f>
        <v>SPC_1</v>
      </c>
      <c r="H178" s="382" t="str">
        <f>'Portefeuille SP2'!F194</f>
        <v>FREDERIC GUINGAND</v>
      </c>
      <c r="I178" s="382" t="s">
        <v>1213</v>
      </c>
      <c r="J178" s="382" t="str">
        <f>'Portefeuille SP2'!D194</f>
        <v>BCI_CHASSIS</v>
      </c>
      <c r="K178" s="385" t="str">
        <f>'Portefeuille SP2'!H194</f>
        <v>Rr axle optimization</v>
      </c>
      <c r="L178" s="157">
        <f>'Portefeuille SP2'!U194</f>
        <v>-0.5</v>
      </c>
      <c r="M178" s="386"/>
      <c r="N178" s="386"/>
      <c r="O178" s="386"/>
      <c r="P178" s="400">
        <f>'Portefeuille SP2'!M194</f>
        <v>0</v>
      </c>
      <c r="Q178" s="387"/>
      <c r="R178" s="387">
        <f>'Portefeuille SP2'!N194</f>
        <v>0</v>
      </c>
      <c r="S178" s="387"/>
      <c r="T178" s="382">
        <f>'Portefeuille SP2'!R194</f>
        <v>0</v>
      </c>
      <c r="U178" s="387">
        <f>'Portefeuille SP2'!K194</f>
        <v>0</v>
      </c>
      <c r="V178" s="399">
        <f>'Portefeuille SP2'!S194</f>
        <v>1</v>
      </c>
      <c r="W178" s="387"/>
      <c r="X178" s="387"/>
      <c r="Y178" s="387"/>
      <c r="Z178" s="387"/>
      <c r="AA178" s="387"/>
      <c r="AB178" s="387"/>
      <c r="AC178" s="387"/>
      <c r="AD178" s="387"/>
      <c r="AE178" s="408">
        <f>'Portefeuille SP2'!J194</f>
        <v>0</v>
      </c>
      <c r="AF178" s="387"/>
      <c r="AG178" s="387"/>
      <c r="AH178" s="389"/>
      <c r="AI178" s="389"/>
      <c r="AJ178" s="403">
        <f>'Portefeuille SP2'!V194</f>
        <v>0</v>
      </c>
      <c r="AK178" s="403">
        <f>'Portefeuille SP2'!W194</f>
        <v>0</v>
      </c>
      <c r="AL178" s="403">
        <f>'Portefeuille SP2'!X194</f>
        <v>0</v>
      </c>
      <c r="AM178" s="403">
        <f>'Portefeuille SP2'!Y194</f>
        <v>1</v>
      </c>
      <c r="AN178" s="403">
        <f>'Portefeuille SP2'!Z194</f>
        <v>1</v>
      </c>
      <c r="AO178" s="403">
        <f>'Portefeuille SP2'!AA194</f>
        <v>0</v>
      </c>
      <c r="AP178" s="403">
        <f>'Portefeuille SP2'!AB194</f>
        <v>0</v>
      </c>
      <c r="AQ178" s="403">
        <f>'Portefeuille SP2'!AC194</f>
        <v>1</v>
      </c>
      <c r="AR178" s="403">
        <f>'Portefeuille SP2'!AD194</f>
        <v>1</v>
      </c>
      <c r="AS178" s="403">
        <f>'Portefeuille SP2'!AE194</f>
        <v>0</v>
      </c>
      <c r="AT178" s="403">
        <f>'Portefeuille SP2'!AF194</f>
        <v>0</v>
      </c>
      <c r="AU178" s="403">
        <f>'Portefeuille SP2'!AG194</f>
        <v>0</v>
      </c>
      <c r="AV178" s="403">
        <f>'Portefeuille SP2'!AH194</f>
        <v>1</v>
      </c>
      <c r="AW178" s="403">
        <f>'Portefeuille SP2'!AI194</f>
        <v>1</v>
      </c>
      <c r="AX178" s="403">
        <f>'Portefeuille SP2'!AJ194</f>
        <v>0</v>
      </c>
      <c r="AY178" s="403">
        <f>'Portefeuille SP2'!AK194</f>
        <v>0</v>
      </c>
      <c r="AZ178" s="403">
        <f>'Portefeuille SP2'!AL194</f>
        <v>1</v>
      </c>
      <c r="BA178" s="403">
        <f>'Portefeuille SP2'!AM194</f>
        <v>1</v>
      </c>
      <c r="BB178" s="403">
        <f>'Portefeuille SP2'!AN194</f>
        <v>0</v>
      </c>
      <c r="BC178" s="403">
        <f>'Portefeuille SP2'!AO194</f>
        <v>0</v>
      </c>
      <c r="BD178" s="403">
        <f>'Portefeuille SP2'!AP194</f>
        <v>0</v>
      </c>
      <c r="BE178" s="403">
        <f>'Portefeuille SP2'!AQ194</f>
        <v>1</v>
      </c>
      <c r="BF178" s="403">
        <f>'Portefeuille SP2'!AR194</f>
        <v>1</v>
      </c>
      <c r="BG178" s="403" t="e">
        <f>'Portefeuille SP2'!#REF!</f>
        <v>#REF!</v>
      </c>
      <c r="BH178" s="403" t="e">
        <f>'Portefeuille SP2'!#REF!</f>
        <v>#REF!</v>
      </c>
      <c r="BI178" s="403" t="e">
        <f>'Portefeuille SP2'!#REF!</f>
        <v>#REF!</v>
      </c>
      <c r="BJ178" s="403" t="e">
        <f>'Portefeuille SP2'!#REF!</f>
        <v>#REF!</v>
      </c>
      <c r="BK178" s="403" t="e">
        <f>'Portefeuille SP2'!#REF!</f>
        <v>#REF!</v>
      </c>
      <c r="BL178" s="388"/>
      <c r="BM178" s="404" t="str">
        <f>'Portefeuille SP2'!L194</f>
        <v xml:space="preserve">Plus support etrier à prendre en compte. Masse ? </v>
      </c>
    </row>
    <row r="179" spans="1:65" ht="15" customHeight="1">
      <c r="A179" s="383">
        <f>'Portefeuille SP2'!B195</f>
        <v>45335</v>
      </c>
      <c r="B179" s="390" t="str">
        <f>'Portefeuille SP2'!Q195</f>
        <v>CANCELED</v>
      </c>
      <c r="C179" s="384"/>
      <c r="D179" s="382" t="str">
        <f>'Portefeuille SP2'!E195</f>
        <v>PTF</v>
      </c>
      <c r="E179" s="382" t="str">
        <f t="shared" si="12"/>
        <v>BCI</v>
      </c>
      <c r="F179" s="382" t="str">
        <f t="shared" si="13"/>
        <v>HASSIS</v>
      </c>
      <c r="G179" s="382" t="str">
        <f>'Portefeuille SP2'!C195</f>
        <v>SPC_1</v>
      </c>
      <c r="H179" s="382" t="str">
        <f>'Portefeuille SP2'!F195</f>
        <v>FREDERIC GUINGAND</v>
      </c>
      <c r="I179" s="382"/>
      <c r="J179" s="382" t="str">
        <f>'Portefeuille SP2'!D195</f>
        <v>BCI_CHASSIS</v>
      </c>
      <c r="K179" s="385" t="str">
        <f>'Portefeuille SP2'!H195</f>
        <v>FR brake downsizing</v>
      </c>
      <c r="L179" s="157">
        <f>'Portefeuille SP2'!U195</f>
        <v>0</v>
      </c>
      <c r="M179" s="386"/>
      <c r="N179" s="386"/>
      <c r="O179" s="386"/>
      <c r="P179" s="387">
        <f>'Portefeuille SP2'!M195</f>
        <v>0</v>
      </c>
      <c r="Q179" s="387"/>
      <c r="R179" s="387">
        <f>'Portefeuille SP2'!N195</f>
        <v>0</v>
      </c>
      <c r="S179" s="387"/>
      <c r="T179" s="382" t="str">
        <f>'Portefeuille SP2'!R195</f>
        <v>TBD</v>
      </c>
      <c r="U179" s="387">
        <f>'Portefeuille SP2'!K195</f>
        <v>0</v>
      </c>
      <c r="V179" s="399">
        <f>'Portefeuille SP2'!S195</f>
        <v>1</v>
      </c>
      <c r="W179" s="387"/>
      <c r="X179" s="387"/>
      <c r="Y179" s="387"/>
      <c r="Z179" s="387"/>
      <c r="AA179" s="387"/>
      <c r="AB179" s="387"/>
      <c r="AC179" s="387"/>
      <c r="AD179" s="387"/>
      <c r="AE179" s="400">
        <f>'Portefeuille SP2'!J195</f>
        <v>0</v>
      </c>
      <c r="AF179" s="387"/>
      <c r="AG179" s="387"/>
      <c r="AH179" s="389"/>
      <c r="AI179" s="389"/>
      <c r="AJ179" s="403">
        <f>'Portefeuille SP2'!V195</f>
        <v>0</v>
      </c>
      <c r="AK179" s="403">
        <f>'Portefeuille SP2'!W195</f>
        <v>0</v>
      </c>
      <c r="AL179" s="403">
        <f>'Portefeuille SP2'!X195</f>
        <v>0</v>
      </c>
      <c r="AM179" s="403">
        <f>'Portefeuille SP2'!Y195</f>
        <v>1</v>
      </c>
      <c r="AN179" s="403">
        <f>'Portefeuille SP2'!Z195</f>
        <v>1</v>
      </c>
      <c r="AO179" s="403">
        <f>'Portefeuille SP2'!AA195</f>
        <v>0</v>
      </c>
      <c r="AP179" s="403">
        <f>'Portefeuille SP2'!AB195</f>
        <v>0</v>
      </c>
      <c r="AQ179" s="403">
        <f>'Portefeuille SP2'!AC195</f>
        <v>1</v>
      </c>
      <c r="AR179" s="403">
        <f>'Portefeuille SP2'!AD195</f>
        <v>1</v>
      </c>
      <c r="AS179" s="403">
        <f>'Portefeuille SP2'!AE195</f>
        <v>0</v>
      </c>
      <c r="AT179" s="403">
        <f>'Portefeuille SP2'!AF195</f>
        <v>0</v>
      </c>
      <c r="AU179" s="403">
        <f>'Portefeuille SP2'!AG195</f>
        <v>0</v>
      </c>
      <c r="AV179" s="403">
        <f>'Portefeuille SP2'!AH195</f>
        <v>1</v>
      </c>
      <c r="AW179" s="403">
        <f>'Portefeuille SP2'!AI195</f>
        <v>1</v>
      </c>
      <c r="AX179" s="403">
        <f>'Portefeuille SP2'!AJ195</f>
        <v>0</v>
      </c>
      <c r="AY179" s="403">
        <f>'Portefeuille SP2'!AK195</f>
        <v>0</v>
      </c>
      <c r="AZ179" s="403">
        <f>'Portefeuille SP2'!AL195</f>
        <v>1</v>
      </c>
      <c r="BA179" s="403">
        <f>'Portefeuille SP2'!AM195</f>
        <v>1</v>
      </c>
      <c r="BB179" s="403">
        <f>'Portefeuille SP2'!AN195</f>
        <v>0</v>
      </c>
      <c r="BC179" s="403">
        <f>'Portefeuille SP2'!AO195</f>
        <v>0</v>
      </c>
      <c r="BD179" s="403">
        <f>'Portefeuille SP2'!AP195</f>
        <v>0</v>
      </c>
      <c r="BE179" s="403">
        <f>'Portefeuille SP2'!AQ195</f>
        <v>1</v>
      </c>
      <c r="BF179" s="403">
        <f>'Portefeuille SP2'!AR195</f>
        <v>1</v>
      </c>
      <c r="BG179" s="403" t="e">
        <f>'Portefeuille SP2'!#REF!</f>
        <v>#REF!</v>
      </c>
      <c r="BH179" s="403" t="e">
        <f>'Portefeuille SP2'!#REF!</f>
        <v>#REF!</v>
      </c>
      <c r="BI179" s="403" t="e">
        <f>'Portefeuille SP2'!#REF!</f>
        <v>#REF!</v>
      </c>
      <c r="BJ179" s="403" t="e">
        <f>'Portefeuille SP2'!#REF!</f>
        <v>#REF!</v>
      </c>
      <c r="BK179" s="403" t="e">
        <f>'Portefeuille SP2'!#REF!</f>
        <v>#REF!</v>
      </c>
      <c r="BL179" s="388"/>
      <c r="BM179" s="404" t="str">
        <f>'Portefeuille SP2'!L195</f>
        <v>ref base masse '302*26/60 idem C41 (+protector) 23/01/25</v>
      </c>
    </row>
    <row r="180" spans="1:65" ht="15" customHeight="1">
      <c r="A180" s="383">
        <f>'Portefeuille SP2'!B196</f>
        <v>45335</v>
      </c>
      <c r="B180" s="390" t="str">
        <f>'Portefeuille SP2'!Q196</f>
        <v>CANCELED</v>
      </c>
      <c r="C180" s="384"/>
      <c r="D180" s="382" t="str">
        <f>'Portefeuille SP2'!E196</f>
        <v>PTF</v>
      </c>
      <c r="E180" s="382" t="str">
        <f t="shared" si="12"/>
        <v>BCI</v>
      </c>
      <c r="F180" s="382" t="str">
        <f t="shared" ref="F180:F182" si="17">MID(J180, 4, 20)</f>
        <v>_CHASSIS</v>
      </c>
      <c r="G180" s="382" t="str">
        <f>'Portefeuille SP2'!C196</f>
        <v>SPC_1</v>
      </c>
      <c r="H180" s="382" t="str">
        <f>'Portefeuille SP2'!F196</f>
        <v>FREDERIC GUINGAND</v>
      </c>
      <c r="I180" s="382" t="s">
        <v>1213</v>
      </c>
      <c r="J180" s="382" t="str">
        <f>'Portefeuille SP2'!D196</f>
        <v>BCI_CHASSIS</v>
      </c>
      <c r="K180" s="385" t="str">
        <f>'Portefeuille SP2'!H196</f>
        <v xml:space="preserve"> Remove helmoltz resonator</v>
      </c>
      <c r="L180" s="157">
        <f>'Portefeuille SP2'!U196</f>
        <v>1.3</v>
      </c>
      <c r="M180" s="386"/>
      <c r="N180" s="386"/>
      <c r="O180" s="386"/>
      <c r="P180" s="400">
        <f>'Portefeuille SP2'!M196</f>
        <v>0</v>
      </c>
      <c r="Q180" s="387"/>
      <c r="R180" s="387">
        <f>'Portefeuille SP2'!N196</f>
        <v>0</v>
      </c>
      <c r="S180" s="387"/>
      <c r="T180" s="382" t="str">
        <f>'Portefeuille SP2'!R196</f>
        <v xml:space="preserve">Step1 </v>
      </c>
      <c r="U180" s="387">
        <f>'Portefeuille SP2'!K196</f>
        <v>0</v>
      </c>
      <c r="V180" s="399">
        <f>'Portefeuille SP2'!S196</f>
        <v>1</v>
      </c>
      <c r="W180" s="387"/>
      <c r="X180" s="387"/>
      <c r="Y180" s="387"/>
      <c r="Z180" s="387"/>
      <c r="AA180" s="387"/>
      <c r="AB180" s="387"/>
      <c r="AC180" s="387"/>
      <c r="AD180" s="387"/>
      <c r="AE180" s="408">
        <f>'Portefeuille SP2'!J196</f>
        <v>0</v>
      </c>
      <c r="AF180" s="387"/>
      <c r="AG180" s="387"/>
      <c r="AH180" s="389"/>
      <c r="AI180" s="389"/>
      <c r="AJ180" s="403">
        <f>'Portefeuille SP2'!V196</f>
        <v>0</v>
      </c>
      <c r="AK180" s="403">
        <f>'Portefeuille SP2'!W196</f>
        <v>0</v>
      </c>
      <c r="AL180" s="403">
        <f>'Portefeuille SP2'!X196</f>
        <v>0</v>
      </c>
      <c r="AM180" s="403">
        <f>'Portefeuille SP2'!Y196</f>
        <v>1</v>
      </c>
      <c r="AN180" s="403">
        <f>'Portefeuille SP2'!Z196</f>
        <v>1</v>
      </c>
      <c r="AO180" s="403">
        <f>'Portefeuille SP2'!AA196</f>
        <v>0</v>
      </c>
      <c r="AP180" s="403">
        <f>'Portefeuille SP2'!AB196</f>
        <v>0</v>
      </c>
      <c r="AQ180" s="403">
        <f>'Portefeuille SP2'!AC196</f>
        <v>1</v>
      </c>
      <c r="AR180" s="403">
        <f>'Portefeuille SP2'!AD196</f>
        <v>1</v>
      </c>
      <c r="AS180" s="403">
        <f>'Portefeuille SP2'!AE196</f>
        <v>0</v>
      </c>
      <c r="AT180" s="403">
        <f>'Portefeuille SP2'!AF196</f>
        <v>0</v>
      </c>
      <c r="AU180" s="403">
        <f>'Portefeuille SP2'!AG196</f>
        <v>0</v>
      </c>
      <c r="AV180" s="403">
        <f>'Portefeuille SP2'!AH196</f>
        <v>1</v>
      </c>
      <c r="AW180" s="403">
        <f>'Portefeuille SP2'!AI196</f>
        <v>1</v>
      </c>
      <c r="AX180" s="403">
        <f>'Portefeuille SP2'!AJ196</f>
        <v>0</v>
      </c>
      <c r="AY180" s="403">
        <f>'Portefeuille SP2'!AK196</f>
        <v>0</v>
      </c>
      <c r="AZ180" s="403">
        <f>'Portefeuille SP2'!AL196</f>
        <v>1</v>
      </c>
      <c r="BA180" s="403">
        <f>'Portefeuille SP2'!AM196</f>
        <v>1</v>
      </c>
      <c r="BB180" s="403">
        <f>'Portefeuille SP2'!AN196</f>
        <v>0</v>
      </c>
      <c r="BC180" s="403">
        <f>'Portefeuille SP2'!AO196</f>
        <v>0</v>
      </c>
      <c r="BD180" s="403">
        <f>'Portefeuille SP2'!AP196</f>
        <v>0</v>
      </c>
      <c r="BE180" s="403">
        <f>'Portefeuille SP2'!AQ196</f>
        <v>1</v>
      </c>
      <c r="BF180" s="403">
        <f>'Portefeuille SP2'!AR196</f>
        <v>1</v>
      </c>
      <c r="BG180" s="403" t="e">
        <f>'Portefeuille SP2'!#REF!</f>
        <v>#REF!</v>
      </c>
      <c r="BH180" s="403" t="e">
        <f>'Portefeuille SP2'!#REF!</f>
        <v>#REF!</v>
      </c>
      <c r="BI180" s="403" t="e">
        <f>'Portefeuille SP2'!#REF!</f>
        <v>#REF!</v>
      </c>
      <c r="BJ180" s="403" t="e">
        <f>'Portefeuille SP2'!#REF!</f>
        <v>#REF!</v>
      </c>
      <c r="BK180" s="403" t="e">
        <f>'Portefeuille SP2'!#REF!</f>
        <v>#REF!</v>
      </c>
      <c r="BL180" s="388"/>
      <c r="BM180" s="404" t="str">
        <f>'Portefeuille SP2'!L196</f>
        <v xml:space="preserve">sur traverse deformable </v>
      </c>
    </row>
    <row r="181" spans="1:65" ht="15" customHeight="1">
      <c r="A181" s="383">
        <f>'Portefeuille SP2'!B197</f>
        <v>45335</v>
      </c>
      <c r="B181" s="390" t="str">
        <f>'Portefeuille SP2'!Q197</f>
        <v>DECIDED</v>
      </c>
      <c r="C181" s="384"/>
      <c r="D181" s="382" t="str">
        <f>'Portefeuille SP2'!E197</f>
        <v>PTF</v>
      </c>
      <c r="E181" s="382" t="str">
        <f t="shared" si="12"/>
        <v>BCI</v>
      </c>
      <c r="F181" s="382" t="str">
        <f t="shared" si="17"/>
        <v>_CHASSIS</v>
      </c>
      <c r="G181" s="382" t="str">
        <f>'Portefeuille SP2'!C197</f>
        <v>SPC_1</v>
      </c>
      <c r="H181" s="382" t="str">
        <f>'Portefeuille SP2'!F197</f>
        <v>FREDERIC GUINGAND</v>
      </c>
      <c r="I181" s="382" t="s">
        <v>1213</v>
      </c>
      <c r="J181" s="382" t="str">
        <f>'Portefeuille SP2'!D197</f>
        <v>BCI_CHASSIS</v>
      </c>
      <c r="K181" s="385" t="str">
        <f>'Portefeuille SP2'!H197</f>
        <v>optimization wheel carriers</v>
      </c>
      <c r="L181" s="157">
        <f>'Portefeuille SP2'!U197</f>
        <v>-0.6</v>
      </c>
      <c r="M181" s="386"/>
      <c r="N181" s="386"/>
      <c r="O181" s="386"/>
      <c r="P181" s="400">
        <f>'Portefeuille SP2'!M197</f>
        <v>0</v>
      </c>
      <c r="Q181" s="387"/>
      <c r="R181" s="387">
        <f>'Portefeuille SP2'!N197</f>
        <v>0</v>
      </c>
      <c r="S181" s="387"/>
      <c r="T181" s="382" t="str">
        <f>'Portefeuille SP2'!R197</f>
        <v xml:space="preserve">Step1 </v>
      </c>
      <c r="U181" s="387">
        <f>'Portefeuille SP2'!K197</f>
        <v>0</v>
      </c>
      <c r="V181" s="399">
        <f>'Portefeuille SP2'!S197</f>
        <v>1</v>
      </c>
      <c r="W181" s="387"/>
      <c r="X181" s="387"/>
      <c r="Y181" s="387"/>
      <c r="Z181" s="387"/>
      <c r="AA181" s="387"/>
      <c r="AB181" s="387"/>
      <c r="AC181" s="387"/>
      <c r="AD181" s="387"/>
      <c r="AE181" s="408">
        <f>'Portefeuille SP2'!J197</f>
        <v>0</v>
      </c>
      <c r="AF181" s="387"/>
      <c r="AG181" s="387"/>
      <c r="AH181" s="389"/>
      <c r="AI181" s="389"/>
      <c r="AJ181" s="403">
        <f>'Portefeuille SP2'!V197</f>
        <v>0</v>
      </c>
      <c r="AK181" s="403">
        <f>'Portefeuille SP2'!W197</f>
        <v>0</v>
      </c>
      <c r="AL181" s="403">
        <f>'Portefeuille SP2'!X197</f>
        <v>0</v>
      </c>
      <c r="AM181" s="403">
        <f>'Portefeuille SP2'!Y197</f>
        <v>1</v>
      </c>
      <c r="AN181" s="403">
        <f>'Portefeuille SP2'!Z197</f>
        <v>1</v>
      </c>
      <c r="AO181" s="403">
        <f>'Portefeuille SP2'!AA197</f>
        <v>0</v>
      </c>
      <c r="AP181" s="403">
        <f>'Portefeuille SP2'!AB197</f>
        <v>0</v>
      </c>
      <c r="AQ181" s="403">
        <f>'Portefeuille SP2'!AC197</f>
        <v>1</v>
      </c>
      <c r="AR181" s="403">
        <f>'Portefeuille SP2'!AD197</f>
        <v>1</v>
      </c>
      <c r="AS181" s="403">
        <f>'Portefeuille SP2'!AE197</f>
        <v>0</v>
      </c>
      <c r="AT181" s="403">
        <f>'Portefeuille SP2'!AF197</f>
        <v>0</v>
      </c>
      <c r="AU181" s="403">
        <f>'Portefeuille SP2'!AG197</f>
        <v>0</v>
      </c>
      <c r="AV181" s="403">
        <f>'Portefeuille SP2'!AH197</f>
        <v>1</v>
      </c>
      <c r="AW181" s="403">
        <f>'Portefeuille SP2'!AI197</f>
        <v>1</v>
      </c>
      <c r="AX181" s="403">
        <f>'Portefeuille SP2'!AJ197</f>
        <v>0</v>
      </c>
      <c r="AY181" s="403">
        <f>'Portefeuille SP2'!AK197</f>
        <v>0</v>
      </c>
      <c r="AZ181" s="403">
        <f>'Portefeuille SP2'!AL197</f>
        <v>1</v>
      </c>
      <c r="BA181" s="403">
        <f>'Portefeuille SP2'!AM197</f>
        <v>1</v>
      </c>
      <c r="BB181" s="403">
        <f>'Portefeuille SP2'!AN197</f>
        <v>0</v>
      </c>
      <c r="BC181" s="403">
        <f>'Portefeuille SP2'!AO197</f>
        <v>0</v>
      </c>
      <c r="BD181" s="403">
        <f>'Portefeuille SP2'!AP197</f>
        <v>0</v>
      </c>
      <c r="BE181" s="403">
        <f>'Portefeuille SP2'!AQ197</f>
        <v>1</v>
      </c>
      <c r="BF181" s="403">
        <f>'Portefeuille SP2'!AR197</f>
        <v>1</v>
      </c>
      <c r="BG181" s="403" t="e">
        <f>'Portefeuille SP2'!#REF!</f>
        <v>#REF!</v>
      </c>
      <c r="BH181" s="403" t="e">
        <f>'Portefeuille SP2'!#REF!</f>
        <v>#REF!</v>
      </c>
      <c r="BI181" s="403" t="e">
        <f>'Portefeuille SP2'!#REF!</f>
        <v>#REF!</v>
      </c>
      <c r="BJ181" s="403" t="e">
        <f>'Portefeuille SP2'!#REF!</f>
        <v>#REF!</v>
      </c>
      <c r="BK181" s="403" t="e">
        <f>'Portefeuille SP2'!#REF!</f>
        <v>#REF!</v>
      </c>
      <c r="BL181" s="388"/>
      <c r="BM181" s="404">
        <f>'Portefeuille SP2'!L197</f>
        <v>0</v>
      </c>
    </row>
    <row r="182" spans="1:65" ht="15" customHeight="1">
      <c r="A182" s="383">
        <f>'Portefeuille SP2'!B198</f>
        <v>45335</v>
      </c>
      <c r="B182" s="390" t="str">
        <f>'Portefeuille SP2'!Q198</f>
        <v>IN PROGRESS</v>
      </c>
      <c r="C182" s="384"/>
      <c r="D182" s="382" t="str">
        <f>'Portefeuille SP2'!E198</f>
        <v>PTF</v>
      </c>
      <c r="E182" s="382" t="str">
        <f t="shared" si="12"/>
        <v>BCI</v>
      </c>
      <c r="F182" s="382" t="str">
        <f t="shared" si="17"/>
        <v>_CHASSIS</v>
      </c>
      <c r="G182" s="382" t="str">
        <f>'Portefeuille SP2'!C198</f>
        <v>SPC_1</v>
      </c>
      <c r="H182" s="382" t="str">
        <f>'Portefeuille SP2'!F198</f>
        <v>FREDERIC GUINGAND</v>
      </c>
      <c r="I182" s="382" t="s">
        <v>1213</v>
      </c>
      <c r="J182" s="382" t="str">
        <f>'Portefeuille SP2'!D198</f>
        <v>BCI_CHASSIS</v>
      </c>
      <c r="K182" s="385" t="str">
        <f>'Portefeuille SP2'!H198</f>
        <v>fr axle optimization</v>
      </c>
      <c r="L182" s="157">
        <f>'Portefeuille SP2'!U198</f>
        <v>-0.8</v>
      </c>
      <c r="M182" s="386"/>
      <c r="N182" s="386"/>
      <c r="O182" s="386"/>
      <c r="P182" s="400">
        <f>'Portefeuille SP2'!M198</f>
        <v>0</v>
      </c>
      <c r="Q182" s="387"/>
      <c r="R182" s="387">
        <f>'Portefeuille SP2'!N198</f>
        <v>0</v>
      </c>
      <c r="S182" s="387"/>
      <c r="T182" s="382">
        <f>'Portefeuille SP2'!R198</f>
        <v>0</v>
      </c>
      <c r="U182" s="387">
        <f>'Portefeuille SP2'!K198</f>
        <v>0</v>
      </c>
      <c r="V182" s="399">
        <f>'Portefeuille SP2'!S198</f>
        <v>1</v>
      </c>
      <c r="W182" s="387"/>
      <c r="X182" s="387"/>
      <c r="Y182" s="387"/>
      <c r="Z182" s="387"/>
      <c r="AA182" s="387"/>
      <c r="AB182" s="387"/>
      <c r="AC182" s="387"/>
      <c r="AD182" s="387"/>
      <c r="AE182" s="408">
        <f>'Portefeuille SP2'!J198</f>
        <v>0</v>
      </c>
      <c r="AF182" s="387"/>
      <c r="AG182" s="387"/>
      <c r="AH182" s="389"/>
      <c r="AI182" s="389"/>
      <c r="AJ182" s="403">
        <f>'Portefeuille SP2'!V198</f>
        <v>0</v>
      </c>
      <c r="AK182" s="403">
        <f>'Portefeuille SP2'!W198</f>
        <v>0</v>
      </c>
      <c r="AL182" s="403">
        <f>'Portefeuille SP2'!X198</f>
        <v>0</v>
      </c>
      <c r="AM182" s="403">
        <f>'Portefeuille SP2'!Y198</f>
        <v>1</v>
      </c>
      <c r="AN182" s="403">
        <f>'Portefeuille SP2'!Z198</f>
        <v>1</v>
      </c>
      <c r="AO182" s="403">
        <f>'Portefeuille SP2'!AA198</f>
        <v>0</v>
      </c>
      <c r="AP182" s="403">
        <f>'Portefeuille SP2'!AB198</f>
        <v>0</v>
      </c>
      <c r="AQ182" s="403">
        <f>'Portefeuille SP2'!AC198</f>
        <v>1</v>
      </c>
      <c r="AR182" s="403">
        <f>'Portefeuille SP2'!AD198</f>
        <v>1</v>
      </c>
      <c r="AS182" s="403">
        <f>'Portefeuille SP2'!AE198</f>
        <v>0</v>
      </c>
      <c r="AT182" s="403">
        <f>'Portefeuille SP2'!AF198</f>
        <v>0</v>
      </c>
      <c r="AU182" s="403">
        <f>'Portefeuille SP2'!AG198</f>
        <v>0</v>
      </c>
      <c r="AV182" s="403">
        <f>'Portefeuille SP2'!AH198</f>
        <v>1</v>
      </c>
      <c r="AW182" s="403">
        <f>'Portefeuille SP2'!AI198</f>
        <v>1</v>
      </c>
      <c r="AX182" s="403">
        <f>'Portefeuille SP2'!AJ198</f>
        <v>0</v>
      </c>
      <c r="AY182" s="403">
        <f>'Portefeuille SP2'!AK198</f>
        <v>0</v>
      </c>
      <c r="AZ182" s="403">
        <f>'Portefeuille SP2'!AL198</f>
        <v>1</v>
      </c>
      <c r="BA182" s="403">
        <f>'Portefeuille SP2'!AM198</f>
        <v>1</v>
      </c>
      <c r="BB182" s="403">
        <f>'Portefeuille SP2'!AN198</f>
        <v>0</v>
      </c>
      <c r="BC182" s="403">
        <f>'Portefeuille SP2'!AO198</f>
        <v>0</v>
      </c>
      <c r="BD182" s="403">
        <f>'Portefeuille SP2'!AP198</f>
        <v>0</v>
      </c>
      <c r="BE182" s="403">
        <f>'Portefeuille SP2'!AQ198</f>
        <v>1</v>
      </c>
      <c r="BF182" s="403">
        <f>'Portefeuille SP2'!AR198</f>
        <v>1</v>
      </c>
      <c r="BG182" s="403" t="e">
        <f>'Portefeuille SP2'!#REF!</f>
        <v>#REF!</v>
      </c>
      <c r="BH182" s="403" t="e">
        <f>'Portefeuille SP2'!#REF!</f>
        <v>#REF!</v>
      </c>
      <c r="BI182" s="403" t="e">
        <f>'Portefeuille SP2'!#REF!</f>
        <v>#REF!</v>
      </c>
      <c r="BJ182" s="403" t="e">
        <f>'Portefeuille SP2'!#REF!</f>
        <v>#REF!</v>
      </c>
      <c r="BK182" s="403" t="e">
        <f>'Portefeuille SP2'!#REF!</f>
        <v>#REF!</v>
      </c>
      <c r="BL182" s="388"/>
      <c r="BM182" s="404" t="str">
        <f>'Portefeuille SP2'!L198</f>
        <v>risque PPM braking  preparer QCDP</v>
      </c>
    </row>
    <row r="183" spans="1:65" ht="15" customHeight="1">
      <c r="A183" s="383">
        <f>'Portefeuille SP2'!B199</f>
        <v>45335</v>
      </c>
      <c r="B183" s="390" t="str">
        <f>'Portefeuille SP2'!Q199</f>
        <v>CANCELED</v>
      </c>
      <c r="C183" s="384"/>
      <c r="D183" s="382" t="str">
        <f>'Portefeuille SP2'!E199</f>
        <v>PTF</v>
      </c>
      <c r="E183" s="382" t="str">
        <f t="shared" si="12"/>
        <v>BIW</v>
      </c>
      <c r="F183" s="382" t="str">
        <f t="shared" si="13"/>
        <v/>
      </c>
      <c r="G183" s="382" t="str">
        <f>'Portefeuille SP2'!C199</f>
        <v>SPC_1</v>
      </c>
      <c r="H183" s="382" t="str">
        <f>'Portefeuille SP2'!F199</f>
        <v>FREDERIC GUINGAND</v>
      </c>
      <c r="I183" s="382"/>
      <c r="J183" s="382" t="str">
        <f>'Portefeuille SP2'!D199</f>
        <v xml:space="preserve">BIW </v>
      </c>
      <c r="K183" s="385" t="str">
        <f>'Portefeuille SP2'!H199</f>
        <v>205 55 R19 (C5 aircross) P54 =&gt; 91,6</v>
      </c>
      <c r="L183" s="157">
        <f>'Portefeuille SP2'!U199</f>
        <v>0</v>
      </c>
      <c r="M183" s="386"/>
      <c r="N183" s="386"/>
      <c r="O183" s="386"/>
      <c r="P183" s="387">
        <f>'Portefeuille SP2'!M199</f>
        <v>0</v>
      </c>
      <c r="Q183" s="387"/>
      <c r="R183" s="387">
        <f>'Portefeuille SP2'!N199</f>
        <v>0</v>
      </c>
      <c r="S183" s="387"/>
      <c r="T183" s="382" t="str">
        <f>'Portefeuille SP2'!R199</f>
        <v>TBD</v>
      </c>
      <c r="U183" s="387">
        <f>'Portefeuille SP2'!K199</f>
        <v>0</v>
      </c>
      <c r="V183" s="399">
        <f>'Portefeuille SP2'!S199</f>
        <v>1</v>
      </c>
      <c r="W183" s="387"/>
      <c r="X183" s="387"/>
      <c r="Y183" s="387"/>
      <c r="Z183" s="387"/>
      <c r="AA183" s="387"/>
      <c r="AB183" s="387"/>
      <c r="AC183" s="387"/>
      <c r="AD183" s="387"/>
      <c r="AE183" s="400">
        <f>'Portefeuille SP2'!J199</f>
        <v>0</v>
      </c>
      <c r="AF183" s="387"/>
      <c r="AG183" s="387"/>
      <c r="AH183" s="389"/>
      <c r="AI183" s="389"/>
      <c r="AJ183" s="403">
        <f>'Portefeuille SP2'!V199</f>
        <v>0</v>
      </c>
      <c r="AK183" s="403">
        <f>'Portefeuille SP2'!W199</f>
        <v>0</v>
      </c>
      <c r="AL183" s="403">
        <f>'Portefeuille SP2'!X199</f>
        <v>0</v>
      </c>
      <c r="AM183" s="403">
        <f>'Portefeuille SP2'!Y199</f>
        <v>1</v>
      </c>
      <c r="AN183" s="403">
        <f>'Portefeuille SP2'!Z199</f>
        <v>1</v>
      </c>
      <c r="AO183" s="403">
        <f>'Portefeuille SP2'!AA199</f>
        <v>0</v>
      </c>
      <c r="AP183" s="403">
        <f>'Portefeuille SP2'!AB199</f>
        <v>0</v>
      </c>
      <c r="AQ183" s="403">
        <f>'Portefeuille SP2'!AC199</f>
        <v>1</v>
      </c>
      <c r="AR183" s="403">
        <f>'Portefeuille SP2'!AD199</f>
        <v>1</v>
      </c>
      <c r="AS183" s="403">
        <f>'Portefeuille SP2'!AE199</f>
        <v>0</v>
      </c>
      <c r="AT183" s="403">
        <f>'Portefeuille SP2'!AF199</f>
        <v>0</v>
      </c>
      <c r="AU183" s="403">
        <f>'Portefeuille SP2'!AG199</f>
        <v>0</v>
      </c>
      <c r="AV183" s="403">
        <f>'Portefeuille SP2'!AH199</f>
        <v>1</v>
      </c>
      <c r="AW183" s="403">
        <f>'Portefeuille SP2'!AI199</f>
        <v>1</v>
      </c>
      <c r="AX183" s="403">
        <f>'Portefeuille SP2'!AJ199</f>
        <v>0</v>
      </c>
      <c r="AY183" s="403">
        <f>'Portefeuille SP2'!AK199</f>
        <v>0</v>
      </c>
      <c r="AZ183" s="403">
        <f>'Portefeuille SP2'!AL199</f>
        <v>1</v>
      </c>
      <c r="BA183" s="403">
        <f>'Portefeuille SP2'!AM199</f>
        <v>1</v>
      </c>
      <c r="BB183" s="403">
        <f>'Portefeuille SP2'!AN199</f>
        <v>0</v>
      </c>
      <c r="BC183" s="403">
        <f>'Portefeuille SP2'!AO199</f>
        <v>0</v>
      </c>
      <c r="BD183" s="403">
        <f>'Portefeuille SP2'!AP199</f>
        <v>0</v>
      </c>
      <c r="BE183" s="403">
        <f>'Portefeuille SP2'!AQ199</f>
        <v>1</v>
      </c>
      <c r="BF183" s="403">
        <f>'Portefeuille SP2'!AR199</f>
        <v>1</v>
      </c>
      <c r="BG183" s="403" t="e">
        <f>'Portefeuille SP2'!#REF!</f>
        <v>#REF!</v>
      </c>
      <c r="BH183" s="403" t="e">
        <f>'Portefeuille SP2'!#REF!</f>
        <v>#REF!</v>
      </c>
      <c r="BI183" s="403" t="e">
        <f>'Portefeuille SP2'!#REF!</f>
        <v>#REF!</v>
      </c>
      <c r="BJ183" s="403" t="e">
        <f>'Portefeuille SP2'!#REF!</f>
        <v>#REF!</v>
      </c>
      <c r="BK183" s="403" t="e">
        <f>'Portefeuille SP2'!#REF!</f>
        <v>#REF!</v>
      </c>
      <c r="BL183" s="388"/>
      <c r="BM183" s="404">
        <f>'Portefeuille SP2'!L199</f>
        <v>0</v>
      </c>
    </row>
    <row r="184" spans="1:65" ht="15" customHeight="1">
      <c r="A184" s="383">
        <f>'Portefeuille SP2'!B200</f>
        <v>45335</v>
      </c>
      <c r="B184" s="390" t="str">
        <f>'Portefeuille SP2'!Q200</f>
        <v>CANCELED</v>
      </c>
      <c r="C184" s="384"/>
      <c r="D184" s="382" t="str">
        <f>'Portefeuille SP2'!E200</f>
        <v>PTF</v>
      </c>
      <c r="E184" s="382" t="str">
        <f t="shared" si="12"/>
        <v>BIW</v>
      </c>
      <c r="F184" s="382" t="str">
        <f t="shared" si="13"/>
        <v/>
      </c>
      <c r="G184" s="382" t="str">
        <f>'Portefeuille SP2'!C200</f>
        <v>SPC_1</v>
      </c>
      <c r="H184" s="382" t="str">
        <f>'Portefeuille SP2'!F200</f>
        <v>FREDERIC GUINGAND</v>
      </c>
      <c r="I184" s="382"/>
      <c r="J184" s="382" t="str">
        <f>'Portefeuille SP2'!D200</f>
        <v xml:space="preserve">BIW </v>
      </c>
      <c r="K184" s="385" t="str">
        <f>'Portefeuille SP2'!H200</f>
        <v xml:space="preserve">structural wheel </v>
      </c>
      <c r="L184" s="157">
        <f>'Portefeuille SP2'!U200</f>
        <v>0</v>
      </c>
      <c r="M184" s="386"/>
      <c r="N184" s="386"/>
      <c r="O184" s="386"/>
      <c r="P184" s="387">
        <f>'Portefeuille SP2'!M200</f>
        <v>0</v>
      </c>
      <c r="Q184" s="387"/>
      <c r="R184" s="387">
        <f>'Portefeuille SP2'!N200</f>
        <v>0</v>
      </c>
      <c r="S184" s="387"/>
      <c r="T184" s="382" t="str">
        <f>'Portefeuille SP2'!R200</f>
        <v xml:space="preserve">Step1 </v>
      </c>
      <c r="U184" s="387">
        <f>'Portefeuille SP2'!K200</f>
        <v>0</v>
      </c>
      <c r="V184" s="399">
        <f>'Portefeuille SP2'!S200</f>
        <v>1</v>
      </c>
      <c r="W184" s="387"/>
      <c r="X184" s="387"/>
      <c r="Y184" s="387"/>
      <c r="Z184" s="387"/>
      <c r="AA184" s="387"/>
      <c r="AB184" s="387"/>
      <c r="AC184" s="387"/>
      <c r="AD184" s="387"/>
      <c r="AE184" s="400">
        <f>'Portefeuille SP2'!J200</f>
        <v>0</v>
      </c>
      <c r="AF184" s="387"/>
      <c r="AG184" s="387"/>
      <c r="AH184" s="389"/>
      <c r="AI184" s="389"/>
      <c r="AJ184" s="403">
        <f>'Portefeuille SP2'!V200</f>
        <v>0</v>
      </c>
      <c r="AK184" s="403">
        <f>'Portefeuille SP2'!W200</f>
        <v>0</v>
      </c>
      <c r="AL184" s="403">
        <f>'Portefeuille SP2'!X200</f>
        <v>0</v>
      </c>
      <c r="AM184" s="403">
        <f>'Portefeuille SP2'!Y200</f>
        <v>1</v>
      </c>
      <c r="AN184" s="403">
        <f>'Portefeuille SP2'!Z200</f>
        <v>1</v>
      </c>
      <c r="AO184" s="403">
        <f>'Portefeuille SP2'!AA200</f>
        <v>0</v>
      </c>
      <c r="AP184" s="403">
        <f>'Portefeuille SP2'!AB200</f>
        <v>0</v>
      </c>
      <c r="AQ184" s="403">
        <f>'Portefeuille SP2'!AC200</f>
        <v>1</v>
      </c>
      <c r="AR184" s="403">
        <f>'Portefeuille SP2'!AD200</f>
        <v>1</v>
      </c>
      <c r="AS184" s="403">
        <f>'Portefeuille SP2'!AE200</f>
        <v>0</v>
      </c>
      <c r="AT184" s="403">
        <f>'Portefeuille SP2'!AF200</f>
        <v>0</v>
      </c>
      <c r="AU184" s="403">
        <f>'Portefeuille SP2'!AG200</f>
        <v>0</v>
      </c>
      <c r="AV184" s="403">
        <f>'Portefeuille SP2'!AH200</f>
        <v>1</v>
      </c>
      <c r="AW184" s="403">
        <f>'Portefeuille SP2'!AI200</f>
        <v>1</v>
      </c>
      <c r="AX184" s="403">
        <f>'Portefeuille SP2'!AJ200</f>
        <v>0</v>
      </c>
      <c r="AY184" s="403">
        <f>'Portefeuille SP2'!AK200</f>
        <v>0</v>
      </c>
      <c r="AZ184" s="403">
        <f>'Portefeuille SP2'!AL200</f>
        <v>1</v>
      </c>
      <c r="BA184" s="403">
        <f>'Portefeuille SP2'!AM200</f>
        <v>1</v>
      </c>
      <c r="BB184" s="403">
        <f>'Portefeuille SP2'!AN200</f>
        <v>0</v>
      </c>
      <c r="BC184" s="403">
        <f>'Portefeuille SP2'!AO200</f>
        <v>0</v>
      </c>
      <c r="BD184" s="403">
        <f>'Portefeuille SP2'!AP200</f>
        <v>0</v>
      </c>
      <c r="BE184" s="403">
        <f>'Portefeuille SP2'!AQ200</f>
        <v>1</v>
      </c>
      <c r="BF184" s="403">
        <f>'Portefeuille SP2'!AR200</f>
        <v>1</v>
      </c>
      <c r="BG184" s="403" t="e">
        <f>'Portefeuille SP2'!#REF!</f>
        <v>#REF!</v>
      </c>
      <c r="BH184" s="403" t="e">
        <f>'Portefeuille SP2'!#REF!</f>
        <v>#REF!</v>
      </c>
      <c r="BI184" s="403" t="e">
        <f>'Portefeuille SP2'!#REF!</f>
        <v>#REF!</v>
      </c>
      <c r="BJ184" s="403" t="e">
        <f>'Portefeuille SP2'!#REF!</f>
        <v>#REF!</v>
      </c>
      <c r="BK184" s="403" t="e">
        <f>'Portefeuille SP2'!#REF!</f>
        <v>#REF!</v>
      </c>
      <c r="BL184" s="388"/>
      <c r="BM184" s="404" t="str">
        <f>'Portefeuille SP2'!L200</f>
        <v>Faire noueau bilan masse roue SP2 =&gt; CW11</v>
      </c>
    </row>
    <row r="185" spans="1:65" ht="15" customHeight="1">
      <c r="A185" s="383">
        <f>'Portefeuille SP2'!B201</f>
        <v>45335</v>
      </c>
      <c r="B185" s="390" t="str">
        <f>'Portefeuille SP2'!Q201</f>
        <v>CANCELED</v>
      </c>
      <c r="C185" s="384"/>
      <c r="D185" s="382" t="str">
        <f>'Portefeuille SP2'!E201</f>
        <v>PTF</v>
      </c>
      <c r="E185" s="382" t="str">
        <f t="shared" si="12"/>
        <v>BCI</v>
      </c>
      <c r="F185" s="382" t="str">
        <f t="shared" ref="F185:F186" si="18">MID(J185, 4, 20)</f>
        <v>_CHASSIS</v>
      </c>
      <c r="G185" s="382" t="str">
        <f>'Portefeuille SP2'!C201</f>
        <v>SPC_1</v>
      </c>
      <c r="H185" s="382" t="str">
        <f>'Portefeuille SP2'!F201</f>
        <v>FREDERIC GUINGAND</v>
      </c>
      <c r="I185" s="382" t="s">
        <v>1213</v>
      </c>
      <c r="J185" s="382" t="str">
        <f>'Portefeuille SP2'!D201</f>
        <v>BCI_CHASSIS</v>
      </c>
      <c r="K185" s="385" t="str">
        <f>'Portefeuille SP2'!H201</f>
        <v>engine mount</v>
      </c>
      <c r="L185" s="157">
        <f>'Portefeuille SP2'!U201</f>
        <v>-1.32</v>
      </c>
      <c r="M185" s="386"/>
      <c r="N185" s="386"/>
      <c r="O185" s="386"/>
      <c r="P185" s="400">
        <f>'Portefeuille SP2'!M201</f>
        <v>0</v>
      </c>
      <c r="Q185" s="387"/>
      <c r="R185" s="387">
        <f>'Portefeuille SP2'!N201</f>
        <v>0</v>
      </c>
      <c r="S185" s="387"/>
      <c r="T185" s="382" t="str">
        <f>'Portefeuille SP2'!R201</f>
        <v xml:space="preserve">Step1 </v>
      </c>
      <c r="U185" s="387">
        <f>'Portefeuille SP2'!K201</f>
        <v>0</v>
      </c>
      <c r="V185" s="399">
        <f>'Portefeuille SP2'!S201</f>
        <v>0.4</v>
      </c>
      <c r="W185" s="387"/>
      <c r="X185" s="387"/>
      <c r="Y185" s="387"/>
      <c r="Z185" s="387"/>
      <c r="AA185" s="387"/>
      <c r="AB185" s="387"/>
      <c r="AC185" s="387"/>
      <c r="AD185" s="387"/>
      <c r="AE185" s="408">
        <f>'Portefeuille SP2'!J201</f>
        <v>0</v>
      </c>
      <c r="AF185" s="387"/>
      <c r="AG185" s="387"/>
      <c r="AH185" s="389"/>
      <c r="AI185" s="389"/>
      <c r="AJ185" s="403">
        <f>'Portefeuille SP2'!V201</f>
        <v>0</v>
      </c>
      <c r="AK185" s="403">
        <f>'Portefeuille SP2'!W201</f>
        <v>0</v>
      </c>
      <c r="AL185" s="403">
        <f>'Portefeuille SP2'!X201</f>
        <v>0</v>
      </c>
      <c r="AM185" s="403">
        <f>'Portefeuille SP2'!Y201</f>
        <v>1</v>
      </c>
      <c r="AN185" s="403">
        <f>'Portefeuille SP2'!Z201</f>
        <v>1</v>
      </c>
      <c r="AO185" s="403">
        <f>'Portefeuille SP2'!AA201</f>
        <v>0</v>
      </c>
      <c r="AP185" s="403">
        <f>'Portefeuille SP2'!AB201</f>
        <v>0</v>
      </c>
      <c r="AQ185" s="403">
        <f>'Portefeuille SP2'!AC201</f>
        <v>1</v>
      </c>
      <c r="AR185" s="403">
        <f>'Portefeuille SP2'!AD201</f>
        <v>1</v>
      </c>
      <c r="AS185" s="403">
        <f>'Portefeuille SP2'!AE201</f>
        <v>0</v>
      </c>
      <c r="AT185" s="403">
        <f>'Portefeuille SP2'!AF201</f>
        <v>0</v>
      </c>
      <c r="AU185" s="403">
        <f>'Portefeuille SP2'!AG201</f>
        <v>0</v>
      </c>
      <c r="AV185" s="403">
        <f>'Portefeuille SP2'!AH201</f>
        <v>1</v>
      </c>
      <c r="AW185" s="403">
        <f>'Portefeuille SP2'!AI201</f>
        <v>1</v>
      </c>
      <c r="AX185" s="403">
        <f>'Portefeuille SP2'!AJ201</f>
        <v>0</v>
      </c>
      <c r="AY185" s="403">
        <f>'Portefeuille SP2'!AK201</f>
        <v>0</v>
      </c>
      <c r="AZ185" s="403">
        <f>'Portefeuille SP2'!AL201</f>
        <v>1</v>
      </c>
      <c r="BA185" s="403">
        <f>'Portefeuille SP2'!AM201</f>
        <v>1</v>
      </c>
      <c r="BB185" s="403">
        <f>'Portefeuille SP2'!AN201</f>
        <v>0</v>
      </c>
      <c r="BC185" s="403">
        <f>'Portefeuille SP2'!AO201</f>
        <v>0</v>
      </c>
      <c r="BD185" s="403">
        <f>'Portefeuille SP2'!AP201</f>
        <v>0</v>
      </c>
      <c r="BE185" s="403">
        <f>'Portefeuille SP2'!AQ201</f>
        <v>1</v>
      </c>
      <c r="BF185" s="403">
        <f>'Portefeuille SP2'!AR201</f>
        <v>1</v>
      </c>
      <c r="BG185" s="403" t="e">
        <f>'Portefeuille SP2'!#REF!</f>
        <v>#REF!</v>
      </c>
      <c r="BH185" s="403" t="e">
        <f>'Portefeuille SP2'!#REF!</f>
        <v>#REF!</v>
      </c>
      <c r="BI185" s="403" t="e">
        <f>'Portefeuille SP2'!#REF!</f>
        <v>#REF!</v>
      </c>
      <c r="BJ185" s="403" t="e">
        <f>'Portefeuille SP2'!#REF!</f>
        <v>#REF!</v>
      </c>
      <c r="BK185" s="403" t="e">
        <f>'Portefeuille SP2'!#REF!</f>
        <v>#REF!</v>
      </c>
      <c r="BL185" s="388"/>
      <c r="BM185" s="404" t="str">
        <f>'Portefeuille SP2'!L201</f>
        <v xml:space="preserve">Verifier passage support mot C41 mhev, retour metier =&gt; CW11 </v>
      </c>
    </row>
    <row r="186" spans="1:65" ht="15" customHeight="1">
      <c r="A186" s="383">
        <f>'Portefeuille SP2'!B202</f>
        <v>45335</v>
      </c>
      <c r="B186" s="390" t="str">
        <f>'Portefeuille SP2'!Q202</f>
        <v>DECIDED</v>
      </c>
      <c r="C186" s="384"/>
      <c r="D186" s="382" t="str">
        <f>'Portefeuille SP2'!E202</f>
        <v>PTF</v>
      </c>
      <c r="E186" s="382" t="str">
        <f t="shared" si="12"/>
        <v>BCI</v>
      </c>
      <c r="F186" s="382" t="str">
        <f t="shared" si="18"/>
        <v>_CHASSIS</v>
      </c>
      <c r="G186" s="382" t="str">
        <f>'Portefeuille SP2'!C202</f>
        <v>SPC_1</v>
      </c>
      <c r="H186" s="382" t="str">
        <f>'Portefeuille SP2'!F202</f>
        <v>FREDERIC GUINGAND</v>
      </c>
      <c r="I186" s="382" t="s">
        <v>1213</v>
      </c>
      <c r="J186" s="382" t="str">
        <f>'Portefeuille SP2'!D202</f>
        <v>BCI_CHASSIS</v>
      </c>
      <c r="K186" s="385" t="str">
        <f>'Portefeuille SP2'!H202</f>
        <v xml:space="preserve">steering hight =&gt; mid </v>
      </c>
      <c r="L186" s="157">
        <f>'Portefeuille SP2'!U202</f>
        <v>-0.9</v>
      </c>
      <c r="M186" s="386"/>
      <c r="N186" s="386"/>
      <c r="O186" s="386"/>
      <c r="P186" s="400">
        <f>'Portefeuille SP2'!M202</f>
        <v>0</v>
      </c>
      <c r="Q186" s="387"/>
      <c r="R186" s="387">
        <f>'Portefeuille SP2'!N202</f>
        <v>0</v>
      </c>
      <c r="S186" s="387"/>
      <c r="T186" s="382" t="str">
        <f>'Portefeuille SP2'!R202</f>
        <v xml:space="preserve">Step1 </v>
      </c>
      <c r="U186" s="387">
        <f>'Portefeuille SP2'!K202</f>
        <v>0</v>
      </c>
      <c r="V186" s="399">
        <f>'Portefeuille SP2'!S202</f>
        <v>1</v>
      </c>
      <c r="W186" s="387"/>
      <c r="X186" s="387"/>
      <c r="Y186" s="387"/>
      <c r="Z186" s="387"/>
      <c r="AA186" s="387"/>
      <c r="AB186" s="387"/>
      <c r="AC186" s="387"/>
      <c r="AD186" s="387"/>
      <c r="AE186" s="408">
        <f>'Portefeuille SP2'!J202</f>
        <v>0</v>
      </c>
      <c r="AF186" s="387"/>
      <c r="AG186" s="387"/>
      <c r="AH186" s="389"/>
      <c r="AI186" s="389"/>
      <c r="AJ186" s="403">
        <f>'Portefeuille SP2'!V202</f>
        <v>0</v>
      </c>
      <c r="AK186" s="403">
        <f>'Portefeuille SP2'!W202</f>
        <v>0</v>
      </c>
      <c r="AL186" s="403">
        <f>'Portefeuille SP2'!X202</f>
        <v>0</v>
      </c>
      <c r="AM186" s="403">
        <f>'Portefeuille SP2'!Y202</f>
        <v>1</v>
      </c>
      <c r="AN186" s="403">
        <f>'Portefeuille SP2'!Z202</f>
        <v>1</v>
      </c>
      <c r="AO186" s="403">
        <f>'Portefeuille SP2'!AA202</f>
        <v>0</v>
      </c>
      <c r="AP186" s="403">
        <f>'Portefeuille SP2'!AB202</f>
        <v>0</v>
      </c>
      <c r="AQ186" s="403">
        <f>'Portefeuille SP2'!AC202</f>
        <v>1</v>
      </c>
      <c r="AR186" s="403">
        <f>'Portefeuille SP2'!AD202</f>
        <v>1</v>
      </c>
      <c r="AS186" s="403">
        <f>'Portefeuille SP2'!AE202</f>
        <v>0</v>
      </c>
      <c r="AT186" s="403">
        <f>'Portefeuille SP2'!AF202</f>
        <v>0</v>
      </c>
      <c r="AU186" s="403">
        <f>'Portefeuille SP2'!AG202</f>
        <v>0</v>
      </c>
      <c r="AV186" s="403">
        <f>'Portefeuille SP2'!AH202</f>
        <v>1</v>
      </c>
      <c r="AW186" s="403">
        <f>'Portefeuille SP2'!AI202</f>
        <v>1</v>
      </c>
      <c r="AX186" s="403">
        <f>'Portefeuille SP2'!AJ202</f>
        <v>0</v>
      </c>
      <c r="AY186" s="403">
        <f>'Portefeuille SP2'!AK202</f>
        <v>0</v>
      </c>
      <c r="AZ186" s="403">
        <f>'Portefeuille SP2'!AL202</f>
        <v>1</v>
      </c>
      <c r="BA186" s="403">
        <f>'Portefeuille SP2'!AM202</f>
        <v>1</v>
      </c>
      <c r="BB186" s="403">
        <f>'Portefeuille SP2'!AN202</f>
        <v>0</v>
      </c>
      <c r="BC186" s="403">
        <f>'Portefeuille SP2'!AO202</f>
        <v>0</v>
      </c>
      <c r="BD186" s="403">
        <f>'Portefeuille SP2'!AP202</f>
        <v>0</v>
      </c>
      <c r="BE186" s="403">
        <f>'Portefeuille SP2'!AQ202</f>
        <v>1</v>
      </c>
      <c r="BF186" s="403">
        <f>'Portefeuille SP2'!AR202</f>
        <v>1</v>
      </c>
      <c r="BG186" s="403" t="e">
        <f>'Portefeuille SP2'!#REF!</f>
        <v>#REF!</v>
      </c>
      <c r="BH186" s="403" t="e">
        <f>'Portefeuille SP2'!#REF!</f>
        <v>#REF!</v>
      </c>
      <c r="BI186" s="403" t="e">
        <f>'Portefeuille SP2'!#REF!</f>
        <v>#REF!</v>
      </c>
      <c r="BJ186" s="403" t="e">
        <f>'Portefeuille SP2'!#REF!</f>
        <v>#REF!</v>
      </c>
      <c r="BK186" s="403" t="e">
        <f>'Portefeuille SP2'!#REF!</f>
        <v>#REF!</v>
      </c>
      <c r="BL186" s="388"/>
      <c r="BM186" s="404" t="str">
        <f>'Portefeuille SP2'!L202</f>
        <v>nouveau passage CW11 pour banquer ?</v>
      </c>
    </row>
    <row r="187" spans="1:65" ht="15" customHeight="1">
      <c r="A187" s="383">
        <f>'Portefeuille SP2'!B203</f>
        <v>45335</v>
      </c>
      <c r="B187" s="390" t="str">
        <f>'Portefeuille SP2'!Q203</f>
        <v>CANCELED</v>
      </c>
      <c r="C187" s="384"/>
      <c r="D187" s="382" t="str">
        <f>'Portefeuille SP2'!E203</f>
        <v>PTF</v>
      </c>
      <c r="E187" s="382" t="str">
        <f t="shared" si="12"/>
        <v>BIW</v>
      </c>
      <c r="F187" s="382" t="str">
        <f t="shared" si="13"/>
        <v/>
      </c>
      <c r="G187" s="382" t="str">
        <f>'Portefeuille SP2'!C203</f>
        <v>SPC_1</v>
      </c>
      <c r="H187" s="382">
        <f>'Portefeuille SP2'!F203</f>
        <v>0</v>
      </c>
      <c r="I187" s="382"/>
      <c r="J187" s="382" t="str">
        <f>'Portefeuille SP2'!D203</f>
        <v xml:space="preserve">BIW </v>
      </c>
      <c r="K187" s="385" t="str">
        <f>'Portefeuille SP2'!H203</f>
        <v xml:space="preserve">fr et Rr floor like C41 </v>
      </c>
      <c r="L187" s="157">
        <f>'Portefeuille SP2'!U203</f>
        <v>-25</v>
      </c>
      <c r="M187" s="386"/>
      <c r="N187" s="386"/>
      <c r="O187" s="386"/>
      <c r="P187" s="387">
        <f>'Portefeuille SP2'!M203</f>
        <v>0</v>
      </c>
      <c r="Q187" s="387"/>
      <c r="R187" s="387">
        <f>'Portefeuille SP2'!N203</f>
        <v>0</v>
      </c>
      <c r="S187" s="387"/>
      <c r="T187" s="382" t="str">
        <f>'Portefeuille SP2'!R203</f>
        <v>TBD</v>
      </c>
      <c r="U187" s="387">
        <f>'Portefeuille SP2'!K203</f>
        <v>0</v>
      </c>
      <c r="V187" s="399">
        <f>'Portefeuille SP2'!S203</f>
        <v>1</v>
      </c>
      <c r="W187" s="387"/>
      <c r="X187" s="387"/>
      <c r="Y187" s="387"/>
      <c r="Z187" s="387"/>
      <c r="AA187" s="387"/>
      <c r="AB187" s="387"/>
      <c r="AC187" s="387"/>
      <c r="AD187" s="387"/>
      <c r="AE187" s="400">
        <f>'Portefeuille SP2'!J203</f>
        <v>0</v>
      </c>
      <c r="AF187" s="387"/>
      <c r="AG187" s="387"/>
      <c r="AH187" s="389"/>
      <c r="AI187" s="389"/>
      <c r="AJ187" s="403">
        <f>'Portefeuille SP2'!V203</f>
        <v>0</v>
      </c>
      <c r="AK187" s="403">
        <f>'Portefeuille SP2'!W203</f>
        <v>0</v>
      </c>
      <c r="AL187" s="403">
        <f>'Portefeuille SP2'!X203</f>
        <v>0</v>
      </c>
      <c r="AM187" s="403">
        <f>'Portefeuille SP2'!Y203</f>
        <v>1</v>
      </c>
      <c r="AN187" s="403">
        <f>'Portefeuille SP2'!Z203</f>
        <v>1</v>
      </c>
      <c r="AO187" s="403">
        <f>'Portefeuille SP2'!AA203</f>
        <v>0</v>
      </c>
      <c r="AP187" s="403">
        <f>'Portefeuille SP2'!AB203</f>
        <v>0</v>
      </c>
      <c r="AQ187" s="403">
        <f>'Portefeuille SP2'!AC203</f>
        <v>1</v>
      </c>
      <c r="AR187" s="403">
        <f>'Portefeuille SP2'!AD203</f>
        <v>1</v>
      </c>
      <c r="AS187" s="403">
        <f>'Portefeuille SP2'!AE203</f>
        <v>0</v>
      </c>
      <c r="AT187" s="403">
        <f>'Portefeuille SP2'!AF203</f>
        <v>0</v>
      </c>
      <c r="AU187" s="403">
        <f>'Portefeuille SP2'!AG203</f>
        <v>0</v>
      </c>
      <c r="AV187" s="403">
        <f>'Portefeuille SP2'!AH203</f>
        <v>1</v>
      </c>
      <c r="AW187" s="403">
        <f>'Portefeuille SP2'!AI203</f>
        <v>1</v>
      </c>
      <c r="AX187" s="403">
        <f>'Portefeuille SP2'!AJ203</f>
        <v>0</v>
      </c>
      <c r="AY187" s="403">
        <f>'Portefeuille SP2'!AK203</f>
        <v>0</v>
      </c>
      <c r="AZ187" s="403">
        <f>'Portefeuille SP2'!AL203</f>
        <v>1</v>
      </c>
      <c r="BA187" s="403">
        <f>'Portefeuille SP2'!AM203</f>
        <v>1</v>
      </c>
      <c r="BB187" s="403">
        <f>'Portefeuille SP2'!AN203</f>
        <v>0</v>
      </c>
      <c r="BC187" s="403">
        <f>'Portefeuille SP2'!AO203</f>
        <v>0</v>
      </c>
      <c r="BD187" s="403">
        <f>'Portefeuille SP2'!AP203</f>
        <v>0</v>
      </c>
      <c r="BE187" s="403">
        <f>'Portefeuille SP2'!AQ203</f>
        <v>1</v>
      </c>
      <c r="BF187" s="403">
        <f>'Portefeuille SP2'!AR203</f>
        <v>1</v>
      </c>
      <c r="BG187" s="403" t="e">
        <f>'Portefeuille SP2'!#REF!</f>
        <v>#REF!</v>
      </c>
      <c r="BH187" s="403" t="e">
        <f>'Portefeuille SP2'!#REF!</f>
        <v>#REF!</v>
      </c>
      <c r="BI187" s="403" t="e">
        <f>'Portefeuille SP2'!#REF!</f>
        <v>#REF!</v>
      </c>
      <c r="BJ187" s="403" t="e">
        <f>'Portefeuille SP2'!#REF!</f>
        <v>#REF!</v>
      </c>
      <c r="BK187" s="403" t="e">
        <f>'Portefeuille SP2'!#REF!</f>
        <v>#REF!</v>
      </c>
      <c r="BL187" s="388"/>
      <c r="BM187" s="404">
        <f>'Portefeuille SP2'!L203</f>
        <v>0</v>
      </c>
    </row>
    <row r="188" spans="1:65" ht="15" customHeight="1">
      <c r="A188" s="383">
        <f>'Portefeuille SP2'!B204</f>
        <v>45335</v>
      </c>
      <c r="B188" s="390" t="str">
        <f>'Portefeuille SP2'!Q204</f>
        <v>CANCELED</v>
      </c>
      <c r="C188" s="384"/>
      <c r="D188" s="382" t="str">
        <f>'Portefeuille SP2'!E204</f>
        <v>PTF</v>
      </c>
      <c r="E188" s="382" t="str">
        <f t="shared" si="12"/>
        <v>BIW</v>
      </c>
      <c r="F188" s="382" t="str">
        <f t="shared" si="13"/>
        <v/>
      </c>
      <c r="G188" s="382" t="str">
        <f>'Portefeuille SP2'!C204</f>
        <v>SPC_1</v>
      </c>
      <c r="H188" s="382">
        <f>'Portefeuille SP2'!F204</f>
        <v>0</v>
      </c>
      <c r="I188" s="382"/>
      <c r="J188" s="382" t="str">
        <f>'Portefeuille SP2'!D204</f>
        <v xml:space="preserve">BIW </v>
      </c>
      <c r="K188" s="385" t="str">
        <f>'Portefeuille SP2'!H204</f>
        <v>Front floor : cross under cell to body</v>
      </c>
      <c r="L188" s="157">
        <f>'Portefeuille SP2'!U204</f>
        <v>-0.9</v>
      </c>
      <c r="M188" s="386"/>
      <c r="N188" s="386"/>
      <c r="O188" s="386"/>
      <c r="P188" s="387">
        <f>'Portefeuille SP2'!M204</f>
        <v>0</v>
      </c>
      <c r="Q188" s="387"/>
      <c r="R188" s="387">
        <f>'Portefeuille SP2'!N204</f>
        <v>0</v>
      </c>
      <c r="S188" s="387"/>
      <c r="T188" s="382" t="str">
        <f>'Portefeuille SP2'!R204</f>
        <v xml:space="preserve">Step1 </v>
      </c>
      <c r="U188" s="387">
        <f>'Portefeuille SP2'!K204</f>
        <v>0</v>
      </c>
      <c r="V188" s="399">
        <f>'Portefeuille SP2'!S204</f>
        <v>0.5</v>
      </c>
      <c r="W188" s="387"/>
      <c r="X188" s="387"/>
      <c r="Y188" s="387"/>
      <c r="Z188" s="387"/>
      <c r="AA188" s="387"/>
      <c r="AB188" s="387"/>
      <c r="AC188" s="387"/>
      <c r="AD188" s="387"/>
      <c r="AE188" s="400">
        <f>'Portefeuille SP2'!J204</f>
        <v>0</v>
      </c>
      <c r="AF188" s="387"/>
      <c r="AG188" s="387"/>
      <c r="AH188" s="389"/>
      <c r="AI188" s="389"/>
      <c r="AJ188" s="403">
        <f>'Portefeuille SP2'!V204</f>
        <v>0</v>
      </c>
      <c r="AK188" s="403">
        <f>'Portefeuille SP2'!W204</f>
        <v>0</v>
      </c>
      <c r="AL188" s="403">
        <f>'Portefeuille SP2'!X204</f>
        <v>0</v>
      </c>
      <c r="AM188" s="403">
        <f>'Portefeuille SP2'!Y204</f>
        <v>1</v>
      </c>
      <c r="AN188" s="403">
        <f>'Portefeuille SP2'!Z204</f>
        <v>1</v>
      </c>
      <c r="AO188" s="403">
        <f>'Portefeuille SP2'!AA204</f>
        <v>0</v>
      </c>
      <c r="AP188" s="403">
        <f>'Portefeuille SP2'!AB204</f>
        <v>0</v>
      </c>
      <c r="AQ188" s="403">
        <f>'Portefeuille SP2'!AC204</f>
        <v>1</v>
      </c>
      <c r="AR188" s="403">
        <f>'Portefeuille SP2'!AD204</f>
        <v>1</v>
      </c>
      <c r="AS188" s="403">
        <f>'Portefeuille SP2'!AE204</f>
        <v>0</v>
      </c>
      <c r="AT188" s="403">
        <f>'Portefeuille SP2'!AF204</f>
        <v>0</v>
      </c>
      <c r="AU188" s="403">
        <f>'Portefeuille SP2'!AG204</f>
        <v>0</v>
      </c>
      <c r="AV188" s="403">
        <f>'Portefeuille SP2'!AH204</f>
        <v>1</v>
      </c>
      <c r="AW188" s="403">
        <f>'Portefeuille SP2'!AI204</f>
        <v>1</v>
      </c>
      <c r="AX188" s="403">
        <f>'Portefeuille SP2'!AJ204</f>
        <v>0</v>
      </c>
      <c r="AY188" s="403">
        <f>'Portefeuille SP2'!AK204</f>
        <v>0</v>
      </c>
      <c r="AZ188" s="403">
        <f>'Portefeuille SP2'!AL204</f>
        <v>1</v>
      </c>
      <c r="BA188" s="403">
        <f>'Portefeuille SP2'!AM204</f>
        <v>1</v>
      </c>
      <c r="BB188" s="403">
        <f>'Portefeuille SP2'!AN204</f>
        <v>0</v>
      </c>
      <c r="BC188" s="403">
        <f>'Portefeuille SP2'!AO204</f>
        <v>0</v>
      </c>
      <c r="BD188" s="403">
        <f>'Portefeuille SP2'!AP204</f>
        <v>0</v>
      </c>
      <c r="BE188" s="403">
        <f>'Portefeuille SP2'!AQ204</f>
        <v>1</v>
      </c>
      <c r="BF188" s="403">
        <f>'Portefeuille SP2'!AR204</f>
        <v>1</v>
      </c>
      <c r="BG188" s="403" t="e">
        <f>'Portefeuille SP2'!#REF!</f>
        <v>#REF!</v>
      </c>
      <c r="BH188" s="403" t="e">
        <f>'Portefeuille SP2'!#REF!</f>
        <v>#REF!</v>
      </c>
      <c r="BI188" s="403" t="e">
        <f>'Portefeuille SP2'!#REF!</f>
        <v>#REF!</v>
      </c>
      <c r="BJ188" s="403" t="e">
        <f>'Portefeuille SP2'!#REF!</f>
        <v>#REF!</v>
      </c>
      <c r="BK188" s="403" t="e">
        <f>'Portefeuille SP2'!#REF!</f>
        <v>#REF!</v>
      </c>
      <c r="BL188" s="388"/>
      <c r="BM188" s="404">
        <f>'Portefeuille SP2'!L204</f>
        <v>0</v>
      </c>
    </row>
    <row r="189" spans="1:65" ht="15" customHeight="1">
      <c r="A189" s="383">
        <f>'Portefeuille SP2'!B205</f>
        <v>45335</v>
      </c>
      <c r="B189" s="390" t="str">
        <f>'Portefeuille SP2'!Q205</f>
        <v>CANCELED</v>
      </c>
      <c r="C189" s="384"/>
      <c r="D189" s="382" t="str">
        <f>'Portefeuille SP2'!E205</f>
        <v>PTF</v>
      </c>
      <c r="E189" s="382" t="str">
        <f t="shared" si="12"/>
        <v>BIW</v>
      </c>
      <c r="F189" s="382" t="str">
        <f t="shared" si="13"/>
        <v/>
      </c>
      <c r="G189" s="382" t="str">
        <f>'Portefeuille SP2'!C205</f>
        <v>SPC_1</v>
      </c>
      <c r="H189" s="382">
        <f>'Portefeuille SP2'!F205</f>
        <v>0</v>
      </c>
      <c r="I189" s="382"/>
      <c r="J189" s="382" t="str">
        <f>'Portefeuille SP2'!D205</f>
        <v xml:space="preserve">BIW </v>
      </c>
      <c r="K189" s="385" t="str">
        <f>'Portefeuille SP2'!H205</f>
        <v>optimization Fr rail</v>
      </c>
      <c r="L189" s="157">
        <f>'Portefeuille SP2'!U205</f>
        <v>-2</v>
      </c>
      <c r="M189" s="386"/>
      <c r="N189" s="386"/>
      <c r="O189" s="386"/>
      <c r="P189" s="387">
        <f>'Portefeuille SP2'!M205</f>
        <v>0</v>
      </c>
      <c r="Q189" s="387"/>
      <c r="R189" s="387">
        <f>'Portefeuille SP2'!N205</f>
        <v>0</v>
      </c>
      <c r="S189" s="387"/>
      <c r="T189" s="382" t="str">
        <f>'Portefeuille SP2'!R205</f>
        <v>TBD</v>
      </c>
      <c r="U189" s="387">
        <f>'Portefeuille SP2'!K205</f>
        <v>0</v>
      </c>
      <c r="V189" s="399">
        <f>'Portefeuille SP2'!S205</f>
        <v>1</v>
      </c>
      <c r="W189" s="387"/>
      <c r="X189" s="387"/>
      <c r="Y189" s="387"/>
      <c r="Z189" s="387"/>
      <c r="AA189" s="387"/>
      <c r="AB189" s="387"/>
      <c r="AC189" s="387"/>
      <c r="AD189" s="387"/>
      <c r="AE189" s="400">
        <f>'Portefeuille SP2'!J205</f>
        <v>0</v>
      </c>
      <c r="AF189" s="387"/>
      <c r="AG189" s="387"/>
      <c r="AH189" s="389"/>
      <c r="AI189" s="389"/>
      <c r="AJ189" s="403">
        <f>'Portefeuille SP2'!V205</f>
        <v>0</v>
      </c>
      <c r="AK189" s="403">
        <f>'Portefeuille SP2'!W205</f>
        <v>0</v>
      </c>
      <c r="AL189" s="403">
        <f>'Portefeuille SP2'!X205</f>
        <v>0</v>
      </c>
      <c r="AM189" s="403">
        <f>'Portefeuille SP2'!Y205</f>
        <v>1</v>
      </c>
      <c r="AN189" s="403">
        <f>'Portefeuille SP2'!Z205</f>
        <v>1</v>
      </c>
      <c r="AO189" s="403">
        <f>'Portefeuille SP2'!AA205</f>
        <v>0</v>
      </c>
      <c r="AP189" s="403">
        <f>'Portefeuille SP2'!AB205</f>
        <v>0</v>
      </c>
      <c r="AQ189" s="403">
        <f>'Portefeuille SP2'!AC205</f>
        <v>1</v>
      </c>
      <c r="AR189" s="403">
        <f>'Portefeuille SP2'!AD205</f>
        <v>1</v>
      </c>
      <c r="AS189" s="403">
        <f>'Portefeuille SP2'!AE205</f>
        <v>0</v>
      </c>
      <c r="AT189" s="403">
        <f>'Portefeuille SP2'!AF205</f>
        <v>0</v>
      </c>
      <c r="AU189" s="403">
        <f>'Portefeuille SP2'!AG205</f>
        <v>0</v>
      </c>
      <c r="AV189" s="403">
        <f>'Portefeuille SP2'!AH205</f>
        <v>1</v>
      </c>
      <c r="AW189" s="403">
        <f>'Portefeuille SP2'!AI205</f>
        <v>1</v>
      </c>
      <c r="AX189" s="403">
        <f>'Portefeuille SP2'!AJ205</f>
        <v>0</v>
      </c>
      <c r="AY189" s="403">
        <f>'Portefeuille SP2'!AK205</f>
        <v>0</v>
      </c>
      <c r="AZ189" s="403">
        <f>'Portefeuille SP2'!AL205</f>
        <v>1</v>
      </c>
      <c r="BA189" s="403">
        <f>'Portefeuille SP2'!AM205</f>
        <v>1</v>
      </c>
      <c r="BB189" s="403">
        <f>'Portefeuille SP2'!AN205</f>
        <v>0</v>
      </c>
      <c r="BC189" s="403">
        <f>'Portefeuille SP2'!AO205</f>
        <v>0</v>
      </c>
      <c r="BD189" s="403">
        <f>'Portefeuille SP2'!AP205</f>
        <v>0</v>
      </c>
      <c r="BE189" s="403">
        <f>'Portefeuille SP2'!AQ205</f>
        <v>1</v>
      </c>
      <c r="BF189" s="403">
        <f>'Portefeuille SP2'!AR205</f>
        <v>1</v>
      </c>
      <c r="BG189" s="403" t="e">
        <f>'Portefeuille SP2'!#REF!</f>
        <v>#REF!</v>
      </c>
      <c r="BH189" s="403" t="e">
        <f>'Portefeuille SP2'!#REF!</f>
        <v>#REF!</v>
      </c>
      <c r="BI189" s="403" t="e">
        <f>'Portefeuille SP2'!#REF!</f>
        <v>#REF!</v>
      </c>
      <c r="BJ189" s="403" t="e">
        <f>'Portefeuille SP2'!#REF!</f>
        <v>#REF!</v>
      </c>
      <c r="BK189" s="403" t="e">
        <f>'Portefeuille SP2'!#REF!</f>
        <v>#REF!</v>
      </c>
      <c r="BL189" s="388"/>
      <c r="BM189" s="404" t="str">
        <f>'Portefeuille SP2'!L205</f>
        <v>perte de gain à cause de l'allongement</v>
      </c>
    </row>
    <row r="190" spans="1:65" ht="15" customHeight="1">
      <c r="A190" s="383">
        <f>'Portefeuille SP2'!B206</f>
        <v>45335</v>
      </c>
      <c r="B190" s="390" t="str">
        <f>'Portefeuille SP2'!Q206</f>
        <v>CANCELED</v>
      </c>
      <c r="C190" s="384"/>
      <c r="D190" s="382" t="str">
        <f>'Portefeuille SP2'!E206</f>
        <v>PTF</v>
      </c>
      <c r="E190" s="382" t="str">
        <f t="shared" si="12"/>
        <v>BIW</v>
      </c>
      <c r="F190" s="382" t="str">
        <f t="shared" si="13"/>
        <v/>
      </c>
      <c r="G190" s="382" t="str">
        <f>'Portefeuille SP2'!C206</f>
        <v>SPC_1</v>
      </c>
      <c r="H190" s="382">
        <f>'Portefeuille SP2'!F206</f>
        <v>0</v>
      </c>
      <c r="I190" s="382"/>
      <c r="J190" s="382" t="str">
        <f>'Portefeuille SP2'!D206</f>
        <v xml:space="preserve">BIW </v>
      </c>
      <c r="K190" s="385" t="str">
        <f>'Portefeuille SP2'!H206</f>
        <v>remove low crash beam</v>
      </c>
      <c r="L190" s="157">
        <f>'Portefeuille SP2'!U206</f>
        <v>-3</v>
      </c>
      <c r="M190" s="386"/>
      <c r="N190" s="386"/>
      <c r="O190" s="386"/>
      <c r="P190" s="387">
        <f>'Portefeuille SP2'!M206</f>
        <v>0</v>
      </c>
      <c r="Q190" s="387"/>
      <c r="R190" s="387">
        <f>'Portefeuille SP2'!N206</f>
        <v>0</v>
      </c>
      <c r="S190" s="387"/>
      <c r="T190" s="382" t="str">
        <f>'Portefeuille SP2'!R206</f>
        <v>step2</v>
      </c>
      <c r="U190" s="387">
        <f>'Portefeuille SP2'!K206</f>
        <v>0</v>
      </c>
      <c r="V190" s="399">
        <f>'Portefeuille SP2'!S206</f>
        <v>1</v>
      </c>
      <c r="W190" s="387"/>
      <c r="X190" s="387"/>
      <c r="Y190" s="387"/>
      <c r="Z190" s="387"/>
      <c r="AA190" s="387"/>
      <c r="AB190" s="387"/>
      <c r="AC190" s="387"/>
      <c r="AD190" s="387"/>
      <c r="AE190" s="400">
        <f>'Portefeuille SP2'!J206</f>
        <v>0</v>
      </c>
      <c r="AF190" s="387"/>
      <c r="AG190" s="387"/>
      <c r="AH190" s="389"/>
      <c r="AI190" s="389"/>
      <c r="AJ190" s="403">
        <f>'Portefeuille SP2'!V206</f>
        <v>0</v>
      </c>
      <c r="AK190" s="403">
        <f>'Portefeuille SP2'!W206</f>
        <v>0</v>
      </c>
      <c r="AL190" s="403">
        <f>'Portefeuille SP2'!X206</f>
        <v>0</v>
      </c>
      <c r="AM190" s="403">
        <f>'Portefeuille SP2'!Y206</f>
        <v>1</v>
      </c>
      <c r="AN190" s="403">
        <f>'Portefeuille SP2'!Z206</f>
        <v>1</v>
      </c>
      <c r="AO190" s="403">
        <f>'Portefeuille SP2'!AA206</f>
        <v>0</v>
      </c>
      <c r="AP190" s="403">
        <f>'Portefeuille SP2'!AB206</f>
        <v>0</v>
      </c>
      <c r="AQ190" s="403">
        <f>'Portefeuille SP2'!AC206</f>
        <v>1</v>
      </c>
      <c r="AR190" s="403">
        <f>'Portefeuille SP2'!AD206</f>
        <v>1</v>
      </c>
      <c r="AS190" s="403">
        <f>'Portefeuille SP2'!AE206</f>
        <v>0</v>
      </c>
      <c r="AT190" s="403">
        <f>'Portefeuille SP2'!AF206</f>
        <v>0</v>
      </c>
      <c r="AU190" s="403">
        <f>'Portefeuille SP2'!AG206</f>
        <v>0</v>
      </c>
      <c r="AV190" s="403">
        <f>'Portefeuille SP2'!AH206</f>
        <v>1</v>
      </c>
      <c r="AW190" s="403">
        <f>'Portefeuille SP2'!AI206</f>
        <v>1</v>
      </c>
      <c r="AX190" s="403">
        <f>'Portefeuille SP2'!AJ206</f>
        <v>0</v>
      </c>
      <c r="AY190" s="403">
        <f>'Portefeuille SP2'!AK206</f>
        <v>0</v>
      </c>
      <c r="AZ190" s="403">
        <f>'Portefeuille SP2'!AL206</f>
        <v>1</v>
      </c>
      <c r="BA190" s="403">
        <f>'Portefeuille SP2'!AM206</f>
        <v>1</v>
      </c>
      <c r="BB190" s="403">
        <f>'Portefeuille SP2'!AN206</f>
        <v>0</v>
      </c>
      <c r="BC190" s="403">
        <f>'Portefeuille SP2'!AO206</f>
        <v>0</v>
      </c>
      <c r="BD190" s="403">
        <f>'Portefeuille SP2'!AP206</f>
        <v>0</v>
      </c>
      <c r="BE190" s="403">
        <f>'Portefeuille SP2'!AQ206</f>
        <v>1</v>
      </c>
      <c r="BF190" s="403">
        <f>'Portefeuille SP2'!AR206</f>
        <v>1</v>
      </c>
      <c r="BG190" s="403" t="e">
        <f>'Portefeuille SP2'!#REF!</f>
        <v>#REF!</v>
      </c>
      <c r="BH190" s="403" t="e">
        <f>'Portefeuille SP2'!#REF!</f>
        <v>#REF!</v>
      </c>
      <c r="BI190" s="403" t="e">
        <f>'Portefeuille SP2'!#REF!</f>
        <v>#REF!</v>
      </c>
      <c r="BJ190" s="403" t="e">
        <f>'Portefeuille SP2'!#REF!</f>
        <v>#REF!</v>
      </c>
      <c r="BK190" s="403" t="e">
        <f>'Portefeuille SP2'!#REF!</f>
        <v>#REF!</v>
      </c>
      <c r="BL190" s="388"/>
      <c r="BM190" s="404">
        <f>'Portefeuille SP2'!L206</f>
        <v>0</v>
      </c>
    </row>
    <row r="191" spans="1:65" ht="15" customHeight="1">
      <c r="A191" s="383">
        <f>'Portefeuille SP2'!B207</f>
        <v>45335</v>
      </c>
      <c r="B191" s="390" t="str">
        <f>'Portefeuille SP2'!Q207</f>
        <v>CANCELED</v>
      </c>
      <c r="C191" s="384"/>
      <c r="D191" s="382" t="str">
        <f>'Portefeuille SP2'!E207</f>
        <v>PTF</v>
      </c>
      <c r="E191" s="382" t="str">
        <f t="shared" si="12"/>
        <v>BIW</v>
      </c>
      <c r="F191" s="382" t="str">
        <f>MID(J191, 4, 20)</f>
        <v xml:space="preserve"> </v>
      </c>
      <c r="G191" s="382" t="str">
        <f>'Portefeuille SP2'!C207</f>
        <v>SPC_1</v>
      </c>
      <c r="H191" s="382" t="str">
        <f>'Portefeuille SP2'!F207</f>
        <v>NICOLAS TESSIER</v>
      </c>
      <c r="I191" s="382" t="s">
        <v>1213</v>
      </c>
      <c r="J191" s="382" t="str">
        <f>'Portefeuille SP2'!D207</f>
        <v xml:space="preserve">BIW </v>
      </c>
      <c r="K191" s="385" t="str">
        <f>'Portefeuille SP2'!H207</f>
        <v>Front floor : specific design</v>
      </c>
      <c r="L191" s="157">
        <f>'Portefeuille SP2'!U207</f>
        <v>-8.4</v>
      </c>
      <c r="M191" s="386"/>
      <c r="N191" s="386"/>
      <c r="O191" s="386"/>
      <c r="P191" s="400">
        <f>'Portefeuille SP2'!M207</f>
        <v>0</v>
      </c>
      <c r="Q191" s="387"/>
      <c r="R191" s="387">
        <f>'Portefeuille SP2'!N207</f>
        <v>0</v>
      </c>
      <c r="S191" s="387"/>
      <c r="T191" s="382" t="str">
        <f>'Portefeuille SP2'!R207</f>
        <v>step2</v>
      </c>
      <c r="U191" s="387">
        <f>'Portefeuille SP2'!K207</f>
        <v>0</v>
      </c>
      <c r="V191" s="399">
        <f>'Portefeuille SP2'!S207</f>
        <v>1</v>
      </c>
      <c r="W191" s="387"/>
      <c r="X191" s="387"/>
      <c r="Y191" s="387"/>
      <c r="Z191" s="387"/>
      <c r="AA191" s="387"/>
      <c r="AB191" s="387"/>
      <c r="AC191" s="387"/>
      <c r="AD191" s="387"/>
      <c r="AE191" s="408">
        <f>'Portefeuille SP2'!J207</f>
        <v>0</v>
      </c>
      <c r="AF191" s="387"/>
      <c r="AG191" s="387"/>
      <c r="AH191" s="389"/>
      <c r="AI191" s="389"/>
      <c r="AJ191" s="403">
        <f>'Portefeuille SP2'!V207</f>
        <v>0</v>
      </c>
      <c r="AK191" s="403">
        <f>'Portefeuille SP2'!W207</f>
        <v>0</v>
      </c>
      <c r="AL191" s="403">
        <f>'Portefeuille SP2'!X207</f>
        <v>0</v>
      </c>
      <c r="AM191" s="403">
        <f>'Portefeuille SP2'!Y207</f>
        <v>1</v>
      </c>
      <c r="AN191" s="403">
        <f>'Portefeuille SP2'!Z207</f>
        <v>1</v>
      </c>
      <c r="AO191" s="403">
        <f>'Portefeuille SP2'!AA207</f>
        <v>0</v>
      </c>
      <c r="AP191" s="403">
        <f>'Portefeuille SP2'!AB207</f>
        <v>0</v>
      </c>
      <c r="AQ191" s="403">
        <f>'Portefeuille SP2'!AC207</f>
        <v>1</v>
      </c>
      <c r="AR191" s="403">
        <f>'Portefeuille SP2'!AD207</f>
        <v>1</v>
      </c>
      <c r="AS191" s="403">
        <f>'Portefeuille SP2'!AE207</f>
        <v>0</v>
      </c>
      <c r="AT191" s="403">
        <f>'Portefeuille SP2'!AF207</f>
        <v>0</v>
      </c>
      <c r="AU191" s="403">
        <f>'Portefeuille SP2'!AG207</f>
        <v>0</v>
      </c>
      <c r="AV191" s="403">
        <f>'Portefeuille SP2'!AH207</f>
        <v>1</v>
      </c>
      <c r="AW191" s="403">
        <f>'Portefeuille SP2'!AI207</f>
        <v>1</v>
      </c>
      <c r="AX191" s="403">
        <f>'Portefeuille SP2'!AJ207</f>
        <v>0</v>
      </c>
      <c r="AY191" s="403">
        <f>'Portefeuille SP2'!AK207</f>
        <v>0</v>
      </c>
      <c r="AZ191" s="403">
        <f>'Portefeuille SP2'!AL207</f>
        <v>1</v>
      </c>
      <c r="BA191" s="403">
        <f>'Portefeuille SP2'!AM207</f>
        <v>1</v>
      </c>
      <c r="BB191" s="403">
        <f>'Portefeuille SP2'!AN207</f>
        <v>0</v>
      </c>
      <c r="BC191" s="403">
        <f>'Portefeuille SP2'!AO207</f>
        <v>0</v>
      </c>
      <c r="BD191" s="403">
        <f>'Portefeuille SP2'!AP207</f>
        <v>0</v>
      </c>
      <c r="BE191" s="403">
        <f>'Portefeuille SP2'!AQ207</f>
        <v>1</v>
      </c>
      <c r="BF191" s="403">
        <f>'Portefeuille SP2'!AR207</f>
        <v>1</v>
      </c>
      <c r="BG191" s="403" t="e">
        <f>'Portefeuille SP2'!#REF!</f>
        <v>#REF!</v>
      </c>
      <c r="BH191" s="403" t="e">
        <f>'Portefeuille SP2'!#REF!</f>
        <v>#REF!</v>
      </c>
      <c r="BI191" s="403" t="e">
        <f>'Portefeuille SP2'!#REF!</f>
        <v>#REF!</v>
      </c>
      <c r="BJ191" s="403" t="e">
        <f>'Portefeuille SP2'!#REF!</f>
        <v>#REF!</v>
      </c>
      <c r="BK191" s="403" t="e">
        <f>'Portefeuille SP2'!#REF!</f>
        <v>#REF!</v>
      </c>
      <c r="BL191" s="388"/>
      <c r="BM191" s="404">
        <f>'Portefeuille SP2'!L207</f>
        <v>0</v>
      </c>
    </row>
    <row r="192" spans="1:65" ht="15" customHeight="1">
      <c r="A192" s="383">
        <f>'Portefeuille SP2'!B208</f>
        <v>45335</v>
      </c>
      <c r="B192" s="390" t="str">
        <f>'Portefeuille SP2'!Q208</f>
        <v>CANCELED</v>
      </c>
      <c r="C192" s="384"/>
      <c r="D192" s="382" t="str">
        <f>'Portefeuille SP2'!E208</f>
        <v>PTF</v>
      </c>
      <c r="E192" s="382" t="str">
        <f t="shared" si="12"/>
        <v>BIW</v>
      </c>
      <c r="F192" s="382" t="str">
        <f t="shared" si="13"/>
        <v/>
      </c>
      <c r="G192" s="382" t="str">
        <f>'Portefeuille SP2'!C208</f>
        <v>SPC_1</v>
      </c>
      <c r="H192" s="382">
        <f>'Portefeuille SP2'!F208</f>
        <v>0</v>
      </c>
      <c r="I192" s="382"/>
      <c r="J192" s="382" t="str">
        <f>'Portefeuille SP2'!D208</f>
        <v xml:space="preserve">BIW </v>
      </c>
      <c r="K192" s="385" t="str">
        <f>'Portefeuille SP2'!H208</f>
        <v xml:space="preserve">remove rr part fr floor </v>
      </c>
      <c r="L192" s="157">
        <f>'Portefeuille SP2'!U208</f>
        <v>-0.67500000000000004</v>
      </c>
      <c r="M192" s="386"/>
      <c r="N192" s="386"/>
      <c r="O192" s="386"/>
      <c r="P192" s="387">
        <f>'Portefeuille SP2'!M208</f>
        <v>0</v>
      </c>
      <c r="Q192" s="387"/>
      <c r="R192" s="387">
        <f>'Portefeuille SP2'!N208</f>
        <v>0</v>
      </c>
      <c r="S192" s="387"/>
      <c r="T192" s="382" t="str">
        <f>'Portefeuille SP2'!R208</f>
        <v>step2</v>
      </c>
      <c r="U192" s="387">
        <f>'Portefeuille SP2'!K208</f>
        <v>0</v>
      </c>
      <c r="V192" s="399">
        <f>'Portefeuille SP2'!S208</f>
        <v>0.25</v>
      </c>
      <c r="W192" s="387"/>
      <c r="X192" s="387"/>
      <c r="Y192" s="387"/>
      <c r="Z192" s="387"/>
      <c r="AA192" s="387"/>
      <c r="AB192" s="387"/>
      <c r="AC192" s="387"/>
      <c r="AD192" s="387"/>
      <c r="AE192" s="400">
        <f>'Portefeuille SP2'!J208</f>
        <v>0</v>
      </c>
      <c r="AF192" s="387"/>
      <c r="AG192" s="387"/>
      <c r="AH192" s="389"/>
      <c r="AI192" s="389"/>
      <c r="AJ192" s="403">
        <f>'Portefeuille SP2'!V208</f>
        <v>0</v>
      </c>
      <c r="AK192" s="403">
        <f>'Portefeuille SP2'!W208</f>
        <v>0</v>
      </c>
      <c r="AL192" s="403">
        <f>'Portefeuille SP2'!X208</f>
        <v>0</v>
      </c>
      <c r="AM192" s="403">
        <f>'Portefeuille SP2'!Y208</f>
        <v>1</v>
      </c>
      <c r="AN192" s="403">
        <f>'Portefeuille SP2'!Z208</f>
        <v>1</v>
      </c>
      <c r="AO192" s="403">
        <f>'Portefeuille SP2'!AA208</f>
        <v>0</v>
      </c>
      <c r="AP192" s="403">
        <f>'Portefeuille SP2'!AB208</f>
        <v>0</v>
      </c>
      <c r="AQ192" s="403">
        <f>'Portefeuille SP2'!AC208</f>
        <v>1</v>
      </c>
      <c r="AR192" s="403">
        <f>'Portefeuille SP2'!AD208</f>
        <v>1</v>
      </c>
      <c r="AS192" s="403">
        <f>'Portefeuille SP2'!AE208</f>
        <v>0</v>
      </c>
      <c r="AT192" s="403">
        <f>'Portefeuille SP2'!AF208</f>
        <v>0</v>
      </c>
      <c r="AU192" s="403">
        <f>'Portefeuille SP2'!AG208</f>
        <v>0</v>
      </c>
      <c r="AV192" s="403">
        <f>'Portefeuille SP2'!AH208</f>
        <v>1</v>
      </c>
      <c r="AW192" s="403">
        <f>'Portefeuille SP2'!AI208</f>
        <v>1</v>
      </c>
      <c r="AX192" s="403">
        <f>'Portefeuille SP2'!AJ208</f>
        <v>0</v>
      </c>
      <c r="AY192" s="403">
        <f>'Portefeuille SP2'!AK208</f>
        <v>0</v>
      </c>
      <c r="AZ192" s="403">
        <f>'Portefeuille SP2'!AL208</f>
        <v>1</v>
      </c>
      <c r="BA192" s="403">
        <f>'Portefeuille SP2'!AM208</f>
        <v>1</v>
      </c>
      <c r="BB192" s="403">
        <f>'Portefeuille SP2'!AN208</f>
        <v>0</v>
      </c>
      <c r="BC192" s="403">
        <f>'Portefeuille SP2'!AO208</f>
        <v>0</v>
      </c>
      <c r="BD192" s="403">
        <f>'Portefeuille SP2'!AP208</f>
        <v>0</v>
      </c>
      <c r="BE192" s="403">
        <f>'Portefeuille SP2'!AQ208</f>
        <v>1</v>
      </c>
      <c r="BF192" s="403">
        <f>'Portefeuille SP2'!AR208</f>
        <v>1</v>
      </c>
      <c r="BG192" s="403" t="e">
        <f>'Portefeuille SP2'!#REF!</f>
        <v>#REF!</v>
      </c>
      <c r="BH192" s="403" t="e">
        <f>'Portefeuille SP2'!#REF!</f>
        <v>#REF!</v>
      </c>
      <c r="BI192" s="403" t="e">
        <f>'Portefeuille SP2'!#REF!</f>
        <v>#REF!</v>
      </c>
      <c r="BJ192" s="403" t="e">
        <f>'Portefeuille SP2'!#REF!</f>
        <v>#REF!</v>
      </c>
      <c r="BK192" s="403" t="e">
        <f>'Portefeuille SP2'!#REF!</f>
        <v>#REF!</v>
      </c>
      <c r="BL192" s="388"/>
      <c r="BM192" s="404" t="str">
        <f>'Portefeuille SP2'!L208</f>
        <v xml:space="preserve">reduction longeur plancher sur la partie AR de travers de train </v>
      </c>
    </row>
    <row r="193" spans="1:65" ht="15" customHeight="1">
      <c r="A193" s="383">
        <f>'Portefeuille SP2'!B209</f>
        <v>45335</v>
      </c>
      <c r="B193" s="390" t="str">
        <f>'Portefeuille SP2'!Q209</f>
        <v>CANCELED</v>
      </c>
      <c r="C193" s="384"/>
      <c r="D193" s="382" t="str">
        <f>'Portefeuille SP2'!E209</f>
        <v>PTF</v>
      </c>
      <c r="E193" s="382" t="str">
        <f t="shared" si="12"/>
        <v>BIW</v>
      </c>
      <c r="F193" s="382" t="str">
        <f t="shared" ref="F193:F195" si="19">MID(J193, 4, 20)</f>
        <v xml:space="preserve"> </v>
      </c>
      <c r="G193" s="382" t="str">
        <f>'Portefeuille SP2'!C209</f>
        <v>SPC_1</v>
      </c>
      <c r="H193" s="382" t="str">
        <f>'Portefeuille SP2'!F209</f>
        <v>NICOLAS TESSIER</v>
      </c>
      <c r="I193" s="382" t="s">
        <v>1213</v>
      </c>
      <c r="J193" s="382" t="str">
        <f>'Portefeuille SP2'!D209</f>
        <v xml:space="preserve">BIW </v>
      </c>
      <c r="K193" s="385" t="str">
        <f>'Portefeuille SP2'!H209</f>
        <v>Front unit</v>
      </c>
      <c r="L193" s="157">
        <f>'Portefeuille SP2'!U209</f>
        <v>1.6</v>
      </c>
      <c r="M193" s="386"/>
      <c r="N193" s="386"/>
      <c r="O193" s="386"/>
      <c r="P193" s="400">
        <f>'Portefeuille SP2'!M209</f>
        <v>0</v>
      </c>
      <c r="Q193" s="387"/>
      <c r="R193" s="387">
        <f>'Portefeuille SP2'!N209</f>
        <v>0</v>
      </c>
      <c r="S193" s="387"/>
      <c r="T193" s="382" t="str">
        <f>'Portefeuille SP2'!R209</f>
        <v xml:space="preserve">Step1 </v>
      </c>
      <c r="U193" s="387">
        <f>'Portefeuille SP2'!K209</f>
        <v>0</v>
      </c>
      <c r="V193" s="399">
        <f>'Portefeuille SP2'!S209</f>
        <v>1</v>
      </c>
      <c r="W193" s="387"/>
      <c r="X193" s="387"/>
      <c r="Y193" s="387"/>
      <c r="Z193" s="387"/>
      <c r="AA193" s="387"/>
      <c r="AB193" s="387"/>
      <c r="AC193" s="387"/>
      <c r="AD193" s="387"/>
      <c r="AE193" s="408">
        <f>'Portefeuille SP2'!J209</f>
        <v>0</v>
      </c>
      <c r="AF193" s="387"/>
      <c r="AG193" s="387"/>
      <c r="AH193" s="389"/>
      <c r="AI193" s="389"/>
      <c r="AJ193" s="403">
        <f>'Portefeuille SP2'!V209</f>
        <v>0</v>
      </c>
      <c r="AK193" s="403">
        <f>'Portefeuille SP2'!W209</f>
        <v>0</v>
      </c>
      <c r="AL193" s="403">
        <f>'Portefeuille SP2'!X209</f>
        <v>0</v>
      </c>
      <c r="AM193" s="403">
        <f>'Portefeuille SP2'!Y209</f>
        <v>1</v>
      </c>
      <c r="AN193" s="403">
        <f>'Portefeuille SP2'!Z209</f>
        <v>1</v>
      </c>
      <c r="AO193" s="403">
        <f>'Portefeuille SP2'!AA209</f>
        <v>0</v>
      </c>
      <c r="AP193" s="403">
        <f>'Portefeuille SP2'!AB209</f>
        <v>0</v>
      </c>
      <c r="AQ193" s="403">
        <f>'Portefeuille SP2'!AC209</f>
        <v>1</v>
      </c>
      <c r="AR193" s="403">
        <f>'Portefeuille SP2'!AD209</f>
        <v>1</v>
      </c>
      <c r="AS193" s="403">
        <f>'Portefeuille SP2'!AE209</f>
        <v>0</v>
      </c>
      <c r="AT193" s="403">
        <f>'Portefeuille SP2'!AF209</f>
        <v>0</v>
      </c>
      <c r="AU193" s="403">
        <f>'Portefeuille SP2'!AG209</f>
        <v>0</v>
      </c>
      <c r="AV193" s="403">
        <f>'Portefeuille SP2'!AH209</f>
        <v>1</v>
      </c>
      <c r="AW193" s="403">
        <f>'Portefeuille SP2'!AI209</f>
        <v>1</v>
      </c>
      <c r="AX193" s="403">
        <f>'Portefeuille SP2'!AJ209</f>
        <v>0</v>
      </c>
      <c r="AY193" s="403">
        <f>'Portefeuille SP2'!AK209</f>
        <v>0</v>
      </c>
      <c r="AZ193" s="403">
        <f>'Portefeuille SP2'!AL209</f>
        <v>1</v>
      </c>
      <c r="BA193" s="403">
        <f>'Portefeuille SP2'!AM209</f>
        <v>1</v>
      </c>
      <c r="BB193" s="403">
        <f>'Portefeuille SP2'!AN209</f>
        <v>0</v>
      </c>
      <c r="BC193" s="403">
        <f>'Portefeuille SP2'!AO209</f>
        <v>0</v>
      </c>
      <c r="BD193" s="403">
        <f>'Portefeuille SP2'!AP209</f>
        <v>0</v>
      </c>
      <c r="BE193" s="403">
        <f>'Portefeuille SP2'!AQ209</f>
        <v>1</v>
      </c>
      <c r="BF193" s="403">
        <f>'Portefeuille SP2'!AR209</f>
        <v>1</v>
      </c>
      <c r="BG193" s="403" t="e">
        <f>'Portefeuille SP2'!#REF!</f>
        <v>#REF!</v>
      </c>
      <c r="BH193" s="403" t="e">
        <f>'Portefeuille SP2'!#REF!</f>
        <v>#REF!</v>
      </c>
      <c r="BI193" s="403" t="e">
        <f>'Portefeuille SP2'!#REF!</f>
        <v>#REF!</v>
      </c>
      <c r="BJ193" s="403" t="e">
        <f>'Portefeuille SP2'!#REF!</f>
        <v>#REF!</v>
      </c>
      <c r="BK193" s="403" t="e">
        <f>'Portefeuille SP2'!#REF!</f>
        <v>#REF!</v>
      </c>
      <c r="BL193" s="388"/>
      <c r="BM193" s="404">
        <f>'Portefeuille SP2'!L209</f>
        <v>0</v>
      </c>
    </row>
    <row r="194" spans="1:65" ht="15" customHeight="1">
      <c r="A194" s="383">
        <f>'Portefeuille SP2'!B210</f>
        <v>45335</v>
      </c>
      <c r="B194" s="390" t="str">
        <f>'Portefeuille SP2'!Q210</f>
        <v>CANCELED</v>
      </c>
      <c r="C194" s="384"/>
      <c r="D194" s="382" t="str">
        <f>'Portefeuille SP2'!E210</f>
        <v>PTF</v>
      </c>
      <c r="E194" s="382" t="str">
        <f t="shared" si="12"/>
        <v>BIW</v>
      </c>
      <c r="F194" s="382" t="str">
        <f t="shared" si="19"/>
        <v xml:space="preserve"> </v>
      </c>
      <c r="G194" s="382" t="str">
        <f>'Portefeuille SP2'!C210</f>
        <v>SPC_1</v>
      </c>
      <c r="H194" s="382" t="str">
        <f>'Portefeuille SP2'!F210</f>
        <v>NICOLAS TESSIER</v>
      </c>
      <c r="I194" s="382" t="s">
        <v>1213</v>
      </c>
      <c r="J194" s="382" t="str">
        <f>'Portefeuille SP2'!D210</f>
        <v xml:space="preserve">BIW </v>
      </c>
      <c r="K194" s="385" t="str">
        <f>'Portefeuille SP2'!H210</f>
        <v xml:space="preserve">RR wheel arch </v>
      </c>
      <c r="L194" s="157">
        <f>'Portefeuille SP2'!U210</f>
        <v>-0.1875</v>
      </c>
      <c r="M194" s="386"/>
      <c r="N194" s="386"/>
      <c r="O194" s="386"/>
      <c r="P194" s="400">
        <f>'Portefeuille SP2'!M210</f>
        <v>0</v>
      </c>
      <c r="Q194" s="387"/>
      <c r="R194" s="387">
        <f>'Portefeuille SP2'!N210</f>
        <v>0</v>
      </c>
      <c r="S194" s="387"/>
      <c r="T194" s="382" t="str">
        <f>'Portefeuille SP2'!R210</f>
        <v xml:space="preserve">Step1 </v>
      </c>
      <c r="U194" s="387">
        <f>'Portefeuille SP2'!K210</f>
        <v>0</v>
      </c>
      <c r="V194" s="399">
        <f>'Portefeuille SP2'!S210</f>
        <v>0.25</v>
      </c>
      <c r="W194" s="387"/>
      <c r="X194" s="387"/>
      <c r="Y194" s="387"/>
      <c r="Z194" s="387"/>
      <c r="AA194" s="387"/>
      <c r="AB194" s="387"/>
      <c r="AC194" s="387"/>
      <c r="AD194" s="387"/>
      <c r="AE194" s="408">
        <f>'Portefeuille SP2'!J210</f>
        <v>0</v>
      </c>
      <c r="AF194" s="387"/>
      <c r="AG194" s="387"/>
      <c r="AH194" s="389"/>
      <c r="AI194" s="389"/>
      <c r="AJ194" s="403">
        <f>'Portefeuille SP2'!V210</f>
        <v>0</v>
      </c>
      <c r="AK194" s="403">
        <f>'Portefeuille SP2'!W210</f>
        <v>0</v>
      </c>
      <c r="AL194" s="403">
        <f>'Portefeuille SP2'!X210</f>
        <v>0</v>
      </c>
      <c r="AM194" s="403">
        <f>'Portefeuille SP2'!Y210</f>
        <v>1</v>
      </c>
      <c r="AN194" s="403">
        <f>'Portefeuille SP2'!Z210</f>
        <v>1</v>
      </c>
      <c r="AO194" s="403">
        <f>'Portefeuille SP2'!AA210</f>
        <v>0</v>
      </c>
      <c r="AP194" s="403">
        <f>'Portefeuille SP2'!AB210</f>
        <v>0</v>
      </c>
      <c r="AQ194" s="403">
        <f>'Portefeuille SP2'!AC210</f>
        <v>1</v>
      </c>
      <c r="AR194" s="403">
        <f>'Portefeuille SP2'!AD210</f>
        <v>1</v>
      </c>
      <c r="AS194" s="403">
        <f>'Portefeuille SP2'!AE210</f>
        <v>0</v>
      </c>
      <c r="AT194" s="403">
        <f>'Portefeuille SP2'!AF210</f>
        <v>0</v>
      </c>
      <c r="AU194" s="403">
        <f>'Portefeuille SP2'!AG210</f>
        <v>0</v>
      </c>
      <c r="AV194" s="403">
        <f>'Portefeuille SP2'!AH210</f>
        <v>1</v>
      </c>
      <c r="AW194" s="403">
        <f>'Portefeuille SP2'!AI210</f>
        <v>1</v>
      </c>
      <c r="AX194" s="403">
        <f>'Portefeuille SP2'!AJ210</f>
        <v>0</v>
      </c>
      <c r="AY194" s="403">
        <f>'Portefeuille SP2'!AK210</f>
        <v>0</v>
      </c>
      <c r="AZ194" s="403">
        <f>'Portefeuille SP2'!AL210</f>
        <v>1</v>
      </c>
      <c r="BA194" s="403">
        <f>'Portefeuille SP2'!AM210</f>
        <v>1</v>
      </c>
      <c r="BB194" s="403">
        <f>'Portefeuille SP2'!AN210</f>
        <v>0</v>
      </c>
      <c r="BC194" s="403">
        <f>'Portefeuille SP2'!AO210</f>
        <v>0</v>
      </c>
      <c r="BD194" s="403">
        <f>'Portefeuille SP2'!AP210</f>
        <v>0</v>
      </c>
      <c r="BE194" s="403">
        <f>'Portefeuille SP2'!AQ210</f>
        <v>1</v>
      </c>
      <c r="BF194" s="403">
        <f>'Portefeuille SP2'!AR210</f>
        <v>1</v>
      </c>
      <c r="BG194" s="403" t="e">
        <f>'Portefeuille SP2'!#REF!</f>
        <v>#REF!</v>
      </c>
      <c r="BH194" s="403" t="e">
        <f>'Portefeuille SP2'!#REF!</f>
        <v>#REF!</v>
      </c>
      <c r="BI194" s="403" t="e">
        <f>'Portefeuille SP2'!#REF!</f>
        <v>#REF!</v>
      </c>
      <c r="BJ194" s="403" t="e">
        <f>'Portefeuille SP2'!#REF!</f>
        <v>#REF!</v>
      </c>
      <c r="BK194" s="403" t="e">
        <f>'Portefeuille SP2'!#REF!</f>
        <v>#REF!</v>
      </c>
      <c r="BL194" s="388"/>
      <c r="BM194" s="404">
        <f>'Portefeuille SP2'!L210</f>
        <v>0</v>
      </c>
    </row>
    <row r="195" spans="1:65" ht="15" customHeight="1">
      <c r="A195" s="383">
        <f>'Portefeuille SP2'!B211</f>
        <v>45335</v>
      </c>
      <c r="B195" s="390" t="str">
        <f>'Portefeuille SP2'!Q211</f>
        <v>CANCELED</v>
      </c>
      <c r="C195" s="384"/>
      <c r="D195" s="382" t="str">
        <f>'Portefeuille SP2'!E211</f>
        <v>PTF</v>
      </c>
      <c r="E195" s="382" t="str">
        <f t="shared" si="12"/>
        <v>BIW</v>
      </c>
      <c r="F195" s="382" t="str">
        <f t="shared" si="19"/>
        <v xml:space="preserve"> </v>
      </c>
      <c r="G195" s="382" t="str">
        <f>'Portefeuille SP2'!C211</f>
        <v>SPC_1</v>
      </c>
      <c r="H195" s="382" t="str">
        <f>'Portefeuille SP2'!F211</f>
        <v>NICOLAS TESSIER</v>
      </c>
      <c r="I195" s="382" t="s">
        <v>1213</v>
      </c>
      <c r="J195" s="382" t="str">
        <f>'Portefeuille SP2'!D211</f>
        <v xml:space="preserve">BIW </v>
      </c>
      <c r="K195" s="385" t="str">
        <f>'Portefeuille SP2'!H211</f>
        <v>SMALL SIDE RAIL</v>
      </c>
      <c r="L195" s="157">
        <f>'Portefeuille SP2'!U211</f>
        <v>-0.25</v>
      </c>
      <c r="M195" s="386"/>
      <c r="N195" s="386"/>
      <c r="O195" s="386"/>
      <c r="P195" s="400">
        <f>'Portefeuille SP2'!M211</f>
        <v>0</v>
      </c>
      <c r="Q195" s="387"/>
      <c r="R195" s="387">
        <f>'Portefeuille SP2'!N211</f>
        <v>0</v>
      </c>
      <c r="S195" s="387"/>
      <c r="T195" s="382" t="str">
        <f>'Portefeuille SP2'!R211</f>
        <v xml:space="preserve">Step1 </v>
      </c>
      <c r="U195" s="387">
        <f>'Portefeuille SP2'!K211</f>
        <v>0</v>
      </c>
      <c r="V195" s="399">
        <f>'Portefeuille SP2'!S211</f>
        <v>0.25</v>
      </c>
      <c r="W195" s="387"/>
      <c r="X195" s="387"/>
      <c r="Y195" s="387"/>
      <c r="Z195" s="387"/>
      <c r="AA195" s="387"/>
      <c r="AB195" s="387"/>
      <c r="AC195" s="387"/>
      <c r="AD195" s="387"/>
      <c r="AE195" s="408">
        <f>'Portefeuille SP2'!J211</f>
        <v>0</v>
      </c>
      <c r="AF195" s="387"/>
      <c r="AG195" s="387"/>
      <c r="AH195" s="389"/>
      <c r="AI195" s="389"/>
      <c r="AJ195" s="403">
        <f>'Portefeuille SP2'!V211</f>
        <v>0</v>
      </c>
      <c r="AK195" s="403">
        <f>'Portefeuille SP2'!W211</f>
        <v>0</v>
      </c>
      <c r="AL195" s="403">
        <f>'Portefeuille SP2'!X211</f>
        <v>0</v>
      </c>
      <c r="AM195" s="403">
        <f>'Portefeuille SP2'!Y211</f>
        <v>1</v>
      </c>
      <c r="AN195" s="403">
        <f>'Portefeuille SP2'!Z211</f>
        <v>1</v>
      </c>
      <c r="AO195" s="403">
        <f>'Portefeuille SP2'!AA211</f>
        <v>0</v>
      </c>
      <c r="AP195" s="403">
        <f>'Portefeuille SP2'!AB211</f>
        <v>0</v>
      </c>
      <c r="AQ195" s="403">
        <f>'Portefeuille SP2'!AC211</f>
        <v>1</v>
      </c>
      <c r="AR195" s="403">
        <f>'Portefeuille SP2'!AD211</f>
        <v>1</v>
      </c>
      <c r="AS195" s="403">
        <f>'Portefeuille SP2'!AE211</f>
        <v>0</v>
      </c>
      <c r="AT195" s="403">
        <f>'Portefeuille SP2'!AF211</f>
        <v>0</v>
      </c>
      <c r="AU195" s="403">
        <f>'Portefeuille SP2'!AG211</f>
        <v>0</v>
      </c>
      <c r="AV195" s="403">
        <f>'Portefeuille SP2'!AH211</f>
        <v>1</v>
      </c>
      <c r="AW195" s="403">
        <f>'Portefeuille SP2'!AI211</f>
        <v>1</v>
      </c>
      <c r="AX195" s="403">
        <f>'Portefeuille SP2'!AJ211</f>
        <v>0</v>
      </c>
      <c r="AY195" s="403">
        <f>'Portefeuille SP2'!AK211</f>
        <v>0</v>
      </c>
      <c r="AZ195" s="403">
        <f>'Portefeuille SP2'!AL211</f>
        <v>1</v>
      </c>
      <c r="BA195" s="403">
        <f>'Portefeuille SP2'!AM211</f>
        <v>1</v>
      </c>
      <c r="BB195" s="403">
        <f>'Portefeuille SP2'!AN211</f>
        <v>0</v>
      </c>
      <c r="BC195" s="403">
        <f>'Portefeuille SP2'!AO211</f>
        <v>0</v>
      </c>
      <c r="BD195" s="403">
        <f>'Portefeuille SP2'!AP211</f>
        <v>0</v>
      </c>
      <c r="BE195" s="403">
        <f>'Portefeuille SP2'!AQ211</f>
        <v>1</v>
      </c>
      <c r="BF195" s="403">
        <f>'Portefeuille SP2'!AR211</f>
        <v>1</v>
      </c>
      <c r="BG195" s="403" t="e">
        <f>'Portefeuille SP2'!#REF!</f>
        <v>#REF!</v>
      </c>
      <c r="BH195" s="403" t="e">
        <f>'Portefeuille SP2'!#REF!</f>
        <v>#REF!</v>
      </c>
      <c r="BI195" s="403" t="e">
        <f>'Portefeuille SP2'!#REF!</f>
        <v>#REF!</v>
      </c>
      <c r="BJ195" s="403" t="e">
        <f>'Portefeuille SP2'!#REF!</f>
        <v>#REF!</v>
      </c>
      <c r="BK195" s="403" t="e">
        <f>'Portefeuille SP2'!#REF!</f>
        <v>#REF!</v>
      </c>
      <c r="BL195" s="388"/>
      <c r="BM195" s="404" t="str">
        <f>'Portefeuille SP2'!L211</f>
        <v>Attention repar AR doit etre idem BEV/xHEV</v>
      </c>
    </row>
    <row r="196" spans="1:65" ht="15" customHeight="1">
      <c r="A196" s="383">
        <f>'Portefeuille SP2'!B212</f>
        <v>45335</v>
      </c>
      <c r="B196" s="390" t="str">
        <f>'Portefeuille SP2'!Q212</f>
        <v>CANCELED</v>
      </c>
      <c r="C196" s="384"/>
      <c r="D196" s="382" t="str">
        <f>'Portefeuille SP2'!E212</f>
        <v>PTF</v>
      </c>
      <c r="E196" s="382" t="str">
        <f t="shared" si="12"/>
        <v>BIW</v>
      </c>
      <c r="F196" s="382" t="str">
        <f t="shared" si="13"/>
        <v/>
      </c>
      <c r="G196" s="382" t="str">
        <f>'Portefeuille SP2'!C212</f>
        <v>SPC_1</v>
      </c>
      <c r="H196" s="382">
        <f>'Portefeuille SP2'!F212</f>
        <v>0</v>
      </c>
      <c r="I196" s="382"/>
      <c r="J196" s="382" t="str">
        <f>'Portefeuille SP2'!D212</f>
        <v xml:space="preserve">BIW </v>
      </c>
      <c r="K196" s="385" t="str">
        <f>'Portefeuille SP2'!H212</f>
        <v xml:space="preserve">COWL PANEL like C41 </v>
      </c>
      <c r="L196" s="157">
        <f>'Portefeuille SP2'!U212</f>
        <v>0</v>
      </c>
      <c r="M196" s="386"/>
      <c r="N196" s="386"/>
      <c r="O196" s="386"/>
      <c r="P196" s="387">
        <f>'Portefeuille SP2'!M212</f>
        <v>0</v>
      </c>
      <c r="Q196" s="387"/>
      <c r="R196" s="387">
        <f>'Portefeuille SP2'!N212</f>
        <v>0</v>
      </c>
      <c r="S196" s="387"/>
      <c r="T196" s="382" t="str">
        <f>'Portefeuille SP2'!R212</f>
        <v xml:space="preserve">Step1 </v>
      </c>
      <c r="U196" s="387">
        <f>'Portefeuille SP2'!K212</f>
        <v>0</v>
      </c>
      <c r="V196" s="399">
        <f>'Portefeuille SP2'!S212</f>
        <v>1</v>
      </c>
      <c r="W196" s="387"/>
      <c r="X196" s="387"/>
      <c r="Y196" s="387"/>
      <c r="Z196" s="387"/>
      <c r="AA196" s="387"/>
      <c r="AB196" s="387"/>
      <c r="AC196" s="387"/>
      <c r="AD196" s="387"/>
      <c r="AE196" s="400">
        <f>'Portefeuille SP2'!J212</f>
        <v>0</v>
      </c>
      <c r="AF196" s="387"/>
      <c r="AG196" s="387"/>
      <c r="AH196" s="389"/>
      <c r="AI196" s="389"/>
      <c r="AJ196" s="403">
        <f>'Portefeuille SP2'!V212</f>
        <v>0</v>
      </c>
      <c r="AK196" s="403">
        <f>'Portefeuille SP2'!W212</f>
        <v>0</v>
      </c>
      <c r="AL196" s="403">
        <f>'Portefeuille SP2'!X212</f>
        <v>0</v>
      </c>
      <c r="AM196" s="403">
        <f>'Portefeuille SP2'!Y212</f>
        <v>1</v>
      </c>
      <c r="AN196" s="403">
        <f>'Portefeuille SP2'!Z212</f>
        <v>1</v>
      </c>
      <c r="AO196" s="403">
        <f>'Portefeuille SP2'!AA212</f>
        <v>0</v>
      </c>
      <c r="AP196" s="403">
        <f>'Portefeuille SP2'!AB212</f>
        <v>0</v>
      </c>
      <c r="AQ196" s="403">
        <f>'Portefeuille SP2'!AC212</f>
        <v>1</v>
      </c>
      <c r="AR196" s="403">
        <f>'Portefeuille SP2'!AD212</f>
        <v>1</v>
      </c>
      <c r="AS196" s="403">
        <f>'Portefeuille SP2'!AE212</f>
        <v>0</v>
      </c>
      <c r="AT196" s="403">
        <f>'Portefeuille SP2'!AF212</f>
        <v>0</v>
      </c>
      <c r="AU196" s="403">
        <f>'Portefeuille SP2'!AG212</f>
        <v>0</v>
      </c>
      <c r="AV196" s="403">
        <f>'Portefeuille SP2'!AH212</f>
        <v>1</v>
      </c>
      <c r="AW196" s="403">
        <f>'Portefeuille SP2'!AI212</f>
        <v>1</v>
      </c>
      <c r="AX196" s="403">
        <f>'Portefeuille SP2'!AJ212</f>
        <v>0</v>
      </c>
      <c r="AY196" s="403">
        <f>'Portefeuille SP2'!AK212</f>
        <v>0</v>
      </c>
      <c r="AZ196" s="403">
        <f>'Portefeuille SP2'!AL212</f>
        <v>1</v>
      </c>
      <c r="BA196" s="403">
        <f>'Portefeuille SP2'!AM212</f>
        <v>1</v>
      </c>
      <c r="BB196" s="403">
        <f>'Portefeuille SP2'!AN212</f>
        <v>0</v>
      </c>
      <c r="BC196" s="403">
        <f>'Portefeuille SP2'!AO212</f>
        <v>0</v>
      </c>
      <c r="BD196" s="403">
        <f>'Portefeuille SP2'!AP212</f>
        <v>0</v>
      </c>
      <c r="BE196" s="403">
        <f>'Portefeuille SP2'!AQ212</f>
        <v>1</v>
      </c>
      <c r="BF196" s="403">
        <f>'Portefeuille SP2'!AR212</f>
        <v>1</v>
      </c>
      <c r="BG196" s="403" t="e">
        <f>'Portefeuille SP2'!#REF!</f>
        <v>#REF!</v>
      </c>
      <c r="BH196" s="403" t="e">
        <f>'Portefeuille SP2'!#REF!</f>
        <v>#REF!</v>
      </c>
      <c r="BI196" s="403" t="e">
        <f>'Portefeuille SP2'!#REF!</f>
        <v>#REF!</v>
      </c>
      <c r="BJ196" s="403" t="e">
        <f>'Portefeuille SP2'!#REF!</f>
        <v>#REF!</v>
      </c>
      <c r="BK196" s="403" t="e">
        <f>'Portefeuille SP2'!#REF!</f>
        <v>#REF!</v>
      </c>
      <c r="BL196" s="388"/>
      <c r="BM196" s="404">
        <f>'Portefeuille SP2'!L212</f>
        <v>0</v>
      </c>
    </row>
    <row r="197" spans="1:65" ht="15" customHeight="1">
      <c r="A197" s="383">
        <f>'Portefeuille SP2'!B213</f>
        <v>45335</v>
      </c>
      <c r="B197" s="390" t="str">
        <f>'Portefeuille SP2'!Q213</f>
        <v>CANCELED</v>
      </c>
      <c r="C197" s="384"/>
      <c r="D197" s="382" t="str">
        <f>'Portefeuille SP2'!E213</f>
        <v>PTF</v>
      </c>
      <c r="E197" s="382" t="str">
        <f t="shared" si="12"/>
        <v>BIW</v>
      </c>
      <c r="F197" s="382" t="str">
        <f t="shared" ref="F197:F199" si="20">MID(J197, 4, 20)</f>
        <v xml:space="preserve"> </v>
      </c>
      <c r="G197" s="382" t="str">
        <f>'Portefeuille SP2'!C213</f>
        <v>SPC_1</v>
      </c>
      <c r="H197" s="382" t="str">
        <f>'Portefeuille SP2'!F213</f>
        <v>NICOLAS TESSIER</v>
      </c>
      <c r="I197" s="382" t="s">
        <v>1213</v>
      </c>
      <c r="J197" s="382" t="str">
        <f>'Portefeuille SP2'!D213</f>
        <v xml:space="preserve">BIW </v>
      </c>
      <c r="K197" s="385" t="str">
        <f>'Portefeuille SP2'!H213</f>
        <v>inner sill</v>
      </c>
      <c r="L197" s="157">
        <f>'Portefeuille SP2'!U213</f>
        <v>-21.56</v>
      </c>
      <c r="M197" s="386"/>
      <c r="N197" s="386"/>
      <c r="O197" s="386"/>
      <c r="P197" s="400">
        <f>'Portefeuille SP2'!M213</f>
        <v>0</v>
      </c>
      <c r="Q197" s="387"/>
      <c r="R197" s="387">
        <f>'Portefeuille SP2'!N213</f>
        <v>0</v>
      </c>
      <c r="S197" s="387"/>
      <c r="T197" s="382" t="str">
        <f>'Portefeuille SP2'!R213</f>
        <v xml:space="preserve">Step1 </v>
      </c>
      <c r="U197" s="387">
        <f>'Portefeuille SP2'!K213</f>
        <v>0</v>
      </c>
      <c r="V197" s="399">
        <f>'Portefeuille SP2'!S213</f>
        <v>1</v>
      </c>
      <c r="W197" s="387"/>
      <c r="X197" s="387"/>
      <c r="Y197" s="387"/>
      <c r="Z197" s="387"/>
      <c r="AA197" s="387"/>
      <c r="AB197" s="387"/>
      <c r="AC197" s="387"/>
      <c r="AD197" s="387"/>
      <c r="AE197" s="408">
        <f>'Portefeuille SP2'!J213</f>
        <v>0</v>
      </c>
      <c r="AF197" s="387"/>
      <c r="AG197" s="387"/>
      <c r="AH197" s="389"/>
      <c r="AI197" s="389"/>
      <c r="AJ197" s="403">
        <f>'Portefeuille SP2'!V213</f>
        <v>0</v>
      </c>
      <c r="AK197" s="403">
        <f>'Portefeuille SP2'!W213</f>
        <v>0</v>
      </c>
      <c r="AL197" s="403">
        <f>'Portefeuille SP2'!X213</f>
        <v>0</v>
      </c>
      <c r="AM197" s="403">
        <f>'Portefeuille SP2'!Y213</f>
        <v>1</v>
      </c>
      <c r="AN197" s="403">
        <f>'Portefeuille SP2'!Z213</f>
        <v>1</v>
      </c>
      <c r="AO197" s="403">
        <f>'Portefeuille SP2'!AA213</f>
        <v>0</v>
      </c>
      <c r="AP197" s="403">
        <f>'Portefeuille SP2'!AB213</f>
        <v>0</v>
      </c>
      <c r="AQ197" s="403">
        <f>'Portefeuille SP2'!AC213</f>
        <v>1</v>
      </c>
      <c r="AR197" s="403">
        <f>'Portefeuille SP2'!AD213</f>
        <v>1</v>
      </c>
      <c r="AS197" s="403">
        <f>'Portefeuille SP2'!AE213</f>
        <v>0</v>
      </c>
      <c r="AT197" s="403">
        <f>'Portefeuille SP2'!AF213</f>
        <v>0</v>
      </c>
      <c r="AU197" s="403">
        <f>'Portefeuille SP2'!AG213</f>
        <v>0</v>
      </c>
      <c r="AV197" s="403">
        <f>'Portefeuille SP2'!AH213</f>
        <v>1</v>
      </c>
      <c r="AW197" s="403">
        <f>'Portefeuille SP2'!AI213</f>
        <v>1</v>
      </c>
      <c r="AX197" s="403">
        <f>'Portefeuille SP2'!AJ213</f>
        <v>0</v>
      </c>
      <c r="AY197" s="403">
        <f>'Portefeuille SP2'!AK213</f>
        <v>0</v>
      </c>
      <c r="AZ197" s="403">
        <f>'Portefeuille SP2'!AL213</f>
        <v>1</v>
      </c>
      <c r="BA197" s="403">
        <f>'Portefeuille SP2'!AM213</f>
        <v>1</v>
      </c>
      <c r="BB197" s="403">
        <f>'Portefeuille SP2'!AN213</f>
        <v>0</v>
      </c>
      <c r="BC197" s="403">
        <f>'Portefeuille SP2'!AO213</f>
        <v>0</v>
      </c>
      <c r="BD197" s="403">
        <f>'Portefeuille SP2'!AP213</f>
        <v>0</v>
      </c>
      <c r="BE197" s="403">
        <f>'Portefeuille SP2'!AQ213</f>
        <v>1</v>
      </c>
      <c r="BF197" s="403">
        <f>'Portefeuille SP2'!AR213</f>
        <v>1</v>
      </c>
      <c r="BG197" s="403" t="e">
        <f>'Portefeuille SP2'!#REF!</f>
        <v>#REF!</v>
      </c>
      <c r="BH197" s="403" t="e">
        <f>'Portefeuille SP2'!#REF!</f>
        <v>#REF!</v>
      </c>
      <c r="BI197" s="403" t="e">
        <f>'Portefeuille SP2'!#REF!</f>
        <v>#REF!</v>
      </c>
      <c r="BJ197" s="403" t="e">
        <f>'Portefeuille SP2'!#REF!</f>
        <v>#REF!</v>
      </c>
      <c r="BK197" s="403" t="e">
        <f>'Portefeuille SP2'!#REF!</f>
        <v>#REF!</v>
      </c>
      <c r="BL197" s="388"/>
      <c r="BM197" s="404" t="str">
        <f>'Portefeuille SP2'!L213</f>
        <v>delta entre suppression renfort ( et ajout de deux renforts specifiques xHEV (0,3 par piece*4)</v>
      </c>
    </row>
    <row r="198" spans="1:65" ht="15" customHeight="1">
      <c r="A198" s="383">
        <f>'Portefeuille SP2'!B214</f>
        <v>45839</v>
      </c>
      <c r="B198" s="390" t="str">
        <f>'Portefeuille SP2'!Q214</f>
        <v>CANCELED</v>
      </c>
      <c r="C198" s="384"/>
      <c r="D198" s="382" t="str">
        <f>'Portefeuille SP2'!E214</f>
        <v>TH</v>
      </c>
      <c r="E198" s="382" t="str">
        <f t="shared" si="12"/>
        <v>BCI</v>
      </c>
      <c r="F198" s="382" t="str">
        <f t="shared" si="20"/>
        <v>_CHASSIS</v>
      </c>
      <c r="G198" s="382" t="str">
        <f>'Portefeuille SP2'!C214</f>
        <v>SPC_1</v>
      </c>
      <c r="H198" s="382" t="str">
        <f>'Portefeuille SP2'!F214</f>
        <v>FREDERIC GUINGAND</v>
      </c>
      <c r="I198" s="382" t="s">
        <v>1213</v>
      </c>
      <c r="J198" s="382" t="str">
        <f>'Portefeuille SP2'!D214</f>
        <v>BCI_CHASSIS</v>
      </c>
      <c r="K198" s="385" t="str">
        <f>'Portefeuille SP2'!H214</f>
        <v xml:space="preserve">Steel wheel 18" flowformed </v>
      </c>
      <c r="L198" s="157">
        <f>'Portefeuille SP2'!U214</f>
        <v>-1</v>
      </c>
      <c r="M198" s="386"/>
      <c r="N198" s="386"/>
      <c r="O198" s="386"/>
      <c r="P198" s="400">
        <f>'Portefeuille SP2'!M214</f>
        <v>0</v>
      </c>
      <c r="Q198" s="387"/>
      <c r="R198" s="387">
        <f>'Portefeuille SP2'!N214</f>
        <v>0</v>
      </c>
      <c r="S198" s="387"/>
      <c r="T198" s="382" t="str">
        <f>'Portefeuille SP2'!R214</f>
        <v xml:space="preserve">Step1 </v>
      </c>
      <c r="U198" s="387">
        <f>'Portefeuille SP2'!K214</f>
        <v>0</v>
      </c>
      <c r="V198" s="399">
        <f>'Portefeuille SP2'!S214</f>
        <v>0.5</v>
      </c>
      <c r="W198" s="387"/>
      <c r="X198" s="387"/>
      <c r="Y198" s="387"/>
      <c r="Z198" s="387"/>
      <c r="AA198" s="387"/>
      <c r="AB198" s="387"/>
      <c r="AC198" s="387"/>
      <c r="AD198" s="387"/>
      <c r="AE198" s="408">
        <f>'Portefeuille SP2'!J214</f>
        <v>0</v>
      </c>
      <c r="AF198" s="387"/>
      <c r="AG198" s="387"/>
      <c r="AH198" s="389"/>
      <c r="AI198" s="389"/>
      <c r="AJ198" s="403">
        <f>'Portefeuille SP2'!V214</f>
        <v>0</v>
      </c>
      <c r="AK198" s="403">
        <f>'Portefeuille SP2'!W214</f>
        <v>0</v>
      </c>
      <c r="AL198" s="403">
        <f>'Portefeuille SP2'!X214</f>
        <v>0</v>
      </c>
      <c r="AM198" s="403">
        <f>'Portefeuille SP2'!Y214</f>
        <v>1</v>
      </c>
      <c r="AN198" s="403">
        <f>'Portefeuille SP2'!Z214</f>
        <v>1</v>
      </c>
      <c r="AO198" s="403">
        <f>'Portefeuille SP2'!AA214</f>
        <v>0</v>
      </c>
      <c r="AP198" s="403">
        <f>'Portefeuille SP2'!AB214</f>
        <v>0</v>
      </c>
      <c r="AQ198" s="403">
        <f>'Portefeuille SP2'!AC214</f>
        <v>1</v>
      </c>
      <c r="AR198" s="403">
        <f>'Portefeuille SP2'!AD214</f>
        <v>1</v>
      </c>
      <c r="AS198" s="403">
        <f>'Portefeuille SP2'!AE214</f>
        <v>0</v>
      </c>
      <c r="AT198" s="403">
        <f>'Portefeuille SP2'!AF214</f>
        <v>0</v>
      </c>
      <c r="AU198" s="403">
        <f>'Portefeuille SP2'!AG214</f>
        <v>0</v>
      </c>
      <c r="AV198" s="403">
        <f>'Portefeuille SP2'!AH214</f>
        <v>1</v>
      </c>
      <c r="AW198" s="403">
        <f>'Portefeuille SP2'!AI214</f>
        <v>1</v>
      </c>
      <c r="AX198" s="403">
        <f>'Portefeuille SP2'!AJ214</f>
        <v>0</v>
      </c>
      <c r="AY198" s="403">
        <f>'Portefeuille SP2'!AK214</f>
        <v>0</v>
      </c>
      <c r="AZ198" s="403">
        <f>'Portefeuille SP2'!AL214</f>
        <v>1</v>
      </c>
      <c r="BA198" s="403">
        <f>'Portefeuille SP2'!AM214</f>
        <v>1</v>
      </c>
      <c r="BB198" s="403">
        <f>'Portefeuille SP2'!AN214</f>
        <v>0</v>
      </c>
      <c r="BC198" s="403">
        <f>'Portefeuille SP2'!AO214</f>
        <v>0</v>
      </c>
      <c r="BD198" s="403">
        <f>'Portefeuille SP2'!AP214</f>
        <v>0</v>
      </c>
      <c r="BE198" s="403">
        <f>'Portefeuille SP2'!AQ214</f>
        <v>1</v>
      </c>
      <c r="BF198" s="403">
        <f>'Portefeuille SP2'!AR214</f>
        <v>1</v>
      </c>
      <c r="BG198" s="403" t="e">
        <f>'Portefeuille SP2'!#REF!</f>
        <v>#REF!</v>
      </c>
      <c r="BH198" s="403" t="e">
        <f>'Portefeuille SP2'!#REF!</f>
        <v>#REF!</v>
      </c>
      <c r="BI198" s="403" t="e">
        <f>'Portefeuille SP2'!#REF!</f>
        <v>#REF!</v>
      </c>
      <c r="BJ198" s="403" t="e">
        <f>'Portefeuille SP2'!#REF!</f>
        <v>#REF!</v>
      </c>
      <c r="BK198" s="403" t="e">
        <f>'Portefeuille SP2'!#REF!</f>
        <v>#REF!</v>
      </c>
      <c r="BL198" s="388"/>
      <c r="BM198" s="404">
        <f>'Portefeuille SP2'!L214</f>
        <v>0</v>
      </c>
    </row>
    <row r="199" spans="1:65" ht="15" customHeight="1">
      <c r="A199" s="383">
        <f>'Portefeuille SP2'!B215</f>
        <v>45335</v>
      </c>
      <c r="B199" s="390" t="str">
        <f>'Portefeuille SP2'!Q215</f>
        <v>CANCELED</v>
      </c>
      <c r="C199" s="384"/>
      <c r="D199" s="382" t="str">
        <f>'Portefeuille SP2'!E215</f>
        <v>TH</v>
      </c>
      <c r="E199" s="382" t="str">
        <f t="shared" si="12"/>
        <v>BIW</v>
      </c>
      <c r="F199" s="382" t="str">
        <f t="shared" si="20"/>
        <v xml:space="preserve"> </v>
      </c>
      <c r="G199" s="382" t="str">
        <f>'Portefeuille SP2'!C215</f>
        <v>SPC_1</v>
      </c>
      <c r="H199" s="382" t="str">
        <f>'Portefeuille SP2'!F215</f>
        <v>NICOLAS TESSIER</v>
      </c>
      <c r="I199" s="382" t="s">
        <v>1213</v>
      </c>
      <c r="J199" s="382" t="str">
        <f>'Portefeuille SP2'!D215</f>
        <v xml:space="preserve">BIW </v>
      </c>
      <c r="K199" s="385" t="str">
        <f>'Portefeuille SP2'!H215</f>
        <v>FIXED QUARTER LIGHT change thickness</v>
      </c>
      <c r="L199" s="157">
        <f>'Portefeuille SP2'!U215</f>
        <v>0</v>
      </c>
      <c r="M199" s="386"/>
      <c r="N199" s="386"/>
      <c r="O199" s="386"/>
      <c r="P199" s="400">
        <f>'Portefeuille SP2'!M215</f>
        <v>0</v>
      </c>
      <c r="Q199" s="387"/>
      <c r="R199" s="387">
        <f>'Portefeuille SP2'!N215</f>
        <v>0</v>
      </c>
      <c r="S199" s="387"/>
      <c r="T199" s="382" t="str">
        <f>'Portefeuille SP2'!R215</f>
        <v xml:space="preserve">Step1 </v>
      </c>
      <c r="U199" s="387">
        <f>'Portefeuille SP2'!K215</f>
        <v>0</v>
      </c>
      <c r="V199" s="399">
        <f>'Portefeuille SP2'!S215</f>
        <v>1</v>
      </c>
      <c r="W199" s="387"/>
      <c r="X199" s="387"/>
      <c r="Y199" s="387"/>
      <c r="Z199" s="387"/>
      <c r="AA199" s="387"/>
      <c r="AB199" s="387"/>
      <c r="AC199" s="387"/>
      <c r="AD199" s="387"/>
      <c r="AE199" s="408">
        <f>'Portefeuille SP2'!J215</f>
        <v>0</v>
      </c>
      <c r="AF199" s="387"/>
      <c r="AG199" s="387"/>
      <c r="AH199" s="389"/>
      <c r="AI199" s="389"/>
      <c r="AJ199" s="403">
        <f>'Portefeuille SP2'!V215</f>
        <v>0</v>
      </c>
      <c r="AK199" s="403">
        <f>'Portefeuille SP2'!W215</f>
        <v>0</v>
      </c>
      <c r="AL199" s="403">
        <f>'Portefeuille SP2'!X215</f>
        <v>0</v>
      </c>
      <c r="AM199" s="403">
        <f>'Portefeuille SP2'!Y215</f>
        <v>1</v>
      </c>
      <c r="AN199" s="403">
        <f>'Portefeuille SP2'!Z215</f>
        <v>1</v>
      </c>
      <c r="AO199" s="403">
        <f>'Portefeuille SP2'!AA215</f>
        <v>0</v>
      </c>
      <c r="AP199" s="403">
        <f>'Portefeuille SP2'!AB215</f>
        <v>0</v>
      </c>
      <c r="AQ199" s="403">
        <f>'Portefeuille SP2'!AC215</f>
        <v>1</v>
      </c>
      <c r="AR199" s="403">
        <f>'Portefeuille SP2'!AD215</f>
        <v>1</v>
      </c>
      <c r="AS199" s="403">
        <f>'Portefeuille SP2'!AE215</f>
        <v>0</v>
      </c>
      <c r="AT199" s="403">
        <f>'Portefeuille SP2'!AF215</f>
        <v>0</v>
      </c>
      <c r="AU199" s="403">
        <f>'Portefeuille SP2'!AG215</f>
        <v>0</v>
      </c>
      <c r="AV199" s="403">
        <f>'Portefeuille SP2'!AH215</f>
        <v>1</v>
      </c>
      <c r="AW199" s="403">
        <f>'Portefeuille SP2'!AI215</f>
        <v>1</v>
      </c>
      <c r="AX199" s="403">
        <f>'Portefeuille SP2'!AJ215</f>
        <v>0</v>
      </c>
      <c r="AY199" s="403">
        <f>'Portefeuille SP2'!AK215</f>
        <v>0</v>
      </c>
      <c r="AZ199" s="403">
        <f>'Portefeuille SP2'!AL215</f>
        <v>1</v>
      </c>
      <c r="BA199" s="403">
        <f>'Portefeuille SP2'!AM215</f>
        <v>1</v>
      </c>
      <c r="BB199" s="403">
        <f>'Portefeuille SP2'!AN215</f>
        <v>0</v>
      </c>
      <c r="BC199" s="403">
        <f>'Portefeuille SP2'!AO215</f>
        <v>0</v>
      </c>
      <c r="BD199" s="403">
        <f>'Portefeuille SP2'!AP215</f>
        <v>0</v>
      </c>
      <c r="BE199" s="403">
        <f>'Portefeuille SP2'!AQ215</f>
        <v>1</v>
      </c>
      <c r="BF199" s="403">
        <f>'Portefeuille SP2'!AR215</f>
        <v>1</v>
      </c>
      <c r="BG199" s="403" t="e">
        <f>'Portefeuille SP2'!#REF!</f>
        <v>#REF!</v>
      </c>
      <c r="BH199" s="403" t="e">
        <f>'Portefeuille SP2'!#REF!</f>
        <v>#REF!</v>
      </c>
      <c r="BI199" s="403" t="e">
        <f>'Portefeuille SP2'!#REF!</f>
        <v>#REF!</v>
      </c>
      <c r="BJ199" s="403" t="e">
        <f>'Portefeuille SP2'!#REF!</f>
        <v>#REF!</v>
      </c>
      <c r="BK199" s="403" t="e">
        <f>'Portefeuille SP2'!#REF!</f>
        <v>#REF!</v>
      </c>
      <c r="BL199" s="388"/>
      <c r="BM199" s="404">
        <f>'Portefeuille SP2'!L215</f>
        <v>0</v>
      </c>
    </row>
    <row r="200" spans="1:65" ht="15" customHeight="1">
      <c r="A200" s="383">
        <f>'Portefeuille SP2'!B216</f>
        <v>45832</v>
      </c>
      <c r="B200" s="390" t="str">
        <f>'Portefeuille SP2'!Q216</f>
        <v>CANCELED</v>
      </c>
      <c r="C200" s="384"/>
      <c r="D200" s="382" t="str">
        <f>'Portefeuille SP2'!E216</f>
        <v>TH</v>
      </c>
      <c r="E200" s="382" t="str">
        <f t="shared" si="12"/>
        <v>BIW</v>
      </c>
      <c r="F200" s="382" t="str">
        <f t="shared" si="13"/>
        <v/>
      </c>
      <c r="G200" s="382" t="str">
        <f>'Portefeuille SP2'!C216</f>
        <v>SPC_1</v>
      </c>
      <c r="H200" s="382">
        <f>'Portefeuille SP2'!F216</f>
        <v>0</v>
      </c>
      <c r="I200" s="382"/>
      <c r="J200" s="382" t="str">
        <f>'Portefeuille SP2'!D216</f>
        <v xml:space="preserve">BIW </v>
      </c>
      <c r="K200" s="385" t="str">
        <f>'Portefeuille SP2'!H216</f>
        <v>underbody reinforcement like T76</v>
      </c>
      <c r="L200" s="157">
        <f>'Portefeuille SP2'!U216</f>
        <v>17</v>
      </c>
      <c r="M200" s="386"/>
      <c r="N200" s="386"/>
      <c r="O200" s="386"/>
      <c r="P200" s="387">
        <f>'Portefeuille SP2'!M216</f>
        <v>0</v>
      </c>
      <c r="Q200" s="387"/>
      <c r="R200" s="387">
        <f>'Portefeuille SP2'!N216</f>
        <v>0</v>
      </c>
      <c r="S200" s="387"/>
      <c r="T200" s="382" t="str">
        <f>'Portefeuille SP2'!R216</f>
        <v xml:space="preserve">Step1 </v>
      </c>
      <c r="U200" s="387">
        <f>'Portefeuille SP2'!K216</f>
        <v>0</v>
      </c>
      <c r="V200" s="399">
        <f>'Portefeuille SP2'!S216</f>
        <v>1</v>
      </c>
      <c r="W200" s="387"/>
      <c r="X200" s="387"/>
      <c r="Y200" s="387"/>
      <c r="Z200" s="387"/>
      <c r="AA200" s="387"/>
      <c r="AB200" s="387"/>
      <c r="AC200" s="387"/>
      <c r="AD200" s="387"/>
      <c r="AE200" s="400">
        <f>'Portefeuille SP2'!J216</f>
        <v>0</v>
      </c>
      <c r="AF200" s="387"/>
      <c r="AG200" s="387"/>
      <c r="AH200" s="389"/>
      <c r="AI200" s="389"/>
      <c r="AJ200" s="403">
        <f>'Portefeuille SP2'!V216</f>
        <v>0</v>
      </c>
      <c r="AK200" s="403">
        <f>'Portefeuille SP2'!W216</f>
        <v>0</v>
      </c>
      <c r="AL200" s="403">
        <f>'Portefeuille SP2'!X216</f>
        <v>0</v>
      </c>
      <c r="AM200" s="403">
        <f>'Portefeuille SP2'!Y216</f>
        <v>1</v>
      </c>
      <c r="AN200" s="403">
        <f>'Portefeuille SP2'!Z216</f>
        <v>1</v>
      </c>
      <c r="AO200" s="403">
        <f>'Portefeuille SP2'!AA216</f>
        <v>0</v>
      </c>
      <c r="AP200" s="403">
        <f>'Portefeuille SP2'!AB216</f>
        <v>0</v>
      </c>
      <c r="AQ200" s="403">
        <f>'Portefeuille SP2'!AC216</f>
        <v>1</v>
      </c>
      <c r="AR200" s="403">
        <f>'Portefeuille SP2'!AD216</f>
        <v>1</v>
      </c>
      <c r="AS200" s="403">
        <f>'Portefeuille SP2'!AE216</f>
        <v>0</v>
      </c>
      <c r="AT200" s="403">
        <f>'Portefeuille SP2'!AF216</f>
        <v>0</v>
      </c>
      <c r="AU200" s="403">
        <f>'Portefeuille SP2'!AG216</f>
        <v>0</v>
      </c>
      <c r="AV200" s="403">
        <f>'Portefeuille SP2'!AH216</f>
        <v>1</v>
      </c>
      <c r="AW200" s="403">
        <f>'Portefeuille SP2'!AI216</f>
        <v>1</v>
      </c>
      <c r="AX200" s="403">
        <f>'Portefeuille SP2'!AJ216</f>
        <v>0</v>
      </c>
      <c r="AY200" s="403">
        <f>'Portefeuille SP2'!AK216</f>
        <v>0</v>
      </c>
      <c r="AZ200" s="403">
        <f>'Portefeuille SP2'!AL216</f>
        <v>1</v>
      </c>
      <c r="BA200" s="403">
        <f>'Portefeuille SP2'!AM216</f>
        <v>1</v>
      </c>
      <c r="BB200" s="403">
        <f>'Portefeuille SP2'!AN216</f>
        <v>0</v>
      </c>
      <c r="BC200" s="403">
        <f>'Portefeuille SP2'!AO216</f>
        <v>0</v>
      </c>
      <c r="BD200" s="403">
        <f>'Portefeuille SP2'!AP216</f>
        <v>0</v>
      </c>
      <c r="BE200" s="403">
        <f>'Portefeuille SP2'!AQ216</f>
        <v>1</v>
      </c>
      <c r="BF200" s="403">
        <f>'Portefeuille SP2'!AR216</f>
        <v>1</v>
      </c>
      <c r="BG200" s="403" t="e">
        <f>'Portefeuille SP2'!#REF!</f>
        <v>#REF!</v>
      </c>
      <c r="BH200" s="403" t="e">
        <f>'Portefeuille SP2'!#REF!</f>
        <v>#REF!</v>
      </c>
      <c r="BI200" s="403" t="e">
        <f>'Portefeuille SP2'!#REF!</f>
        <v>#REF!</v>
      </c>
      <c r="BJ200" s="403" t="e">
        <f>'Portefeuille SP2'!#REF!</f>
        <v>#REF!</v>
      </c>
      <c r="BK200" s="403" t="e">
        <f>'Portefeuille SP2'!#REF!</f>
        <v>#REF!</v>
      </c>
      <c r="BL200" s="388"/>
      <c r="BM200" s="404">
        <f>'Portefeuille SP2'!L216</f>
        <v>0</v>
      </c>
    </row>
    <row r="201" spans="1:65" ht="15" customHeight="1">
      <c r="A201" s="383">
        <f>'Portefeuille SP2'!B217</f>
        <v>45335</v>
      </c>
      <c r="B201" s="390" t="str">
        <f>'Portefeuille SP2'!Q217</f>
        <v>CANCELED</v>
      </c>
      <c r="C201" s="384"/>
      <c r="D201" s="382" t="str">
        <f>'Portefeuille SP2'!E217</f>
        <v>TH</v>
      </c>
      <c r="E201" s="382" t="str">
        <f t="shared" ref="E201:E264" si="21">LEFT(J201,3)</f>
        <v>BIW</v>
      </c>
      <c r="F201" s="382" t="str">
        <f t="shared" ref="F201:F204" si="22">MID(J201, 4, 20)</f>
        <v xml:space="preserve"> </v>
      </c>
      <c r="G201" s="382" t="str">
        <f>'Portefeuille SP2'!C217</f>
        <v>SPC_1</v>
      </c>
      <c r="H201" s="382" t="str">
        <f>'Portefeuille SP2'!F217</f>
        <v>NICOLAS TESSIER</v>
      </c>
      <c r="I201" s="382" t="s">
        <v>1213</v>
      </c>
      <c r="J201" s="382" t="str">
        <f>'Portefeuille SP2'!D217</f>
        <v xml:space="preserve">BIW </v>
      </c>
      <c r="K201" s="385" t="str">
        <f>'Portefeuille SP2'!H217</f>
        <v>LAMINATED WINDSCREEN change thickness</v>
      </c>
      <c r="L201" s="157">
        <f>'Portefeuille SP2'!U217</f>
        <v>0</v>
      </c>
      <c r="M201" s="386"/>
      <c r="N201" s="386"/>
      <c r="O201" s="386"/>
      <c r="P201" s="400">
        <f>'Portefeuille SP2'!M217</f>
        <v>0</v>
      </c>
      <c r="Q201" s="387"/>
      <c r="R201" s="387">
        <f>'Portefeuille SP2'!N217</f>
        <v>0</v>
      </c>
      <c r="S201" s="387"/>
      <c r="T201" s="382" t="str">
        <f>'Portefeuille SP2'!R217</f>
        <v xml:space="preserve">Step1 </v>
      </c>
      <c r="U201" s="387">
        <f>'Portefeuille SP2'!K217</f>
        <v>0</v>
      </c>
      <c r="V201" s="399">
        <f>'Portefeuille SP2'!S217</f>
        <v>1</v>
      </c>
      <c r="W201" s="387"/>
      <c r="X201" s="387"/>
      <c r="Y201" s="387"/>
      <c r="Z201" s="387"/>
      <c r="AA201" s="387"/>
      <c r="AB201" s="387"/>
      <c r="AC201" s="387"/>
      <c r="AD201" s="387"/>
      <c r="AE201" s="408">
        <f>'Portefeuille SP2'!J217</f>
        <v>0</v>
      </c>
      <c r="AF201" s="387"/>
      <c r="AG201" s="387"/>
      <c r="AH201" s="389"/>
      <c r="AI201" s="389"/>
      <c r="AJ201" s="403">
        <f>'Portefeuille SP2'!V217</f>
        <v>0</v>
      </c>
      <c r="AK201" s="403">
        <f>'Portefeuille SP2'!W217</f>
        <v>0</v>
      </c>
      <c r="AL201" s="403">
        <f>'Portefeuille SP2'!X217</f>
        <v>0</v>
      </c>
      <c r="AM201" s="403">
        <f>'Portefeuille SP2'!Y217</f>
        <v>1</v>
      </c>
      <c r="AN201" s="403">
        <f>'Portefeuille SP2'!Z217</f>
        <v>1</v>
      </c>
      <c r="AO201" s="403">
        <f>'Portefeuille SP2'!AA217</f>
        <v>0</v>
      </c>
      <c r="AP201" s="403">
        <f>'Portefeuille SP2'!AB217</f>
        <v>0</v>
      </c>
      <c r="AQ201" s="403">
        <f>'Portefeuille SP2'!AC217</f>
        <v>1</v>
      </c>
      <c r="AR201" s="403">
        <f>'Portefeuille SP2'!AD217</f>
        <v>1</v>
      </c>
      <c r="AS201" s="403">
        <f>'Portefeuille SP2'!AE217</f>
        <v>0</v>
      </c>
      <c r="AT201" s="403">
        <f>'Portefeuille SP2'!AF217</f>
        <v>0</v>
      </c>
      <c r="AU201" s="403">
        <f>'Portefeuille SP2'!AG217</f>
        <v>0</v>
      </c>
      <c r="AV201" s="403">
        <f>'Portefeuille SP2'!AH217</f>
        <v>1</v>
      </c>
      <c r="AW201" s="403">
        <f>'Portefeuille SP2'!AI217</f>
        <v>1</v>
      </c>
      <c r="AX201" s="403">
        <f>'Portefeuille SP2'!AJ217</f>
        <v>0</v>
      </c>
      <c r="AY201" s="403">
        <f>'Portefeuille SP2'!AK217</f>
        <v>0</v>
      </c>
      <c r="AZ201" s="403">
        <f>'Portefeuille SP2'!AL217</f>
        <v>1</v>
      </c>
      <c r="BA201" s="403">
        <f>'Portefeuille SP2'!AM217</f>
        <v>1</v>
      </c>
      <c r="BB201" s="403">
        <f>'Portefeuille SP2'!AN217</f>
        <v>0</v>
      </c>
      <c r="BC201" s="403">
        <f>'Portefeuille SP2'!AO217</f>
        <v>0</v>
      </c>
      <c r="BD201" s="403">
        <f>'Portefeuille SP2'!AP217</f>
        <v>0</v>
      </c>
      <c r="BE201" s="403">
        <f>'Portefeuille SP2'!AQ217</f>
        <v>1</v>
      </c>
      <c r="BF201" s="403">
        <f>'Portefeuille SP2'!AR217</f>
        <v>1</v>
      </c>
      <c r="BG201" s="403" t="e">
        <f>'Portefeuille SP2'!#REF!</f>
        <v>#REF!</v>
      </c>
      <c r="BH201" s="403" t="e">
        <f>'Portefeuille SP2'!#REF!</f>
        <v>#REF!</v>
      </c>
      <c r="BI201" s="403" t="e">
        <f>'Portefeuille SP2'!#REF!</f>
        <v>#REF!</v>
      </c>
      <c r="BJ201" s="403" t="e">
        <f>'Portefeuille SP2'!#REF!</f>
        <v>#REF!</v>
      </c>
      <c r="BK201" s="403" t="e">
        <f>'Portefeuille SP2'!#REF!</f>
        <v>#REF!</v>
      </c>
      <c r="BL201" s="388"/>
      <c r="BM201" s="404">
        <f>'Portefeuille SP2'!L217</f>
        <v>0</v>
      </c>
    </row>
    <row r="202" spans="1:65" ht="15" customHeight="1">
      <c r="A202" s="383">
        <f>'Portefeuille SP2'!B218</f>
        <v>45335</v>
      </c>
      <c r="B202" s="390" t="str">
        <f>'Portefeuille SP2'!Q218</f>
        <v>CANCELED</v>
      </c>
      <c r="C202" s="384"/>
      <c r="D202" s="382" t="str">
        <f>'Portefeuille SP2'!E218</f>
        <v>TH</v>
      </c>
      <c r="E202" s="382" t="str">
        <f t="shared" si="21"/>
        <v>BIW</v>
      </c>
      <c r="F202" s="382" t="str">
        <f t="shared" si="22"/>
        <v xml:space="preserve"> </v>
      </c>
      <c r="G202" s="382" t="str">
        <f>'Portefeuille SP2'!C218</f>
        <v>SPC_1</v>
      </c>
      <c r="H202" s="382" t="str">
        <f>'Portefeuille SP2'!F218</f>
        <v>NICOLAS TESSIER</v>
      </c>
      <c r="I202" s="382" t="s">
        <v>1213</v>
      </c>
      <c r="J202" s="382" t="str">
        <f>'Portefeuille SP2'!D218</f>
        <v xml:space="preserve">BIW </v>
      </c>
      <c r="K202" s="385" t="str">
        <f>'Portefeuille SP2'!H218</f>
        <v>downsizing REINFORCER door</v>
      </c>
      <c r="L202" s="157">
        <f>'Portefeuille SP2'!U218</f>
        <v>0</v>
      </c>
      <c r="M202" s="386"/>
      <c r="N202" s="386"/>
      <c r="O202" s="386"/>
      <c r="P202" s="400">
        <f>'Portefeuille SP2'!M218</f>
        <v>0</v>
      </c>
      <c r="Q202" s="387"/>
      <c r="R202" s="387">
        <f>'Portefeuille SP2'!N218</f>
        <v>0</v>
      </c>
      <c r="S202" s="387"/>
      <c r="T202" s="382" t="str">
        <f>'Portefeuille SP2'!R218</f>
        <v xml:space="preserve">Step1 </v>
      </c>
      <c r="U202" s="387">
        <f>'Portefeuille SP2'!K218</f>
        <v>0</v>
      </c>
      <c r="V202" s="399">
        <f>'Portefeuille SP2'!S218</f>
        <v>1</v>
      </c>
      <c r="W202" s="387"/>
      <c r="X202" s="387"/>
      <c r="Y202" s="387"/>
      <c r="Z202" s="387"/>
      <c r="AA202" s="387"/>
      <c r="AB202" s="387"/>
      <c r="AC202" s="387"/>
      <c r="AD202" s="387"/>
      <c r="AE202" s="408">
        <f>'Portefeuille SP2'!J218</f>
        <v>0</v>
      </c>
      <c r="AF202" s="387"/>
      <c r="AG202" s="387"/>
      <c r="AH202" s="389"/>
      <c r="AI202" s="389"/>
      <c r="AJ202" s="403">
        <f>'Portefeuille SP2'!V218</f>
        <v>0</v>
      </c>
      <c r="AK202" s="403">
        <f>'Portefeuille SP2'!W218</f>
        <v>0</v>
      </c>
      <c r="AL202" s="403">
        <f>'Portefeuille SP2'!X218</f>
        <v>0</v>
      </c>
      <c r="AM202" s="403">
        <f>'Portefeuille SP2'!Y218</f>
        <v>1</v>
      </c>
      <c r="AN202" s="403">
        <f>'Portefeuille SP2'!Z218</f>
        <v>1</v>
      </c>
      <c r="AO202" s="403">
        <f>'Portefeuille SP2'!AA218</f>
        <v>0</v>
      </c>
      <c r="AP202" s="403">
        <f>'Portefeuille SP2'!AB218</f>
        <v>0</v>
      </c>
      <c r="AQ202" s="403">
        <f>'Portefeuille SP2'!AC218</f>
        <v>1</v>
      </c>
      <c r="AR202" s="403">
        <f>'Portefeuille SP2'!AD218</f>
        <v>1</v>
      </c>
      <c r="AS202" s="403">
        <f>'Portefeuille SP2'!AE218</f>
        <v>0</v>
      </c>
      <c r="AT202" s="403">
        <f>'Portefeuille SP2'!AF218</f>
        <v>0</v>
      </c>
      <c r="AU202" s="403">
        <f>'Portefeuille SP2'!AG218</f>
        <v>0</v>
      </c>
      <c r="AV202" s="403">
        <f>'Portefeuille SP2'!AH218</f>
        <v>1</v>
      </c>
      <c r="AW202" s="403">
        <f>'Portefeuille SP2'!AI218</f>
        <v>1</v>
      </c>
      <c r="AX202" s="403">
        <f>'Portefeuille SP2'!AJ218</f>
        <v>0</v>
      </c>
      <c r="AY202" s="403">
        <f>'Portefeuille SP2'!AK218</f>
        <v>0</v>
      </c>
      <c r="AZ202" s="403">
        <f>'Portefeuille SP2'!AL218</f>
        <v>1</v>
      </c>
      <c r="BA202" s="403">
        <f>'Portefeuille SP2'!AM218</f>
        <v>1</v>
      </c>
      <c r="BB202" s="403">
        <f>'Portefeuille SP2'!AN218</f>
        <v>0</v>
      </c>
      <c r="BC202" s="403">
        <f>'Portefeuille SP2'!AO218</f>
        <v>0</v>
      </c>
      <c r="BD202" s="403">
        <f>'Portefeuille SP2'!AP218</f>
        <v>0</v>
      </c>
      <c r="BE202" s="403">
        <f>'Portefeuille SP2'!AQ218</f>
        <v>1</v>
      </c>
      <c r="BF202" s="403">
        <f>'Portefeuille SP2'!AR218</f>
        <v>1</v>
      </c>
      <c r="BG202" s="403" t="e">
        <f>'Portefeuille SP2'!#REF!</f>
        <v>#REF!</v>
      </c>
      <c r="BH202" s="403" t="e">
        <f>'Portefeuille SP2'!#REF!</f>
        <v>#REF!</v>
      </c>
      <c r="BI202" s="403" t="e">
        <f>'Portefeuille SP2'!#REF!</f>
        <v>#REF!</v>
      </c>
      <c r="BJ202" s="403" t="e">
        <f>'Portefeuille SP2'!#REF!</f>
        <v>#REF!</v>
      </c>
      <c r="BK202" s="403" t="e">
        <f>'Portefeuille SP2'!#REF!</f>
        <v>#REF!</v>
      </c>
      <c r="BL202" s="388"/>
      <c r="BM202" s="404">
        <f>'Portefeuille SP2'!L218</f>
        <v>0</v>
      </c>
    </row>
    <row r="203" spans="1:65" ht="15" customHeight="1">
      <c r="A203" s="383">
        <f>'Portefeuille SP2'!B219</f>
        <v>45335</v>
      </c>
      <c r="B203" s="390" t="str">
        <f>'Portefeuille SP2'!Q219</f>
        <v>CANCELED</v>
      </c>
      <c r="C203" s="384"/>
      <c r="D203" s="382" t="str">
        <f>'Portefeuille SP2'!E219</f>
        <v>TH</v>
      </c>
      <c r="E203" s="382" t="str">
        <f t="shared" si="21"/>
        <v>BIW</v>
      </c>
      <c r="F203" s="382" t="str">
        <f t="shared" si="22"/>
        <v xml:space="preserve"> </v>
      </c>
      <c r="G203" s="382" t="str">
        <f>'Portefeuille SP2'!C219</f>
        <v>SPC_1</v>
      </c>
      <c r="H203" s="382" t="str">
        <f>'Portefeuille SP2'!F219</f>
        <v>NICOLAS TESSIER</v>
      </c>
      <c r="I203" s="382" t="s">
        <v>1213</v>
      </c>
      <c r="J203" s="382" t="str">
        <f>'Portefeuille SP2'!D219</f>
        <v xml:space="preserve">BIW </v>
      </c>
      <c r="K203" s="385" t="str">
        <f>'Portefeuille SP2'!H219</f>
        <v>Lev 0 =&gt; impact</v>
      </c>
      <c r="L203" s="157">
        <f>'Portefeuille SP2'!U219</f>
        <v>0</v>
      </c>
      <c r="M203" s="386"/>
      <c r="N203" s="386"/>
      <c r="O203" s="386"/>
      <c r="P203" s="400">
        <f>'Portefeuille SP2'!M219</f>
        <v>0</v>
      </c>
      <c r="Q203" s="387"/>
      <c r="R203" s="387">
        <f>'Portefeuille SP2'!N219</f>
        <v>0</v>
      </c>
      <c r="S203" s="387"/>
      <c r="T203" s="382" t="str">
        <f>'Portefeuille SP2'!R219</f>
        <v>TBD</v>
      </c>
      <c r="U203" s="387">
        <f>'Portefeuille SP2'!K219</f>
        <v>0</v>
      </c>
      <c r="V203" s="399">
        <f>'Portefeuille SP2'!S219</f>
        <v>1</v>
      </c>
      <c r="W203" s="387"/>
      <c r="X203" s="387"/>
      <c r="Y203" s="387"/>
      <c r="Z203" s="387"/>
      <c r="AA203" s="387"/>
      <c r="AB203" s="387"/>
      <c r="AC203" s="387"/>
      <c r="AD203" s="387"/>
      <c r="AE203" s="408">
        <f>'Portefeuille SP2'!J219</f>
        <v>0</v>
      </c>
      <c r="AF203" s="387"/>
      <c r="AG203" s="387"/>
      <c r="AH203" s="389"/>
      <c r="AI203" s="389"/>
      <c r="AJ203" s="403">
        <f>'Portefeuille SP2'!V219</f>
        <v>0</v>
      </c>
      <c r="AK203" s="403">
        <f>'Portefeuille SP2'!W219</f>
        <v>0</v>
      </c>
      <c r="AL203" s="403">
        <f>'Portefeuille SP2'!X219</f>
        <v>0</v>
      </c>
      <c r="AM203" s="403">
        <f>'Portefeuille SP2'!Y219</f>
        <v>1</v>
      </c>
      <c r="AN203" s="403">
        <f>'Portefeuille SP2'!Z219</f>
        <v>1</v>
      </c>
      <c r="AO203" s="403">
        <f>'Portefeuille SP2'!AA219</f>
        <v>0</v>
      </c>
      <c r="AP203" s="403">
        <f>'Portefeuille SP2'!AB219</f>
        <v>0</v>
      </c>
      <c r="AQ203" s="403">
        <f>'Portefeuille SP2'!AC219</f>
        <v>1</v>
      </c>
      <c r="AR203" s="403">
        <f>'Portefeuille SP2'!AD219</f>
        <v>1</v>
      </c>
      <c r="AS203" s="403">
        <f>'Portefeuille SP2'!AE219</f>
        <v>0</v>
      </c>
      <c r="AT203" s="403">
        <f>'Portefeuille SP2'!AF219</f>
        <v>0</v>
      </c>
      <c r="AU203" s="403">
        <f>'Portefeuille SP2'!AG219</f>
        <v>0</v>
      </c>
      <c r="AV203" s="403">
        <f>'Portefeuille SP2'!AH219</f>
        <v>1</v>
      </c>
      <c r="AW203" s="403">
        <f>'Portefeuille SP2'!AI219</f>
        <v>1</v>
      </c>
      <c r="AX203" s="403">
        <f>'Portefeuille SP2'!AJ219</f>
        <v>0</v>
      </c>
      <c r="AY203" s="403">
        <f>'Portefeuille SP2'!AK219</f>
        <v>0</v>
      </c>
      <c r="AZ203" s="403">
        <f>'Portefeuille SP2'!AL219</f>
        <v>1</v>
      </c>
      <c r="BA203" s="403">
        <f>'Portefeuille SP2'!AM219</f>
        <v>1</v>
      </c>
      <c r="BB203" s="403">
        <f>'Portefeuille SP2'!AN219</f>
        <v>0</v>
      </c>
      <c r="BC203" s="403">
        <f>'Portefeuille SP2'!AO219</f>
        <v>0</v>
      </c>
      <c r="BD203" s="403">
        <f>'Portefeuille SP2'!AP219</f>
        <v>0</v>
      </c>
      <c r="BE203" s="403">
        <f>'Portefeuille SP2'!AQ219</f>
        <v>1</v>
      </c>
      <c r="BF203" s="403">
        <f>'Portefeuille SP2'!AR219</f>
        <v>1</v>
      </c>
      <c r="BG203" s="403" t="e">
        <f>'Portefeuille SP2'!#REF!</f>
        <v>#REF!</v>
      </c>
      <c r="BH203" s="403" t="e">
        <f>'Portefeuille SP2'!#REF!</f>
        <v>#REF!</v>
      </c>
      <c r="BI203" s="403" t="e">
        <f>'Portefeuille SP2'!#REF!</f>
        <v>#REF!</v>
      </c>
      <c r="BJ203" s="403" t="e">
        <f>'Portefeuille SP2'!#REF!</f>
        <v>#REF!</v>
      </c>
      <c r="BK203" s="403" t="e">
        <f>'Portefeuille SP2'!#REF!</f>
        <v>#REF!</v>
      </c>
      <c r="BL203" s="388"/>
      <c r="BM203" s="404">
        <f>'Portefeuille SP2'!L219</f>
        <v>0</v>
      </c>
    </row>
    <row r="204" spans="1:65" ht="15" customHeight="1">
      <c r="A204" s="383">
        <f>'Portefeuille SP2'!B220</f>
        <v>45335</v>
      </c>
      <c r="B204" s="390" t="str">
        <f>'Portefeuille SP2'!Q220</f>
        <v>CANCELED</v>
      </c>
      <c r="C204" s="384"/>
      <c r="D204" s="382" t="str">
        <f>'Portefeuille SP2'!E220</f>
        <v>TH</v>
      </c>
      <c r="E204" s="382" t="str">
        <f t="shared" si="21"/>
        <v>BIW</v>
      </c>
      <c r="F204" s="382" t="str">
        <f t="shared" si="22"/>
        <v xml:space="preserve"> </v>
      </c>
      <c r="G204" s="382" t="str">
        <f>'Portefeuille SP2'!C220</f>
        <v>SPC_1</v>
      </c>
      <c r="H204" s="382" t="str">
        <f>'Portefeuille SP2'!F220</f>
        <v>NICOLAS TESSIER</v>
      </c>
      <c r="I204" s="382" t="s">
        <v>1213</v>
      </c>
      <c r="J204" s="382" t="str">
        <f>'Portefeuille SP2'!D220</f>
        <v xml:space="preserve">BIW </v>
      </c>
      <c r="K204" s="385" t="str">
        <f>'Portefeuille SP2'!H220</f>
        <v>ACOUSTICS</v>
      </c>
      <c r="L204" s="157">
        <f>'Portefeuille SP2'!U220</f>
        <v>0</v>
      </c>
      <c r="M204" s="386"/>
      <c r="N204" s="386"/>
      <c r="O204" s="386"/>
      <c r="P204" s="400">
        <f>'Portefeuille SP2'!M220</f>
        <v>0</v>
      </c>
      <c r="Q204" s="387"/>
      <c r="R204" s="387">
        <f>'Portefeuille SP2'!N220</f>
        <v>0</v>
      </c>
      <c r="S204" s="387"/>
      <c r="T204" s="382" t="str">
        <f>'Portefeuille SP2'!R220</f>
        <v>TBD</v>
      </c>
      <c r="U204" s="387">
        <f>'Portefeuille SP2'!K220</f>
        <v>0</v>
      </c>
      <c r="V204" s="399">
        <f>'Portefeuille SP2'!S220</f>
        <v>1</v>
      </c>
      <c r="W204" s="387"/>
      <c r="X204" s="387"/>
      <c r="Y204" s="387"/>
      <c r="Z204" s="387"/>
      <c r="AA204" s="387"/>
      <c r="AB204" s="387"/>
      <c r="AC204" s="387"/>
      <c r="AD204" s="387"/>
      <c r="AE204" s="408">
        <f>'Portefeuille SP2'!J220</f>
        <v>0</v>
      </c>
      <c r="AF204" s="387"/>
      <c r="AG204" s="387"/>
      <c r="AH204" s="389"/>
      <c r="AI204" s="389"/>
      <c r="AJ204" s="403">
        <f>'Portefeuille SP2'!V220</f>
        <v>0</v>
      </c>
      <c r="AK204" s="403">
        <f>'Portefeuille SP2'!W220</f>
        <v>0</v>
      </c>
      <c r="AL204" s="403">
        <f>'Portefeuille SP2'!X220</f>
        <v>0</v>
      </c>
      <c r="AM204" s="403">
        <f>'Portefeuille SP2'!Y220</f>
        <v>1</v>
      </c>
      <c r="AN204" s="403">
        <f>'Portefeuille SP2'!Z220</f>
        <v>1</v>
      </c>
      <c r="AO204" s="403">
        <f>'Portefeuille SP2'!AA220</f>
        <v>0</v>
      </c>
      <c r="AP204" s="403">
        <f>'Portefeuille SP2'!AB220</f>
        <v>0</v>
      </c>
      <c r="AQ204" s="403">
        <f>'Portefeuille SP2'!AC220</f>
        <v>1</v>
      </c>
      <c r="AR204" s="403">
        <f>'Portefeuille SP2'!AD220</f>
        <v>1</v>
      </c>
      <c r="AS204" s="403">
        <f>'Portefeuille SP2'!AE220</f>
        <v>0</v>
      </c>
      <c r="AT204" s="403">
        <f>'Portefeuille SP2'!AF220</f>
        <v>0</v>
      </c>
      <c r="AU204" s="403">
        <f>'Portefeuille SP2'!AG220</f>
        <v>0</v>
      </c>
      <c r="AV204" s="403">
        <f>'Portefeuille SP2'!AH220</f>
        <v>1</v>
      </c>
      <c r="AW204" s="403">
        <f>'Portefeuille SP2'!AI220</f>
        <v>1</v>
      </c>
      <c r="AX204" s="403">
        <f>'Portefeuille SP2'!AJ220</f>
        <v>0</v>
      </c>
      <c r="AY204" s="403">
        <f>'Portefeuille SP2'!AK220</f>
        <v>0</v>
      </c>
      <c r="AZ204" s="403">
        <f>'Portefeuille SP2'!AL220</f>
        <v>1</v>
      </c>
      <c r="BA204" s="403">
        <f>'Portefeuille SP2'!AM220</f>
        <v>1</v>
      </c>
      <c r="BB204" s="403">
        <f>'Portefeuille SP2'!AN220</f>
        <v>0</v>
      </c>
      <c r="BC204" s="403">
        <f>'Portefeuille SP2'!AO220</f>
        <v>0</v>
      </c>
      <c r="BD204" s="403">
        <f>'Portefeuille SP2'!AP220</f>
        <v>0</v>
      </c>
      <c r="BE204" s="403">
        <f>'Portefeuille SP2'!AQ220</f>
        <v>1</v>
      </c>
      <c r="BF204" s="403">
        <f>'Portefeuille SP2'!AR220</f>
        <v>1</v>
      </c>
      <c r="BG204" s="403" t="e">
        <f>'Portefeuille SP2'!#REF!</f>
        <v>#REF!</v>
      </c>
      <c r="BH204" s="403" t="e">
        <f>'Portefeuille SP2'!#REF!</f>
        <v>#REF!</v>
      </c>
      <c r="BI204" s="403" t="e">
        <f>'Portefeuille SP2'!#REF!</f>
        <v>#REF!</v>
      </c>
      <c r="BJ204" s="403" t="e">
        <f>'Portefeuille SP2'!#REF!</f>
        <v>#REF!</v>
      </c>
      <c r="BK204" s="403" t="e">
        <f>'Portefeuille SP2'!#REF!</f>
        <v>#REF!</v>
      </c>
      <c r="BL204" s="388"/>
      <c r="BM204" s="404">
        <f>'Portefeuille SP2'!L220</f>
        <v>0</v>
      </c>
    </row>
    <row r="205" spans="1:65" ht="15" customHeight="1">
      <c r="A205" s="383">
        <f>'Portefeuille SP2'!B221</f>
        <v>45335</v>
      </c>
      <c r="B205" s="390" t="str">
        <f>'Portefeuille SP2'!Q221</f>
        <v>DECIDED</v>
      </c>
      <c r="C205" s="384"/>
      <c r="D205" s="382" t="str">
        <f>'Portefeuille SP2'!E221</f>
        <v>PTF</v>
      </c>
      <c r="E205" s="382" t="str">
        <f t="shared" si="21"/>
        <v>BIW</v>
      </c>
      <c r="F205" s="382" t="str">
        <f t="shared" ref="F205:F264" si="23">MID(J205, 6, 20)</f>
        <v/>
      </c>
      <c r="G205" s="382" t="str">
        <f>'Portefeuille SP2'!C221</f>
        <v>SPC_1</v>
      </c>
      <c r="H205" s="382">
        <f>'Portefeuille SP2'!F221</f>
        <v>0</v>
      </c>
      <c r="I205" s="382"/>
      <c r="J205" s="382" t="str">
        <f>'Portefeuille SP2'!D221</f>
        <v xml:space="preserve">BIW </v>
      </c>
      <c r="K205" s="385" t="str">
        <f>'Portefeuille SP2'!H221</f>
        <v>Fuel tank =&gt; 45 L for SP2 &amp; 40 L for SP1</v>
      </c>
      <c r="L205" s="157">
        <f>'Portefeuille SP2'!U221</f>
        <v>-6</v>
      </c>
      <c r="M205" s="386"/>
      <c r="N205" s="386"/>
      <c r="O205" s="386"/>
      <c r="P205" s="387">
        <f>'Portefeuille SP2'!M221</f>
        <v>0</v>
      </c>
      <c r="Q205" s="387"/>
      <c r="R205" s="387">
        <f>'Portefeuille SP2'!N221</f>
        <v>0</v>
      </c>
      <c r="S205" s="387"/>
      <c r="T205" s="382" t="str">
        <f>'Portefeuille SP2'!R221</f>
        <v>TBD</v>
      </c>
      <c r="U205" s="387">
        <f>'Portefeuille SP2'!K221</f>
        <v>0</v>
      </c>
      <c r="V205" s="399">
        <f>'Portefeuille SP2'!S221</f>
        <v>1</v>
      </c>
      <c r="W205" s="387"/>
      <c r="X205" s="387"/>
      <c r="Y205" s="387"/>
      <c r="Z205" s="387"/>
      <c r="AA205" s="387"/>
      <c r="AB205" s="387"/>
      <c r="AC205" s="387"/>
      <c r="AD205" s="387"/>
      <c r="AE205" s="400">
        <f>'Portefeuille SP2'!J221</f>
        <v>0</v>
      </c>
      <c r="AF205" s="387"/>
      <c r="AG205" s="387"/>
      <c r="AH205" s="389"/>
      <c r="AI205" s="389"/>
      <c r="AJ205" s="403">
        <f>'Portefeuille SP2'!V221</f>
        <v>0</v>
      </c>
      <c r="AK205" s="403">
        <f>'Portefeuille SP2'!W221</f>
        <v>0</v>
      </c>
      <c r="AL205" s="403">
        <f>'Portefeuille SP2'!X221</f>
        <v>0</v>
      </c>
      <c r="AM205" s="403">
        <f>'Portefeuille SP2'!Y221</f>
        <v>1</v>
      </c>
      <c r="AN205" s="403">
        <f>'Portefeuille SP2'!Z221</f>
        <v>1</v>
      </c>
      <c r="AO205" s="403">
        <f>'Portefeuille SP2'!AA221</f>
        <v>0</v>
      </c>
      <c r="AP205" s="403">
        <f>'Portefeuille SP2'!AB221</f>
        <v>0</v>
      </c>
      <c r="AQ205" s="403">
        <f>'Portefeuille SP2'!AC221</f>
        <v>1</v>
      </c>
      <c r="AR205" s="403">
        <f>'Portefeuille SP2'!AD221</f>
        <v>1</v>
      </c>
      <c r="AS205" s="403">
        <f>'Portefeuille SP2'!AE221</f>
        <v>0</v>
      </c>
      <c r="AT205" s="403">
        <f>'Portefeuille SP2'!AF221</f>
        <v>0</v>
      </c>
      <c r="AU205" s="403">
        <f>'Portefeuille SP2'!AG221</f>
        <v>0</v>
      </c>
      <c r="AV205" s="403">
        <f>'Portefeuille SP2'!AH221</f>
        <v>1</v>
      </c>
      <c r="AW205" s="403">
        <f>'Portefeuille SP2'!AI221</f>
        <v>1</v>
      </c>
      <c r="AX205" s="403">
        <f>'Portefeuille SP2'!AJ221</f>
        <v>0</v>
      </c>
      <c r="AY205" s="403">
        <f>'Portefeuille SP2'!AK221</f>
        <v>0</v>
      </c>
      <c r="AZ205" s="403">
        <f>'Portefeuille SP2'!AL221</f>
        <v>1</v>
      </c>
      <c r="BA205" s="403">
        <f>'Portefeuille SP2'!AM221</f>
        <v>1</v>
      </c>
      <c r="BB205" s="403">
        <f>'Portefeuille SP2'!AN221</f>
        <v>0</v>
      </c>
      <c r="BC205" s="403">
        <f>'Portefeuille SP2'!AO221</f>
        <v>0</v>
      </c>
      <c r="BD205" s="403">
        <f>'Portefeuille SP2'!AP221</f>
        <v>0</v>
      </c>
      <c r="BE205" s="403">
        <f>'Portefeuille SP2'!AQ221</f>
        <v>1</v>
      </c>
      <c r="BF205" s="403">
        <f>'Portefeuille SP2'!AR221</f>
        <v>1</v>
      </c>
      <c r="BG205" s="403" t="e">
        <f>'Portefeuille SP2'!#REF!</f>
        <v>#REF!</v>
      </c>
      <c r="BH205" s="403" t="e">
        <f>'Portefeuille SP2'!#REF!</f>
        <v>#REF!</v>
      </c>
      <c r="BI205" s="403" t="e">
        <f>'Portefeuille SP2'!#REF!</f>
        <v>#REF!</v>
      </c>
      <c r="BJ205" s="403" t="e">
        <f>'Portefeuille SP2'!#REF!</f>
        <v>#REF!</v>
      </c>
      <c r="BK205" s="403" t="e">
        <f>'Portefeuille SP2'!#REF!</f>
        <v>#REF!</v>
      </c>
      <c r="BL205" s="388"/>
      <c r="BM205" s="404">
        <f>'Portefeuille SP2'!L221</f>
        <v>0</v>
      </c>
    </row>
    <row r="206" spans="1:65" ht="15" customHeight="1">
      <c r="A206" s="383">
        <f>'Portefeuille SP2'!B222</f>
        <v>45335</v>
      </c>
      <c r="B206" s="390" t="str">
        <f>'Portefeuille SP2'!Q222</f>
        <v>CANCELED</v>
      </c>
      <c r="C206" s="384"/>
      <c r="D206" s="382" t="str">
        <f>'Portefeuille SP2'!E222</f>
        <v>PTF</v>
      </c>
      <c r="E206" s="382" t="str">
        <f t="shared" si="21"/>
        <v>PHE</v>
      </c>
      <c r="F206" s="382" t="str">
        <f t="shared" ref="F206:F208" si="24">MID(J206, 4, 20)</f>
        <v>S</v>
      </c>
      <c r="G206" s="382" t="str">
        <f>'Portefeuille SP2'!C222</f>
        <v>SPC_1</v>
      </c>
      <c r="H206" s="382" t="str">
        <f>'Portefeuille SP2'!F222</f>
        <v>SYLVAIN MAGDELAINE</v>
      </c>
      <c r="I206" s="382" t="s">
        <v>1213</v>
      </c>
      <c r="J206" s="382" t="str">
        <f>'Portefeuille SP2'!D222</f>
        <v>PHES</v>
      </c>
      <c r="K206" s="385" t="str">
        <f>'Portefeuille SP2'!H222</f>
        <v xml:space="preserve">FR face </v>
      </c>
      <c r="L206" s="157">
        <f>'Portefeuille SP2'!U222</f>
        <v>0</v>
      </c>
      <c r="M206" s="386"/>
      <c r="N206" s="386"/>
      <c r="O206" s="386"/>
      <c r="P206" s="400">
        <f>'Portefeuille SP2'!M222</f>
        <v>0</v>
      </c>
      <c r="Q206" s="387"/>
      <c r="R206" s="387">
        <f>'Portefeuille SP2'!N222</f>
        <v>0</v>
      </c>
      <c r="S206" s="387"/>
      <c r="T206" s="382" t="str">
        <f>'Portefeuille SP2'!R222</f>
        <v>TBD</v>
      </c>
      <c r="U206" s="387">
        <f>'Portefeuille SP2'!K222</f>
        <v>0</v>
      </c>
      <c r="V206" s="399">
        <f>'Portefeuille SP2'!S222</f>
        <v>1</v>
      </c>
      <c r="W206" s="387"/>
      <c r="X206" s="387"/>
      <c r="Y206" s="387"/>
      <c r="Z206" s="387"/>
      <c r="AA206" s="387"/>
      <c r="AB206" s="387"/>
      <c r="AC206" s="387"/>
      <c r="AD206" s="387"/>
      <c r="AE206" s="408">
        <f>'Portefeuille SP2'!J222</f>
        <v>0</v>
      </c>
      <c r="AF206" s="387"/>
      <c r="AG206" s="387"/>
      <c r="AH206" s="389"/>
      <c r="AI206" s="389"/>
      <c r="AJ206" s="403">
        <f>'Portefeuille SP2'!V222</f>
        <v>0</v>
      </c>
      <c r="AK206" s="403">
        <f>'Portefeuille SP2'!W222</f>
        <v>0</v>
      </c>
      <c r="AL206" s="403">
        <f>'Portefeuille SP2'!X222</f>
        <v>0</v>
      </c>
      <c r="AM206" s="403">
        <f>'Portefeuille SP2'!Y222</f>
        <v>1</v>
      </c>
      <c r="AN206" s="403">
        <f>'Portefeuille SP2'!Z222</f>
        <v>1</v>
      </c>
      <c r="AO206" s="403">
        <f>'Portefeuille SP2'!AA222</f>
        <v>0</v>
      </c>
      <c r="AP206" s="403">
        <f>'Portefeuille SP2'!AB222</f>
        <v>0</v>
      </c>
      <c r="AQ206" s="403">
        <f>'Portefeuille SP2'!AC222</f>
        <v>1</v>
      </c>
      <c r="AR206" s="403">
        <f>'Portefeuille SP2'!AD222</f>
        <v>1</v>
      </c>
      <c r="AS206" s="403">
        <f>'Portefeuille SP2'!AE222</f>
        <v>0</v>
      </c>
      <c r="AT206" s="403">
        <f>'Portefeuille SP2'!AF222</f>
        <v>0</v>
      </c>
      <c r="AU206" s="403">
        <f>'Portefeuille SP2'!AG222</f>
        <v>0</v>
      </c>
      <c r="AV206" s="403">
        <f>'Portefeuille SP2'!AH222</f>
        <v>1</v>
      </c>
      <c r="AW206" s="403">
        <f>'Portefeuille SP2'!AI222</f>
        <v>1</v>
      </c>
      <c r="AX206" s="403">
        <f>'Portefeuille SP2'!AJ222</f>
        <v>0</v>
      </c>
      <c r="AY206" s="403">
        <f>'Portefeuille SP2'!AK222</f>
        <v>0</v>
      </c>
      <c r="AZ206" s="403">
        <f>'Portefeuille SP2'!AL222</f>
        <v>1</v>
      </c>
      <c r="BA206" s="403">
        <f>'Portefeuille SP2'!AM222</f>
        <v>1</v>
      </c>
      <c r="BB206" s="403">
        <f>'Portefeuille SP2'!AN222</f>
        <v>0</v>
      </c>
      <c r="BC206" s="403">
        <f>'Portefeuille SP2'!AO222</f>
        <v>0</v>
      </c>
      <c r="BD206" s="403">
        <f>'Portefeuille SP2'!AP222</f>
        <v>0</v>
      </c>
      <c r="BE206" s="403">
        <f>'Portefeuille SP2'!AQ222</f>
        <v>1</v>
      </c>
      <c r="BF206" s="403">
        <f>'Portefeuille SP2'!AR222</f>
        <v>1</v>
      </c>
      <c r="BG206" s="403" t="e">
        <f>'Portefeuille SP2'!#REF!</f>
        <v>#REF!</v>
      </c>
      <c r="BH206" s="403" t="e">
        <f>'Portefeuille SP2'!#REF!</f>
        <v>#REF!</v>
      </c>
      <c r="BI206" s="403" t="e">
        <f>'Portefeuille SP2'!#REF!</f>
        <v>#REF!</v>
      </c>
      <c r="BJ206" s="403" t="e">
        <f>'Portefeuille SP2'!#REF!</f>
        <v>#REF!</v>
      </c>
      <c r="BK206" s="403" t="e">
        <f>'Portefeuille SP2'!#REF!</f>
        <v>#REF!</v>
      </c>
      <c r="BL206" s="388"/>
      <c r="BM206" s="404">
        <f>'Portefeuille SP2'!L222</f>
        <v>0</v>
      </c>
    </row>
    <row r="207" spans="1:65" ht="15" customHeight="1">
      <c r="A207" s="383">
        <f>'Portefeuille SP2'!B223</f>
        <v>45335</v>
      </c>
      <c r="B207" s="390" t="str">
        <f>'Portefeuille SP2'!Q223</f>
        <v>CANCELED</v>
      </c>
      <c r="C207" s="384"/>
      <c r="D207" s="382" t="str">
        <f>'Portefeuille SP2'!E223</f>
        <v>PTF</v>
      </c>
      <c r="E207" s="382" t="str">
        <f t="shared" si="21"/>
        <v>PRS</v>
      </c>
      <c r="F207" s="382" t="str">
        <f t="shared" si="24"/>
        <v/>
      </c>
      <c r="G207" s="382" t="str">
        <f>'Portefeuille SP2'!C223</f>
        <v>SPC_1</v>
      </c>
      <c r="H207" s="382" t="str">
        <f>'Portefeuille SP2'!F223</f>
        <v>WILFRIED DESAUNAY</v>
      </c>
      <c r="I207" s="382" t="s">
        <v>1213</v>
      </c>
      <c r="J207" s="382" t="str">
        <f>'Portefeuille SP2'!D223</f>
        <v>PRS</v>
      </c>
      <c r="K207" s="385" t="str">
        <f>'Portefeuille SP2'!H223</f>
        <v>harness 400v =&gt; saving mass ?</v>
      </c>
      <c r="L207" s="157">
        <f>'Portefeuille SP2'!U223</f>
        <v>0</v>
      </c>
      <c r="M207" s="386"/>
      <c r="N207" s="386"/>
      <c r="O207" s="386"/>
      <c r="P207" s="400">
        <f>'Portefeuille SP2'!M223</f>
        <v>0</v>
      </c>
      <c r="Q207" s="387"/>
      <c r="R207" s="387">
        <f>'Portefeuille SP2'!N223</f>
        <v>0</v>
      </c>
      <c r="S207" s="387"/>
      <c r="T207" s="382" t="str">
        <f>'Portefeuille SP2'!R223</f>
        <v>TBD</v>
      </c>
      <c r="U207" s="387">
        <f>'Portefeuille SP2'!K223</f>
        <v>0</v>
      </c>
      <c r="V207" s="399">
        <f>'Portefeuille SP2'!S223</f>
        <v>1</v>
      </c>
      <c r="W207" s="387"/>
      <c r="X207" s="387"/>
      <c r="Y207" s="387"/>
      <c r="Z207" s="387"/>
      <c r="AA207" s="387"/>
      <c r="AB207" s="387"/>
      <c r="AC207" s="387"/>
      <c r="AD207" s="387"/>
      <c r="AE207" s="408">
        <f>'Portefeuille SP2'!J223</f>
        <v>0</v>
      </c>
      <c r="AF207" s="387"/>
      <c r="AG207" s="387"/>
      <c r="AH207" s="389"/>
      <c r="AI207" s="389"/>
      <c r="AJ207" s="403">
        <f>'Portefeuille SP2'!V223</f>
        <v>0</v>
      </c>
      <c r="AK207" s="403">
        <f>'Portefeuille SP2'!W223</f>
        <v>0</v>
      </c>
      <c r="AL207" s="403">
        <f>'Portefeuille SP2'!X223</f>
        <v>0</v>
      </c>
      <c r="AM207" s="403">
        <f>'Portefeuille SP2'!Y223</f>
        <v>1</v>
      </c>
      <c r="AN207" s="403">
        <f>'Portefeuille SP2'!Z223</f>
        <v>1</v>
      </c>
      <c r="AO207" s="403">
        <f>'Portefeuille SP2'!AA223</f>
        <v>0</v>
      </c>
      <c r="AP207" s="403">
        <f>'Portefeuille SP2'!AB223</f>
        <v>0</v>
      </c>
      <c r="AQ207" s="403">
        <f>'Portefeuille SP2'!AC223</f>
        <v>1</v>
      </c>
      <c r="AR207" s="403">
        <f>'Portefeuille SP2'!AD223</f>
        <v>1</v>
      </c>
      <c r="AS207" s="403">
        <f>'Portefeuille SP2'!AE223</f>
        <v>0</v>
      </c>
      <c r="AT207" s="403">
        <f>'Portefeuille SP2'!AF223</f>
        <v>0</v>
      </c>
      <c r="AU207" s="403">
        <f>'Portefeuille SP2'!AG223</f>
        <v>0</v>
      </c>
      <c r="AV207" s="403">
        <f>'Portefeuille SP2'!AH223</f>
        <v>1</v>
      </c>
      <c r="AW207" s="403">
        <f>'Portefeuille SP2'!AI223</f>
        <v>1</v>
      </c>
      <c r="AX207" s="403">
        <f>'Portefeuille SP2'!AJ223</f>
        <v>0</v>
      </c>
      <c r="AY207" s="403">
        <f>'Portefeuille SP2'!AK223</f>
        <v>0</v>
      </c>
      <c r="AZ207" s="403">
        <f>'Portefeuille SP2'!AL223</f>
        <v>1</v>
      </c>
      <c r="BA207" s="403">
        <f>'Portefeuille SP2'!AM223</f>
        <v>1</v>
      </c>
      <c r="BB207" s="403">
        <f>'Portefeuille SP2'!AN223</f>
        <v>0</v>
      </c>
      <c r="BC207" s="403">
        <f>'Portefeuille SP2'!AO223</f>
        <v>0</v>
      </c>
      <c r="BD207" s="403">
        <f>'Portefeuille SP2'!AP223</f>
        <v>0</v>
      </c>
      <c r="BE207" s="403">
        <f>'Portefeuille SP2'!AQ223</f>
        <v>1</v>
      </c>
      <c r="BF207" s="403">
        <f>'Portefeuille SP2'!AR223</f>
        <v>1</v>
      </c>
      <c r="BG207" s="403" t="e">
        <f>'Portefeuille SP2'!#REF!</f>
        <v>#REF!</v>
      </c>
      <c r="BH207" s="403" t="e">
        <f>'Portefeuille SP2'!#REF!</f>
        <v>#REF!</v>
      </c>
      <c r="BI207" s="403" t="e">
        <f>'Portefeuille SP2'!#REF!</f>
        <v>#REF!</v>
      </c>
      <c r="BJ207" s="403" t="e">
        <f>'Portefeuille SP2'!#REF!</f>
        <v>#REF!</v>
      </c>
      <c r="BK207" s="403" t="e">
        <f>'Portefeuille SP2'!#REF!</f>
        <v>#REF!</v>
      </c>
      <c r="BL207" s="388"/>
      <c r="BM207" s="404">
        <f>'Portefeuille SP2'!L223</f>
        <v>0</v>
      </c>
    </row>
    <row r="208" spans="1:65" ht="15" customHeight="1">
      <c r="A208" s="383">
        <f>'Portefeuille SP2'!B224</f>
        <v>45335</v>
      </c>
      <c r="B208" s="390" t="str">
        <f>'Portefeuille SP2'!Q224</f>
        <v>CANCELED</v>
      </c>
      <c r="C208" s="384"/>
      <c r="D208" s="382" t="str">
        <f>'Portefeuille SP2'!E224</f>
        <v>PTF</v>
      </c>
      <c r="E208" s="382" t="str">
        <f t="shared" si="21"/>
        <v>PRS</v>
      </c>
      <c r="F208" s="382" t="str">
        <f t="shared" si="24"/>
        <v/>
      </c>
      <c r="G208" s="382" t="str">
        <f>'Portefeuille SP2'!C224</f>
        <v>SPC_1</v>
      </c>
      <c r="H208" s="382" t="str">
        <f>'Portefeuille SP2'!F224</f>
        <v>WILFRIED DESAUNAY</v>
      </c>
      <c r="I208" s="382" t="s">
        <v>1213</v>
      </c>
      <c r="J208" s="382" t="str">
        <f>'Portefeuille SP2'!D224</f>
        <v>PRS</v>
      </c>
      <c r="K208" s="385" t="str">
        <f>'Portefeuille SP2'!H224</f>
        <v>DCDC smaller</v>
      </c>
      <c r="L208" s="157">
        <f>'Portefeuille SP2'!U224</f>
        <v>0</v>
      </c>
      <c r="M208" s="386"/>
      <c r="N208" s="386"/>
      <c r="O208" s="386"/>
      <c r="P208" s="400">
        <f>'Portefeuille SP2'!M224</f>
        <v>0</v>
      </c>
      <c r="Q208" s="387"/>
      <c r="R208" s="387">
        <f>'Portefeuille SP2'!N224</f>
        <v>0</v>
      </c>
      <c r="S208" s="387"/>
      <c r="T208" s="382" t="str">
        <f>'Portefeuille SP2'!R224</f>
        <v>TBD</v>
      </c>
      <c r="U208" s="387">
        <f>'Portefeuille SP2'!K224</f>
        <v>0</v>
      </c>
      <c r="V208" s="399">
        <f>'Portefeuille SP2'!S224</f>
        <v>1</v>
      </c>
      <c r="W208" s="387"/>
      <c r="X208" s="387"/>
      <c r="Y208" s="387"/>
      <c r="Z208" s="387"/>
      <c r="AA208" s="387"/>
      <c r="AB208" s="387"/>
      <c r="AC208" s="387"/>
      <c r="AD208" s="387"/>
      <c r="AE208" s="408">
        <f>'Portefeuille SP2'!J224</f>
        <v>0</v>
      </c>
      <c r="AF208" s="387"/>
      <c r="AG208" s="387"/>
      <c r="AH208" s="389"/>
      <c r="AI208" s="389"/>
      <c r="AJ208" s="403">
        <f>'Portefeuille SP2'!V224</f>
        <v>0</v>
      </c>
      <c r="AK208" s="403">
        <f>'Portefeuille SP2'!W224</f>
        <v>0</v>
      </c>
      <c r="AL208" s="403">
        <f>'Portefeuille SP2'!X224</f>
        <v>0</v>
      </c>
      <c r="AM208" s="403">
        <f>'Portefeuille SP2'!Y224</f>
        <v>1</v>
      </c>
      <c r="AN208" s="403">
        <f>'Portefeuille SP2'!Z224</f>
        <v>1</v>
      </c>
      <c r="AO208" s="403">
        <f>'Portefeuille SP2'!AA224</f>
        <v>0</v>
      </c>
      <c r="AP208" s="403">
        <f>'Portefeuille SP2'!AB224</f>
        <v>0</v>
      </c>
      <c r="AQ208" s="403">
        <f>'Portefeuille SP2'!AC224</f>
        <v>1</v>
      </c>
      <c r="AR208" s="403">
        <f>'Portefeuille SP2'!AD224</f>
        <v>1</v>
      </c>
      <c r="AS208" s="403">
        <f>'Portefeuille SP2'!AE224</f>
        <v>0</v>
      </c>
      <c r="AT208" s="403">
        <f>'Portefeuille SP2'!AF224</f>
        <v>0</v>
      </c>
      <c r="AU208" s="403">
        <f>'Portefeuille SP2'!AG224</f>
        <v>0</v>
      </c>
      <c r="AV208" s="403">
        <f>'Portefeuille SP2'!AH224</f>
        <v>1</v>
      </c>
      <c r="AW208" s="403">
        <f>'Portefeuille SP2'!AI224</f>
        <v>1</v>
      </c>
      <c r="AX208" s="403">
        <f>'Portefeuille SP2'!AJ224</f>
        <v>0</v>
      </c>
      <c r="AY208" s="403">
        <f>'Portefeuille SP2'!AK224</f>
        <v>0</v>
      </c>
      <c r="AZ208" s="403">
        <f>'Portefeuille SP2'!AL224</f>
        <v>1</v>
      </c>
      <c r="BA208" s="403">
        <f>'Portefeuille SP2'!AM224</f>
        <v>1</v>
      </c>
      <c r="BB208" s="403">
        <f>'Portefeuille SP2'!AN224</f>
        <v>0</v>
      </c>
      <c r="BC208" s="403">
        <f>'Portefeuille SP2'!AO224</f>
        <v>0</v>
      </c>
      <c r="BD208" s="403">
        <f>'Portefeuille SP2'!AP224</f>
        <v>0</v>
      </c>
      <c r="BE208" s="403">
        <f>'Portefeuille SP2'!AQ224</f>
        <v>1</v>
      </c>
      <c r="BF208" s="403">
        <f>'Portefeuille SP2'!AR224</f>
        <v>1</v>
      </c>
      <c r="BG208" s="403" t="e">
        <f>'Portefeuille SP2'!#REF!</f>
        <v>#REF!</v>
      </c>
      <c r="BH208" s="403" t="e">
        <f>'Portefeuille SP2'!#REF!</f>
        <v>#REF!</v>
      </c>
      <c r="BI208" s="403" t="e">
        <f>'Portefeuille SP2'!#REF!</f>
        <v>#REF!</v>
      </c>
      <c r="BJ208" s="403" t="e">
        <f>'Portefeuille SP2'!#REF!</f>
        <v>#REF!</v>
      </c>
      <c r="BK208" s="403" t="e">
        <f>'Portefeuille SP2'!#REF!</f>
        <v>#REF!</v>
      </c>
      <c r="BL208" s="388"/>
      <c r="BM208" s="404">
        <f>'Portefeuille SP2'!L224</f>
        <v>0</v>
      </c>
    </row>
    <row r="209" spans="1:65" ht="15" customHeight="1">
      <c r="A209" s="383">
        <f>'Portefeuille SP2'!B225</f>
        <v>45335</v>
      </c>
      <c r="B209" s="390" t="str">
        <f>'Portefeuille SP2'!Q225</f>
        <v>CANCELED</v>
      </c>
      <c r="C209" s="384"/>
      <c r="D209" s="382" t="str">
        <f>'Portefeuille SP2'!E225</f>
        <v>PTF</v>
      </c>
      <c r="E209" s="382" t="str">
        <f t="shared" si="21"/>
        <v>BIW</v>
      </c>
      <c r="F209" s="382" t="str">
        <f t="shared" si="23"/>
        <v/>
      </c>
      <c r="G209" s="382" t="str">
        <f>'Portefeuille SP2'!C225</f>
        <v>SPC_1</v>
      </c>
      <c r="H209" s="382">
        <f>'Portefeuille SP2'!F225</f>
        <v>0</v>
      </c>
      <c r="I209" s="382"/>
      <c r="J209" s="382" t="str">
        <f>'Portefeuille SP2'!D225</f>
        <v xml:space="preserve">BIW </v>
      </c>
      <c r="K209" s="385">
        <f>'Portefeuille SP2'!H225</f>
        <v>0</v>
      </c>
      <c r="L209" s="157">
        <f>'Portefeuille SP2'!U225</f>
        <v>4</v>
      </c>
      <c r="M209" s="386"/>
      <c r="N209" s="386"/>
      <c r="O209" s="386"/>
      <c r="P209" s="387">
        <f>'Portefeuille SP2'!M225</f>
        <v>0</v>
      </c>
      <c r="Q209" s="387"/>
      <c r="R209" s="387">
        <f>'Portefeuille SP2'!N225</f>
        <v>0</v>
      </c>
      <c r="S209" s="387"/>
      <c r="T209" s="382" t="str">
        <f>'Portefeuille SP2'!R225</f>
        <v>TBD</v>
      </c>
      <c r="U209" s="387">
        <f>'Portefeuille SP2'!K225</f>
        <v>0</v>
      </c>
      <c r="V209" s="399">
        <f>'Portefeuille SP2'!S225</f>
        <v>1</v>
      </c>
      <c r="W209" s="387"/>
      <c r="X209" s="387"/>
      <c r="Y209" s="387"/>
      <c r="Z209" s="387"/>
      <c r="AA209" s="387"/>
      <c r="AB209" s="387"/>
      <c r="AC209" s="387"/>
      <c r="AD209" s="387"/>
      <c r="AE209" s="400">
        <f>'Portefeuille SP2'!J225</f>
        <v>0</v>
      </c>
      <c r="AF209" s="387"/>
      <c r="AG209" s="387"/>
      <c r="AH209" s="389"/>
      <c r="AI209" s="389"/>
      <c r="AJ209" s="403">
        <f>'Portefeuille SP2'!V225</f>
        <v>0</v>
      </c>
      <c r="AK209" s="403">
        <f>'Portefeuille SP2'!W225</f>
        <v>0</v>
      </c>
      <c r="AL209" s="403">
        <f>'Portefeuille SP2'!X225</f>
        <v>0</v>
      </c>
      <c r="AM209" s="403">
        <f>'Portefeuille SP2'!Y225</f>
        <v>1</v>
      </c>
      <c r="AN209" s="403">
        <f>'Portefeuille SP2'!Z225</f>
        <v>1</v>
      </c>
      <c r="AO209" s="403">
        <f>'Portefeuille SP2'!AA225</f>
        <v>0</v>
      </c>
      <c r="AP209" s="403">
        <f>'Portefeuille SP2'!AB225</f>
        <v>0</v>
      </c>
      <c r="AQ209" s="403">
        <f>'Portefeuille SP2'!AC225</f>
        <v>1</v>
      </c>
      <c r="AR209" s="403">
        <f>'Portefeuille SP2'!AD225</f>
        <v>1</v>
      </c>
      <c r="AS209" s="403">
        <f>'Portefeuille SP2'!AE225</f>
        <v>0</v>
      </c>
      <c r="AT209" s="403">
        <f>'Portefeuille SP2'!AF225</f>
        <v>0</v>
      </c>
      <c r="AU209" s="403">
        <f>'Portefeuille SP2'!AG225</f>
        <v>0</v>
      </c>
      <c r="AV209" s="403">
        <f>'Portefeuille SP2'!AH225</f>
        <v>1</v>
      </c>
      <c r="AW209" s="403">
        <f>'Portefeuille SP2'!AI225</f>
        <v>1</v>
      </c>
      <c r="AX209" s="403">
        <f>'Portefeuille SP2'!AJ225</f>
        <v>0</v>
      </c>
      <c r="AY209" s="403">
        <f>'Portefeuille SP2'!AK225</f>
        <v>0</v>
      </c>
      <c r="AZ209" s="403">
        <f>'Portefeuille SP2'!AL225</f>
        <v>1</v>
      </c>
      <c r="BA209" s="403">
        <f>'Portefeuille SP2'!AM225</f>
        <v>1</v>
      </c>
      <c r="BB209" s="403">
        <f>'Portefeuille SP2'!AN225</f>
        <v>0</v>
      </c>
      <c r="BC209" s="403">
        <f>'Portefeuille SP2'!AO225</f>
        <v>0</v>
      </c>
      <c r="BD209" s="403">
        <f>'Portefeuille SP2'!AP225</f>
        <v>0</v>
      </c>
      <c r="BE209" s="403">
        <f>'Portefeuille SP2'!AQ225</f>
        <v>1</v>
      </c>
      <c r="BF209" s="403">
        <f>'Portefeuille SP2'!AR225</f>
        <v>1</v>
      </c>
      <c r="BG209" s="403" t="e">
        <f>'Portefeuille SP2'!#REF!</f>
        <v>#REF!</v>
      </c>
      <c r="BH209" s="403" t="e">
        <f>'Portefeuille SP2'!#REF!</f>
        <v>#REF!</v>
      </c>
      <c r="BI209" s="403" t="e">
        <f>'Portefeuille SP2'!#REF!</f>
        <v>#REF!</v>
      </c>
      <c r="BJ209" s="403" t="e">
        <f>'Portefeuille SP2'!#REF!</f>
        <v>#REF!</v>
      </c>
      <c r="BK209" s="403" t="e">
        <f>'Portefeuille SP2'!#REF!</f>
        <v>#REF!</v>
      </c>
      <c r="BL209" s="388"/>
      <c r="BM209" s="404">
        <f>'Portefeuille SP2'!L225</f>
        <v>0</v>
      </c>
    </row>
    <row r="210" spans="1:65" ht="15" customHeight="1">
      <c r="A210" s="383">
        <f>'Portefeuille SP2'!B226</f>
        <v>45335</v>
      </c>
      <c r="B210" s="390" t="str">
        <f>'Portefeuille SP2'!Q226</f>
        <v>CANCELED</v>
      </c>
      <c r="C210" s="384"/>
      <c r="D210" s="382" t="str">
        <f>'Portefeuille SP2'!E226</f>
        <v>PTF</v>
      </c>
      <c r="E210" s="382" t="str">
        <f t="shared" si="21"/>
        <v>PRS</v>
      </c>
      <c r="F210" s="382" t="str">
        <f t="shared" ref="F210:F212" si="25">MID(J210, 4, 20)</f>
        <v/>
      </c>
      <c r="G210" s="382" t="str">
        <f>'Portefeuille SP2'!C226</f>
        <v>SPC_1</v>
      </c>
      <c r="H210" s="382" t="str">
        <f>'Portefeuille SP2'!F226</f>
        <v>VINCENT MULOT</v>
      </c>
      <c r="I210" s="382" t="s">
        <v>1213</v>
      </c>
      <c r="J210" s="382" t="str">
        <f>'Portefeuille SP2'!D226</f>
        <v>PRS</v>
      </c>
      <c r="K210" s="385" t="str">
        <f>'Portefeuille SP2'!H226</f>
        <v>EP6 atmo with EDVT 50 kw</v>
      </c>
      <c r="L210" s="157">
        <f>'Portefeuille SP2'!U226</f>
        <v>0</v>
      </c>
      <c r="M210" s="386"/>
      <c r="N210" s="386"/>
      <c r="O210" s="386"/>
      <c r="P210" s="400">
        <f>'Portefeuille SP2'!M226</f>
        <v>0</v>
      </c>
      <c r="Q210" s="387"/>
      <c r="R210" s="387">
        <f>'Portefeuille SP2'!N226</f>
        <v>0</v>
      </c>
      <c r="S210" s="387"/>
      <c r="T210" s="382" t="str">
        <f>'Portefeuille SP2'!R226</f>
        <v>TBD</v>
      </c>
      <c r="U210" s="387">
        <f>'Portefeuille SP2'!K226</f>
        <v>0</v>
      </c>
      <c r="V210" s="399">
        <f>'Portefeuille SP2'!S226</f>
        <v>1</v>
      </c>
      <c r="W210" s="387"/>
      <c r="X210" s="387"/>
      <c r="Y210" s="387"/>
      <c r="Z210" s="387"/>
      <c r="AA210" s="387"/>
      <c r="AB210" s="387"/>
      <c r="AC210" s="387"/>
      <c r="AD210" s="387"/>
      <c r="AE210" s="408">
        <f>'Portefeuille SP2'!J226</f>
        <v>0</v>
      </c>
      <c r="AF210" s="387"/>
      <c r="AG210" s="387"/>
      <c r="AH210" s="389"/>
      <c r="AI210" s="389"/>
      <c r="AJ210" s="403">
        <f>'Portefeuille SP2'!V226</f>
        <v>0</v>
      </c>
      <c r="AK210" s="403">
        <f>'Portefeuille SP2'!W226</f>
        <v>0</v>
      </c>
      <c r="AL210" s="403">
        <f>'Portefeuille SP2'!X226</f>
        <v>0</v>
      </c>
      <c r="AM210" s="403">
        <f>'Portefeuille SP2'!Y226</f>
        <v>1</v>
      </c>
      <c r="AN210" s="403">
        <f>'Portefeuille SP2'!Z226</f>
        <v>1</v>
      </c>
      <c r="AO210" s="403">
        <f>'Portefeuille SP2'!AA226</f>
        <v>0</v>
      </c>
      <c r="AP210" s="403">
        <f>'Portefeuille SP2'!AB226</f>
        <v>0</v>
      </c>
      <c r="AQ210" s="403">
        <f>'Portefeuille SP2'!AC226</f>
        <v>1</v>
      </c>
      <c r="AR210" s="403">
        <f>'Portefeuille SP2'!AD226</f>
        <v>1</v>
      </c>
      <c r="AS210" s="403">
        <f>'Portefeuille SP2'!AE226</f>
        <v>0</v>
      </c>
      <c r="AT210" s="403">
        <f>'Portefeuille SP2'!AF226</f>
        <v>0</v>
      </c>
      <c r="AU210" s="403">
        <f>'Portefeuille SP2'!AG226</f>
        <v>0</v>
      </c>
      <c r="AV210" s="403">
        <f>'Portefeuille SP2'!AH226</f>
        <v>1</v>
      </c>
      <c r="AW210" s="403">
        <f>'Portefeuille SP2'!AI226</f>
        <v>1</v>
      </c>
      <c r="AX210" s="403">
        <f>'Portefeuille SP2'!AJ226</f>
        <v>0</v>
      </c>
      <c r="AY210" s="403">
        <f>'Portefeuille SP2'!AK226</f>
        <v>0</v>
      </c>
      <c r="AZ210" s="403">
        <f>'Portefeuille SP2'!AL226</f>
        <v>1</v>
      </c>
      <c r="BA210" s="403">
        <f>'Portefeuille SP2'!AM226</f>
        <v>1</v>
      </c>
      <c r="BB210" s="403">
        <f>'Portefeuille SP2'!AN226</f>
        <v>0</v>
      </c>
      <c r="BC210" s="403">
        <f>'Portefeuille SP2'!AO226</f>
        <v>0</v>
      </c>
      <c r="BD210" s="403">
        <f>'Portefeuille SP2'!AP226</f>
        <v>0</v>
      </c>
      <c r="BE210" s="403">
        <f>'Portefeuille SP2'!AQ226</f>
        <v>1</v>
      </c>
      <c r="BF210" s="403">
        <f>'Portefeuille SP2'!AR226</f>
        <v>1</v>
      </c>
      <c r="BG210" s="403" t="e">
        <f>'Portefeuille SP2'!#REF!</f>
        <v>#REF!</v>
      </c>
      <c r="BH210" s="403" t="e">
        <f>'Portefeuille SP2'!#REF!</f>
        <v>#REF!</v>
      </c>
      <c r="BI210" s="403" t="e">
        <f>'Portefeuille SP2'!#REF!</f>
        <v>#REF!</v>
      </c>
      <c r="BJ210" s="403" t="e">
        <f>'Portefeuille SP2'!#REF!</f>
        <v>#REF!</v>
      </c>
      <c r="BK210" s="403" t="e">
        <f>'Portefeuille SP2'!#REF!</f>
        <v>#REF!</v>
      </c>
      <c r="BL210" s="388"/>
      <c r="BM210" s="404">
        <f>'Portefeuille SP2'!L226</f>
        <v>0</v>
      </c>
    </row>
    <row r="211" spans="1:65" ht="15" customHeight="1">
      <c r="A211" s="383">
        <f>'Portefeuille SP2'!B227</f>
        <v>45368</v>
      </c>
      <c r="B211" s="390" t="str">
        <f>'Portefeuille SP2'!Q227</f>
        <v>CANCELED</v>
      </c>
      <c r="C211" s="384"/>
      <c r="D211" s="382" t="str">
        <f>'Portefeuille SP2'!E227</f>
        <v>PTF</v>
      </c>
      <c r="E211" s="382" t="str">
        <f t="shared" si="21"/>
        <v>PHE</v>
      </c>
      <c r="F211" s="382" t="str">
        <f t="shared" si="25"/>
        <v>S</v>
      </c>
      <c r="G211" s="382" t="str">
        <f>'Portefeuille SP2'!C227</f>
        <v>SPC_1</v>
      </c>
      <c r="H211" s="382" t="str">
        <f>'Portefeuille SP2'!F227</f>
        <v>SYLVAIN MAGDELAINE</v>
      </c>
      <c r="I211" s="382" t="s">
        <v>1213</v>
      </c>
      <c r="J211" s="382" t="str">
        <f>'Portefeuille SP2'!D227</f>
        <v>PHES</v>
      </c>
      <c r="K211" s="385" t="str">
        <f>'Portefeuille SP2'!H227</f>
        <v>Cooling battery : air concept like competition (Toyota, kia)</v>
      </c>
      <c r="L211" s="157">
        <f>'Portefeuille SP2'!U227</f>
        <v>-1</v>
      </c>
      <c r="M211" s="386"/>
      <c r="N211" s="386"/>
      <c r="O211" s="386"/>
      <c r="P211" s="400">
        <f>'Portefeuille SP2'!M227</f>
        <v>0</v>
      </c>
      <c r="Q211" s="387"/>
      <c r="R211" s="387">
        <f>'Portefeuille SP2'!N227</f>
        <v>0</v>
      </c>
      <c r="S211" s="387"/>
      <c r="T211" s="382" t="str">
        <f>'Portefeuille SP2'!R227</f>
        <v>step2</v>
      </c>
      <c r="U211" s="387">
        <f>'Portefeuille SP2'!K227</f>
        <v>0</v>
      </c>
      <c r="V211" s="399">
        <f>'Portefeuille SP2'!S227</f>
        <v>0.2</v>
      </c>
      <c r="W211" s="387"/>
      <c r="X211" s="387"/>
      <c r="Y211" s="387"/>
      <c r="Z211" s="387"/>
      <c r="AA211" s="387"/>
      <c r="AB211" s="387"/>
      <c r="AC211" s="387"/>
      <c r="AD211" s="387"/>
      <c r="AE211" s="408">
        <f>'Portefeuille SP2'!J227</f>
        <v>0</v>
      </c>
      <c r="AF211" s="387"/>
      <c r="AG211" s="387"/>
      <c r="AH211" s="389"/>
      <c r="AI211" s="389"/>
      <c r="AJ211" s="403">
        <f>'Portefeuille SP2'!V227</f>
        <v>0</v>
      </c>
      <c r="AK211" s="403">
        <f>'Portefeuille SP2'!W227</f>
        <v>0</v>
      </c>
      <c r="AL211" s="403">
        <f>'Portefeuille SP2'!X227</f>
        <v>0</v>
      </c>
      <c r="AM211" s="403">
        <f>'Portefeuille SP2'!Y227</f>
        <v>1</v>
      </c>
      <c r="AN211" s="403">
        <f>'Portefeuille SP2'!Z227</f>
        <v>1</v>
      </c>
      <c r="AO211" s="403">
        <f>'Portefeuille SP2'!AA227</f>
        <v>0</v>
      </c>
      <c r="AP211" s="403">
        <f>'Portefeuille SP2'!AB227</f>
        <v>0</v>
      </c>
      <c r="AQ211" s="403">
        <f>'Portefeuille SP2'!AC227</f>
        <v>1</v>
      </c>
      <c r="AR211" s="403">
        <f>'Portefeuille SP2'!AD227</f>
        <v>1</v>
      </c>
      <c r="AS211" s="403">
        <f>'Portefeuille SP2'!AE227</f>
        <v>0</v>
      </c>
      <c r="AT211" s="403">
        <f>'Portefeuille SP2'!AF227</f>
        <v>0</v>
      </c>
      <c r="AU211" s="403">
        <f>'Portefeuille SP2'!AG227</f>
        <v>0</v>
      </c>
      <c r="AV211" s="403">
        <f>'Portefeuille SP2'!AH227</f>
        <v>1</v>
      </c>
      <c r="AW211" s="403">
        <f>'Portefeuille SP2'!AI227</f>
        <v>1</v>
      </c>
      <c r="AX211" s="403">
        <f>'Portefeuille SP2'!AJ227</f>
        <v>0</v>
      </c>
      <c r="AY211" s="403">
        <f>'Portefeuille SP2'!AK227</f>
        <v>0</v>
      </c>
      <c r="AZ211" s="403">
        <f>'Portefeuille SP2'!AL227</f>
        <v>1</v>
      </c>
      <c r="BA211" s="403">
        <f>'Portefeuille SP2'!AM227</f>
        <v>1</v>
      </c>
      <c r="BB211" s="403">
        <f>'Portefeuille SP2'!AN227</f>
        <v>0</v>
      </c>
      <c r="BC211" s="403">
        <f>'Portefeuille SP2'!AO227</f>
        <v>0</v>
      </c>
      <c r="BD211" s="403">
        <f>'Portefeuille SP2'!AP227</f>
        <v>0</v>
      </c>
      <c r="BE211" s="403">
        <f>'Portefeuille SP2'!AQ227</f>
        <v>1</v>
      </c>
      <c r="BF211" s="403">
        <f>'Portefeuille SP2'!AR227</f>
        <v>1</v>
      </c>
      <c r="BG211" s="403" t="e">
        <f>'Portefeuille SP2'!#REF!</f>
        <v>#REF!</v>
      </c>
      <c r="BH211" s="403" t="e">
        <f>'Portefeuille SP2'!#REF!</f>
        <v>#REF!</v>
      </c>
      <c r="BI211" s="403" t="e">
        <f>'Portefeuille SP2'!#REF!</f>
        <v>#REF!</v>
      </c>
      <c r="BJ211" s="403" t="e">
        <f>'Portefeuille SP2'!#REF!</f>
        <v>#REF!</v>
      </c>
      <c r="BK211" s="403" t="e">
        <f>'Portefeuille SP2'!#REF!</f>
        <v>#REF!</v>
      </c>
      <c r="BL211" s="388"/>
      <c r="BM211" s="404" t="str">
        <f>'Portefeuille SP2'!L227</f>
        <v xml:space="preserve">step 2 </v>
      </c>
    </row>
    <row r="212" spans="1:65" ht="15" customHeight="1">
      <c r="A212" s="383">
        <f>'Portefeuille SP2'!B228</f>
        <v>45368</v>
      </c>
      <c r="B212" s="390" t="str">
        <f>'Portefeuille SP2'!Q228</f>
        <v>CANCELED</v>
      </c>
      <c r="C212" s="384"/>
      <c r="D212" s="382" t="str">
        <f>'Portefeuille SP2'!E228</f>
        <v>PTF</v>
      </c>
      <c r="E212" s="382" t="str">
        <f t="shared" si="21"/>
        <v>PHE</v>
      </c>
      <c r="F212" s="382" t="str">
        <f t="shared" si="25"/>
        <v>S</v>
      </c>
      <c r="G212" s="382" t="str">
        <f>'Portefeuille SP2'!C228</f>
        <v>SPC_1</v>
      </c>
      <c r="H212" s="382" t="str">
        <f>'Portefeuille SP2'!F228</f>
        <v>SYLVAIN MAGDELAINE</v>
      </c>
      <c r="I212" s="382" t="s">
        <v>1213</v>
      </c>
      <c r="J212" s="382" t="str">
        <f>'Portefeuille SP2'!D228</f>
        <v>PHES</v>
      </c>
      <c r="K212" s="385" t="str">
        <f>'Portefeuille SP2'!H228</f>
        <v xml:space="preserve">remove cooling dcdc </v>
      </c>
      <c r="L212" s="157">
        <f>'Portefeuille SP2'!U228</f>
        <v>0.5</v>
      </c>
      <c r="M212" s="386"/>
      <c r="N212" s="386"/>
      <c r="O212" s="386"/>
      <c r="P212" s="400">
        <f>'Portefeuille SP2'!M228</f>
        <v>0</v>
      </c>
      <c r="Q212" s="387"/>
      <c r="R212" s="387">
        <f>'Portefeuille SP2'!N228</f>
        <v>0</v>
      </c>
      <c r="S212" s="387"/>
      <c r="T212" s="382" t="str">
        <f>'Portefeuille SP2'!R228</f>
        <v>TBD</v>
      </c>
      <c r="U212" s="387">
        <f>'Portefeuille SP2'!K228</f>
        <v>0</v>
      </c>
      <c r="V212" s="399">
        <f>'Portefeuille SP2'!S228</f>
        <v>1</v>
      </c>
      <c r="W212" s="387"/>
      <c r="X212" s="387"/>
      <c r="Y212" s="387"/>
      <c r="Z212" s="387"/>
      <c r="AA212" s="387"/>
      <c r="AB212" s="387"/>
      <c r="AC212" s="387"/>
      <c r="AD212" s="387"/>
      <c r="AE212" s="408">
        <f>'Portefeuille SP2'!J228</f>
        <v>0</v>
      </c>
      <c r="AF212" s="387"/>
      <c r="AG212" s="387"/>
      <c r="AH212" s="389"/>
      <c r="AI212" s="389"/>
      <c r="AJ212" s="403">
        <f>'Portefeuille SP2'!V228</f>
        <v>0</v>
      </c>
      <c r="AK212" s="403">
        <f>'Portefeuille SP2'!W228</f>
        <v>0</v>
      </c>
      <c r="AL212" s="403">
        <f>'Portefeuille SP2'!X228</f>
        <v>0</v>
      </c>
      <c r="AM212" s="403">
        <f>'Portefeuille SP2'!Y228</f>
        <v>1</v>
      </c>
      <c r="AN212" s="403">
        <f>'Portefeuille SP2'!Z228</f>
        <v>1</v>
      </c>
      <c r="AO212" s="403">
        <f>'Portefeuille SP2'!AA228</f>
        <v>0</v>
      </c>
      <c r="AP212" s="403">
        <f>'Portefeuille SP2'!AB228</f>
        <v>0</v>
      </c>
      <c r="AQ212" s="403">
        <f>'Portefeuille SP2'!AC228</f>
        <v>1</v>
      </c>
      <c r="AR212" s="403">
        <f>'Portefeuille SP2'!AD228</f>
        <v>1</v>
      </c>
      <c r="AS212" s="403">
        <f>'Portefeuille SP2'!AE228</f>
        <v>0</v>
      </c>
      <c r="AT212" s="403">
        <f>'Portefeuille SP2'!AF228</f>
        <v>0</v>
      </c>
      <c r="AU212" s="403">
        <f>'Portefeuille SP2'!AG228</f>
        <v>0</v>
      </c>
      <c r="AV212" s="403">
        <f>'Portefeuille SP2'!AH228</f>
        <v>1</v>
      </c>
      <c r="AW212" s="403">
        <f>'Portefeuille SP2'!AI228</f>
        <v>1</v>
      </c>
      <c r="AX212" s="403">
        <f>'Portefeuille SP2'!AJ228</f>
        <v>0</v>
      </c>
      <c r="AY212" s="403">
        <f>'Portefeuille SP2'!AK228</f>
        <v>0</v>
      </c>
      <c r="AZ212" s="403">
        <f>'Portefeuille SP2'!AL228</f>
        <v>1</v>
      </c>
      <c r="BA212" s="403">
        <f>'Portefeuille SP2'!AM228</f>
        <v>1</v>
      </c>
      <c r="BB212" s="403">
        <f>'Portefeuille SP2'!AN228</f>
        <v>0</v>
      </c>
      <c r="BC212" s="403">
        <f>'Portefeuille SP2'!AO228</f>
        <v>0</v>
      </c>
      <c r="BD212" s="403">
        <f>'Portefeuille SP2'!AP228</f>
        <v>0</v>
      </c>
      <c r="BE212" s="403">
        <f>'Portefeuille SP2'!AQ228</f>
        <v>1</v>
      </c>
      <c r="BF212" s="403">
        <f>'Portefeuille SP2'!AR228</f>
        <v>1</v>
      </c>
      <c r="BG212" s="403" t="e">
        <f>'Portefeuille SP2'!#REF!</f>
        <v>#REF!</v>
      </c>
      <c r="BH212" s="403" t="e">
        <f>'Portefeuille SP2'!#REF!</f>
        <v>#REF!</v>
      </c>
      <c r="BI212" s="403" t="e">
        <f>'Portefeuille SP2'!#REF!</f>
        <v>#REF!</v>
      </c>
      <c r="BJ212" s="403" t="e">
        <f>'Portefeuille SP2'!#REF!</f>
        <v>#REF!</v>
      </c>
      <c r="BK212" s="403" t="e">
        <f>'Portefeuille SP2'!#REF!</f>
        <v>#REF!</v>
      </c>
      <c r="BL212" s="388"/>
      <c r="BM212" s="404" t="str">
        <f>'Portefeuille SP2'!L228</f>
        <v xml:space="preserve">step 2 </v>
      </c>
    </row>
    <row r="213" spans="1:65" ht="15" customHeight="1">
      <c r="A213" s="383">
        <f>'Portefeuille SP2'!B229</f>
        <v>45368</v>
      </c>
      <c r="B213" s="390" t="str">
        <f>'Portefeuille SP2'!Q229</f>
        <v>CANCELED</v>
      </c>
      <c r="C213" s="384"/>
      <c r="D213" s="382" t="str">
        <f>'Portefeuille SP2'!E229</f>
        <v>PTF</v>
      </c>
      <c r="E213" s="382" t="str">
        <f t="shared" si="21"/>
        <v>BIW</v>
      </c>
      <c r="F213" s="382" t="str">
        <f t="shared" si="23"/>
        <v/>
      </c>
      <c r="G213" s="382" t="str">
        <f>'Portefeuille SP2'!C229</f>
        <v>SPC_1</v>
      </c>
      <c r="H213" s="382">
        <f>'Portefeuille SP2'!F229</f>
        <v>0</v>
      </c>
      <c r="I213" s="382"/>
      <c r="J213" s="382" t="str">
        <f>'Portefeuille SP2'!D229</f>
        <v xml:space="preserve">BIW </v>
      </c>
      <c r="K213" s="385" t="str">
        <f>'Portefeuille SP2'!H229</f>
        <v>change crash SMALL SIDE RAIL</v>
      </c>
      <c r="L213" s="157">
        <f>'Portefeuille SP2'!U229</f>
        <v>-1</v>
      </c>
      <c r="M213" s="386"/>
      <c r="N213" s="386"/>
      <c r="O213" s="386"/>
      <c r="P213" s="387">
        <f>'Portefeuille SP2'!M229</f>
        <v>0</v>
      </c>
      <c r="Q213" s="387"/>
      <c r="R213" s="387">
        <f>'Portefeuille SP2'!N229</f>
        <v>0</v>
      </c>
      <c r="S213" s="387"/>
      <c r="T213" s="382" t="str">
        <f>'Portefeuille SP2'!R229</f>
        <v>step3</v>
      </c>
      <c r="U213" s="387">
        <f>'Portefeuille SP2'!K229</f>
        <v>0</v>
      </c>
      <c r="V213" s="399">
        <f>'Portefeuille SP2'!S229</f>
        <v>1</v>
      </c>
      <c r="W213" s="387"/>
      <c r="X213" s="387"/>
      <c r="Y213" s="387"/>
      <c r="Z213" s="387"/>
      <c r="AA213" s="387"/>
      <c r="AB213" s="387"/>
      <c r="AC213" s="387"/>
      <c r="AD213" s="387"/>
      <c r="AE213" s="400" t="str">
        <f>'Portefeuille SP2'!J229</f>
        <v xml:space="preserve">Process impact </v>
      </c>
      <c r="AF213" s="387"/>
      <c r="AG213" s="387"/>
      <c r="AH213" s="389"/>
      <c r="AI213" s="389"/>
      <c r="AJ213" s="403">
        <f>'Portefeuille SP2'!V229</f>
        <v>0</v>
      </c>
      <c r="AK213" s="403">
        <f>'Portefeuille SP2'!W229</f>
        <v>0</v>
      </c>
      <c r="AL213" s="403">
        <f>'Portefeuille SP2'!X229</f>
        <v>0</v>
      </c>
      <c r="AM213" s="403">
        <f>'Portefeuille SP2'!Y229</f>
        <v>1</v>
      </c>
      <c r="AN213" s="403">
        <f>'Portefeuille SP2'!Z229</f>
        <v>1</v>
      </c>
      <c r="AO213" s="403">
        <f>'Portefeuille SP2'!AA229</f>
        <v>0</v>
      </c>
      <c r="AP213" s="403">
        <f>'Portefeuille SP2'!AB229</f>
        <v>0</v>
      </c>
      <c r="AQ213" s="403">
        <f>'Portefeuille SP2'!AC229</f>
        <v>1</v>
      </c>
      <c r="AR213" s="403">
        <f>'Portefeuille SP2'!AD229</f>
        <v>1</v>
      </c>
      <c r="AS213" s="403">
        <f>'Portefeuille SP2'!AE229</f>
        <v>0</v>
      </c>
      <c r="AT213" s="403">
        <f>'Portefeuille SP2'!AF229</f>
        <v>0</v>
      </c>
      <c r="AU213" s="403">
        <f>'Portefeuille SP2'!AG229</f>
        <v>0</v>
      </c>
      <c r="AV213" s="403">
        <f>'Portefeuille SP2'!AH229</f>
        <v>1</v>
      </c>
      <c r="AW213" s="403">
        <f>'Portefeuille SP2'!AI229</f>
        <v>1</v>
      </c>
      <c r="AX213" s="403">
        <f>'Portefeuille SP2'!AJ229</f>
        <v>0</v>
      </c>
      <c r="AY213" s="403">
        <f>'Portefeuille SP2'!AK229</f>
        <v>0</v>
      </c>
      <c r="AZ213" s="403">
        <f>'Portefeuille SP2'!AL229</f>
        <v>1</v>
      </c>
      <c r="BA213" s="403">
        <f>'Portefeuille SP2'!AM229</f>
        <v>1</v>
      </c>
      <c r="BB213" s="403">
        <f>'Portefeuille SP2'!AN229</f>
        <v>0</v>
      </c>
      <c r="BC213" s="403">
        <f>'Portefeuille SP2'!AO229</f>
        <v>0</v>
      </c>
      <c r="BD213" s="403">
        <f>'Portefeuille SP2'!AP229</f>
        <v>0</v>
      </c>
      <c r="BE213" s="403">
        <f>'Portefeuille SP2'!AQ229</f>
        <v>1</v>
      </c>
      <c r="BF213" s="403">
        <f>'Portefeuille SP2'!AR229</f>
        <v>1</v>
      </c>
      <c r="BG213" s="403" t="e">
        <f>'Portefeuille SP2'!#REF!</f>
        <v>#REF!</v>
      </c>
      <c r="BH213" s="403" t="e">
        <f>'Portefeuille SP2'!#REF!</f>
        <v>#REF!</v>
      </c>
      <c r="BI213" s="403" t="e">
        <f>'Portefeuille SP2'!#REF!</f>
        <v>#REF!</v>
      </c>
      <c r="BJ213" s="403" t="e">
        <f>'Portefeuille SP2'!#REF!</f>
        <v>#REF!</v>
      </c>
      <c r="BK213" s="403" t="e">
        <f>'Portefeuille SP2'!#REF!</f>
        <v>#REF!</v>
      </c>
      <c r="BL213" s="388"/>
      <c r="BM213" s="404" t="str">
        <f>'Portefeuille SP2'!L229</f>
        <v>Step 3</v>
      </c>
    </row>
    <row r="214" spans="1:65" ht="15" customHeight="1">
      <c r="A214" s="383">
        <f>'Portefeuille SP2'!B230</f>
        <v>45368</v>
      </c>
      <c r="B214" s="390" t="str">
        <f>'Portefeuille SP2'!Q230</f>
        <v>CANCELED</v>
      </c>
      <c r="C214" s="384"/>
      <c r="D214" s="382" t="str">
        <f>'Portefeuille SP2'!E230</f>
        <v>PTF</v>
      </c>
      <c r="E214" s="382" t="str">
        <f t="shared" si="21"/>
        <v>BIW</v>
      </c>
      <c r="F214" s="382" t="str">
        <f t="shared" ref="F214:F215" si="26">MID(J214, 4, 20)</f>
        <v xml:space="preserve"> </v>
      </c>
      <c r="G214" s="382" t="str">
        <f>'Portefeuille SP2'!C230</f>
        <v>SPC_1</v>
      </c>
      <c r="H214" s="382" t="str">
        <f>'Portefeuille SP2'!F230</f>
        <v>NICOLAS TESSIER</v>
      </c>
      <c r="I214" s="382" t="s">
        <v>1213</v>
      </c>
      <c r="J214" s="382" t="str">
        <f>'Portefeuille SP2'!D230</f>
        <v xml:space="preserve">BIW </v>
      </c>
      <c r="K214" s="385" t="str">
        <f>'Portefeuille SP2'!H230</f>
        <v>Front unit</v>
      </c>
      <c r="L214" s="157">
        <f>'Portefeuille SP2'!U230</f>
        <v>-8.1999999999999993</v>
      </c>
      <c r="M214" s="386"/>
      <c r="N214" s="386"/>
      <c r="O214" s="386"/>
      <c r="P214" s="400">
        <f>'Portefeuille SP2'!M230</f>
        <v>0</v>
      </c>
      <c r="Q214" s="387"/>
      <c r="R214" s="387">
        <f>'Portefeuille SP2'!N230</f>
        <v>0</v>
      </c>
      <c r="S214" s="387"/>
      <c r="T214" s="382" t="str">
        <f>'Portefeuille SP2'!R230</f>
        <v>step3</v>
      </c>
      <c r="U214" s="387">
        <f>'Portefeuille SP2'!K230</f>
        <v>0</v>
      </c>
      <c r="V214" s="399">
        <f>'Portefeuille SP2'!S230</f>
        <v>1</v>
      </c>
      <c r="W214" s="387"/>
      <c r="X214" s="387"/>
      <c r="Y214" s="387"/>
      <c r="Z214" s="387"/>
      <c r="AA214" s="387"/>
      <c r="AB214" s="387"/>
      <c r="AC214" s="387"/>
      <c r="AD214" s="387"/>
      <c r="AE214" s="408" t="str">
        <f>'Portefeuille SP2'!J230</f>
        <v xml:space="preserve">Process impact </v>
      </c>
      <c r="AF214" s="387"/>
      <c r="AG214" s="387"/>
      <c r="AH214" s="389"/>
      <c r="AI214" s="389"/>
      <c r="AJ214" s="403">
        <f>'Portefeuille SP2'!V230</f>
        <v>0</v>
      </c>
      <c r="AK214" s="403">
        <f>'Portefeuille SP2'!W230</f>
        <v>0</v>
      </c>
      <c r="AL214" s="403">
        <f>'Portefeuille SP2'!X230</f>
        <v>0</v>
      </c>
      <c r="AM214" s="403">
        <f>'Portefeuille SP2'!Y230</f>
        <v>1</v>
      </c>
      <c r="AN214" s="403">
        <f>'Portefeuille SP2'!Z230</f>
        <v>1</v>
      </c>
      <c r="AO214" s="403">
        <f>'Portefeuille SP2'!AA230</f>
        <v>0</v>
      </c>
      <c r="AP214" s="403">
        <f>'Portefeuille SP2'!AB230</f>
        <v>0</v>
      </c>
      <c r="AQ214" s="403">
        <f>'Portefeuille SP2'!AC230</f>
        <v>1</v>
      </c>
      <c r="AR214" s="403">
        <f>'Portefeuille SP2'!AD230</f>
        <v>1</v>
      </c>
      <c r="AS214" s="403">
        <f>'Portefeuille SP2'!AE230</f>
        <v>0</v>
      </c>
      <c r="AT214" s="403">
        <f>'Portefeuille SP2'!AF230</f>
        <v>0</v>
      </c>
      <c r="AU214" s="403">
        <f>'Portefeuille SP2'!AG230</f>
        <v>0</v>
      </c>
      <c r="AV214" s="403">
        <f>'Portefeuille SP2'!AH230</f>
        <v>1</v>
      </c>
      <c r="AW214" s="403">
        <f>'Portefeuille SP2'!AI230</f>
        <v>1</v>
      </c>
      <c r="AX214" s="403">
        <f>'Portefeuille SP2'!AJ230</f>
        <v>0</v>
      </c>
      <c r="AY214" s="403">
        <f>'Portefeuille SP2'!AK230</f>
        <v>0</v>
      </c>
      <c r="AZ214" s="403">
        <f>'Portefeuille SP2'!AL230</f>
        <v>1</v>
      </c>
      <c r="BA214" s="403">
        <f>'Portefeuille SP2'!AM230</f>
        <v>1</v>
      </c>
      <c r="BB214" s="403">
        <f>'Portefeuille SP2'!AN230</f>
        <v>0</v>
      </c>
      <c r="BC214" s="403">
        <f>'Portefeuille SP2'!AO230</f>
        <v>0</v>
      </c>
      <c r="BD214" s="403">
        <f>'Portefeuille SP2'!AP230</f>
        <v>0</v>
      </c>
      <c r="BE214" s="403">
        <f>'Portefeuille SP2'!AQ230</f>
        <v>1</v>
      </c>
      <c r="BF214" s="403">
        <f>'Portefeuille SP2'!AR230</f>
        <v>1</v>
      </c>
      <c r="BG214" s="403" t="e">
        <f>'Portefeuille SP2'!#REF!</f>
        <v>#REF!</v>
      </c>
      <c r="BH214" s="403" t="e">
        <f>'Portefeuille SP2'!#REF!</f>
        <v>#REF!</v>
      </c>
      <c r="BI214" s="403" t="e">
        <f>'Portefeuille SP2'!#REF!</f>
        <v>#REF!</v>
      </c>
      <c r="BJ214" s="403" t="e">
        <f>'Portefeuille SP2'!#REF!</f>
        <v>#REF!</v>
      </c>
      <c r="BK214" s="403" t="e">
        <f>'Portefeuille SP2'!#REF!</f>
        <v>#REF!</v>
      </c>
      <c r="BL214" s="388"/>
      <c r="BM214" s="404" t="str">
        <f>'Portefeuille SP2'!L230</f>
        <v>Step 3</v>
      </c>
    </row>
    <row r="215" spans="1:65" ht="15" customHeight="1">
      <c r="A215" s="383">
        <f>'Portefeuille SP2'!B232</f>
        <v>45368</v>
      </c>
      <c r="B215" s="390" t="str">
        <f>'Portefeuille SP2'!Q232</f>
        <v>CANCELED</v>
      </c>
      <c r="C215" s="384"/>
      <c r="D215" s="382" t="str">
        <f>'Portefeuille SP2'!E232</f>
        <v>PTF</v>
      </c>
      <c r="E215" s="382" t="str">
        <f t="shared" si="21"/>
        <v>BIW</v>
      </c>
      <c r="F215" s="382" t="str">
        <f t="shared" si="26"/>
        <v xml:space="preserve"> </v>
      </c>
      <c r="G215" s="382" t="str">
        <f>'Portefeuille SP2'!C232</f>
        <v>SPC_1</v>
      </c>
      <c r="H215" s="382" t="str">
        <f>'Portefeuille SP2'!F232</f>
        <v>NICOLAS TESSIER</v>
      </c>
      <c r="I215" s="382" t="s">
        <v>1213</v>
      </c>
      <c r="J215" s="382" t="str">
        <f>'Portefeuille SP2'!D232</f>
        <v xml:space="preserve">BIW </v>
      </c>
      <c r="K215" s="385" t="str">
        <f>'Portefeuille SP2'!H232</f>
        <v>Dedicated central and rear units &amp; dash</v>
      </c>
      <c r="L215" s="157">
        <f>'Portefeuille SP2'!U232</f>
        <v>-12.33</v>
      </c>
      <c r="M215" s="386"/>
      <c r="N215" s="386"/>
      <c r="O215" s="386"/>
      <c r="P215" s="400">
        <f>'Portefeuille SP2'!M232</f>
        <v>0</v>
      </c>
      <c r="Q215" s="387"/>
      <c r="R215" s="387">
        <f>'Portefeuille SP2'!N232</f>
        <v>0</v>
      </c>
      <c r="S215" s="387"/>
      <c r="T215" s="382" t="str">
        <f>'Portefeuille SP2'!R232</f>
        <v>step3</v>
      </c>
      <c r="U215" s="387">
        <f>'Portefeuille SP2'!K232</f>
        <v>0</v>
      </c>
      <c r="V215" s="399">
        <f>'Portefeuille SP2'!S232</f>
        <v>1</v>
      </c>
      <c r="W215" s="387"/>
      <c r="X215" s="387"/>
      <c r="Y215" s="387"/>
      <c r="Z215" s="387"/>
      <c r="AA215" s="387"/>
      <c r="AB215" s="387"/>
      <c r="AC215" s="387"/>
      <c r="AD215" s="387"/>
      <c r="AE215" s="408" t="str">
        <f>'Portefeuille SP2'!J232</f>
        <v xml:space="preserve">Process impact </v>
      </c>
      <c r="AF215" s="387"/>
      <c r="AG215" s="387"/>
      <c r="AH215" s="389"/>
      <c r="AI215" s="389"/>
      <c r="AJ215" s="403">
        <f>'Portefeuille SP2'!V232</f>
        <v>0</v>
      </c>
      <c r="AK215" s="403">
        <f>'Portefeuille SP2'!W232</f>
        <v>0</v>
      </c>
      <c r="AL215" s="403">
        <f>'Portefeuille SP2'!X232</f>
        <v>0</v>
      </c>
      <c r="AM215" s="403">
        <f>'Portefeuille SP2'!Y232</f>
        <v>1</v>
      </c>
      <c r="AN215" s="403">
        <f>'Portefeuille SP2'!Z232</f>
        <v>1</v>
      </c>
      <c r="AO215" s="403">
        <f>'Portefeuille SP2'!AA232</f>
        <v>0</v>
      </c>
      <c r="AP215" s="403">
        <f>'Portefeuille SP2'!AB232</f>
        <v>0</v>
      </c>
      <c r="AQ215" s="403">
        <f>'Portefeuille SP2'!AC232</f>
        <v>1</v>
      </c>
      <c r="AR215" s="403">
        <f>'Portefeuille SP2'!AD232</f>
        <v>1</v>
      </c>
      <c r="AS215" s="403">
        <f>'Portefeuille SP2'!AE232</f>
        <v>0</v>
      </c>
      <c r="AT215" s="403">
        <f>'Portefeuille SP2'!AF232</f>
        <v>0</v>
      </c>
      <c r="AU215" s="403">
        <f>'Portefeuille SP2'!AG232</f>
        <v>0</v>
      </c>
      <c r="AV215" s="403">
        <f>'Portefeuille SP2'!AH232</f>
        <v>1</v>
      </c>
      <c r="AW215" s="403">
        <f>'Portefeuille SP2'!AI232</f>
        <v>1</v>
      </c>
      <c r="AX215" s="403">
        <f>'Portefeuille SP2'!AJ232</f>
        <v>0</v>
      </c>
      <c r="AY215" s="403">
        <f>'Portefeuille SP2'!AK232</f>
        <v>0</v>
      </c>
      <c r="AZ215" s="403">
        <f>'Portefeuille SP2'!AL232</f>
        <v>1</v>
      </c>
      <c r="BA215" s="403">
        <f>'Portefeuille SP2'!AM232</f>
        <v>1</v>
      </c>
      <c r="BB215" s="403">
        <f>'Portefeuille SP2'!AN232</f>
        <v>0</v>
      </c>
      <c r="BC215" s="403">
        <f>'Portefeuille SP2'!AO232</f>
        <v>0</v>
      </c>
      <c r="BD215" s="403">
        <f>'Portefeuille SP2'!AP232</f>
        <v>0</v>
      </c>
      <c r="BE215" s="403">
        <f>'Portefeuille SP2'!AQ232</f>
        <v>1</v>
      </c>
      <c r="BF215" s="403">
        <f>'Portefeuille SP2'!AR232</f>
        <v>1</v>
      </c>
      <c r="BG215" s="403" t="e">
        <f>'Portefeuille SP2'!#REF!</f>
        <v>#REF!</v>
      </c>
      <c r="BH215" s="403" t="e">
        <f>'Portefeuille SP2'!#REF!</f>
        <v>#REF!</v>
      </c>
      <c r="BI215" s="403" t="e">
        <f>'Portefeuille SP2'!#REF!</f>
        <v>#REF!</v>
      </c>
      <c r="BJ215" s="403" t="e">
        <f>'Portefeuille SP2'!#REF!</f>
        <v>#REF!</v>
      </c>
      <c r="BK215" s="403" t="e">
        <f>'Portefeuille SP2'!#REF!</f>
        <v>#REF!</v>
      </c>
      <c r="BL215" s="388"/>
      <c r="BM215" s="404" t="str">
        <f>'Portefeuille SP2'!L232</f>
        <v>Step 3</v>
      </c>
    </row>
    <row r="216" spans="1:65" ht="15" customHeight="1">
      <c r="A216" s="383">
        <f>'Portefeuille SP2'!B233</f>
        <v>45368</v>
      </c>
      <c r="B216" s="390" t="str">
        <f>'Portefeuille SP2'!Q233</f>
        <v>CANCELED</v>
      </c>
      <c r="C216" s="384"/>
      <c r="D216" s="382" t="str">
        <f>'Portefeuille SP2'!E233</f>
        <v>PTF</v>
      </c>
      <c r="E216" s="382" t="str">
        <f t="shared" si="21"/>
        <v>BIW</v>
      </c>
      <c r="F216" s="382" t="str">
        <f t="shared" si="23"/>
        <v/>
      </c>
      <c r="G216" s="382" t="str">
        <f>'Portefeuille SP2'!C233</f>
        <v>SPC_1</v>
      </c>
      <c r="H216" s="382" t="str">
        <f>'Portefeuille SP2'!F233</f>
        <v>FREDERIC GUINGAND</v>
      </c>
      <c r="I216" s="382"/>
      <c r="J216" s="382" t="str">
        <f>'Portefeuille SP2'!D233</f>
        <v xml:space="preserve">BIW </v>
      </c>
      <c r="K216" s="385" t="str">
        <f>'Portefeuille SP2'!H233</f>
        <v>alu caliper</v>
      </c>
      <c r="L216" s="157">
        <f>'Portefeuille SP2'!U233</f>
        <v>0</v>
      </c>
      <c r="M216" s="386"/>
      <c r="N216" s="386"/>
      <c r="O216" s="386"/>
      <c r="P216" s="387">
        <f>'Portefeuille SP2'!M233</f>
        <v>0</v>
      </c>
      <c r="Q216" s="387"/>
      <c r="R216" s="387">
        <f>'Portefeuille SP2'!N233</f>
        <v>0</v>
      </c>
      <c r="S216" s="387"/>
      <c r="T216" s="382" t="str">
        <f>'Portefeuille SP2'!R233</f>
        <v>TBD</v>
      </c>
      <c r="U216" s="387">
        <f>'Portefeuille SP2'!K233</f>
        <v>0</v>
      </c>
      <c r="V216" s="399">
        <f>'Portefeuille SP2'!S233</f>
        <v>1</v>
      </c>
      <c r="W216" s="387"/>
      <c r="X216" s="387"/>
      <c r="Y216" s="387"/>
      <c r="Z216" s="387"/>
      <c r="AA216" s="387"/>
      <c r="AB216" s="387"/>
      <c r="AC216" s="387"/>
      <c r="AD216" s="387"/>
      <c r="AE216" s="400">
        <f>'Portefeuille SP2'!J233</f>
        <v>0</v>
      </c>
      <c r="AF216" s="387"/>
      <c r="AG216" s="387"/>
      <c r="AH216" s="389"/>
      <c r="AI216" s="389"/>
      <c r="AJ216" s="403">
        <f>'Portefeuille SP2'!V233</f>
        <v>0</v>
      </c>
      <c r="AK216" s="403">
        <f>'Portefeuille SP2'!W233</f>
        <v>0</v>
      </c>
      <c r="AL216" s="403">
        <f>'Portefeuille SP2'!X233</f>
        <v>0</v>
      </c>
      <c r="AM216" s="403">
        <f>'Portefeuille SP2'!Y233</f>
        <v>1</v>
      </c>
      <c r="AN216" s="403">
        <f>'Portefeuille SP2'!Z233</f>
        <v>1</v>
      </c>
      <c r="AO216" s="403">
        <f>'Portefeuille SP2'!AA233</f>
        <v>0</v>
      </c>
      <c r="AP216" s="403">
        <f>'Portefeuille SP2'!AB233</f>
        <v>0</v>
      </c>
      <c r="AQ216" s="403">
        <f>'Portefeuille SP2'!AC233</f>
        <v>1</v>
      </c>
      <c r="AR216" s="403">
        <f>'Portefeuille SP2'!AD233</f>
        <v>1</v>
      </c>
      <c r="AS216" s="403">
        <f>'Portefeuille SP2'!AE233</f>
        <v>0</v>
      </c>
      <c r="AT216" s="403">
        <f>'Portefeuille SP2'!AF233</f>
        <v>0</v>
      </c>
      <c r="AU216" s="403">
        <f>'Portefeuille SP2'!AG233</f>
        <v>0</v>
      </c>
      <c r="AV216" s="403">
        <f>'Portefeuille SP2'!AH233</f>
        <v>1</v>
      </c>
      <c r="AW216" s="403">
        <f>'Portefeuille SP2'!AI233</f>
        <v>1</v>
      </c>
      <c r="AX216" s="403">
        <f>'Portefeuille SP2'!AJ233</f>
        <v>0</v>
      </c>
      <c r="AY216" s="403">
        <f>'Portefeuille SP2'!AK233</f>
        <v>0</v>
      </c>
      <c r="AZ216" s="403">
        <f>'Portefeuille SP2'!AL233</f>
        <v>1</v>
      </c>
      <c r="BA216" s="403">
        <f>'Portefeuille SP2'!AM233</f>
        <v>1</v>
      </c>
      <c r="BB216" s="403">
        <f>'Portefeuille SP2'!AN233</f>
        <v>0</v>
      </c>
      <c r="BC216" s="403">
        <f>'Portefeuille SP2'!AO233</f>
        <v>0</v>
      </c>
      <c r="BD216" s="403">
        <f>'Portefeuille SP2'!AP233</f>
        <v>0</v>
      </c>
      <c r="BE216" s="403">
        <f>'Portefeuille SP2'!AQ233</f>
        <v>1</v>
      </c>
      <c r="BF216" s="403">
        <f>'Portefeuille SP2'!AR233</f>
        <v>1</v>
      </c>
      <c r="BG216" s="403" t="e">
        <f>'Portefeuille SP2'!#REF!</f>
        <v>#REF!</v>
      </c>
      <c r="BH216" s="403" t="e">
        <f>'Portefeuille SP2'!#REF!</f>
        <v>#REF!</v>
      </c>
      <c r="BI216" s="403" t="e">
        <f>'Portefeuille SP2'!#REF!</f>
        <v>#REF!</v>
      </c>
      <c r="BJ216" s="403" t="e">
        <f>'Portefeuille SP2'!#REF!</f>
        <v>#REF!</v>
      </c>
      <c r="BK216" s="403" t="e">
        <f>'Portefeuille SP2'!#REF!</f>
        <v>#REF!</v>
      </c>
      <c r="BL216" s="388"/>
      <c r="BM216" s="404">
        <f>'Portefeuille SP2'!L233</f>
        <v>0</v>
      </c>
    </row>
    <row r="217" spans="1:65" ht="15" customHeight="1">
      <c r="A217" s="383">
        <f>'Portefeuille SP2'!B234</f>
        <v>45368</v>
      </c>
      <c r="B217" s="390" t="str">
        <f>'Portefeuille SP2'!Q234</f>
        <v>CANCELED</v>
      </c>
      <c r="C217" s="384"/>
      <c r="D217" s="382" t="str">
        <f>'Portefeuille SP2'!E234</f>
        <v>PTF</v>
      </c>
      <c r="E217" s="382" t="str">
        <f t="shared" si="21"/>
        <v>BIW</v>
      </c>
      <c r="F217" s="382" t="str">
        <f t="shared" si="23"/>
        <v/>
      </c>
      <c r="G217" s="382" t="str">
        <f>'Portefeuille SP2'!C234</f>
        <v>SPC_1</v>
      </c>
      <c r="H217" s="382" t="str">
        <f>'Portefeuille SP2'!F234</f>
        <v>FREDERIC GUINGAND</v>
      </c>
      <c r="I217" s="382"/>
      <c r="J217" s="382" t="str">
        <f>'Portefeuille SP2'!D234</f>
        <v xml:space="preserve">BIW </v>
      </c>
      <c r="K217" s="385" t="str">
        <f>'Portefeuille SP2'!H234</f>
        <v xml:space="preserve">Rear discs io edrums + park lock + EPB-FSE </v>
      </c>
      <c r="L217" s="157">
        <f>'Portefeuille SP2'!U234</f>
        <v>-7.5</v>
      </c>
      <c r="M217" s="386"/>
      <c r="N217" s="386"/>
      <c r="O217" s="386"/>
      <c r="P217" s="387">
        <f>'Portefeuille SP2'!M234</f>
        <v>0</v>
      </c>
      <c r="Q217" s="387"/>
      <c r="R217" s="387">
        <f>'Portefeuille SP2'!N234</f>
        <v>0</v>
      </c>
      <c r="S217" s="387"/>
      <c r="T217" s="382" t="str">
        <f>'Portefeuille SP2'!R234</f>
        <v>TBD</v>
      </c>
      <c r="U217" s="387">
        <f>'Portefeuille SP2'!K234</f>
        <v>0</v>
      </c>
      <c r="V217" s="399">
        <f>'Portefeuille SP2'!S234</f>
        <v>1</v>
      </c>
      <c r="W217" s="387"/>
      <c r="X217" s="387"/>
      <c r="Y217" s="387"/>
      <c r="Z217" s="387"/>
      <c r="AA217" s="387"/>
      <c r="AB217" s="387"/>
      <c r="AC217" s="387"/>
      <c r="AD217" s="387"/>
      <c r="AE217" s="400">
        <f>'Portefeuille SP2'!J234</f>
        <v>0</v>
      </c>
      <c r="AF217" s="387"/>
      <c r="AG217" s="387"/>
      <c r="AH217" s="389"/>
      <c r="AI217" s="389"/>
      <c r="AJ217" s="403">
        <f>'Portefeuille SP2'!V234</f>
        <v>0</v>
      </c>
      <c r="AK217" s="403">
        <f>'Portefeuille SP2'!W234</f>
        <v>0</v>
      </c>
      <c r="AL217" s="403">
        <f>'Portefeuille SP2'!X234</f>
        <v>0</v>
      </c>
      <c r="AM217" s="403">
        <f>'Portefeuille SP2'!Y234</f>
        <v>1</v>
      </c>
      <c r="AN217" s="403">
        <f>'Portefeuille SP2'!Z234</f>
        <v>1</v>
      </c>
      <c r="AO217" s="403">
        <f>'Portefeuille SP2'!AA234</f>
        <v>0</v>
      </c>
      <c r="AP217" s="403">
        <f>'Portefeuille SP2'!AB234</f>
        <v>0</v>
      </c>
      <c r="AQ217" s="403">
        <f>'Portefeuille SP2'!AC234</f>
        <v>1</v>
      </c>
      <c r="AR217" s="403">
        <f>'Portefeuille SP2'!AD234</f>
        <v>1</v>
      </c>
      <c r="AS217" s="403">
        <f>'Portefeuille SP2'!AE234</f>
        <v>0</v>
      </c>
      <c r="AT217" s="403">
        <f>'Portefeuille SP2'!AF234</f>
        <v>0</v>
      </c>
      <c r="AU217" s="403">
        <f>'Portefeuille SP2'!AG234</f>
        <v>0</v>
      </c>
      <c r="AV217" s="403">
        <f>'Portefeuille SP2'!AH234</f>
        <v>1</v>
      </c>
      <c r="AW217" s="403">
        <f>'Portefeuille SP2'!AI234</f>
        <v>1</v>
      </c>
      <c r="AX217" s="403">
        <f>'Portefeuille SP2'!AJ234</f>
        <v>0</v>
      </c>
      <c r="AY217" s="403">
        <f>'Portefeuille SP2'!AK234</f>
        <v>0</v>
      </c>
      <c r="AZ217" s="403">
        <f>'Portefeuille SP2'!AL234</f>
        <v>1</v>
      </c>
      <c r="BA217" s="403">
        <f>'Portefeuille SP2'!AM234</f>
        <v>1</v>
      </c>
      <c r="BB217" s="403">
        <f>'Portefeuille SP2'!AN234</f>
        <v>0</v>
      </c>
      <c r="BC217" s="403">
        <f>'Portefeuille SP2'!AO234</f>
        <v>0</v>
      </c>
      <c r="BD217" s="403">
        <f>'Portefeuille SP2'!AP234</f>
        <v>0</v>
      </c>
      <c r="BE217" s="403">
        <f>'Portefeuille SP2'!AQ234</f>
        <v>1</v>
      </c>
      <c r="BF217" s="403">
        <f>'Portefeuille SP2'!AR234</f>
        <v>1</v>
      </c>
      <c r="BG217" s="403" t="e">
        <f>'Portefeuille SP2'!#REF!</f>
        <v>#REF!</v>
      </c>
      <c r="BH217" s="403" t="e">
        <f>'Portefeuille SP2'!#REF!</f>
        <v>#REF!</v>
      </c>
      <c r="BI217" s="403" t="e">
        <f>'Portefeuille SP2'!#REF!</f>
        <v>#REF!</v>
      </c>
      <c r="BJ217" s="403" t="e">
        <f>'Portefeuille SP2'!#REF!</f>
        <v>#REF!</v>
      </c>
      <c r="BK217" s="403" t="e">
        <f>'Portefeuille SP2'!#REF!</f>
        <v>#REF!</v>
      </c>
      <c r="BL217" s="388"/>
      <c r="BM217" s="404">
        <f>'Portefeuille SP2'!L234</f>
        <v>0</v>
      </c>
    </row>
    <row r="218" spans="1:65" ht="15" customHeight="1">
      <c r="A218" s="383">
        <f>'Portefeuille SP2'!B235</f>
        <v>45368</v>
      </c>
      <c r="B218" s="390" t="str">
        <f>'Portefeuille SP2'!Q235</f>
        <v>CANCELED</v>
      </c>
      <c r="C218" s="384"/>
      <c r="D218" s="382" t="str">
        <f>'Portefeuille SP2'!E235</f>
        <v>PTF</v>
      </c>
      <c r="E218" s="382" t="str">
        <f t="shared" si="21"/>
        <v>BCI</v>
      </c>
      <c r="F218" s="382" t="str">
        <f>MID(J218, 4, 20)</f>
        <v>_CHASSIS</v>
      </c>
      <c r="G218" s="382" t="str">
        <f>'Portefeuille SP2'!C235</f>
        <v>SPC_1</v>
      </c>
      <c r="H218" s="382" t="str">
        <f>'Portefeuille SP2'!F235</f>
        <v>FREDERIC GUINGAND</v>
      </c>
      <c r="I218" s="382" t="s">
        <v>1213</v>
      </c>
      <c r="J218" s="382" t="str">
        <f>'Portefeuille SP2'!D235</f>
        <v>BCI_CHASSIS</v>
      </c>
      <c r="K218" s="385" t="str">
        <f>'Portefeuille SP2'!H235</f>
        <v>alu control arm</v>
      </c>
      <c r="L218" s="157">
        <f>'Portefeuille SP2'!U235</f>
        <v>-2</v>
      </c>
      <c r="M218" s="386"/>
      <c r="N218" s="386"/>
      <c r="O218" s="386"/>
      <c r="P218" s="400">
        <f>'Portefeuille SP2'!M235</f>
        <v>0</v>
      </c>
      <c r="Q218" s="387"/>
      <c r="R218" s="387">
        <f>'Portefeuille SP2'!N235</f>
        <v>14</v>
      </c>
      <c r="S218" s="387"/>
      <c r="T218" s="382" t="str">
        <f>'Portefeuille SP2'!R235</f>
        <v>Step4</v>
      </c>
      <c r="U218" s="387">
        <f>'Portefeuille SP2'!K235</f>
        <v>0</v>
      </c>
      <c r="V218" s="399">
        <f>'Portefeuille SP2'!S235</f>
        <v>1</v>
      </c>
      <c r="W218" s="387"/>
      <c r="X218" s="387"/>
      <c r="Y218" s="387"/>
      <c r="Z218" s="387"/>
      <c r="AA218" s="387"/>
      <c r="AB218" s="387"/>
      <c r="AC218" s="387"/>
      <c r="AD218" s="387"/>
      <c r="AE218" s="408">
        <f>'Portefeuille SP2'!J235</f>
        <v>0</v>
      </c>
      <c r="AF218" s="387"/>
      <c r="AG218" s="387"/>
      <c r="AH218" s="389"/>
      <c r="AI218" s="389"/>
      <c r="AJ218" s="403">
        <f>'Portefeuille SP2'!V235</f>
        <v>0</v>
      </c>
      <c r="AK218" s="403">
        <f>'Portefeuille SP2'!W235</f>
        <v>0</v>
      </c>
      <c r="AL218" s="403">
        <f>'Portefeuille SP2'!X235</f>
        <v>0</v>
      </c>
      <c r="AM218" s="403">
        <f>'Portefeuille SP2'!Y235</f>
        <v>1</v>
      </c>
      <c r="AN218" s="403">
        <f>'Portefeuille SP2'!Z235</f>
        <v>1</v>
      </c>
      <c r="AO218" s="403">
        <f>'Portefeuille SP2'!AA235</f>
        <v>0</v>
      </c>
      <c r="AP218" s="403">
        <f>'Portefeuille SP2'!AB235</f>
        <v>0</v>
      </c>
      <c r="AQ218" s="403">
        <f>'Portefeuille SP2'!AC235</f>
        <v>1</v>
      </c>
      <c r="AR218" s="403">
        <f>'Portefeuille SP2'!AD235</f>
        <v>1</v>
      </c>
      <c r="AS218" s="403">
        <f>'Portefeuille SP2'!AE235</f>
        <v>0</v>
      </c>
      <c r="AT218" s="403">
        <f>'Portefeuille SP2'!AF235</f>
        <v>0</v>
      </c>
      <c r="AU218" s="403">
        <f>'Portefeuille SP2'!AG235</f>
        <v>0</v>
      </c>
      <c r="AV218" s="403">
        <f>'Portefeuille SP2'!AH235</f>
        <v>1</v>
      </c>
      <c r="AW218" s="403">
        <f>'Portefeuille SP2'!AI235</f>
        <v>1</v>
      </c>
      <c r="AX218" s="403">
        <f>'Portefeuille SP2'!AJ235</f>
        <v>0</v>
      </c>
      <c r="AY218" s="403">
        <f>'Portefeuille SP2'!AK235</f>
        <v>0</v>
      </c>
      <c r="AZ218" s="403">
        <f>'Portefeuille SP2'!AL235</f>
        <v>1</v>
      </c>
      <c r="BA218" s="403">
        <f>'Portefeuille SP2'!AM235</f>
        <v>1</v>
      </c>
      <c r="BB218" s="403">
        <f>'Portefeuille SP2'!AN235</f>
        <v>0</v>
      </c>
      <c r="BC218" s="403">
        <f>'Portefeuille SP2'!AO235</f>
        <v>0</v>
      </c>
      <c r="BD218" s="403">
        <f>'Portefeuille SP2'!AP235</f>
        <v>0</v>
      </c>
      <c r="BE218" s="403">
        <f>'Portefeuille SP2'!AQ235</f>
        <v>1</v>
      </c>
      <c r="BF218" s="403">
        <f>'Portefeuille SP2'!AR235</f>
        <v>1</v>
      </c>
      <c r="BG218" s="403" t="e">
        <f>'Portefeuille SP2'!#REF!</f>
        <v>#REF!</v>
      </c>
      <c r="BH218" s="403" t="e">
        <f>'Portefeuille SP2'!#REF!</f>
        <v>#REF!</v>
      </c>
      <c r="BI218" s="403" t="e">
        <f>'Portefeuille SP2'!#REF!</f>
        <v>#REF!</v>
      </c>
      <c r="BJ218" s="403" t="e">
        <f>'Portefeuille SP2'!#REF!</f>
        <v>#REF!</v>
      </c>
      <c r="BK218" s="403" t="e">
        <f>'Portefeuille SP2'!#REF!</f>
        <v>#REF!</v>
      </c>
      <c r="BL218" s="388"/>
      <c r="BM218" s="404">
        <f>'Portefeuille SP2'!L235</f>
        <v>0</v>
      </c>
    </row>
    <row r="219" spans="1:65" ht="15" customHeight="1">
      <c r="A219" s="383">
        <f>'Portefeuille SP2'!B237</f>
        <v>45368</v>
      </c>
      <c r="B219" s="390" t="str">
        <f>'Portefeuille SP2'!Q237</f>
        <v>CANCELED</v>
      </c>
      <c r="C219" s="384"/>
      <c r="D219" s="382" t="str">
        <f>'Portefeuille SP2'!E237</f>
        <v>PTF</v>
      </c>
      <c r="E219" s="382" t="str">
        <f t="shared" si="21"/>
        <v>BIW</v>
      </c>
      <c r="F219" s="382" t="str">
        <f t="shared" si="23"/>
        <v/>
      </c>
      <c r="G219" s="382" t="str">
        <f>'Portefeuille SP2'!C237</f>
        <v>SPC_1</v>
      </c>
      <c r="H219" s="382" t="str">
        <f>'Portefeuille SP2'!F237</f>
        <v>FREDERIC GUINGAND</v>
      </c>
      <c r="I219" s="382"/>
      <c r="J219" s="382" t="str">
        <f>'Portefeuille SP2'!D237</f>
        <v xml:space="preserve">BIW </v>
      </c>
      <c r="K219" s="385" t="str">
        <f>'Portefeuille SP2'!H237</f>
        <v>Wheel &amp; tire size (/!\ keep RRC A++)​</v>
      </c>
      <c r="L219" s="157">
        <f>'Portefeuille SP2'!U237</f>
        <v>0</v>
      </c>
      <c r="M219" s="386"/>
      <c r="N219" s="386"/>
      <c r="O219" s="386"/>
      <c r="P219" s="387">
        <f>'Portefeuille SP2'!M237</f>
        <v>0</v>
      </c>
      <c r="Q219" s="387"/>
      <c r="R219" s="387">
        <f>'Portefeuille SP2'!N237</f>
        <v>0</v>
      </c>
      <c r="S219" s="387"/>
      <c r="T219" s="382" t="str">
        <f>'Portefeuille SP2'!R237</f>
        <v>TBD</v>
      </c>
      <c r="U219" s="387">
        <f>'Portefeuille SP2'!K237</f>
        <v>0</v>
      </c>
      <c r="V219" s="399">
        <f>'Portefeuille SP2'!S237</f>
        <v>1</v>
      </c>
      <c r="W219" s="387"/>
      <c r="X219" s="387"/>
      <c r="Y219" s="387"/>
      <c r="Z219" s="387"/>
      <c r="AA219" s="387"/>
      <c r="AB219" s="387"/>
      <c r="AC219" s="387"/>
      <c r="AD219" s="387"/>
      <c r="AE219" s="400">
        <f>'Portefeuille SP2'!J237</f>
        <v>0</v>
      </c>
      <c r="AF219" s="387"/>
      <c r="AG219" s="387"/>
      <c r="AH219" s="389"/>
      <c r="AI219" s="389"/>
      <c r="AJ219" s="403">
        <f>'Portefeuille SP2'!V237</f>
        <v>0</v>
      </c>
      <c r="AK219" s="403">
        <f>'Portefeuille SP2'!W237</f>
        <v>0</v>
      </c>
      <c r="AL219" s="403">
        <f>'Portefeuille SP2'!X237</f>
        <v>0</v>
      </c>
      <c r="AM219" s="403">
        <f>'Portefeuille SP2'!Y237</f>
        <v>1</v>
      </c>
      <c r="AN219" s="403">
        <f>'Portefeuille SP2'!Z237</f>
        <v>1</v>
      </c>
      <c r="AO219" s="403">
        <f>'Portefeuille SP2'!AA237</f>
        <v>0</v>
      </c>
      <c r="AP219" s="403">
        <f>'Portefeuille SP2'!AB237</f>
        <v>0</v>
      </c>
      <c r="AQ219" s="403">
        <f>'Portefeuille SP2'!AC237</f>
        <v>1</v>
      </c>
      <c r="AR219" s="403">
        <f>'Portefeuille SP2'!AD237</f>
        <v>1</v>
      </c>
      <c r="AS219" s="403">
        <f>'Portefeuille SP2'!AE237</f>
        <v>0</v>
      </c>
      <c r="AT219" s="403">
        <f>'Portefeuille SP2'!AF237</f>
        <v>0</v>
      </c>
      <c r="AU219" s="403">
        <f>'Portefeuille SP2'!AG237</f>
        <v>0</v>
      </c>
      <c r="AV219" s="403">
        <f>'Portefeuille SP2'!AH237</f>
        <v>1</v>
      </c>
      <c r="AW219" s="403">
        <f>'Portefeuille SP2'!AI237</f>
        <v>1</v>
      </c>
      <c r="AX219" s="403">
        <f>'Portefeuille SP2'!AJ237</f>
        <v>0</v>
      </c>
      <c r="AY219" s="403">
        <f>'Portefeuille SP2'!AK237</f>
        <v>0</v>
      </c>
      <c r="AZ219" s="403">
        <f>'Portefeuille SP2'!AL237</f>
        <v>1</v>
      </c>
      <c r="BA219" s="403">
        <f>'Portefeuille SP2'!AM237</f>
        <v>1</v>
      </c>
      <c r="BB219" s="403">
        <f>'Portefeuille SP2'!AN237</f>
        <v>0</v>
      </c>
      <c r="BC219" s="403">
        <f>'Portefeuille SP2'!AO237</f>
        <v>0</v>
      </c>
      <c r="BD219" s="403">
        <f>'Portefeuille SP2'!AP237</f>
        <v>0</v>
      </c>
      <c r="BE219" s="403">
        <f>'Portefeuille SP2'!AQ237</f>
        <v>1</v>
      </c>
      <c r="BF219" s="403">
        <f>'Portefeuille SP2'!AR237</f>
        <v>1</v>
      </c>
      <c r="BG219" s="403" t="e">
        <f>'Portefeuille SP2'!#REF!</f>
        <v>#REF!</v>
      </c>
      <c r="BH219" s="403" t="e">
        <f>'Portefeuille SP2'!#REF!</f>
        <v>#REF!</v>
      </c>
      <c r="BI219" s="403" t="e">
        <f>'Portefeuille SP2'!#REF!</f>
        <v>#REF!</v>
      </c>
      <c r="BJ219" s="403" t="e">
        <f>'Portefeuille SP2'!#REF!</f>
        <v>#REF!</v>
      </c>
      <c r="BK219" s="403" t="e">
        <f>'Portefeuille SP2'!#REF!</f>
        <v>#REF!</v>
      </c>
      <c r="BL219" s="388"/>
      <c r="BM219" s="404">
        <f>'Portefeuille SP2'!L237</f>
        <v>0</v>
      </c>
    </row>
    <row r="220" spans="1:65" ht="15" customHeight="1">
      <c r="A220" s="383">
        <f>'Portefeuille SP2'!B238</f>
        <v>45368</v>
      </c>
      <c r="B220" s="390" t="str">
        <f>'Portefeuille SP2'!Q238</f>
        <v>CANCELED</v>
      </c>
      <c r="C220" s="384"/>
      <c r="D220" s="382" t="str">
        <f>'Portefeuille SP2'!E238</f>
        <v>PTF</v>
      </c>
      <c r="E220" s="382" t="str">
        <f t="shared" si="21"/>
        <v>PHE</v>
      </c>
      <c r="F220" s="382" t="str">
        <f t="shared" ref="F220:F221" si="27">MID(J220, 4, 20)</f>
        <v>S</v>
      </c>
      <c r="G220" s="382" t="str">
        <f>'Portefeuille SP2'!C238</f>
        <v>SPC_1</v>
      </c>
      <c r="H220" s="382" t="str">
        <f>'Portefeuille SP2'!F238</f>
        <v>SYLVAIN MAGDELAINE</v>
      </c>
      <c r="I220" s="382" t="s">
        <v>1213</v>
      </c>
      <c r="J220" s="382" t="str">
        <f>'Portefeuille SP2'!D238</f>
        <v>PHES</v>
      </c>
      <c r="K220" s="385" t="str">
        <f>'Portefeuille SP2'!H238</f>
        <v>Exhaust line outer under wheelbase</v>
      </c>
      <c r="L220" s="157">
        <f>'Portefeuille SP2'!U238</f>
        <v>-2</v>
      </c>
      <c r="M220" s="386"/>
      <c r="N220" s="386"/>
      <c r="O220" s="386"/>
      <c r="P220" s="400">
        <f>'Portefeuille SP2'!M238</f>
        <v>0</v>
      </c>
      <c r="Q220" s="387"/>
      <c r="R220" s="387">
        <f>'Portefeuille SP2'!N238</f>
        <v>0</v>
      </c>
      <c r="S220" s="387"/>
      <c r="T220" s="382" t="str">
        <f>'Portefeuille SP2'!R238</f>
        <v>step2</v>
      </c>
      <c r="U220" s="387">
        <f>'Portefeuille SP2'!K238</f>
        <v>0</v>
      </c>
      <c r="V220" s="399">
        <f>'Portefeuille SP2'!S238</f>
        <v>1</v>
      </c>
      <c r="W220" s="387"/>
      <c r="X220" s="387"/>
      <c r="Y220" s="387"/>
      <c r="Z220" s="387"/>
      <c r="AA220" s="387"/>
      <c r="AB220" s="387"/>
      <c r="AC220" s="387"/>
      <c r="AD220" s="387"/>
      <c r="AE220" s="408">
        <f>'Portefeuille SP2'!J238</f>
        <v>0</v>
      </c>
      <c r="AF220" s="387"/>
      <c r="AG220" s="387"/>
      <c r="AH220" s="389"/>
      <c r="AI220" s="389"/>
      <c r="AJ220" s="403">
        <f>'Portefeuille SP2'!V238</f>
        <v>0</v>
      </c>
      <c r="AK220" s="403">
        <f>'Portefeuille SP2'!W238</f>
        <v>0</v>
      </c>
      <c r="AL220" s="403">
        <f>'Portefeuille SP2'!X238</f>
        <v>0</v>
      </c>
      <c r="AM220" s="403">
        <f>'Portefeuille SP2'!Y238</f>
        <v>1</v>
      </c>
      <c r="AN220" s="403">
        <f>'Portefeuille SP2'!Z238</f>
        <v>1</v>
      </c>
      <c r="AO220" s="403">
        <f>'Portefeuille SP2'!AA238</f>
        <v>0</v>
      </c>
      <c r="AP220" s="403">
        <f>'Portefeuille SP2'!AB238</f>
        <v>0</v>
      </c>
      <c r="AQ220" s="403">
        <f>'Portefeuille SP2'!AC238</f>
        <v>1</v>
      </c>
      <c r="AR220" s="403">
        <f>'Portefeuille SP2'!AD238</f>
        <v>1</v>
      </c>
      <c r="AS220" s="403">
        <f>'Portefeuille SP2'!AE238</f>
        <v>0</v>
      </c>
      <c r="AT220" s="403">
        <f>'Portefeuille SP2'!AF238</f>
        <v>0</v>
      </c>
      <c r="AU220" s="403">
        <f>'Portefeuille SP2'!AG238</f>
        <v>0</v>
      </c>
      <c r="AV220" s="403">
        <f>'Portefeuille SP2'!AH238</f>
        <v>1</v>
      </c>
      <c r="AW220" s="403">
        <f>'Portefeuille SP2'!AI238</f>
        <v>1</v>
      </c>
      <c r="AX220" s="403">
        <f>'Portefeuille SP2'!AJ238</f>
        <v>0</v>
      </c>
      <c r="AY220" s="403">
        <f>'Portefeuille SP2'!AK238</f>
        <v>0</v>
      </c>
      <c r="AZ220" s="403">
        <f>'Portefeuille SP2'!AL238</f>
        <v>1</v>
      </c>
      <c r="BA220" s="403">
        <f>'Portefeuille SP2'!AM238</f>
        <v>1</v>
      </c>
      <c r="BB220" s="403">
        <f>'Portefeuille SP2'!AN238</f>
        <v>0</v>
      </c>
      <c r="BC220" s="403">
        <f>'Portefeuille SP2'!AO238</f>
        <v>0</v>
      </c>
      <c r="BD220" s="403">
        <f>'Portefeuille SP2'!AP238</f>
        <v>0</v>
      </c>
      <c r="BE220" s="403">
        <f>'Portefeuille SP2'!AQ238</f>
        <v>1</v>
      </c>
      <c r="BF220" s="403">
        <f>'Portefeuille SP2'!AR238</f>
        <v>1</v>
      </c>
      <c r="BG220" s="403" t="e">
        <f>'Portefeuille SP2'!#REF!</f>
        <v>#REF!</v>
      </c>
      <c r="BH220" s="403" t="e">
        <f>'Portefeuille SP2'!#REF!</f>
        <v>#REF!</v>
      </c>
      <c r="BI220" s="403" t="e">
        <f>'Portefeuille SP2'!#REF!</f>
        <v>#REF!</v>
      </c>
      <c r="BJ220" s="403" t="e">
        <f>'Portefeuille SP2'!#REF!</f>
        <v>#REF!</v>
      </c>
      <c r="BK220" s="403" t="e">
        <f>'Portefeuille SP2'!#REF!</f>
        <v>#REF!</v>
      </c>
      <c r="BL220" s="388"/>
      <c r="BM220" s="404" t="str">
        <f>'Portefeuille SP2'!L238</f>
        <v xml:space="preserve">Step2 </v>
      </c>
    </row>
    <row r="221" spans="1:65" ht="15" customHeight="1">
      <c r="A221" s="383">
        <f>'Portefeuille SP2'!B239</f>
        <v>45368</v>
      </c>
      <c r="B221" s="390" t="str">
        <f>'Portefeuille SP2'!Q239</f>
        <v>CANCELED</v>
      </c>
      <c r="C221" s="384"/>
      <c r="D221" s="382" t="str">
        <f>'Portefeuille SP2'!E239</f>
        <v>PTF</v>
      </c>
      <c r="E221" s="382" t="str">
        <f t="shared" si="21"/>
        <v>BIW</v>
      </c>
      <c r="F221" s="382" t="str">
        <f t="shared" si="27"/>
        <v xml:space="preserve"> </v>
      </c>
      <c r="G221" s="382" t="str">
        <f>'Portefeuille SP2'!C239</f>
        <v>SPC_1</v>
      </c>
      <c r="H221" s="382" t="str">
        <f>'Portefeuille SP2'!F239</f>
        <v>LOTHAR LAMBERT</v>
      </c>
      <c r="I221" s="382" t="s">
        <v>1213</v>
      </c>
      <c r="J221" s="382" t="str">
        <f>'Portefeuille SP2'!D239</f>
        <v xml:space="preserve">BIW </v>
      </c>
      <c r="K221" s="385" t="str">
        <f>'Portefeuille SP2'!H239</f>
        <v>level 0</v>
      </c>
      <c r="L221" s="157">
        <f>'Portefeuille SP2'!U239</f>
        <v>-20</v>
      </c>
      <c r="M221" s="386"/>
      <c r="N221" s="386"/>
      <c r="O221" s="386"/>
      <c r="P221" s="400">
        <f>'Portefeuille SP2'!M239</f>
        <v>0</v>
      </c>
      <c r="Q221" s="387"/>
      <c r="R221" s="387">
        <f>'Portefeuille SP2'!N239</f>
        <v>0</v>
      </c>
      <c r="S221" s="387"/>
      <c r="T221" s="382" t="str">
        <f>'Portefeuille SP2'!R239</f>
        <v>step5</v>
      </c>
      <c r="U221" s="387">
        <f>'Portefeuille SP2'!K239</f>
        <v>0</v>
      </c>
      <c r="V221" s="399">
        <f>'Portefeuille SP2'!S239</f>
        <v>1</v>
      </c>
      <c r="W221" s="387"/>
      <c r="X221" s="387"/>
      <c r="Y221" s="387"/>
      <c r="Z221" s="387"/>
      <c r="AA221" s="387"/>
      <c r="AB221" s="387"/>
      <c r="AC221" s="387"/>
      <c r="AD221" s="387"/>
      <c r="AE221" s="408">
        <f>'Portefeuille SP2'!J239</f>
        <v>0</v>
      </c>
      <c r="AF221" s="387"/>
      <c r="AG221" s="387"/>
      <c r="AH221" s="389"/>
      <c r="AI221" s="389"/>
      <c r="AJ221" s="403">
        <f>'Portefeuille SP2'!V239</f>
        <v>0</v>
      </c>
      <c r="AK221" s="403">
        <f>'Portefeuille SP2'!W239</f>
        <v>0</v>
      </c>
      <c r="AL221" s="403">
        <f>'Portefeuille SP2'!X239</f>
        <v>0</v>
      </c>
      <c r="AM221" s="403">
        <f>'Portefeuille SP2'!Y239</f>
        <v>1</v>
      </c>
      <c r="AN221" s="403">
        <f>'Portefeuille SP2'!Z239</f>
        <v>1</v>
      </c>
      <c r="AO221" s="403">
        <f>'Portefeuille SP2'!AA239</f>
        <v>0</v>
      </c>
      <c r="AP221" s="403">
        <f>'Portefeuille SP2'!AB239</f>
        <v>0</v>
      </c>
      <c r="AQ221" s="403">
        <f>'Portefeuille SP2'!AC239</f>
        <v>1</v>
      </c>
      <c r="AR221" s="403">
        <f>'Portefeuille SP2'!AD239</f>
        <v>1</v>
      </c>
      <c r="AS221" s="403">
        <f>'Portefeuille SP2'!AE239</f>
        <v>0</v>
      </c>
      <c r="AT221" s="403">
        <f>'Portefeuille SP2'!AF239</f>
        <v>0</v>
      </c>
      <c r="AU221" s="403">
        <f>'Portefeuille SP2'!AG239</f>
        <v>0</v>
      </c>
      <c r="AV221" s="403">
        <f>'Portefeuille SP2'!AH239</f>
        <v>1</v>
      </c>
      <c r="AW221" s="403">
        <f>'Portefeuille SP2'!AI239</f>
        <v>1</v>
      </c>
      <c r="AX221" s="403">
        <f>'Portefeuille SP2'!AJ239</f>
        <v>0</v>
      </c>
      <c r="AY221" s="403">
        <f>'Portefeuille SP2'!AK239</f>
        <v>0</v>
      </c>
      <c r="AZ221" s="403">
        <f>'Portefeuille SP2'!AL239</f>
        <v>1</v>
      </c>
      <c r="BA221" s="403">
        <f>'Portefeuille SP2'!AM239</f>
        <v>1</v>
      </c>
      <c r="BB221" s="403">
        <f>'Portefeuille SP2'!AN239</f>
        <v>0</v>
      </c>
      <c r="BC221" s="403">
        <f>'Portefeuille SP2'!AO239</f>
        <v>0</v>
      </c>
      <c r="BD221" s="403">
        <f>'Portefeuille SP2'!AP239</f>
        <v>0</v>
      </c>
      <c r="BE221" s="403">
        <f>'Portefeuille SP2'!AQ239</f>
        <v>1</v>
      </c>
      <c r="BF221" s="403">
        <f>'Portefeuille SP2'!AR239</f>
        <v>1</v>
      </c>
      <c r="BG221" s="403" t="e">
        <f>'Portefeuille SP2'!#REF!</f>
        <v>#REF!</v>
      </c>
      <c r="BH221" s="403" t="e">
        <f>'Portefeuille SP2'!#REF!</f>
        <v>#REF!</v>
      </c>
      <c r="BI221" s="403" t="e">
        <f>'Portefeuille SP2'!#REF!</f>
        <v>#REF!</v>
      </c>
      <c r="BJ221" s="403" t="e">
        <f>'Portefeuille SP2'!#REF!</f>
        <v>#REF!</v>
      </c>
      <c r="BK221" s="403" t="e">
        <f>'Portefeuille SP2'!#REF!</f>
        <v>#REF!</v>
      </c>
      <c r="BL221" s="388"/>
      <c r="BM221" s="404" t="str">
        <f>'Portefeuille SP2'!L239</f>
        <v xml:space="preserve">Step 4 </v>
      </c>
    </row>
    <row r="222" spans="1:65" ht="15" customHeight="1">
      <c r="A222" s="383">
        <f>'Portefeuille SP2'!B240</f>
        <v>45536</v>
      </c>
      <c r="B222" s="390" t="str">
        <f>'Portefeuille SP2'!Q240</f>
        <v>CANCELED</v>
      </c>
      <c r="C222" s="384"/>
      <c r="D222" s="382" t="str">
        <f>'Portefeuille SP2'!E240</f>
        <v>TH</v>
      </c>
      <c r="E222" s="382" t="str">
        <f t="shared" si="21"/>
        <v>BIW</v>
      </c>
      <c r="F222" s="382" t="str">
        <f t="shared" si="23"/>
        <v/>
      </c>
      <c r="G222" s="382" t="str">
        <f>'Portefeuille SP2'!C240</f>
        <v>SPC_1</v>
      </c>
      <c r="H222" s="382">
        <f>'Portefeuille SP2'!F240</f>
        <v>0</v>
      </c>
      <c r="I222" s="382"/>
      <c r="J222" s="382" t="str">
        <f>'Portefeuille SP2'!D240</f>
        <v xml:space="preserve">BIW </v>
      </c>
      <c r="K222" s="385" t="str">
        <f>'Portefeuille SP2'!H240</f>
        <v>prius like</v>
      </c>
      <c r="L222" s="157">
        <f>'Portefeuille SP2'!U240</f>
        <v>0</v>
      </c>
      <c r="M222" s="386"/>
      <c r="N222" s="386"/>
      <c r="O222" s="386"/>
      <c r="P222" s="387">
        <f>'Portefeuille SP2'!M240</f>
        <v>0</v>
      </c>
      <c r="Q222" s="387"/>
      <c r="R222" s="387">
        <f>'Portefeuille SP2'!N240</f>
        <v>0</v>
      </c>
      <c r="S222" s="387"/>
      <c r="T222" s="382" t="str">
        <f>'Portefeuille SP2'!R240</f>
        <v>step3</v>
      </c>
      <c r="U222" s="387">
        <f>'Portefeuille SP2'!K240</f>
        <v>0</v>
      </c>
      <c r="V222" s="399">
        <f>'Portefeuille SP2'!S240</f>
        <v>0</v>
      </c>
      <c r="W222" s="387"/>
      <c r="X222" s="387"/>
      <c r="Y222" s="387"/>
      <c r="Z222" s="387"/>
      <c r="AA222" s="387"/>
      <c r="AB222" s="387"/>
      <c r="AC222" s="387"/>
      <c r="AD222" s="387"/>
      <c r="AE222" s="400">
        <f>'Portefeuille SP2'!J240</f>
        <v>0</v>
      </c>
      <c r="AF222" s="387"/>
      <c r="AG222" s="387"/>
      <c r="AH222" s="389"/>
      <c r="AI222" s="389"/>
      <c r="AJ222" s="403">
        <f>'Portefeuille SP2'!V240</f>
        <v>0</v>
      </c>
      <c r="AK222" s="403">
        <f>'Portefeuille SP2'!W240</f>
        <v>0</v>
      </c>
      <c r="AL222" s="403">
        <f>'Portefeuille SP2'!X240</f>
        <v>0</v>
      </c>
      <c r="AM222" s="403">
        <f>'Portefeuille SP2'!Y240</f>
        <v>1</v>
      </c>
      <c r="AN222" s="403">
        <f>'Portefeuille SP2'!Z240</f>
        <v>1</v>
      </c>
      <c r="AO222" s="403">
        <f>'Portefeuille SP2'!AA240</f>
        <v>0</v>
      </c>
      <c r="AP222" s="403">
        <f>'Portefeuille SP2'!AB240</f>
        <v>0</v>
      </c>
      <c r="AQ222" s="403">
        <f>'Portefeuille SP2'!AC240</f>
        <v>1</v>
      </c>
      <c r="AR222" s="403">
        <f>'Portefeuille SP2'!AD240</f>
        <v>1</v>
      </c>
      <c r="AS222" s="403">
        <f>'Portefeuille SP2'!AE240</f>
        <v>0</v>
      </c>
      <c r="AT222" s="403">
        <f>'Portefeuille SP2'!AF240</f>
        <v>0</v>
      </c>
      <c r="AU222" s="403">
        <f>'Portefeuille SP2'!AG240</f>
        <v>0</v>
      </c>
      <c r="AV222" s="403">
        <f>'Portefeuille SP2'!AH240</f>
        <v>1</v>
      </c>
      <c r="AW222" s="403">
        <f>'Portefeuille SP2'!AI240</f>
        <v>1</v>
      </c>
      <c r="AX222" s="403">
        <f>'Portefeuille SP2'!AJ240</f>
        <v>0</v>
      </c>
      <c r="AY222" s="403">
        <f>'Portefeuille SP2'!AK240</f>
        <v>0</v>
      </c>
      <c r="AZ222" s="403">
        <f>'Portefeuille SP2'!AL240</f>
        <v>1</v>
      </c>
      <c r="BA222" s="403">
        <f>'Portefeuille SP2'!AM240</f>
        <v>1</v>
      </c>
      <c r="BB222" s="403">
        <f>'Portefeuille SP2'!AN240</f>
        <v>0</v>
      </c>
      <c r="BC222" s="403">
        <f>'Portefeuille SP2'!AO240</f>
        <v>0</v>
      </c>
      <c r="BD222" s="403">
        <f>'Portefeuille SP2'!AP240</f>
        <v>0</v>
      </c>
      <c r="BE222" s="403">
        <f>'Portefeuille SP2'!AQ240</f>
        <v>1</v>
      </c>
      <c r="BF222" s="403">
        <f>'Portefeuille SP2'!AR240</f>
        <v>1</v>
      </c>
      <c r="BG222" s="403" t="e">
        <f>'Portefeuille SP2'!#REF!</f>
        <v>#REF!</v>
      </c>
      <c r="BH222" s="403" t="e">
        <f>'Portefeuille SP2'!#REF!</f>
        <v>#REF!</v>
      </c>
      <c r="BI222" s="403" t="e">
        <f>'Portefeuille SP2'!#REF!</f>
        <v>#REF!</v>
      </c>
      <c r="BJ222" s="403" t="e">
        <f>'Portefeuille SP2'!#REF!</f>
        <v>#REF!</v>
      </c>
      <c r="BK222" s="403" t="e">
        <f>'Portefeuille SP2'!#REF!</f>
        <v>#REF!</v>
      </c>
      <c r="BL222" s="388"/>
      <c r="BM222" s="404">
        <f>'Portefeuille SP2'!L240</f>
        <v>0</v>
      </c>
    </row>
    <row r="223" spans="1:65" ht="15" customHeight="1">
      <c r="A223" s="383">
        <f>'Portefeuille SP2'!B241</f>
        <v>46066</v>
      </c>
      <c r="B223" s="390" t="str">
        <f>'Portefeuille SP2'!Q241</f>
        <v>IN PROGRESS</v>
      </c>
      <c r="C223" s="384"/>
      <c r="D223" s="382" t="str">
        <f>'Portefeuille SP2'!E241</f>
        <v>TH</v>
      </c>
      <c r="E223" s="382" t="str">
        <f t="shared" si="21"/>
        <v>BCI</v>
      </c>
      <c r="F223" s="382" t="str">
        <f t="shared" ref="F223:F224" si="28">MID(J223, 4, 20)</f>
        <v>_CHASSIS</v>
      </c>
      <c r="G223" s="382" t="str">
        <f>'Portefeuille SP2'!C241</f>
        <v>SPC_1</v>
      </c>
      <c r="H223" s="382" t="str">
        <f>'Portefeuille SP2'!F241</f>
        <v>FREDERIC GUINGAND</v>
      </c>
      <c r="I223" s="382" t="s">
        <v>1213</v>
      </c>
      <c r="J223" s="382" t="str">
        <f>'Portefeuille SP2'!D241</f>
        <v>BCI_CHASSIS</v>
      </c>
      <c r="K223" s="385" t="str">
        <f>'Portefeuille SP2'!H241</f>
        <v>wheels 17"</v>
      </c>
      <c r="L223" s="157">
        <f>'Portefeuille SP2'!U241</f>
        <v>-4</v>
      </c>
      <c r="M223" s="386"/>
      <c r="N223" s="386"/>
      <c r="O223" s="386"/>
      <c r="P223" s="400">
        <f>'Portefeuille SP2'!M241</f>
        <v>0</v>
      </c>
      <c r="Q223" s="387"/>
      <c r="R223" s="387">
        <f>'Portefeuille SP2'!N241</f>
        <v>0</v>
      </c>
      <c r="S223" s="387"/>
      <c r="T223" s="382" t="str">
        <f>'Portefeuille SP2'!R241</f>
        <v>TBD</v>
      </c>
      <c r="U223" s="387">
        <f>'Portefeuille SP2'!K241</f>
        <v>0</v>
      </c>
      <c r="V223" s="399">
        <f>'Portefeuille SP2'!S241</f>
        <v>1</v>
      </c>
      <c r="W223" s="387"/>
      <c r="X223" s="387"/>
      <c r="Y223" s="387"/>
      <c r="Z223" s="387"/>
      <c r="AA223" s="387"/>
      <c r="AB223" s="387"/>
      <c r="AC223" s="387"/>
      <c r="AD223" s="387"/>
      <c r="AE223" s="408">
        <f>'Portefeuille SP2'!J241</f>
        <v>0</v>
      </c>
      <c r="AF223" s="387"/>
      <c r="AG223" s="387"/>
      <c r="AH223" s="389"/>
      <c r="AI223" s="389"/>
      <c r="AJ223" s="403">
        <f>'Portefeuille SP2'!V241</f>
        <v>0</v>
      </c>
      <c r="AK223" s="403">
        <f>'Portefeuille SP2'!W241</f>
        <v>0</v>
      </c>
      <c r="AL223" s="403">
        <f>'Portefeuille SP2'!X241</f>
        <v>0</v>
      </c>
      <c r="AM223" s="403">
        <f>'Portefeuille SP2'!Y241</f>
        <v>1</v>
      </c>
      <c r="AN223" s="403">
        <f>'Portefeuille SP2'!Z241</f>
        <v>1</v>
      </c>
      <c r="AO223" s="403">
        <f>'Portefeuille SP2'!AA241</f>
        <v>0</v>
      </c>
      <c r="AP223" s="403">
        <f>'Portefeuille SP2'!AB241</f>
        <v>0</v>
      </c>
      <c r="AQ223" s="403">
        <f>'Portefeuille SP2'!AC241</f>
        <v>1</v>
      </c>
      <c r="AR223" s="403">
        <f>'Portefeuille SP2'!AD241</f>
        <v>1</v>
      </c>
      <c r="AS223" s="403">
        <f>'Portefeuille SP2'!AE241</f>
        <v>0</v>
      </c>
      <c r="AT223" s="403">
        <f>'Portefeuille SP2'!AF241</f>
        <v>0</v>
      </c>
      <c r="AU223" s="403">
        <f>'Portefeuille SP2'!AG241</f>
        <v>0</v>
      </c>
      <c r="AV223" s="403">
        <f>'Portefeuille SP2'!AH241</f>
        <v>1</v>
      </c>
      <c r="AW223" s="403">
        <f>'Portefeuille SP2'!AI241</f>
        <v>1</v>
      </c>
      <c r="AX223" s="403">
        <f>'Portefeuille SP2'!AJ241</f>
        <v>0</v>
      </c>
      <c r="AY223" s="403">
        <f>'Portefeuille SP2'!AK241</f>
        <v>0</v>
      </c>
      <c r="AZ223" s="403">
        <f>'Portefeuille SP2'!AL241</f>
        <v>1</v>
      </c>
      <c r="BA223" s="403">
        <f>'Portefeuille SP2'!AM241</f>
        <v>1</v>
      </c>
      <c r="BB223" s="403">
        <f>'Portefeuille SP2'!AN241</f>
        <v>0</v>
      </c>
      <c r="BC223" s="403">
        <f>'Portefeuille SP2'!AO241</f>
        <v>0</v>
      </c>
      <c r="BD223" s="403">
        <f>'Portefeuille SP2'!AP241</f>
        <v>0</v>
      </c>
      <c r="BE223" s="403">
        <f>'Portefeuille SP2'!AQ241</f>
        <v>0</v>
      </c>
      <c r="BF223" s="403">
        <f>'Portefeuille SP2'!AR241</f>
        <v>1</v>
      </c>
      <c r="BG223" s="403" t="e">
        <f>'Portefeuille SP2'!#REF!</f>
        <v>#REF!</v>
      </c>
      <c r="BH223" s="403" t="e">
        <f>'Portefeuille SP2'!#REF!</f>
        <v>#REF!</v>
      </c>
      <c r="BI223" s="403" t="e">
        <f>'Portefeuille SP2'!#REF!</f>
        <v>#REF!</v>
      </c>
      <c r="BJ223" s="403" t="e">
        <f>'Portefeuille SP2'!#REF!</f>
        <v>#REF!</v>
      </c>
      <c r="BK223" s="403" t="e">
        <f>'Portefeuille SP2'!#REF!</f>
        <v>#REF!</v>
      </c>
      <c r="BL223" s="388"/>
      <c r="BM223" s="404">
        <f>'Portefeuille SP2'!L241</f>
        <v>0</v>
      </c>
    </row>
    <row r="224" spans="1:65" ht="15" customHeight="1">
      <c r="A224" s="383">
        <f>'Portefeuille SP2'!B242</f>
        <v>45536</v>
      </c>
      <c r="B224" s="390" t="str">
        <f>'Portefeuille SP2'!Q242</f>
        <v>CANCELED</v>
      </c>
      <c r="C224" s="384"/>
      <c r="D224" s="382" t="str">
        <f>'Portefeuille SP2'!E242</f>
        <v>TH</v>
      </c>
      <c r="E224" s="382" t="str">
        <f t="shared" si="21"/>
        <v>BIW</v>
      </c>
      <c r="F224" s="382" t="str">
        <f t="shared" si="28"/>
        <v xml:space="preserve"> </v>
      </c>
      <c r="G224" s="382" t="str">
        <f>'Portefeuille SP2'!C242</f>
        <v>SPC_1</v>
      </c>
      <c r="H224" s="382" t="str">
        <f>'Portefeuille SP2'!F242</f>
        <v>NICOLAS TESSIER</v>
      </c>
      <c r="I224" s="382" t="s">
        <v>1213</v>
      </c>
      <c r="J224" s="382" t="str">
        <f>'Portefeuille SP2'!D242</f>
        <v xml:space="preserve">BIW </v>
      </c>
      <c r="K224" s="385" t="str">
        <f>'Portefeuille SP2'!H242</f>
        <v xml:space="preserve">Glazing perfo impact </v>
      </c>
      <c r="L224" s="157">
        <f>'Portefeuille SP2'!U242</f>
        <v>0</v>
      </c>
      <c r="M224" s="386"/>
      <c r="N224" s="386"/>
      <c r="O224" s="386"/>
      <c r="P224" s="400">
        <f>'Portefeuille SP2'!M242</f>
        <v>0</v>
      </c>
      <c r="Q224" s="387"/>
      <c r="R224" s="387">
        <f>'Portefeuille SP2'!N242</f>
        <v>0</v>
      </c>
      <c r="S224" s="387"/>
      <c r="T224" s="382" t="str">
        <f>'Portefeuille SP2'!R242</f>
        <v>Step4</v>
      </c>
      <c r="U224" s="387">
        <f>'Portefeuille SP2'!K242</f>
        <v>0</v>
      </c>
      <c r="V224" s="399">
        <f>'Portefeuille SP2'!S242</f>
        <v>0</v>
      </c>
      <c r="W224" s="387"/>
      <c r="X224" s="387"/>
      <c r="Y224" s="387"/>
      <c r="Z224" s="387"/>
      <c r="AA224" s="387"/>
      <c r="AB224" s="387"/>
      <c r="AC224" s="387"/>
      <c r="AD224" s="387"/>
      <c r="AE224" s="408">
        <f>'Portefeuille SP2'!J242</f>
        <v>0</v>
      </c>
      <c r="AF224" s="387"/>
      <c r="AG224" s="387"/>
      <c r="AH224" s="389"/>
      <c r="AI224" s="389"/>
      <c r="AJ224" s="403">
        <f>'Portefeuille SP2'!V242</f>
        <v>0</v>
      </c>
      <c r="AK224" s="403">
        <f>'Portefeuille SP2'!W242</f>
        <v>0</v>
      </c>
      <c r="AL224" s="403">
        <f>'Portefeuille SP2'!X242</f>
        <v>0</v>
      </c>
      <c r="AM224" s="403">
        <f>'Portefeuille SP2'!Y242</f>
        <v>1</v>
      </c>
      <c r="AN224" s="403">
        <f>'Portefeuille SP2'!Z242</f>
        <v>1</v>
      </c>
      <c r="AO224" s="403">
        <f>'Portefeuille SP2'!AA242</f>
        <v>0</v>
      </c>
      <c r="AP224" s="403">
        <f>'Portefeuille SP2'!AB242</f>
        <v>0</v>
      </c>
      <c r="AQ224" s="403">
        <f>'Portefeuille SP2'!AC242</f>
        <v>1</v>
      </c>
      <c r="AR224" s="403">
        <f>'Portefeuille SP2'!AD242</f>
        <v>1</v>
      </c>
      <c r="AS224" s="403">
        <f>'Portefeuille SP2'!AE242</f>
        <v>0</v>
      </c>
      <c r="AT224" s="403">
        <f>'Portefeuille SP2'!AF242</f>
        <v>0</v>
      </c>
      <c r="AU224" s="403">
        <f>'Portefeuille SP2'!AG242</f>
        <v>0</v>
      </c>
      <c r="AV224" s="403">
        <f>'Portefeuille SP2'!AH242</f>
        <v>1</v>
      </c>
      <c r="AW224" s="403">
        <f>'Portefeuille SP2'!AI242</f>
        <v>1</v>
      </c>
      <c r="AX224" s="403">
        <f>'Portefeuille SP2'!AJ242</f>
        <v>0</v>
      </c>
      <c r="AY224" s="403">
        <f>'Portefeuille SP2'!AK242</f>
        <v>0</v>
      </c>
      <c r="AZ224" s="403">
        <f>'Portefeuille SP2'!AL242</f>
        <v>1</v>
      </c>
      <c r="BA224" s="403">
        <f>'Portefeuille SP2'!AM242</f>
        <v>1</v>
      </c>
      <c r="BB224" s="403">
        <f>'Portefeuille SP2'!AN242</f>
        <v>0</v>
      </c>
      <c r="BC224" s="403">
        <f>'Portefeuille SP2'!AO242</f>
        <v>0</v>
      </c>
      <c r="BD224" s="403">
        <f>'Portefeuille SP2'!AP242</f>
        <v>0</v>
      </c>
      <c r="BE224" s="403">
        <f>'Portefeuille SP2'!AQ242</f>
        <v>1</v>
      </c>
      <c r="BF224" s="403">
        <f>'Portefeuille SP2'!AR242</f>
        <v>1</v>
      </c>
      <c r="BG224" s="403" t="e">
        <f>'Portefeuille SP2'!#REF!</f>
        <v>#REF!</v>
      </c>
      <c r="BH224" s="403" t="e">
        <f>'Portefeuille SP2'!#REF!</f>
        <v>#REF!</v>
      </c>
      <c r="BI224" s="403" t="e">
        <f>'Portefeuille SP2'!#REF!</f>
        <v>#REF!</v>
      </c>
      <c r="BJ224" s="403" t="e">
        <f>'Portefeuille SP2'!#REF!</f>
        <v>#REF!</v>
      </c>
      <c r="BK224" s="403" t="e">
        <f>'Portefeuille SP2'!#REF!</f>
        <v>#REF!</v>
      </c>
      <c r="BL224" s="388"/>
      <c r="BM224" s="404">
        <f>'Portefeuille SP2'!L242</f>
        <v>0</v>
      </c>
    </row>
    <row r="225" spans="1:65" ht="15" customHeight="1">
      <c r="A225" s="383">
        <f>'Portefeuille SP2'!B243</f>
        <v>45536</v>
      </c>
      <c r="B225" s="390" t="str">
        <f>'Portefeuille SP2'!Q243</f>
        <v>CANCELED</v>
      </c>
      <c r="C225" s="384"/>
      <c r="D225" s="382" t="str">
        <f>'Portefeuille SP2'!E243</f>
        <v>TH</v>
      </c>
      <c r="E225" s="382" t="str">
        <f t="shared" si="21"/>
        <v>0</v>
      </c>
      <c r="F225" s="382" t="str">
        <f t="shared" si="23"/>
        <v/>
      </c>
      <c r="G225" s="382" t="str">
        <f>'Portefeuille SP2'!C243</f>
        <v>SPC_1</v>
      </c>
      <c r="H225" s="382">
        <f>'Portefeuille SP2'!F243</f>
        <v>0</v>
      </c>
      <c r="I225" s="382"/>
      <c r="J225" s="382">
        <f>'Portefeuille SP2'!D243</f>
        <v>0</v>
      </c>
      <c r="K225" s="385" t="str">
        <f>'Portefeuille SP2'!H243</f>
        <v xml:space="preserve">Rear wiper system </v>
      </c>
      <c r="L225" s="157">
        <f>'Portefeuille SP2'!U243</f>
        <v>0</v>
      </c>
      <c r="M225" s="386"/>
      <c r="N225" s="386"/>
      <c r="O225" s="386"/>
      <c r="P225" s="387">
        <f>'Portefeuille SP2'!M243</f>
        <v>0</v>
      </c>
      <c r="Q225" s="387"/>
      <c r="R225" s="387">
        <f>'Portefeuille SP2'!N243</f>
        <v>0</v>
      </c>
      <c r="S225" s="387"/>
      <c r="T225" s="382" t="str">
        <f>'Portefeuille SP2'!R243</f>
        <v>step3</v>
      </c>
      <c r="U225" s="387">
        <f>'Portefeuille SP2'!K243</f>
        <v>0</v>
      </c>
      <c r="V225" s="399">
        <f>'Portefeuille SP2'!S243</f>
        <v>0</v>
      </c>
      <c r="W225" s="387"/>
      <c r="X225" s="387"/>
      <c r="Y225" s="387"/>
      <c r="Z225" s="387"/>
      <c r="AA225" s="387"/>
      <c r="AB225" s="387"/>
      <c r="AC225" s="387"/>
      <c r="AD225" s="387"/>
      <c r="AE225" s="400">
        <f>'Portefeuille SP2'!J243</f>
        <v>0</v>
      </c>
      <c r="AF225" s="387"/>
      <c r="AG225" s="387"/>
      <c r="AH225" s="389"/>
      <c r="AI225" s="389"/>
      <c r="AJ225" s="403">
        <f>'Portefeuille SP2'!V243</f>
        <v>0</v>
      </c>
      <c r="AK225" s="403">
        <f>'Portefeuille SP2'!W243</f>
        <v>0</v>
      </c>
      <c r="AL225" s="403">
        <f>'Portefeuille SP2'!X243</f>
        <v>0</v>
      </c>
      <c r="AM225" s="403">
        <f>'Portefeuille SP2'!Y243</f>
        <v>1</v>
      </c>
      <c r="AN225" s="403">
        <f>'Portefeuille SP2'!Z243</f>
        <v>1</v>
      </c>
      <c r="AO225" s="403">
        <f>'Portefeuille SP2'!AA243</f>
        <v>0</v>
      </c>
      <c r="AP225" s="403">
        <f>'Portefeuille SP2'!AB243</f>
        <v>0</v>
      </c>
      <c r="AQ225" s="403">
        <f>'Portefeuille SP2'!AC243</f>
        <v>1</v>
      </c>
      <c r="AR225" s="403">
        <f>'Portefeuille SP2'!AD243</f>
        <v>1</v>
      </c>
      <c r="AS225" s="403">
        <f>'Portefeuille SP2'!AE243</f>
        <v>0</v>
      </c>
      <c r="AT225" s="403">
        <f>'Portefeuille SP2'!AF243</f>
        <v>0</v>
      </c>
      <c r="AU225" s="403">
        <f>'Portefeuille SP2'!AG243</f>
        <v>0</v>
      </c>
      <c r="AV225" s="403">
        <f>'Portefeuille SP2'!AH243</f>
        <v>1</v>
      </c>
      <c r="AW225" s="403">
        <f>'Portefeuille SP2'!AI243</f>
        <v>1</v>
      </c>
      <c r="AX225" s="403">
        <f>'Portefeuille SP2'!AJ243</f>
        <v>0</v>
      </c>
      <c r="AY225" s="403">
        <f>'Portefeuille SP2'!AK243</f>
        <v>0</v>
      </c>
      <c r="AZ225" s="403">
        <f>'Portefeuille SP2'!AL243</f>
        <v>1</v>
      </c>
      <c r="BA225" s="403">
        <f>'Portefeuille SP2'!AM243</f>
        <v>1</v>
      </c>
      <c r="BB225" s="403">
        <f>'Portefeuille SP2'!AN243</f>
        <v>0</v>
      </c>
      <c r="BC225" s="403">
        <f>'Portefeuille SP2'!AO243</f>
        <v>0</v>
      </c>
      <c r="BD225" s="403">
        <f>'Portefeuille SP2'!AP243</f>
        <v>0</v>
      </c>
      <c r="BE225" s="403">
        <f>'Portefeuille SP2'!AQ243</f>
        <v>1</v>
      </c>
      <c r="BF225" s="403">
        <f>'Portefeuille SP2'!AR243</f>
        <v>1</v>
      </c>
      <c r="BG225" s="403" t="e">
        <f>'Portefeuille SP2'!#REF!</f>
        <v>#REF!</v>
      </c>
      <c r="BH225" s="403" t="e">
        <f>'Portefeuille SP2'!#REF!</f>
        <v>#REF!</v>
      </c>
      <c r="BI225" s="403" t="e">
        <f>'Portefeuille SP2'!#REF!</f>
        <v>#REF!</v>
      </c>
      <c r="BJ225" s="403" t="e">
        <f>'Portefeuille SP2'!#REF!</f>
        <v>#REF!</v>
      </c>
      <c r="BK225" s="403" t="e">
        <f>'Portefeuille SP2'!#REF!</f>
        <v>#REF!</v>
      </c>
      <c r="BL225" s="388"/>
      <c r="BM225" s="404">
        <f>'Portefeuille SP2'!L243</f>
        <v>0</v>
      </c>
    </row>
    <row r="226" spans="1:65" ht="15" customHeight="1">
      <c r="A226" s="383">
        <f>'Portefeuille SP2'!B244</f>
        <v>45536</v>
      </c>
      <c r="B226" s="390" t="str">
        <f>'Portefeuille SP2'!Q244</f>
        <v>CANCELED</v>
      </c>
      <c r="C226" s="384"/>
      <c r="D226" s="382" t="str">
        <f>'Portefeuille SP2'!E244</f>
        <v>PTF</v>
      </c>
      <c r="E226" s="382" t="str">
        <f t="shared" si="21"/>
        <v>PRS</v>
      </c>
      <c r="F226" s="382" t="str">
        <f>MID(J226, 4, 20)</f>
        <v xml:space="preserve"> </v>
      </c>
      <c r="G226" s="382" t="str">
        <f>'Portefeuille SP2'!C244</f>
        <v>SPC_1</v>
      </c>
      <c r="H226" s="382" t="str">
        <f>'Portefeuille SP2'!F244</f>
        <v>ALEXANDRE FARGE</v>
      </c>
      <c r="I226" s="382" t="s">
        <v>1213</v>
      </c>
      <c r="J226" s="382" t="str">
        <f>'Portefeuille SP2'!D244</f>
        <v xml:space="preserve">PRS </v>
      </c>
      <c r="K226" s="385" t="str">
        <f>'Portefeuille SP2'!H244</f>
        <v xml:space="preserve">DCDC on battery </v>
      </c>
      <c r="L226" s="157">
        <f>'Portefeuille SP2'!U244</f>
        <v>0</v>
      </c>
      <c r="M226" s="386"/>
      <c r="N226" s="386"/>
      <c r="O226" s="386"/>
      <c r="P226" s="400">
        <f>'Portefeuille SP2'!M244</f>
        <v>0</v>
      </c>
      <c r="Q226" s="387"/>
      <c r="R226" s="387">
        <f>'Portefeuille SP2'!N244</f>
        <v>0</v>
      </c>
      <c r="S226" s="387"/>
      <c r="T226" s="382" t="str">
        <f>'Portefeuille SP2'!R244</f>
        <v xml:space="preserve">Step1 </v>
      </c>
      <c r="U226" s="387">
        <f>'Portefeuille SP2'!K244</f>
        <v>0</v>
      </c>
      <c r="V226" s="399">
        <f>'Portefeuille SP2'!S244</f>
        <v>0</v>
      </c>
      <c r="W226" s="387"/>
      <c r="X226" s="387"/>
      <c r="Y226" s="387"/>
      <c r="Z226" s="387"/>
      <c r="AA226" s="387"/>
      <c r="AB226" s="387"/>
      <c r="AC226" s="387"/>
      <c r="AD226" s="387"/>
      <c r="AE226" s="408">
        <f>'Portefeuille SP2'!J244</f>
        <v>0</v>
      </c>
      <c r="AF226" s="387"/>
      <c r="AG226" s="387"/>
      <c r="AH226" s="389"/>
      <c r="AI226" s="389"/>
      <c r="AJ226" s="403">
        <f>'Portefeuille SP2'!V244</f>
        <v>0</v>
      </c>
      <c r="AK226" s="403">
        <f>'Portefeuille SP2'!W244</f>
        <v>0</v>
      </c>
      <c r="AL226" s="403">
        <f>'Portefeuille SP2'!X244</f>
        <v>0</v>
      </c>
      <c r="AM226" s="403">
        <f>'Portefeuille SP2'!Y244</f>
        <v>1</v>
      </c>
      <c r="AN226" s="403">
        <f>'Portefeuille SP2'!Z244</f>
        <v>1</v>
      </c>
      <c r="AO226" s="403">
        <f>'Portefeuille SP2'!AA244</f>
        <v>0</v>
      </c>
      <c r="AP226" s="403">
        <f>'Portefeuille SP2'!AB244</f>
        <v>0</v>
      </c>
      <c r="AQ226" s="403">
        <f>'Portefeuille SP2'!AC244</f>
        <v>1</v>
      </c>
      <c r="AR226" s="403">
        <f>'Portefeuille SP2'!AD244</f>
        <v>1</v>
      </c>
      <c r="AS226" s="403">
        <f>'Portefeuille SP2'!AE244</f>
        <v>0</v>
      </c>
      <c r="AT226" s="403">
        <f>'Portefeuille SP2'!AF244</f>
        <v>0</v>
      </c>
      <c r="AU226" s="403">
        <f>'Portefeuille SP2'!AG244</f>
        <v>0</v>
      </c>
      <c r="AV226" s="403">
        <f>'Portefeuille SP2'!AH244</f>
        <v>1</v>
      </c>
      <c r="AW226" s="403">
        <f>'Portefeuille SP2'!AI244</f>
        <v>1</v>
      </c>
      <c r="AX226" s="403">
        <f>'Portefeuille SP2'!AJ244</f>
        <v>0</v>
      </c>
      <c r="AY226" s="403">
        <f>'Portefeuille SP2'!AK244</f>
        <v>0</v>
      </c>
      <c r="AZ226" s="403">
        <f>'Portefeuille SP2'!AL244</f>
        <v>1</v>
      </c>
      <c r="BA226" s="403">
        <f>'Portefeuille SP2'!AM244</f>
        <v>1</v>
      </c>
      <c r="BB226" s="403">
        <f>'Portefeuille SP2'!AN244</f>
        <v>0</v>
      </c>
      <c r="BC226" s="403">
        <f>'Portefeuille SP2'!AO244</f>
        <v>0</v>
      </c>
      <c r="BD226" s="403">
        <f>'Portefeuille SP2'!AP244</f>
        <v>0</v>
      </c>
      <c r="BE226" s="403">
        <f>'Portefeuille SP2'!AQ244</f>
        <v>1</v>
      </c>
      <c r="BF226" s="403">
        <f>'Portefeuille SP2'!AR244</f>
        <v>1</v>
      </c>
      <c r="BG226" s="403" t="e">
        <f>'Portefeuille SP2'!#REF!</f>
        <v>#REF!</v>
      </c>
      <c r="BH226" s="403" t="e">
        <f>'Portefeuille SP2'!#REF!</f>
        <v>#REF!</v>
      </c>
      <c r="BI226" s="403" t="e">
        <f>'Portefeuille SP2'!#REF!</f>
        <v>#REF!</v>
      </c>
      <c r="BJ226" s="403" t="e">
        <f>'Portefeuille SP2'!#REF!</f>
        <v>#REF!</v>
      </c>
      <c r="BK226" s="403" t="e">
        <f>'Portefeuille SP2'!#REF!</f>
        <v>#REF!</v>
      </c>
      <c r="BL226" s="388"/>
      <c r="BM226" s="404">
        <f>'Portefeuille SP2'!L244</f>
        <v>0</v>
      </c>
    </row>
    <row r="227" spans="1:65" ht="15" customHeight="1">
      <c r="A227" s="383">
        <f>'Portefeuille SP2'!B247</f>
        <v>45536</v>
      </c>
      <c r="B227" s="390" t="str">
        <f>'Portefeuille SP2'!Q247</f>
        <v>DECIDED</v>
      </c>
      <c r="C227" s="384"/>
      <c r="D227" s="382" t="str">
        <f>'Portefeuille SP2'!E247</f>
        <v>PTF</v>
      </c>
      <c r="E227" s="382" t="str">
        <f t="shared" si="21"/>
        <v>PRS</v>
      </c>
      <c r="F227" s="382" t="str">
        <f t="shared" si="23"/>
        <v/>
      </c>
      <c r="G227" s="382" t="str">
        <f>'Portefeuille SP2'!C247</f>
        <v>SPC_1</v>
      </c>
      <c r="H227" s="382">
        <f>'Portefeuille SP2'!F247</f>
        <v>0</v>
      </c>
      <c r="I227" s="382"/>
      <c r="J227" s="382" t="str">
        <f>'Portefeuille SP2'!D247</f>
        <v xml:space="preserve">PRS </v>
      </c>
      <c r="K227" s="385" t="str">
        <f>'Portefeuille SP2'!H247</f>
        <v xml:space="preserve">EGR BP </v>
      </c>
      <c r="L227" s="157">
        <f>'Portefeuille SP2'!U247</f>
        <v>-2.8</v>
      </c>
      <c r="M227" s="386"/>
      <c r="N227" s="386"/>
      <c r="O227" s="386"/>
      <c r="P227" s="387">
        <f>'Portefeuille SP2'!M247</f>
        <v>0</v>
      </c>
      <c r="Q227" s="387"/>
      <c r="R227" s="387">
        <f>'Portefeuille SP2'!N247</f>
        <v>0</v>
      </c>
      <c r="S227" s="387"/>
      <c r="T227" s="382" t="str">
        <f>'Portefeuille SP2'!R247</f>
        <v xml:space="preserve">Step1 </v>
      </c>
      <c r="U227" s="387">
        <f>'Portefeuille SP2'!K247</f>
        <v>0</v>
      </c>
      <c r="V227" s="399">
        <f>'Portefeuille SP2'!S247</f>
        <v>1</v>
      </c>
      <c r="W227" s="387"/>
      <c r="X227" s="387"/>
      <c r="Y227" s="387"/>
      <c r="Z227" s="387"/>
      <c r="AA227" s="387"/>
      <c r="AB227" s="387"/>
      <c r="AC227" s="387"/>
      <c r="AD227" s="387"/>
      <c r="AE227" s="400">
        <f>'Portefeuille SP2'!J247</f>
        <v>0</v>
      </c>
      <c r="AF227" s="387"/>
      <c r="AG227" s="387"/>
      <c r="AH227" s="389"/>
      <c r="AI227" s="389"/>
      <c r="AJ227" s="403">
        <f>'Portefeuille SP2'!V247</f>
        <v>0</v>
      </c>
      <c r="AK227" s="403">
        <f>'Portefeuille SP2'!W247</f>
        <v>0</v>
      </c>
      <c r="AL227" s="403">
        <f>'Portefeuille SP2'!X247</f>
        <v>0</v>
      </c>
      <c r="AM227" s="403">
        <f>'Portefeuille SP2'!Y247</f>
        <v>1</v>
      </c>
      <c r="AN227" s="403">
        <f>'Portefeuille SP2'!Z247</f>
        <v>0</v>
      </c>
      <c r="AO227" s="403">
        <f>'Portefeuille SP2'!AA247</f>
        <v>0</v>
      </c>
      <c r="AP227" s="403">
        <f>'Portefeuille SP2'!AB247</f>
        <v>0</v>
      </c>
      <c r="AQ227" s="403">
        <f>'Portefeuille SP2'!AC247</f>
        <v>1</v>
      </c>
      <c r="AR227" s="403">
        <f>'Portefeuille SP2'!AD247</f>
        <v>0</v>
      </c>
      <c r="AS227" s="403">
        <f>'Portefeuille SP2'!AE247</f>
        <v>0</v>
      </c>
      <c r="AT227" s="403">
        <f>'Portefeuille SP2'!AF247</f>
        <v>0</v>
      </c>
      <c r="AU227" s="403">
        <f>'Portefeuille SP2'!AG247</f>
        <v>0</v>
      </c>
      <c r="AV227" s="403">
        <f>'Portefeuille SP2'!AH247</f>
        <v>1</v>
      </c>
      <c r="AW227" s="403">
        <f>'Portefeuille SP2'!AI247</f>
        <v>0</v>
      </c>
      <c r="AX227" s="403">
        <f>'Portefeuille SP2'!AJ247</f>
        <v>0</v>
      </c>
      <c r="AY227" s="403">
        <f>'Portefeuille SP2'!AK247</f>
        <v>0</v>
      </c>
      <c r="AZ227" s="403">
        <f>'Portefeuille SP2'!AL247</f>
        <v>1</v>
      </c>
      <c r="BA227" s="403">
        <f>'Portefeuille SP2'!AM247</f>
        <v>0</v>
      </c>
      <c r="BB227" s="403">
        <f>'Portefeuille SP2'!AN247</f>
        <v>1</v>
      </c>
      <c r="BC227" s="403">
        <f>'Portefeuille SP2'!AO247</f>
        <v>1</v>
      </c>
      <c r="BD227" s="403">
        <f>'Portefeuille SP2'!AP247</f>
        <v>0</v>
      </c>
      <c r="BE227" s="403">
        <f>'Portefeuille SP2'!AQ247</f>
        <v>1</v>
      </c>
      <c r="BF227" s="403">
        <f>'Portefeuille SP2'!AR247</f>
        <v>0</v>
      </c>
      <c r="BG227" s="403" t="e">
        <f>'Portefeuille SP2'!#REF!</f>
        <v>#REF!</v>
      </c>
      <c r="BH227" s="403" t="e">
        <f>'Portefeuille SP2'!#REF!</f>
        <v>#REF!</v>
      </c>
      <c r="BI227" s="403" t="e">
        <f>'Portefeuille SP2'!#REF!</f>
        <v>#REF!</v>
      </c>
      <c r="BJ227" s="403" t="e">
        <f>'Portefeuille SP2'!#REF!</f>
        <v>#REF!</v>
      </c>
      <c r="BK227" s="403" t="e">
        <f>'Portefeuille SP2'!#REF!</f>
        <v>#REF!</v>
      </c>
      <c r="BL227" s="388"/>
      <c r="BM227" s="404" t="str">
        <f>'Portefeuille SP2'!L247</f>
        <v xml:space="preserve">Ecart avec EGR BP AUSTRAL </v>
      </c>
    </row>
    <row r="228" spans="1:65" ht="15" customHeight="1">
      <c r="A228" s="383">
        <f>'Portefeuille SP2'!B248</f>
        <v>45536</v>
      </c>
      <c r="B228" s="390" t="str">
        <f>'Portefeuille SP2'!Q248</f>
        <v>DECIDED</v>
      </c>
      <c r="C228" s="384"/>
      <c r="D228" s="382" t="str">
        <f>'Portefeuille SP2'!E248</f>
        <v>PTF</v>
      </c>
      <c r="E228" s="382" t="str">
        <f t="shared" si="21"/>
        <v>PRS</v>
      </c>
      <c r="F228" s="382" t="str">
        <f t="shared" si="23"/>
        <v/>
      </c>
      <c r="G228" s="382" t="str">
        <f>'Portefeuille SP2'!C248</f>
        <v>SPC_1</v>
      </c>
      <c r="H228" s="382">
        <f>'Portefeuille SP2'!F248</f>
        <v>0</v>
      </c>
      <c r="I228" s="382"/>
      <c r="J228" s="382" t="str">
        <f>'Portefeuille SP2'!D248</f>
        <v xml:space="preserve">PRS </v>
      </c>
      <c r="K228" s="385" t="str">
        <f>'Portefeuille SP2'!H248</f>
        <v>WACAC</v>
      </c>
      <c r="L228" s="157">
        <f>'Portefeuille SP2'!U248</f>
        <v>-6.2</v>
      </c>
      <c r="M228" s="386"/>
      <c r="N228" s="386"/>
      <c r="O228" s="386"/>
      <c r="P228" s="387">
        <f>'Portefeuille SP2'!M248</f>
        <v>0</v>
      </c>
      <c r="Q228" s="387"/>
      <c r="R228" s="387">
        <f>'Portefeuille SP2'!N248</f>
        <v>0</v>
      </c>
      <c r="S228" s="387"/>
      <c r="T228" s="382" t="str">
        <f>'Portefeuille SP2'!R248</f>
        <v xml:space="preserve">Step1 </v>
      </c>
      <c r="U228" s="387">
        <f>'Portefeuille SP2'!K248</f>
        <v>0</v>
      </c>
      <c r="V228" s="399">
        <f>'Portefeuille SP2'!S248</f>
        <v>1</v>
      </c>
      <c r="W228" s="387"/>
      <c r="X228" s="387"/>
      <c r="Y228" s="387"/>
      <c r="Z228" s="387"/>
      <c r="AA228" s="387"/>
      <c r="AB228" s="387"/>
      <c r="AC228" s="387"/>
      <c r="AD228" s="387"/>
      <c r="AE228" s="400">
        <f>'Portefeuille SP2'!J248</f>
        <v>0</v>
      </c>
      <c r="AF228" s="387"/>
      <c r="AG228" s="387"/>
      <c r="AH228" s="389"/>
      <c r="AI228" s="389"/>
      <c r="AJ228" s="403">
        <f>'Portefeuille SP2'!V248</f>
        <v>0</v>
      </c>
      <c r="AK228" s="403">
        <f>'Portefeuille SP2'!W248</f>
        <v>0</v>
      </c>
      <c r="AL228" s="403">
        <f>'Portefeuille SP2'!X248</f>
        <v>0</v>
      </c>
      <c r="AM228" s="403">
        <f>'Portefeuille SP2'!Y248</f>
        <v>1</v>
      </c>
      <c r="AN228" s="403">
        <f>'Portefeuille SP2'!Z248</f>
        <v>0</v>
      </c>
      <c r="AO228" s="403">
        <f>'Portefeuille SP2'!AA248</f>
        <v>0</v>
      </c>
      <c r="AP228" s="403">
        <f>'Portefeuille SP2'!AB248</f>
        <v>0</v>
      </c>
      <c r="AQ228" s="403">
        <f>'Portefeuille SP2'!AC248</f>
        <v>1</v>
      </c>
      <c r="AR228" s="403">
        <f>'Portefeuille SP2'!AD248</f>
        <v>0</v>
      </c>
      <c r="AS228" s="403">
        <f>'Portefeuille SP2'!AE248</f>
        <v>0</v>
      </c>
      <c r="AT228" s="403">
        <f>'Portefeuille SP2'!AF248</f>
        <v>0</v>
      </c>
      <c r="AU228" s="403">
        <f>'Portefeuille SP2'!AG248</f>
        <v>0</v>
      </c>
      <c r="AV228" s="403">
        <f>'Portefeuille SP2'!AH248</f>
        <v>1</v>
      </c>
      <c r="AW228" s="403">
        <f>'Portefeuille SP2'!AI248</f>
        <v>0</v>
      </c>
      <c r="AX228" s="403">
        <f>'Portefeuille SP2'!AJ248</f>
        <v>0</v>
      </c>
      <c r="AY228" s="403">
        <f>'Portefeuille SP2'!AK248</f>
        <v>0</v>
      </c>
      <c r="AZ228" s="403">
        <f>'Portefeuille SP2'!AL248</f>
        <v>1</v>
      </c>
      <c r="BA228" s="403">
        <f>'Portefeuille SP2'!AM248</f>
        <v>0</v>
      </c>
      <c r="BB228" s="403">
        <f>'Portefeuille SP2'!AN248</f>
        <v>1</v>
      </c>
      <c r="BC228" s="403">
        <f>'Portefeuille SP2'!AO248</f>
        <v>1</v>
      </c>
      <c r="BD228" s="403">
        <f>'Portefeuille SP2'!AP248</f>
        <v>0</v>
      </c>
      <c r="BE228" s="403">
        <f>'Portefeuille SP2'!AQ248</f>
        <v>1</v>
      </c>
      <c r="BF228" s="403">
        <f>'Portefeuille SP2'!AR248</f>
        <v>0</v>
      </c>
      <c r="BG228" s="403" t="e">
        <f>'Portefeuille SP2'!#REF!</f>
        <v>#REF!</v>
      </c>
      <c r="BH228" s="403" t="e">
        <f>'Portefeuille SP2'!#REF!</f>
        <v>#REF!</v>
      </c>
      <c r="BI228" s="403" t="e">
        <f>'Portefeuille SP2'!#REF!</f>
        <v>#REF!</v>
      </c>
      <c r="BJ228" s="403" t="e">
        <f>'Portefeuille SP2'!#REF!</f>
        <v>#REF!</v>
      </c>
      <c r="BK228" s="403" t="e">
        <f>'Portefeuille SP2'!#REF!</f>
        <v>#REF!</v>
      </c>
      <c r="BL228" s="388"/>
      <c r="BM228" s="404" t="str">
        <f>'Portefeuille SP2'!L248</f>
        <v xml:space="preserve">Ecart avec WACAC GSE T4 </v>
      </c>
    </row>
    <row r="229" spans="1:65" ht="15" customHeight="1">
      <c r="A229" s="383" t="str">
        <f>'Portefeuille SP2'!B249</f>
        <v>11/06/2025</v>
      </c>
      <c r="B229" s="390" t="str">
        <f>'Portefeuille SP2'!Q249</f>
        <v>DECIDED</v>
      </c>
      <c r="C229" s="384"/>
      <c r="D229" s="382" t="str">
        <f>'Portefeuille SP2'!E249</f>
        <v>TH</v>
      </c>
      <c r="E229" s="382" t="str">
        <f t="shared" si="21"/>
        <v>DIW</v>
      </c>
      <c r="F229" s="382" t="str">
        <f>MID(J229, 4, 20)</f>
        <v/>
      </c>
      <c r="G229" s="382" t="str">
        <f>'Portefeuille SP2'!C249</f>
        <v>SP1</v>
      </c>
      <c r="H229" s="382" t="str">
        <f>'Portefeuille SP2'!F249</f>
        <v>Damien Demougeot</v>
      </c>
      <c r="I229" s="428" t="s">
        <v>1212</v>
      </c>
      <c r="J229" s="382" t="str">
        <f>'Portefeuille SP2'!D249</f>
        <v>DIW</v>
      </c>
      <c r="K229" s="385" t="str">
        <f>'Portefeuille SP2'!H249</f>
        <v>optim design</v>
      </c>
      <c r="L229" s="157">
        <f>'Portefeuille SP2'!U249</f>
        <v>-1</v>
      </c>
      <c r="M229" s="386"/>
      <c r="N229" s="386"/>
      <c r="O229" s="386"/>
      <c r="P229" s="400">
        <f>'Portefeuille SP2'!M249</f>
        <v>0</v>
      </c>
      <c r="Q229" s="387"/>
      <c r="R229" s="387">
        <f>'Portefeuille SP2'!N249</f>
        <v>0</v>
      </c>
      <c r="S229" s="387"/>
      <c r="T229" s="382">
        <f>'Portefeuille SP2'!R249</f>
        <v>0</v>
      </c>
      <c r="U229" s="387">
        <f>'Portefeuille SP2'!K249</f>
        <v>0</v>
      </c>
      <c r="V229" s="399">
        <f>'Portefeuille SP2'!S249</f>
        <v>1</v>
      </c>
      <c r="W229" s="387"/>
      <c r="X229" s="387"/>
      <c r="Y229" s="387"/>
      <c r="Z229" s="387"/>
      <c r="AA229" s="387"/>
      <c r="AB229" s="387"/>
      <c r="AC229" s="387"/>
      <c r="AD229" s="387"/>
      <c r="AE229" s="408" t="str">
        <f>'Portefeuille SP2'!J249</f>
        <v>20/03/2026 LM déjà en BDD
27/02/2026 LM
Bilan Choc dira si on peut appliquer retour en Juillet 26</v>
      </c>
      <c r="AF229" s="387"/>
      <c r="AG229" s="387"/>
      <c r="AH229" s="389"/>
      <c r="AI229" s="389"/>
      <c r="AJ229" s="403">
        <f>'Portefeuille SP2'!V249</f>
        <v>1</v>
      </c>
      <c r="AK229" s="403">
        <f>'Portefeuille SP2'!W249</f>
        <v>1</v>
      </c>
      <c r="AL229" s="403">
        <f>'Portefeuille SP2'!X249</f>
        <v>1</v>
      </c>
      <c r="AM229" s="403">
        <f>'Portefeuille SP2'!Y249</f>
        <v>1</v>
      </c>
      <c r="AN229" s="403">
        <f>'Portefeuille SP2'!Z249</f>
        <v>1</v>
      </c>
      <c r="AO229" s="403">
        <f>'Portefeuille SP2'!AA249</f>
        <v>1</v>
      </c>
      <c r="AP229" s="403">
        <f>'Portefeuille SP2'!AB249</f>
        <v>1</v>
      </c>
      <c r="AQ229" s="403">
        <f>'Portefeuille SP2'!AC249</f>
        <v>1</v>
      </c>
      <c r="AR229" s="403">
        <f>'Portefeuille SP2'!AD249</f>
        <v>1</v>
      </c>
      <c r="AS229" s="403">
        <f>'Portefeuille SP2'!AE249</f>
        <v>1</v>
      </c>
      <c r="AT229" s="403">
        <f>'Portefeuille SP2'!AF249</f>
        <v>1</v>
      </c>
      <c r="AU229" s="403">
        <f>'Portefeuille SP2'!AG249</f>
        <v>1</v>
      </c>
      <c r="AV229" s="403">
        <f>'Portefeuille SP2'!AH249</f>
        <v>1</v>
      </c>
      <c r="AW229" s="403">
        <f>'Portefeuille SP2'!AI249</f>
        <v>1</v>
      </c>
      <c r="AX229" s="403">
        <f>'Portefeuille SP2'!AJ249</f>
        <v>1</v>
      </c>
      <c r="AY229" s="403">
        <f>'Portefeuille SP2'!AK249</f>
        <v>1</v>
      </c>
      <c r="AZ229" s="403">
        <f>'Portefeuille SP2'!AL249</f>
        <v>1</v>
      </c>
      <c r="BA229" s="403">
        <f>'Portefeuille SP2'!AM249</f>
        <v>1</v>
      </c>
      <c r="BB229" s="403">
        <f>'Portefeuille SP2'!AN249</f>
        <v>1</v>
      </c>
      <c r="BC229" s="403">
        <f>'Portefeuille SP2'!AO249</f>
        <v>1</v>
      </c>
      <c r="BD229" s="403">
        <f>'Portefeuille SP2'!AP249</f>
        <v>1</v>
      </c>
      <c r="BE229" s="403">
        <f>'Portefeuille SP2'!AQ249</f>
        <v>1</v>
      </c>
      <c r="BF229" s="403">
        <f>'Portefeuille SP2'!AR249</f>
        <v>1</v>
      </c>
      <c r="BG229" s="403" t="e">
        <f>'Portefeuille SP2'!#REF!</f>
        <v>#REF!</v>
      </c>
      <c r="BH229" s="403" t="e">
        <f>'Portefeuille SP2'!#REF!</f>
        <v>#REF!</v>
      </c>
      <c r="BI229" s="403" t="e">
        <f>'Portefeuille SP2'!#REF!</f>
        <v>#REF!</v>
      </c>
      <c r="BJ229" s="403" t="e">
        <f>'Portefeuille SP2'!#REF!</f>
        <v>#REF!</v>
      </c>
      <c r="BK229" s="403" t="e">
        <f>'Portefeuille SP2'!#REF!</f>
        <v>#REF!</v>
      </c>
      <c r="BL229" s="388"/>
      <c r="BM229" s="404" t="str">
        <f>'Portefeuille SP2'!L249</f>
        <v>11/06/2025 ECR engagé =&gt; Publi en cours ; Passe à 100% / -1kg [50% ; -0,8kg]
04/11/2024 Revoir résult Choc Lat
03/09/2024 : GT_Presta CW35 / En attente résultat Side Crash SYNC2</v>
      </c>
    </row>
    <row r="230" spans="1:65" ht="15" customHeight="1">
      <c r="A230" s="383" t="str">
        <f>'Portefeuille SP2'!B250</f>
        <v>07/06/2024</v>
      </c>
      <c r="B230" s="390" t="str">
        <f>'Portefeuille SP2'!Q250</f>
        <v>IN PROGRESS</v>
      </c>
      <c r="C230" s="384"/>
      <c r="D230" s="382" t="str">
        <f>'Portefeuille SP2'!E250</f>
        <v>TH</v>
      </c>
      <c r="E230" s="382" t="str">
        <f t="shared" si="21"/>
        <v>All</v>
      </c>
      <c r="F230" s="382" t="str">
        <f t="shared" si="23"/>
        <v/>
      </c>
      <c r="G230" s="382" t="str">
        <f>'Portefeuille SP2'!C250</f>
        <v>SP1</v>
      </c>
      <c r="H230" s="382" t="str">
        <f>'Portefeuille SP2'!F250</f>
        <v>All</v>
      </c>
      <c r="I230" s="382"/>
      <c r="J230" s="382" t="str">
        <f>'Portefeuille SP2'!D250</f>
        <v>All</v>
      </c>
      <c r="K230" s="385" t="str">
        <f>'Portefeuille SP2'!H250</f>
        <v>DFNu -4% (2,5% retex P1H)</v>
      </c>
      <c r="L230" s="157">
        <f>'Portefeuille SP2'!U250</f>
        <v>-16.5</v>
      </c>
      <c r="M230" s="386"/>
      <c r="N230" s="386"/>
      <c r="O230" s="386"/>
      <c r="P230" s="387">
        <f>'Portefeuille SP2'!M250</f>
        <v>0</v>
      </c>
      <c r="Q230" s="387"/>
      <c r="R230" s="387">
        <f>'Portefeuille SP2'!N250</f>
        <v>0</v>
      </c>
      <c r="S230" s="387"/>
      <c r="T230" s="382">
        <f>'Portefeuille SP2'!R250</f>
        <v>0</v>
      </c>
      <c r="U230" s="387">
        <f>'Portefeuille SP2'!K250</f>
        <v>0</v>
      </c>
      <c r="V230" s="399">
        <f>'Portefeuille SP2'!S250</f>
        <v>1</v>
      </c>
      <c r="W230" s="387"/>
      <c r="X230" s="387"/>
      <c r="Y230" s="387"/>
      <c r="Z230" s="387"/>
      <c r="AA230" s="387"/>
      <c r="AB230" s="387"/>
      <c r="AC230" s="387"/>
      <c r="AD230" s="387"/>
      <c r="AE230" s="400" t="str">
        <f>'Portefeuille SP2'!J250</f>
        <v>CP P1H Sébastien Dupuis</v>
      </c>
      <c r="AF230" s="387"/>
      <c r="AG230" s="387"/>
      <c r="AH230" s="389"/>
      <c r="AI230" s="389"/>
      <c r="AJ230" s="403">
        <f>'Portefeuille SP2'!V250</f>
        <v>1</v>
      </c>
      <c r="AK230" s="403">
        <f>'Portefeuille SP2'!W250</f>
        <v>1</v>
      </c>
      <c r="AL230" s="403">
        <f>'Portefeuille SP2'!X250</f>
        <v>1</v>
      </c>
      <c r="AM230" s="403">
        <f>'Portefeuille SP2'!Y250</f>
        <v>1</v>
      </c>
      <c r="AN230" s="403">
        <f>'Portefeuille SP2'!Z250</f>
        <v>1</v>
      </c>
      <c r="AO230" s="403">
        <f>'Portefeuille SP2'!AA250</f>
        <v>1</v>
      </c>
      <c r="AP230" s="403">
        <f>'Portefeuille SP2'!AB250</f>
        <v>1</v>
      </c>
      <c r="AQ230" s="403">
        <f>'Portefeuille SP2'!AC250</f>
        <v>1</v>
      </c>
      <c r="AR230" s="403">
        <f>'Portefeuille SP2'!AD250</f>
        <v>1</v>
      </c>
      <c r="AS230" s="403">
        <f>'Portefeuille SP2'!AE250</f>
        <v>1</v>
      </c>
      <c r="AT230" s="403">
        <f>'Portefeuille SP2'!AF250</f>
        <v>1</v>
      </c>
      <c r="AU230" s="403">
        <f>'Portefeuille SP2'!AG250</f>
        <v>1</v>
      </c>
      <c r="AV230" s="403">
        <f>'Portefeuille SP2'!AH250</f>
        <v>1</v>
      </c>
      <c r="AW230" s="403">
        <f>'Portefeuille SP2'!AI250</f>
        <v>1</v>
      </c>
      <c r="AX230" s="403">
        <f>'Portefeuille SP2'!AJ250</f>
        <v>1</v>
      </c>
      <c r="AY230" s="403">
        <f>'Portefeuille SP2'!AK250</f>
        <v>1</v>
      </c>
      <c r="AZ230" s="403">
        <f>'Portefeuille SP2'!AL250</f>
        <v>1</v>
      </c>
      <c r="BA230" s="403">
        <f>'Portefeuille SP2'!AM250</f>
        <v>1</v>
      </c>
      <c r="BB230" s="403">
        <f>'Portefeuille SP2'!AN250</f>
        <v>1</v>
      </c>
      <c r="BC230" s="403">
        <f>'Portefeuille SP2'!AO250</f>
        <v>1</v>
      </c>
      <c r="BD230" s="403">
        <f>'Portefeuille SP2'!AP250</f>
        <v>1</v>
      </c>
      <c r="BE230" s="403">
        <f>'Portefeuille SP2'!AQ250</f>
        <v>1</v>
      </c>
      <c r="BF230" s="403">
        <f>'Portefeuille SP2'!AR250</f>
        <v>1</v>
      </c>
      <c r="BG230" s="403" t="e">
        <f>'Portefeuille SP2'!#REF!</f>
        <v>#REF!</v>
      </c>
      <c r="BH230" s="403" t="e">
        <f>'Portefeuille SP2'!#REF!</f>
        <v>#REF!</v>
      </c>
      <c r="BI230" s="403" t="e">
        <f>'Portefeuille SP2'!#REF!</f>
        <v>#REF!</v>
      </c>
      <c r="BJ230" s="403" t="e">
        <f>'Portefeuille SP2'!#REF!</f>
        <v>#REF!</v>
      </c>
      <c r="BK230" s="403" t="e">
        <f>'Portefeuille SP2'!#REF!</f>
        <v>#REF!</v>
      </c>
      <c r="BL230" s="388"/>
      <c r="BM230" s="404" t="str">
        <f>'Portefeuille SP2'!L250</f>
        <v>07/06/2024 Proposition cotation RT RAL -4%
22/03/2024 A définir pour les DFNU</v>
      </c>
    </row>
    <row r="231" spans="1:65" ht="15" customHeight="1">
      <c r="A231" s="383">
        <f>'Portefeuille SP2'!B251</f>
        <v>45564</v>
      </c>
      <c r="B231" s="390" t="str">
        <f>'Portefeuille SP2'!Q251</f>
        <v>DECIDED</v>
      </c>
      <c r="C231" s="384"/>
      <c r="D231" s="382" t="str">
        <f>'Portefeuille SP2'!E251</f>
        <v>TH</v>
      </c>
      <c r="E231" s="382" t="str">
        <f t="shared" si="21"/>
        <v>MEC</v>
      </c>
      <c r="F231" s="382" t="str">
        <f t="shared" si="23"/>
        <v>RONIC</v>
      </c>
      <c r="G231" s="382" t="str">
        <f>'Portefeuille SP2'!C251</f>
        <v>SPC_1</v>
      </c>
      <c r="H231" s="382" t="str">
        <f>'Portefeuille SP2'!F251</f>
        <v>HUGUES</v>
      </c>
      <c r="I231" s="382"/>
      <c r="J231" s="382" t="str">
        <f>'Portefeuille SP2'!D251</f>
        <v>MECATRONIC</v>
      </c>
      <c r="K231" s="385" t="str">
        <f>'Portefeuille SP2'!H251</f>
        <v>magic blade</v>
      </c>
      <c r="L231" s="157">
        <f>'Portefeuille SP2'!U251</f>
        <v>-1.2</v>
      </c>
      <c r="M231" s="386"/>
      <c r="N231" s="386"/>
      <c r="O231" s="386"/>
      <c r="P231" s="387">
        <f>'Portefeuille SP2'!M251</f>
        <v>0</v>
      </c>
      <c r="Q231" s="387"/>
      <c r="R231" s="387">
        <f>'Portefeuille SP2'!N251</f>
        <v>0</v>
      </c>
      <c r="S231" s="387"/>
      <c r="T231" s="382" t="str">
        <f>'Portefeuille SP2'!R251</f>
        <v>TBD</v>
      </c>
      <c r="U231" s="387">
        <f>'Portefeuille SP2'!K251</f>
        <v>0</v>
      </c>
      <c r="V231" s="399">
        <f>'Portefeuille SP2'!S251</f>
        <v>1</v>
      </c>
      <c r="W231" s="387"/>
      <c r="X231" s="387"/>
      <c r="Y231" s="387"/>
      <c r="Z231" s="387"/>
      <c r="AA231" s="387"/>
      <c r="AB231" s="387"/>
      <c r="AC231" s="387"/>
      <c r="AD231" s="387"/>
      <c r="AE231" s="400">
        <f>'Portefeuille SP2'!J251</f>
        <v>0</v>
      </c>
      <c r="AF231" s="387"/>
      <c r="AG231" s="387"/>
      <c r="AH231" s="389"/>
      <c r="AI231" s="389"/>
      <c r="AJ231" s="403">
        <f>'Portefeuille SP2'!V251</f>
        <v>1</v>
      </c>
      <c r="AK231" s="403">
        <f>'Portefeuille SP2'!W251</f>
        <v>1</v>
      </c>
      <c r="AL231" s="403">
        <f>'Portefeuille SP2'!X251</f>
        <v>1</v>
      </c>
      <c r="AM231" s="403">
        <f>'Portefeuille SP2'!Y251</f>
        <v>1</v>
      </c>
      <c r="AN231" s="403">
        <f>'Portefeuille SP2'!Z251</f>
        <v>1</v>
      </c>
      <c r="AO231" s="403">
        <f>'Portefeuille SP2'!AA251</f>
        <v>1</v>
      </c>
      <c r="AP231" s="403">
        <f>'Portefeuille SP2'!AB251</f>
        <v>1</v>
      </c>
      <c r="AQ231" s="403">
        <f>'Portefeuille SP2'!AC251</f>
        <v>1</v>
      </c>
      <c r="AR231" s="403">
        <f>'Portefeuille SP2'!AD251</f>
        <v>1</v>
      </c>
      <c r="AS231" s="403">
        <f>'Portefeuille SP2'!AE251</f>
        <v>1</v>
      </c>
      <c r="AT231" s="403">
        <f>'Portefeuille SP2'!AF251</f>
        <v>1</v>
      </c>
      <c r="AU231" s="403">
        <f>'Portefeuille SP2'!AG251</f>
        <v>1</v>
      </c>
      <c r="AV231" s="403">
        <f>'Portefeuille SP2'!AH251</f>
        <v>1</v>
      </c>
      <c r="AW231" s="403">
        <f>'Portefeuille SP2'!AI251</f>
        <v>1</v>
      </c>
      <c r="AX231" s="403">
        <f>'Portefeuille SP2'!AJ251</f>
        <v>1</v>
      </c>
      <c r="AY231" s="403">
        <f>'Portefeuille SP2'!AK251</f>
        <v>1</v>
      </c>
      <c r="AZ231" s="403">
        <f>'Portefeuille SP2'!AL251</f>
        <v>1</v>
      </c>
      <c r="BA231" s="403">
        <f>'Portefeuille SP2'!AM251</f>
        <v>1</v>
      </c>
      <c r="BB231" s="403">
        <f>'Portefeuille SP2'!AN251</f>
        <v>1</v>
      </c>
      <c r="BC231" s="403">
        <f>'Portefeuille SP2'!AO251</f>
        <v>1</v>
      </c>
      <c r="BD231" s="403">
        <f>'Portefeuille SP2'!AP251</f>
        <v>1</v>
      </c>
      <c r="BE231" s="403">
        <f>'Portefeuille SP2'!AQ251</f>
        <v>1</v>
      </c>
      <c r="BF231" s="403">
        <f>'Portefeuille SP2'!AR251</f>
        <v>1</v>
      </c>
      <c r="BG231" s="403" t="e">
        <f>'Portefeuille SP2'!#REF!</f>
        <v>#REF!</v>
      </c>
      <c r="BH231" s="403" t="e">
        <f>'Portefeuille SP2'!#REF!</f>
        <v>#REF!</v>
      </c>
      <c r="BI231" s="403" t="e">
        <f>'Portefeuille SP2'!#REF!</f>
        <v>#REF!</v>
      </c>
      <c r="BJ231" s="403" t="e">
        <f>'Portefeuille SP2'!#REF!</f>
        <v>#REF!</v>
      </c>
      <c r="BK231" s="403" t="e">
        <f>'Portefeuille SP2'!#REF!</f>
        <v>#REF!</v>
      </c>
      <c r="BL231" s="388"/>
      <c r="BM231" s="404" t="str">
        <f>'Portefeuille SP2'!L251</f>
        <v>opportunités « magic blade » Valeo / Bosch avec un gain supplémentaire de 0,4kg pour le petit réservoir / de 0,8kg pour le réservoir grande capacité.</v>
      </c>
    </row>
    <row r="232" spans="1:65" ht="15" customHeight="1">
      <c r="A232" s="383">
        <f>'Portefeuille SP2'!B252</f>
        <v>45536</v>
      </c>
      <c r="B232" s="390" t="str">
        <f>'Portefeuille SP2'!Q252</f>
        <v>CANCELED</v>
      </c>
      <c r="C232" s="384"/>
      <c r="D232" s="382" t="str">
        <f>'Portefeuille SP2'!E252</f>
        <v>TH</v>
      </c>
      <c r="E232" s="382" t="str">
        <f t="shared" si="21"/>
        <v>BCI</v>
      </c>
      <c r="F232" s="382" t="str">
        <f t="shared" si="23"/>
        <v>RSD</v>
      </c>
      <c r="G232" s="382" t="str">
        <f>'Portefeuille SP2'!C252</f>
        <v>SPC_1</v>
      </c>
      <c r="H232" s="382" t="str">
        <f>'Portefeuille SP2'!F252</f>
        <v>MICHAEL BORE</v>
      </c>
      <c r="I232" s="382"/>
      <c r="J232" s="382" t="str">
        <f>'Portefeuille SP2'!D252</f>
        <v>BCI_FRSD</v>
      </c>
      <c r="K232" s="385" t="str">
        <f>'Portefeuille SP2'!H252</f>
        <v>Headlamp size reduction (Mainstream &amp; Upper)</v>
      </c>
      <c r="L232" s="157">
        <f>'Portefeuille SP2'!U252</f>
        <v>-2</v>
      </c>
      <c r="M232" s="386"/>
      <c r="N232" s="386"/>
      <c r="O232" s="386"/>
      <c r="P232" s="387">
        <f>'Portefeuille SP2'!M252</f>
        <v>0</v>
      </c>
      <c r="Q232" s="387"/>
      <c r="R232" s="387">
        <f>'Portefeuille SP2'!N252</f>
        <v>0</v>
      </c>
      <c r="S232" s="387"/>
      <c r="T232" s="382" t="str">
        <f>'Portefeuille SP2'!R252</f>
        <v>TBD</v>
      </c>
      <c r="U232" s="387" t="str">
        <f>'Portefeuille SP2'!K252</f>
        <v>CM</v>
      </c>
      <c r="V232" s="399">
        <f>'Portefeuille SP2'!S252</f>
        <v>0.5</v>
      </c>
      <c r="W232" s="387"/>
      <c r="X232" s="387"/>
      <c r="Y232" s="387"/>
      <c r="Z232" s="387"/>
      <c r="AA232" s="387"/>
      <c r="AB232" s="387"/>
      <c r="AC232" s="387"/>
      <c r="AD232" s="387"/>
      <c r="AE232" s="400" t="str">
        <f>'Portefeuille SP2'!J252</f>
        <v>LM 10/10/25
pour P3U en attente du style</v>
      </c>
      <c r="AF232" s="387"/>
      <c r="AG232" s="387"/>
      <c r="AH232" s="389"/>
      <c r="AI232" s="389"/>
      <c r="AJ232" s="403">
        <f>'Portefeuille SP2'!V252</f>
        <v>1</v>
      </c>
      <c r="AK232" s="403">
        <f>'Portefeuille SP2'!W252</f>
        <v>1</v>
      </c>
      <c r="AL232" s="403">
        <f>'Portefeuille SP2'!X252</f>
        <v>1</v>
      </c>
      <c r="AM232" s="403">
        <f>'Portefeuille SP2'!Y252</f>
        <v>1</v>
      </c>
      <c r="AN232" s="403">
        <f>'Portefeuille SP2'!Z252</f>
        <v>1</v>
      </c>
      <c r="AO232" s="403">
        <f>'Portefeuille SP2'!AA252</f>
        <v>1</v>
      </c>
      <c r="AP232" s="403">
        <f>'Portefeuille SP2'!AB252</f>
        <v>1</v>
      </c>
      <c r="AQ232" s="403">
        <f>'Portefeuille SP2'!AC252</f>
        <v>1</v>
      </c>
      <c r="AR232" s="403">
        <f>'Portefeuille SP2'!AD252</f>
        <v>1</v>
      </c>
      <c r="AS232" s="403">
        <f>'Portefeuille SP2'!AE252</f>
        <v>1</v>
      </c>
      <c r="AT232" s="403">
        <f>'Portefeuille SP2'!AF252</f>
        <v>1</v>
      </c>
      <c r="AU232" s="403">
        <f>'Portefeuille SP2'!AG252</f>
        <v>1</v>
      </c>
      <c r="AV232" s="403">
        <f>'Portefeuille SP2'!AH252</f>
        <v>1</v>
      </c>
      <c r="AW232" s="403">
        <f>'Portefeuille SP2'!AI252</f>
        <v>1</v>
      </c>
      <c r="AX232" s="403">
        <f>'Portefeuille SP2'!AJ252</f>
        <v>1</v>
      </c>
      <c r="AY232" s="403">
        <f>'Portefeuille SP2'!AK252</f>
        <v>1</v>
      </c>
      <c r="AZ232" s="403">
        <f>'Portefeuille SP2'!AL252</f>
        <v>1</v>
      </c>
      <c r="BA232" s="403">
        <f>'Portefeuille SP2'!AM252</f>
        <v>1</v>
      </c>
      <c r="BB232" s="403">
        <f>'Portefeuille SP2'!AN252</f>
        <v>1</v>
      </c>
      <c r="BC232" s="403">
        <f>'Portefeuille SP2'!AO252</f>
        <v>1</v>
      </c>
      <c r="BD232" s="403">
        <f>'Portefeuille SP2'!AP252</f>
        <v>1</v>
      </c>
      <c r="BE232" s="403">
        <f>'Portefeuille SP2'!AQ252</f>
        <v>1</v>
      </c>
      <c r="BF232" s="403">
        <f>'Portefeuille SP2'!AR252</f>
        <v>1</v>
      </c>
      <c r="BG232" s="403" t="e">
        <f>'Portefeuille SP2'!#REF!</f>
        <v>#REF!</v>
      </c>
      <c r="BH232" s="403" t="e">
        <f>'Portefeuille SP2'!#REF!</f>
        <v>#REF!</v>
      </c>
      <c r="BI232" s="403" t="e">
        <f>'Portefeuille SP2'!#REF!</f>
        <v>#REF!</v>
      </c>
      <c r="BJ232" s="403" t="e">
        <f>'Portefeuille SP2'!#REF!</f>
        <v>#REF!</v>
      </c>
      <c r="BK232" s="403" t="e">
        <f>'Portefeuille SP2'!#REF!</f>
        <v>#REF!</v>
      </c>
      <c r="BL232" s="388"/>
      <c r="BM232" s="404">
        <f>'Portefeuille SP2'!L252</f>
        <v>0</v>
      </c>
    </row>
    <row r="233" spans="1:65" ht="15" customHeight="1">
      <c r="A233" s="383" t="str">
        <f>'Portefeuille SP2'!B253</f>
        <v>28/05/2025</v>
      </c>
      <c r="B233" s="390" t="str">
        <f>'Portefeuille SP2'!Q253</f>
        <v>DECIDED</v>
      </c>
      <c r="C233" s="384"/>
      <c r="D233" s="382" t="str">
        <f>'Portefeuille SP2'!E253</f>
        <v>TH</v>
      </c>
      <c r="E233" s="382" t="str">
        <f t="shared" si="21"/>
        <v>DIW</v>
      </c>
      <c r="F233" s="382" t="str">
        <f t="shared" si="23"/>
        <v/>
      </c>
      <c r="G233" s="382" t="str">
        <f>'Portefeuille SP2'!C253</f>
        <v>SP1</v>
      </c>
      <c r="H233" s="382" t="str">
        <f>'Portefeuille SP2'!F253</f>
        <v>Filipe Goncalves (P1H)/
Cyrille P1X</v>
      </c>
      <c r="I233" s="382"/>
      <c r="J233" s="382" t="str">
        <f>'Portefeuille SP2'!D253</f>
        <v>DIW</v>
      </c>
      <c r="K233" s="385" t="str">
        <f>'Portefeuille SP2'!H253</f>
        <v>num/phys</v>
      </c>
      <c r="L233" s="157">
        <f>'Portefeuille SP2'!U253</f>
        <v>-2.5</v>
      </c>
      <c r="M233" s="386"/>
      <c r="N233" s="386"/>
      <c r="O233" s="386"/>
      <c r="P233" s="387">
        <f>'Portefeuille SP2'!M253</f>
        <v>0</v>
      </c>
      <c r="Q233" s="387"/>
      <c r="R233" s="387">
        <f>'Portefeuille SP2'!N253</f>
        <v>0</v>
      </c>
      <c r="S233" s="387"/>
      <c r="T233" s="382">
        <f>'Portefeuille SP2'!R253</f>
        <v>0</v>
      </c>
      <c r="U233" s="387">
        <f>'Portefeuille SP2'!K253</f>
        <v>0</v>
      </c>
      <c r="V233" s="399">
        <f>'Portefeuille SP2'!S253</f>
        <v>1</v>
      </c>
      <c r="W233" s="387"/>
      <c r="X233" s="387"/>
      <c r="Y233" s="387"/>
      <c r="Z233" s="387"/>
      <c r="AA233" s="387"/>
      <c r="AB233" s="387"/>
      <c r="AC233" s="387"/>
      <c r="AD233" s="387"/>
      <c r="AE233" s="400">
        <f>'Portefeuille SP2'!J253</f>
        <v>0</v>
      </c>
      <c r="AF233" s="387"/>
      <c r="AG233" s="387"/>
      <c r="AH233" s="389"/>
      <c r="AI233" s="389"/>
      <c r="AJ233" s="403">
        <f>'Portefeuille SP2'!V253</f>
        <v>1</v>
      </c>
      <c r="AK233" s="403">
        <f>'Portefeuille SP2'!W253</f>
        <v>1</v>
      </c>
      <c r="AL233" s="403">
        <f>'Portefeuille SP2'!X253</f>
        <v>1</v>
      </c>
      <c r="AM233" s="403">
        <f>'Portefeuille SP2'!Y253</f>
        <v>1</v>
      </c>
      <c r="AN233" s="403">
        <f>'Portefeuille SP2'!Z253</f>
        <v>1</v>
      </c>
      <c r="AO233" s="403">
        <f>'Portefeuille SP2'!AA253</f>
        <v>1</v>
      </c>
      <c r="AP233" s="403">
        <f>'Portefeuille SP2'!AB253</f>
        <v>1</v>
      </c>
      <c r="AQ233" s="403">
        <f>'Portefeuille SP2'!AC253</f>
        <v>1</v>
      </c>
      <c r="AR233" s="403">
        <f>'Portefeuille SP2'!AD253</f>
        <v>1</v>
      </c>
      <c r="AS233" s="403">
        <f>'Portefeuille SP2'!AE253</f>
        <v>1</v>
      </c>
      <c r="AT233" s="403">
        <f>'Portefeuille SP2'!AF253</f>
        <v>1</v>
      </c>
      <c r="AU233" s="403">
        <f>'Portefeuille SP2'!AG253</f>
        <v>1</v>
      </c>
      <c r="AV233" s="403">
        <f>'Portefeuille SP2'!AH253</f>
        <v>1</v>
      </c>
      <c r="AW233" s="403">
        <f>'Portefeuille SP2'!AI253</f>
        <v>1</v>
      </c>
      <c r="AX233" s="403">
        <f>'Portefeuille SP2'!AJ253</f>
        <v>1</v>
      </c>
      <c r="AY233" s="403">
        <f>'Portefeuille SP2'!AK253</f>
        <v>1</v>
      </c>
      <c r="AZ233" s="403">
        <f>'Portefeuille SP2'!AL253</f>
        <v>1</v>
      </c>
      <c r="BA233" s="403">
        <f>'Portefeuille SP2'!AM253</f>
        <v>1</v>
      </c>
      <c r="BB233" s="403">
        <f>'Portefeuille SP2'!AN253</f>
        <v>1</v>
      </c>
      <c r="BC233" s="403">
        <f>'Portefeuille SP2'!AO253</f>
        <v>1</v>
      </c>
      <c r="BD233" s="403">
        <f>'Portefeuille SP2'!AP253</f>
        <v>1</v>
      </c>
      <c r="BE233" s="403">
        <f>'Portefeuille SP2'!AQ253</f>
        <v>1</v>
      </c>
      <c r="BF233" s="403">
        <f>'Portefeuille SP2'!AR253</f>
        <v>1</v>
      </c>
      <c r="BG233" s="403" t="e">
        <f>'Portefeuille SP2'!#REF!</f>
        <v>#REF!</v>
      </c>
      <c r="BH233" s="403" t="e">
        <f>'Portefeuille SP2'!#REF!</f>
        <v>#REF!</v>
      </c>
      <c r="BI233" s="403" t="e">
        <f>'Portefeuille SP2'!#REF!</f>
        <v>#REF!</v>
      </c>
      <c r="BJ233" s="403" t="e">
        <f>'Portefeuille SP2'!#REF!</f>
        <v>#REF!</v>
      </c>
      <c r="BK233" s="403" t="e">
        <f>'Portefeuille SP2'!#REF!</f>
        <v>#REF!</v>
      </c>
      <c r="BL233" s="388"/>
      <c r="BM233" s="404" t="str">
        <f>'Portefeuille SP2'!L253</f>
        <v>28/05/2025 CHANTIER MASSE : Masse P1X</v>
      </c>
    </row>
    <row r="234" spans="1:65" ht="15" customHeight="1">
      <c r="A234" s="383" t="str">
        <f>'Portefeuille SP2'!B255</f>
        <v>28/05/2025</v>
      </c>
      <c r="B234" s="390" t="str">
        <f>'Portefeuille SP2'!Q255</f>
        <v>DECIDED</v>
      </c>
      <c r="C234" s="384"/>
      <c r="D234" s="382" t="str">
        <f>'Portefeuille SP2'!E255</f>
        <v>TH</v>
      </c>
      <c r="E234" s="382" t="str">
        <f t="shared" si="21"/>
        <v>BIW</v>
      </c>
      <c r="F234" s="382" t="str">
        <f t="shared" si="23"/>
        <v/>
      </c>
      <c r="G234" s="382" t="str">
        <f>'Portefeuille SP2'!C255</f>
        <v>SP1</v>
      </c>
      <c r="H234" s="382" t="str">
        <f>'Portefeuille SP2'!F255</f>
        <v>Franck Baillon (SP1)/
Cyrille P1X</v>
      </c>
      <c r="I234" s="382"/>
      <c r="J234" s="382" t="str">
        <f>'Portefeuille SP2'!D255</f>
        <v>BIW</v>
      </c>
      <c r="K234" s="385" t="str">
        <f>'Portefeuille SP2'!H255</f>
        <v>num/phys</v>
      </c>
      <c r="L234" s="157">
        <f>'Portefeuille SP2'!U255</f>
        <v>-2.75</v>
      </c>
      <c r="M234" s="386"/>
      <c r="N234" s="386"/>
      <c r="O234" s="386"/>
      <c r="P234" s="387">
        <f>'Portefeuille SP2'!M255</f>
        <v>0</v>
      </c>
      <c r="Q234" s="387"/>
      <c r="R234" s="387">
        <f>'Portefeuille SP2'!N255</f>
        <v>0</v>
      </c>
      <c r="S234" s="387"/>
      <c r="T234" s="382">
        <f>'Portefeuille SP2'!R255</f>
        <v>0</v>
      </c>
      <c r="U234" s="387">
        <f>'Portefeuille SP2'!K255</f>
        <v>0</v>
      </c>
      <c r="V234" s="399">
        <f>'Portefeuille SP2'!S255</f>
        <v>1</v>
      </c>
      <c r="W234" s="387"/>
      <c r="X234" s="387"/>
      <c r="Y234" s="387"/>
      <c r="Z234" s="387"/>
      <c r="AA234" s="387"/>
      <c r="AB234" s="387"/>
      <c r="AC234" s="387"/>
      <c r="AD234" s="387"/>
      <c r="AE234" s="400">
        <f>'Portefeuille SP2'!J255</f>
        <v>0</v>
      </c>
      <c r="AF234" s="387"/>
      <c r="AG234" s="387"/>
      <c r="AH234" s="389"/>
      <c r="AI234" s="389"/>
      <c r="AJ234" s="403">
        <f>'Portefeuille SP2'!V255</f>
        <v>1</v>
      </c>
      <c r="AK234" s="403">
        <f>'Portefeuille SP2'!W255</f>
        <v>1</v>
      </c>
      <c r="AL234" s="403">
        <f>'Portefeuille SP2'!X255</f>
        <v>1</v>
      </c>
      <c r="AM234" s="403">
        <f>'Portefeuille SP2'!Y255</f>
        <v>1</v>
      </c>
      <c r="AN234" s="403">
        <f>'Portefeuille SP2'!Z255</f>
        <v>1</v>
      </c>
      <c r="AO234" s="403">
        <f>'Portefeuille SP2'!AA255</f>
        <v>1</v>
      </c>
      <c r="AP234" s="403">
        <f>'Portefeuille SP2'!AB255</f>
        <v>1</v>
      </c>
      <c r="AQ234" s="403">
        <f>'Portefeuille SP2'!AC255</f>
        <v>1</v>
      </c>
      <c r="AR234" s="403">
        <f>'Portefeuille SP2'!AD255</f>
        <v>1</v>
      </c>
      <c r="AS234" s="403">
        <f>'Portefeuille SP2'!AE255</f>
        <v>1</v>
      </c>
      <c r="AT234" s="403">
        <f>'Portefeuille SP2'!AF255</f>
        <v>1</v>
      </c>
      <c r="AU234" s="403">
        <f>'Portefeuille SP2'!AG255</f>
        <v>1</v>
      </c>
      <c r="AV234" s="403">
        <f>'Portefeuille SP2'!AH255</f>
        <v>1</v>
      </c>
      <c r="AW234" s="403">
        <f>'Portefeuille SP2'!AI255</f>
        <v>1</v>
      </c>
      <c r="AX234" s="403">
        <f>'Portefeuille SP2'!AJ255</f>
        <v>1</v>
      </c>
      <c r="AY234" s="403">
        <f>'Portefeuille SP2'!AK255</f>
        <v>1</v>
      </c>
      <c r="AZ234" s="403">
        <f>'Portefeuille SP2'!AL255</f>
        <v>1</v>
      </c>
      <c r="BA234" s="403">
        <f>'Portefeuille SP2'!AM255</f>
        <v>1</v>
      </c>
      <c r="BB234" s="403">
        <f>'Portefeuille SP2'!AN255</f>
        <v>1</v>
      </c>
      <c r="BC234" s="403">
        <f>'Portefeuille SP2'!AO255</f>
        <v>1</v>
      </c>
      <c r="BD234" s="403">
        <f>'Portefeuille SP2'!AP255</f>
        <v>1</v>
      </c>
      <c r="BE234" s="403">
        <f>'Portefeuille SP2'!AQ255</f>
        <v>1</v>
      </c>
      <c r="BF234" s="403">
        <f>'Portefeuille SP2'!AR255</f>
        <v>1</v>
      </c>
      <c r="BG234" s="403" t="e">
        <f>'Portefeuille SP2'!#REF!</f>
        <v>#REF!</v>
      </c>
      <c r="BH234" s="403" t="e">
        <f>'Portefeuille SP2'!#REF!</f>
        <v>#REF!</v>
      </c>
      <c r="BI234" s="403" t="e">
        <f>'Portefeuille SP2'!#REF!</f>
        <v>#REF!</v>
      </c>
      <c r="BJ234" s="403" t="e">
        <f>'Portefeuille SP2'!#REF!</f>
        <v>#REF!</v>
      </c>
      <c r="BK234" s="403" t="e">
        <f>'Portefeuille SP2'!#REF!</f>
        <v>#REF!</v>
      </c>
      <c r="BL234" s="388"/>
      <c r="BM234" s="404" t="str">
        <f>'Portefeuille SP2'!L255</f>
        <v>28/05/2025 CHANTIER MASSE : Masse P1X</v>
      </c>
    </row>
    <row r="235" spans="1:65" ht="15" customHeight="1">
      <c r="A235" s="383" t="str">
        <f>'Portefeuille SP2'!B256</f>
        <v>28/05/2025</v>
      </c>
      <c r="B235" s="390" t="str">
        <f>'Portefeuille SP2'!Q256</f>
        <v>DECIDED</v>
      </c>
      <c r="C235" s="384"/>
      <c r="D235" s="382" t="str">
        <f>'Portefeuille SP2'!E256</f>
        <v>TH</v>
      </c>
      <c r="E235" s="382" t="str">
        <f t="shared" si="21"/>
        <v>FRS</v>
      </c>
      <c r="F235" s="382" t="str">
        <f t="shared" si="23"/>
        <v/>
      </c>
      <c r="G235" s="382" t="str">
        <f>'Portefeuille SP2'!C256</f>
        <v>SP1</v>
      </c>
      <c r="H235" s="382" t="str">
        <f>'Portefeuille SP2'!F256</f>
        <v>Sébastien Bonnefoi (P1H)/
Jean Michel Gabus P1X</v>
      </c>
      <c r="I235" s="382"/>
      <c r="J235" s="382" t="str">
        <f>'Portefeuille SP2'!D256</f>
        <v>FRSD</v>
      </c>
      <c r="K235" s="385" t="str">
        <f>'Portefeuille SP2'!H256</f>
        <v>Composite tailgate</v>
      </c>
      <c r="L235" s="157">
        <f>'Portefeuille SP2'!U256</f>
        <v>-4.5</v>
      </c>
      <c r="M235" s="386"/>
      <c r="N235" s="386"/>
      <c r="O235" s="386"/>
      <c r="P235" s="387">
        <f>'Portefeuille SP2'!M256</f>
        <v>0</v>
      </c>
      <c r="Q235" s="387"/>
      <c r="R235" s="387">
        <f>'Portefeuille SP2'!N256</f>
        <v>0</v>
      </c>
      <c r="S235" s="387"/>
      <c r="T235" s="382">
        <f>'Portefeuille SP2'!R256</f>
        <v>0</v>
      </c>
      <c r="U235" s="387">
        <f>'Portefeuille SP2'!K256</f>
        <v>0</v>
      </c>
      <c r="V235" s="399">
        <f>'Portefeuille SP2'!S256</f>
        <v>0.75</v>
      </c>
      <c r="W235" s="387"/>
      <c r="X235" s="387"/>
      <c r="Y235" s="387"/>
      <c r="Z235" s="387"/>
      <c r="AA235" s="387"/>
      <c r="AB235" s="387"/>
      <c r="AC235" s="387"/>
      <c r="AD235" s="387"/>
      <c r="AE235" s="400" t="str">
        <f>'Portefeuille SP2'!J256</f>
        <v>déjà volet plastique pour SP2 et en BDD - ligne à supprimer</v>
      </c>
      <c r="AF235" s="387"/>
      <c r="AG235" s="387"/>
      <c r="AH235" s="389"/>
      <c r="AI235" s="389"/>
      <c r="AJ235" s="403">
        <f>'Portefeuille SP2'!V256</f>
        <v>1</v>
      </c>
      <c r="AK235" s="403">
        <f>'Portefeuille SP2'!W256</f>
        <v>1</v>
      </c>
      <c r="AL235" s="403">
        <f>'Portefeuille SP2'!X256</f>
        <v>1</v>
      </c>
      <c r="AM235" s="403">
        <f>'Portefeuille SP2'!Y256</f>
        <v>1</v>
      </c>
      <c r="AN235" s="403">
        <f>'Portefeuille SP2'!Z256</f>
        <v>1</v>
      </c>
      <c r="AO235" s="403">
        <f>'Portefeuille SP2'!AA256</f>
        <v>1</v>
      </c>
      <c r="AP235" s="403">
        <f>'Portefeuille SP2'!AB256</f>
        <v>1</v>
      </c>
      <c r="AQ235" s="403">
        <f>'Portefeuille SP2'!AC256</f>
        <v>1</v>
      </c>
      <c r="AR235" s="403">
        <f>'Portefeuille SP2'!AD256</f>
        <v>1</v>
      </c>
      <c r="AS235" s="403">
        <f>'Portefeuille SP2'!AE256</f>
        <v>1</v>
      </c>
      <c r="AT235" s="403">
        <f>'Portefeuille SP2'!AF256</f>
        <v>1</v>
      </c>
      <c r="AU235" s="403">
        <f>'Portefeuille SP2'!AG256</f>
        <v>1</v>
      </c>
      <c r="AV235" s="403">
        <f>'Portefeuille SP2'!AH256</f>
        <v>1</v>
      </c>
      <c r="AW235" s="403">
        <f>'Portefeuille SP2'!AI256</f>
        <v>1</v>
      </c>
      <c r="AX235" s="403">
        <f>'Portefeuille SP2'!AJ256</f>
        <v>1</v>
      </c>
      <c r="AY235" s="403">
        <f>'Portefeuille SP2'!AK256</f>
        <v>1</v>
      </c>
      <c r="AZ235" s="403">
        <f>'Portefeuille SP2'!AL256</f>
        <v>1</v>
      </c>
      <c r="BA235" s="403">
        <f>'Portefeuille SP2'!AM256</f>
        <v>1</v>
      </c>
      <c r="BB235" s="403">
        <f>'Portefeuille SP2'!AN256</f>
        <v>1</v>
      </c>
      <c r="BC235" s="403">
        <f>'Portefeuille SP2'!AO256</f>
        <v>1</v>
      </c>
      <c r="BD235" s="403">
        <f>'Portefeuille SP2'!AP256</f>
        <v>1</v>
      </c>
      <c r="BE235" s="403">
        <f>'Portefeuille SP2'!AQ256</f>
        <v>1</v>
      </c>
      <c r="BF235" s="403">
        <f>'Portefeuille SP2'!AR256</f>
        <v>1</v>
      </c>
      <c r="BG235" s="403" t="e">
        <f>'Portefeuille SP2'!#REF!</f>
        <v>#REF!</v>
      </c>
      <c r="BH235" s="403" t="e">
        <f>'Portefeuille SP2'!#REF!</f>
        <v>#REF!</v>
      </c>
      <c r="BI235" s="403" t="e">
        <f>'Portefeuille SP2'!#REF!</f>
        <v>#REF!</v>
      </c>
      <c r="BJ235" s="403" t="e">
        <f>'Portefeuille SP2'!#REF!</f>
        <v>#REF!</v>
      </c>
      <c r="BK235" s="403" t="e">
        <f>'Portefeuille SP2'!#REF!</f>
        <v>#REF!</v>
      </c>
      <c r="BL235" s="388"/>
      <c r="BM235" s="404" t="str">
        <f>'Portefeuille SP2'!L256</f>
        <v>28/05/2025 CHANTIER MASSE : Eval à -6kg/ 75%
16/05/2025 Volet P1X en Composite (volet + spoiler + aerofin + lighting T2)</v>
      </c>
    </row>
    <row r="236" spans="1:65" ht="15" customHeight="1">
      <c r="A236" s="383">
        <f>'Portefeuille SP2'!B257</f>
        <v>45579</v>
      </c>
      <c r="B236" s="390" t="str">
        <f>'Portefeuille SP2'!Q257</f>
        <v>DECIDED</v>
      </c>
      <c r="C236" s="384"/>
      <c r="D236" s="382" t="str">
        <f>'Portefeuille SP2'!E257</f>
        <v>TH</v>
      </c>
      <c r="E236" s="382" t="str">
        <f t="shared" si="21"/>
        <v>BIW</v>
      </c>
      <c r="F236" s="382" t="str">
        <f t="shared" si="23"/>
        <v/>
      </c>
      <c r="G236" s="382" t="str">
        <f>'Portefeuille SP2'!C257</f>
        <v>SPC_1</v>
      </c>
      <c r="H236" s="382" t="str">
        <f>'Portefeuille SP2'!F257</f>
        <v>NICOLAS TESSIER</v>
      </c>
      <c r="I236" s="382"/>
      <c r="J236" s="382" t="str">
        <f>'Portefeuille SP2'!D257</f>
        <v xml:space="preserve">BIW </v>
      </c>
      <c r="K236" s="385" t="str">
        <f>'Portefeuille SP2'!H259</f>
        <v>Front wheel arch</v>
      </c>
      <c r="L236" s="157">
        <f>'Portefeuille SP2'!U257</f>
        <v>-3.15</v>
      </c>
      <c r="M236" s="386"/>
      <c r="N236" s="386"/>
      <c r="O236" s="386"/>
      <c r="P236" s="387">
        <f>'Portefeuille SP2'!M257</f>
        <v>0</v>
      </c>
      <c r="Q236" s="387"/>
      <c r="R236" s="387">
        <f>'Portefeuille SP2'!N257</f>
        <v>0</v>
      </c>
      <c r="S236" s="387"/>
      <c r="T236" s="382" t="str">
        <f>'Portefeuille SP2'!R257</f>
        <v xml:space="preserve">Step1 </v>
      </c>
      <c r="U236" s="387">
        <f>'Portefeuille SP2'!K257</f>
        <v>0</v>
      </c>
      <c r="V236" s="399">
        <f>'Portefeuille SP2'!S257</f>
        <v>1</v>
      </c>
      <c r="W236" s="387"/>
      <c r="X236" s="387"/>
      <c r="Y236" s="387"/>
      <c r="Z236" s="387"/>
      <c r="AA236" s="387"/>
      <c r="AB236" s="387"/>
      <c r="AC236" s="387"/>
      <c r="AD236" s="387"/>
      <c r="AE236" s="400">
        <f>'Portefeuille SP2'!J257</f>
        <v>0</v>
      </c>
      <c r="AF236" s="387"/>
      <c r="AG236" s="387"/>
      <c r="AH236" s="389"/>
      <c r="AI236" s="389"/>
      <c r="AJ236" s="403">
        <f>'Portefeuille SP2'!V257</f>
        <v>0</v>
      </c>
      <c r="AK236" s="403">
        <f>'Portefeuille SP2'!W257</f>
        <v>0</v>
      </c>
      <c r="AL236" s="403">
        <f>'Portefeuille SP2'!X257</f>
        <v>0</v>
      </c>
      <c r="AM236" s="403">
        <f>'Portefeuille SP2'!Y257</f>
        <v>1</v>
      </c>
      <c r="AN236" s="403">
        <f>'Portefeuille SP2'!Z257</f>
        <v>1</v>
      </c>
      <c r="AO236" s="403">
        <f>'Portefeuille SP2'!AA257</f>
        <v>0</v>
      </c>
      <c r="AP236" s="403">
        <f>'Portefeuille SP2'!AB257</f>
        <v>0</v>
      </c>
      <c r="AQ236" s="403">
        <f>'Portefeuille SP2'!AC257</f>
        <v>1</v>
      </c>
      <c r="AR236" s="403">
        <f>'Portefeuille SP2'!AD257</f>
        <v>1</v>
      </c>
      <c r="AS236" s="403">
        <f>'Portefeuille SP2'!AE257</f>
        <v>0</v>
      </c>
      <c r="AT236" s="403">
        <f>'Portefeuille SP2'!AF257</f>
        <v>0</v>
      </c>
      <c r="AU236" s="403">
        <f>'Portefeuille SP2'!AG257</f>
        <v>0</v>
      </c>
      <c r="AV236" s="403">
        <f>'Portefeuille SP2'!AH257</f>
        <v>1</v>
      </c>
      <c r="AW236" s="403">
        <f>'Portefeuille SP2'!AI257</f>
        <v>1</v>
      </c>
      <c r="AX236" s="403">
        <f>'Portefeuille SP2'!AJ257</f>
        <v>0</v>
      </c>
      <c r="AY236" s="403">
        <f>'Portefeuille SP2'!AK257</f>
        <v>0</v>
      </c>
      <c r="AZ236" s="403">
        <f>'Portefeuille SP2'!AL257</f>
        <v>1</v>
      </c>
      <c r="BA236" s="403">
        <f>'Portefeuille SP2'!AM257</f>
        <v>1</v>
      </c>
      <c r="BB236" s="403">
        <f>'Portefeuille SP2'!AN257</f>
        <v>0</v>
      </c>
      <c r="BC236" s="403">
        <f>'Portefeuille SP2'!AO257</f>
        <v>0</v>
      </c>
      <c r="BD236" s="403">
        <f>'Portefeuille SP2'!AP257</f>
        <v>0</v>
      </c>
      <c r="BE236" s="403">
        <f>'Portefeuille SP2'!AQ257</f>
        <v>1</v>
      </c>
      <c r="BF236" s="403">
        <f>'Portefeuille SP2'!AR257</f>
        <v>1</v>
      </c>
      <c r="BG236" s="403" t="e">
        <f>'Portefeuille SP2'!#REF!</f>
        <v>#REF!</v>
      </c>
      <c r="BH236" s="403" t="e">
        <f>'Portefeuille SP2'!#REF!</f>
        <v>#REF!</v>
      </c>
      <c r="BI236" s="403" t="e">
        <f>'Portefeuille SP2'!#REF!</f>
        <v>#REF!</v>
      </c>
      <c r="BJ236" s="403" t="e">
        <f>'Portefeuille SP2'!#REF!</f>
        <v>#REF!</v>
      </c>
      <c r="BK236" s="403" t="e">
        <f>'Portefeuille SP2'!#REF!</f>
        <v>#REF!</v>
      </c>
      <c r="BL236" s="388"/>
      <c r="BM236" s="404">
        <f>'Portefeuille SP2'!L257</f>
        <v>0</v>
      </c>
    </row>
    <row r="237" spans="1:65" ht="15" customHeight="1">
      <c r="A237" s="383">
        <f>'Portefeuille SP2'!B259</f>
        <v>45579</v>
      </c>
      <c r="B237" s="390" t="str">
        <f>'Portefeuille SP2'!Q259</f>
        <v>DECIDED</v>
      </c>
      <c r="C237" s="384"/>
      <c r="D237" s="382" t="str">
        <f>'Portefeuille SP2'!E259</f>
        <v>TH</v>
      </c>
      <c r="E237" s="382" t="str">
        <f t="shared" si="21"/>
        <v>BIW</v>
      </c>
      <c r="F237" s="382" t="str">
        <f t="shared" si="23"/>
        <v/>
      </c>
      <c r="G237" s="382" t="str">
        <f>'Portefeuille SP2'!C259</f>
        <v>SPC_1</v>
      </c>
      <c r="H237" s="382" t="str">
        <f>'Portefeuille SP2'!F259</f>
        <v>NICOLAS TESSIER</v>
      </c>
      <c r="I237" s="382"/>
      <c r="J237" s="382" t="str">
        <f>'Portefeuille SP2'!D259</f>
        <v xml:space="preserve">BIW </v>
      </c>
      <c r="K237" s="385" t="e">
        <f>'Portefeuille SP2'!#REF!</f>
        <v>#REF!</v>
      </c>
      <c r="L237" s="157">
        <f>'Portefeuille SP2'!U259</f>
        <v>-0.50099999999999945</v>
      </c>
      <c r="M237" s="386"/>
      <c r="N237" s="386"/>
      <c r="O237" s="386"/>
      <c r="P237" s="387">
        <f>'Portefeuille SP2'!M259</f>
        <v>0</v>
      </c>
      <c r="Q237" s="387"/>
      <c r="R237" s="387">
        <f>'Portefeuille SP2'!N259</f>
        <v>0</v>
      </c>
      <c r="S237" s="387"/>
      <c r="T237" s="382" t="str">
        <f>'Portefeuille SP2'!R259</f>
        <v xml:space="preserve">Step1 </v>
      </c>
      <c r="U237" s="387">
        <f>'Portefeuille SP2'!K259</f>
        <v>0</v>
      </c>
      <c r="V237" s="399">
        <f>'Portefeuille SP2'!S259</f>
        <v>1</v>
      </c>
      <c r="W237" s="387"/>
      <c r="X237" s="387"/>
      <c r="Y237" s="387"/>
      <c r="Z237" s="387"/>
      <c r="AA237" s="387"/>
      <c r="AB237" s="387"/>
      <c r="AC237" s="387"/>
      <c r="AD237" s="387"/>
      <c r="AE237" s="400">
        <f>'Portefeuille SP2'!J259</f>
        <v>0</v>
      </c>
      <c r="AF237" s="387"/>
      <c r="AG237" s="387"/>
      <c r="AH237" s="389"/>
      <c r="AI237" s="389"/>
      <c r="AJ237" s="403">
        <f>'Portefeuille SP2'!V259</f>
        <v>0</v>
      </c>
      <c r="AK237" s="403">
        <f>'Portefeuille SP2'!W259</f>
        <v>0</v>
      </c>
      <c r="AL237" s="403">
        <f>'Portefeuille SP2'!X259</f>
        <v>0</v>
      </c>
      <c r="AM237" s="403">
        <f>'Portefeuille SP2'!Y259</f>
        <v>1</v>
      </c>
      <c r="AN237" s="403">
        <f>'Portefeuille SP2'!Z259</f>
        <v>1</v>
      </c>
      <c r="AO237" s="403">
        <f>'Portefeuille SP2'!AA259</f>
        <v>0</v>
      </c>
      <c r="AP237" s="403">
        <f>'Portefeuille SP2'!AB259</f>
        <v>0</v>
      </c>
      <c r="AQ237" s="403">
        <f>'Portefeuille SP2'!AC259</f>
        <v>1</v>
      </c>
      <c r="AR237" s="403">
        <f>'Portefeuille SP2'!AD259</f>
        <v>1</v>
      </c>
      <c r="AS237" s="403">
        <f>'Portefeuille SP2'!AE259</f>
        <v>0</v>
      </c>
      <c r="AT237" s="403">
        <f>'Portefeuille SP2'!AF259</f>
        <v>0</v>
      </c>
      <c r="AU237" s="403">
        <f>'Portefeuille SP2'!AG259</f>
        <v>0</v>
      </c>
      <c r="AV237" s="403">
        <f>'Portefeuille SP2'!AH259</f>
        <v>1</v>
      </c>
      <c r="AW237" s="403">
        <f>'Portefeuille SP2'!AI259</f>
        <v>1</v>
      </c>
      <c r="AX237" s="403">
        <f>'Portefeuille SP2'!AJ259</f>
        <v>0</v>
      </c>
      <c r="AY237" s="403">
        <f>'Portefeuille SP2'!AK259</f>
        <v>0</v>
      </c>
      <c r="AZ237" s="403">
        <f>'Portefeuille SP2'!AL259</f>
        <v>1</v>
      </c>
      <c r="BA237" s="403">
        <f>'Portefeuille SP2'!AM259</f>
        <v>1</v>
      </c>
      <c r="BB237" s="403">
        <f>'Portefeuille SP2'!AN259</f>
        <v>0</v>
      </c>
      <c r="BC237" s="403">
        <f>'Portefeuille SP2'!AO259</f>
        <v>0</v>
      </c>
      <c r="BD237" s="403">
        <f>'Portefeuille SP2'!AP259</f>
        <v>0</v>
      </c>
      <c r="BE237" s="403">
        <f>'Portefeuille SP2'!AQ259</f>
        <v>1</v>
      </c>
      <c r="BF237" s="403">
        <f>'Portefeuille SP2'!AR259</f>
        <v>1</v>
      </c>
      <c r="BG237" s="403" t="e">
        <f>'Portefeuille SP2'!#REF!</f>
        <v>#REF!</v>
      </c>
      <c r="BH237" s="403" t="e">
        <f>'Portefeuille SP2'!#REF!</f>
        <v>#REF!</v>
      </c>
      <c r="BI237" s="403" t="e">
        <f>'Portefeuille SP2'!#REF!</f>
        <v>#REF!</v>
      </c>
      <c r="BJ237" s="403" t="e">
        <f>'Portefeuille SP2'!#REF!</f>
        <v>#REF!</v>
      </c>
      <c r="BK237" s="403" t="e">
        <f>'Portefeuille SP2'!#REF!</f>
        <v>#REF!</v>
      </c>
      <c r="BL237" s="388"/>
      <c r="BM237" s="404">
        <f>'Portefeuille SP2'!L259</f>
        <v>0</v>
      </c>
    </row>
    <row r="238" spans="1:65" ht="15" customHeight="1">
      <c r="A238" s="383">
        <f>'Portefeuille SP2'!B260</f>
        <v>45579</v>
      </c>
      <c r="B238" s="390" t="str">
        <f>'Portefeuille SP2'!Q260</f>
        <v>DECIDED</v>
      </c>
      <c r="C238" s="384"/>
      <c r="D238" s="382" t="str">
        <f>'Portefeuille SP2'!E260</f>
        <v>TH</v>
      </c>
      <c r="E238" s="382" t="str">
        <f t="shared" si="21"/>
        <v>BIW</v>
      </c>
      <c r="F238" s="382" t="str">
        <f t="shared" si="23"/>
        <v/>
      </c>
      <c r="G238" s="382" t="str">
        <f>'Portefeuille SP2'!C260</f>
        <v>SPC_1</v>
      </c>
      <c r="H238" s="382" t="str">
        <f>'Portefeuille SP2'!F260</f>
        <v>NICOLAS TESSIER</v>
      </c>
      <c r="I238" s="382"/>
      <c r="J238" s="382" t="str">
        <f>'Portefeuille SP2'!D260</f>
        <v xml:space="preserve">BIW </v>
      </c>
      <c r="K238" s="385" t="str">
        <f>'Portefeuille SP2'!H260</f>
        <v>Front floor panel</v>
      </c>
      <c r="L238" s="157">
        <f>'Portefeuille SP2'!U260</f>
        <v>-32.520000000000003</v>
      </c>
      <c r="M238" s="386"/>
      <c r="N238" s="386"/>
      <c r="O238" s="386"/>
      <c r="P238" s="387">
        <f>'Portefeuille SP2'!M260</f>
        <v>0</v>
      </c>
      <c r="Q238" s="387"/>
      <c r="R238" s="387">
        <f>'Portefeuille SP2'!N260</f>
        <v>0</v>
      </c>
      <c r="S238" s="387"/>
      <c r="T238" s="382" t="str">
        <f>'Portefeuille SP2'!R260</f>
        <v xml:space="preserve">Step1 </v>
      </c>
      <c r="U238" s="387">
        <f>'Portefeuille SP2'!K260</f>
        <v>0</v>
      </c>
      <c r="V238" s="399">
        <f>'Portefeuille SP2'!S260</f>
        <v>1</v>
      </c>
      <c r="W238" s="387"/>
      <c r="X238" s="387"/>
      <c r="Y238" s="387"/>
      <c r="Z238" s="387"/>
      <c r="AA238" s="387"/>
      <c r="AB238" s="387"/>
      <c r="AC238" s="387"/>
      <c r="AD238" s="387"/>
      <c r="AE238" s="400">
        <f>'Portefeuille SP2'!J260</f>
        <v>0</v>
      </c>
      <c r="AF238" s="387"/>
      <c r="AG238" s="387"/>
      <c r="AH238" s="389"/>
      <c r="AI238" s="389"/>
      <c r="AJ238" s="403">
        <f>'Portefeuille SP2'!V260</f>
        <v>0</v>
      </c>
      <c r="AK238" s="403">
        <f>'Portefeuille SP2'!W260</f>
        <v>0</v>
      </c>
      <c r="AL238" s="403">
        <f>'Portefeuille SP2'!X260</f>
        <v>0</v>
      </c>
      <c r="AM238" s="403">
        <f>'Portefeuille SP2'!Y260</f>
        <v>1</v>
      </c>
      <c r="AN238" s="403">
        <f>'Portefeuille SP2'!Z260</f>
        <v>1</v>
      </c>
      <c r="AO238" s="403">
        <f>'Portefeuille SP2'!AA260</f>
        <v>0</v>
      </c>
      <c r="AP238" s="403">
        <f>'Portefeuille SP2'!AB260</f>
        <v>0</v>
      </c>
      <c r="AQ238" s="403">
        <f>'Portefeuille SP2'!AC260</f>
        <v>1</v>
      </c>
      <c r="AR238" s="403">
        <f>'Portefeuille SP2'!AD260</f>
        <v>1</v>
      </c>
      <c r="AS238" s="403">
        <f>'Portefeuille SP2'!AE260</f>
        <v>0</v>
      </c>
      <c r="AT238" s="403">
        <f>'Portefeuille SP2'!AF260</f>
        <v>0</v>
      </c>
      <c r="AU238" s="403">
        <f>'Portefeuille SP2'!AG260</f>
        <v>0</v>
      </c>
      <c r="AV238" s="403">
        <f>'Portefeuille SP2'!AH260</f>
        <v>1</v>
      </c>
      <c r="AW238" s="403">
        <f>'Portefeuille SP2'!AI260</f>
        <v>1</v>
      </c>
      <c r="AX238" s="403">
        <f>'Portefeuille SP2'!AJ260</f>
        <v>0</v>
      </c>
      <c r="AY238" s="403">
        <f>'Portefeuille SP2'!AK260</f>
        <v>0</v>
      </c>
      <c r="AZ238" s="403">
        <f>'Portefeuille SP2'!AL260</f>
        <v>1</v>
      </c>
      <c r="BA238" s="403">
        <f>'Portefeuille SP2'!AM260</f>
        <v>1</v>
      </c>
      <c r="BB238" s="403">
        <f>'Portefeuille SP2'!AN260</f>
        <v>0</v>
      </c>
      <c r="BC238" s="403">
        <f>'Portefeuille SP2'!AO260</f>
        <v>0</v>
      </c>
      <c r="BD238" s="403">
        <f>'Portefeuille SP2'!AP260</f>
        <v>0</v>
      </c>
      <c r="BE238" s="403">
        <f>'Portefeuille SP2'!AQ260</f>
        <v>1</v>
      </c>
      <c r="BF238" s="403">
        <f>'Portefeuille SP2'!AR260</f>
        <v>1</v>
      </c>
      <c r="BG238" s="403" t="e">
        <f>'Portefeuille SP2'!#REF!</f>
        <v>#REF!</v>
      </c>
      <c r="BH238" s="403" t="e">
        <f>'Portefeuille SP2'!#REF!</f>
        <v>#REF!</v>
      </c>
      <c r="BI238" s="403" t="e">
        <f>'Portefeuille SP2'!#REF!</f>
        <v>#REF!</v>
      </c>
      <c r="BJ238" s="403" t="e">
        <f>'Portefeuille SP2'!#REF!</f>
        <v>#REF!</v>
      </c>
      <c r="BK238" s="403" t="e">
        <f>'Portefeuille SP2'!#REF!</f>
        <v>#REF!</v>
      </c>
      <c r="BL238" s="388"/>
      <c r="BM238" s="404">
        <f>'Portefeuille SP2'!L260</f>
        <v>0</v>
      </c>
    </row>
    <row r="239" spans="1:65" ht="15" customHeight="1">
      <c r="A239" s="383">
        <f>'Portefeuille SP2'!B261</f>
        <v>45579</v>
      </c>
      <c r="B239" s="390" t="str">
        <f>'Portefeuille SP2'!Q261</f>
        <v>DECIDED</v>
      </c>
      <c r="C239" s="384"/>
      <c r="D239" s="382" t="str">
        <f>'Portefeuille SP2'!E261</f>
        <v>TH</v>
      </c>
      <c r="E239" s="382" t="str">
        <f t="shared" si="21"/>
        <v>BIW</v>
      </c>
      <c r="F239" s="382" t="str">
        <f t="shared" si="23"/>
        <v/>
      </c>
      <c r="G239" s="382" t="str">
        <f>'Portefeuille SP2'!C261</f>
        <v>SPC_1</v>
      </c>
      <c r="H239" s="382" t="str">
        <f>'Portefeuille SP2'!F261</f>
        <v>NICOLAS TESSIER</v>
      </c>
      <c r="I239" s="382"/>
      <c r="J239" s="382" t="str">
        <f>'Portefeuille SP2'!D261</f>
        <v xml:space="preserve">BIW </v>
      </c>
      <c r="K239" s="385" t="str">
        <f>'Portefeuille SP2'!H261</f>
        <v>Inner steel longitudinal member</v>
      </c>
      <c r="L239" s="157">
        <f>'Portefeuille SP2'!U261</f>
        <v>-23.159000000000002</v>
      </c>
      <c r="M239" s="386"/>
      <c r="N239" s="386"/>
      <c r="O239" s="386"/>
      <c r="P239" s="387">
        <f>'Portefeuille SP2'!M261</f>
        <v>0</v>
      </c>
      <c r="Q239" s="387"/>
      <c r="R239" s="387">
        <f>'Portefeuille SP2'!N261</f>
        <v>0</v>
      </c>
      <c r="S239" s="387"/>
      <c r="T239" s="382" t="str">
        <f>'Portefeuille SP2'!R261</f>
        <v xml:space="preserve">Step1 </v>
      </c>
      <c r="U239" s="387">
        <f>'Portefeuille SP2'!K261</f>
        <v>0</v>
      </c>
      <c r="V239" s="399">
        <f>'Portefeuille SP2'!S261</f>
        <v>1</v>
      </c>
      <c r="W239" s="387"/>
      <c r="X239" s="387"/>
      <c r="Y239" s="387"/>
      <c r="Z239" s="387"/>
      <c r="AA239" s="387"/>
      <c r="AB239" s="387"/>
      <c r="AC239" s="387"/>
      <c r="AD239" s="387"/>
      <c r="AE239" s="400">
        <f>'Portefeuille SP2'!J261</f>
        <v>0</v>
      </c>
      <c r="AF239" s="387"/>
      <c r="AG239" s="387"/>
      <c r="AH239" s="389"/>
      <c r="AI239" s="389"/>
      <c r="AJ239" s="403">
        <f>'Portefeuille SP2'!V261</f>
        <v>0</v>
      </c>
      <c r="AK239" s="403">
        <f>'Portefeuille SP2'!W261</f>
        <v>0</v>
      </c>
      <c r="AL239" s="403">
        <f>'Portefeuille SP2'!X261</f>
        <v>0</v>
      </c>
      <c r="AM239" s="403">
        <f>'Portefeuille SP2'!Y261</f>
        <v>1</v>
      </c>
      <c r="AN239" s="403">
        <f>'Portefeuille SP2'!Z261</f>
        <v>1</v>
      </c>
      <c r="AO239" s="403">
        <f>'Portefeuille SP2'!AA261</f>
        <v>0</v>
      </c>
      <c r="AP239" s="403">
        <f>'Portefeuille SP2'!AB261</f>
        <v>0</v>
      </c>
      <c r="AQ239" s="403">
        <f>'Portefeuille SP2'!AC261</f>
        <v>1</v>
      </c>
      <c r="AR239" s="403">
        <f>'Portefeuille SP2'!AD261</f>
        <v>1</v>
      </c>
      <c r="AS239" s="403">
        <f>'Portefeuille SP2'!AE261</f>
        <v>0</v>
      </c>
      <c r="AT239" s="403">
        <f>'Portefeuille SP2'!AF261</f>
        <v>0</v>
      </c>
      <c r="AU239" s="403">
        <f>'Portefeuille SP2'!AG261</f>
        <v>0</v>
      </c>
      <c r="AV239" s="403">
        <f>'Portefeuille SP2'!AH261</f>
        <v>1</v>
      </c>
      <c r="AW239" s="403">
        <f>'Portefeuille SP2'!AI261</f>
        <v>1</v>
      </c>
      <c r="AX239" s="403">
        <f>'Portefeuille SP2'!AJ261</f>
        <v>0</v>
      </c>
      <c r="AY239" s="403">
        <f>'Portefeuille SP2'!AK261</f>
        <v>0</v>
      </c>
      <c r="AZ239" s="403">
        <f>'Portefeuille SP2'!AL261</f>
        <v>1</v>
      </c>
      <c r="BA239" s="403">
        <f>'Portefeuille SP2'!AM261</f>
        <v>1</v>
      </c>
      <c r="BB239" s="403">
        <f>'Portefeuille SP2'!AN261</f>
        <v>0</v>
      </c>
      <c r="BC239" s="403">
        <f>'Portefeuille SP2'!AO261</f>
        <v>0</v>
      </c>
      <c r="BD239" s="403">
        <f>'Portefeuille SP2'!AP261</f>
        <v>0</v>
      </c>
      <c r="BE239" s="403">
        <f>'Portefeuille SP2'!AQ261</f>
        <v>1</v>
      </c>
      <c r="BF239" s="403">
        <f>'Portefeuille SP2'!AR261</f>
        <v>1</v>
      </c>
      <c r="BG239" s="403" t="e">
        <f>'Portefeuille SP2'!#REF!</f>
        <v>#REF!</v>
      </c>
      <c r="BH239" s="403" t="e">
        <f>'Portefeuille SP2'!#REF!</f>
        <v>#REF!</v>
      </c>
      <c r="BI239" s="403" t="e">
        <f>'Portefeuille SP2'!#REF!</f>
        <v>#REF!</v>
      </c>
      <c r="BJ239" s="403" t="e">
        <f>'Portefeuille SP2'!#REF!</f>
        <v>#REF!</v>
      </c>
      <c r="BK239" s="403" t="e">
        <f>'Portefeuille SP2'!#REF!</f>
        <v>#REF!</v>
      </c>
      <c r="BL239" s="388"/>
      <c r="BM239" s="404">
        <f>'Portefeuille SP2'!L261</f>
        <v>0</v>
      </c>
    </row>
    <row r="240" spans="1:65" ht="15" customHeight="1">
      <c r="A240" s="383">
        <f>'Portefeuille SP2'!B263</f>
        <v>45579</v>
      </c>
      <c r="B240" s="390" t="str">
        <f>'Portefeuille SP2'!Q263</f>
        <v>DECIDED</v>
      </c>
      <c r="C240" s="384"/>
      <c r="D240" s="382" t="str">
        <f>'Portefeuille SP2'!E263</f>
        <v>TH</v>
      </c>
      <c r="E240" s="382" t="str">
        <f t="shared" si="21"/>
        <v>BIW</v>
      </c>
      <c r="F240" s="382" t="str">
        <f t="shared" si="23"/>
        <v/>
      </c>
      <c r="G240" s="382" t="str">
        <f>'Portefeuille SP2'!C263</f>
        <v>SPC_1</v>
      </c>
      <c r="H240" s="382" t="str">
        <f>'Portefeuille SP2'!F263</f>
        <v>NICOLAS TESSIER</v>
      </c>
      <c r="I240" s="382"/>
      <c r="J240" s="382" t="str">
        <f>'Portefeuille SP2'!D263</f>
        <v xml:space="preserve">BIW </v>
      </c>
      <c r="K240" s="385" t="str">
        <f>'Portefeuille SP2'!H263</f>
        <v>Rear floor panel</v>
      </c>
      <c r="L240" s="157">
        <f>'Portefeuille SP2'!U263</f>
        <v>2.6170000000000009</v>
      </c>
      <c r="M240" s="386"/>
      <c r="N240" s="386"/>
      <c r="O240" s="386"/>
      <c r="P240" s="387">
        <f>'Portefeuille SP2'!M263</f>
        <v>0</v>
      </c>
      <c r="Q240" s="387"/>
      <c r="R240" s="387">
        <f>'Portefeuille SP2'!N263</f>
        <v>0</v>
      </c>
      <c r="S240" s="387"/>
      <c r="T240" s="382" t="str">
        <f>'Portefeuille SP2'!R263</f>
        <v xml:space="preserve">Step1 </v>
      </c>
      <c r="U240" s="387">
        <f>'Portefeuille SP2'!K263</f>
        <v>0</v>
      </c>
      <c r="V240" s="399">
        <f>'Portefeuille SP2'!S263</f>
        <v>1</v>
      </c>
      <c r="W240" s="387"/>
      <c r="X240" s="387"/>
      <c r="Y240" s="387"/>
      <c r="Z240" s="387"/>
      <c r="AA240" s="387"/>
      <c r="AB240" s="387"/>
      <c r="AC240" s="387"/>
      <c r="AD240" s="387"/>
      <c r="AE240" s="400">
        <f>'Portefeuille SP2'!J263</f>
        <v>0</v>
      </c>
      <c r="AF240" s="387"/>
      <c r="AG240" s="387"/>
      <c r="AH240" s="389"/>
      <c r="AI240" s="389"/>
      <c r="AJ240" s="403">
        <f>'Portefeuille SP2'!V263</f>
        <v>0</v>
      </c>
      <c r="AK240" s="403">
        <f>'Portefeuille SP2'!W263</f>
        <v>0</v>
      </c>
      <c r="AL240" s="403">
        <f>'Portefeuille SP2'!X263</f>
        <v>0</v>
      </c>
      <c r="AM240" s="403">
        <f>'Portefeuille SP2'!Y263</f>
        <v>1</v>
      </c>
      <c r="AN240" s="403">
        <f>'Portefeuille SP2'!Z263</f>
        <v>1</v>
      </c>
      <c r="AO240" s="403">
        <f>'Portefeuille SP2'!AA263</f>
        <v>0</v>
      </c>
      <c r="AP240" s="403">
        <f>'Portefeuille SP2'!AB263</f>
        <v>0</v>
      </c>
      <c r="AQ240" s="403">
        <f>'Portefeuille SP2'!AC263</f>
        <v>1</v>
      </c>
      <c r="AR240" s="403">
        <f>'Portefeuille SP2'!AD263</f>
        <v>1</v>
      </c>
      <c r="AS240" s="403">
        <f>'Portefeuille SP2'!AE263</f>
        <v>0</v>
      </c>
      <c r="AT240" s="403">
        <f>'Portefeuille SP2'!AF263</f>
        <v>0</v>
      </c>
      <c r="AU240" s="403">
        <f>'Portefeuille SP2'!AG263</f>
        <v>0</v>
      </c>
      <c r="AV240" s="403">
        <f>'Portefeuille SP2'!AH263</f>
        <v>1</v>
      </c>
      <c r="AW240" s="403">
        <f>'Portefeuille SP2'!AI263</f>
        <v>1</v>
      </c>
      <c r="AX240" s="403">
        <f>'Portefeuille SP2'!AJ263</f>
        <v>0</v>
      </c>
      <c r="AY240" s="403">
        <f>'Portefeuille SP2'!AK263</f>
        <v>0</v>
      </c>
      <c r="AZ240" s="403">
        <f>'Portefeuille SP2'!AL263</f>
        <v>1</v>
      </c>
      <c r="BA240" s="403">
        <f>'Portefeuille SP2'!AM263</f>
        <v>1</v>
      </c>
      <c r="BB240" s="403">
        <f>'Portefeuille SP2'!AN263</f>
        <v>0</v>
      </c>
      <c r="BC240" s="403">
        <f>'Portefeuille SP2'!AO263</f>
        <v>0</v>
      </c>
      <c r="BD240" s="403">
        <f>'Portefeuille SP2'!AP263</f>
        <v>0</v>
      </c>
      <c r="BE240" s="403">
        <f>'Portefeuille SP2'!AQ263</f>
        <v>1</v>
      </c>
      <c r="BF240" s="403">
        <f>'Portefeuille SP2'!AR263</f>
        <v>1</v>
      </c>
      <c r="BG240" s="403" t="e">
        <f>'Portefeuille SP2'!#REF!</f>
        <v>#REF!</v>
      </c>
      <c r="BH240" s="403" t="e">
        <f>'Portefeuille SP2'!#REF!</f>
        <v>#REF!</v>
      </c>
      <c r="BI240" s="403" t="e">
        <f>'Portefeuille SP2'!#REF!</f>
        <v>#REF!</v>
      </c>
      <c r="BJ240" s="403" t="e">
        <f>'Portefeuille SP2'!#REF!</f>
        <v>#REF!</v>
      </c>
      <c r="BK240" s="403" t="e">
        <f>'Portefeuille SP2'!#REF!</f>
        <v>#REF!</v>
      </c>
      <c r="BL240" s="388"/>
      <c r="BM240" s="404">
        <f>'Portefeuille SP2'!L263</f>
        <v>0</v>
      </c>
    </row>
    <row r="241" spans="1:65" ht="15" customHeight="1">
      <c r="A241" s="383">
        <f>'Portefeuille SP2'!B265</f>
        <v>45579</v>
      </c>
      <c r="B241" s="390" t="str">
        <f>'Portefeuille SP2'!Q265</f>
        <v>DECIDED</v>
      </c>
      <c r="C241" s="384"/>
      <c r="D241" s="382" t="str">
        <f>'Portefeuille SP2'!E265</f>
        <v>TH</v>
      </c>
      <c r="E241" s="382" t="str">
        <f t="shared" si="21"/>
        <v>BIW</v>
      </c>
      <c r="F241" s="382" t="str">
        <f t="shared" si="23"/>
        <v/>
      </c>
      <c r="G241" s="382" t="str">
        <f>'Portefeuille SP2'!C265</f>
        <v>SPC_1</v>
      </c>
      <c r="H241" s="382" t="str">
        <f>'Portefeuille SP2'!F265</f>
        <v>NICOLAS TESSIER</v>
      </c>
      <c r="I241" s="382"/>
      <c r="J241" s="382" t="str">
        <f>'Portefeuille SP2'!D265</f>
        <v xml:space="preserve">BIW </v>
      </c>
      <c r="K241" s="385" t="str">
        <f>'Portefeuille SP2'!H265</f>
        <v>Rear longitudinal member</v>
      </c>
      <c r="L241" s="157">
        <f>'Portefeuille SP2'!U265</f>
        <v>-4.389999999999997</v>
      </c>
      <c r="M241" s="386"/>
      <c r="N241" s="386"/>
      <c r="O241" s="386"/>
      <c r="P241" s="387">
        <f>'Portefeuille SP2'!M265</f>
        <v>0</v>
      </c>
      <c r="Q241" s="387"/>
      <c r="R241" s="387">
        <f>'Portefeuille SP2'!N265</f>
        <v>0</v>
      </c>
      <c r="S241" s="387"/>
      <c r="T241" s="382" t="str">
        <f>'Portefeuille SP2'!R265</f>
        <v xml:space="preserve">Step1 </v>
      </c>
      <c r="U241" s="387">
        <f>'Portefeuille SP2'!K265</f>
        <v>0</v>
      </c>
      <c r="V241" s="399">
        <f>'Portefeuille SP2'!S265</f>
        <v>1</v>
      </c>
      <c r="W241" s="387"/>
      <c r="X241" s="387"/>
      <c r="Y241" s="387"/>
      <c r="Z241" s="387"/>
      <c r="AA241" s="387"/>
      <c r="AB241" s="387"/>
      <c r="AC241" s="387"/>
      <c r="AD241" s="387"/>
      <c r="AE241" s="400">
        <f>'Portefeuille SP2'!J265</f>
        <v>0</v>
      </c>
      <c r="AF241" s="387"/>
      <c r="AG241" s="387"/>
      <c r="AH241" s="389"/>
      <c r="AI241" s="389"/>
      <c r="AJ241" s="403">
        <f>'Portefeuille SP2'!V265</f>
        <v>0</v>
      </c>
      <c r="AK241" s="403">
        <f>'Portefeuille SP2'!W265</f>
        <v>0</v>
      </c>
      <c r="AL241" s="403">
        <f>'Portefeuille SP2'!X265</f>
        <v>0</v>
      </c>
      <c r="AM241" s="403">
        <f>'Portefeuille SP2'!Y265</f>
        <v>1</v>
      </c>
      <c r="AN241" s="403">
        <f>'Portefeuille SP2'!Z265</f>
        <v>1</v>
      </c>
      <c r="AO241" s="403">
        <f>'Portefeuille SP2'!AA265</f>
        <v>0</v>
      </c>
      <c r="AP241" s="403">
        <f>'Portefeuille SP2'!AB265</f>
        <v>0</v>
      </c>
      <c r="AQ241" s="403">
        <f>'Portefeuille SP2'!AC265</f>
        <v>1</v>
      </c>
      <c r="AR241" s="403">
        <f>'Portefeuille SP2'!AD265</f>
        <v>1</v>
      </c>
      <c r="AS241" s="403">
        <f>'Portefeuille SP2'!AE265</f>
        <v>0</v>
      </c>
      <c r="AT241" s="403">
        <f>'Portefeuille SP2'!AF265</f>
        <v>0</v>
      </c>
      <c r="AU241" s="403">
        <f>'Portefeuille SP2'!AG265</f>
        <v>0</v>
      </c>
      <c r="AV241" s="403">
        <f>'Portefeuille SP2'!AH265</f>
        <v>1</v>
      </c>
      <c r="AW241" s="403">
        <f>'Portefeuille SP2'!AI265</f>
        <v>1</v>
      </c>
      <c r="AX241" s="403">
        <f>'Portefeuille SP2'!AJ265</f>
        <v>0</v>
      </c>
      <c r="AY241" s="403">
        <f>'Portefeuille SP2'!AK265</f>
        <v>0</v>
      </c>
      <c r="AZ241" s="403">
        <f>'Portefeuille SP2'!AL265</f>
        <v>1</v>
      </c>
      <c r="BA241" s="403">
        <f>'Portefeuille SP2'!AM265</f>
        <v>1</v>
      </c>
      <c r="BB241" s="403">
        <f>'Portefeuille SP2'!AN265</f>
        <v>0</v>
      </c>
      <c r="BC241" s="403">
        <f>'Portefeuille SP2'!AO265</f>
        <v>0</v>
      </c>
      <c r="BD241" s="403">
        <f>'Portefeuille SP2'!AP265</f>
        <v>0</v>
      </c>
      <c r="BE241" s="403">
        <f>'Portefeuille SP2'!AQ265</f>
        <v>1</v>
      </c>
      <c r="BF241" s="403">
        <f>'Portefeuille SP2'!AR265</f>
        <v>1</v>
      </c>
      <c r="BG241" s="403" t="e">
        <f>'Portefeuille SP2'!#REF!</f>
        <v>#REF!</v>
      </c>
      <c r="BH241" s="403" t="e">
        <f>'Portefeuille SP2'!#REF!</f>
        <v>#REF!</v>
      </c>
      <c r="BI241" s="403" t="e">
        <f>'Portefeuille SP2'!#REF!</f>
        <v>#REF!</v>
      </c>
      <c r="BJ241" s="403" t="e">
        <f>'Portefeuille SP2'!#REF!</f>
        <v>#REF!</v>
      </c>
      <c r="BK241" s="403" t="e">
        <f>'Portefeuille SP2'!#REF!</f>
        <v>#REF!</v>
      </c>
      <c r="BL241" s="388"/>
      <c r="BM241" s="404">
        <f>'Portefeuille SP2'!L265</f>
        <v>0</v>
      </c>
    </row>
    <row r="242" spans="1:65" ht="15" customHeight="1">
      <c r="A242" s="383" t="e">
        <f>'Portefeuille SP2'!#REF!</f>
        <v>#REF!</v>
      </c>
      <c r="B242" s="390" t="e">
        <f>'Portefeuille SP2'!#REF!</f>
        <v>#REF!</v>
      </c>
      <c r="C242" s="384"/>
      <c r="D242" s="382" t="e">
        <f>'Portefeuille SP2'!#REF!</f>
        <v>#REF!</v>
      </c>
      <c r="E242" s="382" t="e">
        <f t="shared" si="21"/>
        <v>#REF!</v>
      </c>
      <c r="F242" s="382" t="e">
        <f t="shared" si="23"/>
        <v>#REF!</v>
      </c>
      <c r="G242" s="382" t="e">
        <f>'Portefeuille SP2'!#REF!</f>
        <v>#REF!</v>
      </c>
      <c r="H242" s="382" t="e">
        <f>'Portefeuille SP2'!#REF!</f>
        <v>#REF!</v>
      </c>
      <c r="I242" s="382"/>
      <c r="J242" s="382" t="e">
        <f>'Portefeuille SP2'!#REF!</f>
        <v>#REF!</v>
      </c>
      <c r="K242" s="385" t="e">
        <f>'Portefeuille SP2'!#REF!</f>
        <v>#REF!</v>
      </c>
      <c r="L242" s="157" t="e">
        <f>'Portefeuille SP2'!#REF!</f>
        <v>#REF!</v>
      </c>
      <c r="M242" s="386"/>
      <c r="N242" s="386"/>
      <c r="O242" s="386"/>
      <c r="P242" s="387" t="e">
        <f>'Portefeuille SP2'!#REF!</f>
        <v>#REF!</v>
      </c>
      <c r="Q242" s="387"/>
      <c r="R242" s="387" t="e">
        <f>'Portefeuille SP2'!#REF!</f>
        <v>#REF!</v>
      </c>
      <c r="S242" s="387"/>
      <c r="T242" s="382" t="e">
        <f>'Portefeuille SP2'!#REF!</f>
        <v>#REF!</v>
      </c>
      <c r="U242" s="387" t="e">
        <f>'Portefeuille SP2'!#REF!</f>
        <v>#REF!</v>
      </c>
      <c r="V242" s="399" t="e">
        <f>'Portefeuille SP2'!#REF!</f>
        <v>#REF!</v>
      </c>
      <c r="W242" s="387"/>
      <c r="X242" s="387"/>
      <c r="Y242" s="387"/>
      <c r="Z242" s="387"/>
      <c r="AA242" s="387"/>
      <c r="AB242" s="387"/>
      <c r="AC242" s="387"/>
      <c r="AD242" s="387"/>
      <c r="AE242" s="400" t="e">
        <f>'Portefeuille SP2'!#REF!</f>
        <v>#REF!</v>
      </c>
      <c r="AF242" s="387"/>
      <c r="AG242" s="387"/>
      <c r="AH242" s="389"/>
      <c r="AI242" s="389"/>
      <c r="AJ242" s="403" t="e">
        <f>'Portefeuille SP2'!#REF!</f>
        <v>#REF!</v>
      </c>
      <c r="AK242" s="403" t="e">
        <f>'Portefeuille SP2'!#REF!</f>
        <v>#REF!</v>
      </c>
      <c r="AL242" s="403" t="e">
        <f>'Portefeuille SP2'!#REF!</f>
        <v>#REF!</v>
      </c>
      <c r="AM242" s="403" t="e">
        <f>'Portefeuille SP2'!#REF!</f>
        <v>#REF!</v>
      </c>
      <c r="AN242" s="403" t="e">
        <f>'Portefeuille SP2'!#REF!</f>
        <v>#REF!</v>
      </c>
      <c r="AO242" s="403" t="e">
        <f>'Portefeuille SP2'!#REF!</f>
        <v>#REF!</v>
      </c>
      <c r="AP242" s="403" t="e">
        <f>'Portefeuille SP2'!#REF!</f>
        <v>#REF!</v>
      </c>
      <c r="AQ242" s="403" t="e">
        <f>'Portefeuille SP2'!#REF!</f>
        <v>#REF!</v>
      </c>
      <c r="AR242" s="403" t="e">
        <f>'Portefeuille SP2'!#REF!</f>
        <v>#REF!</v>
      </c>
      <c r="AS242" s="403" t="e">
        <f>'Portefeuille SP2'!#REF!</f>
        <v>#REF!</v>
      </c>
      <c r="AT242" s="403" t="e">
        <f>'Portefeuille SP2'!#REF!</f>
        <v>#REF!</v>
      </c>
      <c r="AU242" s="403" t="e">
        <f>'Portefeuille SP2'!#REF!</f>
        <v>#REF!</v>
      </c>
      <c r="AV242" s="403" t="e">
        <f>'Portefeuille SP2'!#REF!</f>
        <v>#REF!</v>
      </c>
      <c r="AW242" s="403" t="e">
        <f>'Portefeuille SP2'!#REF!</f>
        <v>#REF!</v>
      </c>
      <c r="AX242" s="403" t="e">
        <f>'Portefeuille SP2'!#REF!</f>
        <v>#REF!</v>
      </c>
      <c r="AY242" s="403" t="e">
        <f>'Portefeuille SP2'!#REF!</f>
        <v>#REF!</v>
      </c>
      <c r="AZ242" s="403" t="e">
        <f>'Portefeuille SP2'!#REF!</f>
        <v>#REF!</v>
      </c>
      <c r="BA242" s="403" t="e">
        <f>'Portefeuille SP2'!#REF!</f>
        <v>#REF!</v>
      </c>
      <c r="BB242" s="403" t="e">
        <f>'Portefeuille SP2'!#REF!</f>
        <v>#REF!</v>
      </c>
      <c r="BC242" s="403" t="e">
        <f>'Portefeuille SP2'!#REF!</f>
        <v>#REF!</v>
      </c>
      <c r="BD242" s="403" t="e">
        <f>'Portefeuille SP2'!#REF!</f>
        <v>#REF!</v>
      </c>
      <c r="BE242" s="403" t="e">
        <f>'Portefeuille SP2'!#REF!</f>
        <v>#REF!</v>
      </c>
      <c r="BF242" s="403" t="e">
        <f>'Portefeuille SP2'!#REF!</f>
        <v>#REF!</v>
      </c>
      <c r="BG242" s="403" t="e">
        <f>'Portefeuille SP2'!#REF!</f>
        <v>#REF!</v>
      </c>
      <c r="BH242" s="403" t="e">
        <f>'Portefeuille SP2'!#REF!</f>
        <v>#REF!</v>
      </c>
      <c r="BI242" s="403" t="e">
        <f>'Portefeuille SP2'!#REF!</f>
        <v>#REF!</v>
      </c>
      <c r="BJ242" s="403" t="e">
        <f>'Portefeuille SP2'!#REF!</f>
        <v>#REF!</v>
      </c>
      <c r="BK242" s="403" t="e">
        <f>'Portefeuille SP2'!#REF!</f>
        <v>#REF!</v>
      </c>
      <c r="BL242" s="388"/>
      <c r="BM242" s="404" t="e">
        <f>'Portefeuille SP2'!#REF!</f>
        <v>#REF!</v>
      </c>
    </row>
    <row r="243" spans="1:65" ht="15" customHeight="1">
      <c r="A243" s="383" t="e">
        <f>'Portefeuille SP2'!#REF!</f>
        <v>#REF!</v>
      </c>
      <c r="B243" s="390" t="e">
        <f>'Portefeuille SP2'!#REF!</f>
        <v>#REF!</v>
      </c>
      <c r="C243" s="384"/>
      <c r="D243" s="382" t="e">
        <f>'Portefeuille SP2'!#REF!</f>
        <v>#REF!</v>
      </c>
      <c r="E243" s="382" t="e">
        <f t="shared" si="21"/>
        <v>#REF!</v>
      </c>
      <c r="F243" s="382" t="e">
        <f t="shared" si="23"/>
        <v>#REF!</v>
      </c>
      <c r="G243" s="382" t="e">
        <f>'Portefeuille SP2'!#REF!</f>
        <v>#REF!</v>
      </c>
      <c r="H243" s="382" t="e">
        <f>'Portefeuille SP2'!#REF!</f>
        <v>#REF!</v>
      </c>
      <c r="I243" s="382"/>
      <c r="J243" s="382" t="e">
        <f>'Portefeuille SP2'!#REF!</f>
        <v>#REF!</v>
      </c>
      <c r="K243" s="385" t="e">
        <f>'Portefeuille SP2'!#REF!</f>
        <v>#REF!</v>
      </c>
      <c r="L243" s="157" t="e">
        <f>'Portefeuille SP2'!#REF!</f>
        <v>#REF!</v>
      </c>
      <c r="M243" s="386"/>
      <c r="N243" s="386"/>
      <c r="O243" s="386"/>
      <c r="P243" s="387" t="e">
        <f>'Portefeuille SP2'!#REF!</f>
        <v>#REF!</v>
      </c>
      <c r="Q243" s="387"/>
      <c r="R243" s="387" t="e">
        <f>'Portefeuille SP2'!#REF!</f>
        <v>#REF!</v>
      </c>
      <c r="S243" s="387"/>
      <c r="T243" s="382" t="e">
        <f>'Portefeuille SP2'!#REF!</f>
        <v>#REF!</v>
      </c>
      <c r="U243" s="387" t="e">
        <f>'Portefeuille SP2'!#REF!</f>
        <v>#REF!</v>
      </c>
      <c r="V243" s="399" t="e">
        <f>'Portefeuille SP2'!#REF!</f>
        <v>#REF!</v>
      </c>
      <c r="W243" s="387"/>
      <c r="X243" s="387"/>
      <c r="Y243" s="387"/>
      <c r="Z243" s="387"/>
      <c r="AA243" s="387"/>
      <c r="AB243" s="387"/>
      <c r="AC243" s="387"/>
      <c r="AD243" s="387"/>
      <c r="AE243" s="400" t="e">
        <f>'Portefeuille SP2'!#REF!</f>
        <v>#REF!</v>
      </c>
      <c r="AF243" s="387"/>
      <c r="AG243" s="387"/>
      <c r="AH243" s="389"/>
      <c r="AI243" s="389"/>
      <c r="AJ243" s="403" t="e">
        <f>'Portefeuille SP2'!#REF!</f>
        <v>#REF!</v>
      </c>
      <c r="AK243" s="403" t="e">
        <f>'Portefeuille SP2'!#REF!</f>
        <v>#REF!</v>
      </c>
      <c r="AL243" s="403" t="e">
        <f>'Portefeuille SP2'!#REF!</f>
        <v>#REF!</v>
      </c>
      <c r="AM243" s="403" t="e">
        <f>'Portefeuille SP2'!#REF!</f>
        <v>#REF!</v>
      </c>
      <c r="AN243" s="403" t="e">
        <f>'Portefeuille SP2'!#REF!</f>
        <v>#REF!</v>
      </c>
      <c r="AO243" s="403" t="e">
        <f>'Portefeuille SP2'!#REF!</f>
        <v>#REF!</v>
      </c>
      <c r="AP243" s="403" t="e">
        <f>'Portefeuille SP2'!#REF!</f>
        <v>#REF!</v>
      </c>
      <c r="AQ243" s="403" t="e">
        <f>'Portefeuille SP2'!#REF!</f>
        <v>#REF!</v>
      </c>
      <c r="AR243" s="403" t="e">
        <f>'Portefeuille SP2'!#REF!</f>
        <v>#REF!</v>
      </c>
      <c r="AS243" s="403" t="e">
        <f>'Portefeuille SP2'!#REF!</f>
        <v>#REF!</v>
      </c>
      <c r="AT243" s="403" t="e">
        <f>'Portefeuille SP2'!#REF!</f>
        <v>#REF!</v>
      </c>
      <c r="AU243" s="403" t="e">
        <f>'Portefeuille SP2'!#REF!</f>
        <v>#REF!</v>
      </c>
      <c r="AV243" s="403" t="e">
        <f>'Portefeuille SP2'!#REF!</f>
        <v>#REF!</v>
      </c>
      <c r="AW243" s="403" t="e">
        <f>'Portefeuille SP2'!#REF!</f>
        <v>#REF!</v>
      </c>
      <c r="AX243" s="403" t="e">
        <f>'Portefeuille SP2'!#REF!</f>
        <v>#REF!</v>
      </c>
      <c r="AY243" s="403" t="e">
        <f>'Portefeuille SP2'!#REF!</f>
        <v>#REF!</v>
      </c>
      <c r="AZ243" s="403" t="e">
        <f>'Portefeuille SP2'!#REF!</f>
        <v>#REF!</v>
      </c>
      <c r="BA243" s="403" t="e">
        <f>'Portefeuille SP2'!#REF!</f>
        <v>#REF!</v>
      </c>
      <c r="BB243" s="403" t="e">
        <f>'Portefeuille SP2'!#REF!</f>
        <v>#REF!</v>
      </c>
      <c r="BC243" s="403" t="e">
        <f>'Portefeuille SP2'!#REF!</f>
        <v>#REF!</v>
      </c>
      <c r="BD243" s="403" t="e">
        <f>'Portefeuille SP2'!#REF!</f>
        <v>#REF!</v>
      </c>
      <c r="BE243" s="403" t="e">
        <f>'Portefeuille SP2'!#REF!</f>
        <v>#REF!</v>
      </c>
      <c r="BF243" s="403" t="e">
        <f>'Portefeuille SP2'!#REF!</f>
        <v>#REF!</v>
      </c>
      <c r="BG243" s="403" t="e">
        <f>'Portefeuille SP2'!#REF!</f>
        <v>#REF!</v>
      </c>
      <c r="BH243" s="403" t="e">
        <f>'Portefeuille SP2'!#REF!</f>
        <v>#REF!</v>
      </c>
      <c r="BI243" s="403" t="e">
        <f>'Portefeuille SP2'!#REF!</f>
        <v>#REF!</v>
      </c>
      <c r="BJ243" s="403" t="e">
        <f>'Portefeuille SP2'!#REF!</f>
        <v>#REF!</v>
      </c>
      <c r="BK243" s="403" t="e">
        <f>'Portefeuille SP2'!#REF!</f>
        <v>#REF!</v>
      </c>
      <c r="BL243" s="388"/>
      <c r="BM243" s="404" t="e">
        <f>'Portefeuille SP2'!#REF!</f>
        <v>#REF!</v>
      </c>
    </row>
    <row r="244" spans="1:65" ht="15" customHeight="1">
      <c r="A244" s="383">
        <f>'Portefeuille SP2'!B267</f>
        <v>38406</v>
      </c>
      <c r="B244" s="390" t="str">
        <f>'Portefeuille SP2'!Q267</f>
        <v>DECIDED</v>
      </c>
      <c r="C244" s="384"/>
      <c r="D244" s="382" t="str">
        <f>'Portefeuille SP2'!E267</f>
        <v>TH</v>
      </c>
      <c r="E244" s="382" t="str">
        <f t="shared" si="21"/>
        <v>INT</v>
      </c>
      <c r="F244" s="382" t="str">
        <f t="shared" si="23"/>
        <v xml:space="preserve"> SEATS/TRIMS</v>
      </c>
      <c r="G244" s="382" t="str">
        <f>'Portefeuille SP2'!C267</f>
        <v>SPC_1</v>
      </c>
      <c r="H244" s="382" t="str">
        <f>'Portefeuille SP2'!F267</f>
        <v>HALIM</v>
      </c>
      <c r="I244" s="382"/>
      <c r="J244" s="382" t="str">
        <f>'Portefeuille SP2'!D267</f>
        <v>INT - SEATS/TRIMS</v>
      </c>
      <c r="K244" s="385" t="str">
        <f>'Portefeuille SP2'!H267</f>
        <v>PACK NVH Entry</v>
      </c>
      <c r="L244" s="157">
        <f>'Portefeuille SP2'!U267</f>
        <v>-0.14000000000000001</v>
      </c>
      <c r="M244" s="386"/>
      <c r="N244" s="386"/>
      <c r="O244" s="386"/>
      <c r="P244" s="387">
        <f>'Portefeuille SP2'!M267</f>
        <v>0</v>
      </c>
      <c r="Q244" s="387"/>
      <c r="R244" s="387">
        <f>'Portefeuille SP2'!N267</f>
        <v>0</v>
      </c>
      <c r="S244" s="387"/>
      <c r="T244" s="382" t="str">
        <f>'Portefeuille SP2'!R267</f>
        <v>TBD</v>
      </c>
      <c r="U244" s="387" t="str">
        <f>'Portefeuille SP2'!K267</f>
        <v>20/04/2026</v>
      </c>
      <c r="V244" s="399">
        <f>'Portefeuille SP2'!S267</f>
        <v>1</v>
      </c>
      <c r="W244" s="387"/>
      <c r="X244" s="387"/>
      <c r="Y244" s="387"/>
      <c r="Z244" s="387"/>
      <c r="AA244" s="387"/>
      <c r="AB244" s="387"/>
      <c r="AC244" s="387"/>
      <c r="AD244" s="387"/>
      <c r="AE244" s="400" t="str">
        <f>'Portefeuille SP2'!J267</f>
        <v>20/04/2026 LM Appliqué en BDD
16/03/2026 Essai en cours retout CW13</v>
      </c>
      <c r="AF244" s="387"/>
      <c r="AG244" s="387"/>
      <c r="AH244" s="389"/>
      <c r="AI244" s="389"/>
      <c r="AJ244" s="403">
        <f>'Portefeuille SP2'!V267</f>
        <v>1</v>
      </c>
      <c r="AK244" s="403">
        <f>'Portefeuille SP2'!W267</f>
        <v>1</v>
      </c>
      <c r="AL244" s="403">
        <f>'Portefeuille SP2'!X267</f>
        <v>1</v>
      </c>
      <c r="AM244" s="403">
        <f>'Portefeuille SP2'!Y267</f>
        <v>1</v>
      </c>
      <c r="AN244" s="403">
        <f>'Portefeuille SP2'!Z267</f>
        <v>1</v>
      </c>
      <c r="AO244" s="403">
        <f>'Portefeuille SP2'!AA267</f>
        <v>0</v>
      </c>
      <c r="AP244" s="403">
        <f>'Portefeuille SP2'!AB267</f>
        <v>0</v>
      </c>
      <c r="AQ244" s="403">
        <f>'Portefeuille SP2'!AC267</f>
        <v>0</v>
      </c>
      <c r="AR244" s="403">
        <f>'Portefeuille SP2'!AD267</f>
        <v>0</v>
      </c>
      <c r="AS244" s="403">
        <f>'Portefeuille SP2'!AE267</f>
        <v>0</v>
      </c>
      <c r="AT244" s="403">
        <f>'Portefeuille SP2'!AF267</f>
        <v>0</v>
      </c>
      <c r="AU244" s="403">
        <f>'Portefeuille SP2'!AG267</f>
        <v>0</v>
      </c>
      <c r="AV244" s="403">
        <f>'Portefeuille SP2'!AH267</f>
        <v>0</v>
      </c>
      <c r="AW244" s="403">
        <f>'Portefeuille SP2'!AI267</f>
        <v>0</v>
      </c>
      <c r="AX244" s="403">
        <f>'Portefeuille SP2'!AJ267</f>
        <v>0</v>
      </c>
      <c r="AY244" s="403">
        <f>'Portefeuille SP2'!AK267</f>
        <v>0</v>
      </c>
      <c r="AZ244" s="403">
        <f>'Portefeuille SP2'!AL267</f>
        <v>0</v>
      </c>
      <c r="BA244" s="403">
        <f>'Portefeuille SP2'!AM267</f>
        <v>0</v>
      </c>
      <c r="BB244" s="403">
        <f>'Portefeuille SP2'!AN267</f>
        <v>1</v>
      </c>
      <c r="BC244" s="403">
        <f>'Portefeuille SP2'!AO267</f>
        <v>1</v>
      </c>
      <c r="BD244" s="403">
        <f>'Portefeuille SP2'!AP267</f>
        <v>1</v>
      </c>
      <c r="BE244" s="403">
        <f>'Portefeuille SP2'!AQ267</f>
        <v>1</v>
      </c>
      <c r="BF244" s="403">
        <f>'Portefeuille SP2'!AR267</f>
        <v>1</v>
      </c>
      <c r="BG244" s="403" t="e">
        <f>'Portefeuille SP2'!#REF!</f>
        <v>#REF!</v>
      </c>
      <c r="BH244" s="403" t="e">
        <f>'Portefeuille SP2'!#REF!</f>
        <v>#REF!</v>
      </c>
      <c r="BI244" s="403" t="e">
        <f>'Portefeuille SP2'!#REF!</f>
        <v>#REF!</v>
      </c>
      <c r="BJ244" s="403" t="e">
        <f>'Portefeuille SP2'!#REF!</f>
        <v>#REF!</v>
      </c>
      <c r="BK244" s="403" t="e">
        <f>'Portefeuille SP2'!#REF!</f>
        <v>#REF!</v>
      </c>
      <c r="BL244" s="388"/>
      <c r="BM244" s="404">
        <f>'Portefeuille SP2'!L267</f>
        <v>0</v>
      </c>
    </row>
    <row r="245" spans="1:65" ht="15" customHeight="1">
      <c r="A245" s="383">
        <f>'Portefeuille SP2'!B269</f>
        <v>46078</v>
      </c>
      <c r="B245" s="390" t="str">
        <f>'Portefeuille SP2'!Q269</f>
        <v>IN PROGRESS</v>
      </c>
      <c r="C245" s="384"/>
      <c r="D245" s="382" t="str">
        <f>'Portefeuille SP2'!E269</f>
        <v>TH</v>
      </c>
      <c r="E245" s="382" t="str">
        <f t="shared" si="21"/>
        <v>FRS</v>
      </c>
      <c r="F245" s="382" t="str">
        <f t="shared" si="23"/>
        <v/>
      </c>
      <c r="G245" s="382" t="str">
        <f>'Portefeuille SP2'!C269</f>
        <v>SPC_1</v>
      </c>
      <c r="H245" s="382" t="str">
        <f>'Portefeuille SP2'!F269</f>
        <v>MICHAEL BORE</v>
      </c>
      <c r="I245" s="382"/>
      <c r="J245" s="382" t="str">
        <f>'Portefeuille SP2'!D269</f>
        <v>FRSD</v>
      </c>
      <c r="K245" s="385" t="str">
        <f>'Portefeuille SP2'!H269</f>
        <v>Composite tailgate</v>
      </c>
      <c r="L245" s="157">
        <f>'Portefeuille SP2'!U269</f>
        <v>-2.5</v>
      </c>
      <c r="M245" s="386"/>
      <c r="N245" s="386"/>
      <c r="O245" s="386"/>
      <c r="P245" s="387">
        <f>'Portefeuille SP2'!M269</f>
        <v>0</v>
      </c>
      <c r="Q245" s="387"/>
      <c r="R245" s="387">
        <f>'Portefeuille SP2'!N269</f>
        <v>0</v>
      </c>
      <c r="S245" s="387"/>
      <c r="T245" s="382">
        <f>'Portefeuille SP2'!R269</f>
        <v>0</v>
      </c>
      <c r="U245" s="387">
        <f>'Portefeuille SP2'!K269</f>
        <v>0</v>
      </c>
      <c r="V245" s="399">
        <f>'Portefeuille SP2'!S269</f>
        <v>1</v>
      </c>
      <c r="W245" s="387"/>
      <c r="X245" s="387"/>
      <c r="Y245" s="387"/>
      <c r="Z245" s="387"/>
      <c r="AA245" s="387"/>
      <c r="AB245" s="387"/>
      <c r="AC245" s="387"/>
      <c r="AD245" s="387"/>
      <c r="AE245" s="400" t="str">
        <f>'Portefeuille SP2'!J269</f>
        <v xml:space="preserve">06/03/2026 LM : Mise à jour du descriptif
</v>
      </c>
      <c r="AF245" s="387"/>
      <c r="AG245" s="387"/>
      <c r="AH245" s="389"/>
      <c r="AI245" s="389"/>
      <c r="AJ245" s="403">
        <f>'Portefeuille SP2'!V269</f>
        <v>1</v>
      </c>
      <c r="AK245" s="403">
        <f>'Portefeuille SP2'!W269</f>
        <v>1</v>
      </c>
      <c r="AL245" s="403">
        <f>'Portefeuille SP2'!X269</f>
        <v>1</v>
      </c>
      <c r="AM245" s="403">
        <f>'Portefeuille SP2'!Y269</f>
        <v>1</v>
      </c>
      <c r="AN245" s="403">
        <f>'Portefeuille SP2'!Z269</f>
        <v>1</v>
      </c>
      <c r="AO245" s="403">
        <f>'Portefeuille SP2'!AA269</f>
        <v>0</v>
      </c>
      <c r="AP245" s="403">
        <f>'Portefeuille SP2'!AB269</f>
        <v>0</v>
      </c>
      <c r="AQ245" s="403">
        <f>'Portefeuille SP2'!AC269</f>
        <v>0</v>
      </c>
      <c r="AR245" s="403">
        <f>'Portefeuille SP2'!AD269</f>
        <v>0</v>
      </c>
      <c r="AS245" s="403">
        <f>'Portefeuille SP2'!AE269</f>
        <v>0</v>
      </c>
      <c r="AT245" s="403">
        <f>'Portefeuille SP2'!AF269</f>
        <v>0</v>
      </c>
      <c r="AU245" s="403">
        <f>'Portefeuille SP2'!AG269</f>
        <v>0</v>
      </c>
      <c r="AV245" s="403">
        <f>'Portefeuille SP2'!AH269</f>
        <v>0</v>
      </c>
      <c r="AW245" s="403">
        <f>'Portefeuille SP2'!AI269</f>
        <v>0</v>
      </c>
      <c r="AX245" s="403">
        <f>'Portefeuille SP2'!AJ269</f>
        <v>0</v>
      </c>
      <c r="AY245" s="403">
        <f>'Portefeuille SP2'!AK269</f>
        <v>0</v>
      </c>
      <c r="AZ245" s="403">
        <f>'Portefeuille SP2'!AL269</f>
        <v>0</v>
      </c>
      <c r="BA245" s="403">
        <f>'Portefeuille SP2'!AM269</f>
        <v>0</v>
      </c>
      <c r="BB245" s="403">
        <f>'Portefeuille SP2'!AN269</f>
        <v>1</v>
      </c>
      <c r="BC245" s="403">
        <f>'Portefeuille SP2'!AO269</f>
        <v>1</v>
      </c>
      <c r="BD245" s="403">
        <f>'Portefeuille SP2'!AP269</f>
        <v>1</v>
      </c>
      <c r="BE245" s="403">
        <f>'Portefeuille SP2'!AQ269</f>
        <v>1</v>
      </c>
      <c r="BF245" s="403">
        <f>'Portefeuille SP2'!AR269</f>
        <v>1</v>
      </c>
      <c r="BG245" s="403" t="e">
        <f>'Portefeuille SP2'!#REF!</f>
        <v>#REF!</v>
      </c>
      <c r="BH245" s="403" t="e">
        <f>'Portefeuille SP2'!#REF!</f>
        <v>#REF!</v>
      </c>
      <c r="BI245" s="403" t="e">
        <f>'Portefeuille SP2'!#REF!</f>
        <v>#REF!</v>
      </c>
      <c r="BJ245" s="403" t="e">
        <f>'Portefeuille SP2'!#REF!</f>
        <v>#REF!</v>
      </c>
      <c r="BK245" s="403" t="e">
        <f>'Portefeuille SP2'!#REF!</f>
        <v>#REF!</v>
      </c>
      <c r="BL245" s="388"/>
      <c r="BM245" s="404">
        <f>'Portefeuille SP2'!L269</f>
        <v>0</v>
      </c>
    </row>
    <row r="246" spans="1:65" ht="15" customHeight="1">
      <c r="A246" s="383">
        <f>'Portefeuille SP2'!B271</f>
        <v>46078</v>
      </c>
      <c r="B246" s="390" t="str">
        <f>'Portefeuille SP2'!Q271</f>
        <v>CANCELED</v>
      </c>
      <c r="C246" s="384"/>
      <c r="D246" s="382" t="str">
        <f>'Portefeuille SP2'!E271</f>
        <v>TH</v>
      </c>
      <c r="E246" s="382" t="str">
        <f t="shared" si="21"/>
        <v>FRS</v>
      </c>
      <c r="F246" s="382" t="str">
        <f t="shared" si="23"/>
        <v/>
      </c>
      <c r="G246" s="382" t="str">
        <f>'Portefeuille SP2'!C271</f>
        <v>SPC_1</v>
      </c>
      <c r="H246" s="382" t="str">
        <f>'Portefeuille SP2'!F271</f>
        <v>MICHAEL BORE</v>
      </c>
      <c r="I246" s="382"/>
      <c r="J246" s="382" t="str">
        <f>'Portefeuille SP2'!D271</f>
        <v>FRSD</v>
      </c>
      <c r="K246" s="385" t="str">
        <f>'Portefeuille SP2'!H271</f>
        <v>New design</v>
      </c>
      <c r="L246" s="157">
        <f>'Portefeuille SP2'!U271</f>
        <v>-0.60000000000000009</v>
      </c>
      <c r="M246" s="386"/>
      <c r="N246" s="386"/>
      <c r="O246" s="386"/>
      <c r="P246" s="387">
        <f>'Portefeuille SP2'!M271</f>
        <v>0</v>
      </c>
      <c r="Q246" s="387"/>
      <c r="R246" s="387">
        <f>'Portefeuille SP2'!N271</f>
        <v>0</v>
      </c>
      <c r="S246" s="387"/>
      <c r="T246" s="382">
        <f>'Portefeuille SP2'!R271</f>
        <v>0</v>
      </c>
      <c r="U246" s="387">
        <f>'Portefeuille SP2'!K271</f>
        <v>0</v>
      </c>
      <c r="V246" s="399">
        <f>'Portefeuille SP2'!S271</f>
        <v>0.1</v>
      </c>
      <c r="W246" s="387"/>
      <c r="X246" s="387"/>
      <c r="Y246" s="387"/>
      <c r="Z246" s="387"/>
      <c r="AA246" s="387"/>
      <c r="AB246" s="387"/>
      <c r="AC246" s="387"/>
      <c r="AD246" s="387"/>
      <c r="AE246" s="400" t="str">
        <f>'Portefeuille SP2'!J271</f>
        <v xml:space="preserve">06/03/2026 LM : Mise à jour du descriptif
</v>
      </c>
      <c r="AF246" s="387"/>
      <c r="AG246" s="387"/>
      <c r="AH246" s="389"/>
      <c r="AI246" s="389"/>
      <c r="AJ246" s="403">
        <f>'Portefeuille SP2'!V271</f>
        <v>1</v>
      </c>
      <c r="AK246" s="403">
        <f>'Portefeuille SP2'!W271</f>
        <v>1</v>
      </c>
      <c r="AL246" s="403">
        <f>'Portefeuille SP2'!X271</f>
        <v>1</v>
      </c>
      <c r="AM246" s="403">
        <f>'Portefeuille SP2'!Y271</f>
        <v>1</v>
      </c>
      <c r="AN246" s="403">
        <f>'Portefeuille SP2'!Z271</f>
        <v>1</v>
      </c>
      <c r="AO246" s="403">
        <f>'Portefeuille SP2'!AA271</f>
        <v>0</v>
      </c>
      <c r="AP246" s="403">
        <f>'Portefeuille SP2'!AB271</f>
        <v>0</v>
      </c>
      <c r="AQ246" s="403">
        <f>'Portefeuille SP2'!AC271</f>
        <v>0</v>
      </c>
      <c r="AR246" s="403">
        <f>'Portefeuille SP2'!AD271</f>
        <v>0</v>
      </c>
      <c r="AS246" s="403">
        <f>'Portefeuille SP2'!AE271</f>
        <v>0</v>
      </c>
      <c r="AT246" s="403">
        <f>'Portefeuille SP2'!AF271</f>
        <v>0</v>
      </c>
      <c r="AU246" s="403">
        <f>'Portefeuille SP2'!AG271</f>
        <v>0</v>
      </c>
      <c r="AV246" s="403">
        <f>'Portefeuille SP2'!AH271</f>
        <v>0</v>
      </c>
      <c r="AW246" s="403">
        <f>'Portefeuille SP2'!AI271</f>
        <v>0</v>
      </c>
      <c r="AX246" s="403">
        <f>'Portefeuille SP2'!AJ271</f>
        <v>0</v>
      </c>
      <c r="AY246" s="403">
        <f>'Portefeuille SP2'!AK271</f>
        <v>0</v>
      </c>
      <c r="AZ246" s="403">
        <f>'Portefeuille SP2'!AL271</f>
        <v>0</v>
      </c>
      <c r="BA246" s="403">
        <f>'Portefeuille SP2'!AM271</f>
        <v>0</v>
      </c>
      <c r="BB246" s="403">
        <f>'Portefeuille SP2'!AN271</f>
        <v>1</v>
      </c>
      <c r="BC246" s="403">
        <f>'Portefeuille SP2'!AO271</f>
        <v>1</v>
      </c>
      <c r="BD246" s="403">
        <f>'Portefeuille SP2'!AP271</f>
        <v>1</v>
      </c>
      <c r="BE246" s="403">
        <f>'Portefeuille SP2'!AQ271</f>
        <v>1</v>
      </c>
      <c r="BF246" s="403">
        <f>'Portefeuille SP2'!AR271</f>
        <v>1</v>
      </c>
      <c r="BG246" s="403" t="e">
        <f>'Portefeuille SP2'!#REF!</f>
        <v>#REF!</v>
      </c>
      <c r="BH246" s="403" t="e">
        <f>'Portefeuille SP2'!#REF!</f>
        <v>#REF!</v>
      </c>
      <c r="BI246" s="403" t="e">
        <f>'Portefeuille SP2'!#REF!</f>
        <v>#REF!</v>
      </c>
      <c r="BJ246" s="403" t="e">
        <f>'Portefeuille SP2'!#REF!</f>
        <v>#REF!</v>
      </c>
      <c r="BK246" s="403" t="e">
        <f>'Portefeuille SP2'!#REF!</f>
        <v>#REF!</v>
      </c>
      <c r="BL246" s="388"/>
      <c r="BM246" s="404">
        <f>'Portefeuille SP2'!L271</f>
        <v>0</v>
      </c>
    </row>
    <row r="247" spans="1:65" ht="15" customHeight="1">
      <c r="A247" s="383">
        <f>'Portefeuille SP2'!B272</f>
        <v>46078</v>
      </c>
      <c r="B247" s="390" t="str">
        <f>'Portefeuille SP2'!Q272</f>
        <v>IN PROGRESS</v>
      </c>
      <c r="C247" s="384"/>
      <c r="D247" s="382" t="str">
        <f>'Portefeuille SP2'!E272</f>
        <v>PTF</v>
      </c>
      <c r="E247" s="382" t="str">
        <f t="shared" si="21"/>
        <v>PHE</v>
      </c>
      <c r="F247" s="382" t="str">
        <f t="shared" si="23"/>
        <v/>
      </c>
      <c r="G247" s="382" t="str">
        <f>'Portefeuille SP2'!C272</f>
        <v>SP1</v>
      </c>
      <c r="H247" s="382" t="str">
        <f>'Portefeuille SP2'!F272</f>
        <v>SYLVAIN MAGDELAINE</v>
      </c>
      <c r="I247" s="382"/>
      <c r="J247" s="382" t="str">
        <f>'Portefeuille SP2'!D272</f>
        <v>PHES</v>
      </c>
      <c r="K247" s="385" t="str">
        <f>'Portefeuille SP2'!H272</f>
        <v>Risk cancel</v>
      </c>
      <c r="L247" s="157">
        <f>'Portefeuille SP2'!U272</f>
        <v>-8</v>
      </c>
      <c r="M247" s="386"/>
      <c r="N247" s="386"/>
      <c r="O247" s="386"/>
      <c r="P247" s="387">
        <f>'Portefeuille SP2'!M272</f>
        <v>0</v>
      </c>
      <c r="Q247" s="387"/>
      <c r="R247" s="387">
        <f>'Portefeuille SP2'!N272</f>
        <v>0</v>
      </c>
      <c r="S247" s="387"/>
      <c r="T247" s="382">
        <f>'Portefeuille SP2'!R272</f>
        <v>0</v>
      </c>
      <c r="U247" s="387">
        <f>'Portefeuille SP2'!K272</f>
        <v>0</v>
      </c>
      <c r="V247" s="399">
        <f>'Portefeuille SP2'!S272</f>
        <v>1</v>
      </c>
      <c r="W247" s="387"/>
      <c r="X247" s="387"/>
      <c r="Y247" s="387"/>
      <c r="Z247" s="387"/>
      <c r="AA247" s="387"/>
      <c r="AB247" s="387"/>
      <c r="AC247" s="387"/>
      <c r="AD247" s="387"/>
      <c r="AE247" s="400">
        <f>'Portefeuille SP2'!J272</f>
        <v>0</v>
      </c>
      <c r="AF247" s="387"/>
      <c r="AG247" s="387"/>
      <c r="AH247" s="389"/>
      <c r="AI247" s="389"/>
      <c r="AJ247" s="403">
        <f>'Portefeuille SP2'!V272</f>
        <v>1</v>
      </c>
      <c r="AK247" s="403">
        <f>'Portefeuille SP2'!W272</f>
        <v>1</v>
      </c>
      <c r="AL247" s="403">
        <f>'Portefeuille SP2'!X272</f>
        <v>1</v>
      </c>
      <c r="AM247" s="403">
        <f>'Portefeuille SP2'!Y272</f>
        <v>1</v>
      </c>
      <c r="AN247" s="403">
        <f>'Portefeuille SP2'!Z272</f>
        <v>1</v>
      </c>
      <c r="AO247" s="403">
        <f>'Portefeuille SP2'!AA272</f>
        <v>0</v>
      </c>
      <c r="AP247" s="403">
        <f>'Portefeuille SP2'!AB272</f>
        <v>0</v>
      </c>
      <c r="AQ247" s="403">
        <f>'Portefeuille SP2'!AC272</f>
        <v>0</v>
      </c>
      <c r="AR247" s="403">
        <f>'Portefeuille SP2'!AD272</f>
        <v>0</v>
      </c>
      <c r="AS247" s="403">
        <f>'Portefeuille SP2'!AE272</f>
        <v>0</v>
      </c>
      <c r="AT247" s="403">
        <f>'Portefeuille SP2'!AF272</f>
        <v>0</v>
      </c>
      <c r="AU247" s="403">
        <f>'Portefeuille SP2'!AG272</f>
        <v>0</v>
      </c>
      <c r="AV247" s="403">
        <f>'Portefeuille SP2'!AH272</f>
        <v>0</v>
      </c>
      <c r="AW247" s="403">
        <f>'Portefeuille SP2'!AI272</f>
        <v>0</v>
      </c>
      <c r="AX247" s="403">
        <f>'Portefeuille SP2'!AJ272</f>
        <v>0</v>
      </c>
      <c r="AY247" s="403">
        <f>'Portefeuille SP2'!AK272</f>
        <v>0</v>
      </c>
      <c r="AZ247" s="403">
        <f>'Portefeuille SP2'!AL272</f>
        <v>0</v>
      </c>
      <c r="BA247" s="403">
        <f>'Portefeuille SP2'!AM272</f>
        <v>0</v>
      </c>
      <c r="BB247" s="403">
        <f>'Portefeuille SP2'!AN272</f>
        <v>0</v>
      </c>
      <c r="BC247" s="403">
        <f>'Portefeuille SP2'!AO272</f>
        <v>0</v>
      </c>
      <c r="BD247" s="403">
        <f>'Portefeuille SP2'!AP272</f>
        <v>0</v>
      </c>
      <c r="BE247" s="403">
        <f>'Portefeuille SP2'!AQ272</f>
        <v>1</v>
      </c>
      <c r="BF247" s="403">
        <f>'Portefeuille SP2'!AR272</f>
        <v>1</v>
      </c>
      <c r="BG247" s="403" t="e">
        <f>'Portefeuille SP2'!#REF!</f>
        <v>#REF!</v>
      </c>
      <c r="BH247" s="403" t="e">
        <f>'Portefeuille SP2'!#REF!</f>
        <v>#REF!</v>
      </c>
      <c r="BI247" s="403" t="e">
        <f>'Portefeuille SP2'!#REF!</f>
        <v>#REF!</v>
      </c>
      <c r="BJ247" s="403" t="e">
        <f>'Portefeuille SP2'!#REF!</f>
        <v>#REF!</v>
      </c>
      <c r="BK247" s="403" t="e">
        <f>'Portefeuille SP2'!#REF!</f>
        <v>#REF!</v>
      </c>
      <c r="BL247" s="388"/>
      <c r="BM247" s="404">
        <f>'Portefeuille SP2'!L272</f>
        <v>0</v>
      </c>
    </row>
    <row r="248" spans="1:65" ht="15" customHeight="1">
      <c r="A248" s="383">
        <f>'Portefeuille SP2'!B273</f>
        <v>46078</v>
      </c>
      <c r="B248" s="390" t="str">
        <f>'Portefeuille SP2'!Q273</f>
        <v>IN PROGRESS</v>
      </c>
      <c r="C248" s="384"/>
      <c r="D248" s="382" t="str">
        <f>'Portefeuille SP2'!E273</f>
        <v>TH</v>
      </c>
      <c r="E248" s="382" t="str">
        <f t="shared" si="21"/>
        <v>BCI</v>
      </c>
      <c r="F248" s="382" t="str">
        <f t="shared" si="23"/>
        <v>HASSIS</v>
      </c>
      <c r="G248" s="382" t="str">
        <f>'Portefeuille SP2'!C273</f>
        <v>SP1</v>
      </c>
      <c r="H248" s="382" t="str">
        <f>'Portefeuille SP2'!F273</f>
        <v>FREDERIC GUINGAND</v>
      </c>
      <c r="I248" s="382"/>
      <c r="J248" s="382" t="str">
        <f>'Portefeuille SP2'!D273</f>
        <v>BCI_CHASSIS</v>
      </c>
      <c r="K248" s="385" t="str">
        <f>'Portefeuille SP2'!H273</f>
        <v xml:space="preserve">Wheel 17" </v>
      </c>
      <c r="L248" s="157">
        <f>'Portefeuille SP2'!U273</f>
        <v>-4</v>
      </c>
      <c r="M248" s="386"/>
      <c r="N248" s="386"/>
      <c r="O248" s="386"/>
      <c r="P248" s="387">
        <f>'Portefeuille SP2'!M273</f>
        <v>0</v>
      </c>
      <c r="Q248" s="387"/>
      <c r="R248" s="387">
        <f>'Portefeuille SP2'!N273</f>
        <v>0</v>
      </c>
      <c r="S248" s="387"/>
      <c r="T248" s="382">
        <f>'Portefeuille SP2'!R273</f>
        <v>0</v>
      </c>
      <c r="U248" s="387">
        <f>'Portefeuille SP2'!K273</f>
        <v>0</v>
      </c>
      <c r="V248" s="399">
        <f>'Portefeuille SP2'!S273</f>
        <v>1</v>
      </c>
      <c r="W248" s="387"/>
      <c r="X248" s="387"/>
      <c r="Y248" s="387"/>
      <c r="Z248" s="387"/>
      <c r="AA248" s="387"/>
      <c r="AB248" s="387"/>
      <c r="AC248" s="387"/>
      <c r="AD248" s="387"/>
      <c r="AE248" s="400">
        <f>'Portefeuille SP2'!J273</f>
        <v>0</v>
      </c>
      <c r="AF248" s="387"/>
      <c r="AG248" s="387"/>
      <c r="AH248" s="389"/>
      <c r="AI248" s="389"/>
      <c r="AJ248" s="403">
        <f>'Portefeuille SP2'!V273</f>
        <v>1</v>
      </c>
      <c r="AK248" s="403">
        <f>'Portefeuille SP2'!W273</f>
        <v>1</v>
      </c>
      <c r="AL248" s="403">
        <f>'Portefeuille SP2'!X273</f>
        <v>1</v>
      </c>
      <c r="AM248" s="403">
        <f>'Portefeuille SP2'!Y273</f>
        <v>1</v>
      </c>
      <c r="AN248" s="403">
        <f>'Portefeuille SP2'!Z273</f>
        <v>1</v>
      </c>
      <c r="AO248" s="403">
        <f>'Portefeuille SP2'!AA273</f>
        <v>0</v>
      </c>
      <c r="AP248" s="403">
        <f>'Portefeuille SP2'!AB273</f>
        <v>0</v>
      </c>
      <c r="AQ248" s="403">
        <f>'Portefeuille SP2'!AC273</f>
        <v>0</v>
      </c>
      <c r="AR248" s="403">
        <f>'Portefeuille SP2'!AD273</f>
        <v>0</v>
      </c>
      <c r="AS248" s="403">
        <f>'Portefeuille SP2'!AE273</f>
        <v>0</v>
      </c>
      <c r="AT248" s="403">
        <f>'Portefeuille SP2'!AF273</f>
        <v>0</v>
      </c>
      <c r="AU248" s="403">
        <f>'Portefeuille SP2'!AG273</f>
        <v>0</v>
      </c>
      <c r="AV248" s="403">
        <f>'Portefeuille SP2'!AH273</f>
        <v>0</v>
      </c>
      <c r="AW248" s="403">
        <f>'Portefeuille SP2'!AI273</f>
        <v>0</v>
      </c>
      <c r="AX248" s="403">
        <f>'Portefeuille SP2'!AJ273</f>
        <v>0</v>
      </c>
      <c r="AY248" s="403">
        <f>'Portefeuille SP2'!AK273</f>
        <v>0</v>
      </c>
      <c r="AZ248" s="403">
        <f>'Portefeuille SP2'!AL273</f>
        <v>0</v>
      </c>
      <c r="BA248" s="403">
        <f>'Portefeuille SP2'!AM273</f>
        <v>0</v>
      </c>
      <c r="BB248" s="403">
        <f>'Portefeuille SP2'!AN273</f>
        <v>0</v>
      </c>
      <c r="BC248" s="403">
        <f>'Portefeuille SP2'!AO273</f>
        <v>0</v>
      </c>
      <c r="BD248" s="403">
        <f>'Portefeuille SP2'!AP273</f>
        <v>0</v>
      </c>
      <c r="BE248" s="403">
        <f>'Portefeuille SP2'!AQ273</f>
        <v>1</v>
      </c>
      <c r="BF248" s="403">
        <f>'Portefeuille SP2'!AR273</f>
        <v>0</v>
      </c>
      <c r="BG248" s="403" t="e">
        <f>'Portefeuille SP2'!#REF!</f>
        <v>#REF!</v>
      </c>
      <c r="BH248" s="403" t="e">
        <f>'Portefeuille SP2'!#REF!</f>
        <v>#REF!</v>
      </c>
      <c r="BI248" s="403" t="e">
        <f>'Portefeuille SP2'!#REF!</f>
        <v>#REF!</v>
      </c>
      <c r="BJ248" s="403" t="e">
        <f>'Portefeuille SP2'!#REF!</f>
        <v>#REF!</v>
      </c>
      <c r="BK248" s="403" t="e">
        <f>'Portefeuille SP2'!#REF!</f>
        <v>#REF!</v>
      </c>
      <c r="BL248" s="388"/>
      <c r="BM248" s="404">
        <f>'Portefeuille SP2'!L273</f>
        <v>0</v>
      </c>
    </row>
    <row r="249" spans="1:65" ht="15" customHeight="1">
      <c r="A249" s="383">
        <f>'Portefeuille SP2'!B274</f>
        <v>46078</v>
      </c>
      <c r="B249" s="390" t="str">
        <f>'Portefeuille SP2'!Q274</f>
        <v>DECIDED</v>
      </c>
      <c r="C249" s="384"/>
      <c r="D249" s="382" t="str">
        <f>'Portefeuille SP2'!E274</f>
        <v>TH</v>
      </c>
      <c r="E249" s="382" t="str">
        <f t="shared" si="21"/>
        <v>FRS</v>
      </c>
      <c r="F249" s="382" t="str">
        <f t="shared" si="23"/>
        <v/>
      </c>
      <c r="G249" s="382" t="str">
        <f>'Portefeuille SP2'!C274</f>
        <v>SPC_1</v>
      </c>
      <c r="H249" s="382" t="str">
        <f>'Portefeuille SP2'!F274</f>
        <v>MICHAEL BORE</v>
      </c>
      <c r="I249" s="382"/>
      <c r="J249" s="382" t="str">
        <f>'Portefeuille SP2'!D274</f>
        <v>FRSD</v>
      </c>
      <c r="K249" s="385" t="str">
        <f>'Portefeuille SP2'!H274</f>
        <v xml:space="preserve">headlamp </v>
      </c>
      <c r="L249" s="157">
        <f>'Portefeuille SP2'!U274</f>
        <v>-5</v>
      </c>
      <c r="M249" s="386"/>
      <c r="N249" s="386"/>
      <c r="O249" s="386"/>
      <c r="P249" s="387">
        <f>'Portefeuille SP2'!M274</f>
        <v>0</v>
      </c>
      <c r="Q249" s="387"/>
      <c r="R249" s="387">
        <f>'Portefeuille SP2'!N274</f>
        <v>0</v>
      </c>
      <c r="S249" s="387"/>
      <c r="T249" s="382">
        <f>'Portefeuille SP2'!R274</f>
        <v>0</v>
      </c>
      <c r="U249" s="387">
        <f>'Portefeuille SP2'!K274</f>
        <v>0</v>
      </c>
      <c r="V249" s="399">
        <f>'Portefeuille SP2'!S274</f>
        <v>1</v>
      </c>
      <c r="W249" s="387"/>
      <c r="X249" s="387"/>
      <c r="Y249" s="387"/>
      <c r="Z249" s="387"/>
      <c r="AA249" s="387"/>
      <c r="AB249" s="387"/>
      <c r="AC249" s="387"/>
      <c r="AD249" s="387"/>
      <c r="AE249" s="400" t="str">
        <f>'Portefeuille SP2'!J274</f>
        <v>06/03/2026 LM : déjà appliqué en BDD</v>
      </c>
      <c r="AF249" s="387"/>
      <c r="AG249" s="387"/>
      <c r="AH249" s="389"/>
      <c r="AI249" s="389"/>
      <c r="AJ249" s="403">
        <f>'Portefeuille SP2'!V274</f>
        <v>1</v>
      </c>
      <c r="AK249" s="403">
        <f>'Portefeuille SP2'!W274</f>
        <v>1</v>
      </c>
      <c r="AL249" s="403">
        <f>'Portefeuille SP2'!X274</f>
        <v>1</v>
      </c>
      <c r="AM249" s="403">
        <f>'Portefeuille SP2'!Y274</f>
        <v>1</v>
      </c>
      <c r="AN249" s="403">
        <f>'Portefeuille SP2'!Z274</f>
        <v>1</v>
      </c>
      <c r="AO249" s="403">
        <f>'Portefeuille SP2'!AA274</f>
        <v>0</v>
      </c>
      <c r="AP249" s="403">
        <f>'Portefeuille SP2'!AB274</f>
        <v>0</v>
      </c>
      <c r="AQ249" s="403">
        <f>'Portefeuille SP2'!AC274</f>
        <v>0</v>
      </c>
      <c r="AR249" s="403">
        <f>'Portefeuille SP2'!AD274</f>
        <v>0</v>
      </c>
      <c r="AS249" s="403">
        <f>'Portefeuille SP2'!AE274</f>
        <v>0</v>
      </c>
      <c r="AT249" s="403">
        <f>'Portefeuille SP2'!AF274</f>
        <v>0</v>
      </c>
      <c r="AU249" s="403">
        <f>'Portefeuille SP2'!AG274</f>
        <v>0</v>
      </c>
      <c r="AV249" s="403">
        <f>'Portefeuille SP2'!AH274</f>
        <v>0</v>
      </c>
      <c r="AW249" s="403">
        <f>'Portefeuille SP2'!AI274</f>
        <v>0</v>
      </c>
      <c r="AX249" s="403">
        <f>'Portefeuille SP2'!AJ274</f>
        <v>0</v>
      </c>
      <c r="AY249" s="403">
        <f>'Portefeuille SP2'!AK274</f>
        <v>0</v>
      </c>
      <c r="AZ249" s="403">
        <f>'Portefeuille SP2'!AL274</f>
        <v>0</v>
      </c>
      <c r="BA249" s="403">
        <f>'Portefeuille SP2'!AM274</f>
        <v>0</v>
      </c>
      <c r="BB249" s="403">
        <f>'Portefeuille SP2'!AN274</f>
        <v>1</v>
      </c>
      <c r="BC249" s="403">
        <f>'Portefeuille SP2'!AO274</f>
        <v>1</v>
      </c>
      <c r="BD249" s="403">
        <f>'Portefeuille SP2'!AP274</f>
        <v>1</v>
      </c>
      <c r="BE249" s="403">
        <f>'Portefeuille SP2'!AQ274</f>
        <v>1</v>
      </c>
      <c r="BF249" s="403">
        <f>'Portefeuille SP2'!AR274</f>
        <v>1</v>
      </c>
      <c r="BG249" s="403" t="e">
        <f>'Portefeuille SP2'!#REF!</f>
        <v>#REF!</v>
      </c>
      <c r="BH249" s="403" t="e">
        <f>'Portefeuille SP2'!#REF!</f>
        <v>#REF!</v>
      </c>
      <c r="BI249" s="403" t="e">
        <f>'Portefeuille SP2'!#REF!</f>
        <v>#REF!</v>
      </c>
      <c r="BJ249" s="403" t="e">
        <f>'Portefeuille SP2'!#REF!</f>
        <v>#REF!</v>
      </c>
      <c r="BK249" s="403" t="e">
        <f>'Portefeuille SP2'!#REF!</f>
        <v>#REF!</v>
      </c>
      <c r="BL249" s="388"/>
      <c r="BM249" s="404">
        <f>'Portefeuille SP2'!L274</f>
        <v>0</v>
      </c>
    </row>
    <row r="250" spans="1:65" ht="15" customHeight="1">
      <c r="A250" s="383">
        <f>'Portefeuille SP2'!B276</f>
        <v>46078</v>
      </c>
      <c r="B250" s="390" t="str">
        <f>'Portefeuille SP2'!Q276</f>
        <v>CANCELED</v>
      </c>
      <c r="C250" s="384"/>
      <c r="D250" s="382" t="str">
        <f>'Portefeuille SP2'!E276</f>
        <v>TH</v>
      </c>
      <c r="E250" s="382" t="str">
        <f t="shared" si="21"/>
        <v>INT</v>
      </c>
      <c r="F250" s="382" t="str">
        <f t="shared" si="23"/>
        <v xml:space="preserve"> SEATS/TRIMS</v>
      </c>
      <c r="G250" s="382" t="str">
        <f>'Portefeuille SP2'!C276</f>
        <v>SP1</v>
      </c>
      <c r="H250" s="382" t="str">
        <f>'Portefeuille SP2'!F276</f>
        <v xml:space="preserve">Hugues laurant </v>
      </c>
      <c r="I250" s="382"/>
      <c r="J250" s="382" t="str">
        <f>'Portefeuille SP2'!D276</f>
        <v>INT - SEATS/TRIMS</v>
      </c>
      <c r="K250" s="385">
        <f>'Portefeuille SP2'!H276</f>
        <v>0</v>
      </c>
      <c r="L250" s="157">
        <f>'Portefeuille SP2'!U276</f>
        <v>-0.125</v>
      </c>
      <c r="M250" s="386"/>
      <c r="N250" s="386"/>
      <c r="O250" s="386"/>
      <c r="P250" s="387">
        <f>'Portefeuille SP2'!M276</f>
        <v>0</v>
      </c>
      <c r="Q250" s="387"/>
      <c r="R250" s="387">
        <f>'Portefeuille SP2'!N276</f>
        <v>0</v>
      </c>
      <c r="S250" s="387"/>
      <c r="T250" s="382">
        <f>'Portefeuille SP2'!R276</f>
        <v>0</v>
      </c>
      <c r="U250" s="387">
        <f>'Portefeuille SP2'!K276</f>
        <v>0</v>
      </c>
      <c r="V250" s="399">
        <f>'Portefeuille SP2'!S276</f>
        <v>0.25</v>
      </c>
      <c r="W250" s="387"/>
      <c r="X250" s="387"/>
      <c r="Y250" s="387"/>
      <c r="Z250" s="387"/>
      <c r="AA250" s="387"/>
      <c r="AB250" s="387"/>
      <c r="AC250" s="387"/>
      <c r="AD250" s="387"/>
      <c r="AE250" s="400">
        <f>'Portefeuille SP2'!J276</f>
        <v>0</v>
      </c>
      <c r="AF250" s="387"/>
      <c r="AG250" s="387"/>
      <c r="AH250" s="389"/>
      <c r="AI250" s="389"/>
      <c r="AJ250" s="403">
        <f>'Portefeuille SP2'!V276</f>
        <v>1</v>
      </c>
      <c r="AK250" s="403">
        <f>'Portefeuille SP2'!W276</f>
        <v>1</v>
      </c>
      <c r="AL250" s="403">
        <f>'Portefeuille SP2'!X276</f>
        <v>1</v>
      </c>
      <c r="AM250" s="403">
        <f>'Portefeuille SP2'!Y276</f>
        <v>1</v>
      </c>
      <c r="AN250" s="403">
        <f>'Portefeuille SP2'!Z276</f>
        <v>1</v>
      </c>
      <c r="AO250" s="403">
        <f>'Portefeuille SP2'!AA276</f>
        <v>0</v>
      </c>
      <c r="AP250" s="403">
        <f>'Portefeuille SP2'!AB276</f>
        <v>0</v>
      </c>
      <c r="AQ250" s="403">
        <f>'Portefeuille SP2'!AC276</f>
        <v>0</v>
      </c>
      <c r="AR250" s="403">
        <f>'Portefeuille SP2'!AD276</f>
        <v>0</v>
      </c>
      <c r="AS250" s="403">
        <f>'Portefeuille SP2'!AE276</f>
        <v>0</v>
      </c>
      <c r="AT250" s="403">
        <f>'Portefeuille SP2'!AF276</f>
        <v>0</v>
      </c>
      <c r="AU250" s="403">
        <f>'Portefeuille SP2'!AG276</f>
        <v>0</v>
      </c>
      <c r="AV250" s="403">
        <f>'Portefeuille SP2'!AH276</f>
        <v>0</v>
      </c>
      <c r="AW250" s="403">
        <f>'Portefeuille SP2'!AI276</f>
        <v>0</v>
      </c>
      <c r="AX250" s="403">
        <f>'Portefeuille SP2'!AJ276</f>
        <v>0</v>
      </c>
      <c r="AY250" s="403">
        <f>'Portefeuille SP2'!AK276</f>
        <v>0</v>
      </c>
      <c r="AZ250" s="403">
        <f>'Portefeuille SP2'!AL276</f>
        <v>0</v>
      </c>
      <c r="BA250" s="403">
        <f>'Portefeuille SP2'!AM276</f>
        <v>0</v>
      </c>
      <c r="BB250" s="403">
        <f>'Portefeuille SP2'!AN276</f>
        <v>1</v>
      </c>
      <c r="BC250" s="403">
        <f>'Portefeuille SP2'!AO276</f>
        <v>1</v>
      </c>
      <c r="BD250" s="403">
        <f>'Portefeuille SP2'!AP276</f>
        <v>1</v>
      </c>
      <c r="BE250" s="403">
        <f>'Portefeuille SP2'!AQ276</f>
        <v>1</v>
      </c>
      <c r="BF250" s="403">
        <f>'Portefeuille SP2'!AR276</f>
        <v>1</v>
      </c>
      <c r="BG250" s="403" t="e">
        <f>'Portefeuille SP2'!#REF!</f>
        <v>#REF!</v>
      </c>
      <c r="BH250" s="403" t="e">
        <f>'Portefeuille SP2'!#REF!</f>
        <v>#REF!</v>
      </c>
      <c r="BI250" s="403" t="e">
        <f>'Portefeuille SP2'!#REF!</f>
        <v>#REF!</v>
      </c>
      <c r="BJ250" s="403" t="e">
        <f>'Portefeuille SP2'!#REF!</f>
        <v>#REF!</v>
      </c>
      <c r="BK250" s="403" t="e">
        <f>'Portefeuille SP2'!#REF!</f>
        <v>#REF!</v>
      </c>
      <c r="BL250" s="388"/>
      <c r="BM250" s="404">
        <f>'Portefeuille SP2'!L276</f>
        <v>0</v>
      </c>
    </row>
    <row r="251" spans="1:65" ht="15" customHeight="1">
      <c r="A251" s="383">
        <f>'Portefeuille SP2'!B277</f>
        <v>46078</v>
      </c>
      <c r="B251" s="390" t="str">
        <f>'Portefeuille SP2'!Q277</f>
        <v>IN PROGRESS</v>
      </c>
      <c r="C251" s="384"/>
      <c r="D251" s="382" t="str">
        <f>'Portefeuille SP2'!E277</f>
        <v>PTF</v>
      </c>
      <c r="E251" s="382" t="str">
        <f t="shared" si="21"/>
        <v>BCI</v>
      </c>
      <c r="F251" s="382" t="str">
        <f t="shared" si="23"/>
        <v>HASSIS</v>
      </c>
      <c r="G251" s="382" t="str">
        <f>'Portefeuille SP2'!C277</f>
        <v>SP1</v>
      </c>
      <c r="H251" s="382" t="str">
        <f>'Portefeuille SP2'!F277</f>
        <v>FREDERIC GUINGAND</v>
      </c>
      <c r="I251" s="382"/>
      <c r="J251" s="382" t="str">
        <f>'Portefeuille SP2'!D277</f>
        <v>BCI_CHASSIS</v>
      </c>
      <c r="K251" s="385" t="str">
        <f>'Portefeuille SP2'!H277</f>
        <v xml:space="preserve">Axle </v>
      </c>
      <c r="L251" s="157">
        <f>'Portefeuille SP2'!U277</f>
        <v>0</v>
      </c>
      <c r="M251" s="386"/>
      <c r="N251" s="386"/>
      <c r="O251" s="386"/>
      <c r="P251" s="387">
        <f>'Portefeuille SP2'!M277</f>
        <v>0</v>
      </c>
      <c r="Q251" s="387"/>
      <c r="R251" s="387">
        <f>'Portefeuille SP2'!N277</f>
        <v>0</v>
      </c>
      <c r="S251" s="387"/>
      <c r="T251" s="382">
        <f>'Portefeuille SP2'!R277</f>
        <v>0</v>
      </c>
      <c r="U251" s="387">
        <f>'Portefeuille SP2'!K277</f>
        <v>0</v>
      </c>
      <c r="V251" s="399">
        <f>'Portefeuille SP2'!S277</f>
        <v>1</v>
      </c>
      <c r="W251" s="387"/>
      <c r="X251" s="387"/>
      <c r="Y251" s="387"/>
      <c r="Z251" s="387"/>
      <c r="AA251" s="387"/>
      <c r="AB251" s="387"/>
      <c r="AC251" s="387"/>
      <c r="AD251" s="387"/>
      <c r="AE251" s="400">
        <f>'Portefeuille SP2'!J277</f>
        <v>0</v>
      </c>
      <c r="AF251" s="387"/>
      <c r="AG251" s="387"/>
      <c r="AH251" s="389"/>
      <c r="AI251" s="389"/>
      <c r="AJ251" s="403">
        <f>'Portefeuille SP2'!V277</f>
        <v>1</v>
      </c>
      <c r="AK251" s="403">
        <f>'Portefeuille SP2'!W277</f>
        <v>1</v>
      </c>
      <c r="AL251" s="403">
        <f>'Portefeuille SP2'!X277</f>
        <v>1</v>
      </c>
      <c r="AM251" s="403">
        <f>'Portefeuille SP2'!Y277</f>
        <v>1</v>
      </c>
      <c r="AN251" s="403">
        <f>'Portefeuille SP2'!Z277</f>
        <v>1</v>
      </c>
      <c r="AO251" s="403">
        <f>'Portefeuille SP2'!AA277</f>
        <v>0</v>
      </c>
      <c r="AP251" s="403">
        <f>'Portefeuille SP2'!AB277</f>
        <v>0</v>
      </c>
      <c r="AQ251" s="403">
        <f>'Portefeuille SP2'!AC277</f>
        <v>0</v>
      </c>
      <c r="AR251" s="403">
        <f>'Portefeuille SP2'!AD277</f>
        <v>0</v>
      </c>
      <c r="AS251" s="403">
        <f>'Portefeuille SP2'!AE277</f>
        <v>0</v>
      </c>
      <c r="AT251" s="403">
        <f>'Portefeuille SP2'!AF277</f>
        <v>0</v>
      </c>
      <c r="AU251" s="403">
        <f>'Portefeuille SP2'!AG277</f>
        <v>0</v>
      </c>
      <c r="AV251" s="403">
        <f>'Portefeuille SP2'!AH277</f>
        <v>0</v>
      </c>
      <c r="AW251" s="403">
        <f>'Portefeuille SP2'!AI277</f>
        <v>0</v>
      </c>
      <c r="AX251" s="403">
        <f>'Portefeuille SP2'!AJ277</f>
        <v>0</v>
      </c>
      <c r="AY251" s="403">
        <f>'Portefeuille SP2'!AK277</f>
        <v>0</v>
      </c>
      <c r="AZ251" s="403">
        <f>'Portefeuille SP2'!AL277</f>
        <v>0</v>
      </c>
      <c r="BA251" s="403">
        <f>'Portefeuille SP2'!AM277</f>
        <v>0</v>
      </c>
      <c r="BB251" s="403">
        <f>'Portefeuille SP2'!AN277</f>
        <v>1</v>
      </c>
      <c r="BC251" s="403">
        <f>'Portefeuille SP2'!AO277</f>
        <v>1</v>
      </c>
      <c r="BD251" s="403">
        <f>'Portefeuille SP2'!AP277</f>
        <v>1</v>
      </c>
      <c r="BE251" s="403">
        <f>'Portefeuille SP2'!AQ277</f>
        <v>1</v>
      </c>
      <c r="BF251" s="403">
        <f>'Portefeuille SP2'!AR277</f>
        <v>1</v>
      </c>
      <c r="BG251" s="403" t="e">
        <f>'Portefeuille SP2'!#REF!</f>
        <v>#REF!</v>
      </c>
      <c r="BH251" s="403" t="e">
        <f>'Portefeuille SP2'!#REF!</f>
        <v>#REF!</v>
      </c>
      <c r="BI251" s="403" t="e">
        <f>'Portefeuille SP2'!#REF!</f>
        <v>#REF!</v>
      </c>
      <c r="BJ251" s="403" t="e">
        <f>'Portefeuille SP2'!#REF!</f>
        <v>#REF!</v>
      </c>
      <c r="BK251" s="403" t="e">
        <f>'Portefeuille SP2'!#REF!</f>
        <v>#REF!</v>
      </c>
      <c r="BL251" s="388"/>
      <c r="BM251" s="404">
        <f>'Portefeuille SP2'!L277</f>
        <v>0</v>
      </c>
    </row>
    <row r="252" spans="1:65" ht="15" customHeight="1">
      <c r="A252" s="383">
        <f>'Portefeuille SP2'!B278</f>
        <v>46078</v>
      </c>
      <c r="B252" s="390" t="str">
        <f>'Portefeuille SP2'!Q278</f>
        <v>IN PROGRESS</v>
      </c>
      <c r="C252" s="384"/>
      <c r="D252" s="382" t="str">
        <f>'Portefeuille SP2'!E278</f>
        <v>PTF</v>
      </c>
      <c r="E252" s="382" t="str">
        <f t="shared" si="21"/>
        <v>BCI</v>
      </c>
      <c r="F252" s="382" t="str">
        <f t="shared" si="23"/>
        <v>HASSIS</v>
      </c>
      <c r="G252" s="382" t="str">
        <f>'Portefeuille SP2'!C278</f>
        <v>SP1</v>
      </c>
      <c r="H252" s="382" t="str">
        <f>'Portefeuille SP2'!F278</f>
        <v>FREDERIC GUINGAND</v>
      </c>
      <c r="I252" s="382"/>
      <c r="J252" s="382" t="str">
        <f>'Portefeuille SP2'!D278</f>
        <v>BCI_CHASSIS</v>
      </c>
      <c r="K252" s="385" t="str">
        <f>'Portefeuille SP2'!H278</f>
        <v>antitheft steering</v>
      </c>
      <c r="L252" s="157">
        <f>'Portefeuille SP2'!U278</f>
        <v>0</v>
      </c>
      <c r="M252" s="386"/>
      <c r="N252" s="386"/>
      <c r="O252" s="386"/>
      <c r="P252" s="387">
        <f>'Portefeuille SP2'!M278</f>
        <v>0</v>
      </c>
      <c r="Q252" s="387"/>
      <c r="R252" s="387">
        <f>'Portefeuille SP2'!N278</f>
        <v>0</v>
      </c>
      <c r="S252" s="387"/>
      <c r="T252" s="382">
        <f>'Portefeuille SP2'!R278</f>
        <v>0</v>
      </c>
      <c r="U252" s="387">
        <f>'Portefeuille SP2'!K278</f>
        <v>0</v>
      </c>
      <c r="V252" s="399">
        <f>'Portefeuille SP2'!S278</f>
        <v>1</v>
      </c>
      <c r="W252" s="387"/>
      <c r="X252" s="387"/>
      <c r="Y252" s="387"/>
      <c r="Z252" s="387"/>
      <c r="AA252" s="387"/>
      <c r="AB252" s="387"/>
      <c r="AC252" s="387"/>
      <c r="AD252" s="387"/>
      <c r="AE252" s="400">
        <f>'Portefeuille SP2'!J278</f>
        <v>0</v>
      </c>
      <c r="AF252" s="387"/>
      <c r="AG252" s="387"/>
      <c r="AH252" s="389"/>
      <c r="AI252" s="389"/>
      <c r="AJ252" s="403">
        <f>'Portefeuille SP2'!V278</f>
        <v>1</v>
      </c>
      <c r="AK252" s="403">
        <f>'Portefeuille SP2'!W278</f>
        <v>1</v>
      </c>
      <c r="AL252" s="403">
        <f>'Portefeuille SP2'!X278</f>
        <v>1</v>
      </c>
      <c r="AM252" s="403">
        <f>'Portefeuille SP2'!Y278</f>
        <v>1</v>
      </c>
      <c r="AN252" s="403">
        <f>'Portefeuille SP2'!Z278</f>
        <v>1</v>
      </c>
      <c r="AO252" s="403">
        <f>'Portefeuille SP2'!AA278</f>
        <v>0</v>
      </c>
      <c r="AP252" s="403">
        <f>'Portefeuille SP2'!AB278</f>
        <v>0</v>
      </c>
      <c r="AQ252" s="403">
        <f>'Portefeuille SP2'!AC278</f>
        <v>0</v>
      </c>
      <c r="AR252" s="403">
        <f>'Portefeuille SP2'!AD278</f>
        <v>0</v>
      </c>
      <c r="AS252" s="403">
        <f>'Portefeuille SP2'!AE278</f>
        <v>0</v>
      </c>
      <c r="AT252" s="403">
        <f>'Portefeuille SP2'!AF278</f>
        <v>0</v>
      </c>
      <c r="AU252" s="403">
        <f>'Portefeuille SP2'!AG278</f>
        <v>0</v>
      </c>
      <c r="AV252" s="403">
        <f>'Portefeuille SP2'!AH278</f>
        <v>0</v>
      </c>
      <c r="AW252" s="403">
        <f>'Portefeuille SP2'!AI278</f>
        <v>0</v>
      </c>
      <c r="AX252" s="403">
        <f>'Portefeuille SP2'!AJ278</f>
        <v>0</v>
      </c>
      <c r="AY252" s="403">
        <f>'Portefeuille SP2'!AK278</f>
        <v>0</v>
      </c>
      <c r="AZ252" s="403">
        <f>'Portefeuille SP2'!AL278</f>
        <v>0</v>
      </c>
      <c r="BA252" s="403">
        <f>'Portefeuille SP2'!AM278</f>
        <v>0</v>
      </c>
      <c r="BB252" s="403">
        <f>'Portefeuille SP2'!AN278</f>
        <v>1</v>
      </c>
      <c r="BC252" s="403">
        <f>'Portefeuille SP2'!AO278</f>
        <v>1</v>
      </c>
      <c r="BD252" s="403">
        <f>'Portefeuille SP2'!AP278</f>
        <v>1</v>
      </c>
      <c r="BE252" s="403">
        <f>'Portefeuille SP2'!AQ278</f>
        <v>1</v>
      </c>
      <c r="BF252" s="403">
        <f>'Portefeuille SP2'!AR278</f>
        <v>1</v>
      </c>
      <c r="BG252" s="403" t="e">
        <f>'Portefeuille SP2'!#REF!</f>
        <v>#REF!</v>
      </c>
      <c r="BH252" s="403" t="e">
        <f>'Portefeuille SP2'!#REF!</f>
        <v>#REF!</v>
      </c>
      <c r="BI252" s="403" t="e">
        <f>'Portefeuille SP2'!#REF!</f>
        <v>#REF!</v>
      </c>
      <c r="BJ252" s="403" t="e">
        <f>'Portefeuille SP2'!#REF!</f>
        <v>#REF!</v>
      </c>
      <c r="BK252" s="403" t="e">
        <f>'Portefeuille SP2'!#REF!</f>
        <v>#REF!</v>
      </c>
      <c r="BL252" s="388"/>
      <c r="BM252" s="404">
        <f>'Portefeuille SP2'!L278</f>
        <v>0</v>
      </c>
    </row>
    <row r="253" spans="1:65" ht="15" customHeight="1">
      <c r="A253" s="383">
        <f>'Portefeuille SP2'!B279</f>
        <v>46078</v>
      </c>
      <c r="B253" s="390" t="str">
        <f>'Portefeuille SP2'!Q279</f>
        <v>CANCELED</v>
      </c>
      <c r="C253" s="384"/>
      <c r="D253" s="382" t="str">
        <f>'Portefeuille SP2'!E279</f>
        <v>TH</v>
      </c>
      <c r="E253" s="382" t="str">
        <f t="shared" si="21"/>
        <v>DIW</v>
      </c>
      <c r="F253" s="382" t="str">
        <f t="shared" si="23"/>
        <v/>
      </c>
      <c r="G253" s="382" t="str">
        <f>'Portefeuille SP2'!C279</f>
        <v>SP1</v>
      </c>
      <c r="H253" s="382" t="str">
        <f>'Portefeuille SP2'!F279</f>
        <v>Damien Demougeot/
Cyrille P1X</v>
      </c>
      <c r="I253" s="382"/>
      <c r="J253" s="382" t="str">
        <f>'Portefeuille SP2'!D279</f>
        <v xml:space="preserve">DIW </v>
      </c>
      <c r="K253" s="385">
        <f>'Portefeuille SP2'!H279</f>
        <v>0</v>
      </c>
      <c r="L253" s="157">
        <f>'Portefeuille SP2'!U279</f>
        <v>0</v>
      </c>
      <c r="M253" s="386"/>
      <c r="N253" s="386"/>
      <c r="O253" s="386"/>
      <c r="P253" s="387">
        <f>'Portefeuille SP2'!M279</f>
        <v>0</v>
      </c>
      <c r="Q253" s="387"/>
      <c r="R253" s="387">
        <f>'Portefeuille SP2'!N279</f>
        <v>0</v>
      </c>
      <c r="S253" s="387"/>
      <c r="T253" s="382">
        <f>'Portefeuille SP2'!R279</f>
        <v>0</v>
      </c>
      <c r="U253" s="387">
        <f>'Portefeuille SP2'!K279</f>
        <v>0</v>
      </c>
      <c r="V253" s="399">
        <f>'Portefeuille SP2'!S279</f>
        <v>1</v>
      </c>
      <c r="W253" s="387"/>
      <c r="X253" s="387"/>
      <c r="Y253" s="387"/>
      <c r="Z253" s="387"/>
      <c r="AA253" s="387"/>
      <c r="AB253" s="387"/>
      <c r="AC253" s="387"/>
      <c r="AD253" s="387"/>
      <c r="AE253" s="400">
        <f>'Portefeuille SP2'!J279</f>
        <v>0</v>
      </c>
      <c r="AF253" s="387"/>
      <c r="AG253" s="387"/>
      <c r="AH253" s="389"/>
      <c r="AI253" s="389"/>
      <c r="AJ253" s="403">
        <f>'Portefeuille SP2'!V279</f>
        <v>1</v>
      </c>
      <c r="AK253" s="403">
        <f>'Portefeuille SP2'!W279</f>
        <v>1</v>
      </c>
      <c r="AL253" s="403">
        <f>'Portefeuille SP2'!X279</f>
        <v>1</v>
      </c>
      <c r="AM253" s="403">
        <f>'Portefeuille SP2'!Y279</f>
        <v>1</v>
      </c>
      <c r="AN253" s="403">
        <f>'Portefeuille SP2'!Z279</f>
        <v>1</v>
      </c>
      <c r="AO253" s="403">
        <f>'Portefeuille SP2'!AA279</f>
        <v>0</v>
      </c>
      <c r="AP253" s="403">
        <f>'Portefeuille SP2'!AB279</f>
        <v>0</v>
      </c>
      <c r="AQ253" s="403">
        <f>'Portefeuille SP2'!AC279</f>
        <v>0</v>
      </c>
      <c r="AR253" s="403">
        <f>'Portefeuille SP2'!AD279</f>
        <v>0</v>
      </c>
      <c r="AS253" s="403">
        <f>'Portefeuille SP2'!AE279</f>
        <v>0</v>
      </c>
      <c r="AT253" s="403">
        <f>'Portefeuille SP2'!AF279</f>
        <v>0</v>
      </c>
      <c r="AU253" s="403">
        <f>'Portefeuille SP2'!AG279</f>
        <v>0</v>
      </c>
      <c r="AV253" s="403">
        <f>'Portefeuille SP2'!AH279</f>
        <v>0</v>
      </c>
      <c r="AW253" s="403">
        <f>'Portefeuille SP2'!AI279</f>
        <v>0</v>
      </c>
      <c r="AX253" s="403">
        <f>'Portefeuille SP2'!AJ279</f>
        <v>0</v>
      </c>
      <c r="AY253" s="403">
        <f>'Portefeuille SP2'!AK279</f>
        <v>0</v>
      </c>
      <c r="AZ253" s="403">
        <f>'Portefeuille SP2'!AL279</f>
        <v>0</v>
      </c>
      <c r="BA253" s="403">
        <f>'Portefeuille SP2'!AM279</f>
        <v>0</v>
      </c>
      <c r="BB253" s="403">
        <f>'Portefeuille SP2'!AN279</f>
        <v>0</v>
      </c>
      <c r="BC253" s="403">
        <f>'Portefeuille SP2'!AO279</f>
        <v>0</v>
      </c>
      <c r="BD253" s="403">
        <f>'Portefeuille SP2'!AP279</f>
        <v>0</v>
      </c>
      <c r="BE253" s="403">
        <f>'Portefeuille SP2'!AQ279</f>
        <v>0</v>
      </c>
      <c r="BF253" s="403">
        <f>'Portefeuille SP2'!AR279</f>
        <v>0</v>
      </c>
      <c r="BG253" s="403" t="e">
        <f>'Portefeuille SP2'!#REF!</f>
        <v>#REF!</v>
      </c>
      <c r="BH253" s="403" t="e">
        <f>'Portefeuille SP2'!#REF!</f>
        <v>#REF!</v>
      </c>
      <c r="BI253" s="403" t="e">
        <f>'Portefeuille SP2'!#REF!</f>
        <v>#REF!</v>
      </c>
      <c r="BJ253" s="403" t="e">
        <f>'Portefeuille SP2'!#REF!</f>
        <v>#REF!</v>
      </c>
      <c r="BK253" s="403" t="e">
        <f>'Portefeuille SP2'!#REF!</f>
        <v>#REF!</v>
      </c>
      <c r="BL253" s="388"/>
      <c r="BM253" s="404">
        <f>'Portefeuille SP2'!L279</f>
        <v>0</v>
      </c>
    </row>
    <row r="254" spans="1:65" ht="15" customHeight="1">
      <c r="A254" s="383">
        <f>'Portefeuille SP2'!B280</f>
        <v>46078</v>
      </c>
      <c r="B254" s="390" t="str">
        <f>'Portefeuille SP2'!Q280</f>
        <v>IN PROGRESS</v>
      </c>
      <c r="C254" s="384"/>
      <c r="D254" s="382" t="str">
        <f>'Portefeuille SP2'!E280</f>
        <v>PTF</v>
      </c>
      <c r="E254" s="382" t="str">
        <f t="shared" si="21"/>
        <v>SWX</v>
      </c>
      <c r="F254" s="382" t="str">
        <f t="shared" si="23"/>
        <v>E</v>
      </c>
      <c r="G254" s="382" t="str">
        <f>'Portefeuille SP2'!C280</f>
        <v>SP1</v>
      </c>
      <c r="H254" s="382">
        <f>'Portefeuille SP2'!F280</f>
        <v>0</v>
      </c>
      <c r="I254" s="382"/>
      <c r="J254" s="382" t="str">
        <f>'Portefeuille SP2'!D280</f>
        <v>SWX/EE</v>
      </c>
      <c r="K254" s="385" t="str">
        <f>'Portefeuille SP2'!H280</f>
        <v xml:space="preserve">12V battery </v>
      </c>
      <c r="L254" s="157">
        <f>'Portefeuille SP2'!U280</f>
        <v>14</v>
      </c>
      <c r="M254" s="386"/>
      <c r="N254" s="386"/>
      <c r="O254" s="386"/>
      <c r="P254" s="387">
        <f>'Portefeuille SP2'!M280</f>
        <v>0</v>
      </c>
      <c r="Q254" s="387"/>
      <c r="R254" s="387">
        <f>'Portefeuille SP2'!N280</f>
        <v>0</v>
      </c>
      <c r="S254" s="387"/>
      <c r="T254" s="382">
        <f>'Portefeuille SP2'!R280</f>
        <v>0</v>
      </c>
      <c r="U254" s="387">
        <f>'Portefeuille SP2'!K280</f>
        <v>0</v>
      </c>
      <c r="V254" s="399">
        <f>'Portefeuille SP2'!S280</f>
        <v>1</v>
      </c>
      <c r="W254" s="387"/>
      <c r="X254" s="387"/>
      <c r="Y254" s="387"/>
      <c r="Z254" s="387"/>
      <c r="AA254" s="387"/>
      <c r="AB254" s="387"/>
      <c r="AC254" s="387"/>
      <c r="AD254" s="387"/>
      <c r="AE254" s="400">
        <f>'Portefeuille SP2'!J280</f>
        <v>0</v>
      </c>
      <c r="AF254" s="387"/>
      <c r="AG254" s="387"/>
      <c r="AH254" s="389"/>
      <c r="AI254" s="389"/>
      <c r="AJ254" s="403">
        <f>'Portefeuille SP2'!V280</f>
        <v>1</v>
      </c>
      <c r="AK254" s="403">
        <f>'Portefeuille SP2'!W280</f>
        <v>1</v>
      </c>
      <c r="AL254" s="403">
        <f>'Portefeuille SP2'!X280</f>
        <v>1</v>
      </c>
      <c r="AM254" s="403">
        <f>'Portefeuille SP2'!Y280</f>
        <v>1</v>
      </c>
      <c r="AN254" s="403">
        <f>'Portefeuille SP2'!Z280</f>
        <v>1</v>
      </c>
      <c r="AO254" s="403">
        <f>'Portefeuille SP2'!AA280</f>
        <v>0</v>
      </c>
      <c r="AP254" s="403">
        <f>'Portefeuille SP2'!AB280</f>
        <v>0</v>
      </c>
      <c r="AQ254" s="403">
        <f>'Portefeuille SP2'!AC280</f>
        <v>0</v>
      </c>
      <c r="AR254" s="403">
        <f>'Portefeuille SP2'!AD280</f>
        <v>0</v>
      </c>
      <c r="AS254" s="403">
        <f>'Portefeuille SP2'!AE280</f>
        <v>0</v>
      </c>
      <c r="AT254" s="403">
        <f>'Portefeuille SP2'!AF280</f>
        <v>0</v>
      </c>
      <c r="AU254" s="403">
        <f>'Portefeuille SP2'!AG280</f>
        <v>0</v>
      </c>
      <c r="AV254" s="403">
        <f>'Portefeuille SP2'!AH280</f>
        <v>0</v>
      </c>
      <c r="AW254" s="403">
        <f>'Portefeuille SP2'!AI280</f>
        <v>0</v>
      </c>
      <c r="AX254" s="403">
        <f>'Portefeuille SP2'!AJ280</f>
        <v>0</v>
      </c>
      <c r="AY254" s="403">
        <f>'Portefeuille SP2'!AK280</f>
        <v>0</v>
      </c>
      <c r="AZ254" s="403">
        <f>'Portefeuille SP2'!AL280</f>
        <v>0</v>
      </c>
      <c r="BA254" s="403">
        <f>'Portefeuille SP2'!AM280</f>
        <v>0</v>
      </c>
      <c r="BB254" s="403">
        <f>'Portefeuille SP2'!AN280</f>
        <v>0</v>
      </c>
      <c r="BC254" s="403">
        <f>'Portefeuille SP2'!AO280</f>
        <v>0</v>
      </c>
      <c r="BD254" s="403">
        <f>'Portefeuille SP2'!AP280</f>
        <v>0</v>
      </c>
      <c r="BE254" s="403">
        <f>'Portefeuille SP2'!AQ280</f>
        <v>1</v>
      </c>
      <c r="BF254" s="403">
        <f>'Portefeuille SP2'!AR280</f>
        <v>1</v>
      </c>
      <c r="BG254" s="403" t="e">
        <f>'Portefeuille SP2'!#REF!</f>
        <v>#REF!</v>
      </c>
      <c r="BH254" s="403" t="e">
        <f>'Portefeuille SP2'!#REF!</f>
        <v>#REF!</v>
      </c>
      <c r="BI254" s="403" t="e">
        <f>'Portefeuille SP2'!#REF!</f>
        <v>#REF!</v>
      </c>
      <c r="BJ254" s="403" t="e">
        <f>'Portefeuille SP2'!#REF!</f>
        <v>#REF!</v>
      </c>
      <c r="BK254" s="403" t="e">
        <f>'Portefeuille SP2'!#REF!</f>
        <v>#REF!</v>
      </c>
      <c r="BL254" s="388"/>
      <c r="BM254" s="404">
        <f>'Portefeuille SP2'!L280</f>
        <v>0</v>
      </c>
    </row>
    <row r="255" spans="1:65" ht="15" customHeight="1">
      <c r="A255" s="383">
        <f>'Portefeuille SP2'!B281</f>
        <v>46078</v>
      </c>
      <c r="B255" s="390" t="str">
        <f>'Portefeuille SP2'!Q281</f>
        <v>CANCELED</v>
      </c>
      <c r="C255" s="384"/>
      <c r="D255" s="382" t="str">
        <f>'Portefeuille SP2'!E281</f>
        <v>TH</v>
      </c>
      <c r="E255" s="382" t="str">
        <f t="shared" si="21"/>
        <v>INT</v>
      </c>
      <c r="F255" s="382" t="str">
        <f t="shared" si="23"/>
        <v xml:space="preserve"> SEATS/TRIMS</v>
      </c>
      <c r="G255" s="382" t="str">
        <f>'Portefeuille SP2'!C281</f>
        <v>SPC_1</v>
      </c>
      <c r="H255" s="382" t="str">
        <f>'Portefeuille SP2'!F281</f>
        <v>HALIM</v>
      </c>
      <c r="I255" s="382"/>
      <c r="J255" s="382" t="str">
        <f>'Portefeuille SP2'!D281</f>
        <v>INT - SEATS/TRIMS</v>
      </c>
      <c r="K255" s="385" t="str">
        <f>'Portefeuille SP2'!H281</f>
        <v>Carpet insulation</v>
      </c>
      <c r="L255" s="157">
        <f>'Portefeuille SP2'!U281</f>
        <v>0</v>
      </c>
      <c r="M255" s="386"/>
      <c r="N255" s="386"/>
      <c r="O255" s="386"/>
      <c r="P255" s="387">
        <f>'Portefeuille SP2'!M281</f>
        <v>0</v>
      </c>
      <c r="Q255" s="387"/>
      <c r="R255" s="387">
        <f>'Portefeuille SP2'!N281</f>
        <v>0</v>
      </c>
      <c r="S255" s="387"/>
      <c r="T255" s="382">
        <f>'Portefeuille SP2'!R281</f>
        <v>0</v>
      </c>
      <c r="U255" s="387">
        <f>'Portefeuille SP2'!K281</f>
        <v>0</v>
      </c>
      <c r="V255" s="399">
        <f>'Portefeuille SP2'!S281</f>
        <v>1</v>
      </c>
      <c r="W255" s="387"/>
      <c r="X255" s="387"/>
      <c r="Y255" s="387"/>
      <c r="Z255" s="387"/>
      <c r="AA255" s="387"/>
      <c r="AB255" s="387"/>
      <c r="AC255" s="387"/>
      <c r="AD255" s="387"/>
      <c r="AE255" s="400">
        <f>'Portefeuille SP2'!J281</f>
        <v>0</v>
      </c>
      <c r="AF255" s="387"/>
      <c r="AG255" s="387"/>
      <c r="AH255" s="389"/>
      <c r="AI255" s="389"/>
      <c r="AJ255" s="403">
        <f>'Portefeuille SP2'!V281</f>
        <v>1</v>
      </c>
      <c r="AK255" s="403">
        <f>'Portefeuille SP2'!W281</f>
        <v>1</v>
      </c>
      <c r="AL255" s="403">
        <f>'Portefeuille SP2'!X281</f>
        <v>1</v>
      </c>
      <c r="AM255" s="403">
        <f>'Portefeuille SP2'!Y281</f>
        <v>1</v>
      </c>
      <c r="AN255" s="403">
        <f>'Portefeuille SP2'!Z281</f>
        <v>1</v>
      </c>
      <c r="AO255" s="403">
        <f>'Portefeuille SP2'!AA281</f>
        <v>0</v>
      </c>
      <c r="AP255" s="403">
        <f>'Portefeuille SP2'!AB281</f>
        <v>0</v>
      </c>
      <c r="AQ255" s="403">
        <f>'Portefeuille SP2'!AC281</f>
        <v>0</v>
      </c>
      <c r="AR255" s="403">
        <f>'Portefeuille SP2'!AD281</f>
        <v>0</v>
      </c>
      <c r="AS255" s="403">
        <f>'Portefeuille SP2'!AE281</f>
        <v>0</v>
      </c>
      <c r="AT255" s="403">
        <f>'Portefeuille SP2'!AF281</f>
        <v>0</v>
      </c>
      <c r="AU255" s="403">
        <f>'Portefeuille SP2'!AG281</f>
        <v>0</v>
      </c>
      <c r="AV255" s="403">
        <f>'Portefeuille SP2'!AH281</f>
        <v>0</v>
      </c>
      <c r="AW255" s="403">
        <f>'Portefeuille SP2'!AI281</f>
        <v>0</v>
      </c>
      <c r="AX255" s="403">
        <f>'Portefeuille SP2'!AJ281</f>
        <v>0</v>
      </c>
      <c r="AY255" s="403">
        <f>'Portefeuille SP2'!AK281</f>
        <v>0</v>
      </c>
      <c r="AZ255" s="403">
        <f>'Portefeuille SP2'!AL281</f>
        <v>0</v>
      </c>
      <c r="BA255" s="403">
        <f>'Portefeuille SP2'!AM281</f>
        <v>0</v>
      </c>
      <c r="BB255" s="403">
        <f>'Portefeuille SP2'!AN281</f>
        <v>0</v>
      </c>
      <c r="BC255" s="403">
        <f>'Portefeuille SP2'!AO281</f>
        <v>0</v>
      </c>
      <c r="BD255" s="403">
        <f>'Portefeuille SP2'!AP281</f>
        <v>0</v>
      </c>
      <c r="BE255" s="403">
        <f>'Portefeuille SP2'!AQ281</f>
        <v>1</v>
      </c>
      <c r="BF255" s="403">
        <f>'Portefeuille SP2'!AR281</f>
        <v>1</v>
      </c>
      <c r="BG255" s="403" t="e">
        <f>'Portefeuille SP2'!#REF!</f>
        <v>#REF!</v>
      </c>
      <c r="BH255" s="403" t="e">
        <f>'Portefeuille SP2'!#REF!</f>
        <v>#REF!</v>
      </c>
      <c r="BI255" s="403" t="e">
        <f>'Portefeuille SP2'!#REF!</f>
        <v>#REF!</v>
      </c>
      <c r="BJ255" s="403" t="e">
        <f>'Portefeuille SP2'!#REF!</f>
        <v>#REF!</v>
      </c>
      <c r="BK255" s="403" t="e">
        <f>'Portefeuille SP2'!#REF!</f>
        <v>#REF!</v>
      </c>
      <c r="BL255" s="388"/>
      <c r="BM255" s="404">
        <f>'Portefeuille SP2'!L281</f>
        <v>0</v>
      </c>
    </row>
    <row r="256" spans="1:65" ht="15" customHeight="1">
      <c r="A256" s="383">
        <f>'Portefeuille SP2'!B282</f>
        <v>46078</v>
      </c>
      <c r="B256" s="390" t="str">
        <f>'Portefeuille SP2'!Q282</f>
        <v>IN PROGRESS</v>
      </c>
      <c r="C256" s="384"/>
      <c r="D256" s="382" t="str">
        <f>'Portefeuille SP2'!E282</f>
        <v>PTF</v>
      </c>
      <c r="E256" s="382" t="str">
        <f t="shared" si="21"/>
        <v>SWX</v>
      </c>
      <c r="F256" s="382" t="str">
        <f t="shared" si="23"/>
        <v>E</v>
      </c>
      <c r="G256" s="382" t="str">
        <f>'Portefeuille SP2'!C282</f>
        <v>SP1</v>
      </c>
      <c r="H256" s="382">
        <f>'Portefeuille SP2'!F282</f>
        <v>0</v>
      </c>
      <c r="I256" s="382"/>
      <c r="J256" s="382" t="str">
        <f>'Portefeuille SP2'!D282</f>
        <v>SWX/EE</v>
      </c>
      <c r="K256" s="385" t="str">
        <f>'Portefeuille SP2'!H282</f>
        <v xml:space="preserve">12V battery </v>
      </c>
      <c r="L256" s="157">
        <f>'Portefeuille SP2'!U282</f>
        <v>-17</v>
      </c>
      <c r="M256" s="386"/>
      <c r="N256" s="386"/>
      <c r="O256" s="386"/>
      <c r="P256" s="387">
        <f>'Portefeuille SP2'!M282</f>
        <v>0</v>
      </c>
      <c r="Q256" s="387"/>
      <c r="R256" s="387">
        <f>'Portefeuille SP2'!N282</f>
        <v>0</v>
      </c>
      <c r="S256" s="387"/>
      <c r="T256" s="382">
        <f>'Portefeuille SP2'!R282</f>
        <v>0</v>
      </c>
      <c r="U256" s="387">
        <f>'Portefeuille SP2'!K282</f>
        <v>0</v>
      </c>
      <c r="V256" s="399">
        <f>'Portefeuille SP2'!S282</f>
        <v>1</v>
      </c>
      <c r="W256" s="387"/>
      <c r="X256" s="387"/>
      <c r="Y256" s="387"/>
      <c r="Z256" s="387"/>
      <c r="AA256" s="387"/>
      <c r="AB256" s="387"/>
      <c r="AC256" s="387"/>
      <c r="AD256" s="387"/>
      <c r="AE256" s="400">
        <f>'Portefeuille SP2'!J282</f>
        <v>0</v>
      </c>
      <c r="AF256" s="387"/>
      <c r="AG256" s="387"/>
      <c r="AH256" s="389"/>
      <c r="AI256" s="389"/>
      <c r="AJ256" s="403">
        <f>'Portefeuille SP2'!V282</f>
        <v>1</v>
      </c>
      <c r="AK256" s="403">
        <f>'Portefeuille SP2'!W282</f>
        <v>1</v>
      </c>
      <c r="AL256" s="403">
        <f>'Portefeuille SP2'!X282</f>
        <v>1</v>
      </c>
      <c r="AM256" s="403">
        <f>'Portefeuille SP2'!Y282</f>
        <v>1</v>
      </c>
      <c r="AN256" s="403">
        <f>'Portefeuille SP2'!Z282</f>
        <v>1</v>
      </c>
      <c r="AO256" s="403">
        <f>'Portefeuille SP2'!AA282</f>
        <v>0</v>
      </c>
      <c r="AP256" s="403">
        <f>'Portefeuille SP2'!AB282</f>
        <v>0</v>
      </c>
      <c r="AQ256" s="403">
        <f>'Portefeuille SP2'!AC282</f>
        <v>0</v>
      </c>
      <c r="AR256" s="403">
        <f>'Portefeuille SP2'!AD282</f>
        <v>0</v>
      </c>
      <c r="AS256" s="403">
        <f>'Portefeuille SP2'!AE282</f>
        <v>0</v>
      </c>
      <c r="AT256" s="403">
        <f>'Portefeuille SP2'!AF282</f>
        <v>0</v>
      </c>
      <c r="AU256" s="403">
        <f>'Portefeuille SP2'!AG282</f>
        <v>0</v>
      </c>
      <c r="AV256" s="403">
        <f>'Portefeuille SP2'!AH282</f>
        <v>0</v>
      </c>
      <c r="AW256" s="403">
        <f>'Portefeuille SP2'!AI282</f>
        <v>0</v>
      </c>
      <c r="AX256" s="403">
        <f>'Portefeuille SP2'!AJ282</f>
        <v>0</v>
      </c>
      <c r="AY256" s="403">
        <f>'Portefeuille SP2'!AK282</f>
        <v>0</v>
      </c>
      <c r="AZ256" s="403">
        <f>'Portefeuille SP2'!AL282</f>
        <v>0</v>
      </c>
      <c r="BA256" s="403">
        <f>'Portefeuille SP2'!AM282</f>
        <v>0</v>
      </c>
      <c r="BB256" s="403">
        <f>'Portefeuille SP2'!AN282</f>
        <v>0</v>
      </c>
      <c r="BC256" s="403">
        <f>'Portefeuille SP2'!AO282</f>
        <v>0</v>
      </c>
      <c r="BD256" s="403">
        <f>'Portefeuille SP2'!AP282</f>
        <v>0</v>
      </c>
      <c r="BE256" s="403">
        <f>'Portefeuille SP2'!AQ282</f>
        <v>1</v>
      </c>
      <c r="BF256" s="403">
        <f>'Portefeuille SP2'!AR282</f>
        <v>1</v>
      </c>
      <c r="BG256" s="403" t="e">
        <f>'Portefeuille SP2'!#REF!</f>
        <v>#REF!</v>
      </c>
      <c r="BH256" s="403" t="e">
        <f>'Portefeuille SP2'!#REF!</f>
        <v>#REF!</v>
      </c>
      <c r="BI256" s="403" t="e">
        <f>'Portefeuille SP2'!#REF!</f>
        <v>#REF!</v>
      </c>
      <c r="BJ256" s="403" t="e">
        <f>'Portefeuille SP2'!#REF!</f>
        <v>#REF!</v>
      </c>
      <c r="BK256" s="403" t="e">
        <f>'Portefeuille SP2'!#REF!</f>
        <v>#REF!</v>
      </c>
      <c r="BL256" s="388"/>
      <c r="BM256" s="404">
        <f>'Portefeuille SP2'!L282</f>
        <v>0</v>
      </c>
    </row>
    <row r="257" spans="1:65" ht="15" customHeight="1">
      <c r="A257" s="383">
        <f>'Portefeuille SP2'!B283</f>
        <v>46078</v>
      </c>
      <c r="B257" s="390" t="str">
        <f>'Portefeuille SP2'!Q283</f>
        <v>DECIDED</v>
      </c>
      <c r="C257" s="384"/>
      <c r="D257" s="382" t="str">
        <f>'Portefeuille SP2'!E283</f>
        <v>TH</v>
      </c>
      <c r="E257" s="382" t="str">
        <f t="shared" si="21"/>
        <v>DIW</v>
      </c>
      <c r="F257" s="382" t="str">
        <f t="shared" si="23"/>
        <v/>
      </c>
      <c r="G257" s="382" t="str">
        <f>'Portefeuille SP2'!C283</f>
        <v>SPC_1</v>
      </c>
      <c r="H257" s="382" t="str">
        <f>'Portefeuille SP2'!F283</f>
        <v>Damien Demougeot</v>
      </c>
      <c r="I257" s="382"/>
      <c r="J257" s="382" t="str">
        <f>'Portefeuille SP2'!D283</f>
        <v>DIW</v>
      </c>
      <c r="K257" s="385" t="str">
        <f>'Portefeuille SP2'!H283</f>
        <v>optim design</v>
      </c>
      <c r="L257" s="157">
        <f>'Portefeuille SP2'!U283</f>
        <v>-0.5</v>
      </c>
      <c r="M257" s="386"/>
      <c r="N257" s="386"/>
      <c r="O257" s="386"/>
      <c r="P257" s="387">
        <f>'Portefeuille SP2'!M283</f>
        <v>0</v>
      </c>
      <c r="Q257" s="387"/>
      <c r="R257" s="387">
        <f>'Portefeuille SP2'!N283</f>
        <v>0</v>
      </c>
      <c r="S257" s="387"/>
      <c r="T257" s="382">
        <f>'Portefeuille SP2'!R283</f>
        <v>0</v>
      </c>
      <c r="U257" s="387">
        <f>'Portefeuille SP2'!K283</f>
        <v>0</v>
      </c>
      <c r="V257" s="399">
        <f>'Portefeuille SP2'!S283</f>
        <v>1</v>
      </c>
      <c r="W257" s="387"/>
      <c r="X257" s="387"/>
      <c r="Y257" s="387"/>
      <c r="Z257" s="387"/>
      <c r="AA257" s="387"/>
      <c r="AB257" s="387"/>
      <c r="AC257" s="387"/>
      <c r="AD257" s="387"/>
      <c r="AE257" s="400" t="str">
        <f>'Portefeuille SP2'!J283</f>
        <v>13/03/2026 LM BDD à Jour
27/02/2026 LM
BDD à mettre à jour</v>
      </c>
      <c r="AF257" s="387"/>
      <c r="AG257" s="387"/>
      <c r="AH257" s="389"/>
      <c r="AI257" s="389"/>
      <c r="AJ257" s="403">
        <f>'Portefeuille SP2'!V283</f>
        <v>0</v>
      </c>
      <c r="AK257" s="403">
        <f>'Portefeuille SP2'!W283</f>
        <v>0</v>
      </c>
      <c r="AL257" s="403">
        <f>'Portefeuille SP2'!X283</f>
        <v>0</v>
      </c>
      <c r="AM257" s="403">
        <f>'Portefeuille SP2'!Y283</f>
        <v>0</v>
      </c>
      <c r="AN257" s="403">
        <f>'Portefeuille SP2'!Z283</f>
        <v>0</v>
      </c>
      <c r="AO257" s="403">
        <f>'Portefeuille SP2'!AA283</f>
        <v>0</v>
      </c>
      <c r="AP257" s="403">
        <f>'Portefeuille SP2'!AB283</f>
        <v>0</v>
      </c>
      <c r="AQ257" s="403">
        <f>'Portefeuille SP2'!AC283</f>
        <v>0</v>
      </c>
      <c r="AR257" s="403">
        <f>'Portefeuille SP2'!AD283</f>
        <v>0</v>
      </c>
      <c r="AS257" s="403">
        <f>'Portefeuille SP2'!AE283</f>
        <v>0</v>
      </c>
      <c r="AT257" s="403">
        <f>'Portefeuille SP2'!AF283</f>
        <v>0</v>
      </c>
      <c r="AU257" s="403">
        <f>'Portefeuille SP2'!AG283</f>
        <v>0</v>
      </c>
      <c r="AV257" s="403">
        <f>'Portefeuille SP2'!AH283</f>
        <v>0</v>
      </c>
      <c r="AW257" s="403">
        <f>'Portefeuille SP2'!AI283</f>
        <v>0</v>
      </c>
      <c r="AX257" s="403">
        <f>'Portefeuille SP2'!AJ283</f>
        <v>0</v>
      </c>
      <c r="AY257" s="403">
        <f>'Portefeuille SP2'!AK283</f>
        <v>0</v>
      </c>
      <c r="AZ257" s="403">
        <f>'Portefeuille SP2'!AL283</f>
        <v>0</v>
      </c>
      <c r="BA257" s="403">
        <f>'Portefeuille SP2'!AM283</f>
        <v>0</v>
      </c>
      <c r="BB257" s="403">
        <f>'Portefeuille SP2'!AN283</f>
        <v>1</v>
      </c>
      <c r="BC257" s="403">
        <f>'Portefeuille SP2'!AO283</f>
        <v>1</v>
      </c>
      <c r="BD257" s="403">
        <f>'Portefeuille SP2'!AP283</f>
        <v>1</v>
      </c>
      <c r="BE257" s="403">
        <f>'Portefeuille SP2'!AQ283</f>
        <v>1</v>
      </c>
      <c r="BF257" s="403">
        <f>'Portefeuille SP2'!AR283</f>
        <v>1</v>
      </c>
      <c r="BG257" s="403" t="e">
        <f>'Portefeuille SP2'!#REF!</f>
        <v>#REF!</v>
      </c>
      <c r="BH257" s="403" t="e">
        <f>'Portefeuille SP2'!#REF!</f>
        <v>#REF!</v>
      </c>
      <c r="BI257" s="403" t="e">
        <f>'Portefeuille SP2'!#REF!</f>
        <v>#REF!</v>
      </c>
      <c r="BJ257" s="403" t="e">
        <f>'Portefeuille SP2'!#REF!</f>
        <v>#REF!</v>
      </c>
      <c r="BK257" s="403" t="e">
        <f>'Portefeuille SP2'!#REF!</f>
        <v>#REF!</v>
      </c>
      <c r="BL257" s="388"/>
      <c r="BM257" s="404">
        <f>'Portefeuille SP2'!L283</f>
        <v>0</v>
      </c>
    </row>
    <row r="258" spans="1:65" ht="15" customHeight="1">
      <c r="A258" s="383">
        <f>'Portefeuille SP2'!B284</f>
        <v>46078</v>
      </c>
      <c r="B258" s="390" t="str">
        <f>'Portefeuille SP2'!Q284</f>
        <v>IN PROGRESS</v>
      </c>
      <c r="C258" s="384"/>
      <c r="D258" s="382" t="str">
        <f>'Portefeuille SP2'!E284</f>
        <v>TH</v>
      </c>
      <c r="E258" s="382" t="str">
        <f t="shared" si="21"/>
        <v>BIW</v>
      </c>
      <c r="F258" s="382" t="str">
        <f t="shared" si="23"/>
        <v/>
      </c>
      <c r="G258" s="382" t="str">
        <f>'Portefeuille SP2'!C284</f>
        <v>SPC_1</v>
      </c>
      <c r="H258" s="382" t="str">
        <f>'Portefeuille SP2'!F284</f>
        <v>FRANK BAILLON</v>
      </c>
      <c r="I258" s="382"/>
      <c r="J258" s="382" t="str">
        <f>'Portefeuille SP2'!D284</f>
        <v xml:space="preserve">BIW </v>
      </c>
      <c r="K258" s="385" t="str">
        <f>'Portefeuille SP2'!H284</f>
        <v>Rear roof reinforcer</v>
      </c>
      <c r="L258" s="157">
        <f>'Portefeuille SP2'!U284</f>
        <v>0</v>
      </c>
      <c r="M258" s="386"/>
      <c r="N258" s="386"/>
      <c r="O258" s="386"/>
      <c r="P258" s="387">
        <f>'Portefeuille SP2'!M284</f>
        <v>0</v>
      </c>
      <c r="Q258" s="387"/>
      <c r="R258" s="387">
        <f>'Portefeuille SP2'!N284</f>
        <v>0</v>
      </c>
      <c r="S258" s="387"/>
      <c r="T258" s="382">
        <f>'Portefeuille SP2'!R284</f>
        <v>0</v>
      </c>
      <c r="U258" s="387">
        <f>'Portefeuille SP2'!K284</f>
        <v>0</v>
      </c>
      <c r="V258" s="399">
        <f>'Portefeuille SP2'!S284</f>
        <v>0</v>
      </c>
      <c r="W258" s="387"/>
      <c r="X258" s="387"/>
      <c r="Y258" s="387"/>
      <c r="Z258" s="387"/>
      <c r="AA258" s="387"/>
      <c r="AB258" s="387"/>
      <c r="AC258" s="387"/>
      <c r="AD258" s="387"/>
      <c r="AE258" s="400" t="str">
        <f>'Portefeuille SP2'!J284</f>
        <v>24/03/2026 LM
point avec Mathieu Barbier</v>
      </c>
      <c r="AF258" s="387"/>
      <c r="AG258" s="387"/>
      <c r="AH258" s="389"/>
      <c r="AI258" s="389"/>
      <c r="AJ258" s="403">
        <f>'Portefeuille SP2'!V284</f>
        <v>0</v>
      </c>
      <c r="AK258" s="403">
        <f>'Portefeuille SP2'!W284</f>
        <v>0</v>
      </c>
      <c r="AL258" s="403">
        <f>'Portefeuille SP2'!X284</f>
        <v>0</v>
      </c>
      <c r="AM258" s="403">
        <f>'Portefeuille SP2'!Y284</f>
        <v>0</v>
      </c>
      <c r="AN258" s="403">
        <f>'Portefeuille SP2'!Z284</f>
        <v>0</v>
      </c>
      <c r="AO258" s="403">
        <f>'Portefeuille SP2'!AA284</f>
        <v>0</v>
      </c>
      <c r="AP258" s="403">
        <f>'Portefeuille SP2'!AB284</f>
        <v>0</v>
      </c>
      <c r="AQ258" s="403">
        <f>'Portefeuille SP2'!AC284</f>
        <v>0</v>
      </c>
      <c r="AR258" s="403">
        <f>'Portefeuille SP2'!AD284</f>
        <v>0</v>
      </c>
      <c r="AS258" s="403">
        <f>'Portefeuille SP2'!AE284</f>
        <v>0</v>
      </c>
      <c r="AT258" s="403">
        <f>'Portefeuille SP2'!AF284</f>
        <v>0</v>
      </c>
      <c r="AU258" s="403">
        <f>'Portefeuille SP2'!AG284</f>
        <v>0</v>
      </c>
      <c r="AV258" s="403">
        <f>'Portefeuille SP2'!AH284</f>
        <v>0</v>
      </c>
      <c r="AW258" s="403">
        <f>'Portefeuille SP2'!AI284</f>
        <v>0</v>
      </c>
      <c r="AX258" s="403">
        <f>'Portefeuille SP2'!AJ284</f>
        <v>0</v>
      </c>
      <c r="AY258" s="403">
        <f>'Portefeuille SP2'!AK284</f>
        <v>0</v>
      </c>
      <c r="AZ258" s="403">
        <f>'Portefeuille SP2'!AL284</f>
        <v>0</v>
      </c>
      <c r="BA258" s="403">
        <f>'Portefeuille SP2'!AM284</f>
        <v>0</v>
      </c>
      <c r="BB258" s="403">
        <f>'Portefeuille SP2'!AN284</f>
        <v>1</v>
      </c>
      <c r="BC258" s="403">
        <f>'Portefeuille SP2'!AO284</f>
        <v>1</v>
      </c>
      <c r="BD258" s="403">
        <f>'Portefeuille SP2'!AP284</f>
        <v>1</v>
      </c>
      <c r="BE258" s="403">
        <f>'Portefeuille SP2'!AQ284</f>
        <v>1</v>
      </c>
      <c r="BF258" s="403">
        <f>'Portefeuille SP2'!AR284</f>
        <v>1</v>
      </c>
      <c r="BG258" s="403" t="e">
        <f>'Portefeuille SP2'!#REF!</f>
        <v>#REF!</v>
      </c>
      <c r="BH258" s="403" t="e">
        <f>'Portefeuille SP2'!#REF!</f>
        <v>#REF!</v>
      </c>
      <c r="BI258" s="403" t="e">
        <f>'Portefeuille SP2'!#REF!</f>
        <v>#REF!</v>
      </c>
      <c r="BJ258" s="403" t="e">
        <f>'Portefeuille SP2'!#REF!</f>
        <v>#REF!</v>
      </c>
      <c r="BK258" s="403" t="e">
        <f>'Portefeuille SP2'!#REF!</f>
        <v>#REF!</v>
      </c>
      <c r="BL258" s="388"/>
      <c r="BM258" s="404">
        <f>'Portefeuille SP2'!L284</f>
        <v>0</v>
      </c>
    </row>
    <row r="259" spans="1:65" ht="15" customHeight="1">
      <c r="A259" s="383">
        <f>'Portefeuille SP2'!B285</f>
        <v>45909</v>
      </c>
      <c r="B259" s="390" t="str">
        <f>'Portefeuille SP2'!Q285</f>
        <v>IN PROGRESS</v>
      </c>
      <c r="C259" s="384"/>
      <c r="D259" s="382" t="str">
        <f>'Portefeuille SP2'!E285</f>
        <v>PWT</v>
      </c>
      <c r="E259" s="382" t="str">
        <f t="shared" si="21"/>
        <v>PRS</v>
      </c>
      <c r="F259" s="382" t="str">
        <f t="shared" si="23"/>
        <v/>
      </c>
      <c r="G259" s="382" t="str">
        <f>'Portefeuille SP2'!C285</f>
        <v>SPC_1</v>
      </c>
      <c r="H259" s="382" t="str">
        <f>'Portefeuille SP2'!F285</f>
        <v>Paul patenotte</v>
      </c>
      <c r="I259" s="382"/>
      <c r="J259" s="382" t="str">
        <f>'Portefeuille SP2'!D285</f>
        <v xml:space="preserve">PRS </v>
      </c>
      <c r="K259" s="385" t="str">
        <f>'Portefeuille SP2'!H285</f>
        <v xml:space="preserve">EGR BP </v>
      </c>
      <c r="L259" s="157">
        <f>'Portefeuille SP2'!U285</f>
        <v>-1</v>
      </c>
      <c r="M259" s="386"/>
      <c r="N259" s="386"/>
      <c r="O259" s="386"/>
      <c r="P259" s="387">
        <f>'Portefeuille SP2'!M285</f>
        <v>0</v>
      </c>
      <c r="Q259" s="387"/>
      <c r="R259" s="387">
        <f>'Portefeuille SP2'!N285</f>
        <v>0</v>
      </c>
      <c r="S259" s="387"/>
      <c r="T259" s="382" t="str">
        <f>'Portefeuille SP2'!R285</f>
        <v>TBD</v>
      </c>
      <c r="U259" s="387">
        <f>'Portefeuille SP2'!K285</f>
        <v>0</v>
      </c>
      <c r="V259" s="399">
        <f>'Portefeuille SP2'!S285</f>
        <v>1</v>
      </c>
      <c r="W259" s="387"/>
      <c r="X259" s="387"/>
      <c r="Y259" s="387"/>
      <c r="Z259" s="387"/>
      <c r="AA259" s="387"/>
      <c r="AB259" s="387"/>
      <c r="AC259" s="387"/>
      <c r="AD259" s="387"/>
      <c r="AE259" s="400">
        <f>'Portefeuille SP2'!J285</f>
        <v>0</v>
      </c>
      <c r="AF259" s="387"/>
      <c r="AG259" s="387"/>
      <c r="AH259" s="389"/>
      <c r="AI259" s="389"/>
      <c r="AJ259" s="403">
        <f>'Portefeuille SP2'!V285</f>
        <v>0</v>
      </c>
      <c r="AK259" s="403">
        <f>'Portefeuille SP2'!W285</f>
        <v>0</v>
      </c>
      <c r="AL259" s="403">
        <f>'Portefeuille SP2'!X285</f>
        <v>0</v>
      </c>
      <c r="AM259" s="403">
        <f>'Portefeuille SP2'!Y285</f>
        <v>1</v>
      </c>
      <c r="AN259" s="403">
        <f>'Portefeuille SP2'!Z285</f>
        <v>0</v>
      </c>
      <c r="AO259" s="403">
        <f>'Portefeuille SP2'!AA285</f>
        <v>0</v>
      </c>
      <c r="AP259" s="403">
        <f>'Portefeuille SP2'!AB285</f>
        <v>0</v>
      </c>
      <c r="AQ259" s="403">
        <f>'Portefeuille SP2'!AC285</f>
        <v>1</v>
      </c>
      <c r="AR259" s="403">
        <f>'Portefeuille SP2'!AD285</f>
        <v>0</v>
      </c>
      <c r="AS259" s="403">
        <f>'Portefeuille SP2'!AE285</f>
        <v>0</v>
      </c>
      <c r="AT259" s="403">
        <f>'Portefeuille SP2'!AF285</f>
        <v>0</v>
      </c>
      <c r="AU259" s="403">
        <f>'Portefeuille SP2'!AG285</f>
        <v>0</v>
      </c>
      <c r="AV259" s="403">
        <f>'Portefeuille SP2'!AH285</f>
        <v>1</v>
      </c>
      <c r="AW259" s="403">
        <f>'Portefeuille SP2'!AI285</f>
        <v>0</v>
      </c>
      <c r="AX259" s="403">
        <f>'Portefeuille SP2'!AJ285</f>
        <v>0</v>
      </c>
      <c r="AY259" s="403">
        <f>'Portefeuille SP2'!AK285</f>
        <v>0</v>
      </c>
      <c r="AZ259" s="403">
        <f>'Portefeuille SP2'!AL285</f>
        <v>1</v>
      </c>
      <c r="BA259" s="403">
        <f>'Portefeuille SP2'!AM285</f>
        <v>0</v>
      </c>
      <c r="BB259" s="403">
        <f>'Portefeuille SP2'!AN285</f>
        <v>0</v>
      </c>
      <c r="BC259" s="403">
        <f>'Portefeuille SP2'!AO285</f>
        <v>0</v>
      </c>
      <c r="BD259" s="403">
        <f>'Portefeuille SP2'!AP285</f>
        <v>0</v>
      </c>
      <c r="BE259" s="403">
        <f>'Portefeuille SP2'!AQ285</f>
        <v>0</v>
      </c>
      <c r="BF259" s="403">
        <f>'Portefeuille SP2'!AR285</f>
        <v>1</v>
      </c>
      <c r="BG259" s="403" t="e">
        <f>'Portefeuille SP2'!#REF!</f>
        <v>#REF!</v>
      </c>
      <c r="BH259" s="403" t="e">
        <f>'Portefeuille SP2'!#REF!</f>
        <v>#REF!</v>
      </c>
      <c r="BI259" s="403" t="e">
        <f>'Portefeuille SP2'!#REF!</f>
        <v>#REF!</v>
      </c>
      <c r="BJ259" s="403" t="e">
        <f>'Portefeuille SP2'!#REF!</f>
        <v>#REF!</v>
      </c>
      <c r="BK259" s="403" t="e">
        <f>'Portefeuille SP2'!#REF!</f>
        <v>#REF!</v>
      </c>
      <c r="BL259" s="388"/>
      <c r="BM259" s="404">
        <f>'Portefeuille SP2'!L285</f>
        <v>0</v>
      </c>
    </row>
    <row r="260" spans="1:65" ht="15" customHeight="1">
      <c r="A260" s="383">
        <f>'Portefeuille SP2'!B286</f>
        <v>46083</v>
      </c>
      <c r="B260" s="390" t="str">
        <f>'Portefeuille SP2'!Q286</f>
        <v>CANCELED</v>
      </c>
      <c r="C260" s="384"/>
      <c r="D260" s="382" t="str">
        <f>'Portefeuille SP2'!E286</f>
        <v>TH</v>
      </c>
      <c r="E260" s="382" t="str">
        <f t="shared" si="21"/>
        <v>INT</v>
      </c>
      <c r="F260" s="382" t="str">
        <f t="shared" si="23"/>
        <v xml:space="preserve"> PDB/CONSOLE</v>
      </c>
      <c r="G260" s="382" t="str">
        <f>'Portefeuille SP2'!C286</f>
        <v>SPC_1</v>
      </c>
      <c r="H260" s="382" t="str">
        <f>'Portefeuille SP2'!F286</f>
        <v>FREDERIC BRUNIER</v>
      </c>
      <c r="I260" s="382"/>
      <c r="J260" s="382" t="str">
        <f>'Portefeuille SP2'!D286</f>
        <v>INT - PDB/CONSOLE</v>
      </c>
      <c r="K260" s="385" t="str">
        <f>'Portefeuille SP2'!H286</f>
        <v>optim design</v>
      </c>
      <c r="L260" s="157">
        <f>'Portefeuille SP2'!U286</f>
        <v>0</v>
      </c>
      <c r="M260" s="386"/>
      <c r="N260" s="386"/>
      <c r="O260" s="386"/>
      <c r="P260" s="387">
        <f>'Portefeuille SP2'!M286</f>
        <v>0</v>
      </c>
      <c r="Q260" s="387"/>
      <c r="R260" s="387">
        <f>'Portefeuille SP2'!N286</f>
        <v>0</v>
      </c>
      <c r="S260" s="387"/>
      <c r="T260" s="382">
        <f>'Portefeuille SP2'!R286</f>
        <v>0</v>
      </c>
      <c r="U260" s="387" t="str">
        <f>'Portefeuille SP2'!K286</f>
        <v>SFM</v>
      </c>
      <c r="V260" s="399">
        <f>'Portefeuille SP2'!S286</f>
        <v>0.5</v>
      </c>
      <c r="W260" s="387"/>
      <c r="X260" s="387"/>
      <c r="Y260" s="387"/>
      <c r="Z260" s="387"/>
      <c r="AA260" s="387"/>
      <c r="AB260" s="387"/>
      <c r="AC260" s="387"/>
      <c r="AD260" s="387"/>
      <c r="AE260" s="400" t="str">
        <f>'Portefeuille SP2'!J286</f>
        <v>16/03/2026 lm ligne à supprimer
repris dans la lihne 130</v>
      </c>
      <c r="AF260" s="387"/>
      <c r="AG260" s="387"/>
      <c r="AH260" s="389"/>
      <c r="AI260" s="389"/>
      <c r="AJ260" s="403">
        <f>'Portefeuille SP2'!V286</f>
        <v>1</v>
      </c>
      <c r="AK260" s="403">
        <f>'Portefeuille SP2'!W286</f>
        <v>1</v>
      </c>
      <c r="AL260" s="403">
        <f>'Portefeuille SP2'!X286</f>
        <v>1</v>
      </c>
      <c r="AM260" s="403">
        <f>'Portefeuille SP2'!Y286</f>
        <v>1</v>
      </c>
      <c r="AN260" s="403">
        <f>'Portefeuille SP2'!Z286</f>
        <v>1</v>
      </c>
      <c r="AO260" s="403">
        <f>'Portefeuille SP2'!AA286</f>
        <v>1</v>
      </c>
      <c r="AP260" s="403">
        <f>'Portefeuille SP2'!AB286</f>
        <v>1</v>
      </c>
      <c r="AQ260" s="403">
        <f>'Portefeuille SP2'!AC286</f>
        <v>1</v>
      </c>
      <c r="AR260" s="403">
        <f>'Portefeuille SP2'!AD286</f>
        <v>1</v>
      </c>
      <c r="AS260" s="403">
        <f>'Portefeuille SP2'!AE286</f>
        <v>1</v>
      </c>
      <c r="AT260" s="403">
        <f>'Portefeuille SP2'!AF286</f>
        <v>1</v>
      </c>
      <c r="AU260" s="403">
        <f>'Portefeuille SP2'!AG286</f>
        <v>1</v>
      </c>
      <c r="AV260" s="403">
        <f>'Portefeuille SP2'!AH286</f>
        <v>1</v>
      </c>
      <c r="AW260" s="403">
        <f>'Portefeuille SP2'!AI286</f>
        <v>1</v>
      </c>
      <c r="AX260" s="403">
        <f>'Portefeuille SP2'!AJ286</f>
        <v>1</v>
      </c>
      <c r="AY260" s="403">
        <f>'Portefeuille SP2'!AK286</f>
        <v>1</v>
      </c>
      <c r="AZ260" s="403">
        <f>'Portefeuille SP2'!AL286</f>
        <v>1</v>
      </c>
      <c r="BA260" s="403">
        <f>'Portefeuille SP2'!AM286</f>
        <v>1</v>
      </c>
      <c r="BB260" s="403">
        <f>'Portefeuille SP2'!AN286</f>
        <v>1</v>
      </c>
      <c r="BC260" s="403">
        <f>'Portefeuille SP2'!AO286</f>
        <v>1</v>
      </c>
      <c r="BD260" s="403">
        <f>'Portefeuille SP2'!AP286</f>
        <v>1</v>
      </c>
      <c r="BE260" s="403">
        <f>'Portefeuille SP2'!AQ286</f>
        <v>1</v>
      </c>
      <c r="BF260" s="403">
        <f>'Portefeuille SP2'!AR286</f>
        <v>1</v>
      </c>
      <c r="BG260" s="403" t="e">
        <f>'Portefeuille SP2'!#REF!</f>
        <v>#REF!</v>
      </c>
      <c r="BH260" s="403" t="e">
        <f>'Portefeuille SP2'!#REF!</f>
        <v>#REF!</v>
      </c>
      <c r="BI260" s="403" t="e">
        <f>'Portefeuille SP2'!#REF!</f>
        <v>#REF!</v>
      </c>
      <c r="BJ260" s="403" t="e">
        <f>'Portefeuille SP2'!#REF!</f>
        <v>#REF!</v>
      </c>
      <c r="BK260" s="403" t="e">
        <f>'Portefeuille SP2'!#REF!</f>
        <v>#REF!</v>
      </c>
      <c r="BL260" s="388"/>
      <c r="BM260" s="404">
        <f>'Portefeuille SP2'!L286</f>
        <v>0</v>
      </c>
    </row>
    <row r="261" spans="1:65" ht="15" customHeight="1">
      <c r="A261" s="383">
        <f>'Portefeuille SP2'!B287</f>
        <v>46083</v>
      </c>
      <c r="B261" s="390" t="str">
        <f>'Portefeuille SP2'!Q287</f>
        <v>CANCELED</v>
      </c>
      <c r="C261" s="384"/>
      <c r="D261" s="382" t="str">
        <f>'Portefeuille SP2'!E287</f>
        <v>TH</v>
      </c>
      <c r="E261" s="382" t="str">
        <f t="shared" si="21"/>
        <v>INT</v>
      </c>
      <c r="F261" s="382" t="str">
        <f t="shared" si="23"/>
        <v xml:space="preserve"> PDB/CONSOLE</v>
      </c>
      <c r="G261" s="382" t="str">
        <f>'Portefeuille SP2'!C287</f>
        <v>SPC_1</v>
      </c>
      <c r="H261" s="382" t="str">
        <f>'Portefeuille SP2'!F287</f>
        <v>FREDERIC BRUNIER</v>
      </c>
      <c r="I261" s="382"/>
      <c r="J261" s="382" t="str">
        <f>'Portefeuille SP2'!D287</f>
        <v>INT - PDB/CONSOLE</v>
      </c>
      <c r="K261" s="385" t="str">
        <f>'Portefeuille SP2'!H287</f>
        <v>optim design</v>
      </c>
      <c r="L261" s="157">
        <f>'Portefeuille SP2'!U287</f>
        <v>0</v>
      </c>
      <c r="M261" s="386"/>
      <c r="N261" s="386"/>
      <c r="O261" s="386"/>
      <c r="P261" s="387">
        <f>'Portefeuille SP2'!M287</f>
        <v>0</v>
      </c>
      <c r="Q261" s="387"/>
      <c r="R261" s="387">
        <f>'Portefeuille SP2'!N287</f>
        <v>0</v>
      </c>
      <c r="S261" s="387"/>
      <c r="T261" s="382">
        <f>'Portefeuille SP2'!R287</f>
        <v>0</v>
      </c>
      <c r="U261" s="387" t="str">
        <f>'Portefeuille SP2'!K287</f>
        <v>SFM</v>
      </c>
      <c r="V261" s="399">
        <f>'Portefeuille SP2'!S287</f>
        <v>0.5</v>
      </c>
      <c r="W261" s="387"/>
      <c r="X261" s="387"/>
      <c r="Y261" s="387"/>
      <c r="Z261" s="387"/>
      <c r="AA261" s="387"/>
      <c r="AB261" s="387"/>
      <c r="AC261" s="387"/>
      <c r="AD261" s="387"/>
      <c r="AE261" s="400" t="str">
        <f>'Portefeuille SP2'!J287</f>
        <v>16/03/2026 lm ligne à supprimer
repris dans la lihne 130</v>
      </c>
      <c r="AF261" s="387"/>
      <c r="AG261" s="387"/>
      <c r="AH261" s="389"/>
      <c r="AI261" s="389"/>
      <c r="AJ261" s="403">
        <f>'Portefeuille SP2'!V287</f>
        <v>1</v>
      </c>
      <c r="AK261" s="403">
        <f>'Portefeuille SP2'!W287</f>
        <v>1</v>
      </c>
      <c r="AL261" s="403">
        <f>'Portefeuille SP2'!X287</f>
        <v>1</v>
      </c>
      <c r="AM261" s="403">
        <f>'Portefeuille SP2'!Y287</f>
        <v>1</v>
      </c>
      <c r="AN261" s="403">
        <f>'Portefeuille SP2'!Z287</f>
        <v>1</v>
      </c>
      <c r="AO261" s="403">
        <f>'Portefeuille SP2'!AA287</f>
        <v>1</v>
      </c>
      <c r="AP261" s="403">
        <f>'Portefeuille SP2'!AB287</f>
        <v>1</v>
      </c>
      <c r="AQ261" s="403">
        <f>'Portefeuille SP2'!AC287</f>
        <v>1</v>
      </c>
      <c r="AR261" s="403">
        <f>'Portefeuille SP2'!AD287</f>
        <v>1</v>
      </c>
      <c r="AS261" s="403">
        <f>'Portefeuille SP2'!AE287</f>
        <v>1</v>
      </c>
      <c r="AT261" s="403">
        <f>'Portefeuille SP2'!AF287</f>
        <v>1</v>
      </c>
      <c r="AU261" s="403">
        <f>'Portefeuille SP2'!AG287</f>
        <v>1</v>
      </c>
      <c r="AV261" s="403">
        <f>'Portefeuille SP2'!AH287</f>
        <v>1</v>
      </c>
      <c r="AW261" s="403">
        <f>'Portefeuille SP2'!AI287</f>
        <v>1</v>
      </c>
      <c r="AX261" s="403">
        <f>'Portefeuille SP2'!AJ287</f>
        <v>1</v>
      </c>
      <c r="AY261" s="403">
        <f>'Portefeuille SP2'!AK287</f>
        <v>1</v>
      </c>
      <c r="AZ261" s="403">
        <f>'Portefeuille SP2'!AL287</f>
        <v>1</v>
      </c>
      <c r="BA261" s="403">
        <f>'Portefeuille SP2'!AM287</f>
        <v>1</v>
      </c>
      <c r="BB261" s="403">
        <f>'Portefeuille SP2'!AN287</f>
        <v>1</v>
      </c>
      <c r="BC261" s="403">
        <f>'Portefeuille SP2'!AO287</f>
        <v>1</v>
      </c>
      <c r="BD261" s="403">
        <f>'Portefeuille SP2'!AP287</f>
        <v>1</v>
      </c>
      <c r="BE261" s="403">
        <f>'Portefeuille SP2'!AQ287</f>
        <v>1</v>
      </c>
      <c r="BF261" s="403">
        <f>'Portefeuille SP2'!AR287</f>
        <v>1</v>
      </c>
      <c r="BG261" s="403" t="e">
        <f>'Portefeuille SP2'!#REF!</f>
        <v>#REF!</v>
      </c>
      <c r="BH261" s="403" t="e">
        <f>'Portefeuille SP2'!#REF!</f>
        <v>#REF!</v>
      </c>
      <c r="BI261" s="403" t="e">
        <f>'Portefeuille SP2'!#REF!</f>
        <v>#REF!</v>
      </c>
      <c r="BJ261" s="403" t="e">
        <f>'Portefeuille SP2'!#REF!</f>
        <v>#REF!</v>
      </c>
      <c r="BK261" s="403" t="e">
        <f>'Portefeuille SP2'!#REF!</f>
        <v>#REF!</v>
      </c>
      <c r="BL261" s="388"/>
      <c r="BM261" s="404">
        <f>'Portefeuille SP2'!L287</f>
        <v>0</v>
      </c>
    </row>
    <row r="262" spans="1:65" ht="15" customHeight="1">
      <c r="A262" s="383">
        <f>'Portefeuille SP2'!B288</f>
        <v>46083</v>
      </c>
      <c r="B262" s="390" t="str">
        <f>'Portefeuille SP2'!Q288</f>
        <v>CANCELED</v>
      </c>
      <c r="C262" s="384"/>
      <c r="D262" s="382" t="str">
        <f>'Portefeuille SP2'!E288</f>
        <v>TH</v>
      </c>
      <c r="E262" s="382" t="str">
        <f t="shared" si="21"/>
        <v>INT</v>
      </c>
      <c r="F262" s="382" t="str">
        <f t="shared" si="23"/>
        <v xml:space="preserve"> PDB/CONSOLE</v>
      </c>
      <c r="G262" s="382" t="str">
        <f>'Portefeuille SP2'!C288</f>
        <v>SPC_1</v>
      </c>
      <c r="H262" s="382" t="str">
        <f>'Portefeuille SP2'!F288</f>
        <v>FREDERIC BRUNIER</v>
      </c>
      <c r="I262" s="382"/>
      <c r="J262" s="382" t="str">
        <f>'Portefeuille SP2'!D288</f>
        <v>INT - PDB/CONSOLE</v>
      </c>
      <c r="K262" s="385" t="str">
        <f>'Portefeuille SP2'!H288</f>
        <v>optim design</v>
      </c>
      <c r="L262" s="157">
        <f>'Portefeuille SP2'!U288</f>
        <v>0</v>
      </c>
      <c r="M262" s="386"/>
      <c r="N262" s="386"/>
      <c r="O262" s="386"/>
      <c r="P262" s="387">
        <f>'Portefeuille SP2'!M288</f>
        <v>0</v>
      </c>
      <c r="Q262" s="387"/>
      <c r="R262" s="387">
        <f>'Portefeuille SP2'!N288</f>
        <v>0</v>
      </c>
      <c r="S262" s="387"/>
      <c r="T262" s="382">
        <f>'Portefeuille SP2'!R288</f>
        <v>0</v>
      </c>
      <c r="U262" s="387" t="str">
        <f>'Portefeuille SP2'!K288</f>
        <v>SFM</v>
      </c>
      <c r="V262" s="399">
        <f>'Portefeuille SP2'!S288</f>
        <v>0.5</v>
      </c>
      <c r="W262" s="387"/>
      <c r="X262" s="387"/>
      <c r="Y262" s="387"/>
      <c r="Z262" s="387"/>
      <c r="AA262" s="387"/>
      <c r="AB262" s="387"/>
      <c r="AC262" s="387"/>
      <c r="AD262" s="387"/>
      <c r="AE262" s="400" t="str">
        <f>'Portefeuille SP2'!J288</f>
        <v>16/03/2026 lm ligne à supprimer
repris dans la lihne 130</v>
      </c>
      <c r="AF262" s="387"/>
      <c r="AG262" s="387"/>
      <c r="AH262" s="389"/>
      <c r="AI262" s="389"/>
      <c r="AJ262" s="403">
        <f>'Portefeuille SP2'!V288</f>
        <v>1</v>
      </c>
      <c r="AK262" s="403">
        <f>'Portefeuille SP2'!W288</f>
        <v>1</v>
      </c>
      <c r="AL262" s="403">
        <f>'Portefeuille SP2'!X288</f>
        <v>1</v>
      </c>
      <c r="AM262" s="403">
        <f>'Portefeuille SP2'!Y288</f>
        <v>1</v>
      </c>
      <c r="AN262" s="403">
        <f>'Portefeuille SP2'!Z288</f>
        <v>1</v>
      </c>
      <c r="AO262" s="403">
        <f>'Portefeuille SP2'!AA288</f>
        <v>1</v>
      </c>
      <c r="AP262" s="403">
        <f>'Portefeuille SP2'!AB288</f>
        <v>1</v>
      </c>
      <c r="AQ262" s="403">
        <f>'Portefeuille SP2'!AC288</f>
        <v>1</v>
      </c>
      <c r="AR262" s="403">
        <f>'Portefeuille SP2'!AD288</f>
        <v>1</v>
      </c>
      <c r="AS262" s="403">
        <f>'Portefeuille SP2'!AE288</f>
        <v>1</v>
      </c>
      <c r="AT262" s="403">
        <f>'Portefeuille SP2'!AF288</f>
        <v>1</v>
      </c>
      <c r="AU262" s="403">
        <f>'Portefeuille SP2'!AG288</f>
        <v>1</v>
      </c>
      <c r="AV262" s="403">
        <f>'Portefeuille SP2'!AH288</f>
        <v>1</v>
      </c>
      <c r="AW262" s="403">
        <f>'Portefeuille SP2'!AI288</f>
        <v>1</v>
      </c>
      <c r="AX262" s="403">
        <f>'Portefeuille SP2'!AJ288</f>
        <v>1</v>
      </c>
      <c r="AY262" s="403">
        <f>'Portefeuille SP2'!AK288</f>
        <v>1</v>
      </c>
      <c r="AZ262" s="403">
        <f>'Portefeuille SP2'!AL288</f>
        <v>1</v>
      </c>
      <c r="BA262" s="403">
        <f>'Portefeuille SP2'!AM288</f>
        <v>1</v>
      </c>
      <c r="BB262" s="403">
        <f>'Portefeuille SP2'!AN288</f>
        <v>1</v>
      </c>
      <c r="BC262" s="403">
        <f>'Portefeuille SP2'!AO288</f>
        <v>1</v>
      </c>
      <c r="BD262" s="403">
        <f>'Portefeuille SP2'!AP288</f>
        <v>1</v>
      </c>
      <c r="BE262" s="403">
        <f>'Portefeuille SP2'!AQ288</f>
        <v>1</v>
      </c>
      <c r="BF262" s="403">
        <f>'Portefeuille SP2'!AR288</f>
        <v>1</v>
      </c>
      <c r="BG262" s="403" t="e">
        <f>'Portefeuille SP2'!#REF!</f>
        <v>#REF!</v>
      </c>
      <c r="BH262" s="403" t="e">
        <f>'Portefeuille SP2'!#REF!</f>
        <v>#REF!</v>
      </c>
      <c r="BI262" s="403" t="e">
        <f>'Portefeuille SP2'!#REF!</f>
        <v>#REF!</v>
      </c>
      <c r="BJ262" s="403" t="e">
        <f>'Portefeuille SP2'!#REF!</f>
        <v>#REF!</v>
      </c>
      <c r="BK262" s="403" t="e">
        <f>'Portefeuille SP2'!#REF!</f>
        <v>#REF!</v>
      </c>
      <c r="BL262" s="388"/>
      <c r="BM262" s="404">
        <f>'Portefeuille SP2'!L288</f>
        <v>0</v>
      </c>
    </row>
    <row r="263" spans="1:65" ht="15" customHeight="1">
      <c r="A263" s="383">
        <f>'Portefeuille SP2'!B289</f>
        <v>46083</v>
      </c>
      <c r="B263" s="390" t="str">
        <f>'Portefeuille SP2'!Q289</f>
        <v>IN PROGRESS</v>
      </c>
      <c r="C263" s="384"/>
      <c r="D263" s="382" t="str">
        <f>'Portefeuille SP2'!E289</f>
        <v>PTF</v>
      </c>
      <c r="E263" s="382" t="str">
        <f t="shared" si="21"/>
        <v>BIW</v>
      </c>
      <c r="F263" s="382" t="str">
        <f t="shared" si="23"/>
        <v/>
      </c>
      <c r="G263" s="382" t="str">
        <f>'Portefeuille SP2'!C289</f>
        <v>SPC_1</v>
      </c>
      <c r="H263" s="382" t="str">
        <f>'Portefeuille SP2'!F289</f>
        <v>Maxence DHENIN</v>
      </c>
      <c r="I263" s="382"/>
      <c r="J263" s="382" t="str">
        <f>'Portefeuille SP2'!D289</f>
        <v>BIW</v>
      </c>
      <c r="K263" s="385" t="str">
        <f>'Portefeuille SP2'!H289</f>
        <v>optim design</v>
      </c>
      <c r="L263" s="157">
        <f>'Portefeuille SP2'!U289</f>
        <v>0</v>
      </c>
      <c r="M263" s="386"/>
      <c r="N263" s="386"/>
      <c r="O263" s="386"/>
      <c r="P263" s="387">
        <f>'Portefeuille SP2'!M289</f>
        <v>0</v>
      </c>
      <c r="Q263" s="387"/>
      <c r="R263" s="387">
        <f>'Portefeuille SP2'!N289</f>
        <v>0</v>
      </c>
      <c r="S263" s="387"/>
      <c r="T263" s="382">
        <f>'Portefeuille SP2'!R289</f>
        <v>0</v>
      </c>
      <c r="U263" s="387" t="str">
        <f>'Portefeuille SP2'!K289</f>
        <v>SFM</v>
      </c>
      <c r="V263" s="399">
        <f>'Portefeuille SP2'!S289</f>
        <v>0</v>
      </c>
      <c r="W263" s="387"/>
      <c r="X263" s="387"/>
      <c r="Y263" s="387"/>
      <c r="Z263" s="387"/>
      <c r="AA263" s="387"/>
      <c r="AB263" s="387"/>
      <c r="AC263" s="387"/>
      <c r="AD263" s="387"/>
      <c r="AE263" s="400">
        <f>'Portefeuille SP2'!J289</f>
        <v>0</v>
      </c>
      <c r="AF263" s="387"/>
      <c r="AG263" s="387"/>
      <c r="AH263" s="389"/>
      <c r="AI263" s="389"/>
      <c r="AJ263" s="403">
        <f>'Portefeuille SP2'!V289</f>
        <v>1</v>
      </c>
      <c r="AK263" s="403">
        <f>'Portefeuille SP2'!W289</f>
        <v>1</v>
      </c>
      <c r="AL263" s="403">
        <f>'Portefeuille SP2'!X289</f>
        <v>1</v>
      </c>
      <c r="AM263" s="403">
        <f>'Portefeuille SP2'!Y289</f>
        <v>1</v>
      </c>
      <c r="AN263" s="403">
        <f>'Portefeuille SP2'!Z289</f>
        <v>1</v>
      </c>
      <c r="AO263" s="403">
        <f>'Portefeuille SP2'!AA289</f>
        <v>1</v>
      </c>
      <c r="AP263" s="403">
        <f>'Portefeuille SP2'!AB289</f>
        <v>1</v>
      </c>
      <c r="AQ263" s="403">
        <f>'Portefeuille SP2'!AC289</f>
        <v>1</v>
      </c>
      <c r="AR263" s="403">
        <f>'Portefeuille SP2'!AD289</f>
        <v>1</v>
      </c>
      <c r="AS263" s="403">
        <f>'Portefeuille SP2'!AE289</f>
        <v>1</v>
      </c>
      <c r="AT263" s="403">
        <f>'Portefeuille SP2'!AF289</f>
        <v>1</v>
      </c>
      <c r="AU263" s="403">
        <f>'Portefeuille SP2'!AG289</f>
        <v>1</v>
      </c>
      <c r="AV263" s="403">
        <f>'Portefeuille SP2'!AH289</f>
        <v>1</v>
      </c>
      <c r="AW263" s="403">
        <f>'Portefeuille SP2'!AI289</f>
        <v>1</v>
      </c>
      <c r="AX263" s="403">
        <f>'Portefeuille SP2'!AJ289</f>
        <v>1</v>
      </c>
      <c r="AY263" s="403">
        <f>'Portefeuille SP2'!AK289</f>
        <v>1</v>
      </c>
      <c r="AZ263" s="403">
        <f>'Portefeuille SP2'!AL289</f>
        <v>1</v>
      </c>
      <c r="BA263" s="403">
        <f>'Portefeuille SP2'!AM289</f>
        <v>1</v>
      </c>
      <c r="BB263" s="403">
        <f>'Portefeuille SP2'!AN289</f>
        <v>1</v>
      </c>
      <c r="BC263" s="403">
        <f>'Portefeuille SP2'!AO289</f>
        <v>1</v>
      </c>
      <c r="BD263" s="403">
        <f>'Portefeuille SP2'!AP289</f>
        <v>1</v>
      </c>
      <c r="BE263" s="403">
        <f>'Portefeuille SP2'!AQ289</f>
        <v>1</v>
      </c>
      <c r="BF263" s="403">
        <f>'Portefeuille SP2'!AR289</f>
        <v>1</v>
      </c>
      <c r="BG263" s="403" t="e">
        <f>'Portefeuille SP2'!#REF!</f>
        <v>#REF!</v>
      </c>
      <c r="BH263" s="403" t="e">
        <f>'Portefeuille SP2'!#REF!</f>
        <v>#REF!</v>
      </c>
      <c r="BI263" s="403" t="e">
        <f>'Portefeuille SP2'!#REF!</f>
        <v>#REF!</v>
      </c>
      <c r="BJ263" s="403" t="e">
        <f>'Portefeuille SP2'!#REF!</f>
        <v>#REF!</v>
      </c>
      <c r="BK263" s="403" t="e">
        <f>'Portefeuille SP2'!#REF!</f>
        <v>#REF!</v>
      </c>
      <c r="BL263" s="388"/>
      <c r="BM263" s="404">
        <f>'Portefeuille SP2'!L289</f>
        <v>0</v>
      </c>
    </row>
    <row r="264" spans="1:65" ht="15" customHeight="1">
      <c r="A264" s="383">
        <f>'Portefeuille SP2'!B290</f>
        <v>46084</v>
      </c>
      <c r="B264" s="390" t="str">
        <f>'Portefeuille SP2'!Q290</f>
        <v>DECIDED</v>
      </c>
      <c r="C264" s="384"/>
      <c r="D264" s="382" t="str">
        <f>'Portefeuille SP2'!E290</f>
        <v>PTF</v>
      </c>
      <c r="E264" s="382" t="str">
        <f t="shared" si="21"/>
        <v>BIW</v>
      </c>
      <c r="F264" s="382" t="str">
        <f t="shared" si="23"/>
        <v/>
      </c>
      <c r="G264" s="382" t="str">
        <f>'Portefeuille SP2'!C290</f>
        <v>SPC_1</v>
      </c>
      <c r="H264" s="382" t="str">
        <f>'Portefeuille SP2'!F290</f>
        <v>NICOLAS TESSIER</v>
      </c>
      <c r="I264" s="382"/>
      <c r="J264" s="382" t="str">
        <f>'Portefeuille SP2'!D290</f>
        <v>BIW</v>
      </c>
      <c r="K264" s="385" t="str">
        <f>'Portefeuille SP2'!H290</f>
        <v xml:space="preserve">optim design Front unit </v>
      </c>
      <c r="L264" s="157">
        <f>'Portefeuille SP2'!U290</f>
        <v>-0.75</v>
      </c>
      <c r="M264" s="386"/>
      <c r="N264" s="386"/>
      <c r="O264" s="386"/>
      <c r="P264" s="387">
        <f>'Portefeuille SP2'!M290</f>
        <v>0</v>
      </c>
      <c r="Q264" s="387"/>
      <c r="R264" s="387">
        <f>'Portefeuille SP2'!N290</f>
        <v>0</v>
      </c>
      <c r="S264" s="387"/>
      <c r="T264" s="382" t="str">
        <f>'Portefeuille SP2'!R290</f>
        <v>TBD</v>
      </c>
      <c r="U264" s="387">
        <f>'Portefeuille SP2'!K290</f>
        <v>0</v>
      </c>
      <c r="V264" s="399">
        <f>'Portefeuille SP2'!S290</f>
        <v>0.75</v>
      </c>
      <c r="W264" s="387"/>
      <c r="X264" s="387"/>
      <c r="Y264" s="387"/>
      <c r="Z264" s="387"/>
      <c r="AA264" s="387"/>
      <c r="AB264" s="387"/>
      <c r="AC264" s="387"/>
      <c r="AD264" s="387"/>
      <c r="AE264" s="400">
        <f>'Portefeuille SP2'!J290</f>
        <v>0</v>
      </c>
      <c r="AF264" s="387"/>
      <c r="AG264" s="387"/>
      <c r="AH264" s="389"/>
      <c r="AI264" s="389"/>
      <c r="AJ264" s="403">
        <f>'Portefeuille SP2'!V290</f>
        <v>1</v>
      </c>
      <c r="AK264" s="403">
        <f>'Portefeuille SP2'!W290</f>
        <v>1</v>
      </c>
      <c r="AL264" s="403">
        <f>'Portefeuille SP2'!X290</f>
        <v>0</v>
      </c>
      <c r="AM264" s="403">
        <f>'Portefeuille SP2'!Y290</f>
        <v>1</v>
      </c>
      <c r="AN264" s="403">
        <f>'Portefeuille SP2'!Z290</f>
        <v>1</v>
      </c>
      <c r="AO264" s="403">
        <f>'Portefeuille SP2'!AA290</f>
        <v>1</v>
      </c>
      <c r="AP264" s="403">
        <f>'Portefeuille SP2'!AB290</f>
        <v>0</v>
      </c>
      <c r="AQ264" s="403">
        <f>'Portefeuille SP2'!AC290</f>
        <v>0</v>
      </c>
      <c r="AR264" s="403">
        <f>'Portefeuille SP2'!AD290</f>
        <v>1</v>
      </c>
      <c r="AS264" s="403">
        <f>'Portefeuille SP2'!AE290</f>
        <v>1</v>
      </c>
      <c r="AT264" s="403">
        <f>'Portefeuille SP2'!AF290</f>
        <v>1</v>
      </c>
      <c r="AU264" s="403">
        <f>'Portefeuille SP2'!AG290</f>
        <v>0</v>
      </c>
      <c r="AV264" s="403">
        <f>'Portefeuille SP2'!AH290</f>
        <v>0</v>
      </c>
      <c r="AW264" s="403">
        <f>'Portefeuille SP2'!AI290</f>
        <v>0</v>
      </c>
      <c r="AX264" s="403">
        <f>'Portefeuille SP2'!AJ290</f>
        <v>0</v>
      </c>
      <c r="AY264" s="403">
        <f>'Portefeuille SP2'!AK290</f>
        <v>0</v>
      </c>
      <c r="AZ264" s="403">
        <f>'Portefeuille SP2'!AL290</f>
        <v>0</v>
      </c>
      <c r="BA264" s="403">
        <f>'Portefeuille SP2'!AM290</f>
        <v>0</v>
      </c>
      <c r="BB264" s="403">
        <f>'Portefeuille SP2'!AN290</f>
        <v>0</v>
      </c>
      <c r="BC264" s="403">
        <f>'Portefeuille SP2'!AO290</f>
        <v>0</v>
      </c>
      <c r="BD264" s="403">
        <f>'Portefeuille SP2'!AP290</f>
        <v>0</v>
      </c>
      <c r="BE264" s="403">
        <f>'Portefeuille SP2'!AQ290</f>
        <v>1</v>
      </c>
      <c r="BF264" s="403">
        <f>'Portefeuille SP2'!AR290</f>
        <v>1</v>
      </c>
      <c r="BG264" s="403" t="e">
        <f>'Portefeuille SP2'!#REF!</f>
        <v>#REF!</v>
      </c>
      <c r="BH264" s="403" t="e">
        <f>'Portefeuille SP2'!#REF!</f>
        <v>#REF!</v>
      </c>
      <c r="BI264" s="403" t="e">
        <f>'Portefeuille SP2'!#REF!</f>
        <v>#REF!</v>
      </c>
      <c r="BJ264" s="403" t="e">
        <f>'Portefeuille SP2'!#REF!</f>
        <v>#REF!</v>
      </c>
      <c r="BK264" s="403" t="e">
        <f>'Portefeuille SP2'!#REF!</f>
        <v>#REF!</v>
      </c>
      <c r="BL264" s="388"/>
      <c r="BM264" s="404">
        <f>'Portefeuille SP2'!L290</f>
        <v>0</v>
      </c>
    </row>
    <row r="265" spans="1:65" ht="15" customHeight="1">
      <c r="A265" s="383">
        <f>'Portefeuille SP2'!B291</f>
        <v>46084</v>
      </c>
      <c r="B265" s="390" t="str">
        <f>'Portefeuille SP2'!Q291</f>
        <v>DECIDED</v>
      </c>
      <c r="C265" s="384"/>
      <c r="D265" s="382" t="str">
        <f>'Portefeuille SP2'!E291</f>
        <v>PTF</v>
      </c>
      <c r="E265" s="382" t="str">
        <f t="shared" ref="E265:E328" si="29">LEFT(J265,3)</f>
        <v>BIW</v>
      </c>
      <c r="F265" s="382" t="str">
        <f t="shared" ref="F265:F328" si="30">MID(J265, 6, 20)</f>
        <v/>
      </c>
      <c r="G265" s="382" t="str">
        <f>'Portefeuille SP2'!C291</f>
        <v>SPC_1</v>
      </c>
      <c r="H265" s="382" t="str">
        <f>'Portefeuille SP2'!F291</f>
        <v>NICOLAS TESSIER</v>
      </c>
      <c r="I265" s="382"/>
      <c r="J265" s="382" t="str">
        <f>'Portefeuille SP2'!D291</f>
        <v>BIW</v>
      </c>
      <c r="K265" s="385" t="str">
        <f>'Portefeuille SP2'!H291</f>
        <v xml:space="preserve">optim design Front unit </v>
      </c>
      <c r="L265" s="157">
        <f>'Portefeuille SP2'!U291</f>
        <v>-1.875</v>
      </c>
      <c r="M265" s="386"/>
      <c r="N265" s="386"/>
      <c r="O265" s="386"/>
      <c r="P265" s="387">
        <f>'Portefeuille SP2'!M291</f>
        <v>0</v>
      </c>
      <c r="Q265" s="387"/>
      <c r="R265" s="387">
        <f>'Portefeuille SP2'!N291</f>
        <v>0</v>
      </c>
      <c r="S265" s="387"/>
      <c r="T265" s="382" t="str">
        <f>'Portefeuille SP2'!R291</f>
        <v>TBD</v>
      </c>
      <c r="U265" s="387">
        <f>'Portefeuille SP2'!K291</f>
        <v>0</v>
      </c>
      <c r="V265" s="399">
        <f>'Portefeuille SP2'!S291</f>
        <v>0.75</v>
      </c>
      <c r="W265" s="387"/>
      <c r="X265" s="387"/>
      <c r="Y265" s="387"/>
      <c r="Z265" s="387"/>
      <c r="AA265" s="387"/>
      <c r="AB265" s="387"/>
      <c r="AC265" s="387"/>
      <c r="AD265" s="387"/>
      <c r="AE265" s="400">
        <f>'Portefeuille SP2'!J291</f>
        <v>0</v>
      </c>
      <c r="AF265" s="387"/>
      <c r="AG265" s="387"/>
      <c r="AH265" s="389"/>
      <c r="AI265" s="389"/>
      <c r="AJ265" s="403">
        <f>'Portefeuille SP2'!V291</f>
        <v>1</v>
      </c>
      <c r="AK265" s="403">
        <f>'Portefeuille SP2'!W291</f>
        <v>1</v>
      </c>
      <c r="AL265" s="403">
        <f>'Portefeuille SP2'!X291</f>
        <v>0</v>
      </c>
      <c r="AM265" s="403">
        <f>'Portefeuille SP2'!Y291</f>
        <v>1</v>
      </c>
      <c r="AN265" s="403">
        <f>'Portefeuille SP2'!Z291</f>
        <v>1</v>
      </c>
      <c r="AO265" s="403">
        <f>'Portefeuille SP2'!AA291</f>
        <v>1</v>
      </c>
      <c r="AP265" s="403">
        <f>'Portefeuille SP2'!AB291</f>
        <v>0</v>
      </c>
      <c r="AQ265" s="403">
        <f>'Portefeuille SP2'!AC291</f>
        <v>0</v>
      </c>
      <c r="AR265" s="403">
        <f>'Portefeuille SP2'!AD291</f>
        <v>1</v>
      </c>
      <c r="AS265" s="403">
        <f>'Portefeuille SP2'!AE291</f>
        <v>1</v>
      </c>
      <c r="AT265" s="403">
        <f>'Portefeuille SP2'!AF291</f>
        <v>1</v>
      </c>
      <c r="AU265" s="403">
        <f>'Portefeuille SP2'!AG291</f>
        <v>0</v>
      </c>
      <c r="AV265" s="403">
        <f>'Portefeuille SP2'!AH291</f>
        <v>0</v>
      </c>
      <c r="AW265" s="403">
        <f>'Portefeuille SP2'!AI291</f>
        <v>0</v>
      </c>
      <c r="AX265" s="403">
        <f>'Portefeuille SP2'!AJ291</f>
        <v>0</v>
      </c>
      <c r="AY265" s="403">
        <f>'Portefeuille SP2'!AK291</f>
        <v>0</v>
      </c>
      <c r="AZ265" s="403">
        <f>'Portefeuille SP2'!AL291</f>
        <v>0</v>
      </c>
      <c r="BA265" s="403">
        <f>'Portefeuille SP2'!AM291</f>
        <v>0</v>
      </c>
      <c r="BB265" s="403">
        <f>'Portefeuille SP2'!AN291</f>
        <v>0</v>
      </c>
      <c r="BC265" s="403">
        <f>'Portefeuille SP2'!AO291</f>
        <v>0</v>
      </c>
      <c r="BD265" s="403">
        <f>'Portefeuille SP2'!AP291</f>
        <v>0</v>
      </c>
      <c r="BE265" s="403">
        <f>'Portefeuille SP2'!AQ291</f>
        <v>1</v>
      </c>
      <c r="BF265" s="403">
        <f>'Portefeuille SP2'!AR291</f>
        <v>1</v>
      </c>
      <c r="BG265" s="403" t="e">
        <f>'Portefeuille SP2'!#REF!</f>
        <v>#REF!</v>
      </c>
      <c r="BH265" s="403" t="e">
        <f>'Portefeuille SP2'!#REF!</f>
        <v>#REF!</v>
      </c>
      <c r="BI265" s="403" t="e">
        <f>'Portefeuille SP2'!#REF!</f>
        <v>#REF!</v>
      </c>
      <c r="BJ265" s="403" t="e">
        <f>'Portefeuille SP2'!#REF!</f>
        <v>#REF!</v>
      </c>
      <c r="BK265" s="403" t="e">
        <f>'Portefeuille SP2'!#REF!</f>
        <v>#REF!</v>
      </c>
      <c r="BL265" s="388"/>
      <c r="BM265" s="404">
        <f>'Portefeuille SP2'!L291</f>
        <v>0</v>
      </c>
    </row>
    <row r="266" spans="1:65" ht="15" customHeight="1">
      <c r="A266" s="383">
        <f>'Portefeuille SP2'!B292</f>
        <v>46084</v>
      </c>
      <c r="B266" s="390" t="str">
        <f>'Portefeuille SP2'!Q292</f>
        <v>DECIDED</v>
      </c>
      <c r="C266" s="384"/>
      <c r="D266" s="382" t="str">
        <f>'Portefeuille SP2'!E292</f>
        <v>PTF</v>
      </c>
      <c r="E266" s="382" t="str">
        <f t="shared" si="29"/>
        <v>BIW</v>
      </c>
      <c r="F266" s="382" t="str">
        <f t="shared" si="30"/>
        <v/>
      </c>
      <c r="G266" s="382" t="str">
        <f>'Portefeuille SP2'!C292</f>
        <v>SPC_1</v>
      </c>
      <c r="H266" s="382" t="str">
        <f>'Portefeuille SP2'!F292</f>
        <v>NICOLAS TESSIER</v>
      </c>
      <c r="I266" s="382"/>
      <c r="J266" s="382" t="str">
        <f>'Portefeuille SP2'!D292</f>
        <v>BIW</v>
      </c>
      <c r="K266" s="385" t="str">
        <f>'Portefeuille SP2'!H292</f>
        <v xml:space="preserve">optim design Front unit </v>
      </c>
      <c r="L266" s="157">
        <f>'Portefeuille SP2'!U292</f>
        <v>-1.0874999999999999</v>
      </c>
      <c r="M266" s="386"/>
      <c r="N266" s="386"/>
      <c r="O266" s="386"/>
      <c r="P266" s="387">
        <f>'Portefeuille SP2'!M292</f>
        <v>0</v>
      </c>
      <c r="Q266" s="387"/>
      <c r="R266" s="387">
        <f>'Portefeuille SP2'!N292</f>
        <v>0</v>
      </c>
      <c r="S266" s="387"/>
      <c r="T266" s="382" t="str">
        <f>'Portefeuille SP2'!R292</f>
        <v>TBD</v>
      </c>
      <c r="U266" s="387">
        <f>'Portefeuille SP2'!K292</f>
        <v>0</v>
      </c>
      <c r="V266" s="399">
        <f>'Portefeuille SP2'!S292</f>
        <v>0.75</v>
      </c>
      <c r="W266" s="387"/>
      <c r="X266" s="387"/>
      <c r="Y266" s="387"/>
      <c r="Z266" s="387"/>
      <c r="AA266" s="387"/>
      <c r="AB266" s="387"/>
      <c r="AC266" s="387"/>
      <c r="AD266" s="387"/>
      <c r="AE266" s="400">
        <f>'Portefeuille SP2'!J292</f>
        <v>0</v>
      </c>
      <c r="AF266" s="387"/>
      <c r="AG266" s="387"/>
      <c r="AH266" s="389"/>
      <c r="AI266" s="389"/>
      <c r="AJ266" s="403">
        <f>'Portefeuille SP2'!V292</f>
        <v>1</v>
      </c>
      <c r="AK266" s="403">
        <f>'Portefeuille SP2'!W292</f>
        <v>1</v>
      </c>
      <c r="AL266" s="403">
        <f>'Portefeuille SP2'!X292</f>
        <v>0</v>
      </c>
      <c r="AM266" s="403">
        <f>'Portefeuille SP2'!Y292</f>
        <v>1</v>
      </c>
      <c r="AN266" s="403">
        <f>'Portefeuille SP2'!Z292</f>
        <v>1</v>
      </c>
      <c r="AO266" s="403">
        <f>'Portefeuille SP2'!AA292</f>
        <v>1</v>
      </c>
      <c r="AP266" s="403">
        <f>'Portefeuille SP2'!AB292</f>
        <v>0</v>
      </c>
      <c r="AQ266" s="403">
        <f>'Portefeuille SP2'!AC292</f>
        <v>0</v>
      </c>
      <c r="AR266" s="403">
        <f>'Portefeuille SP2'!AD292</f>
        <v>1</v>
      </c>
      <c r="AS266" s="403">
        <f>'Portefeuille SP2'!AE292</f>
        <v>1</v>
      </c>
      <c r="AT266" s="403">
        <f>'Portefeuille SP2'!AF292</f>
        <v>1</v>
      </c>
      <c r="AU266" s="403">
        <f>'Portefeuille SP2'!AG292</f>
        <v>0</v>
      </c>
      <c r="AV266" s="403">
        <f>'Portefeuille SP2'!AH292</f>
        <v>0</v>
      </c>
      <c r="AW266" s="403">
        <f>'Portefeuille SP2'!AI292</f>
        <v>0</v>
      </c>
      <c r="AX266" s="403">
        <f>'Portefeuille SP2'!AJ292</f>
        <v>0</v>
      </c>
      <c r="AY266" s="403">
        <f>'Portefeuille SP2'!AK292</f>
        <v>0</v>
      </c>
      <c r="AZ266" s="403">
        <f>'Portefeuille SP2'!AL292</f>
        <v>0</v>
      </c>
      <c r="BA266" s="403">
        <f>'Portefeuille SP2'!AM292</f>
        <v>0</v>
      </c>
      <c r="BB266" s="403">
        <f>'Portefeuille SP2'!AN292</f>
        <v>0</v>
      </c>
      <c r="BC266" s="403">
        <f>'Portefeuille SP2'!AO292</f>
        <v>0</v>
      </c>
      <c r="BD266" s="403">
        <f>'Portefeuille SP2'!AP292</f>
        <v>0</v>
      </c>
      <c r="BE266" s="403">
        <f>'Portefeuille SP2'!AQ292</f>
        <v>1</v>
      </c>
      <c r="BF266" s="403">
        <f>'Portefeuille SP2'!AR292</f>
        <v>1</v>
      </c>
      <c r="BG266" s="403" t="e">
        <f>'Portefeuille SP2'!#REF!</f>
        <v>#REF!</v>
      </c>
      <c r="BH266" s="403" t="e">
        <f>'Portefeuille SP2'!#REF!</f>
        <v>#REF!</v>
      </c>
      <c r="BI266" s="403" t="e">
        <f>'Portefeuille SP2'!#REF!</f>
        <v>#REF!</v>
      </c>
      <c r="BJ266" s="403" t="e">
        <f>'Portefeuille SP2'!#REF!</f>
        <v>#REF!</v>
      </c>
      <c r="BK266" s="403" t="e">
        <f>'Portefeuille SP2'!#REF!</f>
        <v>#REF!</v>
      </c>
      <c r="BL266" s="388"/>
      <c r="BM266" s="404">
        <f>'Portefeuille SP2'!L292</f>
        <v>0</v>
      </c>
    </row>
    <row r="267" spans="1:65" ht="15" customHeight="1">
      <c r="A267" s="383">
        <f>'Portefeuille SP2'!B293</f>
        <v>46084</v>
      </c>
      <c r="B267" s="390" t="str">
        <f>'Portefeuille SP2'!Q293</f>
        <v>DECIDED</v>
      </c>
      <c r="C267" s="384"/>
      <c r="D267" s="382" t="str">
        <f>'Portefeuille SP2'!E293</f>
        <v>PTF</v>
      </c>
      <c r="E267" s="382" t="str">
        <f t="shared" si="29"/>
        <v>BIW</v>
      </c>
      <c r="F267" s="382" t="str">
        <f t="shared" si="30"/>
        <v/>
      </c>
      <c r="G267" s="382" t="str">
        <f>'Portefeuille SP2'!C293</f>
        <v>SPC_1</v>
      </c>
      <c r="H267" s="382" t="str">
        <f>'Portefeuille SP2'!F293</f>
        <v>NICOLAS TESSIER</v>
      </c>
      <c r="I267" s="382"/>
      <c r="J267" s="382" t="str">
        <f>'Portefeuille SP2'!D293</f>
        <v>BIW</v>
      </c>
      <c r="K267" s="385" t="str">
        <f>'Portefeuille SP2'!H293</f>
        <v xml:space="preserve">optim design Rr unit </v>
      </c>
      <c r="L267" s="157">
        <f>'Portefeuille SP2'!U293</f>
        <v>-5</v>
      </c>
      <c r="M267" s="386"/>
      <c r="N267" s="386"/>
      <c r="O267" s="386"/>
      <c r="P267" s="387">
        <f>'Portefeuille SP2'!M293</f>
        <v>0</v>
      </c>
      <c r="Q267" s="387"/>
      <c r="R267" s="387">
        <f>'Portefeuille SP2'!N293</f>
        <v>0</v>
      </c>
      <c r="S267" s="387"/>
      <c r="T267" s="382" t="str">
        <f>'Portefeuille SP2'!R293</f>
        <v>TBD</v>
      </c>
      <c r="U267" s="387">
        <f>'Portefeuille SP2'!K293</f>
        <v>0</v>
      </c>
      <c r="V267" s="399">
        <f>'Portefeuille SP2'!S293</f>
        <v>1</v>
      </c>
      <c r="W267" s="387"/>
      <c r="X267" s="387"/>
      <c r="Y267" s="387"/>
      <c r="Z267" s="387"/>
      <c r="AA267" s="387"/>
      <c r="AB267" s="387"/>
      <c r="AC267" s="387"/>
      <c r="AD267" s="387"/>
      <c r="AE267" s="400">
        <f>'Portefeuille SP2'!J293</f>
        <v>0</v>
      </c>
      <c r="AF267" s="387"/>
      <c r="AG267" s="387"/>
      <c r="AH267" s="389"/>
      <c r="AI267" s="389"/>
      <c r="AJ267" s="403">
        <f>'Portefeuille SP2'!V293</f>
        <v>1</v>
      </c>
      <c r="AK267" s="403">
        <f>'Portefeuille SP2'!W293</f>
        <v>1</v>
      </c>
      <c r="AL267" s="403">
        <f>'Portefeuille SP2'!X293</f>
        <v>0</v>
      </c>
      <c r="AM267" s="403">
        <f>'Portefeuille SP2'!Y293</f>
        <v>1</v>
      </c>
      <c r="AN267" s="403">
        <f>'Portefeuille SP2'!Z293</f>
        <v>1</v>
      </c>
      <c r="AO267" s="403">
        <f>'Portefeuille SP2'!AA293</f>
        <v>1</v>
      </c>
      <c r="AP267" s="403">
        <f>'Portefeuille SP2'!AB293</f>
        <v>0</v>
      </c>
      <c r="AQ267" s="403">
        <f>'Portefeuille SP2'!AC293</f>
        <v>0</v>
      </c>
      <c r="AR267" s="403">
        <f>'Portefeuille SP2'!AD293</f>
        <v>1</v>
      </c>
      <c r="AS267" s="403">
        <f>'Portefeuille SP2'!AE293</f>
        <v>1</v>
      </c>
      <c r="AT267" s="403">
        <f>'Portefeuille SP2'!AF293</f>
        <v>1</v>
      </c>
      <c r="AU267" s="403">
        <f>'Portefeuille SP2'!AG293</f>
        <v>0</v>
      </c>
      <c r="AV267" s="403">
        <f>'Portefeuille SP2'!AH293</f>
        <v>0</v>
      </c>
      <c r="AW267" s="403">
        <f>'Portefeuille SP2'!AI293</f>
        <v>0</v>
      </c>
      <c r="AX267" s="403">
        <f>'Portefeuille SP2'!AJ293</f>
        <v>0</v>
      </c>
      <c r="AY267" s="403">
        <f>'Portefeuille SP2'!AK293</f>
        <v>0</v>
      </c>
      <c r="AZ267" s="403">
        <f>'Portefeuille SP2'!AL293</f>
        <v>0</v>
      </c>
      <c r="BA267" s="403">
        <f>'Portefeuille SP2'!AM293</f>
        <v>0</v>
      </c>
      <c r="BB267" s="403">
        <f>'Portefeuille SP2'!AN293</f>
        <v>0</v>
      </c>
      <c r="BC267" s="403">
        <f>'Portefeuille SP2'!AO293</f>
        <v>0</v>
      </c>
      <c r="BD267" s="403">
        <f>'Portefeuille SP2'!AP293</f>
        <v>0</v>
      </c>
      <c r="BE267" s="403">
        <f>'Portefeuille SP2'!AQ293</f>
        <v>1</v>
      </c>
      <c r="BF267" s="403">
        <f>'Portefeuille SP2'!AR293</f>
        <v>1</v>
      </c>
      <c r="BG267" s="403" t="e">
        <f>'Portefeuille SP2'!#REF!</f>
        <v>#REF!</v>
      </c>
      <c r="BH267" s="403" t="e">
        <f>'Portefeuille SP2'!#REF!</f>
        <v>#REF!</v>
      </c>
      <c r="BI267" s="403" t="e">
        <f>'Portefeuille SP2'!#REF!</f>
        <v>#REF!</v>
      </c>
      <c r="BJ267" s="403" t="e">
        <f>'Portefeuille SP2'!#REF!</f>
        <v>#REF!</v>
      </c>
      <c r="BK267" s="403" t="e">
        <f>'Portefeuille SP2'!#REF!</f>
        <v>#REF!</v>
      </c>
      <c r="BL267" s="388"/>
      <c r="BM267" s="404">
        <f>'Portefeuille SP2'!L293</f>
        <v>0</v>
      </c>
    </row>
    <row r="268" spans="1:65" ht="15" customHeight="1">
      <c r="A268" s="383">
        <f>'Portefeuille SP2'!B294</f>
        <v>46084</v>
      </c>
      <c r="B268" s="390" t="str">
        <f>'Portefeuille SP2'!Q294</f>
        <v>DECIDED</v>
      </c>
      <c r="C268" s="384"/>
      <c r="D268" s="382" t="str">
        <f>'Portefeuille SP2'!E294</f>
        <v>PTF</v>
      </c>
      <c r="E268" s="382" t="str">
        <f t="shared" si="29"/>
        <v>BIW</v>
      </c>
      <c r="F268" s="382" t="str">
        <f t="shared" si="30"/>
        <v/>
      </c>
      <c r="G268" s="382" t="str">
        <f>'Portefeuille SP2'!C294</f>
        <v>SPC_1</v>
      </c>
      <c r="H268" s="382" t="str">
        <f>'Portefeuille SP2'!F294</f>
        <v>NICOLAS TESSIER</v>
      </c>
      <c r="I268" s="382"/>
      <c r="J268" s="382" t="str">
        <f>'Portefeuille SP2'!D294</f>
        <v>BIW</v>
      </c>
      <c r="K268" s="385" t="str">
        <f>'Portefeuille SP2'!H294</f>
        <v xml:space="preserve">optim design side </v>
      </c>
      <c r="L268" s="157">
        <f>'Portefeuille SP2'!U294</f>
        <v>-2.3774999999999999</v>
      </c>
      <c r="M268" s="386"/>
      <c r="N268" s="386"/>
      <c r="O268" s="386"/>
      <c r="P268" s="387">
        <f>'Portefeuille SP2'!M294</f>
        <v>0</v>
      </c>
      <c r="Q268" s="387"/>
      <c r="R268" s="387">
        <f>'Portefeuille SP2'!N294</f>
        <v>0</v>
      </c>
      <c r="S268" s="387"/>
      <c r="T268" s="382" t="str">
        <f>'Portefeuille SP2'!R294</f>
        <v>TBD</v>
      </c>
      <c r="U268" s="387">
        <f>'Portefeuille SP2'!K294</f>
        <v>0</v>
      </c>
      <c r="V268" s="399">
        <f>'Portefeuille SP2'!S294</f>
        <v>0.75</v>
      </c>
      <c r="W268" s="387"/>
      <c r="X268" s="387"/>
      <c r="Y268" s="387"/>
      <c r="Z268" s="387"/>
      <c r="AA268" s="387"/>
      <c r="AB268" s="387"/>
      <c r="AC268" s="387"/>
      <c r="AD268" s="387"/>
      <c r="AE268" s="400">
        <f>'Portefeuille SP2'!J294</f>
        <v>0</v>
      </c>
      <c r="AF268" s="387"/>
      <c r="AG268" s="387"/>
      <c r="AH268" s="389"/>
      <c r="AI268" s="389"/>
      <c r="AJ268" s="403">
        <f>'Portefeuille SP2'!V294</f>
        <v>1</v>
      </c>
      <c r="AK268" s="403">
        <f>'Portefeuille SP2'!W294</f>
        <v>1</v>
      </c>
      <c r="AL268" s="403">
        <f>'Portefeuille SP2'!X294</f>
        <v>0</v>
      </c>
      <c r="AM268" s="403">
        <f>'Portefeuille SP2'!Y294</f>
        <v>1</v>
      </c>
      <c r="AN268" s="403">
        <f>'Portefeuille SP2'!Z294</f>
        <v>1</v>
      </c>
      <c r="AO268" s="403">
        <f>'Portefeuille SP2'!AA294</f>
        <v>1</v>
      </c>
      <c r="AP268" s="403">
        <f>'Portefeuille SP2'!AB294</f>
        <v>0</v>
      </c>
      <c r="AQ268" s="403">
        <f>'Portefeuille SP2'!AC294</f>
        <v>0</v>
      </c>
      <c r="AR268" s="403">
        <f>'Portefeuille SP2'!AD294</f>
        <v>1</v>
      </c>
      <c r="AS268" s="403">
        <f>'Portefeuille SP2'!AE294</f>
        <v>1</v>
      </c>
      <c r="AT268" s="403">
        <f>'Portefeuille SP2'!AF294</f>
        <v>1</v>
      </c>
      <c r="AU268" s="403">
        <f>'Portefeuille SP2'!AG294</f>
        <v>0</v>
      </c>
      <c r="AV268" s="403">
        <f>'Portefeuille SP2'!AH294</f>
        <v>0</v>
      </c>
      <c r="AW268" s="403">
        <f>'Portefeuille SP2'!AI294</f>
        <v>0</v>
      </c>
      <c r="AX268" s="403">
        <f>'Portefeuille SP2'!AJ294</f>
        <v>0</v>
      </c>
      <c r="AY268" s="403">
        <f>'Portefeuille SP2'!AK294</f>
        <v>0</v>
      </c>
      <c r="AZ268" s="403">
        <f>'Portefeuille SP2'!AL294</f>
        <v>0</v>
      </c>
      <c r="BA268" s="403">
        <f>'Portefeuille SP2'!AM294</f>
        <v>0</v>
      </c>
      <c r="BB268" s="403">
        <f>'Portefeuille SP2'!AN294</f>
        <v>0</v>
      </c>
      <c r="BC268" s="403">
        <f>'Portefeuille SP2'!AO294</f>
        <v>0</v>
      </c>
      <c r="BD268" s="403">
        <f>'Portefeuille SP2'!AP294</f>
        <v>0</v>
      </c>
      <c r="BE268" s="403">
        <f>'Portefeuille SP2'!AQ294</f>
        <v>1</v>
      </c>
      <c r="BF268" s="403">
        <f>'Portefeuille SP2'!AR294</f>
        <v>1</v>
      </c>
      <c r="BG268" s="403" t="e">
        <f>'Portefeuille SP2'!#REF!</f>
        <v>#REF!</v>
      </c>
      <c r="BH268" s="403" t="e">
        <f>'Portefeuille SP2'!#REF!</f>
        <v>#REF!</v>
      </c>
      <c r="BI268" s="403" t="e">
        <f>'Portefeuille SP2'!#REF!</f>
        <v>#REF!</v>
      </c>
      <c r="BJ268" s="403" t="e">
        <f>'Portefeuille SP2'!#REF!</f>
        <v>#REF!</v>
      </c>
      <c r="BK268" s="403" t="e">
        <f>'Portefeuille SP2'!#REF!</f>
        <v>#REF!</v>
      </c>
      <c r="BL268" s="388"/>
      <c r="BM268" s="404">
        <f>'Portefeuille SP2'!L294</f>
        <v>0</v>
      </c>
    </row>
    <row r="269" spans="1:65" ht="15" customHeight="1">
      <c r="A269" s="383">
        <f>'Portefeuille SP2'!B295</f>
        <v>46085</v>
      </c>
      <c r="B269" s="390" t="str">
        <f>'Portefeuille SP2'!Q295</f>
        <v>IN PROGRESS</v>
      </c>
      <c r="C269" s="384"/>
      <c r="D269" s="382" t="str">
        <f>'Portefeuille SP2'!E295</f>
        <v>PTF</v>
      </c>
      <c r="E269" s="382" t="str">
        <f t="shared" si="29"/>
        <v>PHE</v>
      </c>
      <c r="F269" s="382" t="str">
        <f t="shared" si="30"/>
        <v/>
      </c>
      <c r="G269" s="382" t="str">
        <f>'Portefeuille SP2'!C295</f>
        <v>SPC_1</v>
      </c>
      <c r="H269" s="382" t="str">
        <f>'Portefeuille SP2'!F295</f>
        <v>SYLVAIN MAGDELAINE</v>
      </c>
      <c r="I269" s="382"/>
      <c r="J269" s="382" t="str">
        <f>'Portefeuille SP2'!D295</f>
        <v>PHES</v>
      </c>
      <c r="K269" s="385" t="str">
        <f>'Portefeuille SP2'!H295</f>
        <v>optim design exhaust</v>
      </c>
      <c r="L269" s="157">
        <f>'Portefeuille SP2'!U295</f>
        <v>-1.5</v>
      </c>
      <c r="M269" s="386"/>
      <c r="N269" s="386"/>
      <c r="O269" s="386"/>
      <c r="P269" s="387">
        <f>'Portefeuille SP2'!M295</f>
        <v>0</v>
      </c>
      <c r="Q269" s="387"/>
      <c r="R269" s="387">
        <f>'Portefeuille SP2'!N295</f>
        <v>0</v>
      </c>
      <c r="S269" s="387"/>
      <c r="T269" s="382" t="str">
        <f>'Portefeuille SP2'!R295</f>
        <v>TBD</v>
      </c>
      <c r="U269" s="387">
        <f>'Portefeuille SP2'!K295</f>
        <v>0</v>
      </c>
      <c r="V269" s="399">
        <f>'Portefeuille SP2'!S295</f>
        <v>0.5</v>
      </c>
      <c r="W269" s="387"/>
      <c r="X269" s="387"/>
      <c r="Y269" s="387"/>
      <c r="Z269" s="387"/>
      <c r="AA269" s="387"/>
      <c r="AB269" s="387"/>
      <c r="AC269" s="387"/>
      <c r="AD269" s="387"/>
      <c r="AE269" s="400">
        <f>'Portefeuille SP2'!J295</f>
        <v>0</v>
      </c>
      <c r="AF269" s="387"/>
      <c r="AG269" s="387"/>
      <c r="AH269" s="389"/>
      <c r="AI269" s="389"/>
      <c r="AJ269" s="403">
        <f>'Portefeuille SP2'!V295</f>
        <v>1</v>
      </c>
      <c r="AK269" s="403">
        <f>'Portefeuille SP2'!W295</f>
        <v>1</v>
      </c>
      <c r="AL269" s="403">
        <f>'Portefeuille SP2'!X295</f>
        <v>0</v>
      </c>
      <c r="AM269" s="403">
        <f>'Portefeuille SP2'!Y295</f>
        <v>1</v>
      </c>
      <c r="AN269" s="403">
        <f>'Portefeuille SP2'!Z295</f>
        <v>1</v>
      </c>
      <c r="AO269" s="403">
        <f>'Portefeuille SP2'!AA295</f>
        <v>1</v>
      </c>
      <c r="AP269" s="403">
        <f>'Portefeuille SP2'!AB295</f>
        <v>0</v>
      </c>
      <c r="AQ269" s="403">
        <f>'Portefeuille SP2'!AC295</f>
        <v>0</v>
      </c>
      <c r="AR269" s="403">
        <f>'Portefeuille SP2'!AD295</f>
        <v>1</v>
      </c>
      <c r="AS269" s="403">
        <f>'Portefeuille SP2'!AE295</f>
        <v>1</v>
      </c>
      <c r="AT269" s="403">
        <f>'Portefeuille SP2'!AF295</f>
        <v>1</v>
      </c>
      <c r="AU269" s="403">
        <f>'Portefeuille SP2'!AG295</f>
        <v>0</v>
      </c>
      <c r="AV269" s="403">
        <f>'Portefeuille SP2'!AH295</f>
        <v>0</v>
      </c>
      <c r="AW269" s="403">
        <f>'Portefeuille SP2'!AI295</f>
        <v>0</v>
      </c>
      <c r="AX269" s="403">
        <f>'Portefeuille SP2'!AJ295</f>
        <v>0</v>
      </c>
      <c r="AY269" s="403">
        <f>'Portefeuille SP2'!AK295</f>
        <v>0</v>
      </c>
      <c r="AZ269" s="403">
        <f>'Portefeuille SP2'!AL295</f>
        <v>0</v>
      </c>
      <c r="BA269" s="403">
        <f>'Portefeuille SP2'!AM295</f>
        <v>0</v>
      </c>
      <c r="BB269" s="403">
        <f>'Portefeuille SP2'!AN295</f>
        <v>0</v>
      </c>
      <c r="BC269" s="403">
        <f>'Portefeuille SP2'!AO295</f>
        <v>0</v>
      </c>
      <c r="BD269" s="403">
        <f>'Portefeuille SP2'!AP295</f>
        <v>0</v>
      </c>
      <c r="BE269" s="403">
        <f>'Portefeuille SP2'!AQ295</f>
        <v>1</v>
      </c>
      <c r="BF269" s="403">
        <f>'Portefeuille SP2'!AR295</f>
        <v>1</v>
      </c>
      <c r="BG269" s="403" t="e">
        <f>'Portefeuille SP2'!#REF!</f>
        <v>#REF!</v>
      </c>
      <c r="BH269" s="403" t="e">
        <f>'Portefeuille SP2'!#REF!</f>
        <v>#REF!</v>
      </c>
      <c r="BI269" s="403" t="e">
        <f>'Portefeuille SP2'!#REF!</f>
        <v>#REF!</v>
      </c>
      <c r="BJ269" s="403" t="e">
        <f>'Portefeuille SP2'!#REF!</f>
        <v>#REF!</v>
      </c>
      <c r="BK269" s="403" t="e">
        <f>'Portefeuille SP2'!#REF!</f>
        <v>#REF!</v>
      </c>
      <c r="BL269" s="388"/>
      <c r="BM269" s="404">
        <f>'Portefeuille SP2'!L295</f>
        <v>0</v>
      </c>
    </row>
    <row r="270" spans="1:65" ht="15" customHeight="1">
      <c r="A270" s="383">
        <f>'Portefeuille SP2'!B296</f>
        <v>46090</v>
      </c>
      <c r="B270" s="390" t="str">
        <f>'Portefeuille SP2'!Q296</f>
        <v>IN PROGRESS</v>
      </c>
      <c r="C270" s="384"/>
      <c r="D270" s="382" t="str">
        <f>'Portefeuille SP2'!E296</f>
        <v>TH</v>
      </c>
      <c r="E270" s="382" t="str">
        <f t="shared" si="29"/>
        <v>INT</v>
      </c>
      <c r="F270" s="382" t="str">
        <f t="shared" si="30"/>
        <v xml:space="preserve"> SEATS/TRIMS</v>
      </c>
      <c r="G270" s="382" t="str">
        <f>'Portefeuille SP2'!C296</f>
        <v>SPC_1</v>
      </c>
      <c r="H270" s="382" t="str">
        <f>'Portefeuille SP2'!F296</f>
        <v>HALIM</v>
      </c>
      <c r="I270" s="382"/>
      <c r="J270" s="382" t="str">
        <f>'Portefeuille SP2'!D296</f>
        <v>INT - SEATS/TRIMS</v>
      </c>
      <c r="K270" s="385">
        <f>'Portefeuille SP2'!H296</f>
        <v>0</v>
      </c>
      <c r="L270" s="157">
        <f>'Portefeuille SP2'!U296</f>
        <v>0.14000000000000001</v>
      </c>
      <c r="M270" s="386"/>
      <c r="N270" s="386"/>
      <c r="O270" s="386"/>
      <c r="P270" s="387">
        <f>'Portefeuille SP2'!M296</f>
        <v>0</v>
      </c>
      <c r="Q270" s="387"/>
      <c r="R270" s="387">
        <f>'Portefeuille SP2'!N296</f>
        <v>0</v>
      </c>
      <c r="S270" s="387"/>
      <c r="T270" s="382" t="str">
        <f>'Portefeuille SP2'!R296</f>
        <v>TBD</v>
      </c>
      <c r="U270" s="387">
        <f>'Portefeuille SP2'!K296</f>
        <v>0</v>
      </c>
      <c r="V270" s="399">
        <f>'Portefeuille SP2'!S296</f>
        <v>1</v>
      </c>
      <c r="W270" s="387"/>
      <c r="X270" s="387"/>
      <c r="Y270" s="387"/>
      <c r="Z270" s="387"/>
      <c r="AA270" s="387"/>
      <c r="AB270" s="387"/>
      <c r="AC270" s="387"/>
      <c r="AD270" s="387"/>
      <c r="AE270" s="400">
        <f>'Portefeuille SP2'!J296</f>
        <v>0</v>
      </c>
      <c r="AF270" s="387"/>
      <c r="AG270" s="387"/>
      <c r="AH270" s="389"/>
      <c r="AI270" s="389"/>
      <c r="AJ270" s="403">
        <f>'Portefeuille SP2'!V296</f>
        <v>1</v>
      </c>
      <c r="AK270" s="403">
        <f>'Portefeuille SP2'!W296</f>
        <v>1</v>
      </c>
      <c r="AL270" s="403">
        <f>'Portefeuille SP2'!X296</f>
        <v>1</v>
      </c>
      <c r="AM270" s="403">
        <f>'Portefeuille SP2'!Y296</f>
        <v>1</v>
      </c>
      <c r="AN270" s="403">
        <f>'Portefeuille SP2'!Z296</f>
        <v>1</v>
      </c>
      <c r="AO270" s="403">
        <f>'Portefeuille SP2'!AA296</f>
        <v>0</v>
      </c>
      <c r="AP270" s="403">
        <f>'Portefeuille SP2'!AB296</f>
        <v>0</v>
      </c>
      <c r="AQ270" s="403">
        <f>'Portefeuille SP2'!AC296</f>
        <v>0</v>
      </c>
      <c r="AR270" s="403">
        <f>'Portefeuille SP2'!AD296</f>
        <v>0</v>
      </c>
      <c r="AS270" s="403">
        <f>'Portefeuille SP2'!AE296</f>
        <v>0</v>
      </c>
      <c r="AT270" s="403">
        <f>'Portefeuille SP2'!AF296</f>
        <v>0</v>
      </c>
      <c r="AU270" s="403">
        <f>'Portefeuille SP2'!AG296</f>
        <v>0</v>
      </c>
      <c r="AV270" s="403">
        <f>'Portefeuille SP2'!AH296</f>
        <v>0</v>
      </c>
      <c r="AW270" s="403">
        <f>'Portefeuille SP2'!AI296</f>
        <v>0</v>
      </c>
      <c r="AX270" s="403">
        <f>'Portefeuille SP2'!AJ296</f>
        <v>0</v>
      </c>
      <c r="AY270" s="403">
        <f>'Portefeuille SP2'!AK296</f>
        <v>0</v>
      </c>
      <c r="AZ270" s="403">
        <f>'Portefeuille SP2'!AL296</f>
        <v>0</v>
      </c>
      <c r="BA270" s="403">
        <f>'Portefeuille SP2'!AM296</f>
        <v>0</v>
      </c>
      <c r="BB270" s="403">
        <f>'Portefeuille SP2'!AN296</f>
        <v>1</v>
      </c>
      <c r="BC270" s="403">
        <f>'Portefeuille SP2'!AO296</f>
        <v>1</v>
      </c>
      <c r="BD270" s="403">
        <f>'Portefeuille SP2'!AP296</f>
        <v>1</v>
      </c>
      <c r="BE270" s="403">
        <f>'Portefeuille SP2'!AQ296</f>
        <v>1</v>
      </c>
      <c r="BF270" s="403">
        <f>'Portefeuille SP2'!AR296</f>
        <v>1</v>
      </c>
      <c r="BG270" s="403" t="e">
        <f>'Portefeuille SP2'!#REF!</f>
        <v>#REF!</v>
      </c>
      <c r="BH270" s="403" t="e">
        <f>'Portefeuille SP2'!#REF!</f>
        <v>#REF!</v>
      </c>
      <c r="BI270" s="403" t="e">
        <f>'Portefeuille SP2'!#REF!</f>
        <v>#REF!</v>
      </c>
      <c r="BJ270" s="403" t="e">
        <f>'Portefeuille SP2'!#REF!</f>
        <v>#REF!</v>
      </c>
      <c r="BK270" s="403" t="e">
        <f>'Portefeuille SP2'!#REF!</f>
        <v>#REF!</v>
      </c>
      <c r="BL270" s="388"/>
      <c r="BM270" s="404">
        <f>'Portefeuille SP2'!L296</f>
        <v>0</v>
      </c>
    </row>
    <row r="271" spans="1:65" ht="15" customHeight="1">
      <c r="A271" s="383">
        <f>'Portefeuille SP2'!B297</f>
        <v>46078</v>
      </c>
      <c r="B271" s="390" t="str">
        <f>'Portefeuille SP2'!Q297</f>
        <v>DECIDED</v>
      </c>
      <c r="C271" s="384"/>
      <c r="D271" s="382" t="str">
        <f>'Portefeuille SP2'!E297</f>
        <v>PTF</v>
      </c>
      <c r="E271" s="382" t="str">
        <f t="shared" si="29"/>
        <v>BCI</v>
      </c>
      <c r="F271" s="382" t="str">
        <f t="shared" si="30"/>
        <v>HASSIS</v>
      </c>
      <c r="G271" s="382" t="str">
        <f>'Portefeuille SP2'!C297</f>
        <v>SPC_1</v>
      </c>
      <c r="H271" s="382" t="str">
        <f>'Portefeuille SP2'!F297</f>
        <v>FREDERIC GUINGAND</v>
      </c>
      <c r="I271" s="382"/>
      <c r="J271" s="382" t="str">
        <f>'Portefeuille SP2'!D297</f>
        <v>BCI_CHASSIS</v>
      </c>
      <c r="K271" s="385" t="str">
        <f>'Portefeuille SP2'!H297</f>
        <v xml:space="preserve">Fr disk 315 =&gt; 302 </v>
      </c>
      <c r="L271" s="157">
        <f>'Portefeuille SP2'!U297</f>
        <v>-2.5</v>
      </c>
      <c r="M271" s="386"/>
      <c r="N271" s="386"/>
      <c r="O271" s="386"/>
      <c r="P271" s="387">
        <f>'Portefeuille SP2'!M297</f>
        <v>0</v>
      </c>
      <c r="Q271" s="387"/>
      <c r="R271" s="387">
        <f>'Portefeuille SP2'!N297</f>
        <v>0</v>
      </c>
      <c r="S271" s="387"/>
      <c r="T271" s="382" t="str">
        <f>'Portefeuille SP2'!R297</f>
        <v>TBD</v>
      </c>
      <c r="U271" s="387">
        <f>'Portefeuille SP2'!K297</f>
        <v>0</v>
      </c>
      <c r="V271" s="399">
        <f>'Portefeuille SP2'!S297</f>
        <v>1</v>
      </c>
      <c r="W271" s="387"/>
      <c r="X271" s="387"/>
      <c r="Y271" s="387"/>
      <c r="Z271" s="387"/>
      <c r="AA271" s="387"/>
      <c r="AB271" s="387"/>
      <c r="AC271" s="387"/>
      <c r="AD271" s="387"/>
      <c r="AE271" s="400">
        <f>'Portefeuille SP2'!J297</f>
        <v>0</v>
      </c>
      <c r="AF271" s="387"/>
      <c r="AG271" s="387"/>
      <c r="AH271" s="389"/>
      <c r="AI271" s="389"/>
      <c r="AJ271" s="403">
        <f>'Portefeuille SP2'!V297</f>
        <v>0</v>
      </c>
      <c r="AK271" s="403">
        <f>'Portefeuille SP2'!W297</f>
        <v>0</v>
      </c>
      <c r="AL271" s="403">
        <f>'Portefeuille SP2'!X297</f>
        <v>0</v>
      </c>
      <c r="AM271" s="403">
        <f>'Portefeuille SP2'!Y297</f>
        <v>1</v>
      </c>
      <c r="AN271" s="403">
        <f>'Portefeuille SP2'!Z297</f>
        <v>1</v>
      </c>
      <c r="AO271" s="403">
        <f>'Portefeuille SP2'!AA297</f>
        <v>0</v>
      </c>
      <c r="AP271" s="403">
        <f>'Portefeuille SP2'!AB297</f>
        <v>0</v>
      </c>
      <c r="AQ271" s="403">
        <f>'Portefeuille SP2'!AC297</f>
        <v>1</v>
      </c>
      <c r="AR271" s="403">
        <f>'Portefeuille SP2'!AD297</f>
        <v>1</v>
      </c>
      <c r="AS271" s="403">
        <f>'Portefeuille SP2'!AE297</f>
        <v>0</v>
      </c>
      <c r="AT271" s="403">
        <f>'Portefeuille SP2'!AF297</f>
        <v>0</v>
      </c>
      <c r="AU271" s="403">
        <f>'Portefeuille SP2'!AG297</f>
        <v>0</v>
      </c>
      <c r="AV271" s="403">
        <f>'Portefeuille SP2'!AH297</f>
        <v>1</v>
      </c>
      <c r="AW271" s="403">
        <f>'Portefeuille SP2'!AI297</f>
        <v>1</v>
      </c>
      <c r="AX271" s="403">
        <f>'Portefeuille SP2'!AJ297</f>
        <v>0</v>
      </c>
      <c r="AY271" s="403">
        <f>'Portefeuille SP2'!AK297</f>
        <v>0</v>
      </c>
      <c r="AZ271" s="403">
        <f>'Portefeuille SP2'!AL297</f>
        <v>1</v>
      </c>
      <c r="BA271" s="403">
        <f>'Portefeuille SP2'!AM297</f>
        <v>1</v>
      </c>
      <c r="BB271" s="403">
        <f>'Portefeuille SP2'!AN297</f>
        <v>0</v>
      </c>
      <c r="BC271" s="403">
        <f>'Portefeuille SP2'!AO297</f>
        <v>0</v>
      </c>
      <c r="BD271" s="403">
        <f>'Portefeuille SP2'!AP297</f>
        <v>0</v>
      </c>
      <c r="BE271" s="403">
        <f>'Portefeuille SP2'!AQ297</f>
        <v>0</v>
      </c>
      <c r="BF271" s="403">
        <f>'Portefeuille SP2'!AR297</f>
        <v>1</v>
      </c>
      <c r="BG271" s="403" t="e">
        <f>'Portefeuille SP2'!#REF!</f>
        <v>#REF!</v>
      </c>
      <c r="BH271" s="403" t="e">
        <f>'Portefeuille SP2'!#REF!</f>
        <v>#REF!</v>
      </c>
      <c r="BI271" s="403" t="e">
        <f>'Portefeuille SP2'!#REF!</f>
        <v>#REF!</v>
      </c>
      <c r="BJ271" s="403" t="e">
        <f>'Portefeuille SP2'!#REF!</f>
        <v>#REF!</v>
      </c>
      <c r="BK271" s="403" t="e">
        <f>'Portefeuille SP2'!#REF!</f>
        <v>#REF!</v>
      </c>
      <c r="BL271" s="388"/>
      <c r="BM271" s="404" t="str">
        <f>'Portefeuille SP2'!L297</f>
        <v xml:space="preserve">Plus support etrier à prendre en compte. Masse ? </v>
      </c>
    </row>
    <row r="272" spans="1:65" ht="15" customHeight="1">
      <c r="A272" s="383">
        <f>'Portefeuille SP2'!B298</f>
        <v>46097</v>
      </c>
      <c r="B272" s="390" t="str">
        <f>'Portefeuille SP2'!Q298</f>
        <v>IN PROGRESS</v>
      </c>
      <c r="C272" s="384"/>
      <c r="D272" s="382" t="str">
        <f>'Portefeuille SP2'!E298</f>
        <v>PWT</v>
      </c>
      <c r="E272" s="382" t="str">
        <f t="shared" si="29"/>
        <v>PRS</v>
      </c>
      <c r="F272" s="382" t="str">
        <f t="shared" si="30"/>
        <v/>
      </c>
      <c r="G272" s="382" t="str">
        <f>'Portefeuille SP2'!C298</f>
        <v>SPC_1</v>
      </c>
      <c r="H272" s="382" t="str">
        <f>'Portefeuille SP2'!F298</f>
        <v>Gilles papet</v>
      </c>
      <c r="I272" s="382"/>
      <c r="J272" s="382" t="str">
        <f>'Portefeuille SP2'!D298</f>
        <v xml:space="preserve">PRS </v>
      </c>
      <c r="K272" s="385" t="str">
        <f>'Portefeuille SP2'!H298</f>
        <v xml:space="preserve">Houssing battery </v>
      </c>
      <c r="L272" s="157">
        <f>'Portefeuille SP2'!U298</f>
        <v>0</v>
      </c>
      <c r="M272" s="386"/>
      <c r="N272" s="386"/>
      <c r="O272" s="386"/>
      <c r="P272" s="387">
        <f>'Portefeuille SP2'!M298</f>
        <v>0</v>
      </c>
      <c r="Q272" s="387"/>
      <c r="R272" s="387">
        <f>'Portefeuille SP2'!N298</f>
        <v>0</v>
      </c>
      <c r="S272" s="387"/>
      <c r="T272" s="382" t="str">
        <f>'Portefeuille SP2'!R298</f>
        <v>TBD</v>
      </c>
      <c r="U272" s="387">
        <f>'Portefeuille SP2'!K298</f>
        <v>0</v>
      </c>
      <c r="V272" s="399">
        <f>'Portefeuille SP2'!S298</f>
        <v>0</v>
      </c>
      <c r="W272" s="387"/>
      <c r="X272" s="387"/>
      <c r="Y272" s="387"/>
      <c r="Z272" s="387"/>
      <c r="AA272" s="387"/>
      <c r="AB272" s="387"/>
      <c r="AC272" s="387"/>
      <c r="AD272" s="387"/>
      <c r="AE272" s="400">
        <f>'Portefeuille SP2'!J298</f>
        <v>0</v>
      </c>
      <c r="AF272" s="387"/>
      <c r="AG272" s="387"/>
      <c r="AH272" s="389"/>
      <c r="AI272" s="389"/>
      <c r="AJ272" s="403">
        <f>'Portefeuille SP2'!V298</f>
        <v>0</v>
      </c>
      <c r="AK272" s="403">
        <f>'Portefeuille SP2'!W298</f>
        <v>0</v>
      </c>
      <c r="AL272" s="403">
        <f>'Portefeuille SP2'!X298</f>
        <v>0</v>
      </c>
      <c r="AM272" s="403">
        <f>'Portefeuille SP2'!Y298</f>
        <v>1</v>
      </c>
      <c r="AN272" s="403">
        <f>'Portefeuille SP2'!Z298</f>
        <v>0</v>
      </c>
      <c r="AO272" s="403">
        <f>'Portefeuille SP2'!AA298</f>
        <v>0</v>
      </c>
      <c r="AP272" s="403">
        <f>'Portefeuille SP2'!AB298</f>
        <v>0</v>
      </c>
      <c r="AQ272" s="403">
        <f>'Portefeuille SP2'!AC298</f>
        <v>1</v>
      </c>
      <c r="AR272" s="403">
        <f>'Portefeuille SP2'!AD298</f>
        <v>0</v>
      </c>
      <c r="AS272" s="403">
        <f>'Portefeuille SP2'!AE298</f>
        <v>0</v>
      </c>
      <c r="AT272" s="403">
        <f>'Portefeuille SP2'!AF298</f>
        <v>0</v>
      </c>
      <c r="AU272" s="403">
        <f>'Portefeuille SP2'!AG298</f>
        <v>0</v>
      </c>
      <c r="AV272" s="403">
        <f>'Portefeuille SP2'!AH298</f>
        <v>1</v>
      </c>
      <c r="AW272" s="403">
        <f>'Portefeuille SP2'!AI298</f>
        <v>0</v>
      </c>
      <c r="AX272" s="403">
        <f>'Portefeuille SP2'!AJ298</f>
        <v>0</v>
      </c>
      <c r="AY272" s="403">
        <f>'Portefeuille SP2'!AK298</f>
        <v>0</v>
      </c>
      <c r="AZ272" s="403">
        <f>'Portefeuille SP2'!AL298</f>
        <v>1</v>
      </c>
      <c r="BA272" s="403">
        <f>'Portefeuille SP2'!AM298</f>
        <v>0</v>
      </c>
      <c r="BB272" s="403">
        <f>'Portefeuille SP2'!AN298</f>
        <v>0</v>
      </c>
      <c r="BC272" s="403">
        <f>'Portefeuille SP2'!AO298</f>
        <v>0</v>
      </c>
      <c r="BD272" s="403">
        <f>'Portefeuille SP2'!AP298</f>
        <v>0</v>
      </c>
      <c r="BE272" s="403">
        <f>'Portefeuille SP2'!AQ298</f>
        <v>0</v>
      </c>
      <c r="BF272" s="403">
        <f>'Portefeuille SP2'!AR298</f>
        <v>1</v>
      </c>
      <c r="BG272" s="403" t="e">
        <f>'Portefeuille SP2'!#REF!</f>
        <v>#REF!</v>
      </c>
      <c r="BH272" s="403" t="e">
        <f>'Portefeuille SP2'!#REF!</f>
        <v>#REF!</v>
      </c>
      <c r="BI272" s="403" t="e">
        <f>'Portefeuille SP2'!#REF!</f>
        <v>#REF!</v>
      </c>
      <c r="BJ272" s="403" t="e">
        <f>'Portefeuille SP2'!#REF!</f>
        <v>#REF!</v>
      </c>
      <c r="BK272" s="403" t="e">
        <f>'Portefeuille SP2'!#REF!</f>
        <v>#REF!</v>
      </c>
      <c r="BL272" s="388"/>
      <c r="BM272" s="404">
        <f>'Portefeuille SP2'!L298</f>
        <v>0</v>
      </c>
    </row>
    <row r="273" spans="1:65" ht="15" customHeight="1">
      <c r="A273" s="383">
        <f>'Portefeuille SP2'!B299</f>
        <v>46097</v>
      </c>
      <c r="B273" s="390" t="str">
        <f>'Portefeuille SP2'!Q299</f>
        <v>IN PROGRESS</v>
      </c>
      <c r="C273" s="384"/>
      <c r="D273" s="382" t="str">
        <f>'Portefeuille SP2'!E299</f>
        <v>PTF</v>
      </c>
      <c r="E273" s="382" t="str">
        <f t="shared" si="29"/>
        <v>PHE</v>
      </c>
      <c r="F273" s="382" t="str">
        <f t="shared" si="30"/>
        <v/>
      </c>
      <c r="G273" s="382" t="str">
        <f>'Portefeuille SP2'!C299</f>
        <v>SPC_1</v>
      </c>
      <c r="H273" s="382" t="str">
        <f>'Portefeuille SP2'!F299</f>
        <v>SYLVAIN MAGDELAINE</v>
      </c>
      <c r="I273" s="382"/>
      <c r="J273" s="382" t="str">
        <f>'Portefeuille SP2'!D299</f>
        <v>PHES</v>
      </c>
      <c r="K273" s="385" t="str">
        <f>'Portefeuille SP2'!H299</f>
        <v xml:space="preserve">EGR support </v>
      </c>
      <c r="L273" s="157">
        <f>'Portefeuille SP2'!U299</f>
        <v>0.30000000000000004</v>
      </c>
      <c r="M273" s="386"/>
      <c r="N273" s="386"/>
      <c r="O273" s="386"/>
      <c r="P273" s="387">
        <f>'Portefeuille SP2'!M299</f>
        <v>0</v>
      </c>
      <c r="Q273" s="387"/>
      <c r="R273" s="387">
        <f>'Portefeuille SP2'!N299</f>
        <v>0</v>
      </c>
      <c r="S273" s="387"/>
      <c r="T273" s="382" t="str">
        <f>'Portefeuille SP2'!R299</f>
        <v>TBD</v>
      </c>
      <c r="U273" s="387">
        <f>'Portefeuille SP2'!K299</f>
        <v>0</v>
      </c>
      <c r="V273" s="399">
        <f>'Portefeuille SP2'!S299</f>
        <v>0.2</v>
      </c>
      <c r="W273" s="387"/>
      <c r="X273" s="387"/>
      <c r="Y273" s="387"/>
      <c r="Z273" s="387"/>
      <c r="AA273" s="387"/>
      <c r="AB273" s="387"/>
      <c r="AC273" s="387"/>
      <c r="AD273" s="387"/>
      <c r="AE273" s="400">
        <f>'Portefeuille SP2'!J299</f>
        <v>0</v>
      </c>
      <c r="AF273" s="387"/>
      <c r="AG273" s="387"/>
      <c r="AH273" s="389"/>
      <c r="AI273" s="389"/>
      <c r="AJ273" s="403">
        <f>'Portefeuille SP2'!V299</f>
        <v>0</v>
      </c>
      <c r="AK273" s="403">
        <f>'Portefeuille SP2'!W299</f>
        <v>0</v>
      </c>
      <c r="AL273" s="403">
        <f>'Portefeuille SP2'!X299</f>
        <v>0</v>
      </c>
      <c r="AM273" s="403">
        <f>'Portefeuille SP2'!Y299</f>
        <v>1</v>
      </c>
      <c r="AN273" s="403">
        <f>'Portefeuille SP2'!Z299</f>
        <v>0</v>
      </c>
      <c r="AO273" s="403">
        <f>'Portefeuille SP2'!AA299</f>
        <v>0</v>
      </c>
      <c r="AP273" s="403">
        <f>'Portefeuille SP2'!AB299</f>
        <v>0</v>
      </c>
      <c r="AQ273" s="403">
        <f>'Portefeuille SP2'!AC299</f>
        <v>1</v>
      </c>
      <c r="AR273" s="403">
        <f>'Portefeuille SP2'!AD299</f>
        <v>0</v>
      </c>
      <c r="AS273" s="403">
        <f>'Portefeuille SP2'!AE299</f>
        <v>0</v>
      </c>
      <c r="AT273" s="403">
        <f>'Portefeuille SP2'!AF299</f>
        <v>0</v>
      </c>
      <c r="AU273" s="403">
        <f>'Portefeuille SP2'!AG299</f>
        <v>0</v>
      </c>
      <c r="AV273" s="403">
        <f>'Portefeuille SP2'!AH299</f>
        <v>1</v>
      </c>
      <c r="AW273" s="403">
        <f>'Portefeuille SP2'!AI299</f>
        <v>0</v>
      </c>
      <c r="AX273" s="403">
        <f>'Portefeuille SP2'!AJ299</f>
        <v>0</v>
      </c>
      <c r="AY273" s="403">
        <f>'Portefeuille SP2'!AK299</f>
        <v>0</v>
      </c>
      <c r="AZ273" s="403">
        <f>'Portefeuille SP2'!AL299</f>
        <v>1</v>
      </c>
      <c r="BA273" s="403">
        <f>'Portefeuille SP2'!AM299</f>
        <v>0</v>
      </c>
      <c r="BB273" s="403">
        <f>'Portefeuille SP2'!AN299</f>
        <v>0</v>
      </c>
      <c r="BC273" s="403">
        <f>'Portefeuille SP2'!AO299</f>
        <v>0</v>
      </c>
      <c r="BD273" s="403">
        <f>'Portefeuille SP2'!AP299</f>
        <v>0</v>
      </c>
      <c r="BE273" s="403">
        <f>'Portefeuille SP2'!AQ299</f>
        <v>1</v>
      </c>
      <c r="BF273" s="403">
        <f>'Portefeuille SP2'!AR299</f>
        <v>1</v>
      </c>
      <c r="BG273" s="403" t="e">
        <f>'Portefeuille SP2'!#REF!</f>
        <v>#REF!</v>
      </c>
      <c r="BH273" s="403" t="e">
        <f>'Portefeuille SP2'!#REF!</f>
        <v>#REF!</v>
      </c>
      <c r="BI273" s="403" t="e">
        <f>'Portefeuille SP2'!#REF!</f>
        <v>#REF!</v>
      </c>
      <c r="BJ273" s="403" t="e">
        <f>'Portefeuille SP2'!#REF!</f>
        <v>#REF!</v>
      </c>
      <c r="BK273" s="403" t="e">
        <f>'Portefeuille SP2'!#REF!</f>
        <v>#REF!</v>
      </c>
      <c r="BL273" s="388"/>
      <c r="BM273" s="404">
        <f>'Portefeuille SP2'!L299</f>
        <v>0</v>
      </c>
    </row>
    <row r="274" spans="1:65" ht="15" customHeight="1">
      <c r="A274" s="383">
        <f>'Portefeuille SP2'!B300</f>
        <v>46098</v>
      </c>
      <c r="B274" s="390" t="str">
        <f>'Portefeuille SP2'!Q300</f>
        <v>IN PROGRESS</v>
      </c>
      <c r="C274" s="384"/>
      <c r="D274" s="382" t="str">
        <f>'Portefeuille SP2'!E300</f>
        <v>PWT</v>
      </c>
      <c r="E274" s="382" t="str">
        <f t="shared" si="29"/>
        <v>PRS</v>
      </c>
      <c r="F274" s="382" t="str">
        <f t="shared" si="30"/>
        <v/>
      </c>
      <c r="G274" s="382" t="str">
        <f>'Portefeuille SP2'!C300</f>
        <v>SPC_1</v>
      </c>
      <c r="H274" s="382" t="str">
        <f>'Portefeuille SP2'!F300</f>
        <v>Paul patenotte</v>
      </c>
      <c r="I274" s="382"/>
      <c r="J274" s="382" t="str">
        <f>'Portefeuille SP2'!D300</f>
        <v xml:space="preserve">PRS </v>
      </c>
      <c r="K274" s="385" t="str">
        <f>'Portefeuille SP2'!H300</f>
        <v xml:space="preserve">Risk HEV battey </v>
      </c>
      <c r="L274" s="157">
        <f>'Portefeuille SP2'!U300</f>
        <v>3</v>
      </c>
      <c r="M274" s="386"/>
      <c r="N274" s="386"/>
      <c r="O274" s="386"/>
      <c r="P274" s="387">
        <f>'Portefeuille SP2'!M300</f>
        <v>0</v>
      </c>
      <c r="Q274" s="387"/>
      <c r="R274" s="387">
        <f>'Portefeuille SP2'!N300</f>
        <v>0</v>
      </c>
      <c r="S274" s="387"/>
      <c r="T274" s="382" t="str">
        <f>'Portefeuille SP2'!R300</f>
        <v>TBD</v>
      </c>
      <c r="U274" s="387">
        <f>'Portefeuille SP2'!K300</f>
        <v>0</v>
      </c>
      <c r="V274" s="399">
        <f>'Portefeuille SP2'!S300</f>
        <v>1</v>
      </c>
      <c r="W274" s="387"/>
      <c r="X274" s="387"/>
      <c r="Y274" s="387"/>
      <c r="Z274" s="387"/>
      <c r="AA274" s="387"/>
      <c r="AB274" s="387"/>
      <c r="AC274" s="387"/>
      <c r="AD274" s="387"/>
      <c r="AE274" s="400">
        <f>'Portefeuille SP2'!J300</f>
        <v>0</v>
      </c>
      <c r="AF274" s="387"/>
      <c r="AG274" s="387"/>
      <c r="AH274" s="389"/>
      <c r="AI274" s="389"/>
      <c r="AJ274" s="403">
        <f>'Portefeuille SP2'!V300</f>
        <v>0</v>
      </c>
      <c r="AK274" s="403">
        <f>'Portefeuille SP2'!W300</f>
        <v>0</v>
      </c>
      <c r="AL274" s="403">
        <f>'Portefeuille SP2'!X300</f>
        <v>0</v>
      </c>
      <c r="AM274" s="403">
        <f>'Portefeuille SP2'!Y300</f>
        <v>1</v>
      </c>
      <c r="AN274" s="403">
        <f>'Portefeuille SP2'!Z300</f>
        <v>0</v>
      </c>
      <c r="AO274" s="403">
        <f>'Portefeuille SP2'!AA300</f>
        <v>0</v>
      </c>
      <c r="AP274" s="403">
        <f>'Portefeuille SP2'!AB300</f>
        <v>0</v>
      </c>
      <c r="AQ274" s="403">
        <f>'Portefeuille SP2'!AC300</f>
        <v>1</v>
      </c>
      <c r="AR274" s="403">
        <f>'Portefeuille SP2'!AD300</f>
        <v>0</v>
      </c>
      <c r="AS274" s="403">
        <f>'Portefeuille SP2'!AE300</f>
        <v>0</v>
      </c>
      <c r="AT274" s="403">
        <f>'Portefeuille SP2'!AF300</f>
        <v>0</v>
      </c>
      <c r="AU274" s="403">
        <f>'Portefeuille SP2'!AG300</f>
        <v>0</v>
      </c>
      <c r="AV274" s="403">
        <f>'Portefeuille SP2'!AH300</f>
        <v>1</v>
      </c>
      <c r="AW274" s="403">
        <f>'Portefeuille SP2'!AI300</f>
        <v>0</v>
      </c>
      <c r="AX274" s="403">
        <f>'Portefeuille SP2'!AJ300</f>
        <v>0</v>
      </c>
      <c r="AY274" s="403">
        <f>'Portefeuille SP2'!AK300</f>
        <v>0</v>
      </c>
      <c r="AZ274" s="403">
        <f>'Portefeuille SP2'!AL300</f>
        <v>1</v>
      </c>
      <c r="BA274" s="403">
        <f>'Portefeuille SP2'!AM300</f>
        <v>0</v>
      </c>
      <c r="BB274" s="403">
        <f>'Portefeuille SP2'!AN300</f>
        <v>0</v>
      </c>
      <c r="BC274" s="403">
        <f>'Portefeuille SP2'!AO300</f>
        <v>0</v>
      </c>
      <c r="BD274" s="403">
        <f>'Portefeuille SP2'!AP300</f>
        <v>0</v>
      </c>
      <c r="BE274" s="403">
        <f>'Portefeuille SP2'!AQ300</f>
        <v>0</v>
      </c>
      <c r="BF274" s="403">
        <f>'Portefeuille SP2'!AR300</f>
        <v>1</v>
      </c>
      <c r="BG274" s="403" t="e">
        <f>'Portefeuille SP2'!#REF!</f>
        <v>#REF!</v>
      </c>
      <c r="BH274" s="403" t="e">
        <f>'Portefeuille SP2'!#REF!</f>
        <v>#REF!</v>
      </c>
      <c r="BI274" s="403" t="e">
        <f>'Portefeuille SP2'!#REF!</f>
        <v>#REF!</v>
      </c>
      <c r="BJ274" s="403" t="e">
        <f>'Portefeuille SP2'!#REF!</f>
        <v>#REF!</v>
      </c>
      <c r="BK274" s="403" t="e">
        <f>'Portefeuille SP2'!#REF!</f>
        <v>#REF!</v>
      </c>
      <c r="BL274" s="388"/>
      <c r="BM274" s="404">
        <f>'Portefeuille SP2'!L300</f>
        <v>0</v>
      </c>
    </row>
    <row r="275" spans="1:65" ht="15" customHeight="1">
      <c r="A275" s="383" t="e">
        <f>'Portefeuille SP2'!#REF!</f>
        <v>#REF!</v>
      </c>
      <c r="B275" s="390" t="e">
        <f>'Portefeuille SP2'!#REF!</f>
        <v>#REF!</v>
      </c>
      <c r="C275" s="384"/>
      <c r="D275" s="382" t="e">
        <f>'Portefeuille SP2'!#REF!</f>
        <v>#REF!</v>
      </c>
      <c r="E275" s="382" t="e">
        <f t="shared" si="29"/>
        <v>#REF!</v>
      </c>
      <c r="F275" s="382" t="e">
        <f t="shared" si="30"/>
        <v>#REF!</v>
      </c>
      <c r="G275" s="382" t="e">
        <f>'Portefeuille SP2'!#REF!</f>
        <v>#REF!</v>
      </c>
      <c r="H275" s="382" t="e">
        <f>'Portefeuille SP2'!#REF!</f>
        <v>#REF!</v>
      </c>
      <c r="I275" s="382"/>
      <c r="J275" s="382" t="e">
        <f>'Portefeuille SP2'!#REF!</f>
        <v>#REF!</v>
      </c>
      <c r="K275" s="385" t="e">
        <f>'Portefeuille SP2'!#REF!</f>
        <v>#REF!</v>
      </c>
      <c r="L275" s="157" t="e">
        <f>'Portefeuille SP2'!#REF!</f>
        <v>#REF!</v>
      </c>
      <c r="M275" s="386"/>
      <c r="N275" s="386"/>
      <c r="O275" s="386"/>
      <c r="P275" s="387" t="e">
        <f>'Portefeuille SP2'!#REF!</f>
        <v>#REF!</v>
      </c>
      <c r="Q275" s="387"/>
      <c r="R275" s="387" t="e">
        <f>'Portefeuille SP2'!#REF!</f>
        <v>#REF!</v>
      </c>
      <c r="S275" s="387"/>
      <c r="T275" s="382" t="e">
        <f>'Portefeuille SP2'!#REF!</f>
        <v>#REF!</v>
      </c>
      <c r="U275" s="387" t="e">
        <f>'Portefeuille SP2'!#REF!</f>
        <v>#REF!</v>
      </c>
      <c r="V275" s="399" t="e">
        <f>'Portefeuille SP2'!#REF!</f>
        <v>#REF!</v>
      </c>
      <c r="W275" s="387"/>
      <c r="X275" s="387"/>
      <c r="Y275" s="387"/>
      <c r="Z275" s="387"/>
      <c r="AA275" s="387"/>
      <c r="AB275" s="387"/>
      <c r="AC275" s="387"/>
      <c r="AD275" s="387"/>
      <c r="AE275" s="400" t="e">
        <f>'Portefeuille SP2'!#REF!</f>
        <v>#REF!</v>
      </c>
      <c r="AF275" s="387"/>
      <c r="AG275" s="387"/>
      <c r="AH275" s="389"/>
      <c r="AI275" s="389"/>
      <c r="AJ275" s="403" t="e">
        <f>'Portefeuille SP2'!#REF!</f>
        <v>#REF!</v>
      </c>
      <c r="AK275" s="403" t="e">
        <f>'Portefeuille SP2'!#REF!</f>
        <v>#REF!</v>
      </c>
      <c r="AL275" s="403" t="e">
        <f>'Portefeuille SP2'!#REF!</f>
        <v>#REF!</v>
      </c>
      <c r="AM275" s="403" t="e">
        <f>'Portefeuille SP2'!#REF!</f>
        <v>#REF!</v>
      </c>
      <c r="AN275" s="403" t="e">
        <f>'Portefeuille SP2'!#REF!</f>
        <v>#REF!</v>
      </c>
      <c r="AO275" s="403" t="e">
        <f>'Portefeuille SP2'!#REF!</f>
        <v>#REF!</v>
      </c>
      <c r="AP275" s="403" t="e">
        <f>'Portefeuille SP2'!#REF!</f>
        <v>#REF!</v>
      </c>
      <c r="AQ275" s="403" t="e">
        <f>'Portefeuille SP2'!#REF!</f>
        <v>#REF!</v>
      </c>
      <c r="AR275" s="403" t="e">
        <f>'Portefeuille SP2'!#REF!</f>
        <v>#REF!</v>
      </c>
      <c r="AS275" s="403" t="e">
        <f>'Portefeuille SP2'!#REF!</f>
        <v>#REF!</v>
      </c>
      <c r="AT275" s="403" t="e">
        <f>'Portefeuille SP2'!#REF!</f>
        <v>#REF!</v>
      </c>
      <c r="AU275" s="403" t="e">
        <f>'Portefeuille SP2'!#REF!</f>
        <v>#REF!</v>
      </c>
      <c r="AV275" s="403" t="e">
        <f>'Portefeuille SP2'!#REF!</f>
        <v>#REF!</v>
      </c>
      <c r="AW275" s="403" t="e">
        <f>'Portefeuille SP2'!#REF!</f>
        <v>#REF!</v>
      </c>
      <c r="AX275" s="403" t="e">
        <f>'Portefeuille SP2'!#REF!</f>
        <v>#REF!</v>
      </c>
      <c r="AY275" s="403" t="e">
        <f>'Portefeuille SP2'!#REF!</f>
        <v>#REF!</v>
      </c>
      <c r="AZ275" s="403" t="e">
        <f>'Portefeuille SP2'!#REF!</f>
        <v>#REF!</v>
      </c>
      <c r="BA275" s="403" t="e">
        <f>'Portefeuille SP2'!#REF!</f>
        <v>#REF!</v>
      </c>
      <c r="BB275" s="403" t="e">
        <f>'Portefeuille SP2'!#REF!</f>
        <v>#REF!</v>
      </c>
      <c r="BC275" s="403" t="e">
        <f>'Portefeuille SP2'!#REF!</f>
        <v>#REF!</v>
      </c>
      <c r="BD275" s="403" t="e">
        <f>'Portefeuille SP2'!#REF!</f>
        <v>#REF!</v>
      </c>
      <c r="BE275" s="403" t="e">
        <f>'Portefeuille SP2'!#REF!</f>
        <v>#REF!</v>
      </c>
      <c r="BF275" s="403" t="e">
        <f>'Portefeuille SP2'!#REF!</f>
        <v>#REF!</v>
      </c>
      <c r="BG275" s="403" t="e">
        <f>'Portefeuille SP2'!#REF!</f>
        <v>#REF!</v>
      </c>
      <c r="BH275" s="403" t="e">
        <f>'Portefeuille SP2'!#REF!</f>
        <v>#REF!</v>
      </c>
      <c r="BI275" s="403" t="e">
        <f>'Portefeuille SP2'!#REF!</f>
        <v>#REF!</v>
      </c>
      <c r="BJ275" s="403" t="e">
        <f>'Portefeuille SP2'!#REF!</f>
        <v>#REF!</v>
      </c>
      <c r="BK275" s="403" t="e">
        <f>'Portefeuille SP2'!#REF!</f>
        <v>#REF!</v>
      </c>
      <c r="BL275" s="388"/>
      <c r="BM275" s="404" t="e">
        <f>'Portefeuille SP2'!#REF!</f>
        <v>#REF!</v>
      </c>
    </row>
    <row r="276" spans="1:65" ht="15" customHeight="1">
      <c r="A276" s="383">
        <f>'Portefeuille SP2'!B301</f>
        <v>46098</v>
      </c>
      <c r="B276" s="390" t="str">
        <f>'Portefeuille SP2'!Q301</f>
        <v>IN PROGRESS</v>
      </c>
      <c r="C276" s="384"/>
      <c r="D276" s="382" t="str">
        <f>'Portefeuille SP2'!E301</f>
        <v>PWT</v>
      </c>
      <c r="E276" s="382" t="str">
        <f t="shared" si="29"/>
        <v>PRS</v>
      </c>
      <c r="F276" s="382" t="str">
        <f t="shared" si="30"/>
        <v/>
      </c>
      <c r="G276" s="382" t="str">
        <f>'Portefeuille SP2'!C301</f>
        <v>SPC_1</v>
      </c>
      <c r="H276" s="382" t="str">
        <f>'Portefeuille SP2'!F301</f>
        <v>Paul patenotte</v>
      </c>
      <c r="I276" s="382"/>
      <c r="J276" s="382" t="str">
        <f>'Portefeuille SP2'!D301</f>
        <v xml:space="preserve">PRS </v>
      </c>
      <c r="K276" s="385" t="str">
        <f>'Portefeuille SP2'!H301</f>
        <v>IDCM</v>
      </c>
      <c r="L276" s="157">
        <f>'Portefeuille SP2'!U301</f>
        <v>0.2</v>
      </c>
      <c r="M276" s="386"/>
      <c r="N276" s="386"/>
      <c r="O276" s="386"/>
      <c r="P276" s="387">
        <f>'Portefeuille SP2'!M301</f>
        <v>0</v>
      </c>
      <c r="Q276" s="387"/>
      <c r="R276" s="387">
        <f>'Portefeuille SP2'!N301</f>
        <v>0</v>
      </c>
      <c r="S276" s="387"/>
      <c r="T276" s="382" t="str">
        <f>'Portefeuille SP2'!R301</f>
        <v>TBD</v>
      </c>
      <c r="U276" s="387">
        <f>'Portefeuille SP2'!K301</f>
        <v>0</v>
      </c>
      <c r="V276" s="399">
        <f>'Portefeuille SP2'!S301</f>
        <v>1</v>
      </c>
      <c r="W276" s="387"/>
      <c r="X276" s="387"/>
      <c r="Y276" s="387"/>
      <c r="Z276" s="387"/>
      <c r="AA276" s="387"/>
      <c r="AB276" s="387"/>
      <c r="AC276" s="387"/>
      <c r="AD276" s="387"/>
      <c r="AE276" s="400">
        <f>'Portefeuille SP2'!J301</f>
        <v>0</v>
      </c>
      <c r="AF276" s="387"/>
      <c r="AG276" s="387"/>
      <c r="AH276" s="389"/>
      <c r="AI276" s="389"/>
      <c r="AJ276" s="403">
        <f>'Portefeuille SP2'!V301</f>
        <v>0</v>
      </c>
      <c r="AK276" s="403">
        <f>'Portefeuille SP2'!W301</f>
        <v>0</v>
      </c>
      <c r="AL276" s="403">
        <f>'Portefeuille SP2'!X301</f>
        <v>0</v>
      </c>
      <c r="AM276" s="403">
        <f>'Portefeuille SP2'!Y301</f>
        <v>1</v>
      </c>
      <c r="AN276" s="403">
        <f>'Portefeuille SP2'!Z301</f>
        <v>0</v>
      </c>
      <c r="AO276" s="403">
        <f>'Portefeuille SP2'!AA301</f>
        <v>0</v>
      </c>
      <c r="AP276" s="403">
        <f>'Portefeuille SP2'!AB301</f>
        <v>0</v>
      </c>
      <c r="AQ276" s="403">
        <f>'Portefeuille SP2'!AC301</f>
        <v>1</v>
      </c>
      <c r="AR276" s="403">
        <f>'Portefeuille SP2'!AD301</f>
        <v>0</v>
      </c>
      <c r="AS276" s="403">
        <f>'Portefeuille SP2'!AE301</f>
        <v>0</v>
      </c>
      <c r="AT276" s="403">
        <f>'Portefeuille SP2'!AF301</f>
        <v>0</v>
      </c>
      <c r="AU276" s="403">
        <f>'Portefeuille SP2'!AG301</f>
        <v>0</v>
      </c>
      <c r="AV276" s="403">
        <f>'Portefeuille SP2'!AH301</f>
        <v>1</v>
      </c>
      <c r="AW276" s="403">
        <f>'Portefeuille SP2'!AI301</f>
        <v>0</v>
      </c>
      <c r="AX276" s="403">
        <f>'Portefeuille SP2'!AJ301</f>
        <v>0</v>
      </c>
      <c r="AY276" s="403">
        <f>'Portefeuille SP2'!AK301</f>
        <v>0</v>
      </c>
      <c r="AZ276" s="403">
        <f>'Portefeuille SP2'!AL301</f>
        <v>1</v>
      </c>
      <c r="BA276" s="403">
        <f>'Portefeuille SP2'!AM301</f>
        <v>0</v>
      </c>
      <c r="BB276" s="403">
        <f>'Portefeuille SP2'!AN301</f>
        <v>0</v>
      </c>
      <c r="BC276" s="403">
        <f>'Portefeuille SP2'!AO301</f>
        <v>0</v>
      </c>
      <c r="BD276" s="403">
        <f>'Portefeuille SP2'!AP301</f>
        <v>0</v>
      </c>
      <c r="BE276" s="403">
        <f>'Portefeuille SP2'!AQ301</f>
        <v>0</v>
      </c>
      <c r="BF276" s="403">
        <f>'Portefeuille SP2'!AR301</f>
        <v>1</v>
      </c>
      <c r="BG276" s="403" t="e">
        <f>'Portefeuille SP2'!#REF!</f>
        <v>#REF!</v>
      </c>
      <c r="BH276" s="403" t="e">
        <f>'Portefeuille SP2'!#REF!</f>
        <v>#REF!</v>
      </c>
      <c r="BI276" s="403" t="e">
        <f>'Portefeuille SP2'!#REF!</f>
        <v>#REF!</v>
      </c>
      <c r="BJ276" s="403" t="e">
        <f>'Portefeuille SP2'!#REF!</f>
        <v>#REF!</v>
      </c>
      <c r="BK276" s="403" t="e">
        <f>'Portefeuille SP2'!#REF!</f>
        <v>#REF!</v>
      </c>
      <c r="BL276" s="388"/>
      <c r="BM276" s="404">
        <f>'Portefeuille SP2'!L301</f>
        <v>0</v>
      </c>
    </row>
    <row r="277" spans="1:65" ht="15" customHeight="1">
      <c r="A277" s="383">
        <f>'Portefeuille SP2'!B302</f>
        <v>46084</v>
      </c>
      <c r="B277" s="390" t="str">
        <f>'Portefeuille SP2'!Q302</f>
        <v>IN PROGRESS</v>
      </c>
      <c r="C277" s="384"/>
      <c r="D277" s="382" t="str">
        <f>'Portefeuille SP2'!E302</f>
        <v>PTF</v>
      </c>
      <c r="E277" s="382" t="str">
        <f t="shared" si="29"/>
        <v>BIW</v>
      </c>
      <c r="F277" s="382" t="str">
        <f t="shared" si="30"/>
        <v/>
      </c>
      <c r="G277" s="382" t="str">
        <f>'Portefeuille SP2'!C302</f>
        <v>SPC_1</v>
      </c>
      <c r="H277" s="382" t="str">
        <f>'Portefeuille SP2'!F302</f>
        <v>NICOLAS TESSIER</v>
      </c>
      <c r="I277" s="382"/>
      <c r="J277" s="382" t="str">
        <f>'Portefeuille SP2'!D302</f>
        <v>BIW</v>
      </c>
      <c r="K277" s="385" t="str">
        <f>'Portefeuille SP2'!H302</f>
        <v xml:space="preserve">Tow hook reinforcement </v>
      </c>
      <c r="L277" s="157">
        <f>'Portefeuille SP2'!U302</f>
        <v>0</v>
      </c>
      <c r="M277" s="386"/>
      <c r="N277" s="386"/>
      <c r="O277" s="386"/>
      <c r="P277" s="387">
        <f>'Portefeuille SP2'!M302</f>
        <v>0</v>
      </c>
      <c r="Q277" s="387"/>
      <c r="R277" s="387">
        <f>'Portefeuille SP2'!N302</f>
        <v>0</v>
      </c>
      <c r="S277" s="387"/>
      <c r="T277" s="382" t="str">
        <f>'Portefeuille SP2'!R302</f>
        <v>TBD</v>
      </c>
      <c r="U277" s="387">
        <f>'Portefeuille SP2'!K302</f>
        <v>0</v>
      </c>
      <c r="V277" s="399">
        <f>'Portefeuille SP2'!S302</f>
        <v>0</v>
      </c>
      <c r="W277" s="387"/>
      <c r="X277" s="387"/>
      <c r="Y277" s="387"/>
      <c r="Z277" s="387"/>
      <c r="AA277" s="387"/>
      <c r="AB277" s="387"/>
      <c r="AC277" s="387"/>
      <c r="AD277" s="387"/>
      <c r="AE277" s="400">
        <f>'Portefeuille SP2'!J302</f>
        <v>0</v>
      </c>
      <c r="AF277" s="387"/>
      <c r="AG277" s="387"/>
      <c r="AH277" s="389"/>
      <c r="AI277" s="389"/>
      <c r="AJ277" s="403">
        <f>'Portefeuille SP2'!V302</f>
        <v>1</v>
      </c>
      <c r="AK277" s="403">
        <f>'Portefeuille SP2'!W302</f>
        <v>1</v>
      </c>
      <c r="AL277" s="403">
        <f>'Portefeuille SP2'!X302</f>
        <v>0</v>
      </c>
      <c r="AM277" s="403">
        <f>'Portefeuille SP2'!Y302</f>
        <v>1</v>
      </c>
      <c r="AN277" s="403">
        <f>'Portefeuille SP2'!Z302</f>
        <v>1</v>
      </c>
      <c r="AO277" s="403">
        <f>'Portefeuille SP2'!AA302</f>
        <v>1</v>
      </c>
      <c r="AP277" s="403">
        <f>'Portefeuille SP2'!AB302</f>
        <v>0</v>
      </c>
      <c r="AQ277" s="403">
        <f>'Portefeuille SP2'!AC302</f>
        <v>0</v>
      </c>
      <c r="AR277" s="403">
        <f>'Portefeuille SP2'!AD302</f>
        <v>1</v>
      </c>
      <c r="AS277" s="403">
        <f>'Portefeuille SP2'!AE302</f>
        <v>1</v>
      </c>
      <c r="AT277" s="403">
        <f>'Portefeuille SP2'!AF302</f>
        <v>1</v>
      </c>
      <c r="AU277" s="403">
        <f>'Portefeuille SP2'!AG302</f>
        <v>0</v>
      </c>
      <c r="AV277" s="403">
        <f>'Portefeuille SP2'!AH302</f>
        <v>0</v>
      </c>
      <c r="AW277" s="403">
        <f>'Portefeuille SP2'!AI302</f>
        <v>0</v>
      </c>
      <c r="AX277" s="403">
        <f>'Portefeuille SP2'!AJ302</f>
        <v>0</v>
      </c>
      <c r="AY277" s="403">
        <f>'Portefeuille SP2'!AK302</f>
        <v>0</v>
      </c>
      <c r="AZ277" s="403">
        <f>'Portefeuille SP2'!AL302</f>
        <v>0</v>
      </c>
      <c r="BA277" s="403">
        <f>'Portefeuille SP2'!AM302</f>
        <v>0</v>
      </c>
      <c r="BB277" s="403">
        <f>'Portefeuille SP2'!AN302</f>
        <v>0</v>
      </c>
      <c r="BC277" s="403">
        <f>'Portefeuille SP2'!AO302</f>
        <v>0</v>
      </c>
      <c r="BD277" s="403">
        <f>'Portefeuille SP2'!AP302</f>
        <v>1</v>
      </c>
      <c r="BE277" s="403">
        <f>'Portefeuille SP2'!AQ302</f>
        <v>0</v>
      </c>
      <c r="BF277" s="403">
        <f>'Portefeuille SP2'!AR302</f>
        <v>0</v>
      </c>
      <c r="BG277" s="403" t="e">
        <f>'Portefeuille SP2'!#REF!</f>
        <v>#REF!</v>
      </c>
      <c r="BH277" s="403" t="e">
        <f>'Portefeuille SP2'!#REF!</f>
        <v>#REF!</v>
      </c>
      <c r="BI277" s="403" t="e">
        <f>'Portefeuille SP2'!#REF!</f>
        <v>#REF!</v>
      </c>
      <c r="BJ277" s="403" t="e">
        <f>'Portefeuille SP2'!#REF!</f>
        <v>#REF!</v>
      </c>
      <c r="BK277" s="403" t="e">
        <f>'Portefeuille SP2'!#REF!</f>
        <v>#REF!</v>
      </c>
      <c r="BL277" s="388"/>
      <c r="BM277" s="404">
        <f>'Portefeuille SP2'!L302</f>
        <v>0</v>
      </c>
    </row>
    <row r="278" spans="1:65" ht="15" customHeight="1">
      <c r="A278" s="383">
        <f>'Portefeuille SP2'!B303</f>
        <v>46108</v>
      </c>
      <c r="B278" s="390" t="str">
        <f>'Portefeuille SP2'!Q303</f>
        <v>IN PROGRESS</v>
      </c>
      <c r="C278" s="384"/>
      <c r="D278" s="382" t="str">
        <f>'Portefeuille SP2'!E303</f>
        <v>TH</v>
      </c>
      <c r="E278" s="382" t="str">
        <f t="shared" si="29"/>
        <v>BIW</v>
      </c>
      <c r="F278" s="382" t="str">
        <f t="shared" si="30"/>
        <v/>
      </c>
      <c r="G278" s="382" t="str">
        <f>'Portefeuille SP2'!C303</f>
        <v>SPC_1</v>
      </c>
      <c r="H278" s="382" t="str">
        <f>'Portefeuille SP2'!F303</f>
        <v>FRANK BAILLON</v>
      </c>
      <c r="I278" s="382"/>
      <c r="J278" s="382" t="str">
        <f>'Portefeuille SP2'!D303</f>
        <v xml:space="preserve">BIW </v>
      </c>
      <c r="K278" s="385">
        <f>'Portefeuille SP2'!H303</f>
        <v>0</v>
      </c>
      <c r="L278" s="157">
        <f>'Portefeuille SP2'!U303</f>
        <v>0</v>
      </c>
      <c r="M278" s="386"/>
      <c r="N278" s="386"/>
      <c r="O278" s="386"/>
      <c r="P278" s="387">
        <f>'Portefeuille SP2'!M303</f>
        <v>0</v>
      </c>
      <c r="Q278" s="387"/>
      <c r="R278" s="387">
        <f>'Portefeuille SP2'!N303</f>
        <v>0</v>
      </c>
      <c r="S278" s="387"/>
      <c r="T278" s="382">
        <f>'Portefeuille SP2'!R303</f>
        <v>0</v>
      </c>
      <c r="U278" s="387">
        <f>'Portefeuille SP2'!K303</f>
        <v>0</v>
      </c>
      <c r="V278" s="399">
        <f>'Portefeuille SP2'!S303</f>
        <v>0</v>
      </c>
      <c r="W278" s="387"/>
      <c r="X278" s="387"/>
      <c r="Y278" s="387"/>
      <c r="Z278" s="387"/>
      <c r="AA278" s="387"/>
      <c r="AB278" s="387"/>
      <c r="AC278" s="387"/>
      <c r="AD278" s="387"/>
      <c r="AE278" s="400" t="str">
        <f>'Portefeuille SP2'!J303</f>
        <v>27/03/2026 LM
nouveau sujet</v>
      </c>
      <c r="AF278" s="387"/>
      <c r="AG278" s="387"/>
      <c r="AH278" s="389"/>
      <c r="AI278" s="389"/>
      <c r="AJ278" s="403">
        <f>'Portefeuille SP2'!V303</f>
        <v>0</v>
      </c>
      <c r="AK278" s="403">
        <f>'Portefeuille SP2'!W303</f>
        <v>0</v>
      </c>
      <c r="AL278" s="403">
        <f>'Portefeuille SP2'!X303</f>
        <v>0</v>
      </c>
      <c r="AM278" s="403">
        <f>'Portefeuille SP2'!Y303</f>
        <v>0</v>
      </c>
      <c r="AN278" s="403">
        <f>'Portefeuille SP2'!Z303</f>
        <v>0</v>
      </c>
      <c r="AO278" s="403">
        <f>'Portefeuille SP2'!AA303</f>
        <v>0</v>
      </c>
      <c r="AP278" s="403">
        <f>'Portefeuille SP2'!AB303</f>
        <v>0</v>
      </c>
      <c r="AQ278" s="403">
        <f>'Portefeuille SP2'!AC303</f>
        <v>0</v>
      </c>
      <c r="AR278" s="403">
        <f>'Portefeuille SP2'!AD303</f>
        <v>0</v>
      </c>
      <c r="AS278" s="403">
        <f>'Portefeuille SP2'!AE303</f>
        <v>0</v>
      </c>
      <c r="AT278" s="403">
        <f>'Portefeuille SP2'!AF303</f>
        <v>0</v>
      </c>
      <c r="AU278" s="403">
        <f>'Portefeuille SP2'!AG303</f>
        <v>0</v>
      </c>
      <c r="AV278" s="403">
        <f>'Portefeuille SP2'!AH303</f>
        <v>0</v>
      </c>
      <c r="AW278" s="403">
        <f>'Portefeuille SP2'!AI303</f>
        <v>0</v>
      </c>
      <c r="AX278" s="403">
        <f>'Portefeuille SP2'!AJ303</f>
        <v>0</v>
      </c>
      <c r="AY278" s="403">
        <f>'Portefeuille SP2'!AK303</f>
        <v>0</v>
      </c>
      <c r="AZ278" s="403">
        <f>'Portefeuille SP2'!AL303</f>
        <v>0</v>
      </c>
      <c r="BA278" s="403">
        <f>'Portefeuille SP2'!AM303</f>
        <v>0</v>
      </c>
      <c r="BB278" s="403">
        <f>'Portefeuille SP2'!AN303</f>
        <v>1</v>
      </c>
      <c r="BC278" s="403">
        <f>'Portefeuille SP2'!AO303</f>
        <v>1</v>
      </c>
      <c r="BD278" s="403">
        <f>'Portefeuille SP2'!AP303</f>
        <v>1</v>
      </c>
      <c r="BE278" s="403">
        <f>'Portefeuille SP2'!AQ303</f>
        <v>1</v>
      </c>
      <c r="BF278" s="403">
        <f>'Portefeuille SP2'!AR303</f>
        <v>1</v>
      </c>
      <c r="BG278" s="403" t="e">
        <f>'Portefeuille SP2'!#REF!</f>
        <v>#REF!</v>
      </c>
      <c r="BH278" s="403" t="e">
        <f>'Portefeuille SP2'!#REF!</f>
        <v>#REF!</v>
      </c>
      <c r="BI278" s="403" t="e">
        <f>'Portefeuille SP2'!#REF!</f>
        <v>#REF!</v>
      </c>
      <c r="BJ278" s="403" t="e">
        <f>'Portefeuille SP2'!#REF!</f>
        <v>#REF!</v>
      </c>
      <c r="BK278" s="403" t="e">
        <f>'Portefeuille SP2'!#REF!</f>
        <v>#REF!</v>
      </c>
      <c r="BL278" s="388"/>
      <c r="BM278" s="404">
        <f>'Portefeuille SP2'!L303</f>
        <v>0</v>
      </c>
    </row>
    <row r="279" spans="1:65" ht="15" customHeight="1">
      <c r="A279" s="383">
        <f>'Portefeuille SP2'!B304</f>
        <v>46108</v>
      </c>
      <c r="B279" s="390" t="str">
        <f>'Portefeuille SP2'!Q304</f>
        <v>IN PROGRESS</v>
      </c>
      <c r="C279" s="384"/>
      <c r="D279" s="382" t="str">
        <f>'Portefeuille SP2'!E304</f>
        <v>TH</v>
      </c>
      <c r="E279" s="382" t="str">
        <f t="shared" si="29"/>
        <v>BIW</v>
      </c>
      <c r="F279" s="382" t="str">
        <f t="shared" si="30"/>
        <v/>
      </c>
      <c r="G279" s="382" t="str">
        <f>'Portefeuille SP2'!C304</f>
        <v>SPC_1</v>
      </c>
      <c r="H279" s="382" t="str">
        <f>'Portefeuille SP2'!F304</f>
        <v>FRANK BAILLON</v>
      </c>
      <c r="I279" s="382"/>
      <c r="J279" s="382" t="str">
        <f>'Portefeuille SP2'!D304</f>
        <v xml:space="preserve">BIW </v>
      </c>
      <c r="K279" s="385">
        <f>'Portefeuille SP2'!H304</f>
        <v>0</v>
      </c>
      <c r="L279" s="157">
        <f>'Portefeuille SP2'!U304</f>
        <v>0</v>
      </c>
      <c r="M279" s="386"/>
      <c r="N279" s="386"/>
      <c r="O279" s="386"/>
      <c r="P279" s="387">
        <f>'Portefeuille SP2'!M304</f>
        <v>0</v>
      </c>
      <c r="Q279" s="387"/>
      <c r="R279" s="387">
        <f>'Portefeuille SP2'!N304</f>
        <v>0</v>
      </c>
      <c r="S279" s="387"/>
      <c r="T279" s="382">
        <f>'Portefeuille SP2'!R304</f>
        <v>0</v>
      </c>
      <c r="U279" s="387">
        <f>'Portefeuille SP2'!K304</f>
        <v>0</v>
      </c>
      <c r="V279" s="399">
        <f>'Portefeuille SP2'!S304</f>
        <v>0</v>
      </c>
      <c r="W279" s="387"/>
      <c r="X279" s="387"/>
      <c r="Y279" s="387"/>
      <c r="Z279" s="387"/>
      <c r="AA279" s="387"/>
      <c r="AB279" s="387"/>
      <c r="AC279" s="387"/>
      <c r="AD279" s="387"/>
      <c r="AE279" s="400" t="str">
        <f>'Portefeuille SP2'!J304</f>
        <v>27/03/2026 LM
nouveau sujet</v>
      </c>
      <c r="AF279" s="387"/>
      <c r="AG279" s="387"/>
      <c r="AH279" s="389"/>
      <c r="AI279" s="389"/>
      <c r="AJ279" s="403">
        <f>'Portefeuille SP2'!V304</f>
        <v>0</v>
      </c>
      <c r="AK279" s="403">
        <f>'Portefeuille SP2'!W304</f>
        <v>0</v>
      </c>
      <c r="AL279" s="403">
        <f>'Portefeuille SP2'!X304</f>
        <v>0</v>
      </c>
      <c r="AM279" s="403">
        <f>'Portefeuille SP2'!Y304</f>
        <v>0</v>
      </c>
      <c r="AN279" s="403">
        <f>'Portefeuille SP2'!Z304</f>
        <v>0</v>
      </c>
      <c r="AO279" s="403">
        <f>'Portefeuille SP2'!AA304</f>
        <v>0</v>
      </c>
      <c r="AP279" s="403">
        <f>'Portefeuille SP2'!AB304</f>
        <v>0</v>
      </c>
      <c r="AQ279" s="403">
        <f>'Portefeuille SP2'!AC304</f>
        <v>0</v>
      </c>
      <c r="AR279" s="403">
        <f>'Portefeuille SP2'!AD304</f>
        <v>0</v>
      </c>
      <c r="AS279" s="403">
        <f>'Portefeuille SP2'!AE304</f>
        <v>0</v>
      </c>
      <c r="AT279" s="403">
        <f>'Portefeuille SP2'!AF304</f>
        <v>0</v>
      </c>
      <c r="AU279" s="403">
        <f>'Portefeuille SP2'!AG304</f>
        <v>0</v>
      </c>
      <c r="AV279" s="403">
        <f>'Portefeuille SP2'!AH304</f>
        <v>0</v>
      </c>
      <c r="AW279" s="403">
        <f>'Portefeuille SP2'!AI304</f>
        <v>0</v>
      </c>
      <c r="AX279" s="403">
        <f>'Portefeuille SP2'!AJ304</f>
        <v>0</v>
      </c>
      <c r="AY279" s="403">
        <f>'Portefeuille SP2'!AK304</f>
        <v>0</v>
      </c>
      <c r="AZ279" s="403">
        <f>'Portefeuille SP2'!AL304</f>
        <v>0</v>
      </c>
      <c r="BA279" s="403">
        <f>'Portefeuille SP2'!AM304</f>
        <v>0</v>
      </c>
      <c r="BB279" s="403">
        <f>'Portefeuille SP2'!AN304</f>
        <v>1</v>
      </c>
      <c r="BC279" s="403">
        <f>'Portefeuille SP2'!AO304</f>
        <v>1</v>
      </c>
      <c r="BD279" s="403">
        <f>'Portefeuille SP2'!AP304</f>
        <v>1</v>
      </c>
      <c r="BE279" s="403">
        <f>'Portefeuille SP2'!AQ304</f>
        <v>1</v>
      </c>
      <c r="BF279" s="403">
        <f>'Portefeuille SP2'!AR304</f>
        <v>1</v>
      </c>
      <c r="BG279" s="403" t="e">
        <f>'Portefeuille SP2'!#REF!</f>
        <v>#REF!</v>
      </c>
      <c r="BH279" s="403" t="e">
        <f>'Portefeuille SP2'!#REF!</f>
        <v>#REF!</v>
      </c>
      <c r="BI279" s="403" t="e">
        <f>'Portefeuille SP2'!#REF!</f>
        <v>#REF!</v>
      </c>
      <c r="BJ279" s="403" t="e">
        <f>'Portefeuille SP2'!#REF!</f>
        <v>#REF!</v>
      </c>
      <c r="BK279" s="403" t="e">
        <f>'Portefeuille SP2'!#REF!</f>
        <v>#REF!</v>
      </c>
      <c r="BL279" s="388"/>
      <c r="BM279" s="404">
        <f>'Portefeuille SP2'!L304</f>
        <v>0</v>
      </c>
    </row>
    <row r="280" spans="1:65" ht="15" customHeight="1">
      <c r="A280" s="383">
        <f>'Portefeuille SP2'!B305</f>
        <v>46108</v>
      </c>
      <c r="B280" s="390" t="str">
        <f>'Portefeuille SP2'!Q305</f>
        <v>IN PROGRESS</v>
      </c>
      <c r="C280" s="384"/>
      <c r="D280" s="382" t="str">
        <f>'Portefeuille SP2'!E305</f>
        <v>TH</v>
      </c>
      <c r="E280" s="382" t="str">
        <f t="shared" si="29"/>
        <v>BIW</v>
      </c>
      <c r="F280" s="382" t="str">
        <f t="shared" si="30"/>
        <v/>
      </c>
      <c r="G280" s="382" t="str">
        <f>'Portefeuille SP2'!C305</f>
        <v>SPC_1</v>
      </c>
      <c r="H280" s="382" t="str">
        <f>'Portefeuille SP2'!F305</f>
        <v>FRANK BAILLON</v>
      </c>
      <c r="I280" s="382"/>
      <c r="J280" s="382" t="str">
        <f>'Portefeuille SP2'!D305</f>
        <v xml:space="preserve">BIW </v>
      </c>
      <c r="K280" s="385">
        <f>'Portefeuille SP2'!H305</f>
        <v>0</v>
      </c>
      <c r="L280" s="157">
        <f>'Portefeuille SP2'!U305</f>
        <v>0</v>
      </c>
      <c r="M280" s="386"/>
      <c r="N280" s="386"/>
      <c r="O280" s="386"/>
      <c r="P280" s="387">
        <f>'Portefeuille SP2'!M305</f>
        <v>0</v>
      </c>
      <c r="Q280" s="387"/>
      <c r="R280" s="387">
        <f>'Portefeuille SP2'!N305</f>
        <v>0</v>
      </c>
      <c r="S280" s="387"/>
      <c r="T280" s="382">
        <f>'Portefeuille SP2'!R305</f>
        <v>0</v>
      </c>
      <c r="U280" s="387">
        <f>'Portefeuille SP2'!K305</f>
        <v>0</v>
      </c>
      <c r="V280" s="399">
        <f>'Portefeuille SP2'!S305</f>
        <v>0</v>
      </c>
      <c r="W280" s="387"/>
      <c r="X280" s="387"/>
      <c r="Y280" s="387"/>
      <c r="Z280" s="387"/>
      <c r="AA280" s="387"/>
      <c r="AB280" s="387"/>
      <c r="AC280" s="387"/>
      <c r="AD280" s="387"/>
      <c r="AE280" s="400" t="str">
        <f>'Portefeuille SP2'!J305</f>
        <v>27/03/2026 LM
nouveau sujet</v>
      </c>
      <c r="AF280" s="387"/>
      <c r="AG280" s="387"/>
      <c r="AH280" s="389"/>
      <c r="AI280" s="389"/>
      <c r="AJ280" s="403">
        <f>'Portefeuille SP2'!V305</f>
        <v>0</v>
      </c>
      <c r="AK280" s="403">
        <f>'Portefeuille SP2'!W305</f>
        <v>0</v>
      </c>
      <c r="AL280" s="403">
        <f>'Portefeuille SP2'!X305</f>
        <v>0</v>
      </c>
      <c r="AM280" s="403">
        <f>'Portefeuille SP2'!Y305</f>
        <v>0</v>
      </c>
      <c r="AN280" s="403">
        <f>'Portefeuille SP2'!Z305</f>
        <v>0</v>
      </c>
      <c r="AO280" s="403">
        <f>'Portefeuille SP2'!AA305</f>
        <v>0</v>
      </c>
      <c r="AP280" s="403">
        <f>'Portefeuille SP2'!AB305</f>
        <v>0</v>
      </c>
      <c r="AQ280" s="403">
        <f>'Portefeuille SP2'!AC305</f>
        <v>0</v>
      </c>
      <c r="AR280" s="403">
        <f>'Portefeuille SP2'!AD305</f>
        <v>0</v>
      </c>
      <c r="AS280" s="403">
        <f>'Portefeuille SP2'!AE305</f>
        <v>0</v>
      </c>
      <c r="AT280" s="403">
        <f>'Portefeuille SP2'!AF305</f>
        <v>0</v>
      </c>
      <c r="AU280" s="403">
        <f>'Portefeuille SP2'!AG305</f>
        <v>0</v>
      </c>
      <c r="AV280" s="403">
        <f>'Portefeuille SP2'!AH305</f>
        <v>0</v>
      </c>
      <c r="AW280" s="403">
        <f>'Portefeuille SP2'!AI305</f>
        <v>0</v>
      </c>
      <c r="AX280" s="403">
        <f>'Portefeuille SP2'!AJ305</f>
        <v>0</v>
      </c>
      <c r="AY280" s="403">
        <f>'Portefeuille SP2'!AK305</f>
        <v>0</v>
      </c>
      <c r="AZ280" s="403">
        <f>'Portefeuille SP2'!AL305</f>
        <v>0</v>
      </c>
      <c r="BA280" s="403">
        <f>'Portefeuille SP2'!AM305</f>
        <v>0</v>
      </c>
      <c r="BB280" s="403">
        <f>'Portefeuille SP2'!AN305</f>
        <v>1</v>
      </c>
      <c r="BC280" s="403">
        <f>'Portefeuille SP2'!AO305</f>
        <v>1</v>
      </c>
      <c r="BD280" s="403">
        <f>'Portefeuille SP2'!AP305</f>
        <v>1</v>
      </c>
      <c r="BE280" s="403">
        <f>'Portefeuille SP2'!AQ305</f>
        <v>1</v>
      </c>
      <c r="BF280" s="403">
        <f>'Portefeuille SP2'!AR305</f>
        <v>1</v>
      </c>
      <c r="BG280" s="403" t="e">
        <f>'Portefeuille SP2'!#REF!</f>
        <v>#REF!</v>
      </c>
      <c r="BH280" s="403" t="e">
        <f>'Portefeuille SP2'!#REF!</f>
        <v>#REF!</v>
      </c>
      <c r="BI280" s="403" t="e">
        <f>'Portefeuille SP2'!#REF!</f>
        <v>#REF!</v>
      </c>
      <c r="BJ280" s="403" t="e">
        <f>'Portefeuille SP2'!#REF!</f>
        <v>#REF!</v>
      </c>
      <c r="BK280" s="403" t="e">
        <f>'Portefeuille SP2'!#REF!</f>
        <v>#REF!</v>
      </c>
      <c r="BL280" s="388"/>
      <c r="BM280" s="404">
        <f>'Portefeuille SP2'!L305</f>
        <v>0</v>
      </c>
    </row>
    <row r="281" spans="1:65" ht="15" customHeight="1">
      <c r="A281" s="383">
        <f>'Portefeuille SP2'!B306</f>
        <v>46108</v>
      </c>
      <c r="B281" s="390" t="str">
        <f>'Portefeuille SP2'!Q306</f>
        <v>IN PROGRESS</v>
      </c>
      <c r="C281" s="384"/>
      <c r="D281" s="382" t="str">
        <f>'Portefeuille SP2'!E306</f>
        <v>TH</v>
      </c>
      <c r="E281" s="382" t="str">
        <f t="shared" si="29"/>
        <v>BIW</v>
      </c>
      <c r="F281" s="382" t="str">
        <f t="shared" si="30"/>
        <v/>
      </c>
      <c r="G281" s="382" t="str">
        <f>'Portefeuille SP2'!C306</f>
        <v>SPC_1</v>
      </c>
      <c r="H281" s="382" t="str">
        <f>'Portefeuille SP2'!F306</f>
        <v>FRANK BAILLON</v>
      </c>
      <c r="I281" s="382"/>
      <c r="J281" s="382" t="str">
        <f>'Portefeuille SP2'!D306</f>
        <v xml:space="preserve">BIW </v>
      </c>
      <c r="K281" s="385">
        <f>'Portefeuille SP2'!H306</f>
        <v>0</v>
      </c>
      <c r="L281" s="157">
        <f>'Portefeuille SP2'!U306</f>
        <v>0</v>
      </c>
      <c r="M281" s="386"/>
      <c r="N281" s="386"/>
      <c r="O281" s="386"/>
      <c r="P281" s="387">
        <f>'Portefeuille SP2'!M306</f>
        <v>0</v>
      </c>
      <c r="Q281" s="387"/>
      <c r="R281" s="387">
        <f>'Portefeuille SP2'!N306</f>
        <v>0</v>
      </c>
      <c r="S281" s="387"/>
      <c r="T281" s="382">
        <f>'Portefeuille SP2'!R306</f>
        <v>0</v>
      </c>
      <c r="U281" s="387">
        <f>'Portefeuille SP2'!K306</f>
        <v>0</v>
      </c>
      <c r="V281" s="399">
        <f>'Portefeuille SP2'!S306</f>
        <v>0</v>
      </c>
      <c r="W281" s="387"/>
      <c r="X281" s="387"/>
      <c r="Y281" s="387"/>
      <c r="Z281" s="387"/>
      <c r="AA281" s="387"/>
      <c r="AB281" s="387"/>
      <c r="AC281" s="387"/>
      <c r="AD281" s="387"/>
      <c r="AE281" s="400" t="str">
        <f>'Portefeuille SP2'!J306</f>
        <v>27/03/2026 LM
nouveau sujet</v>
      </c>
      <c r="AF281" s="387"/>
      <c r="AG281" s="387"/>
      <c r="AH281" s="389"/>
      <c r="AI281" s="389"/>
      <c r="AJ281" s="403">
        <f>'Portefeuille SP2'!V306</f>
        <v>0</v>
      </c>
      <c r="AK281" s="403">
        <f>'Portefeuille SP2'!W306</f>
        <v>0</v>
      </c>
      <c r="AL281" s="403">
        <f>'Portefeuille SP2'!X306</f>
        <v>0</v>
      </c>
      <c r="AM281" s="403">
        <f>'Portefeuille SP2'!Y306</f>
        <v>0</v>
      </c>
      <c r="AN281" s="403">
        <f>'Portefeuille SP2'!Z306</f>
        <v>0</v>
      </c>
      <c r="AO281" s="403">
        <f>'Portefeuille SP2'!AA306</f>
        <v>0</v>
      </c>
      <c r="AP281" s="403">
        <f>'Portefeuille SP2'!AB306</f>
        <v>0</v>
      </c>
      <c r="AQ281" s="403">
        <f>'Portefeuille SP2'!AC306</f>
        <v>0</v>
      </c>
      <c r="AR281" s="403">
        <f>'Portefeuille SP2'!AD306</f>
        <v>0</v>
      </c>
      <c r="AS281" s="403">
        <f>'Portefeuille SP2'!AE306</f>
        <v>0</v>
      </c>
      <c r="AT281" s="403">
        <f>'Portefeuille SP2'!AF306</f>
        <v>0</v>
      </c>
      <c r="AU281" s="403">
        <f>'Portefeuille SP2'!AG306</f>
        <v>0</v>
      </c>
      <c r="AV281" s="403">
        <f>'Portefeuille SP2'!AH306</f>
        <v>0</v>
      </c>
      <c r="AW281" s="403">
        <f>'Portefeuille SP2'!AI306</f>
        <v>0</v>
      </c>
      <c r="AX281" s="403">
        <f>'Portefeuille SP2'!AJ306</f>
        <v>0</v>
      </c>
      <c r="AY281" s="403">
        <f>'Portefeuille SP2'!AK306</f>
        <v>0</v>
      </c>
      <c r="AZ281" s="403">
        <f>'Portefeuille SP2'!AL306</f>
        <v>0</v>
      </c>
      <c r="BA281" s="403">
        <f>'Portefeuille SP2'!AM306</f>
        <v>0</v>
      </c>
      <c r="BB281" s="403">
        <f>'Portefeuille SP2'!AN306</f>
        <v>1</v>
      </c>
      <c r="BC281" s="403">
        <f>'Portefeuille SP2'!AO306</f>
        <v>1</v>
      </c>
      <c r="BD281" s="403">
        <f>'Portefeuille SP2'!AP306</f>
        <v>1</v>
      </c>
      <c r="BE281" s="403">
        <f>'Portefeuille SP2'!AQ306</f>
        <v>1</v>
      </c>
      <c r="BF281" s="403">
        <f>'Portefeuille SP2'!AR306</f>
        <v>1</v>
      </c>
      <c r="BG281" s="403" t="e">
        <f>'Portefeuille SP2'!#REF!</f>
        <v>#REF!</v>
      </c>
      <c r="BH281" s="403" t="e">
        <f>'Portefeuille SP2'!#REF!</f>
        <v>#REF!</v>
      </c>
      <c r="BI281" s="403" t="e">
        <f>'Portefeuille SP2'!#REF!</f>
        <v>#REF!</v>
      </c>
      <c r="BJ281" s="403" t="e">
        <f>'Portefeuille SP2'!#REF!</f>
        <v>#REF!</v>
      </c>
      <c r="BK281" s="403" t="e">
        <f>'Portefeuille SP2'!#REF!</f>
        <v>#REF!</v>
      </c>
      <c r="BL281" s="388"/>
      <c r="BM281" s="404">
        <f>'Portefeuille SP2'!L306</f>
        <v>0</v>
      </c>
    </row>
    <row r="282" spans="1:65" ht="15" customHeight="1">
      <c r="A282" s="383">
        <f>'Portefeuille SP2'!B307</f>
        <v>46108</v>
      </c>
      <c r="B282" s="390" t="str">
        <f>'Portefeuille SP2'!Q307</f>
        <v>IN PROGRESS</v>
      </c>
      <c r="C282" s="384"/>
      <c r="D282" s="382" t="str">
        <f>'Portefeuille SP2'!E307</f>
        <v>TH</v>
      </c>
      <c r="E282" s="382" t="str">
        <f t="shared" si="29"/>
        <v>BIW</v>
      </c>
      <c r="F282" s="382" t="str">
        <f t="shared" si="30"/>
        <v/>
      </c>
      <c r="G282" s="382" t="str">
        <f>'Portefeuille SP2'!C307</f>
        <v>SPC_1</v>
      </c>
      <c r="H282" s="382" t="str">
        <f>'Portefeuille SP2'!F307</f>
        <v>FRANK BAILLON</v>
      </c>
      <c r="I282" s="382"/>
      <c r="J282" s="382" t="str">
        <f>'Portefeuille SP2'!D307</f>
        <v xml:space="preserve">BIW </v>
      </c>
      <c r="K282" s="385">
        <f>'Portefeuille SP2'!H307</f>
        <v>0</v>
      </c>
      <c r="L282" s="157">
        <f>'Portefeuille SP2'!U307</f>
        <v>0</v>
      </c>
      <c r="M282" s="386"/>
      <c r="N282" s="386"/>
      <c r="O282" s="386"/>
      <c r="P282" s="387">
        <f>'Portefeuille SP2'!M307</f>
        <v>0</v>
      </c>
      <c r="Q282" s="387"/>
      <c r="R282" s="387">
        <f>'Portefeuille SP2'!N307</f>
        <v>0</v>
      </c>
      <c r="S282" s="387"/>
      <c r="T282" s="382">
        <f>'Portefeuille SP2'!R307</f>
        <v>0</v>
      </c>
      <c r="U282" s="387">
        <f>'Portefeuille SP2'!K307</f>
        <v>0</v>
      </c>
      <c r="V282" s="399">
        <f>'Portefeuille SP2'!S307</f>
        <v>0</v>
      </c>
      <c r="W282" s="387"/>
      <c r="X282" s="387"/>
      <c r="Y282" s="387"/>
      <c r="Z282" s="387"/>
      <c r="AA282" s="387"/>
      <c r="AB282" s="387"/>
      <c r="AC282" s="387"/>
      <c r="AD282" s="387"/>
      <c r="AE282" s="400" t="str">
        <f>'Portefeuille SP2'!J307</f>
        <v>27/03/2026 LM
nouveau sujet</v>
      </c>
      <c r="AF282" s="387"/>
      <c r="AG282" s="387"/>
      <c r="AH282" s="389"/>
      <c r="AI282" s="389"/>
      <c r="AJ282" s="403">
        <f>'Portefeuille SP2'!V307</f>
        <v>0</v>
      </c>
      <c r="AK282" s="403">
        <f>'Portefeuille SP2'!W307</f>
        <v>0</v>
      </c>
      <c r="AL282" s="403">
        <f>'Portefeuille SP2'!X307</f>
        <v>0</v>
      </c>
      <c r="AM282" s="403">
        <f>'Portefeuille SP2'!Y307</f>
        <v>0</v>
      </c>
      <c r="AN282" s="403">
        <f>'Portefeuille SP2'!Z307</f>
        <v>0</v>
      </c>
      <c r="AO282" s="403">
        <f>'Portefeuille SP2'!AA307</f>
        <v>0</v>
      </c>
      <c r="AP282" s="403">
        <f>'Portefeuille SP2'!AB307</f>
        <v>0</v>
      </c>
      <c r="AQ282" s="403">
        <f>'Portefeuille SP2'!AC307</f>
        <v>0</v>
      </c>
      <c r="AR282" s="403">
        <f>'Portefeuille SP2'!AD307</f>
        <v>0</v>
      </c>
      <c r="AS282" s="403">
        <f>'Portefeuille SP2'!AE307</f>
        <v>0</v>
      </c>
      <c r="AT282" s="403">
        <f>'Portefeuille SP2'!AF307</f>
        <v>0</v>
      </c>
      <c r="AU282" s="403">
        <f>'Portefeuille SP2'!AG307</f>
        <v>0</v>
      </c>
      <c r="AV282" s="403">
        <f>'Portefeuille SP2'!AH307</f>
        <v>0</v>
      </c>
      <c r="AW282" s="403">
        <f>'Portefeuille SP2'!AI307</f>
        <v>0</v>
      </c>
      <c r="AX282" s="403">
        <f>'Portefeuille SP2'!AJ307</f>
        <v>0</v>
      </c>
      <c r="AY282" s="403">
        <f>'Portefeuille SP2'!AK307</f>
        <v>0</v>
      </c>
      <c r="AZ282" s="403">
        <f>'Portefeuille SP2'!AL307</f>
        <v>0</v>
      </c>
      <c r="BA282" s="403">
        <f>'Portefeuille SP2'!AM307</f>
        <v>0</v>
      </c>
      <c r="BB282" s="403">
        <f>'Portefeuille SP2'!AN307</f>
        <v>1</v>
      </c>
      <c r="BC282" s="403">
        <f>'Portefeuille SP2'!AO307</f>
        <v>1</v>
      </c>
      <c r="BD282" s="403">
        <f>'Portefeuille SP2'!AP307</f>
        <v>1</v>
      </c>
      <c r="BE282" s="403">
        <f>'Portefeuille SP2'!AQ307</f>
        <v>1</v>
      </c>
      <c r="BF282" s="403">
        <f>'Portefeuille SP2'!AR307</f>
        <v>1</v>
      </c>
      <c r="BG282" s="403" t="e">
        <f>'Portefeuille SP2'!#REF!</f>
        <v>#REF!</v>
      </c>
      <c r="BH282" s="403" t="e">
        <f>'Portefeuille SP2'!#REF!</f>
        <v>#REF!</v>
      </c>
      <c r="BI282" s="403" t="e">
        <f>'Portefeuille SP2'!#REF!</f>
        <v>#REF!</v>
      </c>
      <c r="BJ282" s="403" t="e">
        <f>'Portefeuille SP2'!#REF!</f>
        <v>#REF!</v>
      </c>
      <c r="BK282" s="403" t="e">
        <f>'Portefeuille SP2'!#REF!</f>
        <v>#REF!</v>
      </c>
      <c r="BL282" s="388"/>
      <c r="BM282" s="404">
        <f>'Portefeuille SP2'!L307</f>
        <v>0</v>
      </c>
    </row>
    <row r="283" spans="1:65" ht="15" customHeight="1">
      <c r="A283" s="383">
        <f>'Portefeuille SP2'!B308</f>
        <v>46084</v>
      </c>
      <c r="B283" s="390" t="str">
        <f>'Portefeuille SP2'!Q308</f>
        <v>IN PROGRESS</v>
      </c>
      <c r="C283" s="384"/>
      <c r="D283" s="382" t="str">
        <f>'Portefeuille SP2'!E308</f>
        <v>PTF</v>
      </c>
      <c r="E283" s="382" t="str">
        <f t="shared" si="29"/>
        <v>BIW</v>
      </c>
      <c r="F283" s="382" t="str">
        <f t="shared" si="30"/>
        <v/>
      </c>
      <c r="G283" s="382" t="str">
        <f>'Portefeuille SP2'!C308</f>
        <v>SPC_1</v>
      </c>
      <c r="H283" s="382" t="str">
        <f>'Portefeuille SP2'!F308</f>
        <v>NICOLAS TESSIER</v>
      </c>
      <c r="I283" s="382"/>
      <c r="J283" s="382" t="str">
        <f>'Portefeuille SP2'!D308</f>
        <v>BIW</v>
      </c>
      <c r="K283" s="385" t="str">
        <f>'Portefeuille SP2'!H308</f>
        <v xml:space="preserve">optim design Heel Board </v>
      </c>
      <c r="L283" s="157">
        <f>'Portefeuille SP2'!U308</f>
        <v>-0.68775000000000008</v>
      </c>
      <c r="M283" s="386"/>
      <c r="N283" s="386"/>
      <c r="O283" s="386"/>
      <c r="P283" s="387">
        <f>'Portefeuille SP2'!M308</f>
        <v>0</v>
      </c>
      <c r="Q283" s="387"/>
      <c r="R283" s="387">
        <f>'Portefeuille SP2'!N308</f>
        <v>0</v>
      </c>
      <c r="S283" s="387"/>
      <c r="T283" s="382" t="str">
        <f>'Portefeuille SP2'!R308</f>
        <v>TBD</v>
      </c>
      <c r="U283" s="387">
        <f>'Portefeuille SP2'!K308</f>
        <v>0</v>
      </c>
      <c r="V283" s="399">
        <f>'Portefeuille SP2'!S308</f>
        <v>0.75</v>
      </c>
      <c r="W283" s="387"/>
      <c r="X283" s="387"/>
      <c r="Y283" s="387"/>
      <c r="Z283" s="387"/>
      <c r="AA283" s="387"/>
      <c r="AB283" s="387"/>
      <c r="AC283" s="387"/>
      <c r="AD283" s="387"/>
      <c r="AE283" s="400">
        <f>'Portefeuille SP2'!J308</f>
        <v>0</v>
      </c>
      <c r="AF283" s="387"/>
      <c r="AG283" s="387"/>
      <c r="AH283" s="389"/>
      <c r="AI283" s="389"/>
      <c r="AJ283" s="403">
        <f>'Portefeuille SP2'!V308</f>
        <v>0</v>
      </c>
      <c r="AK283" s="403">
        <f>'Portefeuille SP2'!W308</f>
        <v>0</v>
      </c>
      <c r="AL283" s="403">
        <f>'Portefeuille SP2'!X308</f>
        <v>0</v>
      </c>
      <c r="AM283" s="403">
        <f>'Portefeuille SP2'!Y308</f>
        <v>1</v>
      </c>
      <c r="AN283" s="403">
        <f>'Portefeuille SP2'!Z308</f>
        <v>1</v>
      </c>
      <c r="AO283" s="403">
        <f>'Portefeuille SP2'!AA308</f>
        <v>0</v>
      </c>
      <c r="AP283" s="403">
        <f>'Portefeuille SP2'!AB308</f>
        <v>1</v>
      </c>
      <c r="AQ283" s="403">
        <f>'Portefeuille SP2'!AC308</f>
        <v>1</v>
      </c>
      <c r="AR283" s="403">
        <f>'Portefeuille SP2'!AD308</f>
        <v>1</v>
      </c>
      <c r="AS283" s="403">
        <f>'Portefeuille SP2'!AE308</f>
        <v>0</v>
      </c>
      <c r="AT283" s="403">
        <f>'Portefeuille SP2'!AF308</f>
        <v>0</v>
      </c>
      <c r="AU283" s="403">
        <f>'Portefeuille SP2'!AG308</f>
        <v>1</v>
      </c>
      <c r="AV283" s="403">
        <f>'Portefeuille SP2'!AH308</f>
        <v>1</v>
      </c>
      <c r="AW283" s="403">
        <f>'Portefeuille SP2'!AI308</f>
        <v>1</v>
      </c>
      <c r="AX283" s="403">
        <f>'Portefeuille SP2'!AJ308</f>
        <v>0</v>
      </c>
      <c r="AY283" s="403">
        <f>'Portefeuille SP2'!AK308</f>
        <v>0</v>
      </c>
      <c r="AZ283" s="403">
        <f>'Portefeuille SP2'!AL308</f>
        <v>0</v>
      </c>
      <c r="BA283" s="403">
        <f>'Portefeuille SP2'!AM308</f>
        <v>0</v>
      </c>
      <c r="BB283" s="403">
        <f>'Portefeuille SP2'!AN308</f>
        <v>0</v>
      </c>
      <c r="BC283" s="403">
        <f>'Portefeuille SP2'!AO308</f>
        <v>0</v>
      </c>
      <c r="BD283" s="403">
        <f>'Portefeuille SP2'!AP308</f>
        <v>0</v>
      </c>
      <c r="BE283" s="403">
        <f>'Portefeuille SP2'!AQ308</f>
        <v>1</v>
      </c>
      <c r="BF283" s="403">
        <f>'Portefeuille SP2'!AR308</f>
        <v>1</v>
      </c>
      <c r="BG283" s="403" t="e">
        <f>'Portefeuille SP2'!#REF!</f>
        <v>#REF!</v>
      </c>
      <c r="BH283" s="403" t="e">
        <f>'Portefeuille SP2'!#REF!</f>
        <v>#REF!</v>
      </c>
      <c r="BI283" s="403" t="e">
        <f>'Portefeuille SP2'!#REF!</f>
        <v>#REF!</v>
      </c>
      <c r="BJ283" s="403" t="e">
        <f>'Portefeuille SP2'!#REF!</f>
        <v>#REF!</v>
      </c>
      <c r="BK283" s="403" t="e">
        <f>'Portefeuille SP2'!#REF!</f>
        <v>#REF!</v>
      </c>
      <c r="BL283" s="388"/>
      <c r="BM283" s="404">
        <f>'Portefeuille SP2'!L308</f>
        <v>0</v>
      </c>
    </row>
    <row r="284" spans="1:65" ht="15" customHeight="1">
      <c r="A284" s="383">
        <f>'Portefeuille SP2'!B309</f>
        <v>0</v>
      </c>
      <c r="B284" s="390">
        <f>'Portefeuille SP2'!Q309</f>
        <v>0</v>
      </c>
      <c r="C284" s="384"/>
      <c r="D284" s="382">
        <f>'Portefeuille SP2'!E309</f>
        <v>0</v>
      </c>
      <c r="E284" s="382" t="str">
        <f t="shared" si="29"/>
        <v>0</v>
      </c>
      <c r="F284" s="382" t="str">
        <f t="shared" si="30"/>
        <v/>
      </c>
      <c r="G284" s="382">
        <f>'Portefeuille SP2'!C309</f>
        <v>0</v>
      </c>
      <c r="H284" s="382">
        <f>'Portefeuille SP2'!F309</f>
        <v>0</v>
      </c>
      <c r="I284" s="382"/>
      <c r="J284" s="382">
        <f>'Portefeuille SP2'!D309</f>
        <v>0</v>
      </c>
      <c r="K284" s="385">
        <f>'Portefeuille SP2'!H309</f>
        <v>0</v>
      </c>
      <c r="L284" s="157">
        <f>'Portefeuille SP2'!U309</f>
        <v>0</v>
      </c>
      <c r="M284" s="386"/>
      <c r="N284" s="386"/>
      <c r="O284" s="386"/>
      <c r="P284" s="387">
        <f>'Portefeuille SP2'!M309</f>
        <v>0</v>
      </c>
      <c r="Q284" s="387"/>
      <c r="R284" s="387">
        <f>'Portefeuille SP2'!N309</f>
        <v>0</v>
      </c>
      <c r="S284" s="387"/>
      <c r="T284" s="382">
        <f>'Portefeuille SP2'!R309</f>
        <v>0</v>
      </c>
      <c r="U284" s="387">
        <f>'Portefeuille SP2'!K309</f>
        <v>0</v>
      </c>
      <c r="V284" s="399">
        <f>'Portefeuille SP2'!S309</f>
        <v>0</v>
      </c>
      <c r="W284" s="387"/>
      <c r="X284" s="387"/>
      <c r="Y284" s="387"/>
      <c r="Z284" s="387"/>
      <c r="AA284" s="387"/>
      <c r="AB284" s="387"/>
      <c r="AC284" s="387"/>
      <c r="AD284" s="387"/>
      <c r="AE284" s="400">
        <f>'Portefeuille SP2'!J309</f>
        <v>0</v>
      </c>
      <c r="AF284" s="387"/>
      <c r="AG284" s="387"/>
      <c r="AH284" s="389"/>
      <c r="AI284" s="389"/>
      <c r="AJ284" s="403">
        <f>'Portefeuille SP2'!V309</f>
        <v>0</v>
      </c>
      <c r="AK284" s="403">
        <f>'Portefeuille SP2'!W309</f>
        <v>0</v>
      </c>
      <c r="AL284" s="403">
        <f>'Portefeuille SP2'!X309</f>
        <v>0</v>
      </c>
      <c r="AM284" s="403">
        <f>'Portefeuille SP2'!Y309</f>
        <v>0</v>
      </c>
      <c r="AN284" s="403">
        <f>'Portefeuille SP2'!Z309</f>
        <v>0</v>
      </c>
      <c r="AO284" s="403">
        <f>'Portefeuille SP2'!AA309</f>
        <v>0</v>
      </c>
      <c r="AP284" s="403">
        <f>'Portefeuille SP2'!AB309</f>
        <v>0</v>
      </c>
      <c r="AQ284" s="403">
        <f>'Portefeuille SP2'!AC309</f>
        <v>0</v>
      </c>
      <c r="AR284" s="403">
        <f>'Portefeuille SP2'!AD309</f>
        <v>0</v>
      </c>
      <c r="AS284" s="403">
        <f>'Portefeuille SP2'!AE309</f>
        <v>0</v>
      </c>
      <c r="AT284" s="403">
        <f>'Portefeuille SP2'!AF309</f>
        <v>0</v>
      </c>
      <c r="AU284" s="403">
        <f>'Portefeuille SP2'!AG309</f>
        <v>0</v>
      </c>
      <c r="AV284" s="403">
        <f>'Portefeuille SP2'!AH309</f>
        <v>0</v>
      </c>
      <c r="AW284" s="403">
        <f>'Portefeuille SP2'!AI309</f>
        <v>0</v>
      </c>
      <c r="AX284" s="403">
        <f>'Portefeuille SP2'!AJ309</f>
        <v>0</v>
      </c>
      <c r="AY284" s="403">
        <f>'Portefeuille SP2'!AK309</f>
        <v>0</v>
      </c>
      <c r="AZ284" s="403">
        <f>'Portefeuille SP2'!AL309</f>
        <v>0</v>
      </c>
      <c r="BA284" s="403">
        <f>'Portefeuille SP2'!AM309</f>
        <v>0</v>
      </c>
      <c r="BB284" s="403">
        <f>'Portefeuille SP2'!AN309</f>
        <v>0</v>
      </c>
      <c r="BC284" s="403">
        <f>'Portefeuille SP2'!AO309</f>
        <v>0</v>
      </c>
      <c r="BD284" s="403">
        <f>'Portefeuille SP2'!AP309</f>
        <v>0</v>
      </c>
      <c r="BE284" s="403">
        <f>'Portefeuille SP2'!AQ309</f>
        <v>0</v>
      </c>
      <c r="BF284" s="403">
        <f>'Portefeuille SP2'!AR309</f>
        <v>0</v>
      </c>
      <c r="BG284" s="403" t="e">
        <f>'Portefeuille SP2'!#REF!</f>
        <v>#REF!</v>
      </c>
      <c r="BH284" s="403" t="e">
        <f>'Portefeuille SP2'!#REF!</f>
        <v>#REF!</v>
      </c>
      <c r="BI284" s="403" t="e">
        <f>'Portefeuille SP2'!#REF!</f>
        <v>#REF!</v>
      </c>
      <c r="BJ284" s="403" t="e">
        <f>'Portefeuille SP2'!#REF!</f>
        <v>#REF!</v>
      </c>
      <c r="BK284" s="403" t="e">
        <f>'Portefeuille SP2'!#REF!</f>
        <v>#REF!</v>
      </c>
      <c r="BL284" s="388"/>
      <c r="BM284" s="404">
        <f>'Portefeuille SP2'!L309</f>
        <v>0</v>
      </c>
    </row>
    <row r="285" spans="1:65" ht="15" customHeight="1">
      <c r="A285" s="383">
        <f>'Portefeuille SP2'!B310</f>
        <v>0</v>
      </c>
      <c r="B285" s="390">
        <f>'Portefeuille SP2'!Q310</f>
        <v>0</v>
      </c>
      <c r="C285" s="384"/>
      <c r="D285" s="382">
        <f>'Portefeuille SP2'!E310</f>
        <v>0</v>
      </c>
      <c r="E285" s="382" t="str">
        <f t="shared" si="29"/>
        <v>0</v>
      </c>
      <c r="F285" s="382" t="str">
        <f t="shared" si="30"/>
        <v/>
      </c>
      <c r="G285" s="382">
        <f>'Portefeuille SP2'!C310</f>
        <v>0</v>
      </c>
      <c r="H285" s="382">
        <f>'Portefeuille SP2'!F310</f>
        <v>0</v>
      </c>
      <c r="I285" s="382"/>
      <c r="J285" s="382">
        <f>'Portefeuille SP2'!D310</f>
        <v>0</v>
      </c>
      <c r="K285" s="385">
        <f>'Portefeuille SP2'!H310</f>
        <v>0</v>
      </c>
      <c r="L285" s="157">
        <f>'Portefeuille SP2'!U310</f>
        <v>0</v>
      </c>
      <c r="M285" s="386"/>
      <c r="N285" s="386"/>
      <c r="O285" s="386"/>
      <c r="P285" s="387">
        <f>'Portefeuille SP2'!M310</f>
        <v>0</v>
      </c>
      <c r="Q285" s="387"/>
      <c r="R285" s="387">
        <f>'Portefeuille SP2'!N310</f>
        <v>0</v>
      </c>
      <c r="S285" s="387"/>
      <c r="T285" s="382">
        <f>'Portefeuille SP2'!R310</f>
        <v>0</v>
      </c>
      <c r="U285" s="387">
        <f>'Portefeuille SP2'!K310</f>
        <v>0</v>
      </c>
      <c r="V285" s="399">
        <f>'Portefeuille SP2'!S310</f>
        <v>0</v>
      </c>
      <c r="W285" s="387"/>
      <c r="X285" s="387"/>
      <c r="Y285" s="387"/>
      <c r="Z285" s="387"/>
      <c r="AA285" s="387"/>
      <c r="AB285" s="387"/>
      <c r="AC285" s="387"/>
      <c r="AD285" s="387"/>
      <c r="AE285" s="400">
        <f>'Portefeuille SP2'!J310</f>
        <v>0</v>
      </c>
      <c r="AF285" s="387"/>
      <c r="AG285" s="387"/>
      <c r="AH285" s="389"/>
      <c r="AI285" s="389"/>
      <c r="AJ285" s="403">
        <f>'Portefeuille SP2'!V310</f>
        <v>0</v>
      </c>
      <c r="AK285" s="403">
        <f>'Portefeuille SP2'!W310</f>
        <v>0</v>
      </c>
      <c r="AL285" s="403">
        <f>'Portefeuille SP2'!X310</f>
        <v>0</v>
      </c>
      <c r="AM285" s="403">
        <f>'Portefeuille SP2'!Y310</f>
        <v>0</v>
      </c>
      <c r="AN285" s="403">
        <f>'Portefeuille SP2'!Z310</f>
        <v>0</v>
      </c>
      <c r="AO285" s="403">
        <f>'Portefeuille SP2'!AA310</f>
        <v>0</v>
      </c>
      <c r="AP285" s="403">
        <f>'Portefeuille SP2'!AB310</f>
        <v>0</v>
      </c>
      <c r="AQ285" s="403">
        <f>'Portefeuille SP2'!AC310</f>
        <v>0</v>
      </c>
      <c r="AR285" s="403">
        <f>'Portefeuille SP2'!AD310</f>
        <v>0</v>
      </c>
      <c r="AS285" s="403">
        <f>'Portefeuille SP2'!AE310</f>
        <v>0</v>
      </c>
      <c r="AT285" s="403">
        <f>'Portefeuille SP2'!AF310</f>
        <v>0</v>
      </c>
      <c r="AU285" s="403">
        <f>'Portefeuille SP2'!AG310</f>
        <v>0</v>
      </c>
      <c r="AV285" s="403">
        <f>'Portefeuille SP2'!AH310</f>
        <v>0</v>
      </c>
      <c r="AW285" s="403">
        <f>'Portefeuille SP2'!AI310</f>
        <v>0</v>
      </c>
      <c r="AX285" s="403">
        <f>'Portefeuille SP2'!AJ310</f>
        <v>0</v>
      </c>
      <c r="AY285" s="403">
        <f>'Portefeuille SP2'!AK310</f>
        <v>0</v>
      </c>
      <c r="AZ285" s="403">
        <f>'Portefeuille SP2'!AL310</f>
        <v>0</v>
      </c>
      <c r="BA285" s="403">
        <f>'Portefeuille SP2'!AM310</f>
        <v>0</v>
      </c>
      <c r="BB285" s="403">
        <f>'Portefeuille SP2'!AN310</f>
        <v>0</v>
      </c>
      <c r="BC285" s="403">
        <f>'Portefeuille SP2'!AO310</f>
        <v>0</v>
      </c>
      <c r="BD285" s="403">
        <f>'Portefeuille SP2'!AP310</f>
        <v>0</v>
      </c>
      <c r="BE285" s="403">
        <f>'Portefeuille SP2'!AQ310</f>
        <v>0</v>
      </c>
      <c r="BF285" s="403">
        <f>'Portefeuille SP2'!AR310</f>
        <v>0</v>
      </c>
      <c r="BG285" s="403" t="e">
        <f>'Portefeuille SP2'!#REF!</f>
        <v>#REF!</v>
      </c>
      <c r="BH285" s="403" t="e">
        <f>'Portefeuille SP2'!#REF!</f>
        <v>#REF!</v>
      </c>
      <c r="BI285" s="403" t="e">
        <f>'Portefeuille SP2'!#REF!</f>
        <v>#REF!</v>
      </c>
      <c r="BJ285" s="403" t="e">
        <f>'Portefeuille SP2'!#REF!</f>
        <v>#REF!</v>
      </c>
      <c r="BK285" s="403" t="e">
        <f>'Portefeuille SP2'!#REF!</f>
        <v>#REF!</v>
      </c>
      <c r="BL285" s="388"/>
      <c r="BM285" s="404">
        <f>'Portefeuille SP2'!L310</f>
        <v>0</v>
      </c>
    </row>
    <row r="286" spans="1:65" ht="15" customHeight="1">
      <c r="A286" s="383">
        <f>'Portefeuille SP2'!B311</f>
        <v>0</v>
      </c>
      <c r="B286" s="390">
        <f>'Portefeuille SP2'!Q311</f>
        <v>0</v>
      </c>
      <c r="C286" s="384"/>
      <c r="D286" s="382">
        <f>'Portefeuille SP2'!E311</f>
        <v>0</v>
      </c>
      <c r="E286" s="382" t="str">
        <f t="shared" si="29"/>
        <v>0</v>
      </c>
      <c r="F286" s="382" t="str">
        <f t="shared" si="30"/>
        <v/>
      </c>
      <c r="G286" s="382">
        <f>'Portefeuille SP2'!C311</f>
        <v>0</v>
      </c>
      <c r="H286" s="382">
        <f>'Portefeuille SP2'!F311</f>
        <v>0</v>
      </c>
      <c r="I286" s="382"/>
      <c r="J286" s="382">
        <f>'Portefeuille SP2'!D311</f>
        <v>0</v>
      </c>
      <c r="K286" s="385">
        <f>'Portefeuille SP2'!H311</f>
        <v>0</v>
      </c>
      <c r="L286" s="157">
        <f>'Portefeuille SP2'!U311</f>
        <v>0</v>
      </c>
      <c r="M286" s="386"/>
      <c r="N286" s="386"/>
      <c r="O286" s="386"/>
      <c r="P286" s="387">
        <f>'Portefeuille SP2'!M311</f>
        <v>0</v>
      </c>
      <c r="Q286" s="387"/>
      <c r="R286" s="387">
        <f>'Portefeuille SP2'!N311</f>
        <v>0</v>
      </c>
      <c r="S286" s="387"/>
      <c r="T286" s="382">
        <f>'Portefeuille SP2'!R311</f>
        <v>0</v>
      </c>
      <c r="U286" s="387">
        <f>'Portefeuille SP2'!K311</f>
        <v>0</v>
      </c>
      <c r="V286" s="399">
        <f>'Portefeuille SP2'!S311</f>
        <v>0</v>
      </c>
      <c r="W286" s="387"/>
      <c r="X286" s="387"/>
      <c r="Y286" s="387"/>
      <c r="Z286" s="387"/>
      <c r="AA286" s="387"/>
      <c r="AB286" s="387"/>
      <c r="AC286" s="387"/>
      <c r="AD286" s="387"/>
      <c r="AE286" s="400">
        <f>'Portefeuille SP2'!J311</f>
        <v>0</v>
      </c>
      <c r="AF286" s="387"/>
      <c r="AG286" s="387"/>
      <c r="AH286" s="389"/>
      <c r="AI286" s="389"/>
      <c r="AJ286" s="403">
        <f>'Portefeuille SP2'!V311</f>
        <v>0</v>
      </c>
      <c r="AK286" s="403">
        <f>'Portefeuille SP2'!W311</f>
        <v>0</v>
      </c>
      <c r="AL286" s="403">
        <f>'Portefeuille SP2'!X311</f>
        <v>0</v>
      </c>
      <c r="AM286" s="403">
        <f>'Portefeuille SP2'!Y311</f>
        <v>0</v>
      </c>
      <c r="AN286" s="403">
        <f>'Portefeuille SP2'!Z311</f>
        <v>0</v>
      </c>
      <c r="AO286" s="403">
        <f>'Portefeuille SP2'!AA311</f>
        <v>0</v>
      </c>
      <c r="AP286" s="403">
        <f>'Portefeuille SP2'!AB311</f>
        <v>0</v>
      </c>
      <c r="AQ286" s="403">
        <f>'Portefeuille SP2'!AC311</f>
        <v>0</v>
      </c>
      <c r="AR286" s="403">
        <f>'Portefeuille SP2'!AD311</f>
        <v>0</v>
      </c>
      <c r="AS286" s="403">
        <f>'Portefeuille SP2'!AE311</f>
        <v>0</v>
      </c>
      <c r="AT286" s="403">
        <f>'Portefeuille SP2'!AF311</f>
        <v>0</v>
      </c>
      <c r="AU286" s="403">
        <f>'Portefeuille SP2'!AG311</f>
        <v>0</v>
      </c>
      <c r="AV286" s="403">
        <f>'Portefeuille SP2'!AH311</f>
        <v>0</v>
      </c>
      <c r="AW286" s="403">
        <f>'Portefeuille SP2'!AI311</f>
        <v>0</v>
      </c>
      <c r="AX286" s="403">
        <f>'Portefeuille SP2'!AJ311</f>
        <v>0</v>
      </c>
      <c r="AY286" s="403">
        <f>'Portefeuille SP2'!AK311</f>
        <v>0</v>
      </c>
      <c r="AZ286" s="403">
        <f>'Portefeuille SP2'!AL311</f>
        <v>0</v>
      </c>
      <c r="BA286" s="403">
        <f>'Portefeuille SP2'!AM311</f>
        <v>0</v>
      </c>
      <c r="BB286" s="403">
        <f>'Portefeuille SP2'!AN311</f>
        <v>0</v>
      </c>
      <c r="BC286" s="403">
        <f>'Portefeuille SP2'!AO311</f>
        <v>0</v>
      </c>
      <c r="BD286" s="403">
        <f>'Portefeuille SP2'!AP311</f>
        <v>0</v>
      </c>
      <c r="BE286" s="403">
        <f>'Portefeuille SP2'!AQ311</f>
        <v>0</v>
      </c>
      <c r="BF286" s="403">
        <f>'Portefeuille SP2'!AR311</f>
        <v>0</v>
      </c>
      <c r="BG286" s="403" t="e">
        <f>'Portefeuille SP2'!#REF!</f>
        <v>#REF!</v>
      </c>
      <c r="BH286" s="403" t="e">
        <f>'Portefeuille SP2'!#REF!</f>
        <v>#REF!</v>
      </c>
      <c r="BI286" s="403" t="e">
        <f>'Portefeuille SP2'!#REF!</f>
        <v>#REF!</v>
      </c>
      <c r="BJ286" s="403" t="e">
        <f>'Portefeuille SP2'!#REF!</f>
        <v>#REF!</v>
      </c>
      <c r="BK286" s="403" t="e">
        <f>'Portefeuille SP2'!#REF!</f>
        <v>#REF!</v>
      </c>
      <c r="BL286" s="388"/>
      <c r="BM286" s="404">
        <f>'Portefeuille SP2'!L311</f>
        <v>0</v>
      </c>
    </row>
    <row r="287" spans="1:65" ht="15" customHeight="1">
      <c r="A287" s="383">
        <f>'Portefeuille SP2'!B312</f>
        <v>0</v>
      </c>
      <c r="B287" s="390">
        <f>'Portefeuille SP2'!Q312</f>
        <v>0</v>
      </c>
      <c r="C287" s="384"/>
      <c r="D287" s="382">
        <f>'Portefeuille SP2'!E312</f>
        <v>0</v>
      </c>
      <c r="E287" s="382" t="str">
        <f t="shared" si="29"/>
        <v>0</v>
      </c>
      <c r="F287" s="382" t="str">
        <f t="shared" si="30"/>
        <v/>
      </c>
      <c r="G287" s="382">
        <f>'Portefeuille SP2'!C312</f>
        <v>0</v>
      </c>
      <c r="H287" s="382">
        <f>'Portefeuille SP2'!F312</f>
        <v>0</v>
      </c>
      <c r="I287" s="382"/>
      <c r="J287" s="382">
        <f>'Portefeuille SP2'!D312</f>
        <v>0</v>
      </c>
      <c r="K287" s="385">
        <f>'Portefeuille SP2'!H312</f>
        <v>0</v>
      </c>
      <c r="L287" s="157">
        <f>'Portefeuille SP2'!U312</f>
        <v>0</v>
      </c>
      <c r="M287" s="386"/>
      <c r="N287" s="386"/>
      <c r="O287" s="386"/>
      <c r="P287" s="387">
        <f>'Portefeuille SP2'!M312</f>
        <v>0</v>
      </c>
      <c r="Q287" s="387"/>
      <c r="R287" s="387">
        <f>'Portefeuille SP2'!N312</f>
        <v>0</v>
      </c>
      <c r="S287" s="387"/>
      <c r="T287" s="382">
        <f>'Portefeuille SP2'!R312</f>
        <v>0</v>
      </c>
      <c r="U287" s="387">
        <f>'Portefeuille SP2'!K312</f>
        <v>0</v>
      </c>
      <c r="V287" s="399">
        <f>'Portefeuille SP2'!S312</f>
        <v>0</v>
      </c>
      <c r="W287" s="387"/>
      <c r="X287" s="387"/>
      <c r="Y287" s="387"/>
      <c r="Z287" s="387"/>
      <c r="AA287" s="387"/>
      <c r="AB287" s="387"/>
      <c r="AC287" s="387"/>
      <c r="AD287" s="387"/>
      <c r="AE287" s="400">
        <f>'Portefeuille SP2'!J312</f>
        <v>0</v>
      </c>
      <c r="AF287" s="387"/>
      <c r="AG287" s="387"/>
      <c r="AH287" s="389"/>
      <c r="AI287" s="389"/>
      <c r="AJ287" s="403">
        <f>'Portefeuille SP2'!V312</f>
        <v>0</v>
      </c>
      <c r="AK287" s="403">
        <f>'Portefeuille SP2'!W312</f>
        <v>0</v>
      </c>
      <c r="AL287" s="403">
        <f>'Portefeuille SP2'!X312</f>
        <v>0</v>
      </c>
      <c r="AM287" s="403">
        <f>'Portefeuille SP2'!Y312</f>
        <v>0</v>
      </c>
      <c r="AN287" s="403">
        <f>'Portefeuille SP2'!Z312</f>
        <v>0</v>
      </c>
      <c r="AO287" s="403">
        <f>'Portefeuille SP2'!AA312</f>
        <v>0</v>
      </c>
      <c r="AP287" s="403">
        <f>'Portefeuille SP2'!AB312</f>
        <v>0</v>
      </c>
      <c r="AQ287" s="403">
        <f>'Portefeuille SP2'!AC312</f>
        <v>0</v>
      </c>
      <c r="AR287" s="403">
        <f>'Portefeuille SP2'!AD312</f>
        <v>0</v>
      </c>
      <c r="AS287" s="403">
        <f>'Portefeuille SP2'!AE312</f>
        <v>0</v>
      </c>
      <c r="AT287" s="403">
        <f>'Portefeuille SP2'!AF312</f>
        <v>0</v>
      </c>
      <c r="AU287" s="403">
        <f>'Portefeuille SP2'!AG312</f>
        <v>0</v>
      </c>
      <c r="AV287" s="403">
        <f>'Portefeuille SP2'!AH312</f>
        <v>0</v>
      </c>
      <c r="AW287" s="403">
        <f>'Portefeuille SP2'!AI312</f>
        <v>0</v>
      </c>
      <c r="AX287" s="403">
        <f>'Portefeuille SP2'!AJ312</f>
        <v>0</v>
      </c>
      <c r="AY287" s="403">
        <f>'Portefeuille SP2'!AK312</f>
        <v>0</v>
      </c>
      <c r="AZ287" s="403">
        <f>'Portefeuille SP2'!AL312</f>
        <v>0</v>
      </c>
      <c r="BA287" s="403">
        <f>'Portefeuille SP2'!AM312</f>
        <v>0</v>
      </c>
      <c r="BB287" s="403">
        <f>'Portefeuille SP2'!AN312</f>
        <v>0</v>
      </c>
      <c r="BC287" s="403">
        <f>'Portefeuille SP2'!AO312</f>
        <v>0</v>
      </c>
      <c r="BD287" s="403">
        <f>'Portefeuille SP2'!AP312</f>
        <v>0</v>
      </c>
      <c r="BE287" s="403">
        <f>'Portefeuille SP2'!AQ312</f>
        <v>0</v>
      </c>
      <c r="BF287" s="403">
        <f>'Portefeuille SP2'!AR312</f>
        <v>0</v>
      </c>
      <c r="BG287" s="403" t="e">
        <f>'Portefeuille SP2'!#REF!</f>
        <v>#REF!</v>
      </c>
      <c r="BH287" s="403" t="e">
        <f>'Portefeuille SP2'!#REF!</f>
        <v>#REF!</v>
      </c>
      <c r="BI287" s="403" t="e">
        <f>'Portefeuille SP2'!#REF!</f>
        <v>#REF!</v>
      </c>
      <c r="BJ287" s="403" t="e">
        <f>'Portefeuille SP2'!#REF!</f>
        <v>#REF!</v>
      </c>
      <c r="BK287" s="403" t="e">
        <f>'Portefeuille SP2'!#REF!</f>
        <v>#REF!</v>
      </c>
      <c r="BL287" s="388"/>
      <c r="BM287" s="404">
        <f>'Portefeuille SP2'!L312</f>
        <v>0</v>
      </c>
    </row>
    <row r="288" spans="1:65" ht="15" customHeight="1">
      <c r="A288" s="383">
        <f>'Portefeuille SP2'!B313</f>
        <v>0</v>
      </c>
      <c r="B288" s="390">
        <f>'Portefeuille SP2'!Q313</f>
        <v>0</v>
      </c>
      <c r="C288" s="384"/>
      <c r="D288" s="382">
        <f>'Portefeuille SP2'!E313</f>
        <v>0</v>
      </c>
      <c r="E288" s="382" t="str">
        <f t="shared" si="29"/>
        <v>0</v>
      </c>
      <c r="F288" s="382" t="str">
        <f t="shared" si="30"/>
        <v/>
      </c>
      <c r="G288" s="382">
        <f>'Portefeuille SP2'!C313</f>
        <v>0</v>
      </c>
      <c r="H288" s="382">
        <f>'Portefeuille SP2'!F313</f>
        <v>0</v>
      </c>
      <c r="I288" s="382"/>
      <c r="J288" s="382">
        <f>'Portefeuille SP2'!D313</f>
        <v>0</v>
      </c>
      <c r="K288" s="385">
        <f>'Portefeuille SP2'!H313</f>
        <v>0</v>
      </c>
      <c r="L288" s="157">
        <f>'Portefeuille SP2'!U313</f>
        <v>0</v>
      </c>
      <c r="M288" s="386"/>
      <c r="N288" s="386"/>
      <c r="O288" s="386"/>
      <c r="P288" s="387">
        <f>'Portefeuille SP2'!M313</f>
        <v>0</v>
      </c>
      <c r="Q288" s="387"/>
      <c r="R288" s="387">
        <f>'Portefeuille SP2'!N313</f>
        <v>0</v>
      </c>
      <c r="S288" s="387"/>
      <c r="T288" s="382">
        <f>'Portefeuille SP2'!R313</f>
        <v>0</v>
      </c>
      <c r="U288" s="387">
        <f>'Portefeuille SP2'!K313</f>
        <v>0</v>
      </c>
      <c r="V288" s="399">
        <f>'Portefeuille SP2'!S313</f>
        <v>0</v>
      </c>
      <c r="W288" s="387"/>
      <c r="X288" s="387"/>
      <c r="Y288" s="387"/>
      <c r="Z288" s="387"/>
      <c r="AA288" s="387"/>
      <c r="AB288" s="387"/>
      <c r="AC288" s="387"/>
      <c r="AD288" s="387"/>
      <c r="AE288" s="400">
        <f>'Portefeuille SP2'!J313</f>
        <v>0</v>
      </c>
      <c r="AF288" s="387"/>
      <c r="AG288" s="387"/>
      <c r="AH288" s="389"/>
      <c r="AI288" s="389"/>
      <c r="AJ288" s="403">
        <f>'Portefeuille SP2'!V313</f>
        <v>0</v>
      </c>
      <c r="AK288" s="403">
        <f>'Portefeuille SP2'!W313</f>
        <v>0</v>
      </c>
      <c r="AL288" s="403">
        <f>'Portefeuille SP2'!X313</f>
        <v>0</v>
      </c>
      <c r="AM288" s="403">
        <f>'Portefeuille SP2'!Y313</f>
        <v>0</v>
      </c>
      <c r="AN288" s="403">
        <f>'Portefeuille SP2'!Z313</f>
        <v>0</v>
      </c>
      <c r="AO288" s="403">
        <f>'Portefeuille SP2'!AA313</f>
        <v>0</v>
      </c>
      <c r="AP288" s="403">
        <f>'Portefeuille SP2'!AB313</f>
        <v>0</v>
      </c>
      <c r="AQ288" s="403">
        <f>'Portefeuille SP2'!AC313</f>
        <v>0</v>
      </c>
      <c r="AR288" s="403">
        <f>'Portefeuille SP2'!AD313</f>
        <v>0</v>
      </c>
      <c r="AS288" s="403">
        <f>'Portefeuille SP2'!AE313</f>
        <v>0</v>
      </c>
      <c r="AT288" s="403">
        <f>'Portefeuille SP2'!AF313</f>
        <v>0</v>
      </c>
      <c r="AU288" s="403">
        <f>'Portefeuille SP2'!AG313</f>
        <v>0</v>
      </c>
      <c r="AV288" s="403">
        <f>'Portefeuille SP2'!AH313</f>
        <v>0</v>
      </c>
      <c r="AW288" s="403">
        <f>'Portefeuille SP2'!AI313</f>
        <v>0</v>
      </c>
      <c r="AX288" s="403">
        <f>'Portefeuille SP2'!AJ313</f>
        <v>0</v>
      </c>
      <c r="AY288" s="403">
        <f>'Portefeuille SP2'!AK313</f>
        <v>0</v>
      </c>
      <c r="AZ288" s="403">
        <f>'Portefeuille SP2'!AL313</f>
        <v>0</v>
      </c>
      <c r="BA288" s="403">
        <f>'Portefeuille SP2'!AM313</f>
        <v>0</v>
      </c>
      <c r="BB288" s="403">
        <f>'Portefeuille SP2'!AN313</f>
        <v>0</v>
      </c>
      <c r="BC288" s="403">
        <f>'Portefeuille SP2'!AO313</f>
        <v>0</v>
      </c>
      <c r="BD288" s="403">
        <f>'Portefeuille SP2'!AP313</f>
        <v>0</v>
      </c>
      <c r="BE288" s="403">
        <f>'Portefeuille SP2'!AQ313</f>
        <v>0</v>
      </c>
      <c r="BF288" s="403">
        <f>'Portefeuille SP2'!AR313</f>
        <v>0</v>
      </c>
      <c r="BG288" s="403" t="e">
        <f>'Portefeuille SP2'!#REF!</f>
        <v>#REF!</v>
      </c>
      <c r="BH288" s="403" t="e">
        <f>'Portefeuille SP2'!#REF!</f>
        <v>#REF!</v>
      </c>
      <c r="BI288" s="403" t="e">
        <f>'Portefeuille SP2'!#REF!</f>
        <v>#REF!</v>
      </c>
      <c r="BJ288" s="403" t="e">
        <f>'Portefeuille SP2'!#REF!</f>
        <v>#REF!</v>
      </c>
      <c r="BK288" s="403" t="e">
        <f>'Portefeuille SP2'!#REF!</f>
        <v>#REF!</v>
      </c>
      <c r="BL288" s="388"/>
      <c r="BM288" s="404">
        <f>'Portefeuille SP2'!L313</f>
        <v>0</v>
      </c>
    </row>
    <row r="289" spans="1:65" ht="15" customHeight="1">
      <c r="A289" s="383">
        <f>'Portefeuille SP2'!B314</f>
        <v>0</v>
      </c>
      <c r="B289" s="390">
        <f>'Portefeuille SP2'!Q314</f>
        <v>0</v>
      </c>
      <c r="C289" s="384"/>
      <c r="D289" s="382">
        <f>'Portefeuille SP2'!E314</f>
        <v>0</v>
      </c>
      <c r="E289" s="382" t="str">
        <f t="shared" si="29"/>
        <v>0</v>
      </c>
      <c r="F289" s="382" t="str">
        <f t="shared" si="30"/>
        <v/>
      </c>
      <c r="G289" s="382">
        <f>'Portefeuille SP2'!C314</f>
        <v>0</v>
      </c>
      <c r="H289" s="382">
        <f>'Portefeuille SP2'!F314</f>
        <v>0</v>
      </c>
      <c r="I289" s="382"/>
      <c r="J289" s="382">
        <f>'Portefeuille SP2'!D314</f>
        <v>0</v>
      </c>
      <c r="K289" s="385">
        <f>'Portefeuille SP2'!H314</f>
        <v>0</v>
      </c>
      <c r="L289" s="157">
        <f>'Portefeuille SP2'!U314</f>
        <v>0</v>
      </c>
      <c r="M289" s="386"/>
      <c r="N289" s="386"/>
      <c r="O289" s="386"/>
      <c r="P289" s="387">
        <f>'Portefeuille SP2'!M314</f>
        <v>0</v>
      </c>
      <c r="Q289" s="387"/>
      <c r="R289" s="387">
        <f>'Portefeuille SP2'!N314</f>
        <v>0</v>
      </c>
      <c r="S289" s="387"/>
      <c r="T289" s="382">
        <f>'Portefeuille SP2'!R314</f>
        <v>0</v>
      </c>
      <c r="U289" s="387">
        <f>'Portefeuille SP2'!K314</f>
        <v>0</v>
      </c>
      <c r="V289" s="399">
        <f>'Portefeuille SP2'!S314</f>
        <v>0</v>
      </c>
      <c r="W289" s="387"/>
      <c r="X289" s="387"/>
      <c r="Y289" s="387"/>
      <c r="Z289" s="387"/>
      <c r="AA289" s="387"/>
      <c r="AB289" s="387"/>
      <c r="AC289" s="387"/>
      <c r="AD289" s="387"/>
      <c r="AE289" s="400">
        <f>'Portefeuille SP2'!J314</f>
        <v>0</v>
      </c>
      <c r="AF289" s="387"/>
      <c r="AG289" s="387"/>
      <c r="AH289" s="389"/>
      <c r="AI289" s="389"/>
      <c r="AJ289" s="403">
        <f>'Portefeuille SP2'!V314</f>
        <v>0</v>
      </c>
      <c r="AK289" s="403">
        <f>'Portefeuille SP2'!W314</f>
        <v>0</v>
      </c>
      <c r="AL289" s="403">
        <f>'Portefeuille SP2'!X314</f>
        <v>0</v>
      </c>
      <c r="AM289" s="403">
        <f>'Portefeuille SP2'!Y314</f>
        <v>0</v>
      </c>
      <c r="AN289" s="403">
        <f>'Portefeuille SP2'!Z314</f>
        <v>0</v>
      </c>
      <c r="AO289" s="403">
        <f>'Portefeuille SP2'!AA314</f>
        <v>0</v>
      </c>
      <c r="AP289" s="403">
        <f>'Portefeuille SP2'!AB314</f>
        <v>0</v>
      </c>
      <c r="AQ289" s="403">
        <f>'Portefeuille SP2'!AC314</f>
        <v>0</v>
      </c>
      <c r="AR289" s="403">
        <f>'Portefeuille SP2'!AD314</f>
        <v>0</v>
      </c>
      <c r="AS289" s="403">
        <f>'Portefeuille SP2'!AE314</f>
        <v>0</v>
      </c>
      <c r="AT289" s="403">
        <f>'Portefeuille SP2'!AF314</f>
        <v>0</v>
      </c>
      <c r="AU289" s="403">
        <f>'Portefeuille SP2'!AG314</f>
        <v>0</v>
      </c>
      <c r="AV289" s="403">
        <f>'Portefeuille SP2'!AH314</f>
        <v>0</v>
      </c>
      <c r="AW289" s="403">
        <f>'Portefeuille SP2'!AI314</f>
        <v>0</v>
      </c>
      <c r="AX289" s="403">
        <f>'Portefeuille SP2'!AJ314</f>
        <v>0</v>
      </c>
      <c r="AY289" s="403">
        <f>'Portefeuille SP2'!AK314</f>
        <v>0</v>
      </c>
      <c r="AZ289" s="403">
        <f>'Portefeuille SP2'!AL314</f>
        <v>0</v>
      </c>
      <c r="BA289" s="403">
        <f>'Portefeuille SP2'!AM314</f>
        <v>0</v>
      </c>
      <c r="BB289" s="403">
        <f>'Portefeuille SP2'!AN314</f>
        <v>0</v>
      </c>
      <c r="BC289" s="403">
        <f>'Portefeuille SP2'!AO314</f>
        <v>0</v>
      </c>
      <c r="BD289" s="403">
        <f>'Portefeuille SP2'!AP314</f>
        <v>0</v>
      </c>
      <c r="BE289" s="403">
        <f>'Portefeuille SP2'!AQ314</f>
        <v>0</v>
      </c>
      <c r="BF289" s="403">
        <f>'Portefeuille SP2'!AR314</f>
        <v>0</v>
      </c>
      <c r="BG289" s="403" t="e">
        <f>'Portefeuille SP2'!#REF!</f>
        <v>#REF!</v>
      </c>
      <c r="BH289" s="403" t="e">
        <f>'Portefeuille SP2'!#REF!</f>
        <v>#REF!</v>
      </c>
      <c r="BI289" s="403" t="e">
        <f>'Portefeuille SP2'!#REF!</f>
        <v>#REF!</v>
      </c>
      <c r="BJ289" s="403" t="e">
        <f>'Portefeuille SP2'!#REF!</f>
        <v>#REF!</v>
      </c>
      <c r="BK289" s="403" t="e">
        <f>'Portefeuille SP2'!#REF!</f>
        <v>#REF!</v>
      </c>
      <c r="BL289" s="388"/>
      <c r="BM289" s="404">
        <f>'Portefeuille SP2'!L314</f>
        <v>0</v>
      </c>
    </row>
    <row r="290" spans="1:65" ht="15" customHeight="1">
      <c r="A290" s="383">
        <f>'Portefeuille SP2'!B315</f>
        <v>0</v>
      </c>
      <c r="B290" s="390">
        <f>'Portefeuille SP2'!Q315</f>
        <v>0</v>
      </c>
      <c r="C290" s="384"/>
      <c r="D290" s="382">
        <f>'Portefeuille SP2'!E315</f>
        <v>0</v>
      </c>
      <c r="E290" s="382" t="str">
        <f t="shared" si="29"/>
        <v>0</v>
      </c>
      <c r="F290" s="382" t="str">
        <f t="shared" si="30"/>
        <v/>
      </c>
      <c r="G290" s="382">
        <f>'Portefeuille SP2'!C315</f>
        <v>0</v>
      </c>
      <c r="H290" s="382">
        <f>'Portefeuille SP2'!F315</f>
        <v>0</v>
      </c>
      <c r="I290" s="382"/>
      <c r="J290" s="382">
        <f>'Portefeuille SP2'!D315</f>
        <v>0</v>
      </c>
      <c r="K290" s="385">
        <f>'Portefeuille SP2'!H315</f>
        <v>0</v>
      </c>
      <c r="L290" s="157">
        <f>'Portefeuille SP2'!U315</f>
        <v>0</v>
      </c>
      <c r="M290" s="386"/>
      <c r="N290" s="386"/>
      <c r="O290" s="386"/>
      <c r="P290" s="387">
        <f>'Portefeuille SP2'!M315</f>
        <v>0</v>
      </c>
      <c r="Q290" s="387"/>
      <c r="R290" s="387">
        <f>'Portefeuille SP2'!N315</f>
        <v>0</v>
      </c>
      <c r="S290" s="387"/>
      <c r="T290" s="382">
        <f>'Portefeuille SP2'!R315</f>
        <v>0</v>
      </c>
      <c r="U290" s="387">
        <f>'Portefeuille SP2'!K315</f>
        <v>0</v>
      </c>
      <c r="V290" s="399">
        <f>'Portefeuille SP2'!S315</f>
        <v>0</v>
      </c>
      <c r="W290" s="387"/>
      <c r="X290" s="387"/>
      <c r="Y290" s="387"/>
      <c r="Z290" s="387"/>
      <c r="AA290" s="387"/>
      <c r="AB290" s="387"/>
      <c r="AC290" s="387"/>
      <c r="AD290" s="387"/>
      <c r="AE290" s="400">
        <f>'Portefeuille SP2'!J315</f>
        <v>0</v>
      </c>
      <c r="AF290" s="387"/>
      <c r="AG290" s="387"/>
      <c r="AH290" s="389"/>
      <c r="AI290" s="389"/>
      <c r="AJ290" s="403">
        <f>'Portefeuille SP2'!V315</f>
        <v>0</v>
      </c>
      <c r="AK290" s="403">
        <f>'Portefeuille SP2'!W315</f>
        <v>0</v>
      </c>
      <c r="AL290" s="403">
        <f>'Portefeuille SP2'!X315</f>
        <v>0</v>
      </c>
      <c r="AM290" s="403">
        <f>'Portefeuille SP2'!Y315</f>
        <v>0</v>
      </c>
      <c r="AN290" s="403">
        <f>'Portefeuille SP2'!Z315</f>
        <v>0</v>
      </c>
      <c r="AO290" s="403">
        <f>'Portefeuille SP2'!AA315</f>
        <v>0</v>
      </c>
      <c r="AP290" s="403">
        <f>'Portefeuille SP2'!AB315</f>
        <v>0</v>
      </c>
      <c r="AQ290" s="403">
        <f>'Portefeuille SP2'!AC315</f>
        <v>0</v>
      </c>
      <c r="AR290" s="403">
        <f>'Portefeuille SP2'!AD315</f>
        <v>0</v>
      </c>
      <c r="AS290" s="403">
        <f>'Portefeuille SP2'!AE315</f>
        <v>0</v>
      </c>
      <c r="AT290" s="403">
        <f>'Portefeuille SP2'!AF315</f>
        <v>0</v>
      </c>
      <c r="AU290" s="403">
        <f>'Portefeuille SP2'!AG315</f>
        <v>0</v>
      </c>
      <c r="AV290" s="403">
        <f>'Portefeuille SP2'!AH315</f>
        <v>0</v>
      </c>
      <c r="AW290" s="403">
        <f>'Portefeuille SP2'!AI315</f>
        <v>0</v>
      </c>
      <c r="AX290" s="403">
        <f>'Portefeuille SP2'!AJ315</f>
        <v>0</v>
      </c>
      <c r="AY290" s="403">
        <f>'Portefeuille SP2'!AK315</f>
        <v>0</v>
      </c>
      <c r="AZ290" s="403">
        <f>'Portefeuille SP2'!AL315</f>
        <v>0</v>
      </c>
      <c r="BA290" s="403">
        <f>'Portefeuille SP2'!AM315</f>
        <v>0</v>
      </c>
      <c r="BB290" s="403">
        <f>'Portefeuille SP2'!AN315</f>
        <v>0</v>
      </c>
      <c r="BC290" s="403">
        <f>'Portefeuille SP2'!AO315</f>
        <v>0</v>
      </c>
      <c r="BD290" s="403">
        <f>'Portefeuille SP2'!AP315</f>
        <v>0</v>
      </c>
      <c r="BE290" s="403">
        <f>'Portefeuille SP2'!AQ315</f>
        <v>0</v>
      </c>
      <c r="BF290" s="403">
        <f>'Portefeuille SP2'!AR315</f>
        <v>0</v>
      </c>
      <c r="BG290" s="403" t="e">
        <f>'Portefeuille SP2'!#REF!</f>
        <v>#REF!</v>
      </c>
      <c r="BH290" s="403" t="e">
        <f>'Portefeuille SP2'!#REF!</f>
        <v>#REF!</v>
      </c>
      <c r="BI290" s="403" t="e">
        <f>'Portefeuille SP2'!#REF!</f>
        <v>#REF!</v>
      </c>
      <c r="BJ290" s="403" t="e">
        <f>'Portefeuille SP2'!#REF!</f>
        <v>#REF!</v>
      </c>
      <c r="BK290" s="403" t="e">
        <f>'Portefeuille SP2'!#REF!</f>
        <v>#REF!</v>
      </c>
      <c r="BL290" s="388"/>
      <c r="BM290" s="404">
        <f>'Portefeuille SP2'!L315</f>
        <v>0</v>
      </c>
    </row>
    <row r="291" spans="1:65" ht="15" customHeight="1">
      <c r="A291" s="383">
        <f>'Portefeuille SP2'!B316</f>
        <v>0</v>
      </c>
      <c r="B291" s="390">
        <f>'Portefeuille SP2'!Q316</f>
        <v>0</v>
      </c>
      <c r="C291" s="384"/>
      <c r="D291" s="382">
        <f>'Portefeuille SP2'!E316</f>
        <v>0</v>
      </c>
      <c r="E291" s="382" t="str">
        <f t="shared" si="29"/>
        <v>0</v>
      </c>
      <c r="F291" s="382" t="str">
        <f t="shared" si="30"/>
        <v/>
      </c>
      <c r="G291" s="382">
        <f>'Portefeuille SP2'!C316</f>
        <v>0</v>
      </c>
      <c r="H291" s="382">
        <f>'Portefeuille SP2'!F316</f>
        <v>0</v>
      </c>
      <c r="I291" s="382"/>
      <c r="J291" s="382">
        <f>'Portefeuille SP2'!D316</f>
        <v>0</v>
      </c>
      <c r="K291" s="385">
        <f>'Portefeuille SP2'!H316</f>
        <v>0</v>
      </c>
      <c r="L291" s="157">
        <f>'Portefeuille SP2'!U316</f>
        <v>0</v>
      </c>
      <c r="M291" s="386"/>
      <c r="N291" s="386"/>
      <c r="O291" s="386"/>
      <c r="P291" s="387">
        <f>'Portefeuille SP2'!M316</f>
        <v>0</v>
      </c>
      <c r="Q291" s="387"/>
      <c r="R291" s="387">
        <f>'Portefeuille SP2'!N316</f>
        <v>0</v>
      </c>
      <c r="S291" s="387"/>
      <c r="T291" s="382">
        <f>'Portefeuille SP2'!R316</f>
        <v>0</v>
      </c>
      <c r="U291" s="387">
        <f>'Portefeuille SP2'!K316</f>
        <v>0</v>
      </c>
      <c r="V291" s="399">
        <f>'Portefeuille SP2'!S316</f>
        <v>0</v>
      </c>
      <c r="W291" s="387"/>
      <c r="X291" s="387"/>
      <c r="Y291" s="387"/>
      <c r="Z291" s="387"/>
      <c r="AA291" s="387"/>
      <c r="AB291" s="387"/>
      <c r="AC291" s="387"/>
      <c r="AD291" s="387"/>
      <c r="AE291" s="400">
        <f>'Portefeuille SP2'!J316</f>
        <v>0</v>
      </c>
      <c r="AF291" s="387"/>
      <c r="AG291" s="387"/>
      <c r="AH291" s="389"/>
      <c r="AI291" s="389"/>
      <c r="AJ291" s="403">
        <f>'Portefeuille SP2'!V316</f>
        <v>0</v>
      </c>
      <c r="AK291" s="403">
        <f>'Portefeuille SP2'!W316</f>
        <v>0</v>
      </c>
      <c r="AL291" s="403">
        <f>'Portefeuille SP2'!X316</f>
        <v>0</v>
      </c>
      <c r="AM291" s="403">
        <f>'Portefeuille SP2'!Y316</f>
        <v>0</v>
      </c>
      <c r="AN291" s="403">
        <f>'Portefeuille SP2'!Z316</f>
        <v>0</v>
      </c>
      <c r="AO291" s="403">
        <f>'Portefeuille SP2'!AA316</f>
        <v>0</v>
      </c>
      <c r="AP291" s="403">
        <f>'Portefeuille SP2'!AB316</f>
        <v>0</v>
      </c>
      <c r="AQ291" s="403">
        <f>'Portefeuille SP2'!AC316</f>
        <v>0</v>
      </c>
      <c r="AR291" s="403">
        <f>'Portefeuille SP2'!AD316</f>
        <v>0</v>
      </c>
      <c r="AS291" s="403">
        <f>'Portefeuille SP2'!AE316</f>
        <v>0</v>
      </c>
      <c r="AT291" s="403">
        <f>'Portefeuille SP2'!AF316</f>
        <v>0</v>
      </c>
      <c r="AU291" s="403">
        <f>'Portefeuille SP2'!AG316</f>
        <v>0</v>
      </c>
      <c r="AV291" s="403">
        <f>'Portefeuille SP2'!AH316</f>
        <v>0</v>
      </c>
      <c r="AW291" s="403">
        <f>'Portefeuille SP2'!AI316</f>
        <v>0</v>
      </c>
      <c r="AX291" s="403">
        <f>'Portefeuille SP2'!AJ316</f>
        <v>0</v>
      </c>
      <c r="AY291" s="403">
        <f>'Portefeuille SP2'!AK316</f>
        <v>0</v>
      </c>
      <c r="AZ291" s="403">
        <f>'Portefeuille SP2'!AL316</f>
        <v>0</v>
      </c>
      <c r="BA291" s="403">
        <f>'Portefeuille SP2'!AM316</f>
        <v>0</v>
      </c>
      <c r="BB291" s="403">
        <f>'Portefeuille SP2'!AN316</f>
        <v>0</v>
      </c>
      <c r="BC291" s="403">
        <f>'Portefeuille SP2'!AO316</f>
        <v>0</v>
      </c>
      <c r="BD291" s="403">
        <f>'Portefeuille SP2'!AP316</f>
        <v>0</v>
      </c>
      <c r="BE291" s="403">
        <f>'Portefeuille SP2'!AQ316</f>
        <v>0</v>
      </c>
      <c r="BF291" s="403">
        <f>'Portefeuille SP2'!AR316</f>
        <v>0</v>
      </c>
      <c r="BG291" s="403" t="e">
        <f>'Portefeuille SP2'!#REF!</f>
        <v>#REF!</v>
      </c>
      <c r="BH291" s="403" t="e">
        <f>'Portefeuille SP2'!#REF!</f>
        <v>#REF!</v>
      </c>
      <c r="BI291" s="403" t="e">
        <f>'Portefeuille SP2'!#REF!</f>
        <v>#REF!</v>
      </c>
      <c r="BJ291" s="403" t="e">
        <f>'Portefeuille SP2'!#REF!</f>
        <v>#REF!</v>
      </c>
      <c r="BK291" s="403" t="e">
        <f>'Portefeuille SP2'!#REF!</f>
        <v>#REF!</v>
      </c>
      <c r="BL291" s="388"/>
      <c r="BM291" s="404">
        <f>'Portefeuille SP2'!L316</f>
        <v>0</v>
      </c>
    </row>
    <row r="292" spans="1:65" ht="15" customHeight="1">
      <c r="A292" s="383">
        <f>'Portefeuille SP2'!B317</f>
        <v>0</v>
      </c>
      <c r="B292" s="390">
        <f>'Portefeuille SP2'!Q317</f>
        <v>0</v>
      </c>
      <c r="C292" s="384"/>
      <c r="D292" s="382">
        <f>'Portefeuille SP2'!E317</f>
        <v>0</v>
      </c>
      <c r="E292" s="382" t="str">
        <f t="shared" si="29"/>
        <v>0</v>
      </c>
      <c r="F292" s="382" t="str">
        <f t="shared" si="30"/>
        <v/>
      </c>
      <c r="G292" s="382">
        <f>'Portefeuille SP2'!C317</f>
        <v>0</v>
      </c>
      <c r="H292" s="382">
        <f>'Portefeuille SP2'!F317</f>
        <v>0</v>
      </c>
      <c r="I292" s="382"/>
      <c r="J292" s="382">
        <f>'Portefeuille SP2'!D317</f>
        <v>0</v>
      </c>
      <c r="K292" s="385">
        <f>'Portefeuille SP2'!H317</f>
        <v>0</v>
      </c>
      <c r="L292" s="157">
        <f>'Portefeuille SP2'!U317</f>
        <v>0</v>
      </c>
      <c r="M292" s="386"/>
      <c r="N292" s="386"/>
      <c r="O292" s="386"/>
      <c r="P292" s="387">
        <f>'Portefeuille SP2'!M317</f>
        <v>0</v>
      </c>
      <c r="Q292" s="387"/>
      <c r="R292" s="387">
        <f>'Portefeuille SP2'!N317</f>
        <v>0</v>
      </c>
      <c r="S292" s="387"/>
      <c r="T292" s="382">
        <f>'Portefeuille SP2'!R317</f>
        <v>0</v>
      </c>
      <c r="U292" s="387">
        <f>'Portefeuille SP2'!K317</f>
        <v>0</v>
      </c>
      <c r="V292" s="399">
        <f>'Portefeuille SP2'!S317</f>
        <v>0</v>
      </c>
      <c r="W292" s="387"/>
      <c r="X292" s="387"/>
      <c r="Y292" s="387"/>
      <c r="Z292" s="387"/>
      <c r="AA292" s="387"/>
      <c r="AB292" s="387"/>
      <c r="AC292" s="387"/>
      <c r="AD292" s="387"/>
      <c r="AE292" s="400">
        <f>'Portefeuille SP2'!J317</f>
        <v>0</v>
      </c>
      <c r="AF292" s="387"/>
      <c r="AG292" s="387"/>
      <c r="AH292" s="389"/>
      <c r="AI292" s="389"/>
      <c r="AJ292" s="403">
        <f>'Portefeuille SP2'!V317</f>
        <v>0</v>
      </c>
      <c r="AK292" s="403">
        <f>'Portefeuille SP2'!W317</f>
        <v>0</v>
      </c>
      <c r="AL292" s="403">
        <f>'Portefeuille SP2'!X317</f>
        <v>0</v>
      </c>
      <c r="AM292" s="403">
        <f>'Portefeuille SP2'!Y317</f>
        <v>0</v>
      </c>
      <c r="AN292" s="403">
        <f>'Portefeuille SP2'!Z317</f>
        <v>0</v>
      </c>
      <c r="AO292" s="403">
        <f>'Portefeuille SP2'!AA317</f>
        <v>0</v>
      </c>
      <c r="AP292" s="403">
        <f>'Portefeuille SP2'!AB317</f>
        <v>0</v>
      </c>
      <c r="AQ292" s="403">
        <f>'Portefeuille SP2'!AC317</f>
        <v>0</v>
      </c>
      <c r="AR292" s="403">
        <f>'Portefeuille SP2'!AD317</f>
        <v>0</v>
      </c>
      <c r="AS292" s="403">
        <f>'Portefeuille SP2'!AE317</f>
        <v>0</v>
      </c>
      <c r="AT292" s="403">
        <f>'Portefeuille SP2'!AF317</f>
        <v>0</v>
      </c>
      <c r="AU292" s="403">
        <f>'Portefeuille SP2'!AG317</f>
        <v>0</v>
      </c>
      <c r="AV292" s="403">
        <f>'Portefeuille SP2'!AH317</f>
        <v>0</v>
      </c>
      <c r="AW292" s="403">
        <f>'Portefeuille SP2'!AI317</f>
        <v>0</v>
      </c>
      <c r="AX292" s="403">
        <f>'Portefeuille SP2'!AJ317</f>
        <v>0</v>
      </c>
      <c r="AY292" s="403">
        <f>'Portefeuille SP2'!AK317</f>
        <v>0</v>
      </c>
      <c r="AZ292" s="403">
        <f>'Portefeuille SP2'!AL317</f>
        <v>0</v>
      </c>
      <c r="BA292" s="403">
        <f>'Portefeuille SP2'!AM317</f>
        <v>0</v>
      </c>
      <c r="BB292" s="403">
        <f>'Portefeuille SP2'!AN317</f>
        <v>0</v>
      </c>
      <c r="BC292" s="403">
        <f>'Portefeuille SP2'!AO317</f>
        <v>0</v>
      </c>
      <c r="BD292" s="403">
        <f>'Portefeuille SP2'!AP317</f>
        <v>0</v>
      </c>
      <c r="BE292" s="403">
        <f>'Portefeuille SP2'!AQ317</f>
        <v>0</v>
      </c>
      <c r="BF292" s="403">
        <f>'Portefeuille SP2'!AR317</f>
        <v>0</v>
      </c>
      <c r="BG292" s="403" t="e">
        <f>'Portefeuille SP2'!#REF!</f>
        <v>#REF!</v>
      </c>
      <c r="BH292" s="403" t="e">
        <f>'Portefeuille SP2'!#REF!</f>
        <v>#REF!</v>
      </c>
      <c r="BI292" s="403" t="e">
        <f>'Portefeuille SP2'!#REF!</f>
        <v>#REF!</v>
      </c>
      <c r="BJ292" s="403" t="e">
        <f>'Portefeuille SP2'!#REF!</f>
        <v>#REF!</v>
      </c>
      <c r="BK292" s="403" t="e">
        <f>'Portefeuille SP2'!#REF!</f>
        <v>#REF!</v>
      </c>
      <c r="BL292" s="388"/>
      <c r="BM292" s="404">
        <f>'Portefeuille SP2'!L317</f>
        <v>0</v>
      </c>
    </row>
    <row r="293" spans="1:65" ht="15" customHeight="1">
      <c r="A293" s="383">
        <f>'Portefeuille SP2'!B318</f>
        <v>0</v>
      </c>
      <c r="B293" s="390">
        <f>'Portefeuille SP2'!Q318</f>
        <v>0</v>
      </c>
      <c r="C293" s="384"/>
      <c r="D293" s="382">
        <f>'Portefeuille SP2'!E318</f>
        <v>0</v>
      </c>
      <c r="E293" s="382" t="str">
        <f t="shared" si="29"/>
        <v>0</v>
      </c>
      <c r="F293" s="382" t="str">
        <f t="shared" si="30"/>
        <v/>
      </c>
      <c r="G293" s="382">
        <f>'Portefeuille SP2'!C318</f>
        <v>0</v>
      </c>
      <c r="H293" s="382">
        <f>'Portefeuille SP2'!F318</f>
        <v>0</v>
      </c>
      <c r="I293" s="382"/>
      <c r="J293" s="382">
        <f>'Portefeuille SP2'!D318</f>
        <v>0</v>
      </c>
      <c r="K293" s="385">
        <f>'Portefeuille SP2'!H318</f>
        <v>0</v>
      </c>
      <c r="L293" s="157">
        <f>'Portefeuille SP2'!U318</f>
        <v>0</v>
      </c>
      <c r="M293" s="386"/>
      <c r="N293" s="386"/>
      <c r="O293" s="386"/>
      <c r="P293" s="387">
        <f>'Portefeuille SP2'!M318</f>
        <v>0</v>
      </c>
      <c r="Q293" s="387"/>
      <c r="R293" s="387">
        <f>'Portefeuille SP2'!N318</f>
        <v>0</v>
      </c>
      <c r="S293" s="387"/>
      <c r="T293" s="382">
        <f>'Portefeuille SP2'!R318</f>
        <v>0</v>
      </c>
      <c r="U293" s="387">
        <f>'Portefeuille SP2'!K318</f>
        <v>0</v>
      </c>
      <c r="V293" s="399">
        <f>'Portefeuille SP2'!S318</f>
        <v>0</v>
      </c>
      <c r="W293" s="387"/>
      <c r="X293" s="387"/>
      <c r="Y293" s="387"/>
      <c r="Z293" s="387"/>
      <c r="AA293" s="387"/>
      <c r="AB293" s="387"/>
      <c r="AC293" s="387"/>
      <c r="AD293" s="387"/>
      <c r="AE293" s="400">
        <f>'Portefeuille SP2'!J318</f>
        <v>0</v>
      </c>
      <c r="AF293" s="387"/>
      <c r="AG293" s="387"/>
      <c r="AH293" s="389"/>
      <c r="AI293" s="389"/>
      <c r="AJ293" s="403">
        <f>'Portefeuille SP2'!V318</f>
        <v>0</v>
      </c>
      <c r="AK293" s="403">
        <f>'Portefeuille SP2'!W318</f>
        <v>0</v>
      </c>
      <c r="AL293" s="403">
        <f>'Portefeuille SP2'!X318</f>
        <v>0</v>
      </c>
      <c r="AM293" s="403">
        <f>'Portefeuille SP2'!Y318</f>
        <v>0</v>
      </c>
      <c r="AN293" s="403">
        <f>'Portefeuille SP2'!Z318</f>
        <v>0</v>
      </c>
      <c r="AO293" s="403">
        <f>'Portefeuille SP2'!AA318</f>
        <v>0</v>
      </c>
      <c r="AP293" s="403">
        <f>'Portefeuille SP2'!AB318</f>
        <v>0</v>
      </c>
      <c r="AQ293" s="403">
        <f>'Portefeuille SP2'!AC318</f>
        <v>0</v>
      </c>
      <c r="AR293" s="403">
        <f>'Portefeuille SP2'!AD318</f>
        <v>0</v>
      </c>
      <c r="AS293" s="403">
        <f>'Portefeuille SP2'!AE318</f>
        <v>0</v>
      </c>
      <c r="AT293" s="403">
        <f>'Portefeuille SP2'!AF318</f>
        <v>0</v>
      </c>
      <c r="AU293" s="403">
        <f>'Portefeuille SP2'!AG318</f>
        <v>0</v>
      </c>
      <c r="AV293" s="403">
        <f>'Portefeuille SP2'!AH318</f>
        <v>0</v>
      </c>
      <c r="AW293" s="403">
        <f>'Portefeuille SP2'!AI318</f>
        <v>0</v>
      </c>
      <c r="AX293" s="403">
        <f>'Portefeuille SP2'!AJ318</f>
        <v>0</v>
      </c>
      <c r="AY293" s="403">
        <f>'Portefeuille SP2'!AK318</f>
        <v>0</v>
      </c>
      <c r="AZ293" s="403">
        <f>'Portefeuille SP2'!AL318</f>
        <v>0</v>
      </c>
      <c r="BA293" s="403">
        <f>'Portefeuille SP2'!AM318</f>
        <v>0</v>
      </c>
      <c r="BB293" s="403">
        <f>'Portefeuille SP2'!AN318</f>
        <v>0</v>
      </c>
      <c r="BC293" s="403">
        <f>'Portefeuille SP2'!AO318</f>
        <v>0</v>
      </c>
      <c r="BD293" s="403">
        <f>'Portefeuille SP2'!AP318</f>
        <v>0</v>
      </c>
      <c r="BE293" s="403">
        <f>'Portefeuille SP2'!AQ318</f>
        <v>0</v>
      </c>
      <c r="BF293" s="403">
        <f>'Portefeuille SP2'!AR318</f>
        <v>0</v>
      </c>
      <c r="BG293" s="403" t="e">
        <f>'Portefeuille SP2'!#REF!</f>
        <v>#REF!</v>
      </c>
      <c r="BH293" s="403" t="e">
        <f>'Portefeuille SP2'!#REF!</f>
        <v>#REF!</v>
      </c>
      <c r="BI293" s="403" t="e">
        <f>'Portefeuille SP2'!#REF!</f>
        <v>#REF!</v>
      </c>
      <c r="BJ293" s="403" t="e">
        <f>'Portefeuille SP2'!#REF!</f>
        <v>#REF!</v>
      </c>
      <c r="BK293" s="403" t="e">
        <f>'Portefeuille SP2'!#REF!</f>
        <v>#REF!</v>
      </c>
      <c r="BL293" s="388"/>
      <c r="BM293" s="404">
        <f>'Portefeuille SP2'!L318</f>
        <v>0</v>
      </c>
    </row>
    <row r="294" spans="1:65" ht="15" customHeight="1">
      <c r="A294" s="383">
        <f>'Portefeuille SP2'!B319</f>
        <v>0</v>
      </c>
      <c r="B294" s="390">
        <f>'Portefeuille SP2'!Q319</f>
        <v>0</v>
      </c>
      <c r="C294" s="384"/>
      <c r="D294" s="382">
        <f>'Portefeuille SP2'!E319</f>
        <v>0</v>
      </c>
      <c r="E294" s="382" t="str">
        <f t="shared" si="29"/>
        <v>0</v>
      </c>
      <c r="F294" s="382" t="str">
        <f t="shared" si="30"/>
        <v/>
      </c>
      <c r="G294" s="382">
        <f>'Portefeuille SP2'!C319</f>
        <v>0</v>
      </c>
      <c r="H294" s="382">
        <f>'Portefeuille SP2'!F319</f>
        <v>0</v>
      </c>
      <c r="I294" s="382"/>
      <c r="J294" s="382">
        <f>'Portefeuille SP2'!D319</f>
        <v>0</v>
      </c>
      <c r="K294" s="385">
        <f>'Portefeuille SP2'!H319</f>
        <v>0</v>
      </c>
      <c r="L294" s="157">
        <f>'Portefeuille SP2'!U319</f>
        <v>0</v>
      </c>
      <c r="M294" s="386"/>
      <c r="N294" s="386"/>
      <c r="O294" s="386"/>
      <c r="P294" s="387">
        <f>'Portefeuille SP2'!M319</f>
        <v>0</v>
      </c>
      <c r="Q294" s="387"/>
      <c r="R294" s="387">
        <f>'Portefeuille SP2'!N319</f>
        <v>0</v>
      </c>
      <c r="S294" s="387"/>
      <c r="T294" s="382">
        <f>'Portefeuille SP2'!R319</f>
        <v>0</v>
      </c>
      <c r="U294" s="387">
        <f>'Portefeuille SP2'!K319</f>
        <v>0</v>
      </c>
      <c r="V294" s="399">
        <f>'Portefeuille SP2'!S319</f>
        <v>0</v>
      </c>
      <c r="W294" s="387"/>
      <c r="X294" s="387"/>
      <c r="Y294" s="387"/>
      <c r="Z294" s="387"/>
      <c r="AA294" s="387"/>
      <c r="AB294" s="387"/>
      <c r="AC294" s="387"/>
      <c r="AD294" s="387"/>
      <c r="AE294" s="400">
        <f>'Portefeuille SP2'!J319</f>
        <v>0</v>
      </c>
      <c r="AF294" s="387"/>
      <c r="AG294" s="387"/>
      <c r="AH294" s="389"/>
      <c r="AI294" s="389"/>
      <c r="AJ294" s="403">
        <f>'Portefeuille SP2'!V319</f>
        <v>0</v>
      </c>
      <c r="AK294" s="403">
        <f>'Portefeuille SP2'!W319</f>
        <v>0</v>
      </c>
      <c r="AL294" s="403">
        <f>'Portefeuille SP2'!X319</f>
        <v>0</v>
      </c>
      <c r="AM294" s="403">
        <f>'Portefeuille SP2'!Y319</f>
        <v>0</v>
      </c>
      <c r="AN294" s="403">
        <f>'Portefeuille SP2'!Z319</f>
        <v>0</v>
      </c>
      <c r="AO294" s="403">
        <f>'Portefeuille SP2'!AA319</f>
        <v>0</v>
      </c>
      <c r="AP294" s="403">
        <f>'Portefeuille SP2'!AB319</f>
        <v>0</v>
      </c>
      <c r="AQ294" s="403">
        <f>'Portefeuille SP2'!AC319</f>
        <v>0</v>
      </c>
      <c r="AR294" s="403">
        <f>'Portefeuille SP2'!AD319</f>
        <v>0</v>
      </c>
      <c r="AS294" s="403">
        <f>'Portefeuille SP2'!AE319</f>
        <v>0</v>
      </c>
      <c r="AT294" s="403">
        <f>'Portefeuille SP2'!AF319</f>
        <v>0</v>
      </c>
      <c r="AU294" s="403">
        <f>'Portefeuille SP2'!AG319</f>
        <v>0</v>
      </c>
      <c r="AV294" s="403">
        <f>'Portefeuille SP2'!AH319</f>
        <v>0</v>
      </c>
      <c r="AW294" s="403">
        <f>'Portefeuille SP2'!AI319</f>
        <v>0</v>
      </c>
      <c r="AX294" s="403">
        <f>'Portefeuille SP2'!AJ319</f>
        <v>0</v>
      </c>
      <c r="AY294" s="403">
        <f>'Portefeuille SP2'!AK319</f>
        <v>0</v>
      </c>
      <c r="AZ294" s="403">
        <f>'Portefeuille SP2'!AL319</f>
        <v>0</v>
      </c>
      <c r="BA294" s="403">
        <f>'Portefeuille SP2'!AM319</f>
        <v>0</v>
      </c>
      <c r="BB294" s="403">
        <f>'Portefeuille SP2'!AN319</f>
        <v>0</v>
      </c>
      <c r="BC294" s="403">
        <f>'Portefeuille SP2'!AO319</f>
        <v>0</v>
      </c>
      <c r="BD294" s="403">
        <f>'Portefeuille SP2'!AP319</f>
        <v>0</v>
      </c>
      <c r="BE294" s="403">
        <f>'Portefeuille SP2'!AQ319</f>
        <v>0</v>
      </c>
      <c r="BF294" s="403">
        <f>'Portefeuille SP2'!AR319</f>
        <v>0</v>
      </c>
      <c r="BG294" s="403" t="e">
        <f>'Portefeuille SP2'!#REF!</f>
        <v>#REF!</v>
      </c>
      <c r="BH294" s="403" t="e">
        <f>'Portefeuille SP2'!#REF!</f>
        <v>#REF!</v>
      </c>
      <c r="BI294" s="403" t="e">
        <f>'Portefeuille SP2'!#REF!</f>
        <v>#REF!</v>
      </c>
      <c r="BJ294" s="403" t="e">
        <f>'Portefeuille SP2'!#REF!</f>
        <v>#REF!</v>
      </c>
      <c r="BK294" s="403" t="e">
        <f>'Portefeuille SP2'!#REF!</f>
        <v>#REF!</v>
      </c>
      <c r="BL294" s="388"/>
      <c r="BM294" s="404">
        <f>'Portefeuille SP2'!L319</f>
        <v>0</v>
      </c>
    </row>
    <row r="295" spans="1:65" ht="15" customHeight="1">
      <c r="A295" s="383">
        <f>'Portefeuille SP2'!B320</f>
        <v>0</v>
      </c>
      <c r="B295" s="390">
        <f>'Portefeuille SP2'!Q320</f>
        <v>0</v>
      </c>
      <c r="C295" s="384"/>
      <c r="D295" s="382">
        <f>'Portefeuille SP2'!E320</f>
        <v>0</v>
      </c>
      <c r="E295" s="382" t="str">
        <f t="shared" si="29"/>
        <v>0</v>
      </c>
      <c r="F295" s="382" t="str">
        <f t="shared" si="30"/>
        <v/>
      </c>
      <c r="G295" s="382">
        <f>'Portefeuille SP2'!C320</f>
        <v>0</v>
      </c>
      <c r="H295" s="382">
        <f>'Portefeuille SP2'!F320</f>
        <v>0</v>
      </c>
      <c r="I295" s="382"/>
      <c r="J295" s="382">
        <f>'Portefeuille SP2'!D320</f>
        <v>0</v>
      </c>
      <c r="K295" s="385">
        <f>'Portefeuille SP2'!H320</f>
        <v>0</v>
      </c>
      <c r="L295" s="157">
        <f>'Portefeuille SP2'!U320</f>
        <v>0</v>
      </c>
      <c r="M295" s="386"/>
      <c r="N295" s="386"/>
      <c r="O295" s="386"/>
      <c r="P295" s="387">
        <f>'Portefeuille SP2'!M320</f>
        <v>0</v>
      </c>
      <c r="Q295" s="387"/>
      <c r="R295" s="387">
        <f>'Portefeuille SP2'!N320</f>
        <v>0</v>
      </c>
      <c r="S295" s="387"/>
      <c r="T295" s="382">
        <f>'Portefeuille SP2'!R320</f>
        <v>0</v>
      </c>
      <c r="U295" s="387">
        <f>'Portefeuille SP2'!K320</f>
        <v>0</v>
      </c>
      <c r="V295" s="399">
        <f>'Portefeuille SP2'!S320</f>
        <v>0</v>
      </c>
      <c r="W295" s="387"/>
      <c r="X295" s="387"/>
      <c r="Y295" s="387"/>
      <c r="Z295" s="387"/>
      <c r="AA295" s="387"/>
      <c r="AB295" s="387"/>
      <c r="AC295" s="387"/>
      <c r="AD295" s="387"/>
      <c r="AE295" s="400">
        <f>'Portefeuille SP2'!J320</f>
        <v>0</v>
      </c>
      <c r="AF295" s="387"/>
      <c r="AG295" s="387"/>
      <c r="AH295" s="389"/>
      <c r="AI295" s="389"/>
      <c r="AJ295" s="403">
        <f>'Portefeuille SP2'!V320</f>
        <v>0</v>
      </c>
      <c r="AK295" s="403">
        <f>'Portefeuille SP2'!W320</f>
        <v>0</v>
      </c>
      <c r="AL295" s="403">
        <f>'Portefeuille SP2'!X320</f>
        <v>0</v>
      </c>
      <c r="AM295" s="403">
        <f>'Portefeuille SP2'!Y320</f>
        <v>0</v>
      </c>
      <c r="AN295" s="403">
        <f>'Portefeuille SP2'!Z320</f>
        <v>0</v>
      </c>
      <c r="AO295" s="403">
        <f>'Portefeuille SP2'!AA320</f>
        <v>0</v>
      </c>
      <c r="AP295" s="403">
        <f>'Portefeuille SP2'!AB320</f>
        <v>0</v>
      </c>
      <c r="AQ295" s="403">
        <f>'Portefeuille SP2'!AC320</f>
        <v>0</v>
      </c>
      <c r="AR295" s="403">
        <f>'Portefeuille SP2'!AD320</f>
        <v>0</v>
      </c>
      <c r="AS295" s="403">
        <f>'Portefeuille SP2'!AE320</f>
        <v>0</v>
      </c>
      <c r="AT295" s="403">
        <f>'Portefeuille SP2'!AF320</f>
        <v>0</v>
      </c>
      <c r="AU295" s="403">
        <f>'Portefeuille SP2'!AG320</f>
        <v>0</v>
      </c>
      <c r="AV295" s="403">
        <f>'Portefeuille SP2'!AH320</f>
        <v>0</v>
      </c>
      <c r="AW295" s="403">
        <f>'Portefeuille SP2'!AI320</f>
        <v>0</v>
      </c>
      <c r="AX295" s="403">
        <f>'Portefeuille SP2'!AJ320</f>
        <v>0</v>
      </c>
      <c r="AY295" s="403">
        <f>'Portefeuille SP2'!AK320</f>
        <v>0</v>
      </c>
      <c r="AZ295" s="403">
        <f>'Portefeuille SP2'!AL320</f>
        <v>0</v>
      </c>
      <c r="BA295" s="403">
        <f>'Portefeuille SP2'!AM320</f>
        <v>0</v>
      </c>
      <c r="BB295" s="403">
        <f>'Portefeuille SP2'!AN320</f>
        <v>0</v>
      </c>
      <c r="BC295" s="403">
        <f>'Portefeuille SP2'!AO320</f>
        <v>0</v>
      </c>
      <c r="BD295" s="403">
        <f>'Portefeuille SP2'!AP320</f>
        <v>0</v>
      </c>
      <c r="BE295" s="403">
        <f>'Portefeuille SP2'!AQ320</f>
        <v>0</v>
      </c>
      <c r="BF295" s="403">
        <f>'Portefeuille SP2'!AR320</f>
        <v>0</v>
      </c>
      <c r="BG295" s="403" t="e">
        <f>'Portefeuille SP2'!#REF!</f>
        <v>#REF!</v>
      </c>
      <c r="BH295" s="403" t="e">
        <f>'Portefeuille SP2'!#REF!</f>
        <v>#REF!</v>
      </c>
      <c r="BI295" s="403" t="e">
        <f>'Portefeuille SP2'!#REF!</f>
        <v>#REF!</v>
      </c>
      <c r="BJ295" s="403" t="e">
        <f>'Portefeuille SP2'!#REF!</f>
        <v>#REF!</v>
      </c>
      <c r="BK295" s="403" t="e">
        <f>'Portefeuille SP2'!#REF!</f>
        <v>#REF!</v>
      </c>
      <c r="BL295" s="388"/>
      <c r="BM295" s="404">
        <f>'Portefeuille SP2'!L320</f>
        <v>0</v>
      </c>
    </row>
    <row r="296" spans="1:65" ht="15" customHeight="1">
      <c r="A296" s="383">
        <f>'Portefeuille SP2'!B321</f>
        <v>0</v>
      </c>
      <c r="B296" s="390">
        <f>'Portefeuille SP2'!Q321</f>
        <v>0</v>
      </c>
      <c r="C296" s="384"/>
      <c r="D296" s="382">
        <f>'Portefeuille SP2'!E321</f>
        <v>0</v>
      </c>
      <c r="E296" s="382" t="str">
        <f t="shared" si="29"/>
        <v>0</v>
      </c>
      <c r="F296" s="382" t="str">
        <f t="shared" si="30"/>
        <v/>
      </c>
      <c r="G296" s="382">
        <f>'Portefeuille SP2'!C321</f>
        <v>0</v>
      </c>
      <c r="H296" s="382">
        <f>'Portefeuille SP2'!F321</f>
        <v>0</v>
      </c>
      <c r="I296" s="382"/>
      <c r="J296" s="382">
        <f>'Portefeuille SP2'!D321</f>
        <v>0</v>
      </c>
      <c r="K296" s="385">
        <f>'Portefeuille SP2'!H321</f>
        <v>0</v>
      </c>
      <c r="L296" s="157">
        <f>'Portefeuille SP2'!U321</f>
        <v>0</v>
      </c>
      <c r="M296" s="386"/>
      <c r="N296" s="386"/>
      <c r="O296" s="386"/>
      <c r="P296" s="387">
        <f>'Portefeuille SP2'!M321</f>
        <v>0</v>
      </c>
      <c r="Q296" s="387"/>
      <c r="R296" s="387">
        <f>'Portefeuille SP2'!N321</f>
        <v>0</v>
      </c>
      <c r="S296" s="387"/>
      <c r="T296" s="382">
        <f>'Portefeuille SP2'!R321</f>
        <v>0</v>
      </c>
      <c r="U296" s="387">
        <f>'Portefeuille SP2'!K321</f>
        <v>0</v>
      </c>
      <c r="V296" s="399">
        <f>'Portefeuille SP2'!S321</f>
        <v>0</v>
      </c>
      <c r="W296" s="387"/>
      <c r="X296" s="387"/>
      <c r="Y296" s="387"/>
      <c r="Z296" s="387"/>
      <c r="AA296" s="387"/>
      <c r="AB296" s="387"/>
      <c r="AC296" s="387"/>
      <c r="AD296" s="387"/>
      <c r="AE296" s="400">
        <f>'Portefeuille SP2'!J321</f>
        <v>0</v>
      </c>
      <c r="AF296" s="387"/>
      <c r="AG296" s="387"/>
      <c r="AH296" s="389"/>
      <c r="AI296" s="389"/>
      <c r="AJ296" s="403">
        <f>'Portefeuille SP2'!V321</f>
        <v>0</v>
      </c>
      <c r="AK296" s="403">
        <f>'Portefeuille SP2'!W321</f>
        <v>0</v>
      </c>
      <c r="AL296" s="403">
        <f>'Portefeuille SP2'!X321</f>
        <v>0</v>
      </c>
      <c r="AM296" s="403">
        <f>'Portefeuille SP2'!Y321</f>
        <v>0</v>
      </c>
      <c r="AN296" s="403">
        <f>'Portefeuille SP2'!Z321</f>
        <v>0</v>
      </c>
      <c r="AO296" s="403">
        <f>'Portefeuille SP2'!AA321</f>
        <v>0</v>
      </c>
      <c r="AP296" s="403">
        <f>'Portefeuille SP2'!AB321</f>
        <v>0</v>
      </c>
      <c r="AQ296" s="403">
        <f>'Portefeuille SP2'!AC321</f>
        <v>0</v>
      </c>
      <c r="AR296" s="403">
        <f>'Portefeuille SP2'!AD321</f>
        <v>0</v>
      </c>
      <c r="AS296" s="403">
        <f>'Portefeuille SP2'!AE321</f>
        <v>0</v>
      </c>
      <c r="AT296" s="403">
        <f>'Portefeuille SP2'!AF321</f>
        <v>0</v>
      </c>
      <c r="AU296" s="403">
        <f>'Portefeuille SP2'!AG321</f>
        <v>0</v>
      </c>
      <c r="AV296" s="403">
        <f>'Portefeuille SP2'!AH321</f>
        <v>0</v>
      </c>
      <c r="AW296" s="403">
        <f>'Portefeuille SP2'!AI321</f>
        <v>0</v>
      </c>
      <c r="AX296" s="403">
        <f>'Portefeuille SP2'!AJ321</f>
        <v>0</v>
      </c>
      <c r="AY296" s="403">
        <f>'Portefeuille SP2'!AK321</f>
        <v>0</v>
      </c>
      <c r="AZ296" s="403">
        <f>'Portefeuille SP2'!AL321</f>
        <v>0</v>
      </c>
      <c r="BA296" s="403">
        <f>'Portefeuille SP2'!AM321</f>
        <v>0</v>
      </c>
      <c r="BB296" s="403">
        <f>'Portefeuille SP2'!AN321</f>
        <v>0</v>
      </c>
      <c r="BC296" s="403">
        <f>'Portefeuille SP2'!AO321</f>
        <v>0</v>
      </c>
      <c r="BD296" s="403">
        <f>'Portefeuille SP2'!AP321</f>
        <v>0</v>
      </c>
      <c r="BE296" s="403">
        <f>'Portefeuille SP2'!AQ321</f>
        <v>0</v>
      </c>
      <c r="BF296" s="403">
        <f>'Portefeuille SP2'!AR321</f>
        <v>0</v>
      </c>
      <c r="BG296" s="403" t="e">
        <f>'Portefeuille SP2'!#REF!</f>
        <v>#REF!</v>
      </c>
      <c r="BH296" s="403" t="e">
        <f>'Portefeuille SP2'!#REF!</f>
        <v>#REF!</v>
      </c>
      <c r="BI296" s="403" t="e">
        <f>'Portefeuille SP2'!#REF!</f>
        <v>#REF!</v>
      </c>
      <c r="BJ296" s="403" t="e">
        <f>'Portefeuille SP2'!#REF!</f>
        <v>#REF!</v>
      </c>
      <c r="BK296" s="403" t="e">
        <f>'Portefeuille SP2'!#REF!</f>
        <v>#REF!</v>
      </c>
      <c r="BL296" s="388"/>
      <c r="BM296" s="404">
        <f>'Portefeuille SP2'!L321</f>
        <v>0</v>
      </c>
    </row>
    <row r="297" spans="1:65" ht="15" customHeight="1">
      <c r="A297" s="383">
        <f>'Portefeuille SP2'!B322</f>
        <v>0</v>
      </c>
      <c r="B297" s="390">
        <f>'Portefeuille SP2'!Q322</f>
        <v>0</v>
      </c>
      <c r="C297" s="384"/>
      <c r="D297" s="382">
        <f>'Portefeuille SP2'!E322</f>
        <v>0</v>
      </c>
      <c r="E297" s="382" t="str">
        <f t="shared" si="29"/>
        <v>0</v>
      </c>
      <c r="F297" s="382" t="str">
        <f t="shared" si="30"/>
        <v/>
      </c>
      <c r="G297" s="382">
        <f>'Portefeuille SP2'!C322</f>
        <v>0</v>
      </c>
      <c r="H297" s="382">
        <f>'Portefeuille SP2'!F322</f>
        <v>0</v>
      </c>
      <c r="I297" s="382"/>
      <c r="J297" s="382">
        <f>'Portefeuille SP2'!D322</f>
        <v>0</v>
      </c>
      <c r="K297" s="385">
        <f>'Portefeuille SP2'!H322</f>
        <v>0</v>
      </c>
      <c r="L297" s="157">
        <f>'Portefeuille SP2'!U322</f>
        <v>0</v>
      </c>
      <c r="M297" s="386"/>
      <c r="N297" s="386"/>
      <c r="O297" s="386"/>
      <c r="P297" s="387">
        <f>'Portefeuille SP2'!M322</f>
        <v>0</v>
      </c>
      <c r="Q297" s="387"/>
      <c r="R297" s="387">
        <f>'Portefeuille SP2'!N322</f>
        <v>0</v>
      </c>
      <c r="S297" s="387"/>
      <c r="T297" s="382">
        <f>'Portefeuille SP2'!R322</f>
        <v>0</v>
      </c>
      <c r="U297" s="387">
        <f>'Portefeuille SP2'!K322</f>
        <v>0</v>
      </c>
      <c r="V297" s="399">
        <f>'Portefeuille SP2'!S322</f>
        <v>0</v>
      </c>
      <c r="W297" s="387"/>
      <c r="X297" s="387"/>
      <c r="Y297" s="387"/>
      <c r="Z297" s="387"/>
      <c r="AA297" s="387"/>
      <c r="AB297" s="387"/>
      <c r="AC297" s="387"/>
      <c r="AD297" s="387"/>
      <c r="AE297" s="400">
        <f>'Portefeuille SP2'!J322</f>
        <v>0</v>
      </c>
      <c r="AF297" s="387"/>
      <c r="AG297" s="387"/>
      <c r="AH297" s="389"/>
      <c r="AI297" s="389"/>
      <c r="AJ297" s="403">
        <f>'Portefeuille SP2'!V322</f>
        <v>0</v>
      </c>
      <c r="AK297" s="403">
        <f>'Portefeuille SP2'!W322</f>
        <v>0</v>
      </c>
      <c r="AL297" s="403">
        <f>'Portefeuille SP2'!X322</f>
        <v>0</v>
      </c>
      <c r="AM297" s="403">
        <f>'Portefeuille SP2'!Y322</f>
        <v>0</v>
      </c>
      <c r="AN297" s="403">
        <f>'Portefeuille SP2'!Z322</f>
        <v>0</v>
      </c>
      <c r="AO297" s="403">
        <f>'Portefeuille SP2'!AA322</f>
        <v>0</v>
      </c>
      <c r="AP297" s="403">
        <f>'Portefeuille SP2'!AB322</f>
        <v>0</v>
      </c>
      <c r="AQ297" s="403">
        <f>'Portefeuille SP2'!AC322</f>
        <v>0</v>
      </c>
      <c r="AR297" s="403">
        <f>'Portefeuille SP2'!AD322</f>
        <v>0</v>
      </c>
      <c r="AS297" s="403">
        <f>'Portefeuille SP2'!AE322</f>
        <v>0</v>
      </c>
      <c r="AT297" s="403">
        <f>'Portefeuille SP2'!AF322</f>
        <v>0</v>
      </c>
      <c r="AU297" s="403">
        <f>'Portefeuille SP2'!AG322</f>
        <v>0</v>
      </c>
      <c r="AV297" s="403">
        <f>'Portefeuille SP2'!AH322</f>
        <v>0</v>
      </c>
      <c r="AW297" s="403">
        <f>'Portefeuille SP2'!AI322</f>
        <v>0</v>
      </c>
      <c r="AX297" s="403">
        <f>'Portefeuille SP2'!AJ322</f>
        <v>0</v>
      </c>
      <c r="AY297" s="403">
        <f>'Portefeuille SP2'!AK322</f>
        <v>0</v>
      </c>
      <c r="AZ297" s="403">
        <f>'Portefeuille SP2'!AL322</f>
        <v>0</v>
      </c>
      <c r="BA297" s="403">
        <f>'Portefeuille SP2'!AM322</f>
        <v>0</v>
      </c>
      <c r="BB297" s="403">
        <f>'Portefeuille SP2'!AN322</f>
        <v>0</v>
      </c>
      <c r="BC297" s="403">
        <f>'Portefeuille SP2'!AO322</f>
        <v>0</v>
      </c>
      <c r="BD297" s="403">
        <f>'Portefeuille SP2'!AP322</f>
        <v>0</v>
      </c>
      <c r="BE297" s="403">
        <f>'Portefeuille SP2'!AQ322</f>
        <v>0</v>
      </c>
      <c r="BF297" s="403">
        <f>'Portefeuille SP2'!AR322</f>
        <v>0</v>
      </c>
      <c r="BG297" s="403" t="e">
        <f>'Portefeuille SP2'!#REF!</f>
        <v>#REF!</v>
      </c>
      <c r="BH297" s="403" t="e">
        <f>'Portefeuille SP2'!#REF!</f>
        <v>#REF!</v>
      </c>
      <c r="BI297" s="403" t="e">
        <f>'Portefeuille SP2'!#REF!</f>
        <v>#REF!</v>
      </c>
      <c r="BJ297" s="403" t="e">
        <f>'Portefeuille SP2'!#REF!</f>
        <v>#REF!</v>
      </c>
      <c r="BK297" s="403" t="e">
        <f>'Portefeuille SP2'!#REF!</f>
        <v>#REF!</v>
      </c>
      <c r="BL297" s="388"/>
      <c r="BM297" s="404">
        <f>'Portefeuille SP2'!L322</f>
        <v>0</v>
      </c>
    </row>
    <row r="298" spans="1:65" ht="15" customHeight="1">
      <c r="A298" s="383">
        <f>'Portefeuille SP2'!B323</f>
        <v>0</v>
      </c>
      <c r="B298" s="390">
        <f>'Portefeuille SP2'!Q323</f>
        <v>0</v>
      </c>
      <c r="C298" s="384"/>
      <c r="D298" s="382">
        <f>'Portefeuille SP2'!E323</f>
        <v>0</v>
      </c>
      <c r="E298" s="382" t="str">
        <f t="shared" si="29"/>
        <v>0</v>
      </c>
      <c r="F298" s="382" t="str">
        <f t="shared" si="30"/>
        <v/>
      </c>
      <c r="G298" s="382">
        <f>'Portefeuille SP2'!C323</f>
        <v>0</v>
      </c>
      <c r="H298" s="382">
        <f>'Portefeuille SP2'!F323</f>
        <v>0</v>
      </c>
      <c r="I298" s="382"/>
      <c r="J298" s="382">
        <f>'Portefeuille SP2'!D323</f>
        <v>0</v>
      </c>
      <c r="K298" s="385">
        <f>'Portefeuille SP2'!H323</f>
        <v>0</v>
      </c>
      <c r="L298" s="157">
        <f>'Portefeuille SP2'!U323</f>
        <v>0</v>
      </c>
      <c r="M298" s="386"/>
      <c r="N298" s="386"/>
      <c r="O298" s="386"/>
      <c r="P298" s="387">
        <f>'Portefeuille SP2'!M323</f>
        <v>0</v>
      </c>
      <c r="Q298" s="387"/>
      <c r="R298" s="387">
        <f>'Portefeuille SP2'!N323</f>
        <v>0</v>
      </c>
      <c r="S298" s="387"/>
      <c r="T298" s="382">
        <f>'Portefeuille SP2'!R323</f>
        <v>0</v>
      </c>
      <c r="U298" s="387">
        <f>'Portefeuille SP2'!K323</f>
        <v>0</v>
      </c>
      <c r="V298" s="399">
        <f>'Portefeuille SP2'!S323</f>
        <v>0</v>
      </c>
      <c r="W298" s="387"/>
      <c r="X298" s="387"/>
      <c r="Y298" s="387"/>
      <c r="Z298" s="387"/>
      <c r="AA298" s="387"/>
      <c r="AB298" s="387"/>
      <c r="AC298" s="387"/>
      <c r="AD298" s="387"/>
      <c r="AE298" s="400">
        <f>'Portefeuille SP2'!J323</f>
        <v>0</v>
      </c>
      <c r="AF298" s="387"/>
      <c r="AG298" s="387"/>
      <c r="AH298" s="389"/>
      <c r="AI298" s="389"/>
      <c r="AJ298" s="403">
        <f>'Portefeuille SP2'!V323</f>
        <v>0</v>
      </c>
      <c r="AK298" s="403">
        <f>'Portefeuille SP2'!W323</f>
        <v>0</v>
      </c>
      <c r="AL298" s="403">
        <f>'Portefeuille SP2'!X323</f>
        <v>0</v>
      </c>
      <c r="AM298" s="403">
        <f>'Portefeuille SP2'!Y323</f>
        <v>0</v>
      </c>
      <c r="AN298" s="403">
        <f>'Portefeuille SP2'!Z323</f>
        <v>0</v>
      </c>
      <c r="AO298" s="403">
        <f>'Portefeuille SP2'!AA323</f>
        <v>0</v>
      </c>
      <c r="AP298" s="403">
        <f>'Portefeuille SP2'!AB323</f>
        <v>0</v>
      </c>
      <c r="AQ298" s="403">
        <f>'Portefeuille SP2'!AC323</f>
        <v>0</v>
      </c>
      <c r="AR298" s="403">
        <f>'Portefeuille SP2'!AD323</f>
        <v>0</v>
      </c>
      <c r="AS298" s="403">
        <f>'Portefeuille SP2'!AE323</f>
        <v>0</v>
      </c>
      <c r="AT298" s="403">
        <f>'Portefeuille SP2'!AF323</f>
        <v>0</v>
      </c>
      <c r="AU298" s="403">
        <f>'Portefeuille SP2'!AG323</f>
        <v>0</v>
      </c>
      <c r="AV298" s="403">
        <f>'Portefeuille SP2'!AH323</f>
        <v>0</v>
      </c>
      <c r="AW298" s="403">
        <f>'Portefeuille SP2'!AI323</f>
        <v>0</v>
      </c>
      <c r="AX298" s="403">
        <f>'Portefeuille SP2'!AJ323</f>
        <v>0</v>
      </c>
      <c r="AY298" s="403">
        <f>'Portefeuille SP2'!AK323</f>
        <v>0</v>
      </c>
      <c r="AZ298" s="403">
        <f>'Portefeuille SP2'!AL323</f>
        <v>0</v>
      </c>
      <c r="BA298" s="403">
        <f>'Portefeuille SP2'!AM323</f>
        <v>0</v>
      </c>
      <c r="BB298" s="403">
        <f>'Portefeuille SP2'!AN323</f>
        <v>0</v>
      </c>
      <c r="BC298" s="403">
        <f>'Portefeuille SP2'!AO323</f>
        <v>0</v>
      </c>
      <c r="BD298" s="403">
        <f>'Portefeuille SP2'!AP323</f>
        <v>0</v>
      </c>
      <c r="BE298" s="403">
        <f>'Portefeuille SP2'!AQ323</f>
        <v>0</v>
      </c>
      <c r="BF298" s="403">
        <f>'Portefeuille SP2'!AR323</f>
        <v>0</v>
      </c>
      <c r="BG298" s="403" t="e">
        <f>'Portefeuille SP2'!#REF!</f>
        <v>#REF!</v>
      </c>
      <c r="BH298" s="403" t="e">
        <f>'Portefeuille SP2'!#REF!</f>
        <v>#REF!</v>
      </c>
      <c r="BI298" s="403" t="e">
        <f>'Portefeuille SP2'!#REF!</f>
        <v>#REF!</v>
      </c>
      <c r="BJ298" s="403" t="e">
        <f>'Portefeuille SP2'!#REF!</f>
        <v>#REF!</v>
      </c>
      <c r="BK298" s="403" t="e">
        <f>'Portefeuille SP2'!#REF!</f>
        <v>#REF!</v>
      </c>
      <c r="BL298" s="388"/>
      <c r="BM298" s="404">
        <f>'Portefeuille SP2'!L323</f>
        <v>0</v>
      </c>
    </row>
    <row r="299" spans="1:65" ht="15" customHeight="1">
      <c r="A299" s="383">
        <f>'Portefeuille SP2'!B324</f>
        <v>0</v>
      </c>
      <c r="B299" s="390">
        <f>'Portefeuille SP2'!Q324</f>
        <v>0</v>
      </c>
      <c r="C299" s="384"/>
      <c r="D299" s="382">
        <f>'Portefeuille SP2'!E324</f>
        <v>0</v>
      </c>
      <c r="E299" s="382" t="str">
        <f t="shared" si="29"/>
        <v>0</v>
      </c>
      <c r="F299" s="382" t="str">
        <f t="shared" si="30"/>
        <v/>
      </c>
      <c r="G299" s="382">
        <f>'Portefeuille SP2'!C324</f>
        <v>0</v>
      </c>
      <c r="H299" s="382">
        <f>'Portefeuille SP2'!F324</f>
        <v>0</v>
      </c>
      <c r="I299" s="382"/>
      <c r="J299" s="382">
        <f>'Portefeuille SP2'!D324</f>
        <v>0</v>
      </c>
      <c r="K299" s="385">
        <f>'Portefeuille SP2'!H324</f>
        <v>0</v>
      </c>
      <c r="L299" s="157">
        <f>'Portefeuille SP2'!U324</f>
        <v>0</v>
      </c>
      <c r="M299" s="386"/>
      <c r="N299" s="386"/>
      <c r="O299" s="386"/>
      <c r="P299" s="387">
        <f>'Portefeuille SP2'!M324</f>
        <v>0</v>
      </c>
      <c r="Q299" s="387"/>
      <c r="R299" s="387">
        <f>'Portefeuille SP2'!N324</f>
        <v>0</v>
      </c>
      <c r="S299" s="387"/>
      <c r="T299" s="382">
        <f>'Portefeuille SP2'!R324</f>
        <v>0</v>
      </c>
      <c r="U299" s="387">
        <f>'Portefeuille SP2'!K324</f>
        <v>0</v>
      </c>
      <c r="V299" s="399">
        <f>'Portefeuille SP2'!S324</f>
        <v>0</v>
      </c>
      <c r="W299" s="387"/>
      <c r="X299" s="387"/>
      <c r="Y299" s="387"/>
      <c r="Z299" s="387"/>
      <c r="AA299" s="387"/>
      <c r="AB299" s="387"/>
      <c r="AC299" s="387"/>
      <c r="AD299" s="387"/>
      <c r="AE299" s="400">
        <f>'Portefeuille SP2'!J324</f>
        <v>0</v>
      </c>
      <c r="AF299" s="387"/>
      <c r="AG299" s="387"/>
      <c r="AH299" s="389"/>
      <c r="AI299" s="389"/>
      <c r="AJ299" s="403">
        <f>'Portefeuille SP2'!V324</f>
        <v>0</v>
      </c>
      <c r="AK299" s="403">
        <f>'Portefeuille SP2'!W324</f>
        <v>0</v>
      </c>
      <c r="AL299" s="403">
        <f>'Portefeuille SP2'!X324</f>
        <v>0</v>
      </c>
      <c r="AM299" s="403">
        <f>'Portefeuille SP2'!Y324</f>
        <v>0</v>
      </c>
      <c r="AN299" s="403">
        <f>'Portefeuille SP2'!Z324</f>
        <v>0</v>
      </c>
      <c r="AO299" s="403">
        <f>'Portefeuille SP2'!AA324</f>
        <v>0</v>
      </c>
      <c r="AP299" s="403">
        <f>'Portefeuille SP2'!AB324</f>
        <v>0</v>
      </c>
      <c r="AQ299" s="403">
        <f>'Portefeuille SP2'!AC324</f>
        <v>0</v>
      </c>
      <c r="AR299" s="403">
        <f>'Portefeuille SP2'!AD324</f>
        <v>0</v>
      </c>
      <c r="AS299" s="403">
        <f>'Portefeuille SP2'!AE324</f>
        <v>0</v>
      </c>
      <c r="AT299" s="403">
        <f>'Portefeuille SP2'!AF324</f>
        <v>0</v>
      </c>
      <c r="AU299" s="403">
        <f>'Portefeuille SP2'!AG324</f>
        <v>0</v>
      </c>
      <c r="AV299" s="403">
        <f>'Portefeuille SP2'!AH324</f>
        <v>0</v>
      </c>
      <c r="AW299" s="403">
        <f>'Portefeuille SP2'!AI324</f>
        <v>0</v>
      </c>
      <c r="AX299" s="403">
        <f>'Portefeuille SP2'!AJ324</f>
        <v>0</v>
      </c>
      <c r="AY299" s="403">
        <f>'Portefeuille SP2'!AK324</f>
        <v>0</v>
      </c>
      <c r="AZ299" s="403">
        <f>'Portefeuille SP2'!AL324</f>
        <v>0</v>
      </c>
      <c r="BA299" s="403">
        <f>'Portefeuille SP2'!AM324</f>
        <v>0</v>
      </c>
      <c r="BB299" s="403">
        <f>'Portefeuille SP2'!AN324</f>
        <v>0</v>
      </c>
      <c r="BC299" s="403">
        <f>'Portefeuille SP2'!AO324</f>
        <v>0</v>
      </c>
      <c r="BD299" s="403">
        <f>'Portefeuille SP2'!AP324</f>
        <v>0</v>
      </c>
      <c r="BE299" s="403">
        <f>'Portefeuille SP2'!AQ324</f>
        <v>0</v>
      </c>
      <c r="BF299" s="403">
        <f>'Portefeuille SP2'!AR324</f>
        <v>0</v>
      </c>
      <c r="BG299" s="403" t="e">
        <f>'Portefeuille SP2'!#REF!</f>
        <v>#REF!</v>
      </c>
      <c r="BH299" s="403" t="e">
        <f>'Portefeuille SP2'!#REF!</f>
        <v>#REF!</v>
      </c>
      <c r="BI299" s="403" t="e">
        <f>'Portefeuille SP2'!#REF!</f>
        <v>#REF!</v>
      </c>
      <c r="BJ299" s="403" t="e">
        <f>'Portefeuille SP2'!#REF!</f>
        <v>#REF!</v>
      </c>
      <c r="BK299" s="403" t="e">
        <f>'Portefeuille SP2'!#REF!</f>
        <v>#REF!</v>
      </c>
      <c r="BL299" s="388"/>
      <c r="BM299" s="404">
        <f>'Portefeuille SP2'!L324</f>
        <v>0</v>
      </c>
    </row>
    <row r="300" spans="1:65" ht="15" customHeight="1">
      <c r="A300" s="383">
        <f>'Portefeuille SP2'!B325</f>
        <v>0</v>
      </c>
      <c r="B300" s="390">
        <f>'Portefeuille SP2'!Q325</f>
        <v>0</v>
      </c>
      <c r="C300" s="384"/>
      <c r="D300" s="382">
        <f>'Portefeuille SP2'!E325</f>
        <v>0</v>
      </c>
      <c r="E300" s="382" t="str">
        <f t="shared" si="29"/>
        <v>0</v>
      </c>
      <c r="F300" s="382" t="str">
        <f t="shared" si="30"/>
        <v/>
      </c>
      <c r="G300" s="382">
        <f>'Portefeuille SP2'!C325</f>
        <v>0</v>
      </c>
      <c r="H300" s="382">
        <f>'Portefeuille SP2'!F325</f>
        <v>0</v>
      </c>
      <c r="I300" s="382"/>
      <c r="J300" s="382">
        <f>'Portefeuille SP2'!D325</f>
        <v>0</v>
      </c>
      <c r="K300" s="385">
        <f>'Portefeuille SP2'!H325</f>
        <v>0</v>
      </c>
      <c r="L300" s="157">
        <f>'Portefeuille SP2'!U325</f>
        <v>0</v>
      </c>
      <c r="M300" s="386"/>
      <c r="N300" s="386"/>
      <c r="O300" s="386"/>
      <c r="P300" s="387">
        <f>'Portefeuille SP2'!M325</f>
        <v>0</v>
      </c>
      <c r="Q300" s="387"/>
      <c r="R300" s="387">
        <f>'Portefeuille SP2'!N325</f>
        <v>0</v>
      </c>
      <c r="S300" s="387"/>
      <c r="T300" s="382">
        <f>'Portefeuille SP2'!R325</f>
        <v>0</v>
      </c>
      <c r="U300" s="387">
        <f>'Portefeuille SP2'!K325</f>
        <v>0</v>
      </c>
      <c r="V300" s="399">
        <f>'Portefeuille SP2'!S325</f>
        <v>0</v>
      </c>
      <c r="W300" s="387"/>
      <c r="X300" s="387"/>
      <c r="Y300" s="387"/>
      <c r="Z300" s="387"/>
      <c r="AA300" s="387"/>
      <c r="AB300" s="387"/>
      <c r="AC300" s="387"/>
      <c r="AD300" s="387"/>
      <c r="AE300" s="400">
        <f>'Portefeuille SP2'!J325</f>
        <v>0</v>
      </c>
      <c r="AF300" s="387"/>
      <c r="AG300" s="387"/>
      <c r="AH300" s="389"/>
      <c r="AI300" s="389"/>
      <c r="AJ300" s="403">
        <f>'Portefeuille SP2'!V325</f>
        <v>0</v>
      </c>
      <c r="AK300" s="403">
        <f>'Portefeuille SP2'!W325</f>
        <v>0</v>
      </c>
      <c r="AL300" s="403">
        <f>'Portefeuille SP2'!X325</f>
        <v>0</v>
      </c>
      <c r="AM300" s="403">
        <f>'Portefeuille SP2'!Y325</f>
        <v>0</v>
      </c>
      <c r="AN300" s="403">
        <f>'Portefeuille SP2'!Z325</f>
        <v>0</v>
      </c>
      <c r="AO300" s="403">
        <f>'Portefeuille SP2'!AA325</f>
        <v>0</v>
      </c>
      <c r="AP300" s="403">
        <f>'Portefeuille SP2'!AB325</f>
        <v>0</v>
      </c>
      <c r="AQ300" s="403">
        <f>'Portefeuille SP2'!AC325</f>
        <v>0</v>
      </c>
      <c r="AR300" s="403">
        <f>'Portefeuille SP2'!AD325</f>
        <v>0</v>
      </c>
      <c r="AS300" s="403">
        <f>'Portefeuille SP2'!AE325</f>
        <v>0</v>
      </c>
      <c r="AT300" s="403">
        <f>'Portefeuille SP2'!AF325</f>
        <v>0</v>
      </c>
      <c r="AU300" s="403">
        <f>'Portefeuille SP2'!AG325</f>
        <v>0</v>
      </c>
      <c r="AV300" s="403">
        <f>'Portefeuille SP2'!AH325</f>
        <v>0</v>
      </c>
      <c r="AW300" s="403">
        <f>'Portefeuille SP2'!AI325</f>
        <v>0</v>
      </c>
      <c r="AX300" s="403">
        <f>'Portefeuille SP2'!AJ325</f>
        <v>0</v>
      </c>
      <c r="AY300" s="403">
        <f>'Portefeuille SP2'!AK325</f>
        <v>0</v>
      </c>
      <c r="AZ300" s="403">
        <f>'Portefeuille SP2'!AL325</f>
        <v>0</v>
      </c>
      <c r="BA300" s="403">
        <f>'Portefeuille SP2'!AM325</f>
        <v>0</v>
      </c>
      <c r="BB300" s="403">
        <f>'Portefeuille SP2'!AN325</f>
        <v>0</v>
      </c>
      <c r="BC300" s="403">
        <f>'Portefeuille SP2'!AO325</f>
        <v>0</v>
      </c>
      <c r="BD300" s="403">
        <f>'Portefeuille SP2'!AP325</f>
        <v>0</v>
      </c>
      <c r="BE300" s="403">
        <f>'Portefeuille SP2'!AQ325</f>
        <v>0</v>
      </c>
      <c r="BF300" s="403">
        <f>'Portefeuille SP2'!AR325</f>
        <v>0</v>
      </c>
      <c r="BG300" s="403" t="e">
        <f>'Portefeuille SP2'!#REF!</f>
        <v>#REF!</v>
      </c>
      <c r="BH300" s="403" t="e">
        <f>'Portefeuille SP2'!#REF!</f>
        <v>#REF!</v>
      </c>
      <c r="BI300" s="403" t="e">
        <f>'Portefeuille SP2'!#REF!</f>
        <v>#REF!</v>
      </c>
      <c r="BJ300" s="403" t="e">
        <f>'Portefeuille SP2'!#REF!</f>
        <v>#REF!</v>
      </c>
      <c r="BK300" s="403" t="e">
        <f>'Portefeuille SP2'!#REF!</f>
        <v>#REF!</v>
      </c>
      <c r="BL300" s="388"/>
      <c r="BM300" s="404">
        <f>'Portefeuille SP2'!L325</f>
        <v>0</v>
      </c>
    </row>
    <row r="301" spans="1:65" ht="15" customHeight="1">
      <c r="A301" s="383">
        <f>'Portefeuille SP2'!B326</f>
        <v>0</v>
      </c>
      <c r="B301" s="390">
        <f>'Portefeuille SP2'!Q326</f>
        <v>0</v>
      </c>
      <c r="C301" s="384"/>
      <c r="D301" s="382">
        <f>'Portefeuille SP2'!E326</f>
        <v>0</v>
      </c>
      <c r="E301" s="382" t="str">
        <f t="shared" si="29"/>
        <v>0</v>
      </c>
      <c r="F301" s="382" t="str">
        <f t="shared" si="30"/>
        <v/>
      </c>
      <c r="G301" s="382">
        <f>'Portefeuille SP2'!C326</f>
        <v>0</v>
      </c>
      <c r="H301" s="382">
        <f>'Portefeuille SP2'!F326</f>
        <v>0</v>
      </c>
      <c r="I301" s="382"/>
      <c r="J301" s="382">
        <f>'Portefeuille SP2'!D326</f>
        <v>0</v>
      </c>
      <c r="K301" s="385">
        <f>'Portefeuille SP2'!H326</f>
        <v>0</v>
      </c>
      <c r="L301" s="157">
        <f>'Portefeuille SP2'!U326</f>
        <v>0</v>
      </c>
      <c r="M301" s="386"/>
      <c r="N301" s="386"/>
      <c r="O301" s="386"/>
      <c r="P301" s="387">
        <f>'Portefeuille SP2'!M326</f>
        <v>0</v>
      </c>
      <c r="Q301" s="387"/>
      <c r="R301" s="387">
        <f>'Portefeuille SP2'!N326</f>
        <v>0</v>
      </c>
      <c r="S301" s="387"/>
      <c r="T301" s="382">
        <f>'Portefeuille SP2'!R326</f>
        <v>0</v>
      </c>
      <c r="U301" s="387">
        <f>'Portefeuille SP2'!K326</f>
        <v>0</v>
      </c>
      <c r="V301" s="399">
        <f>'Portefeuille SP2'!S326</f>
        <v>0</v>
      </c>
      <c r="W301" s="387"/>
      <c r="X301" s="387"/>
      <c r="Y301" s="387"/>
      <c r="Z301" s="387"/>
      <c r="AA301" s="387"/>
      <c r="AB301" s="387"/>
      <c r="AC301" s="387"/>
      <c r="AD301" s="387"/>
      <c r="AE301" s="400">
        <f>'Portefeuille SP2'!J326</f>
        <v>0</v>
      </c>
      <c r="AF301" s="387"/>
      <c r="AG301" s="387"/>
      <c r="AH301" s="389"/>
      <c r="AI301" s="389"/>
      <c r="AJ301" s="403">
        <f>'Portefeuille SP2'!V326</f>
        <v>0</v>
      </c>
      <c r="AK301" s="403">
        <f>'Portefeuille SP2'!W326</f>
        <v>0</v>
      </c>
      <c r="AL301" s="403">
        <f>'Portefeuille SP2'!X326</f>
        <v>0</v>
      </c>
      <c r="AM301" s="403">
        <f>'Portefeuille SP2'!Y326</f>
        <v>0</v>
      </c>
      <c r="AN301" s="403">
        <f>'Portefeuille SP2'!Z326</f>
        <v>0</v>
      </c>
      <c r="AO301" s="403">
        <f>'Portefeuille SP2'!AA326</f>
        <v>0</v>
      </c>
      <c r="AP301" s="403">
        <f>'Portefeuille SP2'!AB326</f>
        <v>0</v>
      </c>
      <c r="AQ301" s="403">
        <f>'Portefeuille SP2'!AC326</f>
        <v>0</v>
      </c>
      <c r="AR301" s="403">
        <f>'Portefeuille SP2'!AD326</f>
        <v>0</v>
      </c>
      <c r="AS301" s="403">
        <f>'Portefeuille SP2'!AE326</f>
        <v>0</v>
      </c>
      <c r="AT301" s="403">
        <f>'Portefeuille SP2'!AF326</f>
        <v>0</v>
      </c>
      <c r="AU301" s="403">
        <f>'Portefeuille SP2'!AG326</f>
        <v>0</v>
      </c>
      <c r="AV301" s="403">
        <f>'Portefeuille SP2'!AH326</f>
        <v>0</v>
      </c>
      <c r="AW301" s="403">
        <f>'Portefeuille SP2'!AI326</f>
        <v>0</v>
      </c>
      <c r="AX301" s="403">
        <f>'Portefeuille SP2'!AJ326</f>
        <v>0</v>
      </c>
      <c r="AY301" s="403">
        <f>'Portefeuille SP2'!AK326</f>
        <v>0</v>
      </c>
      <c r="AZ301" s="403">
        <f>'Portefeuille SP2'!AL326</f>
        <v>0</v>
      </c>
      <c r="BA301" s="403">
        <f>'Portefeuille SP2'!AM326</f>
        <v>0</v>
      </c>
      <c r="BB301" s="403">
        <f>'Portefeuille SP2'!AN326</f>
        <v>0</v>
      </c>
      <c r="BC301" s="403">
        <f>'Portefeuille SP2'!AO326</f>
        <v>0</v>
      </c>
      <c r="BD301" s="403">
        <f>'Portefeuille SP2'!AP326</f>
        <v>0</v>
      </c>
      <c r="BE301" s="403">
        <f>'Portefeuille SP2'!AQ326</f>
        <v>0</v>
      </c>
      <c r="BF301" s="403">
        <f>'Portefeuille SP2'!AR326</f>
        <v>0</v>
      </c>
      <c r="BG301" s="403" t="e">
        <f>'Portefeuille SP2'!#REF!</f>
        <v>#REF!</v>
      </c>
      <c r="BH301" s="403" t="e">
        <f>'Portefeuille SP2'!#REF!</f>
        <v>#REF!</v>
      </c>
      <c r="BI301" s="403" t="e">
        <f>'Portefeuille SP2'!#REF!</f>
        <v>#REF!</v>
      </c>
      <c r="BJ301" s="403" t="e">
        <f>'Portefeuille SP2'!#REF!</f>
        <v>#REF!</v>
      </c>
      <c r="BK301" s="403" t="e">
        <f>'Portefeuille SP2'!#REF!</f>
        <v>#REF!</v>
      </c>
      <c r="BL301" s="388"/>
      <c r="BM301" s="404">
        <f>'Portefeuille SP2'!L326</f>
        <v>0</v>
      </c>
    </row>
    <row r="302" spans="1:65" ht="15" customHeight="1">
      <c r="A302" s="383">
        <f>'Portefeuille SP2'!B327</f>
        <v>0</v>
      </c>
      <c r="B302" s="390">
        <f>'Portefeuille SP2'!Q327</f>
        <v>0</v>
      </c>
      <c r="C302" s="384"/>
      <c r="D302" s="382">
        <f>'Portefeuille SP2'!E327</f>
        <v>0</v>
      </c>
      <c r="E302" s="382" t="str">
        <f t="shared" si="29"/>
        <v>0</v>
      </c>
      <c r="F302" s="382" t="str">
        <f t="shared" si="30"/>
        <v/>
      </c>
      <c r="G302" s="382">
        <f>'Portefeuille SP2'!C327</f>
        <v>0</v>
      </c>
      <c r="H302" s="382">
        <f>'Portefeuille SP2'!F327</f>
        <v>0</v>
      </c>
      <c r="I302" s="382"/>
      <c r="J302" s="382">
        <f>'Portefeuille SP2'!D327</f>
        <v>0</v>
      </c>
      <c r="K302" s="385">
        <f>'Portefeuille SP2'!H327</f>
        <v>0</v>
      </c>
      <c r="L302" s="157">
        <f>'Portefeuille SP2'!U327</f>
        <v>0</v>
      </c>
      <c r="M302" s="386"/>
      <c r="N302" s="386"/>
      <c r="O302" s="386"/>
      <c r="P302" s="387">
        <f>'Portefeuille SP2'!M327</f>
        <v>0</v>
      </c>
      <c r="Q302" s="387"/>
      <c r="R302" s="387">
        <f>'Portefeuille SP2'!N327</f>
        <v>0</v>
      </c>
      <c r="S302" s="387"/>
      <c r="T302" s="382">
        <f>'Portefeuille SP2'!R327</f>
        <v>0</v>
      </c>
      <c r="U302" s="387">
        <f>'Portefeuille SP2'!K327</f>
        <v>0</v>
      </c>
      <c r="V302" s="399">
        <f>'Portefeuille SP2'!S327</f>
        <v>0</v>
      </c>
      <c r="W302" s="387"/>
      <c r="X302" s="387"/>
      <c r="Y302" s="387"/>
      <c r="Z302" s="387"/>
      <c r="AA302" s="387"/>
      <c r="AB302" s="387"/>
      <c r="AC302" s="387"/>
      <c r="AD302" s="387"/>
      <c r="AE302" s="400">
        <f>'Portefeuille SP2'!J327</f>
        <v>0</v>
      </c>
      <c r="AF302" s="387"/>
      <c r="AG302" s="387"/>
      <c r="AH302" s="389"/>
      <c r="AI302" s="389"/>
      <c r="AJ302" s="403">
        <f>'Portefeuille SP2'!V327</f>
        <v>0</v>
      </c>
      <c r="AK302" s="403">
        <f>'Portefeuille SP2'!W327</f>
        <v>0</v>
      </c>
      <c r="AL302" s="403">
        <f>'Portefeuille SP2'!X327</f>
        <v>0</v>
      </c>
      <c r="AM302" s="403">
        <f>'Portefeuille SP2'!Y327</f>
        <v>0</v>
      </c>
      <c r="AN302" s="403">
        <f>'Portefeuille SP2'!Z327</f>
        <v>0</v>
      </c>
      <c r="AO302" s="403">
        <f>'Portefeuille SP2'!AA327</f>
        <v>0</v>
      </c>
      <c r="AP302" s="403">
        <f>'Portefeuille SP2'!AB327</f>
        <v>0</v>
      </c>
      <c r="AQ302" s="403">
        <f>'Portefeuille SP2'!AC327</f>
        <v>0</v>
      </c>
      <c r="AR302" s="403">
        <f>'Portefeuille SP2'!AD327</f>
        <v>0</v>
      </c>
      <c r="AS302" s="403">
        <f>'Portefeuille SP2'!AE327</f>
        <v>0</v>
      </c>
      <c r="AT302" s="403">
        <f>'Portefeuille SP2'!AF327</f>
        <v>0</v>
      </c>
      <c r="AU302" s="403">
        <f>'Portefeuille SP2'!AG327</f>
        <v>0</v>
      </c>
      <c r="AV302" s="403">
        <f>'Portefeuille SP2'!AH327</f>
        <v>0</v>
      </c>
      <c r="AW302" s="403">
        <f>'Portefeuille SP2'!AI327</f>
        <v>0</v>
      </c>
      <c r="AX302" s="403">
        <f>'Portefeuille SP2'!AJ327</f>
        <v>0</v>
      </c>
      <c r="AY302" s="403">
        <f>'Portefeuille SP2'!AK327</f>
        <v>0</v>
      </c>
      <c r="AZ302" s="403">
        <f>'Portefeuille SP2'!AL327</f>
        <v>0</v>
      </c>
      <c r="BA302" s="403">
        <f>'Portefeuille SP2'!AM327</f>
        <v>0</v>
      </c>
      <c r="BB302" s="403">
        <f>'Portefeuille SP2'!AN327</f>
        <v>0</v>
      </c>
      <c r="BC302" s="403">
        <f>'Portefeuille SP2'!AO327</f>
        <v>0</v>
      </c>
      <c r="BD302" s="403">
        <f>'Portefeuille SP2'!AP327</f>
        <v>0</v>
      </c>
      <c r="BE302" s="403">
        <f>'Portefeuille SP2'!AQ327</f>
        <v>0</v>
      </c>
      <c r="BF302" s="403">
        <f>'Portefeuille SP2'!AR327</f>
        <v>0</v>
      </c>
      <c r="BG302" s="403" t="e">
        <f>'Portefeuille SP2'!#REF!</f>
        <v>#REF!</v>
      </c>
      <c r="BH302" s="403" t="e">
        <f>'Portefeuille SP2'!#REF!</f>
        <v>#REF!</v>
      </c>
      <c r="BI302" s="403" t="e">
        <f>'Portefeuille SP2'!#REF!</f>
        <v>#REF!</v>
      </c>
      <c r="BJ302" s="403" t="e">
        <f>'Portefeuille SP2'!#REF!</f>
        <v>#REF!</v>
      </c>
      <c r="BK302" s="403" t="e">
        <f>'Portefeuille SP2'!#REF!</f>
        <v>#REF!</v>
      </c>
      <c r="BL302" s="388"/>
      <c r="BM302" s="404">
        <f>'Portefeuille SP2'!L327</f>
        <v>0</v>
      </c>
    </row>
    <row r="303" spans="1:65" ht="15" customHeight="1">
      <c r="A303" s="383">
        <f>'Portefeuille SP2'!B328</f>
        <v>0</v>
      </c>
      <c r="B303" s="390">
        <f>'Portefeuille SP2'!Q328</f>
        <v>0</v>
      </c>
      <c r="C303" s="384"/>
      <c r="D303" s="382">
        <f>'Portefeuille SP2'!E328</f>
        <v>0</v>
      </c>
      <c r="E303" s="382" t="str">
        <f t="shared" si="29"/>
        <v>0</v>
      </c>
      <c r="F303" s="382" t="str">
        <f t="shared" si="30"/>
        <v/>
      </c>
      <c r="G303" s="382">
        <f>'Portefeuille SP2'!C328</f>
        <v>0</v>
      </c>
      <c r="H303" s="382">
        <f>'Portefeuille SP2'!F328</f>
        <v>0</v>
      </c>
      <c r="I303" s="382"/>
      <c r="J303" s="382">
        <f>'Portefeuille SP2'!D328</f>
        <v>0</v>
      </c>
      <c r="K303" s="385">
        <f>'Portefeuille SP2'!H328</f>
        <v>0</v>
      </c>
      <c r="L303" s="157">
        <f>'Portefeuille SP2'!U328</f>
        <v>0</v>
      </c>
      <c r="M303" s="386"/>
      <c r="N303" s="386"/>
      <c r="O303" s="386"/>
      <c r="P303" s="387">
        <f>'Portefeuille SP2'!M328</f>
        <v>0</v>
      </c>
      <c r="Q303" s="387"/>
      <c r="R303" s="387">
        <f>'Portefeuille SP2'!N328</f>
        <v>0</v>
      </c>
      <c r="S303" s="387"/>
      <c r="T303" s="382">
        <f>'Portefeuille SP2'!R328</f>
        <v>0</v>
      </c>
      <c r="U303" s="387">
        <f>'Portefeuille SP2'!K328</f>
        <v>0</v>
      </c>
      <c r="V303" s="399">
        <f>'Portefeuille SP2'!S328</f>
        <v>0</v>
      </c>
      <c r="W303" s="387"/>
      <c r="X303" s="387"/>
      <c r="Y303" s="387"/>
      <c r="Z303" s="387"/>
      <c r="AA303" s="387"/>
      <c r="AB303" s="387"/>
      <c r="AC303" s="387"/>
      <c r="AD303" s="387"/>
      <c r="AE303" s="400">
        <f>'Portefeuille SP2'!J328</f>
        <v>0</v>
      </c>
      <c r="AF303" s="387"/>
      <c r="AG303" s="387"/>
      <c r="AH303" s="389"/>
      <c r="AI303" s="389"/>
      <c r="AJ303" s="403">
        <f>'Portefeuille SP2'!V328</f>
        <v>0</v>
      </c>
      <c r="AK303" s="403">
        <f>'Portefeuille SP2'!W328</f>
        <v>0</v>
      </c>
      <c r="AL303" s="403">
        <f>'Portefeuille SP2'!X328</f>
        <v>0</v>
      </c>
      <c r="AM303" s="403">
        <f>'Portefeuille SP2'!Y328</f>
        <v>0</v>
      </c>
      <c r="AN303" s="403">
        <f>'Portefeuille SP2'!Z328</f>
        <v>0</v>
      </c>
      <c r="AO303" s="403">
        <f>'Portefeuille SP2'!AA328</f>
        <v>0</v>
      </c>
      <c r="AP303" s="403">
        <f>'Portefeuille SP2'!AB328</f>
        <v>0</v>
      </c>
      <c r="AQ303" s="403">
        <f>'Portefeuille SP2'!AC328</f>
        <v>0</v>
      </c>
      <c r="AR303" s="403">
        <f>'Portefeuille SP2'!AD328</f>
        <v>0</v>
      </c>
      <c r="AS303" s="403">
        <f>'Portefeuille SP2'!AE328</f>
        <v>0</v>
      </c>
      <c r="AT303" s="403">
        <f>'Portefeuille SP2'!AF328</f>
        <v>0</v>
      </c>
      <c r="AU303" s="403">
        <f>'Portefeuille SP2'!AG328</f>
        <v>0</v>
      </c>
      <c r="AV303" s="403">
        <f>'Portefeuille SP2'!AH328</f>
        <v>0</v>
      </c>
      <c r="AW303" s="403">
        <f>'Portefeuille SP2'!AI328</f>
        <v>0</v>
      </c>
      <c r="AX303" s="403">
        <f>'Portefeuille SP2'!AJ328</f>
        <v>0</v>
      </c>
      <c r="AY303" s="403">
        <f>'Portefeuille SP2'!AK328</f>
        <v>0</v>
      </c>
      <c r="AZ303" s="403">
        <f>'Portefeuille SP2'!AL328</f>
        <v>0</v>
      </c>
      <c r="BA303" s="403">
        <f>'Portefeuille SP2'!AM328</f>
        <v>0</v>
      </c>
      <c r="BB303" s="403">
        <f>'Portefeuille SP2'!AN328</f>
        <v>0</v>
      </c>
      <c r="BC303" s="403">
        <f>'Portefeuille SP2'!AO328</f>
        <v>0</v>
      </c>
      <c r="BD303" s="403">
        <f>'Portefeuille SP2'!AP328</f>
        <v>0</v>
      </c>
      <c r="BE303" s="403">
        <f>'Portefeuille SP2'!AQ328</f>
        <v>0</v>
      </c>
      <c r="BF303" s="403">
        <f>'Portefeuille SP2'!AR328</f>
        <v>0</v>
      </c>
      <c r="BG303" s="403" t="e">
        <f>'Portefeuille SP2'!#REF!</f>
        <v>#REF!</v>
      </c>
      <c r="BH303" s="403" t="e">
        <f>'Portefeuille SP2'!#REF!</f>
        <v>#REF!</v>
      </c>
      <c r="BI303" s="403" t="e">
        <f>'Portefeuille SP2'!#REF!</f>
        <v>#REF!</v>
      </c>
      <c r="BJ303" s="403" t="e">
        <f>'Portefeuille SP2'!#REF!</f>
        <v>#REF!</v>
      </c>
      <c r="BK303" s="403" t="e">
        <f>'Portefeuille SP2'!#REF!</f>
        <v>#REF!</v>
      </c>
      <c r="BL303" s="388"/>
      <c r="BM303" s="404">
        <f>'Portefeuille SP2'!L328</f>
        <v>0</v>
      </c>
    </row>
    <row r="304" spans="1:65" ht="15" customHeight="1">
      <c r="A304" s="383">
        <f>'Portefeuille SP2'!B329</f>
        <v>0</v>
      </c>
      <c r="B304" s="390">
        <f>'Portefeuille SP2'!Q329</f>
        <v>0</v>
      </c>
      <c r="C304" s="384"/>
      <c r="D304" s="382">
        <f>'Portefeuille SP2'!E329</f>
        <v>0</v>
      </c>
      <c r="E304" s="382" t="str">
        <f t="shared" si="29"/>
        <v>0</v>
      </c>
      <c r="F304" s="382" t="str">
        <f t="shared" si="30"/>
        <v/>
      </c>
      <c r="G304" s="382">
        <f>'Portefeuille SP2'!C329</f>
        <v>0</v>
      </c>
      <c r="H304" s="382">
        <f>'Portefeuille SP2'!F329</f>
        <v>0</v>
      </c>
      <c r="I304" s="382"/>
      <c r="J304" s="382">
        <f>'Portefeuille SP2'!D329</f>
        <v>0</v>
      </c>
      <c r="K304" s="385">
        <f>'Portefeuille SP2'!H329</f>
        <v>0</v>
      </c>
      <c r="L304" s="157">
        <f>'Portefeuille SP2'!U329</f>
        <v>0</v>
      </c>
      <c r="M304" s="386"/>
      <c r="N304" s="386"/>
      <c r="O304" s="386"/>
      <c r="P304" s="387">
        <f>'Portefeuille SP2'!M329</f>
        <v>0</v>
      </c>
      <c r="Q304" s="387"/>
      <c r="R304" s="387">
        <f>'Portefeuille SP2'!N329</f>
        <v>0</v>
      </c>
      <c r="S304" s="387"/>
      <c r="T304" s="382">
        <f>'Portefeuille SP2'!R329</f>
        <v>0</v>
      </c>
      <c r="U304" s="387">
        <f>'Portefeuille SP2'!K329</f>
        <v>0</v>
      </c>
      <c r="V304" s="399">
        <f>'Portefeuille SP2'!S329</f>
        <v>0</v>
      </c>
      <c r="W304" s="387"/>
      <c r="X304" s="387"/>
      <c r="Y304" s="387"/>
      <c r="Z304" s="387"/>
      <c r="AA304" s="387"/>
      <c r="AB304" s="387"/>
      <c r="AC304" s="387"/>
      <c r="AD304" s="387"/>
      <c r="AE304" s="400">
        <f>'Portefeuille SP2'!J329</f>
        <v>0</v>
      </c>
      <c r="AF304" s="387"/>
      <c r="AG304" s="387"/>
      <c r="AH304" s="389"/>
      <c r="AI304" s="389"/>
      <c r="AJ304" s="403">
        <f>'Portefeuille SP2'!V329</f>
        <v>0</v>
      </c>
      <c r="AK304" s="403">
        <f>'Portefeuille SP2'!W329</f>
        <v>0</v>
      </c>
      <c r="AL304" s="403">
        <f>'Portefeuille SP2'!X329</f>
        <v>0</v>
      </c>
      <c r="AM304" s="403">
        <f>'Portefeuille SP2'!Y329</f>
        <v>0</v>
      </c>
      <c r="AN304" s="403">
        <f>'Portefeuille SP2'!Z329</f>
        <v>0</v>
      </c>
      <c r="AO304" s="403">
        <f>'Portefeuille SP2'!AA329</f>
        <v>0</v>
      </c>
      <c r="AP304" s="403">
        <f>'Portefeuille SP2'!AB329</f>
        <v>0</v>
      </c>
      <c r="AQ304" s="403">
        <f>'Portefeuille SP2'!AC329</f>
        <v>0</v>
      </c>
      <c r="AR304" s="403">
        <f>'Portefeuille SP2'!AD329</f>
        <v>0</v>
      </c>
      <c r="AS304" s="403">
        <f>'Portefeuille SP2'!AE329</f>
        <v>0</v>
      </c>
      <c r="AT304" s="403">
        <f>'Portefeuille SP2'!AF329</f>
        <v>0</v>
      </c>
      <c r="AU304" s="403">
        <f>'Portefeuille SP2'!AG329</f>
        <v>0</v>
      </c>
      <c r="AV304" s="403">
        <f>'Portefeuille SP2'!AH329</f>
        <v>0</v>
      </c>
      <c r="AW304" s="403">
        <f>'Portefeuille SP2'!AI329</f>
        <v>0</v>
      </c>
      <c r="AX304" s="403">
        <f>'Portefeuille SP2'!AJ329</f>
        <v>0</v>
      </c>
      <c r="AY304" s="403">
        <f>'Portefeuille SP2'!AK329</f>
        <v>0</v>
      </c>
      <c r="AZ304" s="403">
        <f>'Portefeuille SP2'!AL329</f>
        <v>0</v>
      </c>
      <c r="BA304" s="403">
        <f>'Portefeuille SP2'!AM329</f>
        <v>0</v>
      </c>
      <c r="BB304" s="403">
        <f>'Portefeuille SP2'!AN329</f>
        <v>0</v>
      </c>
      <c r="BC304" s="403">
        <f>'Portefeuille SP2'!AO329</f>
        <v>0</v>
      </c>
      <c r="BD304" s="403">
        <f>'Portefeuille SP2'!AP329</f>
        <v>0</v>
      </c>
      <c r="BE304" s="403">
        <f>'Portefeuille SP2'!AQ329</f>
        <v>0</v>
      </c>
      <c r="BF304" s="403">
        <f>'Portefeuille SP2'!AR329</f>
        <v>0</v>
      </c>
      <c r="BG304" s="403" t="e">
        <f>'Portefeuille SP2'!#REF!</f>
        <v>#REF!</v>
      </c>
      <c r="BH304" s="403" t="e">
        <f>'Portefeuille SP2'!#REF!</f>
        <v>#REF!</v>
      </c>
      <c r="BI304" s="403" t="e">
        <f>'Portefeuille SP2'!#REF!</f>
        <v>#REF!</v>
      </c>
      <c r="BJ304" s="403" t="e">
        <f>'Portefeuille SP2'!#REF!</f>
        <v>#REF!</v>
      </c>
      <c r="BK304" s="403" t="e">
        <f>'Portefeuille SP2'!#REF!</f>
        <v>#REF!</v>
      </c>
      <c r="BL304" s="388"/>
      <c r="BM304" s="404">
        <f>'Portefeuille SP2'!L329</f>
        <v>0</v>
      </c>
    </row>
    <row r="305" spans="1:65" ht="15" customHeight="1">
      <c r="A305" s="383">
        <f>'Portefeuille SP2'!B330</f>
        <v>0</v>
      </c>
      <c r="B305" s="390">
        <f>'Portefeuille SP2'!Q330</f>
        <v>0</v>
      </c>
      <c r="C305" s="384"/>
      <c r="D305" s="382">
        <f>'Portefeuille SP2'!E330</f>
        <v>0</v>
      </c>
      <c r="E305" s="382" t="str">
        <f t="shared" si="29"/>
        <v>0</v>
      </c>
      <c r="F305" s="382" t="str">
        <f t="shared" si="30"/>
        <v/>
      </c>
      <c r="G305" s="382">
        <f>'Portefeuille SP2'!C330</f>
        <v>0</v>
      </c>
      <c r="H305" s="382">
        <f>'Portefeuille SP2'!F330</f>
        <v>0</v>
      </c>
      <c r="I305" s="382"/>
      <c r="J305" s="382">
        <f>'Portefeuille SP2'!D330</f>
        <v>0</v>
      </c>
      <c r="K305" s="385">
        <f>'Portefeuille SP2'!H330</f>
        <v>0</v>
      </c>
      <c r="L305" s="157">
        <f>'Portefeuille SP2'!U330</f>
        <v>0</v>
      </c>
      <c r="M305" s="386"/>
      <c r="N305" s="386"/>
      <c r="O305" s="386"/>
      <c r="P305" s="387">
        <f>'Portefeuille SP2'!M330</f>
        <v>0</v>
      </c>
      <c r="Q305" s="387"/>
      <c r="R305" s="387">
        <f>'Portefeuille SP2'!N330</f>
        <v>0</v>
      </c>
      <c r="S305" s="387"/>
      <c r="T305" s="382">
        <f>'Portefeuille SP2'!R330</f>
        <v>0</v>
      </c>
      <c r="U305" s="387">
        <f>'Portefeuille SP2'!K330</f>
        <v>0</v>
      </c>
      <c r="V305" s="399">
        <f>'Portefeuille SP2'!S330</f>
        <v>0</v>
      </c>
      <c r="W305" s="387"/>
      <c r="X305" s="387"/>
      <c r="Y305" s="387"/>
      <c r="Z305" s="387"/>
      <c r="AA305" s="387"/>
      <c r="AB305" s="387"/>
      <c r="AC305" s="387"/>
      <c r="AD305" s="387"/>
      <c r="AE305" s="400">
        <f>'Portefeuille SP2'!J330</f>
        <v>0</v>
      </c>
      <c r="AF305" s="387"/>
      <c r="AG305" s="387"/>
      <c r="AH305" s="389"/>
      <c r="AI305" s="389"/>
      <c r="AJ305" s="403">
        <f>'Portefeuille SP2'!V330</f>
        <v>0</v>
      </c>
      <c r="AK305" s="403">
        <f>'Portefeuille SP2'!W330</f>
        <v>0</v>
      </c>
      <c r="AL305" s="403">
        <f>'Portefeuille SP2'!X330</f>
        <v>0</v>
      </c>
      <c r="AM305" s="403">
        <f>'Portefeuille SP2'!Y330</f>
        <v>0</v>
      </c>
      <c r="AN305" s="403">
        <f>'Portefeuille SP2'!Z330</f>
        <v>0</v>
      </c>
      <c r="AO305" s="403">
        <f>'Portefeuille SP2'!AA330</f>
        <v>0</v>
      </c>
      <c r="AP305" s="403">
        <f>'Portefeuille SP2'!AB330</f>
        <v>0</v>
      </c>
      <c r="AQ305" s="403">
        <f>'Portefeuille SP2'!AC330</f>
        <v>0</v>
      </c>
      <c r="AR305" s="403">
        <f>'Portefeuille SP2'!AD330</f>
        <v>0</v>
      </c>
      <c r="AS305" s="403">
        <f>'Portefeuille SP2'!AE330</f>
        <v>0</v>
      </c>
      <c r="AT305" s="403">
        <f>'Portefeuille SP2'!AF330</f>
        <v>0</v>
      </c>
      <c r="AU305" s="403">
        <f>'Portefeuille SP2'!AG330</f>
        <v>0</v>
      </c>
      <c r="AV305" s="403">
        <f>'Portefeuille SP2'!AH330</f>
        <v>0</v>
      </c>
      <c r="AW305" s="403">
        <f>'Portefeuille SP2'!AI330</f>
        <v>0</v>
      </c>
      <c r="AX305" s="403">
        <f>'Portefeuille SP2'!AJ330</f>
        <v>0</v>
      </c>
      <c r="AY305" s="403">
        <f>'Portefeuille SP2'!AK330</f>
        <v>0</v>
      </c>
      <c r="AZ305" s="403">
        <f>'Portefeuille SP2'!AL330</f>
        <v>0</v>
      </c>
      <c r="BA305" s="403">
        <f>'Portefeuille SP2'!AM330</f>
        <v>0</v>
      </c>
      <c r="BB305" s="403">
        <f>'Portefeuille SP2'!AN330</f>
        <v>0</v>
      </c>
      <c r="BC305" s="403">
        <f>'Portefeuille SP2'!AO330</f>
        <v>0</v>
      </c>
      <c r="BD305" s="403">
        <f>'Portefeuille SP2'!AP330</f>
        <v>0</v>
      </c>
      <c r="BE305" s="403">
        <f>'Portefeuille SP2'!AQ330</f>
        <v>0</v>
      </c>
      <c r="BF305" s="403">
        <f>'Portefeuille SP2'!AR330</f>
        <v>0</v>
      </c>
      <c r="BG305" s="403" t="e">
        <f>'Portefeuille SP2'!#REF!</f>
        <v>#REF!</v>
      </c>
      <c r="BH305" s="403" t="e">
        <f>'Portefeuille SP2'!#REF!</f>
        <v>#REF!</v>
      </c>
      <c r="BI305" s="403" t="e">
        <f>'Portefeuille SP2'!#REF!</f>
        <v>#REF!</v>
      </c>
      <c r="BJ305" s="403" t="e">
        <f>'Portefeuille SP2'!#REF!</f>
        <v>#REF!</v>
      </c>
      <c r="BK305" s="403" t="e">
        <f>'Portefeuille SP2'!#REF!</f>
        <v>#REF!</v>
      </c>
      <c r="BL305" s="388"/>
      <c r="BM305" s="404">
        <f>'Portefeuille SP2'!L330</f>
        <v>0</v>
      </c>
    </row>
    <row r="306" spans="1:65" ht="15" customHeight="1">
      <c r="A306" s="383">
        <f>'Portefeuille SP2'!B331</f>
        <v>0</v>
      </c>
      <c r="B306" s="390">
        <f>'Portefeuille SP2'!Q331</f>
        <v>0</v>
      </c>
      <c r="C306" s="384"/>
      <c r="D306" s="382">
        <f>'Portefeuille SP2'!E331</f>
        <v>0</v>
      </c>
      <c r="E306" s="382" t="str">
        <f t="shared" si="29"/>
        <v>0</v>
      </c>
      <c r="F306" s="382" t="str">
        <f t="shared" si="30"/>
        <v/>
      </c>
      <c r="G306" s="382">
        <f>'Portefeuille SP2'!C331</f>
        <v>0</v>
      </c>
      <c r="H306" s="382">
        <f>'Portefeuille SP2'!F331</f>
        <v>0</v>
      </c>
      <c r="I306" s="382"/>
      <c r="J306" s="382">
        <f>'Portefeuille SP2'!D331</f>
        <v>0</v>
      </c>
      <c r="K306" s="385">
        <f>'Portefeuille SP2'!H331</f>
        <v>0</v>
      </c>
      <c r="L306" s="157">
        <f>'Portefeuille SP2'!U331</f>
        <v>0</v>
      </c>
      <c r="M306" s="386"/>
      <c r="N306" s="386"/>
      <c r="O306" s="386"/>
      <c r="P306" s="387">
        <f>'Portefeuille SP2'!M331</f>
        <v>0</v>
      </c>
      <c r="Q306" s="387"/>
      <c r="R306" s="387">
        <f>'Portefeuille SP2'!N331</f>
        <v>0</v>
      </c>
      <c r="S306" s="387"/>
      <c r="T306" s="382">
        <f>'Portefeuille SP2'!R331</f>
        <v>0</v>
      </c>
      <c r="U306" s="387">
        <f>'Portefeuille SP2'!K331</f>
        <v>0</v>
      </c>
      <c r="V306" s="399">
        <f>'Portefeuille SP2'!S331</f>
        <v>0</v>
      </c>
      <c r="W306" s="387"/>
      <c r="X306" s="387"/>
      <c r="Y306" s="387"/>
      <c r="Z306" s="387"/>
      <c r="AA306" s="387"/>
      <c r="AB306" s="387"/>
      <c r="AC306" s="387"/>
      <c r="AD306" s="387"/>
      <c r="AE306" s="400">
        <f>'Portefeuille SP2'!J331</f>
        <v>0</v>
      </c>
      <c r="AF306" s="387"/>
      <c r="AG306" s="387"/>
      <c r="AH306" s="389"/>
      <c r="AI306" s="389"/>
      <c r="AJ306" s="403">
        <f>'Portefeuille SP2'!V331</f>
        <v>0</v>
      </c>
      <c r="AK306" s="403">
        <f>'Portefeuille SP2'!W331</f>
        <v>0</v>
      </c>
      <c r="AL306" s="403">
        <f>'Portefeuille SP2'!X331</f>
        <v>0</v>
      </c>
      <c r="AM306" s="403">
        <f>'Portefeuille SP2'!Y331</f>
        <v>0</v>
      </c>
      <c r="AN306" s="403">
        <f>'Portefeuille SP2'!Z331</f>
        <v>0</v>
      </c>
      <c r="AO306" s="403">
        <f>'Portefeuille SP2'!AA331</f>
        <v>0</v>
      </c>
      <c r="AP306" s="403">
        <f>'Portefeuille SP2'!AB331</f>
        <v>0</v>
      </c>
      <c r="AQ306" s="403">
        <f>'Portefeuille SP2'!AC331</f>
        <v>0</v>
      </c>
      <c r="AR306" s="403">
        <f>'Portefeuille SP2'!AD331</f>
        <v>0</v>
      </c>
      <c r="AS306" s="403">
        <f>'Portefeuille SP2'!AE331</f>
        <v>0</v>
      </c>
      <c r="AT306" s="403">
        <f>'Portefeuille SP2'!AF331</f>
        <v>0</v>
      </c>
      <c r="AU306" s="403">
        <f>'Portefeuille SP2'!AG331</f>
        <v>0</v>
      </c>
      <c r="AV306" s="403">
        <f>'Portefeuille SP2'!AH331</f>
        <v>0</v>
      </c>
      <c r="AW306" s="403">
        <f>'Portefeuille SP2'!AI331</f>
        <v>0</v>
      </c>
      <c r="AX306" s="403">
        <f>'Portefeuille SP2'!AJ331</f>
        <v>0</v>
      </c>
      <c r="AY306" s="403">
        <f>'Portefeuille SP2'!AK331</f>
        <v>0</v>
      </c>
      <c r="AZ306" s="403">
        <f>'Portefeuille SP2'!AL331</f>
        <v>0</v>
      </c>
      <c r="BA306" s="403">
        <f>'Portefeuille SP2'!AM331</f>
        <v>0</v>
      </c>
      <c r="BB306" s="403">
        <f>'Portefeuille SP2'!AN331</f>
        <v>0</v>
      </c>
      <c r="BC306" s="403">
        <f>'Portefeuille SP2'!AO331</f>
        <v>0</v>
      </c>
      <c r="BD306" s="403">
        <f>'Portefeuille SP2'!AP331</f>
        <v>0</v>
      </c>
      <c r="BE306" s="403">
        <f>'Portefeuille SP2'!AQ331</f>
        <v>0</v>
      </c>
      <c r="BF306" s="403">
        <f>'Portefeuille SP2'!AR331</f>
        <v>0</v>
      </c>
      <c r="BG306" s="403" t="e">
        <f>'Portefeuille SP2'!#REF!</f>
        <v>#REF!</v>
      </c>
      <c r="BH306" s="403" t="e">
        <f>'Portefeuille SP2'!#REF!</f>
        <v>#REF!</v>
      </c>
      <c r="BI306" s="403" t="e">
        <f>'Portefeuille SP2'!#REF!</f>
        <v>#REF!</v>
      </c>
      <c r="BJ306" s="403" t="e">
        <f>'Portefeuille SP2'!#REF!</f>
        <v>#REF!</v>
      </c>
      <c r="BK306" s="403" t="e">
        <f>'Portefeuille SP2'!#REF!</f>
        <v>#REF!</v>
      </c>
      <c r="BL306" s="388"/>
      <c r="BM306" s="404">
        <f>'Portefeuille SP2'!L331</f>
        <v>0</v>
      </c>
    </row>
    <row r="307" spans="1:65" ht="15" customHeight="1">
      <c r="A307" s="383">
        <f>'Portefeuille SP2'!B332</f>
        <v>0</v>
      </c>
      <c r="B307" s="390">
        <f>'Portefeuille SP2'!Q332</f>
        <v>0</v>
      </c>
      <c r="C307" s="384"/>
      <c r="D307" s="382">
        <f>'Portefeuille SP2'!E332</f>
        <v>0</v>
      </c>
      <c r="E307" s="382" t="str">
        <f t="shared" si="29"/>
        <v>0</v>
      </c>
      <c r="F307" s="382" t="str">
        <f t="shared" si="30"/>
        <v/>
      </c>
      <c r="G307" s="382">
        <f>'Portefeuille SP2'!C332</f>
        <v>0</v>
      </c>
      <c r="H307" s="382">
        <f>'Portefeuille SP2'!F332</f>
        <v>0</v>
      </c>
      <c r="I307" s="382"/>
      <c r="J307" s="382">
        <f>'Portefeuille SP2'!D332</f>
        <v>0</v>
      </c>
      <c r="K307" s="385">
        <f>'Portefeuille SP2'!H332</f>
        <v>0</v>
      </c>
      <c r="L307" s="157">
        <f>'Portefeuille SP2'!U332</f>
        <v>0</v>
      </c>
      <c r="M307" s="386"/>
      <c r="N307" s="386"/>
      <c r="O307" s="386"/>
      <c r="P307" s="387">
        <f>'Portefeuille SP2'!M332</f>
        <v>0</v>
      </c>
      <c r="Q307" s="387"/>
      <c r="R307" s="387">
        <f>'Portefeuille SP2'!N332</f>
        <v>0</v>
      </c>
      <c r="S307" s="387"/>
      <c r="T307" s="382">
        <f>'Portefeuille SP2'!R332</f>
        <v>0</v>
      </c>
      <c r="U307" s="387">
        <f>'Portefeuille SP2'!K332</f>
        <v>0</v>
      </c>
      <c r="V307" s="399">
        <f>'Portefeuille SP2'!S332</f>
        <v>0</v>
      </c>
      <c r="W307" s="387"/>
      <c r="X307" s="387"/>
      <c r="Y307" s="387"/>
      <c r="Z307" s="387"/>
      <c r="AA307" s="387"/>
      <c r="AB307" s="387"/>
      <c r="AC307" s="387"/>
      <c r="AD307" s="387"/>
      <c r="AE307" s="400">
        <f>'Portefeuille SP2'!J332</f>
        <v>0</v>
      </c>
      <c r="AF307" s="387"/>
      <c r="AG307" s="387"/>
      <c r="AH307" s="389"/>
      <c r="AI307" s="389"/>
      <c r="AJ307" s="403">
        <f>'Portefeuille SP2'!V332</f>
        <v>0</v>
      </c>
      <c r="AK307" s="403">
        <f>'Portefeuille SP2'!W332</f>
        <v>0</v>
      </c>
      <c r="AL307" s="403">
        <f>'Portefeuille SP2'!X332</f>
        <v>0</v>
      </c>
      <c r="AM307" s="403">
        <f>'Portefeuille SP2'!Y332</f>
        <v>0</v>
      </c>
      <c r="AN307" s="403">
        <f>'Portefeuille SP2'!Z332</f>
        <v>0</v>
      </c>
      <c r="AO307" s="403">
        <f>'Portefeuille SP2'!AA332</f>
        <v>0</v>
      </c>
      <c r="AP307" s="403">
        <f>'Portefeuille SP2'!AB332</f>
        <v>0</v>
      </c>
      <c r="AQ307" s="403">
        <f>'Portefeuille SP2'!AC332</f>
        <v>0</v>
      </c>
      <c r="AR307" s="403">
        <f>'Portefeuille SP2'!AD332</f>
        <v>0</v>
      </c>
      <c r="AS307" s="403">
        <f>'Portefeuille SP2'!AE332</f>
        <v>0</v>
      </c>
      <c r="AT307" s="403">
        <f>'Portefeuille SP2'!AF332</f>
        <v>0</v>
      </c>
      <c r="AU307" s="403">
        <f>'Portefeuille SP2'!AG332</f>
        <v>0</v>
      </c>
      <c r="AV307" s="403">
        <f>'Portefeuille SP2'!AH332</f>
        <v>0</v>
      </c>
      <c r="AW307" s="403">
        <f>'Portefeuille SP2'!AI332</f>
        <v>0</v>
      </c>
      <c r="AX307" s="403">
        <f>'Portefeuille SP2'!AJ332</f>
        <v>0</v>
      </c>
      <c r="AY307" s="403">
        <f>'Portefeuille SP2'!AK332</f>
        <v>0</v>
      </c>
      <c r="AZ307" s="403">
        <f>'Portefeuille SP2'!AL332</f>
        <v>0</v>
      </c>
      <c r="BA307" s="403">
        <f>'Portefeuille SP2'!AM332</f>
        <v>0</v>
      </c>
      <c r="BB307" s="403">
        <f>'Portefeuille SP2'!AN332</f>
        <v>0</v>
      </c>
      <c r="BC307" s="403">
        <f>'Portefeuille SP2'!AO332</f>
        <v>0</v>
      </c>
      <c r="BD307" s="403">
        <f>'Portefeuille SP2'!AP332</f>
        <v>0</v>
      </c>
      <c r="BE307" s="403">
        <f>'Portefeuille SP2'!AQ332</f>
        <v>0</v>
      </c>
      <c r="BF307" s="403">
        <f>'Portefeuille SP2'!AR332</f>
        <v>0</v>
      </c>
      <c r="BG307" s="403" t="e">
        <f>'Portefeuille SP2'!#REF!</f>
        <v>#REF!</v>
      </c>
      <c r="BH307" s="403" t="e">
        <f>'Portefeuille SP2'!#REF!</f>
        <v>#REF!</v>
      </c>
      <c r="BI307" s="403" t="e">
        <f>'Portefeuille SP2'!#REF!</f>
        <v>#REF!</v>
      </c>
      <c r="BJ307" s="403" t="e">
        <f>'Portefeuille SP2'!#REF!</f>
        <v>#REF!</v>
      </c>
      <c r="BK307" s="403" t="e">
        <f>'Portefeuille SP2'!#REF!</f>
        <v>#REF!</v>
      </c>
      <c r="BL307" s="388"/>
      <c r="BM307" s="404">
        <f>'Portefeuille SP2'!L332</f>
        <v>0</v>
      </c>
    </row>
    <row r="308" spans="1:65" ht="15" customHeight="1">
      <c r="A308" s="383">
        <f>'Portefeuille SP2'!B333</f>
        <v>0</v>
      </c>
      <c r="B308" s="390">
        <f>'Portefeuille SP2'!Q333</f>
        <v>0</v>
      </c>
      <c r="C308" s="384"/>
      <c r="D308" s="382">
        <f>'Portefeuille SP2'!E333</f>
        <v>0</v>
      </c>
      <c r="E308" s="382" t="str">
        <f t="shared" si="29"/>
        <v>0</v>
      </c>
      <c r="F308" s="382" t="str">
        <f t="shared" si="30"/>
        <v/>
      </c>
      <c r="G308" s="382">
        <f>'Portefeuille SP2'!C333</f>
        <v>0</v>
      </c>
      <c r="H308" s="382">
        <f>'Portefeuille SP2'!F333</f>
        <v>0</v>
      </c>
      <c r="I308" s="382"/>
      <c r="J308" s="382">
        <f>'Portefeuille SP2'!D333</f>
        <v>0</v>
      </c>
      <c r="K308" s="385">
        <f>'Portefeuille SP2'!H333</f>
        <v>0</v>
      </c>
      <c r="L308" s="157">
        <f>'Portefeuille SP2'!U333</f>
        <v>0</v>
      </c>
      <c r="M308" s="386"/>
      <c r="N308" s="386"/>
      <c r="O308" s="386"/>
      <c r="P308" s="387">
        <f>'Portefeuille SP2'!M333</f>
        <v>0</v>
      </c>
      <c r="Q308" s="387"/>
      <c r="R308" s="387">
        <f>'Portefeuille SP2'!N333</f>
        <v>0</v>
      </c>
      <c r="S308" s="387"/>
      <c r="T308" s="382">
        <f>'Portefeuille SP2'!R333</f>
        <v>0</v>
      </c>
      <c r="U308" s="387">
        <f>'Portefeuille SP2'!K333</f>
        <v>0</v>
      </c>
      <c r="V308" s="399">
        <f>'Portefeuille SP2'!S333</f>
        <v>0</v>
      </c>
      <c r="W308" s="387"/>
      <c r="X308" s="387"/>
      <c r="Y308" s="387"/>
      <c r="Z308" s="387"/>
      <c r="AA308" s="387"/>
      <c r="AB308" s="387"/>
      <c r="AC308" s="387"/>
      <c r="AD308" s="387"/>
      <c r="AE308" s="400">
        <f>'Portefeuille SP2'!J333</f>
        <v>0</v>
      </c>
      <c r="AF308" s="387"/>
      <c r="AG308" s="387"/>
      <c r="AH308" s="389"/>
      <c r="AI308" s="389"/>
      <c r="AJ308" s="403">
        <f>'Portefeuille SP2'!V333</f>
        <v>0</v>
      </c>
      <c r="AK308" s="403">
        <f>'Portefeuille SP2'!W333</f>
        <v>0</v>
      </c>
      <c r="AL308" s="403">
        <f>'Portefeuille SP2'!X333</f>
        <v>0</v>
      </c>
      <c r="AM308" s="403">
        <f>'Portefeuille SP2'!Y333</f>
        <v>0</v>
      </c>
      <c r="AN308" s="403">
        <f>'Portefeuille SP2'!Z333</f>
        <v>0</v>
      </c>
      <c r="AO308" s="403">
        <f>'Portefeuille SP2'!AA333</f>
        <v>0</v>
      </c>
      <c r="AP308" s="403">
        <f>'Portefeuille SP2'!AB333</f>
        <v>0</v>
      </c>
      <c r="AQ308" s="403">
        <f>'Portefeuille SP2'!AC333</f>
        <v>0</v>
      </c>
      <c r="AR308" s="403">
        <f>'Portefeuille SP2'!AD333</f>
        <v>0</v>
      </c>
      <c r="AS308" s="403">
        <f>'Portefeuille SP2'!AE333</f>
        <v>0</v>
      </c>
      <c r="AT308" s="403">
        <f>'Portefeuille SP2'!AF333</f>
        <v>0</v>
      </c>
      <c r="AU308" s="403">
        <f>'Portefeuille SP2'!AG333</f>
        <v>0</v>
      </c>
      <c r="AV308" s="403">
        <f>'Portefeuille SP2'!AH333</f>
        <v>0</v>
      </c>
      <c r="AW308" s="403">
        <f>'Portefeuille SP2'!AI333</f>
        <v>0</v>
      </c>
      <c r="AX308" s="403">
        <f>'Portefeuille SP2'!AJ333</f>
        <v>0</v>
      </c>
      <c r="AY308" s="403">
        <f>'Portefeuille SP2'!AK333</f>
        <v>0</v>
      </c>
      <c r="AZ308" s="403">
        <f>'Portefeuille SP2'!AL333</f>
        <v>0</v>
      </c>
      <c r="BA308" s="403">
        <f>'Portefeuille SP2'!AM333</f>
        <v>0</v>
      </c>
      <c r="BB308" s="403">
        <f>'Portefeuille SP2'!AN333</f>
        <v>0</v>
      </c>
      <c r="BC308" s="403">
        <f>'Portefeuille SP2'!AO333</f>
        <v>0</v>
      </c>
      <c r="BD308" s="403">
        <f>'Portefeuille SP2'!AP333</f>
        <v>0</v>
      </c>
      <c r="BE308" s="403">
        <f>'Portefeuille SP2'!AQ333</f>
        <v>0</v>
      </c>
      <c r="BF308" s="403">
        <f>'Portefeuille SP2'!AR333</f>
        <v>0</v>
      </c>
      <c r="BG308" s="403" t="e">
        <f>'Portefeuille SP2'!#REF!</f>
        <v>#REF!</v>
      </c>
      <c r="BH308" s="403" t="e">
        <f>'Portefeuille SP2'!#REF!</f>
        <v>#REF!</v>
      </c>
      <c r="BI308" s="403" t="e">
        <f>'Portefeuille SP2'!#REF!</f>
        <v>#REF!</v>
      </c>
      <c r="BJ308" s="403" t="e">
        <f>'Portefeuille SP2'!#REF!</f>
        <v>#REF!</v>
      </c>
      <c r="BK308" s="403" t="e">
        <f>'Portefeuille SP2'!#REF!</f>
        <v>#REF!</v>
      </c>
      <c r="BL308" s="388"/>
      <c r="BM308" s="404">
        <f>'Portefeuille SP2'!L333</f>
        <v>0</v>
      </c>
    </row>
    <row r="309" spans="1:65" ht="15" customHeight="1">
      <c r="A309" s="383">
        <f>'Portefeuille SP2'!B334</f>
        <v>0</v>
      </c>
      <c r="B309" s="390">
        <f>'Portefeuille SP2'!Q334</f>
        <v>0</v>
      </c>
      <c r="C309" s="384"/>
      <c r="D309" s="382">
        <f>'Portefeuille SP2'!E334</f>
        <v>0</v>
      </c>
      <c r="E309" s="382" t="str">
        <f t="shared" si="29"/>
        <v>0</v>
      </c>
      <c r="F309" s="382" t="str">
        <f t="shared" si="30"/>
        <v/>
      </c>
      <c r="G309" s="382">
        <f>'Portefeuille SP2'!C334</f>
        <v>0</v>
      </c>
      <c r="H309" s="382">
        <f>'Portefeuille SP2'!F334</f>
        <v>0</v>
      </c>
      <c r="I309" s="382"/>
      <c r="J309" s="382">
        <f>'Portefeuille SP2'!D334</f>
        <v>0</v>
      </c>
      <c r="K309" s="385">
        <f>'Portefeuille SP2'!H334</f>
        <v>0</v>
      </c>
      <c r="L309" s="157">
        <f>'Portefeuille SP2'!U334</f>
        <v>0</v>
      </c>
      <c r="M309" s="386"/>
      <c r="N309" s="386"/>
      <c r="O309" s="386"/>
      <c r="P309" s="387">
        <f>'Portefeuille SP2'!M334</f>
        <v>0</v>
      </c>
      <c r="Q309" s="387"/>
      <c r="R309" s="387">
        <f>'Portefeuille SP2'!N334</f>
        <v>0</v>
      </c>
      <c r="S309" s="387"/>
      <c r="T309" s="382">
        <f>'Portefeuille SP2'!R334</f>
        <v>0</v>
      </c>
      <c r="U309" s="387">
        <f>'Portefeuille SP2'!K334</f>
        <v>0</v>
      </c>
      <c r="V309" s="399">
        <f>'Portefeuille SP2'!S334</f>
        <v>0</v>
      </c>
      <c r="W309" s="387"/>
      <c r="X309" s="387"/>
      <c r="Y309" s="387"/>
      <c r="Z309" s="387"/>
      <c r="AA309" s="387"/>
      <c r="AB309" s="387"/>
      <c r="AC309" s="387"/>
      <c r="AD309" s="387"/>
      <c r="AE309" s="400">
        <f>'Portefeuille SP2'!J334</f>
        <v>0</v>
      </c>
      <c r="AF309" s="387"/>
      <c r="AG309" s="387"/>
      <c r="AH309" s="389"/>
      <c r="AI309" s="389"/>
      <c r="AJ309" s="403">
        <f>'Portefeuille SP2'!V334</f>
        <v>0</v>
      </c>
      <c r="AK309" s="403">
        <f>'Portefeuille SP2'!W334</f>
        <v>0</v>
      </c>
      <c r="AL309" s="403">
        <f>'Portefeuille SP2'!X334</f>
        <v>0</v>
      </c>
      <c r="AM309" s="403">
        <f>'Portefeuille SP2'!Y334</f>
        <v>0</v>
      </c>
      <c r="AN309" s="403">
        <f>'Portefeuille SP2'!Z334</f>
        <v>0</v>
      </c>
      <c r="AO309" s="403">
        <f>'Portefeuille SP2'!AA334</f>
        <v>0</v>
      </c>
      <c r="AP309" s="403">
        <f>'Portefeuille SP2'!AB334</f>
        <v>0</v>
      </c>
      <c r="AQ309" s="403">
        <f>'Portefeuille SP2'!AC334</f>
        <v>0</v>
      </c>
      <c r="AR309" s="403">
        <f>'Portefeuille SP2'!AD334</f>
        <v>0</v>
      </c>
      <c r="AS309" s="403">
        <f>'Portefeuille SP2'!AE334</f>
        <v>0</v>
      </c>
      <c r="AT309" s="403">
        <f>'Portefeuille SP2'!AF334</f>
        <v>0</v>
      </c>
      <c r="AU309" s="403">
        <f>'Portefeuille SP2'!AG334</f>
        <v>0</v>
      </c>
      <c r="AV309" s="403">
        <f>'Portefeuille SP2'!AH334</f>
        <v>0</v>
      </c>
      <c r="AW309" s="403">
        <f>'Portefeuille SP2'!AI334</f>
        <v>0</v>
      </c>
      <c r="AX309" s="403">
        <f>'Portefeuille SP2'!AJ334</f>
        <v>0</v>
      </c>
      <c r="AY309" s="403">
        <f>'Portefeuille SP2'!AK334</f>
        <v>0</v>
      </c>
      <c r="AZ309" s="403">
        <f>'Portefeuille SP2'!AL334</f>
        <v>0</v>
      </c>
      <c r="BA309" s="403">
        <f>'Portefeuille SP2'!AM334</f>
        <v>0</v>
      </c>
      <c r="BB309" s="403">
        <f>'Portefeuille SP2'!AN334</f>
        <v>0</v>
      </c>
      <c r="BC309" s="403">
        <f>'Portefeuille SP2'!AO334</f>
        <v>0</v>
      </c>
      <c r="BD309" s="403">
        <f>'Portefeuille SP2'!AP334</f>
        <v>0</v>
      </c>
      <c r="BE309" s="403">
        <f>'Portefeuille SP2'!AQ334</f>
        <v>0</v>
      </c>
      <c r="BF309" s="403">
        <f>'Portefeuille SP2'!AR334</f>
        <v>0</v>
      </c>
      <c r="BG309" s="403" t="e">
        <f>'Portefeuille SP2'!#REF!</f>
        <v>#REF!</v>
      </c>
      <c r="BH309" s="403" t="e">
        <f>'Portefeuille SP2'!#REF!</f>
        <v>#REF!</v>
      </c>
      <c r="BI309" s="403" t="e">
        <f>'Portefeuille SP2'!#REF!</f>
        <v>#REF!</v>
      </c>
      <c r="BJ309" s="403" t="e">
        <f>'Portefeuille SP2'!#REF!</f>
        <v>#REF!</v>
      </c>
      <c r="BK309" s="403" t="e">
        <f>'Portefeuille SP2'!#REF!</f>
        <v>#REF!</v>
      </c>
      <c r="BL309" s="388"/>
      <c r="BM309" s="404">
        <f>'Portefeuille SP2'!L334</f>
        <v>0</v>
      </c>
    </row>
    <row r="310" spans="1:65" ht="15" customHeight="1">
      <c r="A310" s="383">
        <f>'Portefeuille SP2'!B335</f>
        <v>0</v>
      </c>
      <c r="B310" s="390">
        <f>'Portefeuille SP2'!Q335</f>
        <v>0</v>
      </c>
      <c r="C310" s="384"/>
      <c r="D310" s="382">
        <f>'Portefeuille SP2'!E335</f>
        <v>0</v>
      </c>
      <c r="E310" s="382" t="str">
        <f t="shared" si="29"/>
        <v>0</v>
      </c>
      <c r="F310" s="382" t="str">
        <f t="shared" si="30"/>
        <v/>
      </c>
      <c r="G310" s="382">
        <f>'Portefeuille SP2'!C335</f>
        <v>0</v>
      </c>
      <c r="H310" s="382">
        <f>'Portefeuille SP2'!F335</f>
        <v>0</v>
      </c>
      <c r="I310" s="382"/>
      <c r="J310" s="382">
        <f>'Portefeuille SP2'!D335</f>
        <v>0</v>
      </c>
      <c r="K310" s="385">
        <f>'Portefeuille SP2'!H335</f>
        <v>0</v>
      </c>
      <c r="L310" s="157">
        <f>'Portefeuille SP2'!U335</f>
        <v>0</v>
      </c>
      <c r="M310" s="386"/>
      <c r="N310" s="386"/>
      <c r="O310" s="386"/>
      <c r="P310" s="387">
        <f>'Portefeuille SP2'!M335</f>
        <v>0</v>
      </c>
      <c r="Q310" s="387"/>
      <c r="R310" s="387">
        <f>'Portefeuille SP2'!N335</f>
        <v>0</v>
      </c>
      <c r="S310" s="387"/>
      <c r="T310" s="382">
        <f>'Portefeuille SP2'!R335</f>
        <v>0</v>
      </c>
      <c r="U310" s="387">
        <f>'Portefeuille SP2'!K335</f>
        <v>0</v>
      </c>
      <c r="V310" s="399">
        <f>'Portefeuille SP2'!S335</f>
        <v>0</v>
      </c>
      <c r="W310" s="387"/>
      <c r="X310" s="387"/>
      <c r="Y310" s="387"/>
      <c r="Z310" s="387"/>
      <c r="AA310" s="387"/>
      <c r="AB310" s="387"/>
      <c r="AC310" s="387"/>
      <c r="AD310" s="387"/>
      <c r="AE310" s="400">
        <f>'Portefeuille SP2'!J335</f>
        <v>0</v>
      </c>
      <c r="AF310" s="387"/>
      <c r="AG310" s="387"/>
      <c r="AH310" s="389"/>
      <c r="AI310" s="389"/>
      <c r="AJ310" s="403">
        <f>'Portefeuille SP2'!V335</f>
        <v>0</v>
      </c>
      <c r="AK310" s="403">
        <f>'Portefeuille SP2'!W335</f>
        <v>0</v>
      </c>
      <c r="AL310" s="403">
        <f>'Portefeuille SP2'!X335</f>
        <v>0</v>
      </c>
      <c r="AM310" s="403">
        <f>'Portefeuille SP2'!Y335</f>
        <v>0</v>
      </c>
      <c r="AN310" s="403">
        <f>'Portefeuille SP2'!Z335</f>
        <v>0</v>
      </c>
      <c r="AO310" s="403">
        <f>'Portefeuille SP2'!AA335</f>
        <v>0</v>
      </c>
      <c r="AP310" s="403">
        <f>'Portefeuille SP2'!AB335</f>
        <v>0</v>
      </c>
      <c r="AQ310" s="403">
        <f>'Portefeuille SP2'!AC335</f>
        <v>0</v>
      </c>
      <c r="AR310" s="403">
        <f>'Portefeuille SP2'!AD335</f>
        <v>0</v>
      </c>
      <c r="AS310" s="403">
        <f>'Portefeuille SP2'!AE335</f>
        <v>0</v>
      </c>
      <c r="AT310" s="403">
        <f>'Portefeuille SP2'!AF335</f>
        <v>0</v>
      </c>
      <c r="AU310" s="403">
        <f>'Portefeuille SP2'!AG335</f>
        <v>0</v>
      </c>
      <c r="AV310" s="403">
        <f>'Portefeuille SP2'!AH335</f>
        <v>0</v>
      </c>
      <c r="AW310" s="403">
        <f>'Portefeuille SP2'!AI335</f>
        <v>0</v>
      </c>
      <c r="AX310" s="403">
        <f>'Portefeuille SP2'!AJ335</f>
        <v>0</v>
      </c>
      <c r="AY310" s="403">
        <f>'Portefeuille SP2'!AK335</f>
        <v>0</v>
      </c>
      <c r="AZ310" s="403">
        <f>'Portefeuille SP2'!AL335</f>
        <v>0</v>
      </c>
      <c r="BA310" s="403">
        <f>'Portefeuille SP2'!AM335</f>
        <v>0</v>
      </c>
      <c r="BB310" s="403">
        <f>'Portefeuille SP2'!AN335</f>
        <v>0</v>
      </c>
      <c r="BC310" s="403">
        <f>'Portefeuille SP2'!AO335</f>
        <v>0</v>
      </c>
      <c r="BD310" s="403">
        <f>'Portefeuille SP2'!AP335</f>
        <v>0</v>
      </c>
      <c r="BE310" s="403">
        <f>'Portefeuille SP2'!AQ335</f>
        <v>0</v>
      </c>
      <c r="BF310" s="403">
        <f>'Portefeuille SP2'!AR335</f>
        <v>0</v>
      </c>
      <c r="BG310" s="403" t="e">
        <f>'Portefeuille SP2'!#REF!</f>
        <v>#REF!</v>
      </c>
      <c r="BH310" s="403" t="e">
        <f>'Portefeuille SP2'!#REF!</f>
        <v>#REF!</v>
      </c>
      <c r="BI310" s="403" t="e">
        <f>'Portefeuille SP2'!#REF!</f>
        <v>#REF!</v>
      </c>
      <c r="BJ310" s="403" t="e">
        <f>'Portefeuille SP2'!#REF!</f>
        <v>#REF!</v>
      </c>
      <c r="BK310" s="403" t="e">
        <f>'Portefeuille SP2'!#REF!</f>
        <v>#REF!</v>
      </c>
      <c r="BL310" s="388"/>
      <c r="BM310" s="404">
        <f>'Portefeuille SP2'!L335</f>
        <v>0</v>
      </c>
    </row>
    <row r="311" spans="1:65" ht="15" customHeight="1">
      <c r="A311" s="383">
        <f>'Portefeuille SP2'!B336</f>
        <v>0</v>
      </c>
      <c r="B311" s="390">
        <f>'Portefeuille SP2'!Q336</f>
        <v>0</v>
      </c>
      <c r="C311" s="384"/>
      <c r="D311" s="382">
        <f>'Portefeuille SP2'!E336</f>
        <v>0</v>
      </c>
      <c r="E311" s="382" t="str">
        <f t="shared" si="29"/>
        <v>0</v>
      </c>
      <c r="F311" s="382" t="str">
        <f t="shared" si="30"/>
        <v/>
      </c>
      <c r="G311" s="382">
        <f>'Portefeuille SP2'!C336</f>
        <v>0</v>
      </c>
      <c r="H311" s="382">
        <f>'Portefeuille SP2'!F336</f>
        <v>0</v>
      </c>
      <c r="I311" s="382"/>
      <c r="J311" s="382">
        <f>'Portefeuille SP2'!D336</f>
        <v>0</v>
      </c>
      <c r="K311" s="385">
        <f>'Portefeuille SP2'!H336</f>
        <v>0</v>
      </c>
      <c r="L311" s="157">
        <f>'Portefeuille SP2'!U336</f>
        <v>0</v>
      </c>
      <c r="M311" s="386"/>
      <c r="N311" s="386"/>
      <c r="O311" s="386"/>
      <c r="P311" s="387">
        <f>'Portefeuille SP2'!M336</f>
        <v>0</v>
      </c>
      <c r="Q311" s="387"/>
      <c r="R311" s="387">
        <f>'Portefeuille SP2'!N336</f>
        <v>0</v>
      </c>
      <c r="S311" s="387"/>
      <c r="T311" s="382">
        <f>'Portefeuille SP2'!R336</f>
        <v>0</v>
      </c>
      <c r="U311" s="387">
        <f>'Portefeuille SP2'!K336</f>
        <v>0</v>
      </c>
      <c r="V311" s="399">
        <f>'Portefeuille SP2'!S336</f>
        <v>0</v>
      </c>
      <c r="W311" s="387"/>
      <c r="X311" s="387"/>
      <c r="Y311" s="387"/>
      <c r="Z311" s="387"/>
      <c r="AA311" s="387"/>
      <c r="AB311" s="387"/>
      <c r="AC311" s="387"/>
      <c r="AD311" s="387"/>
      <c r="AE311" s="400">
        <f>'Portefeuille SP2'!J336</f>
        <v>0</v>
      </c>
      <c r="AF311" s="387"/>
      <c r="AG311" s="387"/>
      <c r="AH311" s="389"/>
      <c r="AI311" s="389"/>
      <c r="AJ311" s="403">
        <f>'Portefeuille SP2'!V336</f>
        <v>0</v>
      </c>
      <c r="AK311" s="403">
        <f>'Portefeuille SP2'!W336</f>
        <v>0</v>
      </c>
      <c r="AL311" s="403">
        <f>'Portefeuille SP2'!X336</f>
        <v>0</v>
      </c>
      <c r="AM311" s="403">
        <f>'Portefeuille SP2'!Y336</f>
        <v>0</v>
      </c>
      <c r="AN311" s="403">
        <f>'Portefeuille SP2'!Z336</f>
        <v>0</v>
      </c>
      <c r="AO311" s="403">
        <f>'Portefeuille SP2'!AA336</f>
        <v>0</v>
      </c>
      <c r="AP311" s="403">
        <f>'Portefeuille SP2'!AB336</f>
        <v>0</v>
      </c>
      <c r="AQ311" s="403">
        <f>'Portefeuille SP2'!AC336</f>
        <v>0</v>
      </c>
      <c r="AR311" s="403">
        <f>'Portefeuille SP2'!AD336</f>
        <v>0</v>
      </c>
      <c r="AS311" s="403">
        <f>'Portefeuille SP2'!AE336</f>
        <v>0</v>
      </c>
      <c r="AT311" s="403">
        <f>'Portefeuille SP2'!AF336</f>
        <v>0</v>
      </c>
      <c r="AU311" s="403">
        <f>'Portefeuille SP2'!AG336</f>
        <v>0</v>
      </c>
      <c r="AV311" s="403">
        <f>'Portefeuille SP2'!AH336</f>
        <v>0</v>
      </c>
      <c r="AW311" s="403">
        <f>'Portefeuille SP2'!AI336</f>
        <v>0</v>
      </c>
      <c r="AX311" s="403">
        <f>'Portefeuille SP2'!AJ336</f>
        <v>0</v>
      </c>
      <c r="AY311" s="403">
        <f>'Portefeuille SP2'!AK336</f>
        <v>0</v>
      </c>
      <c r="AZ311" s="403">
        <f>'Portefeuille SP2'!AL336</f>
        <v>0</v>
      </c>
      <c r="BA311" s="403">
        <f>'Portefeuille SP2'!AM336</f>
        <v>0</v>
      </c>
      <c r="BB311" s="403">
        <f>'Portefeuille SP2'!AN336</f>
        <v>0</v>
      </c>
      <c r="BC311" s="403">
        <f>'Portefeuille SP2'!AO336</f>
        <v>0</v>
      </c>
      <c r="BD311" s="403">
        <f>'Portefeuille SP2'!AP336</f>
        <v>0</v>
      </c>
      <c r="BE311" s="403">
        <f>'Portefeuille SP2'!AQ336</f>
        <v>0</v>
      </c>
      <c r="BF311" s="403">
        <f>'Portefeuille SP2'!AR336</f>
        <v>0</v>
      </c>
      <c r="BG311" s="403" t="e">
        <f>'Portefeuille SP2'!#REF!</f>
        <v>#REF!</v>
      </c>
      <c r="BH311" s="403" t="e">
        <f>'Portefeuille SP2'!#REF!</f>
        <v>#REF!</v>
      </c>
      <c r="BI311" s="403" t="e">
        <f>'Portefeuille SP2'!#REF!</f>
        <v>#REF!</v>
      </c>
      <c r="BJ311" s="403" t="e">
        <f>'Portefeuille SP2'!#REF!</f>
        <v>#REF!</v>
      </c>
      <c r="BK311" s="403" t="e">
        <f>'Portefeuille SP2'!#REF!</f>
        <v>#REF!</v>
      </c>
      <c r="BL311" s="388"/>
      <c r="BM311" s="404">
        <f>'Portefeuille SP2'!L336</f>
        <v>0</v>
      </c>
    </row>
    <row r="312" spans="1:65" ht="15" customHeight="1">
      <c r="A312" s="383">
        <f>'Portefeuille SP2'!B337</f>
        <v>0</v>
      </c>
      <c r="B312" s="390">
        <f>'Portefeuille SP2'!Q337</f>
        <v>0</v>
      </c>
      <c r="C312" s="384"/>
      <c r="D312" s="382">
        <f>'Portefeuille SP2'!E337</f>
        <v>0</v>
      </c>
      <c r="E312" s="382" t="str">
        <f t="shared" si="29"/>
        <v>0</v>
      </c>
      <c r="F312" s="382" t="str">
        <f t="shared" si="30"/>
        <v/>
      </c>
      <c r="G312" s="382">
        <f>'Portefeuille SP2'!C337</f>
        <v>0</v>
      </c>
      <c r="H312" s="382">
        <f>'Portefeuille SP2'!F337</f>
        <v>0</v>
      </c>
      <c r="I312" s="382"/>
      <c r="J312" s="382">
        <f>'Portefeuille SP2'!D337</f>
        <v>0</v>
      </c>
      <c r="K312" s="385">
        <f>'Portefeuille SP2'!H337</f>
        <v>0</v>
      </c>
      <c r="L312" s="157">
        <f>'Portefeuille SP2'!U337</f>
        <v>0</v>
      </c>
      <c r="M312" s="386"/>
      <c r="N312" s="386"/>
      <c r="O312" s="386"/>
      <c r="P312" s="387">
        <f>'Portefeuille SP2'!M337</f>
        <v>0</v>
      </c>
      <c r="Q312" s="387"/>
      <c r="R312" s="387">
        <f>'Portefeuille SP2'!N337</f>
        <v>0</v>
      </c>
      <c r="S312" s="387"/>
      <c r="T312" s="382">
        <f>'Portefeuille SP2'!R337</f>
        <v>0</v>
      </c>
      <c r="U312" s="387">
        <f>'Portefeuille SP2'!K337</f>
        <v>0</v>
      </c>
      <c r="V312" s="399">
        <f>'Portefeuille SP2'!S337</f>
        <v>0</v>
      </c>
      <c r="W312" s="387"/>
      <c r="X312" s="387"/>
      <c r="Y312" s="387"/>
      <c r="Z312" s="387"/>
      <c r="AA312" s="387"/>
      <c r="AB312" s="387"/>
      <c r="AC312" s="387"/>
      <c r="AD312" s="387"/>
      <c r="AE312" s="400">
        <f>'Portefeuille SP2'!J337</f>
        <v>0</v>
      </c>
      <c r="AF312" s="387"/>
      <c r="AG312" s="387"/>
      <c r="AH312" s="389"/>
      <c r="AI312" s="389"/>
      <c r="AJ312" s="403">
        <f>'Portefeuille SP2'!V337</f>
        <v>0</v>
      </c>
      <c r="AK312" s="403">
        <f>'Portefeuille SP2'!W337</f>
        <v>0</v>
      </c>
      <c r="AL312" s="403">
        <f>'Portefeuille SP2'!X337</f>
        <v>0</v>
      </c>
      <c r="AM312" s="403">
        <f>'Portefeuille SP2'!Y337</f>
        <v>0</v>
      </c>
      <c r="AN312" s="403">
        <f>'Portefeuille SP2'!Z337</f>
        <v>0</v>
      </c>
      <c r="AO312" s="403">
        <f>'Portefeuille SP2'!AA337</f>
        <v>0</v>
      </c>
      <c r="AP312" s="403">
        <f>'Portefeuille SP2'!AB337</f>
        <v>0</v>
      </c>
      <c r="AQ312" s="403">
        <f>'Portefeuille SP2'!AC337</f>
        <v>0</v>
      </c>
      <c r="AR312" s="403">
        <f>'Portefeuille SP2'!AD337</f>
        <v>0</v>
      </c>
      <c r="AS312" s="403">
        <f>'Portefeuille SP2'!AE337</f>
        <v>0</v>
      </c>
      <c r="AT312" s="403">
        <f>'Portefeuille SP2'!AF337</f>
        <v>0</v>
      </c>
      <c r="AU312" s="403">
        <f>'Portefeuille SP2'!AG337</f>
        <v>0</v>
      </c>
      <c r="AV312" s="403">
        <f>'Portefeuille SP2'!AH337</f>
        <v>0</v>
      </c>
      <c r="AW312" s="403">
        <f>'Portefeuille SP2'!AI337</f>
        <v>0</v>
      </c>
      <c r="AX312" s="403">
        <f>'Portefeuille SP2'!AJ337</f>
        <v>0</v>
      </c>
      <c r="AY312" s="403">
        <f>'Portefeuille SP2'!AK337</f>
        <v>0</v>
      </c>
      <c r="AZ312" s="403">
        <f>'Portefeuille SP2'!AL337</f>
        <v>0</v>
      </c>
      <c r="BA312" s="403">
        <f>'Portefeuille SP2'!AM337</f>
        <v>0</v>
      </c>
      <c r="BB312" s="403">
        <f>'Portefeuille SP2'!AN337</f>
        <v>0</v>
      </c>
      <c r="BC312" s="403">
        <f>'Portefeuille SP2'!AO337</f>
        <v>0</v>
      </c>
      <c r="BD312" s="403">
        <f>'Portefeuille SP2'!AP337</f>
        <v>0</v>
      </c>
      <c r="BE312" s="403">
        <f>'Portefeuille SP2'!AQ337</f>
        <v>0</v>
      </c>
      <c r="BF312" s="403">
        <f>'Portefeuille SP2'!AR337</f>
        <v>0</v>
      </c>
      <c r="BG312" s="403" t="e">
        <f>'Portefeuille SP2'!#REF!</f>
        <v>#REF!</v>
      </c>
      <c r="BH312" s="403" t="e">
        <f>'Portefeuille SP2'!#REF!</f>
        <v>#REF!</v>
      </c>
      <c r="BI312" s="403" t="e">
        <f>'Portefeuille SP2'!#REF!</f>
        <v>#REF!</v>
      </c>
      <c r="BJ312" s="403" t="e">
        <f>'Portefeuille SP2'!#REF!</f>
        <v>#REF!</v>
      </c>
      <c r="BK312" s="403" t="e">
        <f>'Portefeuille SP2'!#REF!</f>
        <v>#REF!</v>
      </c>
      <c r="BL312" s="388"/>
      <c r="BM312" s="404">
        <f>'Portefeuille SP2'!L337</f>
        <v>0</v>
      </c>
    </row>
    <row r="313" spans="1:65" ht="15" customHeight="1">
      <c r="A313" s="383">
        <f>'Portefeuille SP2'!B338</f>
        <v>0</v>
      </c>
      <c r="B313" s="390">
        <f>'Portefeuille SP2'!Q338</f>
        <v>0</v>
      </c>
      <c r="C313" s="384"/>
      <c r="D313" s="382">
        <f>'Portefeuille SP2'!E338</f>
        <v>0</v>
      </c>
      <c r="E313" s="382" t="str">
        <f t="shared" si="29"/>
        <v>0</v>
      </c>
      <c r="F313" s="382" t="str">
        <f t="shared" si="30"/>
        <v/>
      </c>
      <c r="G313" s="382">
        <f>'Portefeuille SP2'!C338</f>
        <v>0</v>
      </c>
      <c r="H313" s="382">
        <f>'Portefeuille SP2'!F338</f>
        <v>0</v>
      </c>
      <c r="I313" s="382"/>
      <c r="J313" s="382">
        <f>'Portefeuille SP2'!D338</f>
        <v>0</v>
      </c>
      <c r="K313" s="385">
        <f>'Portefeuille SP2'!H338</f>
        <v>0</v>
      </c>
      <c r="L313" s="157">
        <f>'Portefeuille SP2'!U338</f>
        <v>0</v>
      </c>
      <c r="M313" s="386"/>
      <c r="N313" s="386"/>
      <c r="O313" s="386"/>
      <c r="P313" s="387">
        <f>'Portefeuille SP2'!M338</f>
        <v>0</v>
      </c>
      <c r="Q313" s="387"/>
      <c r="R313" s="387">
        <f>'Portefeuille SP2'!N338</f>
        <v>0</v>
      </c>
      <c r="S313" s="387"/>
      <c r="T313" s="382">
        <f>'Portefeuille SP2'!R338</f>
        <v>0</v>
      </c>
      <c r="U313" s="387">
        <f>'Portefeuille SP2'!K338</f>
        <v>0</v>
      </c>
      <c r="V313" s="399">
        <f>'Portefeuille SP2'!S338</f>
        <v>0</v>
      </c>
      <c r="W313" s="387"/>
      <c r="X313" s="387"/>
      <c r="Y313" s="387"/>
      <c r="Z313" s="387"/>
      <c r="AA313" s="387"/>
      <c r="AB313" s="387"/>
      <c r="AC313" s="387"/>
      <c r="AD313" s="387"/>
      <c r="AE313" s="400">
        <f>'Portefeuille SP2'!J338</f>
        <v>0</v>
      </c>
      <c r="AF313" s="387"/>
      <c r="AG313" s="387"/>
      <c r="AH313" s="389"/>
      <c r="AI313" s="389"/>
      <c r="AJ313" s="403">
        <f>'Portefeuille SP2'!V338</f>
        <v>0</v>
      </c>
      <c r="AK313" s="403">
        <f>'Portefeuille SP2'!W338</f>
        <v>0</v>
      </c>
      <c r="AL313" s="403">
        <f>'Portefeuille SP2'!X338</f>
        <v>0</v>
      </c>
      <c r="AM313" s="403">
        <f>'Portefeuille SP2'!Y338</f>
        <v>0</v>
      </c>
      <c r="AN313" s="403">
        <f>'Portefeuille SP2'!Z338</f>
        <v>0</v>
      </c>
      <c r="AO313" s="403">
        <f>'Portefeuille SP2'!AA338</f>
        <v>0</v>
      </c>
      <c r="AP313" s="403">
        <f>'Portefeuille SP2'!AB338</f>
        <v>0</v>
      </c>
      <c r="AQ313" s="403">
        <f>'Portefeuille SP2'!AC338</f>
        <v>0</v>
      </c>
      <c r="AR313" s="403">
        <f>'Portefeuille SP2'!AD338</f>
        <v>0</v>
      </c>
      <c r="AS313" s="403">
        <f>'Portefeuille SP2'!AE338</f>
        <v>0</v>
      </c>
      <c r="AT313" s="403">
        <f>'Portefeuille SP2'!AF338</f>
        <v>0</v>
      </c>
      <c r="AU313" s="403">
        <f>'Portefeuille SP2'!AG338</f>
        <v>0</v>
      </c>
      <c r="AV313" s="403">
        <f>'Portefeuille SP2'!AH338</f>
        <v>0</v>
      </c>
      <c r="AW313" s="403">
        <f>'Portefeuille SP2'!AI338</f>
        <v>0</v>
      </c>
      <c r="AX313" s="403">
        <f>'Portefeuille SP2'!AJ338</f>
        <v>0</v>
      </c>
      <c r="AY313" s="403">
        <f>'Portefeuille SP2'!AK338</f>
        <v>0</v>
      </c>
      <c r="AZ313" s="403">
        <f>'Portefeuille SP2'!AL338</f>
        <v>0</v>
      </c>
      <c r="BA313" s="403">
        <f>'Portefeuille SP2'!AM338</f>
        <v>0</v>
      </c>
      <c r="BB313" s="403">
        <f>'Portefeuille SP2'!AN338</f>
        <v>0</v>
      </c>
      <c r="BC313" s="403">
        <f>'Portefeuille SP2'!AO338</f>
        <v>0</v>
      </c>
      <c r="BD313" s="403">
        <f>'Portefeuille SP2'!AP338</f>
        <v>0</v>
      </c>
      <c r="BE313" s="403">
        <f>'Portefeuille SP2'!AQ338</f>
        <v>0</v>
      </c>
      <c r="BF313" s="403">
        <f>'Portefeuille SP2'!AR338</f>
        <v>0</v>
      </c>
      <c r="BG313" s="403" t="e">
        <f>'Portefeuille SP2'!#REF!</f>
        <v>#REF!</v>
      </c>
      <c r="BH313" s="403" t="e">
        <f>'Portefeuille SP2'!#REF!</f>
        <v>#REF!</v>
      </c>
      <c r="BI313" s="403" t="e">
        <f>'Portefeuille SP2'!#REF!</f>
        <v>#REF!</v>
      </c>
      <c r="BJ313" s="403" t="e">
        <f>'Portefeuille SP2'!#REF!</f>
        <v>#REF!</v>
      </c>
      <c r="BK313" s="403" t="e">
        <f>'Portefeuille SP2'!#REF!</f>
        <v>#REF!</v>
      </c>
      <c r="BL313" s="388"/>
      <c r="BM313" s="404">
        <f>'Portefeuille SP2'!L338</f>
        <v>0</v>
      </c>
    </row>
    <row r="314" spans="1:65" ht="15" customHeight="1">
      <c r="A314" s="383">
        <f>'Portefeuille SP2'!B339</f>
        <v>0</v>
      </c>
      <c r="B314" s="390">
        <f>'Portefeuille SP2'!Q339</f>
        <v>0</v>
      </c>
      <c r="C314" s="384"/>
      <c r="D314" s="382">
        <f>'Portefeuille SP2'!E339</f>
        <v>0</v>
      </c>
      <c r="E314" s="382" t="str">
        <f t="shared" si="29"/>
        <v>0</v>
      </c>
      <c r="F314" s="382" t="str">
        <f t="shared" si="30"/>
        <v/>
      </c>
      <c r="G314" s="382">
        <f>'Portefeuille SP2'!C339</f>
        <v>0</v>
      </c>
      <c r="H314" s="382">
        <f>'Portefeuille SP2'!F339</f>
        <v>0</v>
      </c>
      <c r="I314" s="382"/>
      <c r="J314" s="382">
        <f>'Portefeuille SP2'!D339</f>
        <v>0</v>
      </c>
      <c r="K314" s="385">
        <f>'Portefeuille SP2'!H339</f>
        <v>0</v>
      </c>
      <c r="L314" s="157">
        <f>'Portefeuille SP2'!U339</f>
        <v>0</v>
      </c>
      <c r="M314" s="386"/>
      <c r="N314" s="386"/>
      <c r="O314" s="386"/>
      <c r="P314" s="387">
        <f>'Portefeuille SP2'!M339</f>
        <v>0</v>
      </c>
      <c r="Q314" s="387"/>
      <c r="R314" s="387">
        <f>'Portefeuille SP2'!N339</f>
        <v>0</v>
      </c>
      <c r="S314" s="387"/>
      <c r="T314" s="382">
        <f>'Portefeuille SP2'!R339</f>
        <v>0</v>
      </c>
      <c r="U314" s="387">
        <f>'Portefeuille SP2'!K339</f>
        <v>0</v>
      </c>
      <c r="V314" s="399">
        <f>'Portefeuille SP2'!S339</f>
        <v>0</v>
      </c>
      <c r="W314" s="387"/>
      <c r="X314" s="387"/>
      <c r="Y314" s="387"/>
      <c r="Z314" s="387"/>
      <c r="AA314" s="387"/>
      <c r="AB314" s="387"/>
      <c r="AC314" s="387"/>
      <c r="AD314" s="387"/>
      <c r="AE314" s="400">
        <f>'Portefeuille SP2'!J339</f>
        <v>0</v>
      </c>
      <c r="AF314" s="387"/>
      <c r="AG314" s="387"/>
      <c r="AH314" s="389"/>
      <c r="AI314" s="389"/>
      <c r="AJ314" s="403">
        <f>'Portefeuille SP2'!V339</f>
        <v>0</v>
      </c>
      <c r="AK314" s="403">
        <f>'Portefeuille SP2'!W339</f>
        <v>0</v>
      </c>
      <c r="AL314" s="403">
        <f>'Portefeuille SP2'!X339</f>
        <v>0</v>
      </c>
      <c r="AM314" s="403">
        <f>'Portefeuille SP2'!Y339</f>
        <v>0</v>
      </c>
      <c r="AN314" s="403">
        <f>'Portefeuille SP2'!Z339</f>
        <v>0</v>
      </c>
      <c r="AO314" s="403">
        <f>'Portefeuille SP2'!AA339</f>
        <v>0</v>
      </c>
      <c r="AP314" s="403">
        <f>'Portefeuille SP2'!AB339</f>
        <v>0</v>
      </c>
      <c r="AQ314" s="403">
        <f>'Portefeuille SP2'!AC339</f>
        <v>0</v>
      </c>
      <c r="AR314" s="403">
        <f>'Portefeuille SP2'!AD339</f>
        <v>0</v>
      </c>
      <c r="AS314" s="403">
        <f>'Portefeuille SP2'!AE339</f>
        <v>0</v>
      </c>
      <c r="AT314" s="403">
        <f>'Portefeuille SP2'!AF339</f>
        <v>0</v>
      </c>
      <c r="AU314" s="403">
        <f>'Portefeuille SP2'!AG339</f>
        <v>0</v>
      </c>
      <c r="AV314" s="403">
        <f>'Portefeuille SP2'!AH339</f>
        <v>0</v>
      </c>
      <c r="AW314" s="403">
        <f>'Portefeuille SP2'!AI339</f>
        <v>0</v>
      </c>
      <c r="AX314" s="403">
        <f>'Portefeuille SP2'!AJ339</f>
        <v>0</v>
      </c>
      <c r="AY314" s="403">
        <f>'Portefeuille SP2'!AK339</f>
        <v>0</v>
      </c>
      <c r="AZ314" s="403">
        <f>'Portefeuille SP2'!AL339</f>
        <v>0</v>
      </c>
      <c r="BA314" s="403">
        <f>'Portefeuille SP2'!AM339</f>
        <v>0</v>
      </c>
      <c r="BB314" s="403">
        <f>'Portefeuille SP2'!AN339</f>
        <v>0</v>
      </c>
      <c r="BC314" s="403">
        <f>'Portefeuille SP2'!AO339</f>
        <v>0</v>
      </c>
      <c r="BD314" s="403">
        <f>'Portefeuille SP2'!AP339</f>
        <v>0</v>
      </c>
      <c r="BE314" s="403">
        <f>'Portefeuille SP2'!AQ339</f>
        <v>0</v>
      </c>
      <c r="BF314" s="403">
        <f>'Portefeuille SP2'!AR339</f>
        <v>0</v>
      </c>
      <c r="BG314" s="403" t="e">
        <f>'Portefeuille SP2'!#REF!</f>
        <v>#REF!</v>
      </c>
      <c r="BH314" s="403" t="e">
        <f>'Portefeuille SP2'!#REF!</f>
        <v>#REF!</v>
      </c>
      <c r="BI314" s="403" t="e">
        <f>'Portefeuille SP2'!#REF!</f>
        <v>#REF!</v>
      </c>
      <c r="BJ314" s="403" t="e">
        <f>'Portefeuille SP2'!#REF!</f>
        <v>#REF!</v>
      </c>
      <c r="BK314" s="403" t="e">
        <f>'Portefeuille SP2'!#REF!</f>
        <v>#REF!</v>
      </c>
      <c r="BL314" s="388"/>
      <c r="BM314" s="404">
        <f>'Portefeuille SP2'!L339</f>
        <v>0</v>
      </c>
    </row>
    <row r="315" spans="1:65" ht="15" customHeight="1">
      <c r="A315" s="383">
        <f>'Portefeuille SP2'!B340</f>
        <v>0</v>
      </c>
      <c r="B315" s="390">
        <f>'Portefeuille SP2'!Q340</f>
        <v>0</v>
      </c>
      <c r="C315" s="384"/>
      <c r="D315" s="382">
        <f>'Portefeuille SP2'!E340</f>
        <v>0</v>
      </c>
      <c r="E315" s="382" t="str">
        <f t="shared" si="29"/>
        <v>0</v>
      </c>
      <c r="F315" s="382" t="str">
        <f t="shared" si="30"/>
        <v/>
      </c>
      <c r="G315" s="382">
        <f>'Portefeuille SP2'!C340</f>
        <v>0</v>
      </c>
      <c r="H315" s="382">
        <f>'Portefeuille SP2'!F340</f>
        <v>0</v>
      </c>
      <c r="I315" s="382"/>
      <c r="J315" s="382">
        <f>'Portefeuille SP2'!D340</f>
        <v>0</v>
      </c>
      <c r="K315" s="385">
        <f>'Portefeuille SP2'!H340</f>
        <v>0</v>
      </c>
      <c r="L315" s="157">
        <f>'Portefeuille SP2'!U340</f>
        <v>0</v>
      </c>
      <c r="M315" s="386"/>
      <c r="N315" s="386"/>
      <c r="O315" s="386"/>
      <c r="P315" s="387">
        <f>'Portefeuille SP2'!M340</f>
        <v>0</v>
      </c>
      <c r="Q315" s="387"/>
      <c r="R315" s="387">
        <f>'Portefeuille SP2'!N340</f>
        <v>0</v>
      </c>
      <c r="S315" s="387"/>
      <c r="T315" s="382">
        <f>'Portefeuille SP2'!R340</f>
        <v>0</v>
      </c>
      <c r="U315" s="387">
        <f>'Portefeuille SP2'!K340</f>
        <v>0</v>
      </c>
      <c r="V315" s="399">
        <f>'Portefeuille SP2'!S340</f>
        <v>0</v>
      </c>
      <c r="W315" s="387"/>
      <c r="X315" s="387"/>
      <c r="Y315" s="387"/>
      <c r="Z315" s="387"/>
      <c r="AA315" s="387"/>
      <c r="AB315" s="387"/>
      <c r="AC315" s="387"/>
      <c r="AD315" s="387"/>
      <c r="AE315" s="400">
        <f>'Portefeuille SP2'!J340</f>
        <v>0</v>
      </c>
      <c r="AF315" s="387"/>
      <c r="AG315" s="387"/>
      <c r="AH315" s="389"/>
      <c r="AI315" s="389"/>
      <c r="AJ315" s="403">
        <f>'Portefeuille SP2'!V340</f>
        <v>0</v>
      </c>
      <c r="AK315" s="403">
        <f>'Portefeuille SP2'!W340</f>
        <v>0</v>
      </c>
      <c r="AL315" s="403">
        <f>'Portefeuille SP2'!X340</f>
        <v>0</v>
      </c>
      <c r="AM315" s="403">
        <f>'Portefeuille SP2'!Y340</f>
        <v>0</v>
      </c>
      <c r="AN315" s="403">
        <f>'Portefeuille SP2'!Z340</f>
        <v>0</v>
      </c>
      <c r="AO315" s="403">
        <f>'Portefeuille SP2'!AA340</f>
        <v>0</v>
      </c>
      <c r="AP315" s="403">
        <f>'Portefeuille SP2'!AB340</f>
        <v>0</v>
      </c>
      <c r="AQ315" s="403">
        <f>'Portefeuille SP2'!AC340</f>
        <v>0</v>
      </c>
      <c r="AR315" s="403">
        <f>'Portefeuille SP2'!AD340</f>
        <v>0</v>
      </c>
      <c r="AS315" s="403">
        <f>'Portefeuille SP2'!AE340</f>
        <v>0</v>
      </c>
      <c r="AT315" s="403">
        <f>'Portefeuille SP2'!AF340</f>
        <v>0</v>
      </c>
      <c r="AU315" s="403">
        <f>'Portefeuille SP2'!AG340</f>
        <v>0</v>
      </c>
      <c r="AV315" s="403">
        <f>'Portefeuille SP2'!AH340</f>
        <v>0</v>
      </c>
      <c r="AW315" s="403">
        <f>'Portefeuille SP2'!AI340</f>
        <v>0</v>
      </c>
      <c r="AX315" s="403">
        <f>'Portefeuille SP2'!AJ340</f>
        <v>0</v>
      </c>
      <c r="AY315" s="403">
        <f>'Portefeuille SP2'!AK340</f>
        <v>0</v>
      </c>
      <c r="AZ315" s="403">
        <f>'Portefeuille SP2'!AL340</f>
        <v>0</v>
      </c>
      <c r="BA315" s="403">
        <f>'Portefeuille SP2'!AM340</f>
        <v>0</v>
      </c>
      <c r="BB315" s="403">
        <f>'Portefeuille SP2'!AN340</f>
        <v>0</v>
      </c>
      <c r="BC315" s="403">
        <f>'Portefeuille SP2'!AO340</f>
        <v>0</v>
      </c>
      <c r="BD315" s="403">
        <f>'Portefeuille SP2'!AP340</f>
        <v>0</v>
      </c>
      <c r="BE315" s="403">
        <f>'Portefeuille SP2'!AQ340</f>
        <v>0</v>
      </c>
      <c r="BF315" s="403">
        <f>'Portefeuille SP2'!AR340</f>
        <v>0</v>
      </c>
      <c r="BG315" s="403" t="e">
        <f>'Portefeuille SP2'!#REF!</f>
        <v>#REF!</v>
      </c>
      <c r="BH315" s="403" t="e">
        <f>'Portefeuille SP2'!#REF!</f>
        <v>#REF!</v>
      </c>
      <c r="BI315" s="403" t="e">
        <f>'Portefeuille SP2'!#REF!</f>
        <v>#REF!</v>
      </c>
      <c r="BJ315" s="403" t="e">
        <f>'Portefeuille SP2'!#REF!</f>
        <v>#REF!</v>
      </c>
      <c r="BK315" s="403" t="e">
        <f>'Portefeuille SP2'!#REF!</f>
        <v>#REF!</v>
      </c>
      <c r="BL315" s="388"/>
      <c r="BM315" s="404">
        <f>'Portefeuille SP2'!L340</f>
        <v>0</v>
      </c>
    </row>
    <row r="316" spans="1:65" ht="15" customHeight="1">
      <c r="A316" s="383">
        <f>'Portefeuille SP2'!B341</f>
        <v>0</v>
      </c>
      <c r="B316" s="390">
        <f>'Portefeuille SP2'!Q341</f>
        <v>0</v>
      </c>
      <c r="C316" s="384"/>
      <c r="D316" s="382">
        <f>'Portefeuille SP2'!E341</f>
        <v>0</v>
      </c>
      <c r="E316" s="382" t="str">
        <f t="shared" si="29"/>
        <v>0</v>
      </c>
      <c r="F316" s="382" t="str">
        <f t="shared" si="30"/>
        <v/>
      </c>
      <c r="G316" s="382">
        <f>'Portefeuille SP2'!C341</f>
        <v>0</v>
      </c>
      <c r="H316" s="382">
        <f>'Portefeuille SP2'!F341</f>
        <v>0</v>
      </c>
      <c r="I316" s="382"/>
      <c r="J316" s="382">
        <f>'Portefeuille SP2'!D341</f>
        <v>0</v>
      </c>
      <c r="K316" s="385">
        <f>'Portefeuille SP2'!H341</f>
        <v>0</v>
      </c>
      <c r="L316" s="157">
        <f>'Portefeuille SP2'!U341</f>
        <v>0</v>
      </c>
      <c r="M316" s="386"/>
      <c r="N316" s="386"/>
      <c r="O316" s="386"/>
      <c r="P316" s="387">
        <f>'Portefeuille SP2'!M341</f>
        <v>0</v>
      </c>
      <c r="Q316" s="387"/>
      <c r="R316" s="387">
        <f>'Portefeuille SP2'!N341</f>
        <v>0</v>
      </c>
      <c r="S316" s="387"/>
      <c r="T316" s="382">
        <f>'Portefeuille SP2'!R341</f>
        <v>0</v>
      </c>
      <c r="U316" s="387">
        <f>'Portefeuille SP2'!K341</f>
        <v>0</v>
      </c>
      <c r="V316" s="399">
        <f>'Portefeuille SP2'!S341</f>
        <v>0</v>
      </c>
      <c r="W316" s="387"/>
      <c r="X316" s="387"/>
      <c r="Y316" s="387"/>
      <c r="Z316" s="387"/>
      <c r="AA316" s="387"/>
      <c r="AB316" s="387"/>
      <c r="AC316" s="387"/>
      <c r="AD316" s="387"/>
      <c r="AE316" s="400">
        <f>'Portefeuille SP2'!J341</f>
        <v>0</v>
      </c>
      <c r="AF316" s="387"/>
      <c r="AG316" s="387"/>
      <c r="AH316" s="389"/>
      <c r="AI316" s="389"/>
      <c r="AJ316" s="403">
        <f>'Portefeuille SP2'!V341</f>
        <v>0</v>
      </c>
      <c r="AK316" s="403">
        <f>'Portefeuille SP2'!W341</f>
        <v>0</v>
      </c>
      <c r="AL316" s="403">
        <f>'Portefeuille SP2'!X341</f>
        <v>0</v>
      </c>
      <c r="AM316" s="403">
        <f>'Portefeuille SP2'!Y341</f>
        <v>0</v>
      </c>
      <c r="AN316" s="403">
        <f>'Portefeuille SP2'!Z341</f>
        <v>0</v>
      </c>
      <c r="AO316" s="403">
        <f>'Portefeuille SP2'!AA341</f>
        <v>0</v>
      </c>
      <c r="AP316" s="403">
        <f>'Portefeuille SP2'!AB341</f>
        <v>0</v>
      </c>
      <c r="AQ316" s="403">
        <f>'Portefeuille SP2'!AC341</f>
        <v>0</v>
      </c>
      <c r="AR316" s="403">
        <f>'Portefeuille SP2'!AD341</f>
        <v>0</v>
      </c>
      <c r="AS316" s="403">
        <f>'Portefeuille SP2'!AE341</f>
        <v>0</v>
      </c>
      <c r="AT316" s="403">
        <f>'Portefeuille SP2'!AF341</f>
        <v>0</v>
      </c>
      <c r="AU316" s="403">
        <f>'Portefeuille SP2'!AG341</f>
        <v>0</v>
      </c>
      <c r="AV316" s="403">
        <f>'Portefeuille SP2'!AH341</f>
        <v>0</v>
      </c>
      <c r="AW316" s="403">
        <f>'Portefeuille SP2'!AI341</f>
        <v>0</v>
      </c>
      <c r="AX316" s="403">
        <f>'Portefeuille SP2'!AJ341</f>
        <v>0</v>
      </c>
      <c r="AY316" s="403">
        <f>'Portefeuille SP2'!AK341</f>
        <v>0</v>
      </c>
      <c r="AZ316" s="403">
        <f>'Portefeuille SP2'!AL341</f>
        <v>0</v>
      </c>
      <c r="BA316" s="403">
        <f>'Portefeuille SP2'!AM341</f>
        <v>0</v>
      </c>
      <c r="BB316" s="403">
        <f>'Portefeuille SP2'!AN341</f>
        <v>0</v>
      </c>
      <c r="BC316" s="403">
        <f>'Portefeuille SP2'!AO341</f>
        <v>0</v>
      </c>
      <c r="BD316" s="403">
        <f>'Portefeuille SP2'!AP341</f>
        <v>0</v>
      </c>
      <c r="BE316" s="403">
        <f>'Portefeuille SP2'!AQ341</f>
        <v>0</v>
      </c>
      <c r="BF316" s="403">
        <f>'Portefeuille SP2'!AR341</f>
        <v>0</v>
      </c>
      <c r="BG316" s="403" t="e">
        <f>'Portefeuille SP2'!#REF!</f>
        <v>#REF!</v>
      </c>
      <c r="BH316" s="403" t="e">
        <f>'Portefeuille SP2'!#REF!</f>
        <v>#REF!</v>
      </c>
      <c r="BI316" s="403" t="e">
        <f>'Portefeuille SP2'!#REF!</f>
        <v>#REF!</v>
      </c>
      <c r="BJ316" s="403" t="e">
        <f>'Portefeuille SP2'!#REF!</f>
        <v>#REF!</v>
      </c>
      <c r="BK316" s="403" t="e">
        <f>'Portefeuille SP2'!#REF!</f>
        <v>#REF!</v>
      </c>
      <c r="BL316" s="388"/>
      <c r="BM316" s="404">
        <f>'Portefeuille SP2'!L341</f>
        <v>0</v>
      </c>
    </row>
    <row r="317" spans="1:65" ht="15" customHeight="1">
      <c r="A317" s="383">
        <f>'Portefeuille SP2'!B342</f>
        <v>0</v>
      </c>
      <c r="B317" s="390">
        <f>'Portefeuille SP2'!Q342</f>
        <v>0</v>
      </c>
      <c r="C317" s="384"/>
      <c r="D317" s="382">
        <f>'Portefeuille SP2'!E342</f>
        <v>0</v>
      </c>
      <c r="E317" s="382" t="str">
        <f t="shared" si="29"/>
        <v>0</v>
      </c>
      <c r="F317" s="382" t="str">
        <f t="shared" si="30"/>
        <v/>
      </c>
      <c r="G317" s="382">
        <f>'Portefeuille SP2'!C342</f>
        <v>0</v>
      </c>
      <c r="H317" s="382">
        <f>'Portefeuille SP2'!F342</f>
        <v>0</v>
      </c>
      <c r="I317" s="382"/>
      <c r="J317" s="382">
        <f>'Portefeuille SP2'!D342</f>
        <v>0</v>
      </c>
      <c r="K317" s="385">
        <f>'Portefeuille SP2'!H342</f>
        <v>0</v>
      </c>
      <c r="L317" s="157">
        <f>'Portefeuille SP2'!U342</f>
        <v>0</v>
      </c>
      <c r="M317" s="386"/>
      <c r="N317" s="386"/>
      <c r="O317" s="386"/>
      <c r="P317" s="387">
        <f>'Portefeuille SP2'!M342</f>
        <v>0</v>
      </c>
      <c r="Q317" s="387"/>
      <c r="R317" s="387">
        <f>'Portefeuille SP2'!N342</f>
        <v>0</v>
      </c>
      <c r="S317" s="387"/>
      <c r="T317" s="382">
        <f>'Portefeuille SP2'!R342</f>
        <v>0</v>
      </c>
      <c r="U317" s="387">
        <f>'Portefeuille SP2'!K342</f>
        <v>0</v>
      </c>
      <c r="V317" s="399">
        <f>'Portefeuille SP2'!S342</f>
        <v>0</v>
      </c>
      <c r="W317" s="387"/>
      <c r="X317" s="387"/>
      <c r="Y317" s="387"/>
      <c r="Z317" s="387"/>
      <c r="AA317" s="387"/>
      <c r="AB317" s="387"/>
      <c r="AC317" s="387"/>
      <c r="AD317" s="387"/>
      <c r="AE317" s="400">
        <f>'Portefeuille SP2'!J342</f>
        <v>0</v>
      </c>
      <c r="AF317" s="387"/>
      <c r="AG317" s="387"/>
      <c r="AH317" s="389"/>
      <c r="AI317" s="389"/>
      <c r="AJ317" s="403">
        <f>'Portefeuille SP2'!V342</f>
        <v>0</v>
      </c>
      <c r="AK317" s="403">
        <f>'Portefeuille SP2'!W342</f>
        <v>0</v>
      </c>
      <c r="AL317" s="403">
        <f>'Portefeuille SP2'!X342</f>
        <v>0</v>
      </c>
      <c r="AM317" s="403">
        <f>'Portefeuille SP2'!Y342</f>
        <v>0</v>
      </c>
      <c r="AN317" s="403">
        <f>'Portefeuille SP2'!Z342</f>
        <v>0</v>
      </c>
      <c r="AO317" s="403">
        <f>'Portefeuille SP2'!AA342</f>
        <v>0</v>
      </c>
      <c r="AP317" s="403">
        <f>'Portefeuille SP2'!AB342</f>
        <v>0</v>
      </c>
      <c r="AQ317" s="403">
        <f>'Portefeuille SP2'!AC342</f>
        <v>0</v>
      </c>
      <c r="AR317" s="403">
        <f>'Portefeuille SP2'!AD342</f>
        <v>0</v>
      </c>
      <c r="AS317" s="403">
        <f>'Portefeuille SP2'!AE342</f>
        <v>0</v>
      </c>
      <c r="AT317" s="403">
        <f>'Portefeuille SP2'!AF342</f>
        <v>0</v>
      </c>
      <c r="AU317" s="403">
        <f>'Portefeuille SP2'!AG342</f>
        <v>0</v>
      </c>
      <c r="AV317" s="403">
        <f>'Portefeuille SP2'!AH342</f>
        <v>0</v>
      </c>
      <c r="AW317" s="403">
        <f>'Portefeuille SP2'!AI342</f>
        <v>0</v>
      </c>
      <c r="AX317" s="403">
        <f>'Portefeuille SP2'!AJ342</f>
        <v>0</v>
      </c>
      <c r="AY317" s="403">
        <f>'Portefeuille SP2'!AK342</f>
        <v>0</v>
      </c>
      <c r="AZ317" s="403">
        <f>'Portefeuille SP2'!AL342</f>
        <v>0</v>
      </c>
      <c r="BA317" s="403">
        <f>'Portefeuille SP2'!AM342</f>
        <v>0</v>
      </c>
      <c r="BB317" s="403">
        <f>'Portefeuille SP2'!AN342</f>
        <v>0</v>
      </c>
      <c r="BC317" s="403">
        <f>'Portefeuille SP2'!AO342</f>
        <v>0</v>
      </c>
      <c r="BD317" s="403">
        <f>'Portefeuille SP2'!AP342</f>
        <v>0</v>
      </c>
      <c r="BE317" s="403">
        <f>'Portefeuille SP2'!AQ342</f>
        <v>0</v>
      </c>
      <c r="BF317" s="403">
        <f>'Portefeuille SP2'!AR342</f>
        <v>0</v>
      </c>
      <c r="BG317" s="403" t="e">
        <f>'Portefeuille SP2'!#REF!</f>
        <v>#REF!</v>
      </c>
      <c r="BH317" s="403" t="e">
        <f>'Portefeuille SP2'!#REF!</f>
        <v>#REF!</v>
      </c>
      <c r="BI317" s="403" t="e">
        <f>'Portefeuille SP2'!#REF!</f>
        <v>#REF!</v>
      </c>
      <c r="BJ317" s="403" t="e">
        <f>'Portefeuille SP2'!#REF!</f>
        <v>#REF!</v>
      </c>
      <c r="BK317" s="403" t="e">
        <f>'Portefeuille SP2'!#REF!</f>
        <v>#REF!</v>
      </c>
      <c r="BL317" s="388"/>
      <c r="BM317" s="404">
        <f>'Portefeuille SP2'!L342</f>
        <v>0</v>
      </c>
    </row>
    <row r="318" spans="1:65" ht="15" customHeight="1">
      <c r="A318" s="383">
        <f>'Portefeuille SP2'!B343</f>
        <v>0</v>
      </c>
      <c r="B318" s="390">
        <f>'Portefeuille SP2'!Q343</f>
        <v>0</v>
      </c>
      <c r="C318" s="384"/>
      <c r="D318" s="382">
        <f>'Portefeuille SP2'!E343</f>
        <v>0</v>
      </c>
      <c r="E318" s="382" t="str">
        <f t="shared" si="29"/>
        <v>0</v>
      </c>
      <c r="F318" s="382" t="str">
        <f t="shared" si="30"/>
        <v/>
      </c>
      <c r="G318" s="382">
        <f>'Portefeuille SP2'!C343</f>
        <v>0</v>
      </c>
      <c r="H318" s="382">
        <f>'Portefeuille SP2'!F343</f>
        <v>0</v>
      </c>
      <c r="I318" s="382"/>
      <c r="J318" s="382">
        <f>'Portefeuille SP2'!D343</f>
        <v>0</v>
      </c>
      <c r="K318" s="385">
        <f>'Portefeuille SP2'!H343</f>
        <v>0</v>
      </c>
      <c r="L318" s="157">
        <f>'Portefeuille SP2'!U343</f>
        <v>0</v>
      </c>
      <c r="M318" s="386"/>
      <c r="N318" s="386"/>
      <c r="O318" s="386"/>
      <c r="P318" s="387">
        <f>'Portefeuille SP2'!M343</f>
        <v>0</v>
      </c>
      <c r="Q318" s="387"/>
      <c r="R318" s="387">
        <f>'Portefeuille SP2'!N343</f>
        <v>0</v>
      </c>
      <c r="S318" s="387"/>
      <c r="T318" s="382">
        <f>'Portefeuille SP2'!R343</f>
        <v>0</v>
      </c>
      <c r="U318" s="387">
        <f>'Portefeuille SP2'!K343</f>
        <v>0</v>
      </c>
      <c r="V318" s="399">
        <f>'Portefeuille SP2'!S343</f>
        <v>0</v>
      </c>
      <c r="W318" s="387"/>
      <c r="X318" s="387"/>
      <c r="Y318" s="387"/>
      <c r="Z318" s="387"/>
      <c r="AA318" s="387"/>
      <c r="AB318" s="387"/>
      <c r="AC318" s="387"/>
      <c r="AD318" s="387"/>
      <c r="AE318" s="400">
        <f>'Portefeuille SP2'!J343</f>
        <v>0</v>
      </c>
      <c r="AF318" s="387"/>
      <c r="AG318" s="387"/>
      <c r="AH318" s="389"/>
      <c r="AI318" s="389"/>
      <c r="AJ318" s="403">
        <f>'Portefeuille SP2'!V343</f>
        <v>0</v>
      </c>
      <c r="AK318" s="403">
        <f>'Portefeuille SP2'!W343</f>
        <v>0</v>
      </c>
      <c r="AL318" s="403">
        <f>'Portefeuille SP2'!X343</f>
        <v>0</v>
      </c>
      <c r="AM318" s="403">
        <f>'Portefeuille SP2'!Y343</f>
        <v>0</v>
      </c>
      <c r="AN318" s="403">
        <f>'Portefeuille SP2'!Z343</f>
        <v>0</v>
      </c>
      <c r="AO318" s="403">
        <f>'Portefeuille SP2'!AA343</f>
        <v>0</v>
      </c>
      <c r="AP318" s="403">
        <f>'Portefeuille SP2'!AB343</f>
        <v>0</v>
      </c>
      <c r="AQ318" s="403">
        <f>'Portefeuille SP2'!AC343</f>
        <v>0</v>
      </c>
      <c r="AR318" s="403">
        <f>'Portefeuille SP2'!AD343</f>
        <v>0</v>
      </c>
      <c r="AS318" s="403">
        <f>'Portefeuille SP2'!AE343</f>
        <v>0</v>
      </c>
      <c r="AT318" s="403">
        <f>'Portefeuille SP2'!AF343</f>
        <v>0</v>
      </c>
      <c r="AU318" s="403">
        <f>'Portefeuille SP2'!AG343</f>
        <v>0</v>
      </c>
      <c r="AV318" s="403">
        <f>'Portefeuille SP2'!AH343</f>
        <v>0</v>
      </c>
      <c r="AW318" s="403">
        <f>'Portefeuille SP2'!AI343</f>
        <v>0</v>
      </c>
      <c r="AX318" s="403">
        <f>'Portefeuille SP2'!AJ343</f>
        <v>0</v>
      </c>
      <c r="AY318" s="403">
        <f>'Portefeuille SP2'!AK343</f>
        <v>0</v>
      </c>
      <c r="AZ318" s="403">
        <f>'Portefeuille SP2'!AL343</f>
        <v>0</v>
      </c>
      <c r="BA318" s="403">
        <f>'Portefeuille SP2'!AM343</f>
        <v>0</v>
      </c>
      <c r="BB318" s="403">
        <f>'Portefeuille SP2'!AN343</f>
        <v>0</v>
      </c>
      <c r="BC318" s="403">
        <f>'Portefeuille SP2'!AO343</f>
        <v>0</v>
      </c>
      <c r="BD318" s="403">
        <f>'Portefeuille SP2'!AP343</f>
        <v>0</v>
      </c>
      <c r="BE318" s="403">
        <f>'Portefeuille SP2'!AQ343</f>
        <v>0</v>
      </c>
      <c r="BF318" s="403">
        <f>'Portefeuille SP2'!AR343</f>
        <v>0</v>
      </c>
      <c r="BG318" s="403" t="e">
        <f>'Portefeuille SP2'!#REF!</f>
        <v>#REF!</v>
      </c>
      <c r="BH318" s="403" t="e">
        <f>'Portefeuille SP2'!#REF!</f>
        <v>#REF!</v>
      </c>
      <c r="BI318" s="403" t="e">
        <f>'Portefeuille SP2'!#REF!</f>
        <v>#REF!</v>
      </c>
      <c r="BJ318" s="403" t="e">
        <f>'Portefeuille SP2'!#REF!</f>
        <v>#REF!</v>
      </c>
      <c r="BK318" s="403" t="e">
        <f>'Portefeuille SP2'!#REF!</f>
        <v>#REF!</v>
      </c>
      <c r="BL318" s="388"/>
      <c r="BM318" s="404">
        <f>'Portefeuille SP2'!L343</f>
        <v>0</v>
      </c>
    </row>
    <row r="319" spans="1:65" ht="15" customHeight="1">
      <c r="A319" s="383">
        <f>'Portefeuille SP2'!B344</f>
        <v>0</v>
      </c>
      <c r="B319" s="390">
        <f>'Portefeuille SP2'!Q344</f>
        <v>0</v>
      </c>
      <c r="C319" s="384"/>
      <c r="D319" s="382">
        <f>'Portefeuille SP2'!E344</f>
        <v>0</v>
      </c>
      <c r="E319" s="382" t="str">
        <f t="shared" si="29"/>
        <v>0</v>
      </c>
      <c r="F319" s="382" t="str">
        <f t="shared" si="30"/>
        <v/>
      </c>
      <c r="G319" s="382">
        <f>'Portefeuille SP2'!C344</f>
        <v>0</v>
      </c>
      <c r="H319" s="382">
        <f>'Portefeuille SP2'!F344</f>
        <v>0</v>
      </c>
      <c r="I319" s="382"/>
      <c r="J319" s="382">
        <f>'Portefeuille SP2'!D344</f>
        <v>0</v>
      </c>
      <c r="K319" s="385">
        <f>'Portefeuille SP2'!H344</f>
        <v>0</v>
      </c>
      <c r="L319" s="157">
        <f>'Portefeuille SP2'!U344</f>
        <v>0</v>
      </c>
      <c r="M319" s="386"/>
      <c r="N319" s="386"/>
      <c r="O319" s="386"/>
      <c r="P319" s="387">
        <f>'Portefeuille SP2'!M344</f>
        <v>0</v>
      </c>
      <c r="Q319" s="387"/>
      <c r="R319" s="387">
        <f>'Portefeuille SP2'!N344</f>
        <v>0</v>
      </c>
      <c r="S319" s="387"/>
      <c r="T319" s="382">
        <f>'Portefeuille SP2'!R344</f>
        <v>0</v>
      </c>
      <c r="U319" s="387">
        <f>'Portefeuille SP2'!K344</f>
        <v>0</v>
      </c>
      <c r="V319" s="399">
        <f>'Portefeuille SP2'!S344</f>
        <v>0</v>
      </c>
      <c r="W319" s="387"/>
      <c r="X319" s="387"/>
      <c r="Y319" s="387"/>
      <c r="Z319" s="387"/>
      <c r="AA319" s="387"/>
      <c r="AB319" s="387"/>
      <c r="AC319" s="387"/>
      <c r="AD319" s="387"/>
      <c r="AE319" s="400">
        <f>'Portefeuille SP2'!J344</f>
        <v>0</v>
      </c>
      <c r="AF319" s="387"/>
      <c r="AG319" s="387"/>
      <c r="AH319" s="389"/>
      <c r="AI319" s="389"/>
      <c r="AJ319" s="403">
        <f>'Portefeuille SP2'!V344</f>
        <v>0</v>
      </c>
      <c r="AK319" s="403">
        <f>'Portefeuille SP2'!W344</f>
        <v>0</v>
      </c>
      <c r="AL319" s="403">
        <f>'Portefeuille SP2'!X344</f>
        <v>0</v>
      </c>
      <c r="AM319" s="403">
        <f>'Portefeuille SP2'!Y344</f>
        <v>0</v>
      </c>
      <c r="AN319" s="403">
        <f>'Portefeuille SP2'!Z344</f>
        <v>0</v>
      </c>
      <c r="AO319" s="403">
        <f>'Portefeuille SP2'!AA344</f>
        <v>0</v>
      </c>
      <c r="AP319" s="403">
        <f>'Portefeuille SP2'!AB344</f>
        <v>0</v>
      </c>
      <c r="AQ319" s="403">
        <f>'Portefeuille SP2'!AC344</f>
        <v>0</v>
      </c>
      <c r="AR319" s="403">
        <f>'Portefeuille SP2'!AD344</f>
        <v>0</v>
      </c>
      <c r="AS319" s="403">
        <f>'Portefeuille SP2'!AE344</f>
        <v>0</v>
      </c>
      <c r="AT319" s="403">
        <f>'Portefeuille SP2'!AF344</f>
        <v>0</v>
      </c>
      <c r="AU319" s="403">
        <f>'Portefeuille SP2'!AG344</f>
        <v>0</v>
      </c>
      <c r="AV319" s="403">
        <f>'Portefeuille SP2'!AH344</f>
        <v>0</v>
      </c>
      <c r="AW319" s="403">
        <f>'Portefeuille SP2'!AI344</f>
        <v>0</v>
      </c>
      <c r="AX319" s="403">
        <f>'Portefeuille SP2'!AJ344</f>
        <v>0</v>
      </c>
      <c r="AY319" s="403">
        <f>'Portefeuille SP2'!AK344</f>
        <v>0</v>
      </c>
      <c r="AZ319" s="403">
        <f>'Portefeuille SP2'!AL344</f>
        <v>0</v>
      </c>
      <c r="BA319" s="403">
        <f>'Portefeuille SP2'!AM344</f>
        <v>0</v>
      </c>
      <c r="BB319" s="403">
        <f>'Portefeuille SP2'!AN344</f>
        <v>0</v>
      </c>
      <c r="BC319" s="403">
        <f>'Portefeuille SP2'!AO344</f>
        <v>0</v>
      </c>
      <c r="BD319" s="403">
        <f>'Portefeuille SP2'!AP344</f>
        <v>0</v>
      </c>
      <c r="BE319" s="403">
        <f>'Portefeuille SP2'!AQ344</f>
        <v>0</v>
      </c>
      <c r="BF319" s="403">
        <f>'Portefeuille SP2'!AR344</f>
        <v>0</v>
      </c>
      <c r="BG319" s="403" t="e">
        <f>'Portefeuille SP2'!#REF!</f>
        <v>#REF!</v>
      </c>
      <c r="BH319" s="403" t="e">
        <f>'Portefeuille SP2'!#REF!</f>
        <v>#REF!</v>
      </c>
      <c r="BI319" s="403" t="e">
        <f>'Portefeuille SP2'!#REF!</f>
        <v>#REF!</v>
      </c>
      <c r="BJ319" s="403" t="e">
        <f>'Portefeuille SP2'!#REF!</f>
        <v>#REF!</v>
      </c>
      <c r="BK319" s="403" t="e">
        <f>'Portefeuille SP2'!#REF!</f>
        <v>#REF!</v>
      </c>
      <c r="BL319" s="388"/>
      <c r="BM319" s="404">
        <f>'Portefeuille SP2'!L344</f>
        <v>0</v>
      </c>
    </row>
    <row r="320" spans="1:65" ht="15" customHeight="1">
      <c r="A320" s="383">
        <f>'Portefeuille SP2'!B345</f>
        <v>0</v>
      </c>
      <c r="B320" s="390">
        <f>'Portefeuille SP2'!Q345</f>
        <v>0</v>
      </c>
      <c r="C320" s="384"/>
      <c r="D320" s="382">
        <f>'Portefeuille SP2'!E345</f>
        <v>0</v>
      </c>
      <c r="E320" s="382" t="str">
        <f t="shared" si="29"/>
        <v>0</v>
      </c>
      <c r="F320" s="382" t="str">
        <f t="shared" si="30"/>
        <v/>
      </c>
      <c r="G320" s="382">
        <f>'Portefeuille SP2'!C345</f>
        <v>0</v>
      </c>
      <c r="H320" s="382">
        <f>'Portefeuille SP2'!F345</f>
        <v>0</v>
      </c>
      <c r="I320" s="382"/>
      <c r="J320" s="382">
        <f>'Portefeuille SP2'!D345</f>
        <v>0</v>
      </c>
      <c r="K320" s="385">
        <f>'Portefeuille SP2'!H345</f>
        <v>0</v>
      </c>
      <c r="L320" s="157">
        <f>'Portefeuille SP2'!U345</f>
        <v>0</v>
      </c>
      <c r="M320" s="386"/>
      <c r="N320" s="386"/>
      <c r="O320" s="386"/>
      <c r="P320" s="387">
        <f>'Portefeuille SP2'!M345</f>
        <v>0</v>
      </c>
      <c r="Q320" s="387"/>
      <c r="R320" s="387">
        <f>'Portefeuille SP2'!N345</f>
        <v>0</v>
      </c>
      <c r="S320" s="387"/>
      <c r="T320" s="382">
        <f>'Portefeuille SP2'!R345</f>
        <v>0</v>
      </c>
      <c r="U320" s="387">
        <f>'Portefeuille SP2'!K345</f>
        <v>0</v>
      </c>
      <c r="V320" s="399">
        <f>'Portefeuille SP2'!S345</f>
        <v>0</v>
      </c>
      <c r="W320" s="387"/>
      <c r="X320" s="387"/>
      <c r="Y320" s="387"/>
      <c r="Z320" s="387"/>
      <c r="AA320" s="387"/>
      <c r="AB320" s="387"/>
      <c r="AC320" s="387"/>
      <c r="AD320" s="387"/>
      <c r="AE320" s="400">
        <f>'Portefeuille SP2'!J345</f>
        <v>0</v>
      </c>
      <c r="AF320" s="387"/>
      <c r="AG320" s="387"/>
      <c r="AH320" s="389"/>
      <c r="AI320" s="389"/>
      <c r="AJ320" s="403">
        <f>'Portefeuille SP2'!V345</f>
        <v>0</v>
      </c>
      <c r="AK320" s="403">
        <f>'Portefeuille SP2'!W345</f>
        <v>0</v>
      </c>
      <c r="AL320" s="403">
        <f>'Portefeuille SP2'!X345</f>
        <v>0</v>
      </c>
      <c r="AM320" s="403">
        <f>'Portefeuille SP2'!Y345</f>
        <v>0</v>
      </c>
      <c r="AN320" s="403">
        <f>'Portefeuille SP2'!Z345</f>
        <v>0</v>
      </c>
      <c r="AO320" s="403">
        <f>'Portefeuille SP2'!AA345</f>
        <v>0</v>
      </c>
      <c r="AP320" s="403">
        <f>'Portefeuille SP2'!AB345</f>
        <v>0</v>
      </c>
      <c r="AQ320" s="403">
        <f>'Portefeuille SP2'!AC345</f>
        <v>0</v>
      </c>
      <c r="AR320" s="403">
        <f>'Portefeuille SP2'!AD345</f>
        <v>0</v>
      </c>
      <c r="AS320" s="403">
        <f>'Portefeuille SP2'!AE345</f>
        <v>0</v>
      </c>
      <c r="AT320" s="403">
        <f>'Portefeuille SP2'!AF345</f>
        <v>0</v>
      </c>
      <c r="AU320" s="403">
        <f>'Portefeuille SP2'!AG345</f>
        <v>0</v>
      </c>
      <c r="AV320" s="403">
        <f>'Portefeuille SP2'!AH345</f>
        <v>0</v>
      </c>
      <c r="AW320" s="403">
        <f>'Portefeuille SP2'!AI345</f>
        <v>0</v>
      </c>
      <c r="AX320" s="403">
        <f>'Portefeuille SP2'!AJ345</f>
        <v>0</v>
      </c>
      <c r="AY320" s="403">
        <f>'Portefeuille SP2'!AK345</f>
        <v>0</v>
      </c>
      <c r="AZ320" s="403">
        <f>'Portefeuille SP2'!AL345</f>
        <v>0</v>
      </c>
      <c r="BA320" s="403">
        <f>'Portefeuille SP2'!AM345</f>
        <v>0</v>
      </c>
      <c r="BB320" s="403">
        <f>'Portefeuille SP2'!AN345</f>
        <v>0</v>
      </c>
      <c r="BC320" s="403">
        <f>'Portefeuille SP2'!AO345</f>
        <v>0</v>
      </c>
      <c r="BD320" s="403">
        <f>'Portefeuille SP2'!AP345</f>
        <v>0</v>
      </c>
      <c r="BE320" s="403">
        <f>'Portefeuille SP2'!AQ345</f>
        <v>0</v>
      </c>
      <c r="BF320" s="403">
        <f>'Portefeuille SP2'!AR345</f>
        <v>0</v>
      </c>
      <c r="BG320" s="403" t="e">
        <f>'Portefeuille SP2'!#REF!</f>
        <v>#REF!</v>
      </c>
      <c r="BH320" s="403" t="e">
        <f>'Portefeuille SP2'!#REF!</f>
        <v>#REF!</v>
      </c>
      <c r="BI320" s="403" t="e">
        <f>'Portefeuille SP2'!#REF!</f>
        <v>#REF!</v>
      </c>
      <c r="BJ320" s="403" t="e">
        <f>'Portefeuille SP2'!#REF!</f>
        <v>#REF!</v>
      </c>
      <c r="BK320" s="403" t="e">
        <f>'Portefeuille SP2'!#REF!</f>
        <v>#REF!</v>
      </c>
      <c r="BL320" s="388"/>
      <c r="BM320" s="404">
        <f>'Portefeuille SP2'!L345</f>
        <v>0</v>
      </c>
    </row>
    <row r="321" spans="1:65" ht="15" customHeight="1">
      <c r="A321" s="383">
        <f>'Portefeuille SP2'!B346</f>
        <v>0</v>
      </c>
      <c r="B321" s="390">
        <f>'Portefeuille SP2'!Q346</f>
        <v>0</v>
      </c>
      <c r="C321" s="384"/>
      <c r="D321" s="382">
        <f>'Portefeuille SP2'!E346</f>
        <v>0</v>
      </c>
      <c r="E321" s="382" t="str">
        <f t="shared" si="29"/>
        <v>0</v>
      </c>
      <c r="F321" s="382" t="str">
        <f t="shared" si="30"/>
        <v/>
      </c>
      <c r="G321" s="382">
        <f>'Portefeuille SP2'!C346</f>
        <v>0</v>
      </c>
      <c r="H321" s="382">
        <f>'Portefeuille SP2'!F346</f>
        <v>0</v>
      </c>
      <c r="I321" s="382"/>
      <c r="J321" s="382">
        <f>'Portefeuille SP2'!D346</f>
        <v>0</v>
      </c>
      <c r="K321" s="385">
        <f>'Portefeuille SP2'!H346</f>
        <v>0</v>
      </c>
      <c r="L321" s="157">
        <f>'Portefeuille SP2'!U346</f>
        <v>0</v>
      </c>
      <c r="M321" s="386"/>
      <c r="N321" s="386"/>
      <c r="O321" s="386"/>
      <c r="P321" s="387">
        <f>'Portefeuille SP2'!M346</f>
        <v>0</v>
      </c>
      <c r="Q321" s="387"/>
      <c r="R321" s="387">
        <f>'Portefeuille SP2'!N346</f>
        <v>0</v>
      </c>
      <c r="S321" s="387"/>
      <c r="T321" s="382">
        <f>'Portefeuille SP2'!R346</f>
        <v>0</v>
      </c>
      <c r="U321" s="387">
        <f>'Portefeuille SP2'!K346</f>
        <v>0</v>
      </c>
      <c r="V321" s="399">
        <f>'Portefeuille SP2'!S346</f>
        <v>0</v>
      </c>
      <c r="W321" s="387"/>
      <c r="X321" s="387"/>
      <c r="Y321" s="387"/>
      <c r="Z321" s="387"/>
      <c r="AA321" s="387"/>
      <c r="AB321" s="387"/>
      <c r="AC321" s="387"/>
      <c r="AD321" s="387"/>
      <c r="AE321" s="400">
        <f>'Portefeuille SP2'!J346</f>
        <v>0</v>
      </c>
      <c r="AF321" s="387"/>
      <c r="AG321" s="387"/>
      <c r="AH321" s="389"/>
      <c r="AI321" s="389"/>
      <c r="AJ321" s="403">
        <f>'Portefeuille SP2'!V346</f>
        <v>0</v>
      </c>
      <c r="AK321" s="403">
        <f>'Portefeuille SP2'!W346</f>
        <v>0</v>
      </c>
      <c r="AL321" s="403">
        <f>'Portefeuille SP2'!X346</f>
        <v>0</v>
      </c>
      <c r="AM321" s="403">
        <f>'Portefeuille SP2'!Y346</f>
        <v>0</v>
      </c>
      <c r="AN321" s="403">
        <f>'Portefeuille SP2'!Z346</f>
        <v>0</v>
      </c>
      <c r="AO321" s="403">
        <f>'Portefeuille SP2'!AA346</f>
        <v>0</v>
      </c>
      <c r="AP321" s="403">
        <f>'Portefeuille SP2'!AB346</f>
        <v>0</v>
      </c>
      <c r="AQ321" s="403">
        <f>'Portefeuille SP2'!AC346</f>
        <v>0</v>
      </c>
      <c r="AR321" s="403">
        <f>'Portefeuille SP2'!AD346</f>
        <v>0</v>
      </c>
      <c r="AS321" s="403">
        <f>'Portefeuille SP2'!AE346</f>
        <v>0</v>
      </c>
      <c r="AT321" s="403">
        <f>'Portefeuille SP2'!AF346</f>
        <v>0</v>
      </c>
      <c r="AU321" s="403">
        <f>'Portefeuille SP2'!AG346</f>
        <v>0</v>
      </c>
      <c r="AV321" s="403">
        <f>'Portefeuille SP2'!AH346</f>
        <v>0</v>
      </c>
      <c r="AW321" s="403">
        <f>'Portefeuille SP2'!AI346</f>
        <v>0</v>
      </c>
      <c r="AX321" s="403">
        <f>'Portefeuille SP2'!AJ346</f>
        <v>0</v>
      </c>
      <c r="AY321" s="403">
        <f>'Portefeuille SP2'!AK346</f>
        <v>0</v>
      </c>
      <c r="AZ321" s="403">
        <f>'Portefeuille SP2'!AL346</f>
        <v>0</v>
      </c>
      <c r="BA321" s="403">
        <f>'Portefeuille SP2'!AM346</f>
        <v>0</v>
      </c>
      <c r="BB321" s="403">
        <f>'Portefeuille SP2'!AN346</f>
        <v>0</v>
      </c>
      <c r="BC321" s="403">
        <f>'Portefeuille SP2'!AO346</f>
        <v>0</v>
      </c>
      <c r="BD321" s="403">
        <f>'Portefeuille SP2'!AP346</f>
        <v>0</v>
      </c>
      <c r="BE321" s="403">
        <f>'Portefeuille SP2'!AQ346</f>
        <v>0</v>
      </c>
      <c r="BF321" s="403">
        <f>'Portefeuille SP2'!AR346</f>
        <v>0</v>
      </c>
      <c r="BG321" s="403" t="e">
        <f>'Portefeuille SP2'!#REF!</f>
        <v>#REF!</v>
      </c>
      <c r="BH321" s="403" t="e">
        <f>'Portefeuille SP2'!#REF!</f>
        <v>#REF!</v>
      </c>
      <c r="BI321" s="403" t="e">
        <f>'Portefeuille SP2'!#REF!</f>
        <v>#REF!</v>
      </c>
      <c r="BJ321" s="403" t="e">
        <f>'Portefeuille SP2'!#REF!</f>
        <v>#REF!</v>
      </c>
      <c r="BK321" s="403" t="e">
        <f>'Portefeuille SP2'!#REF!</f>
        <v>#REF!</v>
      </c>
      <c r="BL321" s="388"/>
      <c r="BM321" s="404">
        <f>'Portefeuille SP2'!L346</f>
        <v>0</v>
      </c>
    </row>
    <row r="322" spans="1:65" ht="15" customHeight="1">
      <c r="A322" s="383">
        <f>'Portefeuille SP2'!B347</f>
        <v>0</v>
      </c>
      <c r="B322" s="390">
        <f>'Portefeuille SP2'!Q347</f>
        <v>0</v>
      </c>
      <c r="C322" s="384"/>
      <c r="D322" s="382">
        <f>'Portefeuille SP2'!E347</f>
        <v>0</v>
      </c>
      <c r="E322" s="382" t="str">
        <f t="shared" si="29"/>
        <v>0</v>
      </c>
      <c r="F322" s="382" t="str">
        <f t="shared" si="30"/>
        <v/>
      </c>
      <c r="G322" s="382">
        <f>'Portefeuille SP2'!C347</f>
        <v>0</v>
      </c>
      <c r="H322" s="382">
        <f>'Portefeuille SP2'!F347</f>
        <v>0</v>
      </c>
      <c r="I322" s="382"/>
      <c r="J322" s="382">
        <f>'Portefeuille SP2'!D347</f>
        <v>0</v>
      </c>
      <c r="K322" s="385">
        <f>'Portefeuille SP2'!H347</f>
        <v>0</v>
      </c>
      <c r="L322" s="157">
        <f>'Portefeuille SP2'!U347</f>
        <v>0</v>
      </c>
      <c r="M322" s="386"/>
      <c r="N322" s="386"/>
      <c r="O322" s="386"/>
      <c r="P322" s="387">
        <f>'Portefeuille SP2'!M347</f>
        <v>0</v>
      </c>
      <c r="Q322" s="387"/>
      <c r="R322" s="387">
        <f>'Portefeuille SP2'!N347</f>
        <v>0</v>
      </c>
      <c r="S322" s="387"/>
      <c r="T322" s="382">
        <f>'Portefeuille SP2'!R347</f>
        <v>0</v>
      </c>
      <c r="U322" s="387">
        <f>'Portefeuille SP2'!K347</f>
        <v>0</v>
      </c>
      <c r="V322" s="399">
        <f>'Portefeuille SP2'!S347</f>
        <v>0</v>
      </c>
      <c r="W322" s="387"/>
      <c r="X322" s="387"/>
      <c r="Y322" s="387"/>
      <c r="Z322" s="387"/>
      <c r="AA322" s="387"/>
      <c r="AB322" s="387"/>
      <c r="AC322" s="387"/>
      <c r="AD322" s="387"/>
      <c r="AE322" s="400">
        <f>'Portefeuille SP2'!J347</f>
        <v>0</v>
      </c>
      <c r="AF322" s="387"/>
      <c r="AG322" s="387"/>
      <c r="AH322" s="389"/>
      <c r="AI322" s="389"/>
      <c r="AJ322" s="403">
        <f>'Portefeuille SP2'!V347</f>
        <v>0</v>
      </c>
      <c r="AK322" s="403">
        <f>'Portefeuille SP2'!W347</f>
        <v>0</v>
      </c>
      <c r="AL322" s="403">
        <f>'Portefeuille SP2'!X347</f>
        <v>0</v>
      </c>
      <c r="AM322" s="403">
        <f>'Portefeuille SP2'!Y347</f>
        <v>0</v>
      </c>
      <c r="AN322" s="403">
        <f>'Portefeuille SP2'!Z347</f>
        <v>0</v>
      </c>
      <c r="AO322" s="403">
        <f>'Portefeuille SP2'!AA347</f>
        <v>0</v>
      </c>
      <c r="AP322" s="403">
        <f>'Portefeuille SP2'!AB347</f>
        <v>0</v>
      </c>
      <c r="AQ322" s="403">
        <f>'Portefeuille SP2'!AC347</f>
        <v>0</v>
      </c>
      <c r="AR322" s="403">
        <f>'Portefeuille SP2'!AD347</f>
        <v>0</v>
      </c>
      <c r="AS322" s="403">
        <f>'Portefeuille SP2'!AE347</f>
        <v>0</v>
      </c>
      <c r="AT322" s="403">
        <f>'Portefeuille SP2'!AF347</f>
        <v>0</v>
      </c>
      <c r="AU322" s="403">
        <f>'Portefeuille SP2'!AG347</f>
        <v>0</v>
      </c>
      <c r="AV322" s="403">
        <f>'Portefeuille SP2'!AH347</f>
        <v>0</v>
      </c>
      <c r="AW322" s="403">
        <f>'Portefeuille SP2'!AI347</f>
        <v>0</v>
      </c>
      <c r="AX322" s="403">
        <f>'Portefeuille SP2'!AJ347</f>
        <v>0</v>
      </c>
      <c r="AY322" s="403">
        <f>'Portefeuille SP2'!AK347</f>
        <v>0</v>
      </c>
      <c r="AZ322" s="403">
        <f>'Portefeuille SP2'!AL347</f>
        <v>0</v>
      </c>
      <c r="BA322" s="403">
        <f>'Portefeuille SP2'!AM347</f>
        <v>0</v>
      </c>
      <c r="BB322" s="403">
        <f>'Portefeuille SP2'!AN347</f>
        <v>0</v>
      </c>
      <c r="BC322" s="403">
        <f>'Portefeuille SP2'!AO347</f>
        <v>0</v>
      </c>
      <c r="BD322" s="403">
        <f>'Portefeuille SP2'!AP347</f>
        <v>0</v>
      </c>
      <c r="BE322" s="403">
        <f>'Portefeuille SP2'!AQ347</f>
        <v>0</v>
      </c>
      <c r="BF322" s="403">
        <f>'Portefeuille SP2'!AR347</f>
        <v>0</v>
      </c>
      <c r="BG322" s="403" t="e">
        <f>'Portefeuille SP2'!#REF!</f>
        <v>#REF!</v>
      </c>
      <c r="BH322" s="403" t="e">
        <f>'Portefeuille SP2'!#REF!</f>
        <v>#REF!</v>
      </c>
      <c r="BI322" s="403" t="e">
        <f>'Portefeuille SP2'!#REF!</f>
        <v>#REF!</v>
      </c>
      <c r="BJ322" s="403" t="e">
        <f>'Portefeuille SP2'!#REF!</f>
        <v>#REF!</v>
      </c>
      <c r="BK322" s="403" t="e">
        <f>'Portefeuille SP2'!#REF!</f>
        <v>#REF!</v>
      </c>
      <c r="BL322" s="388"/>
      <c r="BM322" s="404">
        <f>'Portefeuille SP2'!L347</f>
        <v>0</v>
      </c>
    </row>
    <row r="323" spans="1:65" ht="15" customHeight="1">
      <c r="A323" s="383">
        <f>'Portefeuille SP2'!B348</f>
        <v>0</v>
      </c>
      <c r="B323" s="390">
        <f>'Portefeuille SP2'!Q348</f>
        <v>0</v>
      </c>
      <c r="C323" s="384"/>
      <c r="D323" s="382">
        <f>'Portefeuille SP2'!E348</f>
        <v>0</v>
      </c>
      <c r="E323" s="382" t="str">
        <f t="shared" si="29"/>
        <v>0</v>
      </c>
      <c r="F323" s="382" t="str">
        <f t="shared" si="30"/>
        <v/>
      </c>
      <c r="G323" s="382">
        <f>'Portefeuille SP2'!C348</f>
        <v>0</v>
      </c>
      <c r="H323" s="382">
        <f>'Portefeuille SP2'!F348</f>
        <v>0</v>
      </c>
      <c r="I323" s="382"/>
      <c r="J323" s="382">
        <f>'Portefeuille SP2'!D348</f>
        <v>0</v>
      </c>
      <c r="K323" s="385">
        <f>'Portefeuille SP2'!H348</f>
        <v>0</v>
      </c>
      <c r="L323" s="157">
        <f>'Portefeuille SP2'!U348</f>
        <v>0</v>
      </c>
      <c r="M323" s="386"/>
      <c r="N323" s="386"/>
      <c r="O323" s="386"/>
      <c r="P323" s="387">
        <f>'Portefeuille SP2'!M348</f>
        <v>0</v>
      </c>
      <c r="Q323" s="387"/>
      <c r="R323" s="387">
        <f>'Portefeuille SP2'!N348</f>
        <v>0</v>
      </c>
      <c r="S323" s="387"/>
      <c r="T323" s="382">
        <f>'Portefeuille SP2'!R348</f>
        <v>0</v>
      </c>
      <c r="U323" s="387">
        <f>'Portefeuille SP2'!K348</f>
        <v>0</v>
      </c>
      <c r="V323" s="399">
        <f>'Portefeuille SP2'!S348</f>
        <v>0</v>
      </c>
      <c r="W323" s="387"/>
      <c r="X323" s="387"/>
      <c r="Y323" s="387"/>
      <c r="Z323" s="387"/>
      <c r="AA323" s="387"/>
      <c r="AB323" s="387"/>
      <c r="AC323" s="387"/>
      <c r="AD323" s="387"/>
      <c r="AE323" s="400">
        <f>'Portefeuille SP2'!J348</f>
        <v>0</v>
      </c>
      <c r="AF323" s="387"/>
      <c r="AG323" s="387"/>
      <c r="AH323" s="389"/>
      <c r="AI323" s="389"/>
      <c r="AJ323" s="403">
        <f>'Portefeuille SP2'!V348</f>
        <v>0</v>
      </c>
      <c r="AK323" s="403">
        <f>'Portefeuille SP2'!W348</f>
        <v>0</v>
      </c>
      <c r="AL323" s="403">
        <f>'Portefeuille SP2'!X348</f>
        <v>0</v>
      </c>
      <c r="AM323" s="403">
        <f>'Portefeuille SP2'!Y348</f>
        <v>0</v>
      </c>
      <c r="AN323" s="403">
        <f>'Portefeuille SP2'!Z348</f>
        <v>0</v>
      </c>
      <c r="AO323" s="403">
        <f>'Portefeuille SP2'!AA348</f>
        <v>0</v>
      </c>
      <c r="AP323" s="403">
        <f>'Portefeuille SP2'!AB348</f>
        <v>0</v>
      </c>
      <c r="AQ323" s="403">
        <f>'Portefeuille SP2'!AC348</f>
        <v>0</v>
      </c>
      <c r="AR323" s="403">
        <f>'Portefeuille SP2'!AD348</f>
        <v>0</v>
      </c>
      <c r="AS323" s="403">
        <f>'Portefeuille SP2'!AE348</f>
        <v>0</v>
      </c>
      <c r="AT323" s="403">
        <f>'Portefeuille SP2'!AF348</f>
        <v>0</v>
      </c>
      <c r="AU323" s="403">
        <f>'Portefeuille SP2'!AG348</f>
        <v>0</v>
      </c>
      <c r="AV323" s="403">
        <f>'Portefeuille SP2'!AH348</f>
        <v>0</v>
      </c>
      <c r="AW323" s="403">
        <f>'Portefeuille SP2'!AI348</f>
        <v>0</v>
      </c>
      <c r="AX323" s="403">
        <f>'Portefeuille SP2'!AJ348</f>
        <v>0</v>
      </c>
      <c r="AY323" s="403">
        <f>'Portefeuille SP2'!AK348</f>
        <v>0</v>
      </c>
      <c r="AZ323" s="403">
        <f>'Portefeuille SP2'!AL348</f>
        <v>0</v>
      </c>
      <c r="BA323" s="403">
        <f>'Portefeuille SP2'!AM348</f>
        <v>0</v>
      </c>
      <c r="BB323" s="403">
        <f>'Portefeuille SP2'!AN348</f>
        <v>0</v>
      </c>
      <c r="BC323" s="403">
        <f>'Portefeuille SP2'!AO348</f>
        <v>0</v>
      </c>
      <c r="BD323" s="403">
        <f>'Portefeuille SP2'!AP348</f>
        <v>0</v>
      </c>
      <c r="BE323" s="403">
        <f>'Portefeuille SP2'!AQ348</f>
        <v>0</v>
      </c>
      <c r="BF323" s="403">
        <f>'Portefeuille SP2'!AR348</f>
        <v>0</v>
      </c>
      <c r="BG323" s="403" t="e">
        <f>'Portefeuille SP2'!#REF!</f>
        <v>#REF!</v>
      </c>
      <c r="BH323" s="403" t="e">
        <f>'Portefeuille SP2'!#REF!</f>
        <v>#REF!</v>
      </c>
      <c r="BI323" s="403" t="e">
        <f>'Portefeuille SP2'!#REF!</f>
        <v>#REF!</v>
      </c>
      <c r="BJ323" s="403" t="e">
        <f>'Portefeuille SP2'!#REF!</f>
        <v>#REF!</v>
      </c>
      <c r="BK323" s="403" t="e">
        <f>'Portefeuille SP2'!#REF!</f>
        <v>#REF!</v>
      </c>
      <c r="BL323" s="388"/>
      <c r="BM323" s="404">
        <f>'Portefeuille SP2'!L348</f>
        <v>0</v>
      </c>
    </row>
    <row r="324" spans="1:65" ht="15" customHeight="1">
      <c r="A324" s="383">
        <f>'Portefeuille SP2'!B349</f>
        <v>0</v>
      </c>
      <c r="B324" s="390">
        <f>'Portefeuille SP2'!Q349</f>
        <v>0</v>
      </c>
      <c r="C324" s="384"/>
      <c r="D324" s="382">
        <f>'Portefeuille SP2'!E349</f>
        <v>0</v>
      </c>
      <c r="E324" s="382" t="str">
        <f t="shared" si="29"/>
        <v>0</v>
      </c>
      <c r="F324" s="382" t="str">
        <f t="shared" si="30"/>
        <v/>
      </c>
      <c r="G324" s="382">
        <f>'Portefeuille SP2'!C349</f>
        <v>0</v>
      </c>
      <c r="H324" s="382">
        <f>'Portefeuille SP2'!F349</f>
        <v>0</v>
      </c>
      <c r="I324" s="382"/>
      <c r="J324" s="382">
        <f>'Portefeuille SP2'!D349</f>
        <v>0</v>
      </c>
      <c r="K324" s="385">
        <f>'Portefeuille SP2'!H349</f>
        <v>0</v>
      </c>
      <c r="L324" s="157">
        <f>'Portefeuille SP2'!U349</f>
        <v>0</v>
      </c>
      <c r="M324" s="386"/>
      <c r="N324" s="386"/>
      <c r="O324" s="386"/>
      <c r="P324" s="387">
        <f>'Portefeuille SP2'!M349</f>
        <v>0</v>
      </c>
      <c r="Q324" s="387"/>
      <c r="R324" s="387">
        <f>'Portefeuille SP2'!N349</f>
        <v>0</v>
      </c>
      <c r="S324" s="387"/>
      <c r="T324" s="382">
        <f>'Portefeuille SP2'!R349</f>
        <v>0</v>
      </c>
      <c r="U324" s="387">
        <f>'Portefeuille SP2'!K349</f>
        <v>0</v>
      </c>
      <c r="V324" s="399">
        <f>'Portefeuille SP2'!S349</f>
        <v>0</v>
      </c>
      <c r="W324" s="387"/>
      <c r="X324" s="387"/>
      <c r="Y324" s="387"/>
      <c r="Z324" s="387"/>
      <c r="AA324" s="387"/>
      <c r="AB324" s="387"/>
      <c r="AC324" s="387"/>
      <c r="AD324" s="387"/>
      <c r="AE324" s="400">
        <f>'Portefeuille SP2'!J349</f>
        <v>0</v>
      </c>
      <c r="AF324" s="387"/>
      <c r="AG324" s="387"/>
      <c r="AH324" s="389"/>
      <c r="AI324" s="389"/>
      <c r="AJ324" s="403">
        <f>'Portefeuille SP2'!V349</f>
        <v>0</v>
      </c>
      <c r="AK324" s="403">
        <f>'Portefeuille SP2'!W349</f>
        <v>0</v>
      </c>
      <c r="AL324" s="403">
        <f>'Portefeuille SP2'!X349</f>
        <v>0</v>
      </c>
      <c r="AM324" s="403">
        <f>'Portefeuille SP2'!Y349</f>
        <v>0</v>
      </c>
      <c r="AN324" s="403">
        <f>'Portefeuille SP2'!Z349</f>
        <v>0</v>
      </c>
      <c r="AO324" s="403">
        <f>'Portefeuille SP2'!AA349</f>
        <v>0</v>
      </c>
      <c r="AP324" s="403">
        <f>'Portefeuille SP2'!AB349</f>
        <v>0</v>
      </c>
      <c r="AQ324" s="403">
        <f>'Portefeuille SP2'!AC349</f>
        <v>0</v>
      </c>
      <c r="AR324" s="403">
        <f>'Portefeuille SP2'!AD349</f>
        <v>0</v>
      </c>
      <c r="AS324" s="403">
        <f>'Portefeuille SP2'!AE349</f>
        <v>0</v>
      </c>
      <c r="AT324" s="403">
        <f>'Portefeuille SP2'!AF349</f>
        <v>0</v>
      </c>
      <c r="AU324" s="403">
        <f>'Portefeuille SP2'!AG349</f>
        <v>0</v>
      </c>
      <c r="AV324" s="403">
        <f>'Portefeuille SP2'!AH349</f>
        <v>0</v>
      </c>
      <c r="AW324" s="403">
        <f>'Portefeuille SP2'!AI349</f>
        <v>0</v>
      </c>
      <c r="AX324" s="403">
        <f>'Portefeuille SP2'!AJ349</f>
        <v>0</v>
      </c>
      <c r="AY324" s="403">
        <f>'Portefeuille SP2'!AK349</f>
        <v>0</v>
      </c>
      <c r="AZ324" s="403">
        <f>'Portefeuille SP2'!AL349</f>
        <v>0</v>
      </c>
      <c r="BA324" s="403">
        <f>'Portefeuille SP2'!AM349</f>
        <v>0</v>
      </c>
      <c r="BB324" s="403">
        <f>'Portefeuille SP2'!AN349</f>
        <v>0</v>
      </c>
      <c r="BC324" s="403">
        <f>'Portefeuille SP2'!AO349</f>
        <v>0</v>
      </c>
      <c r="BD324" s="403">
        <f>'Portefeuille SP2'!AP349</f>
        <v>0</v>
      </c>
      <c r="BE324" s="403">
        <f>'Portefeuille SP2'!AQ349</f>
        <v>0</v>
      </c>
      <c r="BF324" s="403">
        <f>'Portefeuille SP2'!AR349</f>
        <v>0</v>
      </c>
      <c r="BG324" s="403" t="e">
        <f>'Portefeuille SP2'!#REF!</f>
        <v>#REF!</v>
      </c>
      <c r="BH324" s="403" t="e">
        <f>'Portefeuille SP2'!#REF!</f>
        <v>#REF!</v>
      </c>
      <c r="BI324" s="403" t="e">
        <f>'Portefeuille SP2'!#REF!</f>
        <v>#REF!</v>
      </c>
      <c r="BJ324" s="403" t="e">
        <f>'Portefeuille SP2'!#REF!</f>
        <v>#REF!</v>
      </c>
      <c r="BK324" s="403" t="e">
        <f>'Portefeuille SP2'!#REF!</f>
        <v>#REF!</v>
      </c>
      <c r="BL324" s="388"/>
      <c r="BM324" s="404">
        <f>'Portefeuille SP2'!L349</f>
        <v>0</v>
      </c>
    </row>
    <row r="325" spans="1:65" ht="15" customHeight="1">
      <c r="A325" s="383">
        <f>'Portefeuille SP2'!B350</f>
        <v>0</v>
      </c>
      <c r="B325" s="390">
        <f>'Portefeuille SP2'!Q350</f>
        <v>0</v>
      </c>
      <c r="C325" s="384"/>
      <c r="D325" s="382">
        <f>'Portefeuille SP2'!E350</f>
        <v>0</v>
      </c>
      <c r="E325" s="382" t="str">
        <f t="shared" si="29"/>
        <v>0</v>
      </c>
      <c r="F325" s="382" t="str">
        <f t="shared" si="30"/>
        <v/>
      </c>
      <c r="G325" s="382">
        <f>'Portefeuille SP2'!C350</f>
        <v>0</v>
      </c>
      <c r="H325" s="382">
        <f>'Portefeuille SP2'!F350</f>
        <v>0</v>
      </c>
      <c r="I325" s="382"/>
      <c r="J325" s="382">
        <f>'Portefeuille SP2'!D350</f>
        <v>0</v>
      </c>
      <c r="K325" s="385">
        <f>'Portefeuille SP2'!H350</f>
        <v>0</v>
      </c>
      <c r="L325" s="157">
        <f>'Portefeuille SP2'!U350</f>
        <v>0</v>
      </c>
      <c r="M325" s="386"/>
      <c r="N325" s="386"/>
      <c r="O325" s="386"/>
      <c r="P325" s="387">
        <f>'Portefeuille SP2'!M350</f>
        <v>0</v>
      </c>
      <c r="Q325" s="387"/>
      <c r="R325" s="387">
        <f>'Portefeuille SP2'!N350</f>
        <v>0</v>
      </c>
      <c r="S325" s="387"/>
      <c r="T325" s="382">
        <f>'Portefeuille SP2'!R350</f>
        <v>0</v>
      </c>
      <c r="U325" s="387">
        <f>'Portefeuille SP2'!K350</f>
        <v>0</v>
      </c>
      <c r="V325" s="399">
        <f>'Portefeuille SP2'!S350</f>
        <v>0</v>
      </c>
      <c r="W325" s="387"/>
      <c r="X325" s="387"/>
      <c r="Y325" s="387"/>
      <c r="Z325" s="387"/>
      <c r="AA325" s="387"/>
      <c r="AB325" s="387"/>
      <c r="AC325" s="387"/>
      <c r="AD325" s="387"/>
      <c r="AE325" s="400">
        <f>'Portefeuille SP2'!J350</f>
        <v>0</v>
      </c>
      <c r="AF325" s="387"/>
      <c r="AG325" s="387"/>
      <c r="AH325" s="389"/>
      <c r="AI325" s="389"/>
      <c r="AJ325" s="403">
        <f>'Portefeuille SP2'!V350</f>
        <v>0</v>
      </c>
      <c r="AK325" s="403">
        <f>'Portefeuille SP2'!W350</f>
        <v>0</v>
      </c>
      <c r="AL325" s="403">
        <f>'Portefeuille SP2'!X350</f>
        <v>0</v>
      </c>
      <c r="AM325" s="403">
        <f>'Portefeuille SP2'!Y350</f>
        <v>0</v>
      </c>
      <c r="AN325" s="403">
        <f>'Portefeuille SP2'!Z350</f>
        <v>0</v>
      </c>
      <c r="AO325" s="403">
        <f>'Portefeuille SP2'!AA350</f>
        <v>0</v>
      </c>
      <c r="AP325" s="403">
        <f>'Portefeuille SP2'!AB350</f>
        <v>0</v>
      </c>
      <c r="AQ325" s="403">
        <f>'Portefeuille SP2'!AC350</f>
        <v>0</v>
      </c>
      <c r="AR325" s="403">
        <f>'Portefeuille SP2'!AD350</f>
        <v>0</v>
      </c>
      <c r="AS325" s="403">
        <f>'Portefeuille SP2'!AE350</f>
        <v>0</v>
      </c>
      <c r="AT325" s="403">
        <f>'Portefeuille SP2'!AF350</f>
        <v>0</v>
      </c>
      <c r="AU325" s="403">
        <f>'Portefeuille SP2'!AG350</f>
        <v>0</v>
      </c>
      <c r="AV325" s="403">
        <f>'Portefeuille SP2'!AH350</f>
        <v>0</v>
      </c>
      <c r="AW325" s="403">
        <f>'Portefeuille SP2'!AI350</f>
        <v>0</v>
      </c>
      <c r="AX325" s="403">
        <f>'Portefeuille SP2'!AJ350</f>
        <v>0</v>
      </c>
      <c r="AY325" s="403">
        <f>'Portefeuille SP2'!AK350</f>
        <v>0</v>
      </c>
      <c r="AZ325" s="403">
        <f>'Portefeuille SP2'!AL350</f>
        <v>0</v>
      </c>
      <c r="BA325" s="403">
        <f>'Portefeuille SP2'!AM350</f>
        <v>0</v>
      </c>
      <c r="BB325" s="403">
        <f>'Portefeuille SP2'!AN350</f>
        <v>0</v>
      </c>
      <c r="BC325" s="403">
        <f>'Portefeuille SP2'!AO350</f>
        <v>0</v>
      </c>
      <c r="BD325" s="403">
        <f>'Portefeuille SP2'!AP350</f>
        <v>0</v>
      </c>
      <c r="BE325" s="403">
        <f>'Portefeuille SP2'!AQ350</f>
        <v>0</v>
      </c>
      <c r="BF325" s="403">
        <f>'Portefeuille SP2'!AR350</f>
        <v>0</v>
      </c>
      <c r="BG325" s="403" t="e">
        <f>'Portefeuille SP2'!#REF!</f>
        <v>#REF!</v>
      </c>
      <c r="BH325" s="403" t="e">
        <f>'Portefeuille SP2'!#REF!</f>
        <v>#REF!</v>
      </c>
      <c r="BI325" s="403" t="e">
        <f>'Portefeuille SP2'!#REF!</f>
        <v>#REF!</v>
      </c>
      <c r="BJ325" s="403" t="e">
        <f>'Portefeuille SP2'!#REF!</f>
        <v>#REF!</v>
      </c>
      <c r="BK325" s="403" t="e">
        <f>'Portefeuille SP2'!#REF!</f>
        <v>#REF!</v>
      </c>
      <c r="BL325" s="388"/>
      <c r="BM325" s="404">
        <f>'Portefeuille SP2'!L350</f>
        <v>0</v>
      </c>
    </row>
    <row r="326" spans="1:65" ht="15" customHeight="1">
      <c r="A326" s="383">
        <f>'Portefeuille SP2'!B351</f>
        <v>0</v>
      </c>
      <c r="B326" s="390">
        <f>'Portefeuille SP2'!Q351</f>
        <v>0</v>
      </c>
      <c r="C326" s="384"/>
      <c r="D326" s="382">
        <f>'Portefeuille SP2'!E351</f>
        <v>0</v>
      </c>
      <c r="E326" s="382" t="str">
        <f t="shared" si="29"/>
        <v>0</v>
      </c>
      <c r="F326" s="382" t="str">
        <f t="shared" si="30"/>
        <v/>
      </c>
      <c r="G326" s="382">
        <f>'Portefeuille SP2'!C351</f>
        <v>0</v>
      </c>
      <c r="H326" s="382">
        <f>'Portefeuille SP2'!F351</f>
        <v>0</v>
      </c>
      <c r="I326" s="382"/>
      <c r="J326" s="382">
        <f>'Portefeuille SP2'!D351</f>
        <v>0</v>
      </c>
      <c r="K326" s="385">
        <f>'Portefeuille SP2'!H351</f>
        <v>0</v>
      </c>
      <c r="L326" s="157">
        <f>'Portefeuille SP2'!U351</f>
        <v>0</v>
      </c>
      <c r="M326" s="386"/>
      <c r="N326" s="386"/>
      <c r="O326" s="386"/>
      <c r="P326" s="387">
        <f>'Portefeuille SP2'!M351</f>
        <v>0</v>
      </c>
      <c r="Q326" s="387"/>
      <c r="R326" s="387">
        <f>'Portefeuille SP2'!N351</f>
        <v>0</v>
      </c>
      <c r="S326" s="387"/>
      <c r="T326" s="382">
        <f>'Portefeuille SP2'!R351</f>
        <v>0</v>
      </c>
      <c r="U326" s="387">
        <f>'Portefeuille SP2'!K351</f>
        <v>0</v>
      </c>
      <c r="V326" s="399">
        <f>'Portefeuille SP2'!S351</f>
        <v>0</v>
      </c>
      <c r="W326" s="387"/>
      <c r="X326" s="387"/>
      <c r="Y326" s="387"/>
      <c r="Z326" s="387"/>
      <c r="AA326" s="387"/>
      <c r="AB326" s="387"/>
      <c r="AC326" s="387"/>
      <c r="AD326" s="387"/>
      <c r="AE326" s="400">
        <f>'Portefeuille SP2'!J351</f>
        <v>0</v>
      </c>
      <c r="AF326" s="387"/>
      <c r="AG326" s="387"/>
      <c r="AH326" s="389"/>
      <c r="AI326" s="389"/>
      <c r="AJ326" s="403">
        <f>'Portefeuille SP2'!V351</f>
        <v>0</v>
      </c>
      <c r="AK326" s="403">
        <f>'Portefeuille SP2'!W351</f>
        <v>0</v>
      </c>
      <c r="AL326" s="403">
        <f>'Portefeuille SP2'!X351</f>
        <v>0</v>
      </c>
      <c r="AM326" s="403">
        <f>'Portefeuille SP2'!Y351</f>
        <v>0</v>
      </c>
      <c r="AN326" s="403">
        <f>'Portefeuille SP2'!Z351</f>
        <v>0</v>
      </c>
      <c r="AO326" s="403">
        <f>'Portefeuille SP2'!AA351</f>
        <v>0</v>
      </c>
      <c r="AP326" s="403">
        <f>'Portefeuille SP2'!AB351</f>
        <v>0</v>
      </c>
      <c r="AQ326" s="403">
        <f>'Portefeuille SP2'!AC351</f>
        <v>0</v>
      </c>
      <c r="AR326" s="403">
        <f>'Portefeuille SP2'!AD351</f>
        <v>0</v>
      </c>
      <c r="AS326" s="403">
        <f>'Portefeuille SP2'!AE351</f>
        <v>0</v>
      </c>
      <c r="AT326" s="403">
        <f>'Portefeuille SP2'!AF351</f>
        <v>0</v>
      </c>
      <c r="AU326" s="403">
        <f>'Portefeuille SP2'!AG351</f>
        <v>0</v>
      </c>
      <c r="AV326" s="403">
        <f>'Portefeuille SP2'!AH351</f>
        <v>0</v>
      </c>
      <c r="AW326" s="403">
        <f>'Portefeuille SP2'!AI351</f>
        <v>0</v>
      </c>
      <c r="AX326" s="403">
        <f>'Portefeuille SP2'!AJ351</f>
        <v>0</v>
      </c>
      <c r="AY326" s="403">
        <f>'Portefeuille SP2'!AK351</f>
        <v>0</v>
      </c>
      <c r="AZ326" s="403">
        <f>'Portefeuille SP2'!AL351</f>
        <v>0</v>
      </c>
      <c r="BA326" s="403">
        <f>'Portefeuille SP2'!AM351</f>
        <v>0</v>
      </c>
      <c r="BB326" s="403">
        <f>'Portefeuille SP2'!AN351</f>
        <v>0</v>
      </c>
      <c r="BC326" s="403">
        <f>'Portefeuille SP2'!AO351</f>
        <v>0</v>
      </c>
      <c r="BD326" s="403">
        <f>'Portefeuille SP2'!AP351</f>
        <v>0</v>
      </c>
      <c r="BE326" s="403">
        <f>'Portefeuille SP2'!AQ351</f>
        <v>0</v>
      </c>
      <c r="BF326" s="403">
        <f>'Portefeuille SP2'!AR351</f>
        <v>0</v>
      </c>
      <c r="BG326" s="403" t="e">
        <f>'Portefeuille SP2'!#REF!</f>
        <v>#REF!</v>
      </c>
      <c r="BH326" s="403" t="e">
        <f>'Portefeuille SP2'!#REF!</f>
        <v>#REF!</v>
      </c>
      <c r="BI326" s="403" t="e">
        <f>'Portefeuille SP2'!#REF!</f>
        <v>#REF!</v>
      </c>
      <c r="BJ326" s="403" t="e">
        <f>'Portefeuille SP2'!#REF!</f>
        <v>#REF!</v>
      </c>
      <c r="BK326" s="403" t="e">
        <f>'Portefeuille SP2'!#REF!</f>
        <v>#REF!</v>
      </c>
      <c r="BL326" s="388"/>
      <c r="BM326" s="404">
        <f>'Portefeuille SP2'!L351</f>
        <v>0</v>
      </c>
    </row>
    <row r="327" spans="1:65" ht="15" customHeight="1">
      <c r="A327" s="383">
        <f>'Portefeuille SP2'!B352</f>
        <v>0</v>
      </c>
      <c r="B327" s="390">
        <f>'Portefeuille SP2'!Q352</f>
        <v>0</v>
      </c>
      <c r="C327" s="384"/>
      <c r="D327" s="382">
        <f>'Portefeuille SP2'!E352</f>
        <v>0</v>
      </c>
      <c r="E327" s="382" t="str">
        <f t="shared" si="29"/>
        <v>0</v>
      </c>
      <c r="F327" s="382" t="str">
        <f t="shared" si="30"/>
        <v/>
      </c>
      <c r="G327" s="382">
        <f>'Portefeuille SP2'!C352</f>
        <v>0</v>
      </c>
      <c r="H327" s="382">
        <f>'Portefeuille SP2'!F352</f>
        <v>0</v>
      </c>
      <c r="I327" s="382"/>
      <c r="J327" s="382">
        <f>'Portefeuille SP2'!D352</f>
        <v>0</v>
      </c>
      <c r="K327" s="385">
        <f>'Portefeuille SP2'!H352</f>
        <v>0</v>
      </c>
      <c r="L327" s="157">
        <f>'Portefeuille SP2'!U352</f>
        <v>0</v>
      </c>
      <c r="M327" s="386"/>
      <c r="N327" s="386"/>
      <c r="O327" s="386"/>
      <c r="P327" s="387">
        <f>'Portefeuille SP2'!M352</f>
        <v>0</v>
      </c>
      <c r="Q327" s="387"/>
      <c r="R327" s="387">
        <f>'Portefeuille SP2'!N352</f>
        <v>0</v>
      </c>
      <c r="S327" s="387"/>
      <c r="T327" s="382">
        <f>'Portefeuille SP2'!R352</f>
        <v>0</v>
      </c>
      <c r="U327" s="387">
        <f>'Portefeuille SP2'!K352</f>
        <v>0</v>
      </c>
      <c r="V327" s="399">
        <f>'Portefeuille SP2'!S352</f>
        <v>0</v>
      </c>
      <c r="W327" s="387"/>
      <c r="X327" s="387"/>
      <c r="Y327" s="387"/>
      <c r="Z327" s="387"/>
      <c r="AA327" s="387"/>
      <c r="AB327" s="387"/>
      <c r="AC327" s="387"/>
      <c r="AD327" s="387"/>
      <c r="AE327" s="400">
        <f>'Portefeuille SP2'!J352</f>
        <v>0</v>
      </c>
      <c r="AF327" s="387"/>
      <c r="AG327" s="387"/>
      <c r="AH327" s="389"/>
      <c r="AI327" s="389"/>
      <c r="AJ327" s="403">
        <f>'Portefeuille SP2'!V352</f>
        <v>0</v>
      </c>
      <c r="AK327" s="403">
        <f>'Portefeuille SP2'!W352</f>
        <v>0</v>
      </c>
      <c r="AL327" s="403">
        <f>'Portefeuille SP2'!X352</f>
        <v>0</v>
      </c>
      <c r="AM327" s="403">
        <f>'Portefeuille SP2'!Y352</f>
        <v>0</v>
      </c>
      <c r="AN327" s="403">
        <f>'Portefeuille SP2'!Z352</f>
        <v>0</v>
      </c>
      <c r="AO327" s="403">
        <f>'Portefeuille SP2'!AA352</f>
        <v>0</v>
      </c>
      <c r="AP327" s="403">
        <f>'Portefeuille SP2'!AB352</f>
        <v>0</v>
      </c>
      <c r="AQ327" s="403">
        <f>'Portefeuille SP2'!AC352</f>
        <v>0</v>
      </c>
      <c r="AR327" s="403">
        <f>'Portefeuille SP2'!AD352</f>
        <v>0</v>
      </c>
      <c r="AS327" s="403">
        <f>'Portefeuille SP2'!AE352</f>
        <v>0</v>
      </c>
      <c r="AT327" s="403">
        <f>'Portefeuille SP2'!AF352</f>
        <v>0</v>
      </c>
      <c r="AU327" s="403">
        <f>'Portefeuille SP2'!AG352</f>
        <v>0</v>
      </c>
      <c r="AV327" s="403">
        <f>'Portefeuille SP2'!AH352</f>
        <v>0</v>
      </c>
      <c r="AW327" s="403">
        <f>'Portefeuille SP2'!AI352</f>
        <v>0</v>
      </c>
      <c r="AX327" s="403">
        <f>'Portefeuille SP2'!AJ352</f>
        <v>0</v>
      </c>
      <c r="AY327" s="403">
        <f>'Portefeuille SP2'!AK352</f>
        <v>0</v>
      </c>
      <c r="AZ327" s="403">
        <f>'Portefeuille SP2'!AL352</f>
        <v>0</v>
      </c>
      <c r="BA327" s="403">
        <f>'Portefeuille SP2'!AM352</f>
        <v>0</v>
      </c>
      <c r="BB327" s="403">
        <f>'Portefeuille SP2'!AN352</f>
        <v>0</v>
      </c>
      <c r="BC327" s="403">
        <f>'Portefeuille SP2'!AO352</f>
        <v>0</v>
      </c>
      <c r="BD327" s="403">
        <f>'Portefeuille SP2'!AP352</f>
        <v>0</v>
      </c>
      <c r="BE327" s="403">
        <f>'Portefeuille SP2'!AQ352</f>
        <v>0</v>
      </c>
      <c r="BF327" s="403">
        <f>'Portefeuille SP2'!AR352</f>
        <v>0</v>
      </c>
      <c r="BG327" s="403" t="e">
        <f>'Portefeuille SP2'!#REF!</f>
        <v>#REF!</v>
      </c>
      <c r="BH327" s="403" t="e">
        <f>'Portefeuille SP2'!#REF!</f>
        <v>#REF!</v>
      </c>
      <c r="BI327" s="403" t="e">
        <f>'Portefeuille SP2'!#REF!</f>
        <v>#REF!</v>
      </c>
      <c r="BJ327" s="403" t="e">
        <f>'Portefeuille SP2'!#REF!</f>
        <v>#REF!</v>
      </c>
      <c r="BK327" s="403" t="e">
        <f>'Portefeuille SP2'!#REF!</f>
        <v>#REF!</v>
      </c>
      <c r="BL327" s="388"/>
      <c r="BM327" s="404">
        <f>'Portefeuille SP2'!L352</f>
        <v>0</v>
      </c>
    </row>
    <row r="328" spans="1:65" ht="15" customHeight="1">
      <c r="A328" s="383">
        <f>'Portefeuille SP2'!B353</f>
        <v>0</v>
      </c>
      <c r="B328" s="390">
        <f>'Portefeuille SP2'!Q353</f>
        <v>0</v>
      </c>
      <c r="C328" s="384"/>
      <c r="D328" s="382">
        <f>'Portefeuille SP2'!E353</f>
        <v>0</v>
      </c>
      <c r="E328" s="382" t="str">
        <f t="shared" si="29"/>
        <v>0</v>
      </c>
      <c r="F328" s="382" t="str">
        <f t="shared" si="30"/>
        <v/>
      </c>
      <c r="G328" s="382">
        <f>'Portefeuille SP2'!C353</f>
        <v>0</v>
      </c>
      <c r="H328" s="382">
        <f>'Portefeuille SP2'!F353</f>
        <v>0</v>
      </c>
      <c r="I328" s="382"/>
      <c r="J328" s="382">
        <f>'Portefeuille SP2'!D353</f>
        <v>0</v>
      </c>
      <c r="K328" s="385">
        <f>'Portefeuille SP2'!H353</f>
        <v>0</v>
      </c>
      <c r="L328" s="157">
        <f>'Portefeuille SP2'!U353</f>
        <v>0</v>
      </c>
      <c r="M328" s="386"/>
      <c r="N328" s="386"/>
      <c r="O328" s="386"/>
      <c r="P328" s="387">
        <f>'Portefeuille SP2'!M353</f>
        <v>0</v>
      </c>
      <c r="Q328" s="387"/>
      <c r="R328" s="387">
        <f>'Portefeuille SP2'!N353</f>
        <v>0</v>
      </c>
      <c r="S328" s="387"/>
      <c r="T328" s="382">
        <f>'Portefeuille SP2'!R353</f>
        <v>0</v>
      </c>
      <c r="U328" s="387">
        <f>'Portefeuille SP2'!K353</f>
        <v>0</v>
      </c>
      <c r="V328" s="399">
        <f>'Portefeuille SP2'!S353</f>
        <v>0</v>
      </c>
      <c r="W328" s="387"/>
      <c r="X328" s="387"/>
      <c r="Y328" s="387"/>
      <c r="Z328" s="387"/>
      <c r="AA328" s="387"/>
      <c r="AB328" s="387"/>
      <c r="AC328" s="387"/>
      <c r="AD328" s="387"/>
      <c r="AE328" s="400">
        <f>'Portefeuille SP2'!J353</f>
        <v>0</v>
      </c>
      <c r="AF328" s="387"/>
      <c r="AG328" s="387"/>
      <c r="AH328" s="389"/>
      <c r="AI328" s="389"/>
      <c r="AJ328" s="403">
        <f>'Portefeuille SP2'!V353</f>
        <v>0</v>
      </c>
      <c r="AK328" s="403">
        <f>'Portefeuille SP2'!W353</f>
        <v>0</v>
      </c>
      <c r="AL328" s="403">
        <f>'Portefeuille SP2'!X353</f>
        <v>0</v>
      </c>
      <c r="AM328" s="403">
        <f>'Portefeuille SP2'!Y353</f>
        <v>0</v>
      </c>
      <c r="AN328" s="403">
        <f>'Portefeuille SP2'!Z353</f>
        <v>0</v>
      </c>
      <c r="AO328" s="403">
        <f>'Portefeuille SP2'!AA353</f>
        <v>0</v>
      </c>
      <c r="AP328" s="403">
        <f>'Portefeuille SP2'!AB353</f>
        <v>0</v>
      </c>
      <c r="AQ328" s="403">
        <f>'Portefeuille SP2'!AC353</f>
        <v>0</v>
      </c>
      <c r="AR328" s="403">
        <f>'Portefeuille SP2'!AD353</f>
        <v>0</v>
      </c>
      <c r="AS328" s="403">
        <f>'Portefeuille SP2'!AE353</f>
        <v>0</v>
      </c>
      <c r="AT328" s="403">
        <f>'Portefeuille SP2'!AF353</f>
        <v>0</v>
      </c>
      <c r="AU328" s="403">
        <f>'Portefeuille SP2'!AG353</f>
        <v>0</v>
      </c>
      <c r="AV328" s="403">
        <f>'Portefeuille SP2'!AH353</f>
        <v>0</v>
      </c>
      <c r="AW328" s="403">
        <f>'Portefeuille SP2'!AI353</f>
        <v>0</v>
      </c>
      <c r="AX328" s="403">
        <f>'Portefeuille SP2'!AJ353</f>
        <v>0</v>
      </c>
      <c r="AY328" s="403">
        <f>'Portefeuille SP2'!AK353</f>
        <v>0</v>
      </c>
      <c r="AZ328" s="403">
        <f>'Portefeuille SP2'!AL353</f>
        <v>0</v>
      </c>
      <c r="BA328" s="403">
        <f>'Portefeuille SP2'!AM353</f>
        <v>0</v>
      </c>
      <c r="BB328" s="403">
        <f>'Portefeuille SP2'!AN353</f>
        <v>0</v>
      </c>
      <c r="BC328" s="403">
        <f>'Portefeuille SP2'!AO353</f>
        <v>0</v>
      </c>
      <c r="BD328" s="403">
        <f>'Portefeuille SP2'!AP353</f>
        <v>0</v>
      </c>
      <c r="BE328" s="403">
        <f>'Portefeuille SP2'!AQ353</f>
        <v>0</v>
      </c>
      <c r="BF328" s="403">
        <f>'Portefeuille SP2'!AR353</f>
        <v>0</v>
      </c>
      <c r="BG328" s="403" t="e">
        <f>'Portefeuille SP2'!#REF!</f>
        <v>#REF!</v>
      </c>
      <c r="BH328" s="403" t="e">
        <f>'Portefeuille SP2'!#REF!</f>
        <v>#REF!</v>
      </c>
      <c r="BI328" s="403" t="e">
        <f>'Portefeuille SP2'!#REF!</f>
        <v>#REF!</v>
      </c>
      <c r="BJ328" s="403" t="e">
        <f>'Portefeuille SP2'!#REF!</f>
        <v>#REF!</v>
      </c>
      <c r="BK328" s="403" t="e">
        <f>'Portefeuille SP2'!#REF!</f>
        <v>#REF!</v>
      </c>
      <c r="BL328" s="388"/>
      <c r="BM328" s="404">
        <f>'Portefeuille SP2'!L353</f>
        <v>0</v>
      </c>
    </row>
    <row r="329" spans="1:65" ht="15" customHeight="1">
      <c r="A329" s="383">
        <f>'Portefeuille SP2'!B354</f>
        <v>0</v>
      </c>
      <c r="B329" s="390">
        <f>'Portefeuille SP2'!Q354</f>
        <v>0</v>
      </c>
      <c r="C329" s="384"/>
      <c r="D329" s="382">
        <f>'Portefeuille SP2'!E354</f>
        <v>0</v>
      </c>
      <c r="E329" s="382" t="str">
        <f t="shared" ref="E329:E392" si="31">LEFT(J329,3)</f>
        <v>0</v>
      </c>
      <c r="F329" s="382" t="str">
        <f t="shared" ref="F329:F392" si="32">MID(J329, 6, 20)</f>
        <v/>
      </c>
      <c r="G329" s="382">
        <f>'Portefeuille SP2'!C354</f>
        <v>0</v>
      </c>
      <c r="H329" s="382">
        <f>'Portefeuille SP2'!F354</f>
        <v>0</v>
      </c>
      <c r="I329" s="382"/>
      <c r="J329" s="382">
        <f>'Portefeuille SP2'!D354</f>
        <v>0</v>
      </c>
      <c r="K329" s="385">
        <f>'Portefeuille SP2'!H354</f>
        <v>0</v>
      </c>
      <c r="L329" s="157">
        <f>'Portefeuille SP2'!U354</f>
        <v>0</v>
      </c>
      <c r="M329" s="386"/>
      <c r="N329" s="386"/>
      <c r="O329" s="386"/>
      <c r="P329" s="387">
        <f>'Portefeuille SP2'!M354</f>
        <v>0</v>
      </c>
      <c r="Q329" s="387"/>
      <c r="R329" s="387">
        <f>'Portefeuille SP2'!N354</f>
        <v>0</v>
      </c>
      <c r="S329" s="387"/>
      <c r="T329" s="382">
        <f>'Portefeuille SP2'!R354</f>
        <v>0</v>
      </c>
      <c r="U329" s="387">
        <f>'Portefeuille SP2'!K354</f>
        <v>0</v>
      </c>
      <c r="V329" s="399">
        <f>'Portefeuille SP2'!S354</f>
        <v>0</v>
      </c>
      <c r="W329" s="387"/>
      <c r="X329" s="387"/>
      <c r="Y329" s="387"/>
      <c r="Z329" s="387"/>
      <c r="AA329" s="387"/>
      <c r="AB329" s="387"/>
      <c r="AC329" s="387"/>
      <c r="AD329" s="387"/>
      <c r="AE329" s="400">
        <f>'Portefeuille SP2'!J354</f>
        <v>0</v>
      </c>
      <c r="AF329" s="387"/>
      <c r="AG329" s="387"/>
      <c r="AH329" s="389"/>
      <c r="AI329" s="389"/>
      <c r="AJ329" s="403">
        <f>'Portefeuille SP2'!V354</f>
        <v>0</v>
      </c>
      <c r="AK329" s="403">
        <f>'Portefeuille SP2'!W354</f>
        <v>0</v>
      </c>
      <c r="AL329" s="403">
        <f>'Portefeuille SP2'!X354</f>
        <v>0</v>
      </c>
      <c r="AM329" s="403">
        <f>'Portefeuille SP2'!Y354</f>
        <v>0</v>
      </c>
      <c r="AN329" s="403">
        <f>'Portefeuille SP2'!Z354</f>
        <v>0</v>
      </c>
      <c r="AO329" s="403">
        <f>'Portefeuille SP2'!AA354</f>
        <v>0</v>
      </c>
      <c r="AP329" s="403">
        <f>'Portefeuille SP2'!AB354</f>
        <v>0</v>
      </c>
      <c r="AQ329" s="403">
        <f>'Portefeuille SP2'!AC354</f>
        <v>0</v>
      </c>
      <c r="AR329" s="403">
        <f>'Portefeuille SP2'!AD354</f>
        <v>0</v>
      </c>
      <c r="AS329" s="403">
        <f>'Portefeuille SP2'!AE354</f>
        <v>0</v>
      </c>
      <c r="AT329" s="403">
        <f>'Portefeuille SP2'!AF354</f>
        <v>0</v>
      </c>
      <c r="AU329" s="403">
        <f>'Portefeuille SP2'!AG354</f>
        <v>0</v>
      </c>
      <c r="AV329" s="403">
        <f>'Portefeuille SP2'!AH354</f>
        <v>0</v>
      </c>
      <c r="AW329" s="403">
        <f>'Portefeuille SP2'!AI354</f>
        <v>0</v>
      </c>
      <c r="AX329" s="403">
        <f>'Portefeuille SP2'!AJ354</f>
        <v>0</v>
      </c>
      <c r="AY329" s="403">
        <f>'Portefeuille SP2'!AK354</f>
        <v>0</v>
      </c>
      <c r="AZ329" s="403">
        <f>'Portefeuille SP2'!AL354</f>
        <v>0</v>
      </c>
      <c r="BA329" s="403">
        <f>'Portefeuille SP2'!AM354</f>
        <v>0</v>
      </c>
      <c r="BB329" s="403">
        <f>'Portefeuille SP2'!AN354</f>
        <v>0</v>
      </c>
      <c r="BC329" s="403">
        <f>'Portefeuille SP2'!AO354</f>
        <v>0</v>
      </c>
      <c r="BD329" s="403">
        <f>'Portefeuille SP2'!AP354</f>
        <v>0</v>
      </c>
      <c r="BE329" s="403">
        <f>'Portefeuille SP2'!AQ354</f>
        <v>0</v>
      </c>
      <c r="BF329" s="403">
        <f>'Portefeuille SP2'!AR354</f>
        <v>0</v>
      </c>
      <c r="BG329" s="403" t="e">
        <f>'Portefeuille SP2'!#REF!</f>
        <v>#REF!</v>
      </c>
      <c r="BH329" s="403" t="e">
        <f>'Portefeuille SP2'!#REF!</f>
        <v>#REF!</v>
      </c>
      <c r="BI329" s="403" t="e">
        <f>'Portefeuille SP2'!#REF!</f>
        <v>#REF!</v>
      </c>
      <c r="BJ329" s="403" t="e">
        <f>'Portefeuille SP2'!#REF!</f>
        <v>#REF!</v>
      </c>
      <c r="BK329" s="403" t="e">
        <f>'Portefeuille SP2'!#REF!</f>
        <v>#REF!</v>
      </c>
      <c r="BL329" s="388"/>
      <c r="BM329" s="404">
        <f>'Portefeuille SP2'!L354</f>
        <v>0</v>
      </c>
    </row>
    <row r="330" spans="1:65" ht="15" customHeight="1">
      <c r="A330" s="383">
        <f>'Portefeuille SP2'!B355</f>
        <v>0</v>
      </c>
      <c r="B330" s="390">
        <f>'Portefeuille SP2'!Q355</f>
        <v>0</v>
      </c>
      <c r="C330" s="384"/>
      <c r="D330" s="382">
        <f>'Portefeuille SP2'!E355</f>
        <v>0</v>
      </c>
      <c r="E330" s="382" t="str">
        <f t="shared" si="31"/>
        <v>0</v>
      </c>
      <c r="F330" s="382" t="str">
        <f t="shared" si="32"/>
        <v/>
      </c>
      <c r="G330" s="382">
        <f>'Portefeuille SP2'!C355</f>
        <v>0</v>
      </c>
      <c r="H330" s="382">
        <f>'Portefeuille SP2'!F355</f>
        <v>0</v>
      </c>
      <c r="I330" s="382"/>
      <c r="J330" s="382">
        <f>'Portefeuille SP2'!D355</f>
        <v>0</v>
      </c>
      <c r="K330" s="385">
        <f>'Portefeuille SP2'!H355</f>
        <v>0</v>
      </c>
      <c r="L330" s="157">
        <f>'Portefeuille SP2'!U355</f>
        <v>0</v>
      </c>
      <c r="M330" s="386"/>
      <c r="N330" s="386"/>
      <c r="O330" s="386"/>
      <c r="P330" s="387">
        <f>'Portefeuille SP2'!M355</f>
        <v>0</v>
      </c>
      <c r="Q330" s="387"/>
      <c r="R330" s="387">
        <f>'Portefeuille SP2'!N355</f>
        <v>0</v>
      </c>
      <c r="S330" s="387"/>
      <c r="T330" s="382">
        <f>'Portefeuille SP2'!R355</f>
        <v>0</v>
      </c>
      <c r="U330" s="387">
        <f>'Portefeuille SP2'!K355</f>
        <v>0</v>
      </c>
      <c r="V330" s="399">
        <f>'Portefeuille SP2'!S355</f>
        <v>0</v>
      </c>
      <c r="W330" s="387"/>
      <c r="X330" s="387"/>
      <c r="Y330" s="387"/>
      <c r="Z330" s="387"/>
      <c r="AA330" s="387"/>
      <c r="AB330" s="387"/>
      <c r="AC330" s="387"/>
      <c r="AD330" s="387"/>
      <c r="AE330" s="400">
        <f>'Portefeuille SP2'!J355</f>
        <v>0</v>
      </c>
      <c r="AF330" s="387"/>
      <c r="AG330" s="387"/>
      <c r="AH330" s="389"/>
      <c r="AI330" s="389"/>
      <c r="AJ330" s="403">
        <f>'Portefeuille SP2'!V355</f>
        <v>0</v>
      </c>
      <c r="AK330" s="403">
        <f>'Portefeuille SP2'!W355</f>
        <v>0</v>
      </c>
      <c r="AL330" s="403">
        <f>'Portefeuille SP2'!X355</f>
        <v>0</v>
      </c>
      <c r="AM330" s="403">
        <f>'Portefeuille SP2'!Y355</f>
        <v>0</v>
      </c>
      <c r="AN330" s="403">
        <f>'Portefeuille SP2'!Z355</f>
        <v>0</v>
      </c>
      <c r="AO330" s="403">
        <f>'Portefeuille SP2'!AA355</f>
        <v>0</v>
      </c>
      <c r="AP330" s="403">
        <f>'Portefeuille SP2'!AB355</f>
        <v>0</v>
      </c>
      <c r="AQ330" s="403">
        <f>'Portefeuille SP2'!AC355</f>
        <v>0</v>
      </c>
      <c r="AR330" s="403">
        <f>'Portefeuille SP2'!AD355</f>
        <v>0</v>
      </c>
      <c r="AS330" s="403">
        <f>'Portefeuille SP2'!AE355</f>
        <v>0</v>
      </c>
      <c r="AT330" s="403">
        <f>'Portefeuille SP2'!AF355</f>
        <v>0</v>
      </c>
      <c r="AU330" s="403">
        <f>'Portefeuille SP2'!AG355</f>
        <v>0</v>
      </c>
      <c r="AV330" s="403">
        <f>'Portefeuille SP2'!AH355</f>
        <v>0</v>
      </c>
      <c r="AW330" s="403">
        <f>'Portefeuille SP2'!AI355</f>
        <v>0</v>
      </c>
      <c r="AX330" s="403">
        <f>'Portefeuille SP2'!AJ355</f>
        <v>0</v>
      </c>
      <c r="AY330" s="403">
        <f>'Portefeuille SP2'!AK355</f>
        <v>0</v>
      </c>
      <c r="AZ330" s="403">
        <f>'Portefeuille SP2'!AL355</f>
        <v>0</v>
      </c>
      <c r="BA330" s="403">
        <f>'Portefeuille SP2'!AM355</f>
        <v>0</v>
      </c>
      <c r="BB330" s="403">
        <f>'Portefeuille SP2'!AN355</f>
        <v>0</v>
      </c>
      <c r="BC330" s="403">
        <f>'Portefeuille SP2'!AO355</f>
        <v>0</v>
      </c>
      <c r="BD330" s="403">
        <f>'Portefeuille SP2'!AP355</f>
        <v>0</v>
      </c>
      <c r="BE330" s="403">
        <f>'Portefeuille SP2'!AQ355</f>
        <v>0</v>
      </c>
      <c r="BF330" s="403">
        <f>'Portefeuille SP2'!AR355</f>
        <v>0</v>
      </c>
      <c r="BG330" s="403" t="e">
        <f>'Portefeuille SP2'!#REF!</f>
        <v>#REF!</v>
      </c>
      <c r="BH330" s="403" t="e">
        <f>'Portefeuille SP2'!#REF!</f>
        <v>#REF!</v>
      </c>
      <c r="BI330" s="403" t="e">
        <f>'Portefeuille SP2'!#REF!</f>
        <v>#REF!</v>
      </c>
      <c r="BJ330" s="403" t="e">
        <f>'Portefeuille SP2'!#REF!</f>
        <v>#REF!</v>
      </c>
      <c r="BK330" s="403" t="e">
        <f>'Portefeuille SP2'!#REF!</f>
        <v>#REF!</v>
      </c>
      <c r="BL330" s="388"/>
      <c r="BM330" s="404">
        <f>'Portefeuille SP2'!L355</f>
        <v>0</v>
      </c>
    </row>
    <row r="331" spans="1:65" ht="15" customHeight="1">
      <c r="A331" s="383">
        <f>'Portefeuille SP2'!B356</f>
        <v>0</v>
      </c>
      <c r="B331" s="390">
        <f>'Portefeuille SP2'!Q356</f>
        <v>0</v>
      </c>
      <c r="C331" s="384"/>
      <c r="D331" s="382">
        <f>'Portefeuille SP2'!E356</f>
        <v>0</v>
      </c>
      <c r="E331" s="382" t="str">
        <f t="shared" si="31"/>
        <v>0</v>
      </c>
      <c r="F331" s="382" t="str">
        <f t="shared" si="32"/>
        <v/>
      </c>
      <c r="G331" s="382">
        <f>'Portefeuille SP2'!C356</f>
        <v>0</v>
      </c>
      <c r="H331" s="382">
        <f>'Portefeuille SP2'!F356</f>
        <v>0</v>
      </c>
      <c r="I331" s="382"/>
      <c r="J331" s="382">
        <f>'Portefeuille SP2'!D356</f>
        <v>0</v>
      </c>
      <c r="K331" s="385">
        <f>'Portefeuille SP2'!H356</f>
        <v>0</v>
      </c>
      <c r="L331" s="157">
        <f>'Portefeuille SP2'!U356</f>
        <v>0</v>
      </c>
      <c r="M331" s="386"/>
      <c r="N331" s="386"/>
      <c r="O331" s="386"/>
      <c r="P331" s="387">
        <f>'Portefeuille SP2'!M356</f>
        <v>0</v>
      </c>
      <c r="Q331" s="387"/>
      <c r="R331" s="387">
        <f>'Portefeuille SP2'!N356</f>
        <v>0</v>
      </c>
      <c r="S331" s="387"/>
      <c r="T331" s="382">
        <f>'Portefeuille SP2'!R356</f>
        <v>0</v>
      </c>
      <c r="U331" s="387">
        <f>'Portefeuille SP2'!K356</f>
        <v>0</v>
      </c>
      <c r="V331" s="399">
        <f>'Portefeuille SP2'!S356</f>
        <v>0</v>
      </c>
      <c r="W331" s="387"/>
      <c r="X331" s="387"/>
      <c r="Y331" s="387"/>
      <c r="Z331" s="387"/>
      <c r="AA331" s="387"/>
      <c r="AB331" s="387"/>
      <c r="AC331" s="387"/>
      <c r="AD331" s="387"/>
      <c r="AE331" s="400">
        <f>'Portefeuille SP2'!J356</f>
        <v>0</v>
      </c>
      <c r="AF331" s="387"/>
      <c r="AG331" s="387"/>
      <c r="AH331" s="389"/>
      <c r="AI331" s="389"/>
      <c r="AJ331" s="403">
        <f>'Portefeuille SP2'!V356</f>
        <v>0</v>
      </c>
      <c r="AK331" s="403">
        <f>'Portefeuille SP2'!W356</f>
        <v>0</v>
      </c>
      <c r="AL331" s="403">
        <f>'Portefeuille SP2'!X356</f>
        <v>0</v>
      </c>
      <c r="AM331" s="403">
        <f>'Portefeuille SP2'!Y356</f>
        <v>0</v>
      </c>
      <c r="AN331" s="403">
        <f>'Portefeuille SP2'!Z356</f>
        <v>0</v>
      </c>
      <c r="AO331" s="403">
        <f>'Portefeuille SP2'!AA356</f>
        <v>0</v>
      </c>
      <c r="AP331" s="403">
        <f>'Portefeuille SP2'!AB356</f>
        <v>0</v>
      </c>
      <c r="AQ331" s="403">
        <f>'Portefeuille SP2'!AC356</f>
        <v>0</v>
      </c>
      <c r="AR331" s="403">
        <f>'Portefeuille SP2'!AD356</f>
        <v>0</v>
      </c>
      <c r="AS331" s="403">
        <f>'Portefeuille SP2'!AE356</f>
        <v>0</v>
      </c>
      <c r="AT331" s="403">
        <f>'Portefeuille SP2'!AF356</f>
        <v>0</v>
      </c>
      <c r="AU331" s="403">
        <f>'Portefeuille SP2'!AG356</f>
        <v>0</v>
      </c>
      <c r="AV331" s="403">
        <f>'Portefeuille SP2'!AH356</f>
        <v>0</v>
      </c>
      <c r="AW331" s="403">
        <f>'Portefeuille SP2'!AI356</f>
        <v>0</v>
      </c>
      <c r="AX331" s="403">
        <f>'Portefeuille SP2'!AJ356</f>
        <v>0</v>
      </c>
      <c r="AY331" s="403">
        <f>'Portefeuille SP2'!AK356</f>
        <v>0</v>
      </c>
      <c r="AZ331" s="403">
        <f>'Portefeuille SP2'!AL356</f>
        <v>0</v>
      </c>
      <c r="BA331" s="403">
        <f>'Portefeuille SP2'!AM356</f>
        <v>0</v>
      </c>
      <c r="BB331" s="403">
        <f>'Portefeuille SP2'!AN356</f>
        <v>0</v>
      </c>
      <c r="BC331" s="403">
        <f>'Portefeuille SP2'!AO356</f>
        <v>0</v>
      </c>
      <c r="BD331" s="403">
        <f>'Portefeuille SP2'!AP356</f>
        <v>0</v>
      </c>
      <c r="BE331" s="403">
        <f>'Portefeuille SP2'!AQ356</f>
        <v>0</v>
      </c>
      <c r="BF331" s="403">
        <f>'Portefeuille SP2'!AR356</f>
        <v>0</v>
      </c>
      <c r="BG331" s="403" t="e">
        <f>'Portefeuille SP2'!#REF!</f>
        <v>#REF!</v>
      </c>
      <c r="BH331" s="403" t="e">
        <f>'Portefeuille SP2'!#REF!</f>
        <v>#REF!</v>
      </c>
      <c r="BI331" s="403" t="e">
        <f>'Portefeuille SP2'!#REF!</f>
        <v>#REF!</v>
      </c>
      <c r="BJ331" s="403" t="e">
        <f>'Portefeuille SP2'!#REF!</f>
        <v>#REF!</v>
      </c>
      <c r="BK331" s="403" t="e">
        <f>'Portefeuille SP2'!#REF!</f>
        <v>#REF!</v>
      </c>
      <c r="BL331" s="388"/>
      <c r="BM331" s="404">
        <f>'Portefeuille SP2'!L356</f>
        <v>0</v>
      </c>
    </row>
    <row r="332" spans="1:65" ht="15" customHeight="1">
      <c r="A332" s="383">
        <f>'Portefeuille SP2'!B357</f>
        <v>0</v>
      </c>
      <c r="B332" s="390">
        <f>'Portefeuille SP2'!Q357</f>
        <v>0</v>
      </c>
      <c r="C332" s="384"/>
      <c r="D332" s="382">
        <f>'Portefeuille SP2'!E357</f>
        <v>0</v>
      </c>
      <c r="E332" s="382" t="str">
        <f t="shared" si="31"/>
        <v>0</v>
      </c>
      <c r="F332" s="382" t="str">
        <f t="shared" si="32"/>
        <v/>
      </c>
      <c r="G332" s="382">
        <f>'Portefeuille SP2'!C357</f>
        <v>0</v>
      </c>
      <c r="H332" s="382">
        <f>'Portefeuille SP2'!F357</f>
        <v>0</v>
      </c>
      <c r="I332" s="382"/>
      <c r="J332" s="382">
        <f>'Portefeuille SP2'!D357</f>
        <v>0</v>
      </c>
      <c r="K332" s="385">
        <f>'Portefeuille SP2'!H357</f>
        <v>0</v>
      </c>
      <c r="L332" s="157">
        <f>'Portefeuille SP2'!U357</f>
        <v>0</v>
      </c>
      <c r="M332" s="386"/>
      <c r="N332" s="386"/>
      <c r="O332" s="386"/>
      <c r="P332" s="387">
        <f>'Portefeuille SP2'!M357</f>
        <v>0</v>
      </c>
      <c r="Q332" s="387"/>
      <c r="R332" s="387">
        <f>'Portefeuille SP2'!N357</f>
        <v>0</v>
      </c>
      <c r="S332" s="387"/>
      <c r="T332" s="382">
        <f>'Portefeuille SP2'!R357</f>
        <v>0</v>
      </c>
      <c r="U332" s="387">
        <f>'Portefeuille SP2'!K357</f>
        <v>0</v>
      </c>
      <c r="V332" s="399">
        <f>'Portefeuille SP2'!S357</f>
        <v>0</v>
      </c>
      <c r="W332" s="387"/>
      <c r="X332" s="387"/>
      <c r="Y332" s="387"/>
      <c r="Z332" s="387"/>
      <c r="AA332" s="387"/>
      <c r="AB332" s="387"/>
      <c r="AC332" s="387"/>
      <c r="AD332" s="387"/>
      <c r="AE332" s="400">
        <f>'Portefeuille SP2'!J357</f>
        <v>0</v>
      </c>
      <c r="AF332" s="387"/>
      <c r="AG332" s="387"/>
      <c r="AH332" s="389"/>
      <c r="AI332" s="389"/>
      <c r="AJ332" s="403">
        <f>'Portefeuille SP2'!V357</f>
        <v>0</v>
      </c>
      <c r="AK332" s="403">
        <f>'Portefeuille SP2'!W357</f>
        <v>0</v>
      </c>
      <c r="AL332" s="403">
        <f>'Portefeuille SP2'!X357</f>
        <v>0</v>
      </c>
      <c r="AM332" s="403">
        <f>'Portefeuille SP2'!Y357</f>
        <v>0</v>
      </c>
      <c r="AN332" s="403">
        <f>'Portefeuille SP2'!Z357</f>
        <v>0</v>
      </c>
      <c r="AO332" s="403">
        <f>'Portefeuille SP2'!AA357</f>
        <v>0</v>
      </c>
      <c r="AP332" s="403">
        <f>'Portefeuille SP2'!AB357</f>
        <v>0</v>
      </c>
      <c r="AQ332" s="403">
        <f>'Portefeuille SP2'!AC357</f>
        <v>0</v>
      </c>
      <c r="AR332" s="403">
        <f>'Portefeuille SP2'!AD357</f>
        <v>0</v>
      </c>
      <c r="AS332" s="403">
        <f>'Portefeuille SP2'!AE357</f>
        <v>0</v>
      </c>
      <c r="AT332" s="403">
        <f>'Portefeuille SP2'!AF357</f>
        <v>0</v>
      </c>
      <c r="AU332" s="403">
        <f>'Portefeuille SP2'!AG357</f>
        <v>0</v>
      </c>
      <c r="AV332" s="403">
        <f>'Portefeuille SP2'!AH357</f>
        <v>0</v>
      </c>
      <c r="AW332" s="403">
        <f>'Portefeuille SP2'!AI357</f>
        <v>0</v>
      </c>
      <c r="AX332" s="403">
        <f>'Portefeuille SP2'!AJ357</f>
        <v>0</v>
      </c>
      <c r="AY332" s="403">
        <f>'Portefeuille SP2'!AK357</f>
        <v>0</v>
      </c>
      <c r="AZ332" s="403">
        <f>'Portefeuille SP2'!AL357</f>
        <v>0</v>
      </c>
      <c r="BA332" s="403">
        <f>'Portefeuille SP2'!AM357</f>
        <v>0</v>
      </c>
      <c r="BB332" s="403">
        <f>'Portefeuille SP2'!AN357</f>
        <v>0</v>
      </c>
      <c r="BC332" s="403">
        <f>'Portefeuille SP2'!AO357</f>
        <v>0</v>
      </c>
      <c r="BD332" s="403">
        <f>'Portefeuille SP2'!AP357</f>
        <v>0</v>
      </c>
      <c r="BE332" s="403">
        <f>'Portefeuille SP2'!AQ357</f>
        <v>0</v>
      </c>
      <c r="BF332" s="403">
        <f>'Portefeuille SP2'!AR357</f>
        <v>0</v>
      </c>
      <c r="BG332" s="403" t="e">
        <f>'Portefeuille SP2'!#REF!</f>
        <v>#REF!</v>
      </c>
      <c r="BH332" s="403" t="e">
        <f>'Portefeuille SP2'!#REF!</f>
        <v>#REF!</v>
      </c>
      <c r="BI332" s="403" t="e">
        <f>'Portefeuille SP2'!#REF!</f>
        <v>#REF!</v>
      </c>
      <c r="BJ332" s="403" t="e">
        <f>'Portefeuille SP2'!#REF!</f>
        <v>#REF!</v>
      </c>
      <c r="BK332" s="403" t="e">
        <f>'Portefeuille SP2'!#REF!</f>
        <v>#REF!</v>
      </c>
      <c r="BL332" s="388"/>
      <c r="BM332" s="404">
        <f>'Portefeuille SP2'!L357</f>
        <v>0</v>
      </c>
    </row>
    <row r="333" spans="1:65" ht="15" customHeight="1">
      <c r="A333" s="383">
        <f>'Portefeuille SP2'!B358</f>
        <v>0</v>
      </c>
      <c r="B333" s="390">
        <f>'Portefeuille SP2'!Q358</f>
        <v>0</v>
      </c>
      <c r="C333" s="384"/>
      <c r="D333" s="382">
        <f>'Portefeuille SP2'!E358</f>
        <v>0</v>
      </c>
      <c r="E333" s="382" t="str">
        <f t="shared" si="31"/>
        <v>0</v>
      </c>
      <c r="F333" s="382" t="str">
        <f t="shared" si="32"/>
        <v/>
      </c>
      <c r="G333" s="382">
        <f>'Portefeuille SP2'!C358</f>
        <v>0</v>
      </c>
      <c r="H333" s="382">
        <f>'Portefeuille SP2'!F358</f>
        <v>0</v>
      </c>
      <c r="I333" s="382"/>
      <c r="J333" s="382">
        <f>'Portefeuille SP2'!D358</f>
        <v>0</v>
      </c>
      <c r="K333" s="385">
        <f>'Portefeuille SP2'!H358</f>
        <v>0</v>
      </c>
      <c r="L333" s="157">
        <f>'Portefeuille SP2'!U358</f>
        <v>0</v>
      </c>
      <c r="M333" s="386"/>
      <c r="N333" s="386"/>
      <c r="O333" s="386"/>
      <c r="P333" s="387">
        <f>'Portefeuille SP2'!M358</f>
        <v>0</v>
      </c>
      <c r="Q333" s="387"/>
      <c r="R333" s="387">
        <f>'Portefeuille SP2'!N358</f>
        <v>0</v>
      </c>
      <c r="S333" s="387"/>
      <c r="T333" s="382">
        <f>'Portefeuille SP2'!R358</f>
        <v>0</v>
      </c>
      <c r="U333" s="387">
        <f>'Portefeuille SP2'!K358</f>
        <v>0</v>
      </c>
      <c r="V333" s="399">
        <f>'Portefeuille SP2'!S358</f>
        <v>0</v>
      </c>
      <c r="W333" s="387"/>
      <c r="X333" s="387"/>
      <c r="Y333" s="387"/>
      <c r="Z333" s="387"/>
      <c r="AA333" s="387"/>
      <c r="AB333" s="387"/>
      <c r="AC333" s="387"/>
      <c r="AD333" s="387"/>
      <c r="AE333" s="400">
        <f>'Portefeuille SP2'!J358</f>
        <v>0</v>
      </c>
      <c r="AF333" s="387"/>
      <c r="AG333" s="387"/>
      <c r="AH333" s="389"/>
      <c r="AI333" s="389"/>
      <c r="AJ333" s="403">
        <f>'Portefeuille SP2'!V358</f>
        <v>0</v>
      </c>
      <c r="AK333" s="403">
        <f>'Portefeuille SP2'!W358</f>
        <v>0</v>
      </c>
      <c r="AL333" s="403">
        <f>'Portefeuille SP2'!X358</f>
        <v>0</v>
      </c>
      <c r="AM333" s="403">
        <f>'Portefeuille SP2'!Y358</f>
        <v>0</v>
      </c>
      <c r="AN333" s="403">
        <f>'Portefeuille SP2'!Z358</f>
        <v>0</v>
      </c>
      <c r="AO333" s="403">
        <f>'Portefeuille SP2'!AA358</f>
        <v>0</v>
      </c>
      <c r="AP333" s="403">
        <f>'Portefeuille SP2'!AB358</f>
        <v>0</v>
      </c>
      <c r="AQ333" s="403">
        <f>'Portefeuille SP2'!AC358</f>
        <v>0</v>
      </c>
      <c r="AR333" s="403">
        <f>'Portefeuille SP2'!AD358</f>
        <v>0</v>
      </c>
      <c r="AS333" s="403">
        <f>'Portefeuille SP2'!AE358</f>
        <v>0</v>
      </c>
      <c r="AT333" s="403">
        <f>'Portefeuille SP2'!AF358</f>
        <v>0</v>
      </c>
      <c r="AU333" s="403">
        <f>'Portefeuille SP2'!AG358</f>
        <v>0</v>
      </c>
      <c r="AV333" s="403">
        <f>'Portefeuille SP2'!AH358</f>
        <v>0</v>
      </c>
      <c r="AW333" s="403">
        <f>'Portefeuille SP2'!AI358</f>
        <v>0</v>
      </c>
      <c r="AX333" s="403">
        <f>'Portefeuille SP2'!AJ358</f>
        <v>0</v>
      </c>
      <c r="AY333" s="403">
        <f>'Portefeuille SP2'!AK358</f>
        <v>0</v>
      </c>
      <c r="AZ333" s="403">
        <f>'Portefeuille SP2'!AL358</f>
        <v>0</v>
      </c>
      <c r="BA333" s="403">
        <f>'Portefeuille SP2'!AM358</f>
        <v>0</v>
      </c>
      <c r="BB333" s="403">
        <f>'Portefeuille SP2'!AN358</f>
        <v>0</v>
      </c>
      <c r="BC333" s="403">
        <f>'Portefeuille SP2'!AO358</f>
        <v>0</v>
      </c>
      <c r="BD333" s="403">
        <f>'Portefeuille SP2'!AP358</f>
        <v>0</v>
      </c>
      <c r="BE333" s="403">
        <f>'Portefeuille SP2'!AQ358</f>
        <v>0</v>
      </c>
      <c r="BF333" s="403">
        <f>'Portefeuille SP2'!AR358</f>
        <v>0</v>
      </c>
      <c r="BG333" s="403" t="e">
        <f>'Portefeuille SP2'!#REF!</f>
        <v>#REF!</v>
      </c>
      <c r="BH333" s="403" t="e">
        <f>'Portefeuille SP2'!#REF!</f>
        <v>#REF!</v>
      </c>
      <c r="BI333" s="403" t="e">
        <f>'Portefeuille SP2'!#REF!</f>
        <v>#REF!</v>
      </c>
      <c r="BJ333" s="403" t="e">
        <f>'Portefeuille SP2'!#REF!</f>
        <v>#REF!</v>
      </c>
      <c r="BK333" s="403" t="e">
        <f>'Portefeuille SP2'!#REF!</f>
        <v>#REF!</v>
      </c>
      <c r="BL333" s="388"/>
      <c r="BM333" s="404">
        <f>'Portefeuille SP2'!L358</f>
        <v>0</v>
      </c>
    </row>
    <row r="334" spans="1:65" ht="15" customHeight="1">
      <c r="A334" s="383">
        <f>'Portefeuille SP2'!B359</f>
        <v>0</v>
      </c>
      <c r="B334" s="390">
        <f>'Portefeuille SP2'!Q359</f>
        <v>0</v>
      </c>
      <c r="C334" s="384"/>
      <c r="D334" s="382">
        <f>'Portefeuille SP2'!E359</f>
        <v>0</v>
      </c>
      <c r="E334" s="382" t="str">
        <f t="shared" si="31"/>
        <v>0</v>
      </c>
      <c r="F334" s="382" t="str">
        <f t="shared" si="32"/>
        <v/>
      </c>
      <c r="G334" s="382">
        <f>'Portefeuille SP2'!C359</f>
        <v>0</v>
      </c>
      <c r="H334" s="382">
        <f>'Portefeuille SP2'!F359</f>
        <v>0</v>
      </c>
      <c r="I334" s="382"/>
      <c r="J334" s="382">
        <f>'Portefeuille SP2'!D359</f>
        <v>0</v>
      </c>
      <c r="K334" s="385">
        <f>'Portefeuille SP2'!H359</f>
        <v>0</v>
      </c>
      <c r="L334" s="157">
        <f>'Portefeuille SP2'!U359</f>
        <v>0</v>
      </c>
      <c r="M334" s="386"/>
      <c r="N334" s="386"/>
      <c r="O334" s="386"/>
      <c r="P334" s="387">
        <f>'Portefeuille SP2'!M359</f>
        <v>0</v>
      </c>
      <c r="Q334" s="387"/>
      <c r="R334" s="387">
        <f>'Portefeuille SP2'!N359</f>
        <v>0</v>
      </c>
      <c r="S334" s="387"/>
      <c r="T334" s="382">
        <f>'Portefeuille SP2'!R359</f>
        <v>0</v>
      </c>
      <c r="U334" s="387">
        <f>'Portefeuille SP2'!K359</f>
        <v>0</v>
      </c>
      <c r="V334" s="399">
        <f>'Portefeuille SP2'!S359</f>
        <v>0</v>
      </c>
      <c r="W334" s="387"/>
      <c r="X334" s="387"/>
      <c r="Y334" s="387"/>
      <c r="Z334" s="387"/>
      <c r="AA334" s="387"/>
      <c r="AB334" s="387"/>
      <c r="AC334" s="387"/>
      <c r="AD334" s="387"/>
      <c r="AE334" s="400">
        <f>'Portefeuille SP2'!J359</f>
        <v>0</v>
      </c>
      <c r="AF334" s="387"/>
      <c r="AG334" s="387"/>
      <c r="AH334" s="389"/>
      <c r="AI334" s="389"/>
      <c r="AJ334" s="403">
        <f>'Portefeuille SP2'!V359</f>
        <v>0</v>
      </c>
      <c r="AK334" s="403">
        <f>'Portefeuille SP2'!W359</f>
        <v>0</v>
      </c>
      <c r="AL334" s="403">
        <f>'Portefeuille SP2'!X359</f>
        <v>0</v>
      </c>
      <c r="AM334" s="403">
        <f>'Portefeuille SP2'!Y359</f>
        <v>0</v>
      </c>
      <c r="AN334" s="403">
        <f>'Portefeuille SP2'!Z359</f>
        <v>0</v>
      </c>
      <c r="AO334" s="403">
        <f>'Portefeuille SP2'!AA359</f>
        <v>0</v>
      </c>
      <c r="AP334" s="403">
        <f>'Portefeuille SP2'!AB359</f>
        <v>0</v>
      </c>
      <c r="AQ334" s="403">
        <f>'Portefeuille SP2'!AC359</f>
        <v>0</v>
      </c>
      <c r="AR334" s="403">
        <f>'Portefeuille SP2'!AD359</f>
        <v>0</v>
      </c>
      <c r="AS334" s="403">
        <f>'Portefeuille SP2'!AE359</f>
        <v>0</v>
      </c>
      <c r="AT334" s="403">
        <f>'Portefeuille SP2'!AF359</f>
        <v>0</v>
      </c>
      <c r="AU334" s="403">
        <f>'Portefeuille SP2'!AG359</f>
        <v>0</v>
      </c>
      <c r="AV334" s="403">
        <f>'Portefeuille SP2'!AH359</f>
        <v>0</v>
      </c>
      <c r="AW334" s="403">
        <f>'Portefeuille SP2'!AI359</f>
        <v>0</v>
      </c>
      <c r="AX334" s="403">
        <f>'Portefeuille SP2'!AJ359</f>
        <v>0</v>
      </c>
      <c r="AY334" s="403">
        <f>'Portefeuille SP2'!AK359</f>
        <v>0</v>
      </c>
      <c r="AZ334" s="403">
        <f>'Portefeuille SP2'!AL359</f>
        <v>0</v>
      </c>
      <c r="BA334" s="403">
        <f>'Portefeuille SP2'!AM359</f>
        <v>0</v>
      </c>
      <c r="BB334" s="403">
        <f>'Portefeuille SP2'!AN359</f>
        <v>0</v>
      </c>
      <c r="BC334" s="403">
        <f>'Portefeuille SP2'!AO359</f>
        <v>0</v>
      </c>
      <c r="BD334" s="403">
        <f>'Portefeuille SP2'!AP359</f>
        <v>0</v>
      </c>
      <c r="BE334" s="403">
        <f>'Portefeuille SP2'!AQ359</f>
        <v>0</v>
      </c>
      <c r="BF334" s="403">
        <f>'Portefeuille SP2'!AR359</f>
        <v>0</v>
      </c>
      <c r="BG334" s="403" t="e">
        <f>'Portefeuille SP2'!#REF!</f>
        <v>#REF!</v>
      </c>
      <c r="BH334" s="403" t="e">
        <f>'Portefeuille SP2'!#REF!</f>
        <v>#REF!</v>
      </c>
      <c r="BI334" s="403" t="e">
        <f>'Portefeuille SP2'!#REF!</f>
        <v>#REF!</v>
      </c>
      <c r="BJ334" s="403" t="e">
        <f>'Portefeuille SP2'!#REF!</f>
        <v>#REF!</v>
      </c>
      <c r="BK334" s="403" t="e">
        <f>'Portefeuille SP2'!#REF!</f>
        <v>#REF!</v>
      </c>
      <c r="BL334" s="388"/>
      <c r="BM334" s="404">
        <f>'Portefeuille SP2'!L359</f>
        <v>0</v>
      </c>
    </row>
    <row r="335" spans="1:65" ht="15" customHeight="1">
      <c r="A335" s="383">
        <f>'Portefeuille SP2'!B360</f>
        <v>0</v>
      </c>
      <c r="B335" s="390">
        <f>'Portefeuille SP2'!Q360</f>
        <v>0</v>
      </c>
      <c r="C335" s="384"/>
      <c r="D335" s="382">
        <f>'Portefeuille SP2'!E360</f>
        <v>0</v>
      </c>
      <c r="E335" s="382" t="str">
        <f t="shared" si="31"/>
        <v>0</v>
      </c>
      <c r="F335" s="382" t="str">
        <f t="shared" si="32"/>
        <v/>
      </c>
      <c r="G335" s="382">
        <f>'Portefeuille SP2'!C360</f>
        <v>0</v>
      </c>
      <c r="H335" s="382">
        <f>'Portefeuille SP2'!F360</f>
        <v>0</v>
      </c>
      <c r="I335" s="382"/>
      <c r="J335" s="382">
        <f>'Portefeuille SP2'!D360</f>
        <v>0</v>
      </c>
      <c r="K335" s="385">
        <f>'Portefeuille SP2'!H360</f>
        <v>0</v>
      </c>
      <c r="L335" s="157">
        <f>'Portefeuille SP2'!U360</f>
        <v>0</v>
      </c>
      <c r="M335" s="386"/>
      <c r="N335" s="386"/>
      <c r="O335" s="386"/>
      <c r="P335" s="387">
        <f>'Portefeuille SP2'!M360</f>
        <v>0</v>
      </c>
      <c r="Q335" s="387"/>
      <c r="R335" s="387">
        <f>'Portefeuille SP2'!N360</f>
        <v>0</v>
      </c>
      <c r="S335" s="387"/>
      <c r="T335" s="382">
        <f>'Portefeuille SP2'!R360</f>
        <v>0</v>
      </c>
      <c r="U335" s="387">
        <f>'Portefeuille SP2'!K360</f>
        <v>0</v>
      </c>
      <c r="V335" s="399">
        <f>'Portefeuille SP2'!S360</f>
        <v>0</v>
      </c>
      <c r="W335" s="387"/>
      <c r="X335" s="387"/>
      <c r="Y335" s="387"/>
      <c r="Z335" s="387"/>
      <c r="AA335" s="387"/>
      <c r="AB335" s="387"/>
      <c r="AC335" s="387"/>
      <c r="AD335" s="387"/>
      <c r="AE335" s="400">
        <f>'Portefeuille SP2'!J360</f>
        <v>0</v>
      </c>
      <c r="AF335" s="387"/>
      <c r="AG335" s="387"/>
      <c r="AH335" s="389"/>
      <c r="AI335" s="389"/>
      <c r="AJ335" s="403">
        <f>'Portefeuille SP2'!V360</f>
        <v>0</v>
      </c>
      <c r="AK335" s="403">
        <f>'Portefeuille SP2'!W360</f>
        <v>0</v>
      </c>
      <c r="AL335" s="403">
        <f>'Portefeuille SP2'!X360</f>
        <v>0</v>
      </c>
      <c r="AM335" s="403">
        <f>'Portefeuille SP2'!Y360</f>
        <v>0</v>
      </c>
      <c r="AN335" s="403">
        <f>'Portefeuille SP2'!Z360</f>
        <v>0</v>
      </c>
      <c r="AO335" s="403">
        <f>'Portefeuille SP2'!AA360</f>
        <v>0</v>
      </c>
      <c r="AP335" s="403">
        <f>'Portefeuille SP2'!AB360</f>
        <v>0</v>
      </c>
      <c r="AQ335" s="403">
        <f>'Portefeuille SP2'!AC360</f>
        <v>0</v>
      </c>
      <c r="AR335" s="403">
        <f>'Portefeuille SP2'!AD360</f>
        <v>0</v>
      </c>
      <c r="AS335" s="403">
        <f>'Portefeuille SP2'!AE360</f>
        <v>0</v>
      </c>
      <c r="AT335" s="403">
        <f>'Portefeuille SP2'!AF360</f>
        <v>0</v>
      </c>
      <c r="AU335" s="403">
        <f>'Portefeuille SP2'!AG360</f>
        <v>0</v>
      </c>
      <c r="AV335" s="403">
        <f>'Portefeuille SP2'!AH360</f>
        <v>0</v>
      </c>
      <c r="AW335" s="403">
        <f>'Portefeuille SP2'!AI360</f>
        <v>0</v>
      </c>
      <c r="AX335" s="403">
        <f>'Portefeuille SP2'!AJ360</f>
        <v>0</v>
      </c>
      <c r="AY335" s="403">
        <f>'Portefeuille SP2'!AK360</f>
        <v>0</v>
      </c>
      <c r="AZ335" s="403">
        <f>'Portefeuille SP2'!AL360</f>
        <v>0</v>
      </c>
      <c r="BA335" s="403">
        <f>'Portefeuille SP2'!AM360</f>
        <v>0</v>
      </c>
      <c r="BB335" s="403">
        <f>'Portefeuille SP2'!AN360</f>
        <v>0</v>
      </c>
      <c r="BC335" s="403">
        <f>'Portefeuille SP2'!AO360</f>
        <v>0</v>
      </c>
      <c r="BD335" s="403">
        <f>'Portefeuille SP2'!AP360</f>
        <v>0</v>
      </c>
      <c r="BE335" s="403">
        <f>'Portefeuille SP2'!AQ360</f>
        <v>0</v>
      </c>
      <c r="BF335" s="403">
        <f>'Portefeuille SP2'!AR360</f>
        <v>0</v>
      </c>
      <c r="BG335" s="403" t="e">
        <f>'Portefeuille SP2'!#REF!</f>
        <v>#REF!</v>
      </c>
      <c r="BH335" s="403" t="e">
        <f>'Portefeuille SP2'!#REF!</f>
        <v>#REF!</v>
      </c>
      <c r="BI335" s="403" t="e">
        <f>'Portefeuille SP2'!#REF!</f>
        <v>#REF!</v>
      </c>
      <c r="BJ335" s="403" t="e">
        <f>'Portefeuille SP2'!#REF!</f>
        <v>#REF!</v>
      </c>
      <c r="BK335" s="403" t="e">
        <f>'Portefeuille SP2'!#REF!</f>
        <v>#REF!</v>
      </c>
      <c r="BL335" s="388"/>
      <c r="BM335" s="404">
        <f>'Portefeuille SP2'!L360</f>
        <v>0</v>
      </c>
    </row>
    <row r="336" spans="1:65" ht="15" customHeight="1">
      <c r="A336" s="383">
        <f>'Portefeuille SP2'!B361</f>
        <v>0</v>
      </c>
      <c r="B336" s="390">
        <f>'Portefeuille SP2'!Q361</f>
        <v>0</v>
      </c>
      <c r="C336" s="384"/>
      <c r="D336" s="382">
        <f>'Portefeuille SP2'!E361</f>
        <v>0</v>
      </c>
      <c r="E336" s="382" t="str">
        <f t="shared" si="31"/>
        <v>0</v>
      </c>
      <c r="F336" s="382" t="str">
        <f t="shared" si="32"/>
        <v/>
      </c>
      <c r="G336" s="382">
        <f>'Portefeuille SP2'!C361</f>
        <v>0</v>
      </c>
      <c r="H336" s="382">
        <f>'Portefeuille SP2'!F361</f>
        <v>0</v>
      </c>
      <c r="I336" s="382"/>
      <c r="J336" s="382">
        <f>'Portefeuille SP2'!D361</f>
        <v>0</v>
      </c>
      <c r="K336" s="385">
        <f>'Portefeuille SP2'!H361</f>
        <v>0</v>
      </c>
      <c r="L336" s="157">
        <f>'Portefeuille SP2'!U361</f>
        <v>0</v>
      </c>
      <c r="M336" s="386"/>
      <c r="N336" s="386"/>
      <c r="O336" s="386"/>
      <c r="P336" s="387">
        <f>'Portefeuille SP2'!M361</f>
        <v>0</v>
      </c>
      <c r="Q336" s="387"/>
      <c r="R336" s="387">
        <f>'Portefeuille SP2'!N361</f>
        <v>0</v>
      </c>
      <c r="S336" s="387"/>
      <c r="T336" s="382">
        <f>'Portefeuille SP2'!R361</f>
        <v>0</v>
      </c>
      <c r="U336" s="387">
        <f>'Portefeuille SP2'!K361</f>
        <v>0</v>
      </c>
      <c r="V336" s="399">
        <f>'Portefeuille SP2'!S361</f>
        <v>0</v>
      </c>
      <c r="W336" s="387"/>
      <c r="X336" s="387"/>
      <c r="Y336" s="387"/>
      <c r="Z336" s="387"/>
      <c r="AA336" s="387"/>
      <c r="AB336" s="387"/>
      <c r="AC336" s="387"/>
      <c r="AD336" s="387"/>
      <c r="AE336" s="400">
        <f>'Portefeuille SP2'!J361</f>
        <v>0</v>
      </c>
      <c r="AF336" s="387"/>
      <c r="AG336" s="387"/>
      <c r="AH336" s="389"/>
      <c r="AI336" s="389"/>
      <c r="AJ336" s="403">
        <f>'Portefeuille SP2'!V361</f>
        <v>0</v>
      </c>
      <c r="AK336" s="403">
        <f>'Portefeuille SP2'!W361</f>
        <v>0</v>
      </c>
      <c r="AL336" s="403">
        <f>'Portefeuille SP2'!X361</f>
        <v>0</v>
      </c>
      <c r="AM336" s="403">
        <f>'Portefeuille SP2'!Y361</f>
        <v>0</v>
      </c>
      <c r="AN336" s="403">
        <f>'Portefeuille SP2'!Z361</f>
        <v>0</v>
      </c>
      <c r="AO336" s="403">
        <f>'Portefeuille SP2'!AA361</f>
        <v>0</v>
      </c>
      <c r="AP336" s="403">
        <f>'Portefeuille SP2'!AB361</f>
        <v>0</v>
      </c>
      <c r="AQ336" s="403">
        <f>'Portefeuille SP2'!AC361</f>
        <v>0</v>
      </c>
      <c r="AR336" s="403">
        <f>'Portefeuille SP2'!AD361</f>
        <v>0</v>
      </c>
      <c r="AS336" s="403">
        <f>'Portefeuille SP2'!AE361</f>
        <v>0</v>
      </c>
      <c r="AT336" s="403">
        <f>'Portefeuille SP2'!AF361</f>
        <v>0</v>
      </c>
      <c r="AU336" s="403">
        <f>'Portefeuille SP2'!AG361</f>
        <v>0</v>
      </c>
      <c r="AV336" s="403">
        <f>'Portefeuille SP2'!AH361</f>
        <v>0</v>
      </c>
      <c r="AW336" s="403">
        <f>'Portefeuille SP2'!AI361</f>
        <v>0</v>
      </c>
      <c r="AX336" s="403">
        <f>'Portefeuille SP2'!AJ361</f>
        <v>0</v>
      </c>
      <c r="AY336" s="403">
        <f>'Portefeuille SP2'!AK361</f>
        <v>0</v>
      </c>
      <c r="AZ336" s="403">
        <f>'Portefeuille SP2'!AL361</f>
        <v>0</v>
      </c>
      <c r="BA336" s="403">
        <f>'Portefeuille SP2'!AM361</f>
        <v>0</v>
      </c>
      <c r="BB336" s="403">
        <f>'Portefeuille SP2'!AN361</f>
        <v>0</v>
      </c>
      <c r="BC336" s="403">
        <f>'Portefeuille SP2'!AO361</f>
        <v>0</v>
      </c>
      <c r="BD336" s="403">
        <f>'Portefeuille SP2'!AP361</f>
        <v>0</v>
      </c>
      <c r="BE336" s="403">
        <f>'Portefeuille SP2'!AQ361</f>
        <v>0</v>
      </c>
      <c r="BF336" s="403">
        <f>'Portefeuille SP2'!AR361</f>
        <v>0</v>
      </c>
      <c r="BG336" s="403" t="e">
        <f>'Portefeuille SP2'!#REF!</f>
        <v>#REF!</v>
      </c>
      <c r="BH336" s="403" t="e">
        <f>'Portefeuille SP2'!#REF!</f>
        <v>#REF!</v>
      </c>
      <c r="BI336" s="403" t="e">
        <f>'Portefeuille SP2'!#REF!</f>
        <v>#REF!</v>
      </c>
      <c r="BJ336" s="403" t="e">
        <f>'Portefeuille SP2'!#REF!</f>
        <v>#REF!</v>
      </c>
      <c r="BK336" s="403" t="e">
        <f>'Portefeuille SP2'!#REF!</f>
        <v>#REF!</v>
      </c>
      <c r="BL336" s="388"/>
      <c r="BM336" s="404">
        <f>'Portefeuille SP2'!L361</f>
        <v>0</v>
      </c>
    </row>
    <row r="337" spans="1:65" ht="15" customHeight="1">
      <c r="A337" s="383">
        <f>'Portefeuille SP2'!B362</f>
        <v>0</v>
      </c>
      <c r="B337" s="390">
        <f>'Portefeuille SP2'!Q362</f>
        <v>0</v>
      </c>
      <c r="C337" s="384"/>
      <c r="D337" s="382">
        <f>'Portefeuille SP2'!E362</f>
        <v>0</v>
      </c>
      <c r="E337" s="382" t="str">
        <f t="shared" si="31"/>
        <v>0</v>
      </c>
      <c r="F337" s="382" t="str">
        <f t="shared" si="32"/>
        <v/>
      </c>
      <c r="G337" s="382">
        <f>'Portefeuille SP2'!C362</f>
        <v>0</v>
      </c>
      <c r="H337" s="382">
        <f>'Portefeuille SP2'!F362</f>
        <v>0</v>
      </c>
      <c r="I337" s="382"/>
      <c r="J337" s="382">
        <f>'Portefeuille SP2'!D362</f>
        <v>0</v>
      </c>
      <c r="K337" s="385">
        <f>'Portefeuille SP2'!H362</f>
        <v>0</v>
      </c>
      <c r="L337" s="157">
        <f>'Portefeuille SP2'!U362</f>
        <v>0</v>
      </c>
      <c r="M337" s="386"/>
      <c r="N337" s="386"/>
      <c r="O337" s="386"/>
      <c r="P337" s="387">
        <f>'Portefeuille SP2'!M362</f>
        <v>0</v>
      </c>
      <c r="Q337" s="387"/>
      <c r="R337" s="387">
        <f>'Portefeuille SP2'!N362</f>
        <v>0</v>
      </c>
      <c r="S337" s="387"/>
      <c r="T337" s="382">
        <f>'Portefeuille SP2'!R362</f>
        <v>0</v>
      </c>
      <c r="U337" s="387">
        <f>'Portefeuille SP2'!K362</f>
        <v>0</v>
      </c>
      <c r="V337" s="399">
        <f>'Portefeuille SP2'!S362</f>
        <v>0</v>
      </c>
      <c r="W337" s="387"/>
      <c r="X337" s="387"/>
      <c r="Y337" s="387"/>
      <c r="Z337" s="387"/>
      <c r="AA337" s="387"/>
      <c r="AB337" s="387"/>
      <c r="AC337" s="387"/>
      <c r="AD337" s="387"/>
      <c r="AE337" s="400">
        <f>'Portefeuille SP2'!J362</f>
        <v>0</v>
      </c>
      <c r="AF337" s="387"/>
      <c r="AG337" s="387"/>
      <c r="AH337" s="389"/>
      <c r="AI337" s="389"/>
      <c r="AJ337" s="403">
        <f>'Portefeuille SP2'!V362</f>
        <v>0</v>
      </c>
      <c r="AK337" s="403">
        <f>'Portefeuille SP2'!W362</f>
        <v>0</v>
      </c>
      <c r="AL337" s="403">
        <f>'Portefeuille SP2'!X362</f>
        <v>0</v>
      </c>
      <c r="AM337" s="403">
        <f>'Portefeuille SP2'!Y362</f>
        <v>0</v>
      </c>
      <c r="AN337" s="403">
        <f>'Portefeuille SP2'!Z362</f>
        <v>0</v>
      </c>
      <c r="AO337" s="403">
        <f>'Portefeuille SP2'!AA362</f>
        <v>0</v>
      </c>
      <c r="AP337" s="403">
        <f>'Portefeuille SP2'!AB362</f>
        <v>0</v>
      </c>
      <c r="AQ337" s="403">
        <f>'Portefeuille SP2'!AC362</f>
        <v>0</v>
      </c>
      <c r="AR337" s="403">
        <f>'Portefeuille SP2'!AD362</f>
        <v>0</v>
      </c>
      <c r="AS337" s="403">
        <f>'Portefeuille SP2'!AE362</f>
        <v>0</v>
      </c>
      <c r="AT337" s="403">
        <f>'Portefeuille SP2'!AF362</f>
        <v>0</v>
      </c>
      <c r="AU337" s="403">
        <f>'Portefeuille SP2'!AG362</f>
        <v>0</v>
      </c>
      <c r="AV337" s="403">
        <f>'Portefeuille SP2'!AH362</f>
        <v>0</v>
      </c>
      <c r="AW337" s="403">
        <f>'Portefeuille SP2'!AI362</f>
        <v>0</v>
      </c>
      <c r="AX337" s="403">
        <f>'Portefeuille SP2'!AJ362</f>
        <v>0</v>
      </c>
      <c r="AY337" s="403">
        <f>'Portefeuille SP2'!AK362</f>
        <v>0</v>
      </c>
      <c r="AZ337" s="403">
        <f>'Portefeuille SP2'!AL362</f>
        <v>0</v>
      </c>
      <c r="BA337" s="403">
        <f>'Portefeuille SP2'!AM362</f>
        <v>0</v>
      </c>
      <c r="BB337" s="403">
        <f>'Portefeuille SP2'!AN362</f>
        <v>0</v>
      </c>
      <c r="BC337" s="403">
        <f>'Portefeuille SP2'!AO362</f>
        <v>0</v>
      </c>
      <c r="BD337" s="403">
        <f>'Portefeuille SP2'!AP362</f>
        <v>0</v>
      </c>
      <c r="BE337" s="403">
        <f>'Portefeuille SP2'!AQ362</f>
        <v>0</v>
      </c>
      <c r="BF337" s="403">
        <f>'Portefeuille SP2'!AR362</f>
        <v>0</v>
      </c>
      <c r="BG337" s="403" t="e">
        <f>'Portefeuille SP2'!#REF!</f>
        <v>#REF!</v>
      </c>
      <c r="BH337" s="403" t="e">
        <f>'Portefeuille SP2'!#REF!</f>
        <v>#REF!</v>
      </c>
      <c r="BI337" s="403" t="e">
        <f>'Portefeuille SP2'!#REF!</f>
        <v>#REF!</v>
      </c>
      <c r="BJ337" s="403" t="e">
        <f>'Portefeuille SP2'!#REF!</f>
        <v>#REF!</v>
      </c>
      <c r="BK337" s="403" t="e">
        <f>'Portefeuille SP2'!#REF!</f>
        <v>#REF!</v>
      </c>
      <c r="BL337" s="388"/>
      <c r="BM337" s="404">
        <f>'Portefeuille SP2'!L362</f>
        <v>0</v>
      </c>
    </row>
    <row r="338" spans="1:65" ht="15" customHeight="1">
      <c r="A338" s="383">
        <f>'Portefeuille SP2'!B363</f>
        <v>0</v>
      </c>
      <c r="B338" s="390">
        <f>'Portefeuille SP2'!Q363</f>
        <v>0</v>
      </c>
      <c r="C338" s="384"/>
      <c r="D338" s="382">
        <f>'Portefeuille SP2'!E363</f>
        <v>0</v>
      </c>
      <c r="E338" s="382" t="str">
        <f t="shared" si="31"/>
        <v>0</v>
      </c>
      <c r="F338" s="382" t="str">
        <f t="shared" si="32"/>
        <v/>
      </c>
      <c r="G338" s="382">
        <f>'Portefeuille SP2'!C363</f>
        <v>0</v>
      </c>
      <c r="H338" s="382">
        <f>'Portefeuille SP2'!F363</f>
        <v>0</v>
      </c>
      <c r="I338" s="382"/>
      <c r="J338" s="382">
        <f>'Portefeuille SP2'!D363</f>
        <v>0</v>
      </c>
      <c r="K338" s="385">
        <f>'Portefeuille SP2'!H363</f>
        <v>0</v>
      </c>
      <c r="L338" s="157">
        <f>'Portefeuille SP2'!U363</f>
        <v>0</v>
      </c>
      <c r="M338" s="386"/>
      <c r="N338" s="386"/>
      <c r="O338" s="386"/>
      <c r="P338" s="387">
        <f>'Portefeuille SP2'!M363</f>
        <v>0</v>
      </c>
      <c r="Q338" s="387"/>
      <c r="R338" s="387">
        <f>'Portefeuille SP2'!N363</f>
        <v>0</v>
      </c>
      <c r="S338" s="387"/>
      <c r="T338" s="382">
        <f>'Portefeuille SP2'!R363</f>
        <v>0</v>
      </c>
      <c r="U338" s="387">
        <f>'Portefeuille SP2'!K363</f>
        <v>0</v>
      </c>
      <c r="V338" s="399">
        <f>'Portefeuille SP2'!S363</f>
        <v>0</v>
      </c>
      <c r="W338" s="387"/>
      <c r="X338" s="387"/>
      <c r="Y338" s="387"/>
      <c r="Z338" s="387"/>
      <c r="AA338" s="387"/>
      <c r="AB338" s="387"/>
      <c r="AC338" s="387"/>
      <c r="AD338" s="387"/>
      <c r="AE338" s="400">
        <f>'Portefeuille SP2'!J363</f>
        <v>0</v>
      </c>
      <c r="AF338" s="387"/>
      <c r="AG338" s="387"/>
      <c r="AH338" s="389"/>
      <c r="AI338" s="389"/>
      <c r="AJ338" s="403">
        <f>'Portefeuille SP2'!V363</f>
        <v>0</v>
      </c>
      <c r="AK338" s="403">
        <f>'Portefeuille SP2'!W363</f>
        <v>0</v>
      </c>
      <c r="AL338" s="403">
        <f>'Portefeuille SP2'!X363</f>
        <v>0</v>
      </c>
      <c r="AM338" s="403">
        <f>'Portefeuille SP2'!Y363</f>
        <v>0</v>
      </c>
      <c r="AN338" s="403">
        <f>'Portefeuille SP2'!Z363</f>
        <v>0</v>
      </c>
      <c r="AO338" s="403">
        <f>'Portefeuille SP2'!AA363</f>
        <v>0</v>
      </c>
      <c r="AP338" s="403">
        <f>'Portefeuille SP2'!AB363</f>
        <v>0</v>
      </c>
      <c r="AQ338" s="403">
        <f>'Portefeuille SP2'!AC363</f>
        <v>0</v>
      </c>
      <c r="AR338" s="403">
        <f>'Portefeuille SP2'!AD363</f>
        <v>0</v>
      </c>
      <c r="AS338" s="403">
        <f>'Portefeuille SP2'!AE363</f>
        <v>0</v>
      </c>
      <c r="AT338" s="403">
        <f>'Portefeuille SP2'!AF363</f>
        <v>0</v>
      </c>
      <c r="AU338" s="403">
        <f>'Portefeuille SP2'!AG363</f>
        <v>0</v>
      </c>
      <c r="AV338" s="403">
        <f>'Portefeuille SP2'!AH363</f>
        <v>0</v>
      </c>
      <c r="AW338" s="403">
        <f>'Portefeuille SP2'!AI363</f>
        <v>0</v>
      </c>
      <c r="AX338" s="403">
        <f>'Portefeuille SP2'!AJ363</f>
        <v>0</v>
      </c>
      <c r="AY338" s="403">
        <f>'Portefeuille SP2'!AK363</f>
        <v>0</v>
      </c>
      <c r="AZ338" s="403">
        <f>'Portefeuille SP2'!AL363</f>
        <v>0</v>
      </c>
      <c r="BA338" s="403">
        <f>'Portefeuille SP2'!AM363</f>
        <v>0</v>
      </c>
      <c r="BB338" s="403">
        <f>'Portefeuille SP2'!AN363</f>
        <v>0</v>
      </c>
      <c r="BC338" s="403">
        <f>'Portefeuille SP2'!AO363</f>
        <v>0</v>
      </c>
      <c r="BD338" s="403">
        <f>'Portefeuille SP2'!AP363</f>
        <v>0</v>
      </c>
      <c r="BE338" s="403">
        <f>'Portefeuille SP2'!AQ363</f>
        <v>0</v>
      </c>
      <c r="BF338" s="403">
        <f>'Portefeuille SP2'!AR363</f>
        <v>0</v>
      </c>
      <c r="BG338" s="403" t="e">
        <f>'Portefeuille SP2'!#REF!</f>
        <v>#REF!</v>
      </c>
      <c r="BH338" s="403" t="e">
        <f>'Portefeuille SP2'!#REF!</f>
        <v>#REF!</v>
      </c>
      <c r="BI338" s="403" t="e">
        <f>'Portefeuille SP2'!#REF!</f>
        <v>#REF!</v>
      </c>
      <c r="BJ338" s="403" t="e">
        <f>'Portefeuille SP2'!#REF!</f>
        <v>#REF!</v>
      </c>
      <c r="BK338" s="403" t="e">
        <f>'Portefeuille SP2'!#REF!</f>
        <v>#REF!</v>
      </c>
      <c r="BL338" s="388"/>
      <c r="BM338" s="404">
        <f>'Portefeuille SP2'!L363</f>
        <v>0</v>
      </c>
    </row>
    <row r="339" spans="1:65" ht="15" customHeight="1">
      <c r="A339" s="383">
        <f>'Portefeuille SP2'!B364</f>
        <v>0</v>
      </c>
      <c r="B339" s="390">
        <f>'Portefeuille SP2'!Q364</f>
        <v>0</v>
      </c>
      <c r="C339" s="384"/>
      <c r="D339" s="382">
        <f>'Portefeuille SP2'!E364</f>
        <v>0</v>
      </c>
      <c r="E339" s="382" t="str">
        <f t="shared" si="31"/>
        <v>0</v>
      </c>
      <c r="F339" s="382" t="str">
        <f t="shared" si="32"/>
        <v/>
      </c>
      <c r="G339" s="382">
        <f>'Portefeuille SP2'!C364</f>
        <v>0</v>
      </c>
      <c r="H339" s="382">
        <f>'Portefeuille SP2'!F364</f>
        <v>0</v>
      </c>
      <c r="I339" s="382"/>
      <c r="J339" s="382">
        <f>'Portefeuille SP2'!D364</f>
        <v>0</v>
      </c>
      <c r="K339" s="385">
        <f>'Portefeuille SP2'!H364</f>
        <v>0</v>
      </c>
      <c r="L339" s="157">
        <f>'Portefeuille SP2'!U364</f>
        <v>0</v>
      </c>
      <c r="M339" s="386"/>
      <c r="N339" s="386"/>
      <c r="O339" s="386"/>
      <c r="P339" s="387">
        <f>'Portefeuille SP2'!M364</f>
        <v>0</v>
      </c>
      <c r="Q339" s="387"/>
      <c r="R339" s="387">
        <f>'Portefeuille SP2'!N364</f>
        <v>0</v>
      </c>
      <c r="S339" s="387"/>
      <c r="T339" s="382">
        <f>'Portefeuille SP2'!R364</f>
        <v>0</v>
      </c>
      <c r="U339" s="387">
        <f>'Portefeuille SP2'!K364</f>
        <v>0</v>
      </c>
      <c r="V339" s="399">
        <f>'Portefeuille SP2'!S364</f>
        <v>0</v>
      </c>
      <c r="W339" s="387"/>
      <c r="X339" s="387"/>
      <c r="Y339" s="387"/>
      <c r="Z339" s="387"/>
      <c r="AA339" s="387"/>
      <c r="AB339" s="387"/>
      <c r="AC339" s="387"/>
      <c r="AD339" s="387"/>
      <c r="AE339" s="400">
        <f>'Portefeuille SP2'!J364</f>
        <v>0</v>
      </c>
      <c r="AF339" s="387"/>
      <c r="AG339" s="387"/>
      <c r="AH339" s="389"/>
      <c r="AI339" s="389"/>
      <c r="AJ339" s="403">
        <f>'Portefeuille SP2'!V364</f>
        <v>0</v>
      </c>
      <c r="AK339" s="403">
        <f>'Portefeuille SP2'!W364</f>
        <v>0</v>
      </c>
      <c r="AL339" s="403">
        <f>'Portefeuille SP2'!X364</f>
        <v>0</v>
      </c>
      <c r="AM339" s="403">
        <f>'Portefeuille SP2'!Y364</f>
        <v>0</v>
      </c>
      <c r="AN339" s="403">
        <f>'Portefeuille SP2'!Z364</f>
        <v>0</v>
      </c>
      <c r="AO339" s="403">
        <f>'Portefeuille SP2'!AA364</f>
        <v>0</v>
      </c>
      <c r="AP339" s="403">
        <f>'Portefeuille SP2'!AB364</f>
        <v>0</v>
      </c>
      <c r="AQ339" s="403">
        <f>'Portefeuille SP2'!AC364</f>
        <v>0</v>
      </c>
      <c r="AR339" s="403">
        <f>'Portefeuille SP2'!AD364</f>
        <v>0</v>
      </c>
      <c r="AS339" s="403">
        <f>'Portefeuille SP2'!AE364</f>
        <v>0</v>
      </c>
      <c r="AT339" s="403">
        <f>'Portefeuille SP2'!AF364</f>
        <v>0</v>
      </c>
      <c r="AU339" s="403">
        <f>'Portefeuille SP2'!AG364</f>
        <v>0</v>
      </c>
      <c r="AV339" s="403">
        <f>'Portefeuille SP2'!AH364</f>
        <v>0</v>
      </c>
      <c r="AW339" s="403">
        <f>'Portefeuille SP2'!AI364</f>
        <v>0</v>
      </c>
      <c r="AX339" s="403">
        <f>'Portefeuille SP2'!AJ364</f>
        <v>0</v>
      </c>
      <c r="AY339" s="403">
        <f>'Portefeuille SP2'!AK364</f>
        <v>0</v>
      </c>
      <c r="AZ339" s="403">
        <f>'Portefeuille SP2'!AL364</f>
        <v>0</v>
      </c>
      <c r="BA339" s="403">
        <f>'Portefeuille SP2'!AM364</f>
        <v>0</v>
      </c>
      <c r="BB339" s="403">
        <f>'Portefeuille SP2'!AN364</f>
        <v>0</v>
      </c>
      <c r="BC339" s="403">
        <f>'Portefeuille SP2'!AO364</f>
        <v>0</v>
      </c>
      <c r="BD339" s="403">
        <f>'Portefeuille SP2'!AP364</f>
        <v>0</v>
      </c>
      <c r="BE339" s="403">
        <f>'Portefeuille SP2'!AQ364</f>
        <v>0</v>
      </c>
      <c r="BF339" s="403">
        <f>'Portefeuille SP2'!AR364</f>
        <v>0</v>
      </c>
      <c r="BG339" s="403" t="e">
        <f>'Portefeuille SP2'!#REF!</f>
        <v>#REF!</v>
      </c>
      <c r="BH339" s="403" t="e">
        <f>'Portefeuille SP2'!#REF!</f>
        <v>#REF!</v>
      </c>
      <c r="BI339" s="403" t="e">
        <f>'Portefeuille SP2'!#REF!</f>
        <v>#REF!</v>
      </c>
      <c r="BJ339" s="403" t="e">
        <f>'Portefeuille SP2'!#REF!</f>
        <v>#REF!</v>
      </c>
      <c r="BK339" s="403" t="e">
        <f>'Portefeuille SP2'!#REF!</f>
        <v>#REF!</v>
      </c>
      <c r="BL339" s="388"/>
      <c r="BM339" s="404">
        <f>'Portefeuille SP2'!L364</f>
        <v>0</v>
      </c>
    </row>
    <row r="340" spans="1:65" ht="15" customHeight="1">
      <c r="A340" s="383">
        <f>'Portefeuille SP2'!B365</f>
        <v>0</v>
      </c>
      <c r="B340" s="390">
        <f>'Portefeuille SP2'!Q365</f>
        <v>0</v>
      </c>
      <c r="C340" s="384"/>
      <c r="D340" s="382">
        <f>'Portefeuille SP2'!E365</f>
        <v>0</v>
      </c>
      <c r="E340" s="382" t="str">
        <f t="shared" si="31"/>
        <v>0</v>
      </c>
      <c r="F340" s="382" t="str">
        <f t="shared" si="32"/>
        <v/>
      </c>
      <c r="G340" s="382">
        <f>'Portefeuille SP2'!C365</f>
        <v>0</v>
      </c>
      <c r="H340" s="382">
        <f>'Portefeuille SP2'!F365</f>
        <v>0</v>
      </c>
      <c r="I340" s="382"/>
      <c r="J340" s="382">
        <f>'Portefeuille SP2'!D365</f>
        <v>0</v>
      </c>
      <c r="K340" s="385">
        <f>'Portefeuille SP2'!H365</f>
        <v>0</v>
      </c>
      <c r="L340" s="157">
        <f>'Portefeuille SP2'!U365</f>
        <v>0</v>
      </c>
      <c r="M340" s="386"/>
      <c r="N340" s="386"/>
      <c r="O340" s="386"/>
      <c r="P340" s="387">
        <f>'Portefeuille SP2'!M365</f>
        <v>0</v>
      </c>
      <c r="Q340" s="387"/>
      <c r="R340" s="387">
        <f>'Portefeuille SP2'!N365</f>
        <v>0</v>
      </c>
      <c r="S340" s="387"/>
      <c r="T340" s="382">
        <f>'Portefeuille SP2'!R365</f>
        <v>0</v>
      </c>
      <c r="U340" s="387">
        <f>'Portefeuille SP2'!K365</f>
        <v>0</v>
      </c>
      <c r="V340" s="399">
        <f>'Portefeuille SP2'!S365</f>
        <v>0</v>
      </c>
      <c r="W340" s="387"/>
      <c r="X340" s="387"/>
      <c r="Y340" s="387"/>
      <c r="Z340" s="387"/>
      <c r="AA340" s="387"/>
      <c r="AB340" s="387"/>
      <c r="AC340" s="387"/>
      <c r="AD340" s="387"/>
      <c r="AE340" s="400">
        <f>'Portefeuille SP2'!J365</f>
        <v>0</v>
      </c>
      <c r="AF340" s="387"/>
      <c r="AG340" s="387"/>
      <c r="AH340" s="389"/>
      <c r="AI340" s="389"/>
      <c r="AJ340" s="403">
        <f>'Portefeuille SP2'!V365</f>
        <v>0</v>
      </c>
      <c r="AK340" s="403">
        <f>'Portefeuille SP2'!W365</f>
        <v>0</v>
      </c>
      <c r="AL340" s="403">
        <f>'Portefeuille SP2'!X365</f>
        <v>0</v>
      </c>
      <c r="AM340" s="403">
        <f>'Portefeuille SP2'!Y365</f>
        <v>0</v>
      </c>
      <c r="AN340" s="403">
        <f>'Portefeuille SP2'!Z365</f>
        <v>0</v>
      </c>
      <c r="AO340" s="403">
        <f>'Portefeuille SP2'!AA365</f>
        <v>0</v>
      </c>
      <c r="AP340" s="403">
        <f>'Portefeuille SP2'!AB365</f>
        <v>0</v>
      </c>
      <c r="AQ340" s="403">
        <f>'Portefeuille SP2'!AC365</f>
        <v>0</v>
      </c>
      <c r="AR340" s="403">
        <f>'Portefeuille SP2'!AD365</f>
        <v>0</v>
      </c>
      <c r="AS340" s="403">
        <f>'Portefeuille SP2'!AE365</f>
        <v>0</v>
      </c>
      <c r="AT340" s="403">
        <f>'Portefeuille SP2'!AF365</f>
        <v>0</v>
      </c>
      <c r="AU340" s="403">
        <f>'Portefeuille SP2'!AG365</f>
        <v>0</v>
      </c>
      <c r="AV340" s="403">
        <f>'Portefeuille SP2'!AH365</f>
        <v>0</v>
      </c>
      <c r="AW340" s="403">
        <f>'Portefeuille SP2'!AI365</f>
        <v>0</v>
      </c>
      <c r="AX340" s="403">
        <f>'Portefeuille SP2'!AJ365</f>
        <v>0</v>
      </c>
      <c r="AY340" s="403">
        <f>'Portefeuille SP2'!AK365</f>
        <v>0</v>
      </c>
      <c r="AZ340" s="403">
        <f>'Portefeuille SP2'!AL365</f>
        <v>0</v>
      </c>
      <c r="BA340" s="403">
        <f>'Portefeuille SP2'!AM365</f>
        <v>0</v>
      </c>
      <c r="BB340" s="403">
        <f>'Portefeuille SP2'!AN365</f>
        <v>0</v>
      </c>
      <c r="BC340" s="403">
        <f>'Portefeuille SP2'!AO365</f>
        <v>0</v>
      </c>
      <c r="BD340" s="403">
        <f>'Portefeuille SP2'!AP365</f>
        <v>0</v>
      </c>
      <c r="BE340" s="403">
        <f>'Portefeuille SP2'!AQ365</f>
        <v>0</v>
      </c>
      <c r="BF340" s="403">
        <f>'Portefeuille SP2'!AR365</f>
        <v>0</v>
      </c>
      <c r="BG340" s="403" t="e">
        <f>'Portefeuille SP2'!#REF!</f>
        <v>#REF!</v>
      </c>
      <c r="BH340" s="403" t="e">
        <f>'Portefeuille SP2'!#REF!</f>
        <v>#REF!</v>
      </c>
      <c r="BI340" s="403" t="e">
        <f>'Portefeuille SP2'!#REF!</f>
        <v>#REF!</v>
      </c>
      <c r="BJ340" s="403" t="e">
        <f>'Portefeuille SP2'!#REF!</f>
        <v>#REF!</v>
      </c>
      <c r="BK340" s="403" t="e">
        <f>'Portefeuille SP2'!#REF!</f>
        <v>#REF!</v>
      </c>
      <c r="BL340" s="388"/>
      <c r="BM340" s="404">
        <f>'Portefeuille SP2'!L365</f>
        <v>0</v>
      </c>
    </row>
    <row r="341" spans="1:65" ht="15" customHeight="1">
      <c r="A341" s="383">
        <f>'Portefeuille SP2'!B366</f>
        <v>0</v>
      </c>
      <c r="B341" s="390">
        <f>'Portefeuille SP2'!Q366</f>
        <v>0</v>
      </c>
      <c r="C341" s="384"/>
      <c r="D341" s="382">
        <f>'Portefeuille SP2'!E366</f>
        <v>0</v>
      </c>
      <c r="E341" s="382" t="str">
        <f t="shared" si="31"/>
        <v>0</v>
      </c>
      <c r="F341" s="382" t="str">
        <f t="shared" si="32"/>
        <v/>
      </c>
      <c r="G341" s="382">
        <f>'Portefeuille SP2'!C366</f>
        <v>0</v>
      </c>
      <c r="H341" s="382">
        <f>'Portefeuille SP2'!F366</f>
        <v>0</v>
      </c>
      <c r="I341" s="382"/>
      <c r="J341" s="382">
        <f>'Portefeuille SP2'!D366</f>
        <v>0</v>
      </c>
      <c r="K341" s="385">
        <f>'Portefeuille SP2'!H366</f>
        <v>0</v>
      </c>
      <c r="L341" s="157">
        <f>'Portefeuille SP2'!U366</f>
        <v>0</v>
      </c>
      <c r="M341" s="386"/>
      <c r="N341" s="386"/>
      <c r="O341" s="386"/>
      <c r="P341" s="387">
        <f>'Portefeuille SP2'!M366</f>
        <v>0</v>
      </c>
      <c r="Q341" s="387"/>
      <c r="R341" s="387">
        <f>'Portefeuille SP2'!N366</f>
        <v>0</v>
      </c>
      <c r="S341" s="387"/>
      <c r="T341" s="382">
        <f>'Portefeuille SP2'!R366</f>
        <v>0</v>
      </c>
      <c r="U341" s="387">
        <f>'Portefeuille SP2'!K366</f>
        <v>0</v>
      </c>
      <c r="V341" s="399">
        <f>'Portefeuille SP2'!S366</f>
        <v>0</v>
      </c>
      <c r="W341" s="387"/>
      <c r="X341" s="387"/>
      <c r="Y341" s="387"/>
      <c r="Z341" s="387"/>
      <c r="AA341" s="387"/>
      <c r="AB341" s="387"/>
      <c r="AC341" s="387"/>
      <c r="AD341" s="387"/>
      <c r="AE341" s="400">
        <f>'Portefeuille SP2'!J366</f>
        <v>0</v>
      </c>
      <c r="AF341" s="387"/>
      <c r="AG341" s="387"/>
      <c r="AH341" s="389"/>
      <c r="AI341" s="389"/>
      <c r="AJ341" s="403">
        <f>'Portefeuille SP2'!V366</f>
        <v>0</v>
      </c>
      <c r="AK341" s="403">
        <f>'Portefeuille SP2'!W366</f>
        <v>0</v>
      </c>
      <c r="AL341" s="403">
        <f>'Portefeuille SP2'!X366</f>
        <v>0</v>
      </c>
      <c r="AM341" s="403">
        <f>'Portefeuille SP2'!Y366</f>
        <v>0</v>
      </c>
      <c r="AN341" s="403">
        <f>'Portefeuille SP2'!Z366</f>
        <v>0</v>
      </c>
      <c r="AO341" s="403">
        <f>'Portefeuille SP2'!AA366</f>
        <v>0</v>
      </c>
      <c r="AP341" s="403">
        <f>'Portefeuille SP2'!AB366</f>
        <v>0</v>
      </c>
      <c r="AQ341" s="403">
        <f>'Portefeuille SP2'!AC366</f>
        <v>0</v>
      </c>
      <c r="AR341" s="403">
        <f>'Portefeuille SP2'!AD366</f>
        <v>0</v>
      </c>
      <c r="AS341" s="403">
        <f>'Portefeuille SP2'!AE366</f>
        <v>0</v>
      </c>
      <c r="AT341" s="403">
        <f>'Portefeuille SP2'!AF366</f>
        <v>0</v>
      </c>
      <c r="AU341" s="403">
        <f>'Portefeuille SP2'!AG366</f>
        <v>0</v>
      </c>
      <c r="AV341" s="403">
        <f>'Portefeuille SP2'!AH366</f>
        <v>0</v>
      </c>
      <c r="AW341" s="403">
        <f>'Portefeuille SP2'!AI366</f>
        <v>0</v>
      </c>
      <c r="AX341" s="403">
        <f>'Portefeuille SP2'!AJ366</f>
        <v>0</v>
      </c>
      <c r="AY341" s="403">
        <f>'Portefeuille SP2'!AK366</f>
        <v>0</v>
      </c>
      <c r="AZ341" s="403">
        <f>'Portefeuille SP2'!AL366</f>
        <v>0</v>
      </c>
      <c r="BA341" s="403">
        <f>'Portefeuille SP2'!AM366</f>
        <v>0</v>
      </c>
      <c r="BB341" s="403">
        <f>'Portefeuille SP2'!AN366</f>
        <v>0</v>
      </c>
      <c r="BC341" s="403">
        <f>'Portefeuille SP2'!AO366</f>
        <v>0</v>
      </c>
      <c r="BD341" s="403">
        <f>'Portefeuille SP2'!AP366</f>
        <v>0</v>
      </c>
      <c r="BE341" s="403">
        <f>'Portefeuille SP2'!AQ366</f>
        <v>0</v>
      </c>
      <c r="BF341" s="403">
        <f>'Portefeuille SP2'!AR366</f>
        <v>0</v>
      </c>
      <c r="BG341" s="403" t="e">
        <f>'Portefeuille SP2'!#REF!</f>
        <v>#REF!</v>
      </c>
      <c r="BH341" s="403" t="e">
        <f>'Portefeuille SP2'!#REF!</f>
        <v>#REF!</v>
      </c>
      <c r="BI341" s="403" t="e">
        <f>'Portefeuille SP2'!#REF!</f>
        <v>#REF!</v>
      </c>
      <c r="BJ341" s="403" t="e">
        <f>'Portefeuille SP2'!#REF!</f>
        <v>#REF!</v>
      </c>
      <c r="BK341" s="403" t="e">
        <f>'Portefeuille SP2'!#REF!</f>
        <v>#REF!</v>
      </c>
      <c r="BL341" s="388"/>
      <c r="BM341" s="404">
        <f>'Portefeuille SP2'!L366</f>
        <v>0</v>
      </c>
    </row>
    <row r="342" spans="1:65" ht="15" customHeight="1">
      <c r="A342" s="383">
        <f>'Portefeuille SP2'!B367</f>
        <v>0</v>
      </c>
      <c r="B342" s="390">
        <f>'Portefeuille SP2'!Q367</f>
        <v>0</v>
      </c>
      <c r="C342" s="384"/>
      <c r="D342" s="382">
        <f>'Portefeuille SP2'!E367</f>
        <v>0</v>
      </c>
      <c r="E342" s="382" t="str">
        <f t="shared" si="31"/>
        <v>0</v>
      </c>
      <c r="F342" s="382" t="str">
        <f t="shared" si="32"/>
        <v/>
      </c>
      <c r="G342" s="382">
        <f>'Portefeuille SP2'!C367</f>
        <v>0</v>
      </c>
      <c r="H342" s="382">
        <f>'Portefeuille SP2'!F367</f>
        <v>0</v>
      </c>
      <c r="I342" s="382"/>
      <c r="J342" s="382">
        <f>'Portefeuille SP2'!D367</f>
        <v>0</v>
      </c>
      <c r="K342" s="385">
        <f>'Portefeuille SP2'!H367</f>
        <v>0</v>
      </c>
      <c r="L342" s="157">
        <f>'Portefeuille SP2'!U367</f>
        <v>0</v>
      </c>
      <c r="M342" s="386"/>
      <c r="N342" s="386"/>
      <c r="O342" s="386"/>
      <c r="P342" s="387">
        <f>'Portefeuille SP2'!M367</f>
        <v>0</v>
      </c>
      <c r="Q342" s="387"/>
      <c r="R342" s="387">
        <f>'Portefeuille SP2'!N367</f>
        <v>0</v>
      </c>
      <c r="S342" s="387"/>
      <c r="T342" s="382">
        <f>'Portefeuille SP2'!R367</f>
        <v>0</v>
      </c>
      <c r="U342" s="387">
        <f>'Portefeuille SP2'!K367</f>
        <v>0</v>
      </c>
      <c r="V342" s="399">
        <f>'Portefeuille SP2'!S367</f>
        <v>0</v>
      </c>
      <c r="W342" s="387"/>
      <c r="X342" s="387"/>
      <c r="Y342" s="387"/>
      <c r="Z342" s="387"/>
      <c r="AA342" s="387"/>
      <c r="AB342" s="387"/>
      <c r="AC342" s="387"/>
      <c r="AD342" s="387"/>
      <c r="AE342" s="400">
        <f>'Portefeuille SP2'!J367</f>
        <v>0</v>
      </c>
      <c r="AF342" s="387"/>
      <c r="AG342" s="387"/>
      <c r="AH342" s="389"/>
      <c r="AI342" s="389"/>
      <c r="AJ342" s="403">
        <f>'Portefeuille SP2'!V367</f>
        <v>0</v>
      </c>
      <c r="AK342" s="403">
        <f>'Portefeuille SP2'!W367</f>
        <v>0</v>
      </c>
      <c r="AL342" s="403">
        <f>'Portefeuille SP2'!X367</f>
        <v>0</v>
      </c>
      <c r="AM342" s="403">
        <f>'Portefeuille SP2'!Y367</f>
        <v>0</v>
      </c>
      <c r="AN342" s="403">
        <f>'Portefeuille SP2'!Z367</f>
        <v>0</v>
      </c>
      <c r="AO342" s="403">
        <f>'Portefeuille SP2'!AA367</f>
        <v>0</v>
      </c>
      <c r="AP342" s="403">
        <f>'Portefeuille SP2'!AB367</f>
        <v>0</v>
      </c>
      <c r="AQ342" s="403">
        <f>'Portefeuille SP2'!AC367</f>
        <v>0</v>
      </c>
      <c r="AR342" s="403">
        <f>'Portefeuille SP2'!AD367</f>
        <v>0</v>
      </c>
      <c r="AS342" s="403">
        <f>'Portefeuille SP2'!AE367</f>
        <v>0</v>
      </c>
      <c r="AT342" s="403">
        <f>'Portefeuille SP2'!AF367</f>
        <v>0</v>
      </c>
      <c r="AU342" s="403">
        <f>'Portefeuille SP2'!AG367</f>
        <v>0</v>
      </c>
      <c r="AV342" s="403">
        <f>'Portefeuille SP2'!AH367</f>
        <v>0</v>
      </c>
      <c r="AW342" s="403">
        <f>'Portefeuille SP2'!AI367</f>
        <v>0</v>
      </c>
      <c r="AX342" s="403">
        <f>'Portefeuille SP2'!AJ367</f>
        <v>0</v>
      </c>
      <c r="AY342" s="403">
        <f>'Portefeuille SP2'!AK367</f>
        <v>0</v>
      </c>
      <c r="AZ342" s="403">
        <f>'Portefeuille SP2'!AL367</f>
        <v>0</v>
      </c>
      <c r="BA342" s="403">
        <f>'Portefeuille SP2'!AM367</f>
        <v>0</v>
      </c>
      <c r="BB342" s="403">
        <f>'Portefeuille SP2'!AN367</f>
        <v>0</v>
      </c>
      <c r="BC342" s="403">
        <f>'Portefeuille SP2'!AO367</f>
        <v>0</v>
      </c>
      <c r="BD342" s="403">
        <f>'Portefeuille SP2'!AP367</f>
        <v>0</v>
      </c>
      <c r="BE342" s="403">
        <f>'Portefeuille SP2'!AQ367</f>
        <v>0</v>
      </c>
      <c r="BF342" s="403">
        <f>'Portefeuille SP2'!AR367</f>
        <v>0</v>
      </c>
      <c r="BG342" s="403" t="e">
        <f>'Portefeuille SP2'!#REF!</f>
        <v>#REF!</v>
      </c>
      <c r="BH342" s="403" t="e">
        <f>'Portefeuille SP2'!#REF!</f>
        <v>#REF!</v>
      </c>
      <c r="BI342" s="403" t="e">
        <f>'Portefeuille SP2'!#REF!</f>
        <v>#REF!</v>
      </c>
      <c r="BJ342" s="403" t="e">
        <f>'Portefeuille SP2'!#REF!</f>
        <v>#REF!</v>
      </c>
      <c r="BK342" s="403" t="e">
        <f>'Portefeuille SP2'!#REF!</f>
        <v>#REF!</v>
      </c>
      <c r="BL342" s="388"/>
      <c r="BM342" s="404">
        <f>'Portefeuille SP2'!L367</f>
        <v>0</v>
      </c>
    </row>
    <row r="343" spans="1:65" ht="15" customHeight="1">
      <c r="A343" s="383">
        <f>'Portefeuille SP2'!B368</f>
        <v>0</v>
      </c>
      <c r="B343" s="390">
        <f>'Portefeuille SP2'!Q368</f>
        <v>0</v>
      </c>
      <c r="C343" s="384"/>
      <c r="D343" s="382">
        <f>'Portefeuille SP2'!E368</f>
        <v>0</v>
      </c>
      <c r="E343" s="382" t="str">
        <f t="shared" si="31"/>
        <v>0</v>
      </c>
      <c r="F343" s="382" t="str">
        <f t="shared" si="32"/>
        <v/>
      </c>
      <c r="G343" s="382">
        <f>'Portefeuille SP2'!C368</f>
        <v>0</v>
      </c>
      <c r="H343" s="382">
        <f>'Portefeuille SP2'!F368</f>
        <v>0</v>
      </c>
      <c r="I343" s="382"/>
      <c r="J343" s="382">
        <f>'Portefeuille SP2'!D368</f>
        <v>0</v>
      </c>
      <c r="K343" s="385">
        <f>'Portefeuille SP2'!H368</f>
        <v>0</v>
      </c>
      <c r="L343" s="157">
        <f>'Portefeuille SP2'!U368</f>
        <v>0</v>
      </c>
      <c r="M343" s="386"/>
      <c r="N343" s="386"/>
      <c r="O343" s="386"/>
      <c r="P343" s="387">
        <f>'Portefeuille SP2'!M368</f>
        <v>0</v>
      </c>
      <c r="Q343" s="387"/>
      <c r="R343" s="387">
        <f>'Portefeuille SP2'!N368</f>
        <v>0</v>
      </c>
      <c r="S343" s="387"/>
      <c r="T343" s="382">
        <f>'Portefeuille SP2'!R368</f>
        <v>0</v>
      </c>
      <c r="U343" s="387">
        <f>'Portefeuille SP2'!K368</f>
        <v>0</v>
      </c>
      <c r="V343" s="399">
        <f>'Portefeuille SP2'!S368</f>
        <v>0</v>
      </c>
      <c r="W343" s="387"/>
      <c r="X343" s="387"/>
      <c r="Y343" s="387"/>
      <c r="Z343" s="387"/>
      <c r="AA343" s="387"/>
      <c r="AB343" s="387"/>
      <c r="AC343" s="387"/>
      <c r="AD343" s="387"/>
      <c r="AE343" s="400">
        <f>'Portefeuille SP2'!J368</f>
        <v>0</v>
      </c>
      <c r="AF343" s="387"/>
      <c r="AG343" s="387"/>
      <c r="AH343" s="389"/>
      <c r="AI343" s="389"/>
      <c r="AJ343" s="403">
        <f>'Portefeuille SP2'!V368</f>
        <v>0</v>
      </c>
      <c r="AK343" s="403">
        <f>'Portefeuille SP2'!W368</f>
        <v>0</v>
      </c>
      <c r="AL343" s="403">
        <f>'Portefeuille SP2'!X368</f>
        <v>0</v>
      </c>
      <c r="AM343" s="403">
        <f>'Portefeuille SP2'!Y368</f>
        <v>0</v>
      </c>
      <c r="AN343" s="403">
        <f>'Portefeuille SP2'!Z368</f>
        <v>0</v>
      </c>
      <c r="AO343" s="403">
        <f>'Portefeuille SP2'!AA368</f>
        <v>0</v>
      </c>
      <c r="AP343" s="403">
        <f>'Portefeuille SP2'!AB368</f>
        <v>0</v>
      </c>
      <c r="AQ343" s="403">
        <f>'Portefeuille SP2'!AC368</f>
        <v>0</v>
      </c>
      <c r="AR343" s="403">
        <f>'Portefeuille SP2'!AD368</f>
        <v>0</v>
      </c>
      <c r="AS343" s="403">
        <f>'Portefeuille SP2'!AE368</f>
        <v>0</v>
      </c>
      <c r="AT343" s="403">
        <f>'Portefeuille SP2'!AF368</f>
        <v>0</v>
      </c>
      <c r="AU343" s="403">
        <f>'Portefeuille SP2'!AG368</f>
        <v>0</v>
      </c>
      <c r="AV343" s="403">
        <f>'Portefeuille SP2'!AH368</f>
        <v>0</v>
      </c>
      <c r="AW343" s="403">
        <f>'Portefeuille SP2'!AI368</f>
        <v>0</v>
      </c>
      <c r="AX343" s="403">
        <f>'Portefeuille SP2'!AJ368</f>
        <v>0</v>
      </c>
      <c r="AY343" s="403">
        <f>'Portefeuille SP2'!AK368</f>
        <v>0</v>
      </c>
      <c r="AZ343" s="403">
        <f>'Portefeuille SP2'!AL368</f>
        <v>0</v>
      </c>
      <c r="BA343" s="403">
        <f>'Portefeuille SP2'!AM368</f>
        <v>0</v>
      </c>
      <c r="BB343" s="403">
        <f>'Portefeuille SP2'!AN368</f>
        <v>0</v>
      </c>
      <c r="BC343" s="403">
        <f>'Portefeuille SP2'!AO368</f>
        <v>0</v>
      </c>
      <c r="BD343" s="403">
        <f>'Portefeuille SP2'!AP368</f>
        <v>0</v>
      </c>
      <c r="BE343" s="403">
        <f>'Portefeuille SP2'!AQ368</f>
        <v>0</v>
      </c>
      <c r="BF343" s="403">
        <f>'Portefeuille SP2'!AR368</f>
        <v>0</v>
      </c>
      <c r="BG343" s="403" t="e">
        <f>'Portefeuille SP2'!#REF!</f>
        <v>#REF!</v>
      </c>
      <c r="BH343" s="403" t="e">
        <f>'Portefeuille SP2'!#REF!</f>
        <v>#REF!</v>
      </c>
      <c r="BI343" s="403" t="e">
        <f>'Portefeuille SP2'!#REF!</f>
        <v>#REF!</v>
      </c>
      <c r="BJ343" s="403" t="e">
        <f>'Portefeuille SP2'!#REF!</f>
        <v>#REF!</v>
      </c>
      <c r="BK343" s="403" t="e">
        <f>'Portefeuille SP2'!#REF!</f>
        <v>#REF!</v>
      </c>
      <c r="BL343" s="388"/>
      <c r="BM343" s="404">
        <f>'Portefeuille SP2'!L368</f>
        <v>0</v>
      </c>
    </row>
    <row r="344" spans="1:65" ht="15" customHeight="1">
      <c r="A344" s="383">
        <f>'Portefeuille SP2'!B369</f>
        <v>0</v>
      </c>
      <c r="B344" s="390">
        <f>'Portefeuille SP2'!Q369</f>
        <v>0</v>
      </c>
      <c r="C344" s="384"/>
      <c r="D344" s="382">
        <f>'Portefeuille SP2'!E369</f>
        <v>0</v>
      </c>
      <c r="E344" s="382" t="str">
        <f t="shared" si="31"/>
        <v>0</v>
      </c>
      <c r="F344" s="382" t="str">
        <f t="shared" si="32"/>
        <v/>
      </c>
      <c r="G344" s="382">
        <f>'Portefeuille SP2'!C369</f>
        <v>0</v>
      </c>
      <c r="H344" s="382">
        <f>'Portefeuille SP2'!F369</f>
        <v>0</v>
      </c>
      <c r="I344" s="382"/>
      <c r="J344" s="382">
        <f>'Portefeuille SP2'!D369</f>
        <v>0</v>
      </c>
      <c r="K344" s="385">
        <f>'Portefeuille SP2'!H369</f>
        <v>0</v>
      </c>
      <c r="L344" s="157">
        <f>'Portefeuille SP2'!U369</f>
        <v>0</v>
      </c>
      <c r="M344" s="386"/>
      <c r="N344" s="386"/>
      <c r="O344" s="386"/>
      <c r="P344" s="387">
        <f>'Portefeuille SP2'!M369</f>
        <v>0</v>
      </c>
      <c r="Q344" s="387"/>
      <c r="R344" s="387">
        <f>'Portefeuille SP2'!N369</f>
        <v>0</v>
      </c>
      <c r="S344" s="387"/>
      <c r="T344" s="382">
        <f>'Portefeuille SP2'!R369</f>
        <v>0</v>
      </c>
      <c r="U344" s="387">
        <f>'Portefeuille SP2'!K369</f>
        <v>0</v>
      </c>
      <c r="V344" s="399">
        <f>'Portefeuille SP2'!S369</f>
        <v>0</v>
      </c>
      <c r="W344" s="387"/>
      <c r="X344" s="387"/>
      <c r="Y344" s="387"/>
      <c r="Z344" s="387"/>
      <c r="AA344" s="387"/>
      <c r="AB344" s="387"/>
      <c r="AC344" s="387"/>
      <c r="AD344" s="387"/>
      <c r="AE344" s="400">
        <f>'Portefeuille SP2'!J369</f>
        <v>0</v>
      </c>
      <c r="AF344" s="387"/>
      <c r="AG344" s="387"/>
      <c r="AH344" s="389"/>
      <c r="AI344" s="389"/>
      <c r="AJ344" s="403">
        <f>'Portefeuille SP2'!V369</f>
        <v>0</v>
      </c>
      <c r="AK344" s="403">
        <f>'Portefeuille SP2'!W369</f>
        <v>0</v>
      </c>
      <c r="AL344" s="403">
        <f>'Portefeuille SP2'!X369</f>
        <v>0</v>
      </c>
      <c r="AM344" s="403">
        <f>'Portefeuille SP2'!Y369</f>
        <v>0</v>
      </c>
      <c r="AN344" s="403">
        <f>'Portefeuille SP2'!Z369</f>
        <v>0</v>
      </c>
      <c r="AO344" s="403">
        <f>'Portefeuille SP2'!AA369</f>
        <v>0</v>
      </c>
      <c r="AP344" s="403">
        <f>'Portefeuille SP2'!AB369</f>
        <v>0</v>
      </c>
      <c r="AQ344" s="403">
        <f>'Portefeuille SP2'!AC369</f>
        <v>0</v>
      </c>
      <c r="AR344" s="403">
        <f>'Portefeuille SP2'!AD369</f>
        <v>0</v>
      </c>
      <c r="AS344" s="403">
        <f>'Portefeuille SP2'!AE369</f>
        <v>0</v>
      </c>
      <c r="AT344" s="403">
        <f>'Portefeuille SP2'!AF369</f>
        <v>0</v>
      </c>
      <c r="AU344" s="403">
        <f>'Portefeuille SP2'!AG369</f>
        <v>0</v>
      </c>
      <c r="AV344" s="403">
        <f>'Portefeuille SP2'!AH369</f>
        <v>0</v>
      </c>
      <c r="AW344" s="403">
        <f>'Portefeuille SP2'!AI369</f>
        <v>0</v>
      </c>
      <c r="AX344" s="403">
        <f>'Portefeuille SP2'!AJ369</f>
        <v>0</v>
      </c>
      <c r="AY344" s="403">
        <f>'Portefeuille SP2'!AK369</f>
        <v>0</v>
      </c>
      <c r="AZ344" s="403">
        <f>'Portefeuille SP2'!AL369</f>
        <v>0</v>
      </c>
      <c r="BA344" s="403">
        <f>'Portefeuille SP2'!AM369</f>
        <v>0</v>
      </c>
      <c r="BB344" s="403">
        <f>'Portefeuille SP2'!AN369</f>
        <v>0</v>
      </c>
      <c r="BC344" s="403">
        <f>'Portefeuille SP2'!AO369</f>
        <v>0</v>
      </c>
      <c r="BD344" s="403">
        <f>'Portefeuille SP2'!AP369</f>
        <v>0</v>
      </c>
      <c r="BE344" s="403">
        <f>'Portefeuille SP2'!AQ369</f>
        <v>0</v>
      </c>
      <c r="BF344" s="403">
        <f>'Portefeuille SP2'!AR369</f>
        <v>0</v>
      </c>
      <c r="BG344" s="403" t="e">
        <f>'Portefeuille SP2'!#REF!</f>
        <v>#REF!</v>
      </c>
      <c r="BH344" s="403" t="e">
        <f>'Portefeuille SP2'!#REF!</f>
        <v>#REF!</v>
      </c>
      <c r="BI344" s="403" t="e">
        <f>'Portefeuille SP2'!#REF!</f>
        <v>#REF!</v>
      </c>
      <c r="BJ344" s="403" t="e">
        <f>'Portefeuille SP2'!#REF!</f>
        <v>#REF!</v>
      </c>
      <c r="BK344" s="403" t="e">
        <f>'Portefeuille SP2'!#REF!</f>
        <v>#REF!</v>
      </c>
      <c r="BL344" s="388"/>
      <c r="BM344" s="404">
        <f>'Portefeuille SP2'!L369</f>
        <v>0</v>
      </c>
    </row>
    <row r="345" spans="1:65" ht="15" customHeight="1">
      <c r="A345" s="383">
        <f>'Portefeuille SP2'!B370</f>
        <v>0</v>
      </c>
      <c r="B345" s="390">
        <f>'Portefeuille SP2'!Q370</f>
        <v>0</v>
      </c>
      <c r="C345" s="384"/>
      <c r="D345" s="382">
        <f>'Portefeuille SP2'!E370</f>
        <v>0</v>
      </c>
      <c r="E345" s="382" t="str">
        <f t="shared" si="31"/>
        <v>0</v>
      </c>
      <c r="F345" s="382" t="str">
        <f t="shared" si="32"/>
        <v/>
      </c>
      <c r="G345" s="382">
        <f>'Portefeuille SP2'!C370</f>
        <v>0</v>
      </c>
      <c r="H345" s="382">
        <f>'Portefeuille SP2'!F370</f>
        <v>0</v>
      </c>
      <c r="I345" s="382"/>
      <c r="J345" s="382">
        <f>'Portefeuille SP2'!D370</f>
        <v>0</v>
      </c>
      <c r="K345" s="385">
        <f>'Portefeuille SP2'!H370</f>
        <v>0</v>
      </c>
      <c r="L345" s="157">
        <f>'Portefeuille SP2'!U370</f>
        <v>0</v>
      </c>
      <c r="M345" s="386"/>
      <c r="N345" s="386"/>
      <c r="O345" s="386"/>
      <c r="P345" s="387">
        <f>'Portefeuille SP2'!M370</f>
        <v>0</v>
      </c>
      <c r="Q345" s="387"/>
      <c r="R345" s="387">
        <f>'Portefeuille SP2'!N370</f>
        <v>0</v>
      </c>
      <c r="S345" s="387"/>
      <c r="T345" s="382">
        <f>'Portefeuille SP2'!R370</f>
        <v>0</v>
      </c>
      <c r="U345" s="387">
        <f>'Portefeuille SP2'!K370</f>
        <v>0</v>
      </c>
      <c r="V345" s="399">
        <f>'Portefeuille SP2'!S370</f>
        <v>0</v>
      </c>
      <c r="W345" s="387"/>
      <c r="X345" s="387"/>
      <c r="Y345" s="387"/>
      <c r="Z345" s="387"/>
      <c r="AA345" s="387"/>
      <c r="AB345" s="387"/>
      <c r="AC345" s="387"/>
      <c r="AD345" s="387"/>
      <c r="AE345" s="400">
        <f>'Portefeuille SP2'!J370</f>
        <v>0</v>
      </c>
      <c r="AF345" s="387"/>
      <c r="AG345" s="387"/>
      <c r="AH345" s="389"/>
      <c r="AI345" s="389"/>
      <c r="AJ345" s="403">
        <f>'Portefeuille SP2'!V370</f>
        <v>0</v>
      </c>
      <c r="AK345" s="403">
        <f>'Portefeuille SP2'!W370</f>
        <v>0</v>
      </c>
      <c r="AL345" s="403">
        <f>'Portefeuille SP2'!X370</f>
        <v>0</v>
      </c>
      <c r="AM345" s="403">
        <f>'Portefeuille SP2'!Y370</f>
        <v>0</v>
      </c>
      <c r="AN345" s="403">
        <f>'Portefeuille SP2'!Z370</f>
        <v>0</v>
      </c>
      <c r="AO345" s="403">
        <f>'Portefeuille SP2'!AA370</f>
        <v>0</v>
      </c>
      <c r="AP345" s="403">
        <f>'Portefeuille SP2'!AB370</f>
        <v>0</v>
      </c>
      <c r="AQ345" s="403">
        <f>'Portefeuille SP2'!AC370</f>
        <v>0</v>
      </c>
      <c r="AR345" s="403">
        <f>'Portefeuille SP2'!AD370</f>
        <v>0</v>
      </c>
      <c r="AS345" s="403">
        <f>'Portefeuille SP2'!AE370</f>
        <v>0</v>
      </c>
      <c r="AT345" s="403">
        <f>'Portefeuille SP2'!AF370</f>
        <v>0</v>
      </c>
      <c r="AU345" s="403">
        <f>'Portefeuille SP2'!AG370</f>
        <v>0</v>
      </c>
      <c r="AV345" s="403">
        <f>'Portefeuille SP2'!AH370</f>
        <v>0</v>
      </c>
      <c r="AW345" s="403">
        <f>'Portefeuille SP2'!AI370</f>
        <v>0</v>
      </c>
      <c r="AX345" s="403">
        <f>'Portefeuille SP2'!AJ370</f>
        <v>0</v>
      </c>
      <c r="AY345" s="403">
        <f>'Portefeuille SP2'!AK370</f>
        <v>0</v>
      </c>
      <c r="AZ345" s="403">
        <f>'Portefeuille SP2'!AL370</f>
        <v>0</v>
      </c>
      <c r="BA345" s="403">
        <f>'Portefeuille SP2'!AM370</f>
        <v>0</v>
      </c>
      <c r="BB345" s="403">
        <f>'Portefeuille SP2'!AN370</f>
        <v>0</v>
      </c>
      <c r="BC345" s="403">
        <f>'Portefeuille SP2'!AO370</f>
        <v>0</v>
      </c>
      <c r="BD345" s="403">
        <f>'Portefeuille SP2'!AP370</f>
        <v>0</v>
      </c>
      <c r="BE345" s="403">
        <f>'Portefeuille SP2'!AQ370</f>
        <v>0</v>
      </c>
      <c r="BF345" s="403">
        <f>'Portefeuille SP2'!AR370</f>
        <v>0</v>
      </c>
      <c r="BG345" s="403" t="e">
        <f>'Portefeuille SP2'!#REF!</f>
        <v>#REF!</v>
      </c>
      <c r="BH345" s="403" t="e">
        <f>'Portefeuille SP2'!#REF!</f>
        <v>#REF!</v>
      </c>
      <c r="BI345" s="403" t="e">
        <f>'Portefeuille SP2'!#REF!</f>
        <v>#REF!</v>
      </c>
      <c r="BJ345" s="403" t="e">
        <f>'Portefeuille SP2'!#REF!</f>
        <v>#REF!</v>
      </c>
      <c r="BK345" s="403" t="e">
        <f>'Portefeuille SP2'!#REF!</f>
        <v>#REF!</v>
      </c>
      <c r="BL345" s="388"/>
      <c r="BM345" s="404">
        <f>'Portefeuille SP2'!L370</f>
        <v>0</v>
      </c>
    </row>
    <row r="346" spans="1:65" ht="15" customHeight="1">
      <c r="A346" s="383">
        <f>'Portefeuille SP2'!B371</f>
        <v>0</v>
      </c>
      <c r="B346" s="390">
        <f>'Portefeuille SP2'!Q371</f>
        <v>0</v>
      </c>
      <c r="C346" s="384"/>
      <c r="D346" s="382">
        <f>'Portefeuille SP2'!E371</f>
        <v>0</v>
      </c>
      <c r="E346" s="382" t="str">
        <f t="shared" si="31"/>
        <v>0</v>
      </c>
      <c r="F346" s="382" t="str">
        <f t="shared" si="32"/>
        <v/>
      </c>
      <c r="G346" s="382">
        <f>'Portefeuille SP2'!C371</f>
        <v>0</v>
      </c>
      <c r="H346" s="382">
        <f>'Portefeuille SP2'!F371</f>
        <v>0</v>
      </c>
      <c r="I346" s="382"/>
      <c r="J346" s="382">
        <f>'Portefeuille SP2'!D371</f>
        <v>0</v>
      </c>
      <c r="K346" s="385">
        <f>'Portefeuille SP2'!H371</f>
        <v>0</v>
      </c>
      <c r="L346" s="157">
        <f>'Portefeuille SP2'!U371</f>
        <v>0</v>
      </c>
      <c r="M346" s="386"/>
      <c r="N346" s="386"/>
      <c r="O346" s="386"/>
      <c r="P346" s="387">
        <f>'Portefeuille SP2'!M371</f>
        <v>0</v>
      </c>
      <c r="Q346" s="387"/>
      <c r="R346" s="387">
        <f>'Portefeuille SP2'!N371</f>
        <v>0</v>
      </c>
      <c r="S346" s="387"/>
      <c r="T346" s="382">
        <f>'Portefeuille SP2'!R371</f>
        <v>0</v>
      </c>
      <c r="U346" s="387">
        <f>'Portefeuille SP2'!K371</f>
        <v>0</v>
      </c>
      <c r="V346" s="399">
        <f>'Portefeuille SP2'!S371</f>
        <v>0</v>
      </c>
      <c r="W346" s="387"/>
      <c r="X346" s="387"/>
      <c r="Y346" s="387"/>
      <c r="Z346" s="387"/>
      <c r="AA346" s="387"/>
      <c r="AB346" s="387"/>
      <c r="AC346" s="387"/>
      <c r="AD346" s="387"/>
      <c r="AE346" s="400">
        <f>'Portefeuille SP2'!J371</f>
        <v>0</v>
      </c>
      <c r="AF346" s="387"/>
      <c r="AG346" s="387"/>
      <c r="AH346" s="389"/>
      <c r="AI346" s="389"/>
      <c r="AJ346" s="403">
        <f>'Portefeuille SP2'!V371</f>
        <v>0</v>
      </c>
      <c r="AK346" s="403">
        <f>'Portefeuille SP2'!W371</f>
        <v>0</v>
      </c>
      <c r="AL346" s="403">
        <f>'Portefeuille SP2'!X371</f>
        <v>0</v>
      </c>
      <c r="AM346" s="403">
        <f>'Portefeuille SP2'!Y371</f>
        <v>0</v>
      </c>
      <c r="AN346" s="403">
        <f>'Portefeuille SP2'!Z371</f>
        <v>0</v>
      </c>
      <c r="AO346" s="403">
        <f>'Portefeuille SP2'!AA371</f>
        <v>0</v>
      </c>
      <c r="AP346" s="403">
        <f>'Portefeuille SP2'!AB371</f>
        <v>0</v>
      </c>
      <c r="AQ346" s="403">
        <f>'Portefeuille SP2'!AC371</f>
        <v>0</v>
      </c>
      <c r="AR346" s="403">
        <f>'Portefeuille SP2'!AD371</f>
        <v>0</v>
      </c>
      <c r="AS346" s="403">
        <f>'Portefeuille SP2'!AE371</f>
        <v>0</v>
      </c>
      <c r="AT346" s="403">
        <f>'Portefeuille SP2'!AF371</f>
        <v>0</v>
      </c>
      <c r="AU346" s="403">
        <f>'Portefeuille SP2'!AG371</f>
        <v>0</v>
      </c>
      <c r="AV346" s="403">
        <f>'Portefeuille SP2'!AH371</f>
        <v>0</v>
      </c>
      <c r="AW346" s="403">
        <f>'Portefeuille SP2'!AI371</f>
        <v>0</v>
      </c>
      <c r="AX346" s="403">
        <f>'Portefeuille SP2'!AJ371</f>
        <v>0</v>
      </c>
      <c r="AY346" s="403">
        <f>'Portefeuille SP2'!AK371</f>
        <v>0</v>
      </c>
      <c r="AZ346" s="403">
        <f>'Portefeuille SP2'!AL371</f>
        <v>0</v>
      </c>
      <c r="BA346" s="403">
        <f>'Portefeuille SP2'!AM371</f>
        <v>0</v>
      </c>
      <c r="BB346" s="403">
        <f>'Portefeuille SP2'!AN371</f>
        <v>0</v>
      </c>
      <c r="BC346" s="403">
        <f>'Portefeuille SP2'!AO371</f>
        <v>0</v>
      </c>
      <c r="BD346" s="403">
        <f>'Portefeuille SP2'!AP371</f>
        <v>0</v>
      </c>
      <c r="BE346" s="403">
        <f>'Portefeuille SP2'!AQ371</f>
        <v>0</v>
      </c>
      <c r="BF346" s="403">
        <f>'Portefeuille SP2'!AR371</f>
        <v>0</v>
      </c>
      <c r="BG346" s="403" t="e">
        <f>'Portefeuille SP2'!#REF!</f>
        <v>#REF!</v>
      </c>
      <c r="BH346" s="403" t="e">
        <f>'Portefeuille SP2'!#REF!</f>
        <v>#REF!</v>
      </c>
      <c r="BI346" s="403" t="e">
        <f>'Portefeuille SP2'!#REF!</f>
        <v>#REF!</v>
      </c>
      <c r="BJ346" s="403" t="e">
        <f>'Portefeuille SP2'!#REF!</f>
        <v>#REF!</v>
      </c>
      <c r="BK346" s="403" t="e">
        <f>'Portefeuille SP2'!#REF!</f>
        <v>#REF!</v>
      </c>
      <c r="BL346" s="388"/>
      <c r="BM346" s="404">
        <f>'Portefeuille SP2'!L371</f>
        <v>0</v>
      </c>
    </row>
    <row r="347" spans="1:65" ht="15" customHeight="1">
      <c r="A347" s="383">
        <f>'Portefeuille SP2'!B372</f>
        <v>0</v>
      </c>
      <c r="B347" s="390">
        <f>'Portefeuille SP2'!Q372</f>
        <v>0</v>
      </c>
      <c r="C347" s="384"/>
      <c r="D347" s="382">
        <f>'Portefeuille SP2'!E372</f>
        <v>0</v>
      </c>
      <c r="E347" s="382" t="str">
        <f t="shared" si="31"/>
        <v>0</v>
      </c>
      <c r="F347" s="382" t="str">
        <f t="shared" si="32"/>
        <v/>
      </c>
      <c r="G347" s="382">
        <f>'Portefeuille SP2'!C372</f>
        <v>0</v>
      </c>
      <c r="H347" s="382">
        <f>'Portefeuille SP2'!F372</f>
        <v>0</v>
      </c>
      <c r="I347" s="382"/>
      <c r="J347" s="382">
        <f>'Portefeuille SP2'!D372</f>
        <v>0</v>
      </c>
      <c r="K347" s="385">
        <f>'Portefeuille SP2'!H372</f>
        <v>0</v>
      </c>
      <c r="L347" s="157">
        <f>'Portefeuille SP2'!U372</f>
        <v>0</v>
      </c>
      <c r="M347" s="386"/>
      <c r="N347" s="386"/>
      <c r="O347" s="386"/>
      <c r="P347" s="387">
        <f>'Portefeuille SP2'!M372</f>
        <v>0</v>
      </c>
      <c r="Q347" s="387"/>
      <c r="R347" s="387">
        <f>'Portefeuille SP2'!N372</f>
        <v>0</v>
      </c>
      <c r="S347" s="387"/>
      <c r="T347" s="382">
        <f>'Portefeuille SP2'!R372</f>
        <v>0</v>
      </c>
      <c r="U347" s="387">
        <f>'Portefeuille SP2'!K372</f>
        <v>0</v>
      </c>
      <c r="V347" s="399">
        <f>'Portefeuille SP2'!S372</f>
        <v>0</v>
      </c>
      <c r="W347" s="387"/>
      <c r="X347" s="387"/>
      <c r="Y347" s="387"/>
      <c r="Z347" s="387"/>
      <c r="AA347" s="387"/>
      <c r="AB347" s="387"/>
      <c r="AC347" s="387"/>
      <c r="AD347" s="387"/>
      <c r="AE347" s="400">
        <f>'Portefeuille SP2'!J372</f>
        <v>0</v>
      </c>
      <c r="AF347" s="387"/>
      <c r="AG347" s="387"/>
      <c r="AH347" s="389"/>
      <c r="AI347" s="389"/>
      <c r="AJ347" s="403">
        <f>'Portefeuille SP2'!V372</f>
        <v>0</v>
      </c>
      <c r="AK347" s="403">
        <f>'Portefeuille SP2'!W372</f>
        <v>0</v>
      </c>
      <c r="AL347" s="403">
        <f>'Portefeuille SP2'!X372</f>
        <v>0</v>
      </c>
      <c r="AM347" s="403">
        <f>'Portefeuille SP2'!Y372</f>
        <v>0</v>
      </c>
      <c r="AN347" s="403">
        <f>'Portefeuille SP2'!Z372</f>
        <v>0</v>
      </c>
      <c r="AO347" s="403">
        <f>'Portefeuille SP2'!AA372</f>
        <v>0</v>
      </c>
      <c r="AP347" s="403">
        <f>'Portefeuille SP2'!AB372</f>
        <v>0</v>
      </c>
      <c r="AQ347" s="403">
        <f>'Portefeuille SP2'!AC372</f>
        <v>0</v>
      </c>
      <c r="AR347" s="403">
        <f>'Portefeuille SP2'!AD372</f>
        <v>0</v>
      </c>
      <c r="AS347" s="403">
        <f>'Portefeuille SP2'!AE372</f>
        <v>0</v>
      </c>
      <c r="AT347" s="403">
        <f>'Portefeuille SP2'!AF372</f>
        <v>0</v>
      </c>
      <c r="AU347" s="403">
        <f>'Portefeuille SP2'!AG372</f>
        <v>0</v>
      </c>
      <c r="AV347" s="403">
        <f>'Portefeuille SP2'!AH372</f>
        <v>0</v>
      </c>
      <c r="AW347" s="403">
        <f>'Portefeuille SP2'!AI372</f>
        <v>0</v>
      </c>
      <c r="AX347" s="403">
        <f>'Portefeuille SP2'!AJ372</f>
        <v>0</v>
      </c>
      <c r="AY347" s="403">
        <f>'Portefeuille SP2'!AK372</f>
        <v>0</v>
      </c>
      <c r="AZ347" s="403">
        <f>'Portefeuille SP2'!AL372</f>
        <v>0</v>
      </c>
      <c r="BA347" s="403">
        <f>'Portefeuille SP2'!AM372</f>
        <v>0</v>
      </c>
      <c r="BB347" s="403">
        <f>'Portefeuille SP2'!AN372</f>
        <v>0</v>
      </c>
      <c r="BC347" s="403">
        <f>'Portefeuille SP2'!AO372</f>
        <v>0</v>
      </c>
      <c r="BD347" s="403">
        <f>'Portefeuille SP2'!AP372</f>
        <v>0</v>
      </c>
      <c r="BE347" s="403">
        <f>'Portefeuille SP2'!AQ372</f>
        <v>0</v>
      </c>
      <c r="BF347" s="403">
        <f>'Portefeuille SP2'!AR372</f>
        <v>0</v>
      </c>
      <c r="BG347" s="403" t="e">
        <f>'Portefeuille SP2'!#REF!</f>
        <v>#REF!</v>
      </c>
      <c r="BH347" s="403" t="e">
        <f>'Portefeuille SP2'!#REF!</f>
        <v>#REF!</v>
      </c>
      <c r="BI347" s="403" t="e">
        <f>'Portefeuille SP2'!#REF!</f>
        <v>#REF!</v>
      </c>
      <c r="BJ347" s="403" t="e">
        <f>'Portefeuille SP2'!#REF!</f>
        <v>#REF!</v>
      </c>
      <c r="BK347" s="403" t="e">
        <f>'Portefeuille SP2'!#REF!</f>
        <v>#REF!</v>
      </c>
      <c r="BL347" s="388"/>
      <c r="BM347" s="404">
        <f>'Portefeuille SP2'!L372</f>
        <v>0</v>
      </c>
    </row>
    <row r="348" spans="1:65" ht="15" customHeight="1">
      <c r="A348" s="383">
        <f>'Portefeuille SP2'!B373</f>
        <v>0</v>
      </c>
      <c r="B348" s="390">
        <f>'Portefeuille SP2'!Q373</f>
        <v>0</v>
      </c>
      <c r="C348" s="384"/>
      <c r="D348" s="382">
        <f>'Portefeuille SP2'!E373</f>
        <v>0</v>
      </c>
      <c r="E348" s="382" t="str">
        <f t="shared" si="31"/>
        <v>0</v>
      </c>
      <c r="F348" s="382" t="str">
        <f t="shared" si="32"/>
        <v/>
      </c>
      <c r="G348" s="382">
        <f>'Portefeuille SP2'!C373</f>
        <v>0</v>
      </c>
      <c r="H348" s="382">
        <f>'Portefeuille SP2'!F373</f>
        <v>0</v>
      </c>
      <c r="I348" s="382"/>
      <c r="J348" s="382">
        <f>'Portefeuille SP2'!D373</f>
        <v>0</v>
      </c>
      <c r="K348" s="385">
        <f>'Portefeuille SP2'!H373</f>
        <v>0</v>
      </c>
      <c r="L348" s="157">
        <f>'Portefeuille SP2'!U373</f>
        <v>0</v>
      </c>
      <c r="M348" s="386"/>
      <c r="N348" s="386"/>
      <c r="O348" s="386"/>
      <c r="P348" s="387">
        <f>'Portefeuille SP2'!M373</f>
        <v>0</v>
      </c>
      <c r="Q348" s="387"/>
      <c r="R348" s="387">
        <f>'Portefeuille SP2'!N373</f>
        <v>0</v>
      </c>
      <c r="S348" s="387"/>
      <c r="T348" s="382">
        <f>'Portefeuille SP2'!R373</f>
        <v>0</v>
      </c>
      <c r="U348" s="387">
        <f>'Portefeuille SP2'!K373</f>
        <v>0</v>
      </c>
      <c r="V348" s="399">
        <f>'Portefeuille SP2'!S373</f>
        <v>0</v>
      </c>
      <c r="W348" s="387"/>
      <c r="X348" s="387"/>
      <c r="Y348" s="387"/>
      <c r="Z348" s="387"/>
      <c r="AA348" s="387"/>
      <c r="AB348" s="387"/>
      <c r="AC348" s="387"/>
      <c r="AD348" s="387"/>
      <c r="AE348" s="400">
        <f>'Portefeuille SP2'!J373</f>
        <v>0</v>
      </c>
      <c r="AF348" s="387"/>
      <c r="AG348" s="387"/>
      <c r="AH348" s="389"/>
      <c r="AI348" s="389"/>
      <c r="AJ348" s="403">
        <f>'Portefeuille SP2'!V373</f>
        <v>0</v>
      </c>
      <c r="AK348" s="403">
        <f>'Portefeuille SP2'!W373</f>
        <v>0</v>
      </c>
      <c r="AL348" s="403">
        <f>'Portefeuille SP2'!X373</f>
        <v>0</v>
      </c>
      <c r="AM348" s="403">
        <f>'Portefeuille SP2'!Y373</f>
        <v>0</v>
      </c>
      <c r="AN348" s="403">
        <f>'Portefeuille SP2'!Z373</f>
        <v>0</v>
      </c>
      <c r="AO348" s="403">
        <f>'Portefeuille SP2'!AA373</f>
        <v>0</v>
      </c>
      <c r="AP348" s="403">
        <f>'Portefeuille SP2'!AB373</f>
        <v>0</v>
      </c>
      <c r="AQ348" s="403">
        <f>'Portefeuille SP2'!AC373</f>
        <v>0</v>
      </c>
      <c r="AR348" s="403">
        <f>'Portefeuille SP2'!AD373</f>
        <v>0</v>
      </c>
      <c r="AS348" s="403">
        <f>'Portefeuille SP2'!AE373</f>
        <v>0</v>
      </c>
      <c r="AT348" s="403">
        <f>'Portefeuille SP2'!AF373</f>
        <v>0</v>
      </c>
      <c r="AU348" s="403">
        <f>'Portefeuille SP2'!AG373</f>
        <v>0</v>
      </c>
      <c r="AV348" s="403">
        <f>'Portefeuille SP2'!AH373</f>
        <v>0</v>
      </c>
      <c r="AW348" s="403">
        <f>'Portefeuille SP2'!AI373</f>
        <v>0</v>
      </c>
      <c r="AX348" s="403">
        <f>'Portefeuille SP2'!AJ373</f>
        <v>0</v>
      </c>
      <c r="AY348" s="403">
        <f>'Portefeuille SP2'!AK373</f>
        <v>0</v>
      </c>
      <c r="AZ348" s="403">
        <f>'Portefeuille SP2'!AL373</f>
        <v>0</v>
      </c>
      <c r="BA348" s="403">
        <f>'Portefeuille SP2'!AM373</f>
        <v>0</v>
      </c>
      <c r="BB348" s="403">
        <f>'Portefeuille SP2'!AN373</f>
        <v>0</v>
      </c>
      <c r="BC348" s="403">
        <f>'Portefeuille SP2'!AO373</f>
        <v>0</v>
      </c>
      <c r="BD348" s="403">
        <f>'Portefeuille SP2'!AP373</f>
        <v>0</v>
      </c>
      <c r="BE348" s="403">
        <f>'Portefeuille SP2'!AQ373</f>
        <v>0</v>
      </c>
      <c r="BF348" s="403">
        <f>'Portefeuille SP2'!AR373</f>
        <v>0</v>
      </c>
      <c r="BG348" s="403" t="e">
        <f>'Portefeuille SP2'!#REF!</f>
        <v>#REF!</v>
      </c>
      <c r="BH348" s="403" t="e">
        <f>'Portefeuille SP2'!#REF!</f>
        <v>#REF!</v>
      </c>
      <c r="BI348" s="403" t="e">
        <f>'Portefeuille SP2'!#REF!</f>
        <v>#REF!</v>
      </c>
      <c r="BJ348" s="403" t="e">
        <f>'Portefeuille SP2'!#REF!</f>
        <v>#REF!</v>
      </c>
      <c r="BK348" s="403" t="e">
        <f>'Portefeuille SP2'!#REF!</f>
        <v>#REF!</v>
      </c>
      <c r="BL348" s="388"/>
      <c r="BM348" s="404">
        <f>'Portefeuille SP2'!L373</f>
        <v>0</v>
      </c>
    </row>
    <row r="349" spans="1:65" ht="15" customHeight="1">
      <c r="A349" s="383">
        <f>'Portefeuille SP2'!B374</f>
        <v>0</v>
      </c>
      <c r="B349" s="390">
        <f>'Portefeuille SP2'!Q374</f>
        <v>0</v>
      </c>
      <c r="C349" s="384"/>
      <c r="D349" s="382">
        <f>'Portefeuille SP2'!E374</f>
        <v>0</v>
      </c>
      <c r="E349" s="382" t="str">
        <f t="shared" si="31"/>
        <v>0</v>
      </c>
      <c r="F349" s="382" t="str">
        <f t="shared" si="32"/>
        <v/>
      </c>
      <c r="G349" s="382">
        <f>'Portefeuille SP2'!C374</f>
        <v>0</v>
      </c>
      <c r="H349" s="382">
        <f>'Portefeuille SP2'!F374</f>
        <v>0</v>
      </c>
      <c r="I349" s="382"/>
      <c r="J349" s="382">
        <f>'Portefeuille SP2'!D374</f>
        <v>0</v>
      </c>
      <c r="K349" s="385">
        <f>'Portefeuille SP2'!H374</f>
        <v>0</v>
      </c>
      <c r="L349" s="157">
        <f>'Portefeuille SP2'!U374</f>
        <v>0</v>
      </c>
      <c r="M349" s="386"/>
      <c r="N349" s="386"/>
      <c r="O349" s="386"/>
      <c r="P349" s="387">
        <f>'Portefeuille SP2'!M374</f>
        <v>0</v>
      </c>
      <c r="Q349" s="387"/>
      <c r="R349" s="387">
        <f>'Portefeuille SP2'!N374</f>
        <v>0</v>
      </c>
      <c r="S349" s="387"/>
      <c r="T349" s="382">
        <f>'Portefeuille SP2'!R374</f>
        <v>0</v>
      </c>
      <c r="U349" s="387">
        <f>'Portefeuille SP2'!K374</f>
        <v>0</v>
      </c>
      <c r="V349" s="399">
        <f>'Portefeuille SP2'!S374</f>
        <v>0</v>
      </c>
      <c r="W349" s="387"/>
      <c r="X349" s="387"/>
      <c r="Y349" s="387"/>
      <c r="Z349" s="387"/>
      <c r="AA349" s="387"/>
      <c r="AB349" s="387"/>
      <c r="AC349" s="387"/>
      <c r="AD349" s="387"/>
      <c r="AE349" s="400">
        <f>'Portefeuille SP2'!J374</f>
        <v>0</v>
      </c>
      <c r="AF349" s="387"/>
      <c r="AG349" s="387"/>
      <c r="AH349" s="389"/>
      <c r="AI349" s="389"/>
      <c r="AJ349" s="403">
        <f>'Portefeuille SP2'!V374</f>
        <v>0</v>
      </c>
      <c r="AK349" s="403">
        <f>'Portefeuille SP2'!W374</f>
        <v>0</v>
      </c>
      <c r="AL349" s="403">
        <f>'Portefeuille SP2'!X374</f>
        <v>0</v>
      </c>
      <c r="AM349" s="403">
        <f>'Portefeuille SP2'!Y374</f>
        <v>0</v>
      </c>
      <c r="AN349" s="403">
        <f>'Portefeuille SP2'!Z374</f>
        <v>0</v>
      </c>
      <c r="AO349" s="403">
        <f>'Portefeuille SP2'!AA374</f>
        <v>0</v>
      </c>
      <c r="AP349" s="403">
        <f>'Portefeuille SP2'!AB374</f>
        <v>0</v>
      </c>
      <c r="AQ349" s="403">
        <f>'Portefeuille SP2'!AC374</f>
        <v>0</v>
      </c>
      <c r="AR349" s="403">
        <f>'Portefeuille SP2'!AD374</f>
        <v>0</v>
      </c>
      <c r="AS349" s="403">
        <f>'Portefeuille SP2'!AE374</f>
        <v>0</v>
      </c>
      <c r="AT349" s="403">
        <f>'Portefeuille SP2'!AF374</f>
        <v>0</v>
      </c>
      <c r="AU349" s="403">
        <f>'Portefeuille SP2'!AG374</f>
        <v>0</v>
      </c>
      <c r="AV349" s="403">
        <f>'Portefeuille SP2'!AH374</f>
        <v>0</v>
      </c>
      <c r="AW349" s="403">
        <f>'Portefeuille SP2'!AI374</f>
        <v>0</v>
      </c>
      <c r="AX349" s="403">
        <f>'Portefeuille SP2'!AJ374</f>
        <v>0</v>
      </c>
      <c r="AY349" s="403">
        <f>'Portefeuille SP2'!AK374</f>
        <v>0</v>
      </c>
      <c r="AZ349" s="403">
        <f>'Portefeuille SP2'!AL374</f>
        <v>0</v>
      </c>
      <c r="BA349" s="403">
        <f>'Portefeuille SP2'!AM374</f>
        <v>0</v>
      </c>
      <c r="BB349" s="403">
        <f>'Portefeuille SP2'!AN374</f>
        <v>0</v>
      </c>
      <c r="BC349" s="403">
        <f>'Portefeuille SP2'!AO374</f>
        <v>0</v>
      </c>
      <c r="BD349" s="403">
        <f>'Portefeuille SP2'!AP374</f>
        <v>0</v>
      </c>
      <c r="BE349" s="403">
        <f>'Portefeuille SP2'!AQ374</f>
        <v>0</v>
      </c>
      <c r="BF349" s="403">
        <f>'Portefeuille SP2'!AR374</f>
        <v>0</v>
      </c>
      <c r="BG349" s="403" t="e">
        <f>'Portefeuille SP2'!#REF!</f>
        <v>#REF!</v>
      </c>
      <c r="BH349" s="403" t="e">
        <f>'Portefeuille SP2'!#REF!</f>
        <v>#REF!</v>
      </c>
      <c r="BI349" s="403" t="e">
        <f>'Portefeuille SP2'!#REF!</f>
        <v>#REF!</v>
      </c>
      <c r="BJ349" s="403" t="e">
        <f>'Portefeuille SP2'!#REF!</f>
        <v>#REF!</v>
      </c>
      <c r="BK349" s="403" t="e">
        <f>'Portefeuille SP2'!#REF!</f>
        <v>#REF!</v>
      </c>
      <c r="BL349" s="388"/>
      <c r="BM349" s="404">
        <f>'Portefeuille SP2'!L374</f>
        <v>0</v>
      </c>
    </row>
    <row r="350" spans="1:65" ht="15" customHeight="1">
      <c r="A350" s="383">
        <f>'Portefeuille SP2'!B375</f>
        <v>0</v>
      </c>
      <c r="B350" s="390">
        <f>'Portefeuille SP2'!Q375</f>
        <v>0</v>
      </c>
      <c r="C350" s="384"/>
      <c r="D350" s="382">
        <f>'Portefeuille SP2'!E375</f>
        <v>0</v>
      </c>
      <c r="E350" s="382" t="str">
        <f t="shared" si="31"/>
        <v>0</v>
      </c>
      <c r="F350" s="382" t="str">
        <f t="shared" si="32"/>
        <v/>
      </c>
      <c r="G350" s="382">
        <f>'Portefeuille SP2'!C375</f>
        <v>0</v>
      </c>
      <c r="H350" s="382">
        <f>'Portefeuille SP2'!F375</f>
        <v>0</v>
      </c>
      <c r="I350" s="382"/>
      <c r="J350" s="382">
        <f>'Portefeuille SP2'!D375</f>
        <v>0</v>
      </c>
      <c r="K350" s="385">
        <f>'Portefeuille SP2'!H375</f>
        <v>0</v>
      </c>
      <c r="L350" s="157">
        <f>'Portefeuille SP2'!U375</f>
        <v>0</v>
      </c>
      <c r="M350" s="386"/>
      <c r="N350" s="386"/>
      <c r="O350" s="386"/>
      <c r="P350" s="387">
        <f>'Portefeuille SP2'!M375</f>
        <v>0</v>
      </c>
      <c r="Q350" s="387"/>
      <c r="R350" s="387">
        <f>'Portefeuille SP2'!N375</f>
        <v>0</v>
      </c>
      <c r="S350" s="387"/>
      <c r="T350" s="382">
        <f>'Portefeuille SP2'!R375</f>
        <v>0</v>
      </c>
      <c r="U350" s="387">
        <f>'Portefeuille SP2'!K375</f>
        <v>0</v>
      </c>
      <c r="V350" s="399">
        <f>'Portefeuille SP2'!S375</f>
        <v>0</v>
      </c>
      <c r="W350" s="387"/>
      <c r="X350" s="387"/>
      <c r="Y350" s="387"/>
      <c r="Z350" s="387"/>
      <c r="AA350" s="387"/>
      <c r="AB350" s="387"/>
      <c r="AC350" s="387"/>
      <c r="AD350" s="387"/>
      <c r="AE350" s="400">
        <f>'Portefeuille SP2'!J375</f>
        <v>0</v>
      </c>
      <c r="AF350" s="387"/>
      <c r="AG350" s="387"/>
      <c r="AH350" s="389"/>
      <c r="AI350" s="389"/>
      <c r="AJ350" s="403">
        <f>'Portefeuille SP2'!V375</f>
        <v>0</v>
      </c>
      <c r="AK350" s="403">
        <f>'Portefeuille SP2'!W375</f>
        <v>0</v>
      </c>
      <c r="AL350" s="403">
        <f>'Portefeuille SP2'!X375</f>
        <v>0</v>
      </c>
      <c r="AM350" s="403">
        <f>'Portefeuille SP2'!Y375</f>
        <v>0</v>
      </c>
      <c r="AN350" s="403">
        <f>'Portefeuille SP2'!Z375</f>
        <v>0</v>
      </c>
      <c r="AO350" s="403">
        <f>'Portefeuille SP2'!AA375</f>
        <v>0</v>
      </c>
      <c r="AP350" s="403">
        <f>'Portefeuille SP2'!AB375</f>
        <v>0</v>
      </c>
      <c r="AQ350" s="403">
        <f>'Portefeuille SP2'!AC375</f>
        <v>0</v>
      </c>
      <c r="AR350" s="403">
        <f>'Portefeuille SP2'!AD375</f>
        <v>0</v>
      </c>
      <c r="AS350" s="403">
        <f>'Portefeuille SP2'!AE375</f>
        <v>0</v>
      </c>
      <c r="AT350" s="403">
        <f>'Portefeuille SP2'!AF375</f>
        <v>0</v>
      </c>
      <c r="AU350" s="403">
        <f>'Portefeuille SP2'!AG375</f>
        <v>0</v>
      </c>
      <c r="AV350" s="403">
        <f>'Portefeuille SP2'!AH375</f>
        <v>0</v>
      </c>
      <c r="AW350" s="403">
        <f>'Portefeuille SP2'!AI375</f>
        <v>0</v>
      </c>
      <c r="AX350" s="403">
        <f>'Portefeuille SP2'!AJ375</f>
        <v>0</v>
      </c>
      <c r="AY350" s="403">
        <f>'Portefeuille SP2'!AK375</f>
        <v>0</v>
      </c>
      <c r="AZ350" s="403">
        <f>'Portefeuille SP2'!AL375</f>
        <v>0</v>
      </c>
      <c r="BA350" s="403">
        <f>'Portefeuille SP2'!AM375</f>
        <v>0</v>
      </c>
      <c r="BB350" s="403">
        <f>'Portefeuille SP2'!AN375</f>
        <v>0</v>
      </c>
      <c r="BC350" s="403">
        <f>'Portefeuille SP2'!AO375</f>
        <v>0</v>
      </c>
      <c r="BD350" s="403">
        <f>'Portefeuille SP2'!AP375</f>
        <v>0</v>
      </c>
      <c r="BE350" s="403">
        <f>'Portefeuille SP2'!AQ375</f>
        <v>0</v>
      </c>
      <c r="BF350" s="403">
        <f>'Portefeuille SP2'!AR375</f>
        <v>0</v>
      </c>
      <c r="BG350" s="403" t="e">
        <f>'Portefeuille SP2'!#REF!</f>
        <v>#REF!</v>
      </c>
      <c r="BH350" s="403" t="e">
        <f>'Portefeuille SP2'!#REF!</f>
        <v>#REF!</v>
      </c>
      <c r="BI350" s="403" t="e">
        <f>'Portefeuille SP2'!#REF!</f>
        <v>#REF!</v>
      </c>
      <c r="BJ350" s="403" t="e">
        <f>'Portefeuille SP2'!#REF!</f>
        <v>#REF!</v>
      </c>
      <c r="BK350" s="403" t="e">
        <f>'Portefeuille SP2'!#REF!</f>
        <v>#REF!</v>
      </c>
      <c r="BL350" s="388"/>
      <c r="BM350" s="404">
        <f>'Portefeuille SP2'!L375</f>
        <v>0</v>
      </c>
    </row>
    <row r="351" spans="1:65" ht="15" customHeight="1">
      <c r="A351" s="383">
        <f>'Portefeuille SP2'!B376</f>
        <v>0</v>
      </c>
      <c r="B351" s="390">
        <f>'Portefeuille SP2'!Q376</f>
        <v>0</v>
      </c>
      <c r="C351" s="384"/>
      <c r="D351" s="382">
        <f>'Portefeuille SP2'!E376</f>
        <v>0</v>
      </c>
      <c r="E351" s="382" t="str">
        <f t="shared" si="31"/>
        <v>0</v>
      </c>
      <c r="F351" s="382" t="str">
        <f t="shared" si="32"/>
        <v/>
      </c>
      <c r="G351" s="382">
        <f>'Portefeuille SP2'!C376</f>
        <v>0</v>
      </c>
      <c r="H351" s="382">
        <f>'Portefeuille SP2'!F376</f>
        <v>0</v>
      </c>
      <c r="I351" s="382"/>
      <c r="J351" s="382">
        <f>'Portefeuille SP2'!D376</f>
        <v>0</v>
      </c>
      <c r="K351" s="385">
        <f>'Portefeuille SP2'!H376</f>
        <v>0</v>
      </c>
      <c r="L351" s="157">
        <f>'Portefeuille SP2'!U376</f>
        <v>0</v>
      </c>
      <c r="M351" s="386"/>
      <c r="N351" s="386"/>
      <c r="O351" s="386"/>
      <c r="P351" s="387">
        <f>'Portefeuille SP2'!M376</f>
        <v>0</v>
      </c>
      <c r="Q351" s="387"/>
      <c r="R351" s="387">
        <f>'Portefeuille SP2'!N376</f>
        <v>0</v>
      </c>
      <c r="S351" s="387"/>
      <c r="T351" s="382">
        <f>'Portefeuille SP2'!R376</f>
        <v>0</v>
      </c>
      <c r="U351" s="387">
        <f>'Portefeuille SP2'!K376</f>
        <v>0</v>
      </c>
      <c r="V351" s="399">
        <f>'Portefeuille SP2'!S376</f>
        <v>0</v>
      </c>
      <c r="W351" s="387"/>
      <c r="X351" s="387"/>
      <c r="Y351" s="387"/>
      <c r="Z351" s="387"/>
      <c r="AA351" s="387"/>
      <c r="AB351" s="387"/>
      <c r="AC351" s="387"/>
      <c r="AD351" s="387"/>
      <c r="AE351" s="400">
        <f>'Portefeuille SP2'!J376</f>
        <v>0</v>
      </c>
      <c r="AF351" s="387"/>
      <c r="AG351" s="387"/>
      <c r="AH351" s="389"/>
      <c r="AI351" s="389"/>
      <c r="AJ351" s="403">
        <f>'Portefeuille SP2'!V376</f>
        <v>0</v>
      </c>
      <c r="AK351" s="403">
        <f>'Portefeuille SP2'!W376</f>
        <v>0</v>
      </c>
      <c r="AL351" s="403">
        <f>'Portefeuille SP2'!X376</f>
        <v>0</v>
      </c>
      <c r="AM351" s="403">
        <f>'Portefeuille SP2'!Y376</f>
        <v>0</v>
      </c>
      <c r="AN351" s="403">
        <f>'Portefeuille SP2'!Z376</f>
        <v>0</v>
      </c>
      <c r="AO351" s="403">
        <f>'Portefeuille SP2'!AA376</f>
        <v>0</v>
      </c>
      <c r="AP351" s="403">
        <f>'Portefeuille SP2'!AB376</f>
        <v>0</v>
      </c>
      <c r="AQ351" s="403">
        <f>'Portefeuille SP2'!AC376</f>
        <v>0</v>
      </c>
      <c r="AR351" s="403">
        <f>'Portefeuille SP2'!AD376</f>
        <v>0</v>
      </c>
      <c r="AS351" s="403">
        <f>'Portefeuille SP2'!AE376</f>
        <v>0</v>
      </c>
      <c r="AT351" s="403">
        <f>'Portefeuille SP2'!AF376</f>
        <v>0</v>
      </c>
      <c r="AU351" s="403">
        <f>'Portefeuille SP2'!AG376</f>
        <v>0</v>
      </c>
      <c r="AV351" s="403">
        <f>'Portefeuille SP2'!AH376</f>
        <v>0</v>
      </c>
      <c r="AW351" s="403">
        <f>'Portefeuille SP2'!AI376</f>
        <v>0</v>
      </c>
      <c r="AX351" s="403">
        <f>'Portefeuille SP2'!AJ376</f>
        <v>0</v>
      </c>
      <c r="AY351" s="403">
        <f>'Portefeuille SP2'!AK376</f>
        <v>0</v>
      </c>
      <c r="AZ351" s="403">
        <f>'Portefeuille SP2'!AL376</f>
        <v>0</v>
      </c>
      <c r="BA351" s="403">
        <f>'Portefeuille SP2'!AM376</f>
        <v>0</v>
      </c>
      <c r="BB351" s="403">
        <f>'Portefeuille SP2'!AN376</f>
        <v>0</v>
      </c>
      <c r="BC351" s="403">
        <f>'Portefeuille SP2'!AO376</f>
        <v>0</v>
      </c>
      <c r="BD351" s="403">
        <f>'Portefeuille SP2'!AP376</f>
        <v>0</v>
      </c>
      <c r="BE351" s="403">
        <f>'Portefeuille SP2'!AQ376</f>
        <v>0</v>
      </c>
      <c r="BF351" s="403">
        <f>'Portefeuille SP2'!AR376</f>
        <v>0</v>
      </c>
      <c r="BG351" s="403" t="e">
        <f>'Portefeuille SP2'!#REF!</f>
        <v>#REF!</v>
      </c>
      <c r="BH351" s="403" t="e">
        <f>'Portefeuille SP2'!#REF!</f>
        <v>#REF!</v>
      </c>
      <c r="BI351" s="403" t="e">
        <f>'Portefeuille SP2'!#REF!</f>
        <v>#REF!</v>
      </c>
      <c r="BJ351" s="403" t="e">
        <f>'Portefeuille SP2'!#REF!</f>
        <v>#REF!</v>
      </c>
      <c r="BK351" s="403" t="e">
        <f>'Portefeuille SP2'!#REF!</f>
        <v>#REF!</v>
      </c>
      <c r="BL351" s="388"/>
      <c r="BM351" s="404">
        <f>'Portefeuille SP2'!L376</f>
        <v>0</v>
      </c>
    </row>
    <row r="352" spans="1:65" ht="15" customHeight="1">
      <c r="A352" s="383">
        <f>'Portefeuille SP2'!B377</f>
        <v>0</v>
      </c>
      <c r="B352" s="390">
        <f>'Portefeuille SP2'!Q377</f>
        <v>0</v>
      </c>
      <c r="C352" s="384"/>
      <c r="D352" s="382">
        <f>'Portefeuille SP2'!E377</f>
        <v>0</v>
      </c>
      <c r="E352" s="382" t="str">
        <f t="shared" si="31"/>
        <v>0</v>
      </c>
      <c r="F352" s="382" t="str">
        <f t="shared" si="32"/>
        <v/>
      </c>
      <c r="G352" s="382">
        <f>'Portefeuille SP2'!C377</f>
        <v>0</v>
      </c>
      <c r="H352" s="382">
        <f>'Portefeuille SP2'!F377</f>
        <v>0</v>
      </c>
      <c r="I352" s="382"/>
      <c r="J352" s="382">
        <f>'Portefeuille SP2'!D377</f>
        <v>0</v>
      </c>
      <c r="K352" s="385">
        <f>'Portefeuille SP2'!H377</f>
        <v>0</v>
      </c>
      <c r="L352" s="157">
        <f>'Portefeuille SP2'!U377</f>
        <v>0</v>
      </c>
      <c r="M352" s="386"/>
      <c r="N352" s="386"/>
      <c r="O352" s="386"/>
      <c r="P352" s="387">
        <f>'Portefeuille SP2'!M377</f>
        <v>0</v>
      </c>
      <c r="Q352" s="387"/>
      <c r="R352" s="387">
        <f>'Portefeuille SP2'!N377</f>
        <v>0</v>
      </c>
      <c r="S352" s="387"/>
      <c r="T352" s="382">
        <f>'Portefeuille SP2'!R377</f>
        <v>0</v>
      </c>
      <c r="U352" s="387">
        <f>'Portefeuille SP2'!K377</f>
        <v>0</v>
      </c>
      <c r="V352" s="399">
        <f>'Portefeuille SP2'!S377</f>
        <v>0</v>
      </c>
      <c r="W352" s="387"/>
      <c r="X352" s="387"/>
      <c r="Y352" s="387"/>
      <c r="Z352" s="387"/>
      <c r="AA352" s="387"/>
      <c r="AB352" s="387"/>
      <c r="AC352" s="387"/>
      <c r="AD352" s="387"/>
      <c r="AE352" s="400">
        <f>'Portefeuille SP2'!J377</f>
        <v>0</v>
      </c>
      <c r="AF352" s="387"/>
      <c r="AG352" s="387"/>
      <c r="AH352" s="389"/>
      <c r="AI352" s="389"/>
      <c r="AJ352" s="403">
        <f>'Portefeuille SP2'!V377</f>
        <v>0</v>
      </c>
      <c r="AK352" s="403">
        <f>'Portefeuille SP2'!W377</f>
        <v>0</v>
      </c>
      <c r="AL352" s="403">
        <f>'Portefeuille SP2'!X377</f>
        <v>0</v>
      </c>
      <c r="AM352" s="403">
        <f>'Portefeuille SP2'!Y377</f>
        <v>0</v>
      </c>
      <c r="AN352" s="403">
        <f>'Portefeuille SP2'!Z377</f>
        <v>0</v>
      </c>
      <c r="AO352" s="403">
        <f>'Portefeuille SP2'!AA377</f>
        <v>0</v>
      </c>
      <c r="AP352" s="403">
        <f>'Portefeuille SP2'!AB377</f>
        <v>0</v>
      </c>
      <c r="AQ352" s="403">
        <f>'Portefeuille SP2'!AC377</f>
        <v>0</v>
      </c>
      <c r="AR352" s="403">
        <f>'Portefeuille SP2'!AD377</f>
        <v>0</v>
      </c>
      <c r="AS352" s="403">
        <f>'Portefeuille SP2'!AE377</f>
        <v>0</v>
      </c>
      <c r="AT352" s="403">
        <f>'Portefeuille SP2'!AF377</f>
        <v>0</v>
      </c>
      <c r="AU352" s="403">
        <f>'Portefeuille SP2'!AG377</f>
        <v>0</v>
      </c>
      <c r="AV352" s="403">
        <f>'Portefeuille SP2'!AH377</f>
        <v>0</v>
      </c>
      <c r="AW352" s="403">
        <f>'Portefeuille SP2'!AI377</f>
        <v>0</v>
      </c>
      <c r="AX352" s="403">
        <f>'Portefeuille SP2'!AJ377</f>
        <v>0</v>
      </c>
      <c r="AY352" s="403">
        <f>'Portefeuille SP2'!AK377</f>
        <v>0</v>
      </c>
      <c r="AZ352" s="403">
        <f>'Portefeuille SP2'!AL377</f>
        <v>0</v>
      </c>
      <c r="BA352" s="403">
        <f>'Portefeuille SP2'!AM377</f>
        <v>0</v>
      </c>
      <c r="BB352" s="403">
        <f>'Portefeuille SP2'!AN377</f>
        <v>0</v>
      </c>
      <c r="BC352" s="403">
        <f>'Portefeuille SP2'!AO377</f>
        <v>0</v>
      </c>
      <c r="BD352" s="403">
        <f>'Portefeuille SP2'!AP377</f>
        <v>0</v>
      </c>
      <c r="BE352" s="403">
        <f>'Portefeuille SP2'!AQ377</f>
        <v>0</v>
      </c>
      <c r="BF352" s="403">
        <f>'Portefeuille SP2'!AR377</f>
        <v>0</v>
      </c>
      <c r="BG352" s="403" t="e">
        <f>'Portefeuille SP2'!#REF!</f>
        <v>#REF!</v>
      </c>
      <c r="BH352" s="403" t="e">
        <f>'Portefeuille SP2'!#REF!</f>
        <v>#REF!</v>
      </c>
      <c r="BI352" s="403" t="e">
        <f>'Portefeuille SP2'!#REF!</f>
        <v>#REF!</v>
      </c>
      <c r="BJ352" s="403" t="e">
        <f>'Portefeuille SP2'!#REF!</f>
        <v>#REF!</v>
      </c>
      <c r="BK352" s="403" t="e">
        <f>'Portefeuille SP2'!#REF!</f>
        <v>#REF!</v>
      </c>
      <c r="BL352" s="388"/>
      <c r="BM352" s="404">
        <f>'Portefeuille SP2'!L377</f>
        <v>0</v>
      </c>
    </row>
    <row r="353" spans="1:65" ht="15" customHeight="1">
      <c r="A353" s="383">
        <f>'Portefeuille SP2'!B378</f>
        <v>0</v>
      </c>
      <c r="B353" s="390">
        <f>'Portefeuille SP2'!Q378</f>
        <v>0</v>
      </c>
      <c r="C353" s="384"/>
      <c r="D353" s="382">
        <f>'Portefeuille SP2'!E378</f>
        <v>0</v>
      </c>
      <c r="E353" s="382" t="str">
        <f t="shared" si="31"/>
        <v>0</v>
      </c>
      <c r="F353" s="382" t="str">
        <f t="shared" si="32"/>
        <v/>
      </c>
      <c r="G353" s="382">
        <f>'Portefeuille SP2'!C378</f>
        <v>0</v>
      </c>
      <c r="H353" s="382">
        <f>'Portefeuille SP2'!F378</f>
        <v>0</v>
      </c>
      <c r="I353" s="382"/>
      <c r="J353" s="382">
        <f>'Portefeuille SP2'!D378</f>
        <v>0</v>
      </c>
      <c r="K353" s="385">
        <f>'Portefeuille SP2'!H378</f>
        <v>0</v>
      </c>
      <c r="L353" s="157">
        <f>'Portefeuille SP2'!U378</f>
        <v>0</v>
      </c>
      <c r="M353" s="386"/>
      <c r="N353" s="386"/>
      <c r="O353" s="386"/>
      <c r="P353" s="387">
        <f>'Portefeuille SP2'!M378</f>
        <v>0</v>
      </c>
      <c r="Q353" s="387"/>
      <c r="R353" s="387">
        <f>'Portefeuille SP2'!N378</f>
        <v>0</v>
      </c>
      <c r="S353" s="387"/>
      <c r="T353" s="382">
        <f>'Portefeuille SP2'!R378</f>
        <v>0</v>
      </c>
      <c r="U353" s="387">
        <f>'Portefeuille SP2'!K378</f>
        <v>0</v>
      </c>
      <c r="V353" s="399">
        <f>'Portefeuille SP2'!S378</f>
        <v>0</v>
      </c>
      <c r="W353" s="387"/>
      <c r="X353" s="387"/>
      <c r="Y353" s="387"/>
      <c r="Z353" s="387"/>
      <c r="AA353" s="387"/>
      <c r="AB353" s="387"/>
      <c r="AC353" s="387"/>
      <c r="AD353" s="387"/>
      <c r="AE353" s="400">
        <f>'Portefeuille SP2'!J378</f>
        <v>0</v>
      </c>
      <c r="AF353" s="387"/>
      <c r="AG353" s="387"/>
      <c r="AH353" s="389"/>
      <c r="AI353" s="389"/>
      <c r="AJ353" s="403">
        <f>'Portefeuille SP2'!V378</f>
        <v>0</v>
      </c>
      <c r="AK353" s="403">
        <f>'Portefeuille SP2'!W378</f>
        <v>0</v>
      </c>
      <c r="AL353" s="403">
        <f>'Portefeuille SP2'!X378</f>
        <v>0</v>
      </c>
      <c r="AM353" s="403">
        <f>'Portefeuille SP2'!Y378</f>
        <v>0</v>
      </c>
      <c r="AN353" s="403">
        <f>'Portefeuille SP2'!Z378</f>
        <v>0</v>
      </c>
      <c r="AO353" s="403">
        <f>'Portefeuille SP2'!AA378</f>
        <v>0</v>
      </c>
      <c r="AP353" s="403">
        <f>'Portefeuille SP2'!AB378</f>
        <v>0</v>
      </c>
      <c r="AQ353" s="403">
        <f>'Portefeuille SP2'!AC378</f>
        <v>0</v>
      </c>
      <c r="AR353" s="403">
        <f>'Portefeuille SP2'!AD378</f>
        <v>0</v>
      </c>
      <c r="AS353" s="403">
        <f>'Portefeuille SP2'!AE378</f>
        <v>0</v>
      </c>
      <c r="AT353" s="403">
        <f>'Portefeuille SP2'!AF378</f>
        <v>0</v>
      </c>
      <c r="AU353" s="403">
        <f>'Portefeuille SP2'!AG378</f>
        <v>0</v>
      </c>
      <c r="AV353" s="403">
        <f>'Portefeuille SP2'!AH378</f>
        <v>0</v>
      </c>
      <c r="AW353" s="403">
        <f>'Portefeuille SP2'!AI378</f>
        <v>0</v>
      </c>
      <c r="AX353" s="403">
        <f>'Portefeuille SP2'!AJ378</f>
        <v>0</v>
      </c>
      <c r="AY353" s="403">
        <f>'Portefeuille SP2'!AK378</f>
        <v>0</v>
      </c>
      <c r="AZ353" s="403">
        <f>'Portefeuille SP2'!AL378</f>
        <v>0</v>
      </c>
      <c r="BA353" s="403">
        <f>'Portefeuille SP2'!AM378</f>
        <v>0</v>
      </c>
      <c r="BB353" s="403">
        <f>'Portefeuille SP2'!AN378</f>
        <v>0</v>
      </c>
      <c r="BC353" s="403">
        <f>'Portefeuille SP2'!AO378</f>
        <v>0</v>
      </c>
      <c r="BD353" s="403">
        <f>'Portefeuille SP2'!AP378</f>
        <v>0</v>
      </c>
      <c r="BE353" s="403">
        <f>'Portefeuille SP2'!AQ378</f>
        <v>0</v>
      </c>
      <c r="BF353" s="403">
        <f>'Portefeuille SP2'!AR378</f>
        <v>0</v>
      </c>
      <c r="BG353" s="403" t="e">
        <f>'Portefeuille SP2'!#REF!</f>
        <v>#REF!</v>
      </c>
      <c r="BH353" s="403" t="e">
        <f>'Portefeuille SP2'!#REF!</f>
        <v>#REF!</v>
      </c>
      <c r="BI353" s="403" t="e">
        <f>'Portefeuille SP2'!#REF!</f>
        <v>#REF!</v>
      </c>
      <c r="BJ353" s="403" t="e">
        <f>'Portefeuille SP2'!#REF!</f>
        <v>#REF!</v>
      </c>
      <c r="BK353" s="403" t="e">
        <f>'Portefeuille SP2'!#REF!</f>
        <v>#REF!</v>
      </c>
      <c r="BL353" s="388"/>
      <c r="BM353" s="404">
        <f>'Portefeuille SP2'!L378</f>
        <v>0</v>
      </c>
    </row>
    <row r="354" spans="1:65" ht="15" customHeight="1">
      <c r="A354" s="383">
        <f>'Portefeuille SP2'!B379</f>
        <v>0</v>
      </c>
      <c r="B354" s="390">
        <f>'Portefeuille SP2'!Q379</f>
        <v>0</v>
      </c>
      <c r="C354" s="384"/>
      <c r="D354" s="382">
        <f>'Portefeuille SP2'!E379</f>
        <v>0</v>
      </c>
      <c r="E354" s="382" t="str">
        <f t="shared" si="31"/>
        <v>0</v>
      </c>
      <c r="F354" s="382" t="str">
        <f t="shared" si="32"/>
        <v/>
      </c>
      <c r="G354" s="382">
        <f>'Portefeuille SP2'!C379</f>
        <v>0</v>
      </c>
      <c r="H354" s="382">
        <f>'Portefeuille SP2'!F379</f>
        <v>0</v>
      </c>
      <c r="I354" s="382"/>
      <c r="J354" s="382">
        <f>'Portefeuille SP2'!D379</f>
        <v>0</v>
      </c>
      <c r="K354" s="385">
        <f>'Portefeuille SP2'!H379</f>
        <v>0</v>
      </c>
      <c r="L354" s="157">
        <f>'Portefeuille SP2'!U379</f>
        <v>0</v>
      </c>
      <c r="M354" s="386"/>
      <c r="N354" s="386"/>
      <c r="O354" s="386"/>
      <c r="P354" s="387">
        <f>'Portefeuille SP2'!M379</f>
        <v>0</v>
      </c>
      <c r="Q354" s="387"/>
      <c r="R354" s="387">
        <f>'Portefeuille SP2'!N379</f>
        <v>0</v>
      </c>
      <c r="S354" s="387"/>
      <c r="T354" s="382">
        <f>'Portefeuille SP2'!R379</f>
        <v>0</v>
      </c>
      <c r="U354" s="387">
        <f>'Portefeuille SP2'!K379</f>
        <v>0</v>
      </c>
      <c r="V354" s="399">
        <f>'Portefeuille SP2'!S379</f>
        <v>0</v>
      </c>
      <c r="W354" s="387"/>
      <c r="X354" s="387"/>
      <c r="Y354" s="387"/>
      <c r="Z354" s="387"/>
      <c r="AA354" s="387"/>
      <c r="AB354" s="387"/>
      <c r="AC354" s="387"/>
      <c r="AD354" s="387"/>
      <c r="AE354" s="400">
        <f>'Portefeuille SP2'!J379</f>
        <v>0</v>
      </c>
      <c r="AF354" s="387"/>
      <c r="AG354" s="387"/>
      <c r="AH354" s="389"/>
      <c r="AI354" s="389"/>
      <c r="AJ354" s="403">
        <f>'Portefeuille SP2'!V379</f>
        <v>0</v>
      </c>
      <c r="AK354" s="403">
        <f>'Portefeuille SP2'!W379</f>
        <v>0</v>
      </c>
      <c r="AL354" s="403">
        <f>'Portefeuille SP2'!X379</f>
        <v>0</v>
      </c>
      <c r="AM354" s="403">
        <f>'Portefeuille SP2'!Y379</f>
        <v>0</v>
      </c>
      <c r="AN354" s="403">
        <f>'Portefeuille SP2'!Z379</f>
        <v>0</v>
      </c>
      <c r="AO354" s="403">
        <f>'Portefeuille SP2'!AA379</f>
        <v>0</v>
      </c>
      <c r="AP354" s="403">
        <f>'Portefeuille SP2'!AB379</f>
        <v>0</v>
      </c>
      <c r="AQ354" s="403">
        <f>'Portefeuille SP2'!AC379</f>
        <v>0</v>
      </c>
      <c r="AR354" s="403">
        <f>'Portefeuille SP2'!AD379</f>
        <v>0</v>
      </c>
      <c r="AS354" s="403">
        <f>'Portefeuille SP2'!AE379</f>
        <v>0</v>
      </c>
      <c r="AT354" s="403">
        <f>'Portefeuille SP2'!AF379</f>
        <v>0</v>
      </c>
      <c r="AU354" s="403">
        <f>'Portefeuille SP2'!AG379</f>
        <v>0</v>
      </c>
      <c r="AV354" s="403">
        <f>'Portefeuille SP2'!AH379</f>
        <v>0</v>
      </c>
      <c r="AW354" s="403">
        <f>'Portefeuille SP2'!AI379</f>
        <v>0</v>
      </c>
      <c r="AX354" s="403">
        <f>'Portefeuille SP2'!AJ379</f>
        <v>0</v>
      </c>
      <c r="AY354" s="403">
        <f>'Portefeuille SP2'!AK379</f>
        <v>0</v>
      </c>
      <c r="AZ354" s="403">
        <f>'Portefeuille SP2'!AL379</f>
        <v>0</v>
      </c>
      <c r="BA354" s="403">
        <f>'Portefeuille SP2'!AM379</f>
        <v>0</v>
      </c>
      <c r="BB354" s="403">
        <f>'Portefeuille SP2'!AN379</f>
        <v>0</v>
      </c>
      <c r="BC354" s="403">
        <f>'Portefeuille SP2'!AO379</f>
        <v>0</v>
      </c>
      <c r="BD354" s="403">
        <f>'Portefeuille SP2'!AP379</f>
        <v>0</v>
      </c>
      <c r="BE354" s="403">
        <f>'Portefeuille SP2'!AQ379</f>
        <v>0</v>
      </c>
      <c r="BF354" s="403">
        <f>'Portefeuille SP2'!AR379</f>
        <v>0</v>
      </c>
      <c r="BG354" s="403" t="e">
        <f>'Portefeuille SP2'!#REF!</f>
        <v>#REF!</v>
      </c>
      <c r="BH354" s="403" t="e">
        <f>'Portefeuille SP2'!#REF!</f>
        <v>#REF!</v>
      </c>
      <c r="BI354" s="403" t="e">
        <f>'Portefeuille SP2'!#REF!</f>
        <v>#REF!</v>
      </c>
      <c r="BJ354" s="403" t="e">
        <f>'Portefeuille SP2'!#REF!</f>
        <v>#REF!</v>
      </c>
      <c r="BK354" s="403" t="e">
        <f>'Portefeuille SP2'!#REF!</f>
        <v>#REF!</v>
      </c>
      <c r="BL354" s="388"/>
      <c r="BM354" s="404">
        <f>'Portefeuille SP2'!L379</f>
        <v>0</v>
      </c>
    </row>
    <row r="355" spans="1:65" ht="15" customHeight="1">
      <c r="A355" s="383">
        <f>'Portefeuille SP2'!B380</f>
        <v>0</v>
      </c>
      <c r="B355" s="390">
        <f>'Portefeuille SP2'!Q380</f>
        <v>0</v>
      </c>
      <c r="C355" s="384"/>
      <c r="D355" s="382">
        <f>'Portefeuille SP2'!E380</f>
        <v>0</v>
      </c>
      <c r="E355" s="382" t="str">
        <f t="shared" si="31"/>
        <v>0</v>
      </c>
      <c r="F355" s="382" t="str">
        <f t="shared" si="32"/>
        <v/>
      </c>
      <c r="G355" s="382">
        <f>'Portefeuille SP2'!C380</f>
        <v>0</v>
      </c>
      <c r="H355" s="382">
        <f>'Portefeuille SP2'!F380</f>
        <v>0</v>
      </c>
      <c r="I355" s="382"/>
      <c r="J355" s="382">
        <f>'Portefeuille SP2'!D380</f>
        <v>0</v>
      </c>
      <c r="K355" s="385">
        <f>'Portefeuille SP2'!H380</f>
        <v>0</v>
      </c>
      <c r="L355" s="157">
        <f>'Portefeuille SP2'!U380</f>
        <v>0</v>
      </c>
      <c r="M355" s="386"/>
      <c r="N355" s="386"/>
      <c r="O355" s="386"/>
      <c r="P355" s="387">
        <f>'Portefeuille SP2'!M380</f>
        <v>0</v>
      </c>
      <c r="Q355" s="387"/>
      <c r="R355" s="387">
        <f>'Portefeuille SP2'!N380</f>
        <v>0</v>
      </c>
      <c r="S355" s="387"/>
      <c r="T355" s="382">
        <f>'Portefeuille SP2'!R380</f>
        <v>0</v>
      </c>
      <c r="U355" s="387">
        <f>'Portefeuille SP2'!K380</f>
        <v>0</v>
      </c>
      <c r="V355" s="399">
        <f>'Portefeuille SP2'!S380</f>
        <v>0</v>
      </c>
      <c r="W355" s="387"/>
      <c r="X355" s="387"/>
      <c r="Y355" s="387"/>
      <c r="Z355" s="387"/>
      <c r="AA355" s="387"/>
      <c r="AB355" s="387"/>
      <c r="AC355" s="387"/>
      <c r="AD355" s="387"/>
      <c r="AE355" s="400">
        <f>'Portefeuille SP2'!J380</f>
        <v>0</v>
      </c>
      <c r="AF355" s="387"/>
      <c r="AG355" s="387"/>
      <c r="AH355" s="389"/>
      <c r="AI355" s="389"/>
      <c r="AJ355" s="403">
        <f>'Portefeuille SP2'!V380</f>
        <v>0</v>
      </c>
      <c r="AK355" s="403">
        <f>'Portefeuille SP2'!W380</f>
        <v>0</v>
      </c>
      <c r="AL355" s="403">
        <f>'Portefeuille SP2'!X380</f>
        <v>0</v>
      </c>
      <c r="AM355" s="403">
        <f>'Portefeuille SP2'!Y380</f>
        <v>0</v>
      </c>
      <c r="AN355" s="403">
        <f>'Portefeuille SP2'!Z380</f>
        <v>0</v>
      </c>
      <c r="AO355" s="403">
        <f>'Portefeuille SP2'!AA380</f>
        <v>0</v>
      </c>
      <c r="AP355" s="403">
        <f>'Portefeuille SP2'!AB380</f>
        <v>0</v>
      </c>
      <c r="AQ355" s="403">
        <f>'Portefeuille SP2'!AC380</f>
        <v>0</v>
      </c>
      <c r="AR355" s="403">
        <f>'Portefeuille SP2'!AD380</f>
        <v>0</v>
      </c>
      <c r="AS355" s="403">
        <f>'Portefeuille SP2'!AE380</f>
        <v>0</v>
      </c>
      <c r="AT355" s="403">
        <f>'Portefeuille SP2'!AF380</f>
        <v>0</v>
      </c>
      <c r="AU355" s="403">
        <f>'Portefeuille SP2'!AG380</f>
        <v>0</v>
      </c>
      <c r="AV355" s="403">
        <f>'Portefeuille SP2'!AH380</f>
        <v>0</v>
      </c>
      <c r="AW355" s="403">
        <f>'Portefeuille SP2'!AI380</f>
        <v>0</v>
      </c>
      <c r="AX355" s="403">
        <f>'Portefeuille SP2'!AJ380</f>
        <v>0</v>
      </c>
      <c r="AY355" s="403">
        <f>'Portefeuille SP2'!AK380</f>
        <v>0</v>
      </c>
      <c r="AZ355" s="403">
        <f>'Portefeuille SP2'!AL380</f>
        <v>0</v>
      </c>
      <c r="BA355" s="403">
        <f>'Portefeuille SP2'!AM380</f>
        <v>0</v>
      </c>
      <c r="BB355" s="403">
        <f>'Portefeuille SP2'!AN380</f>
        <v>0</v>
      </c>
      <c r="BC355" s="403">
        <f>'Portefeuille SP2'!AO380</f>
        <v>0</v>
      </c>
      <c r="BD355" s="403">
        <f>'Portefeuille SP2'!AP380</f>
        <v>0</v>
      </c>
      <c r="BE355" s="403">
        <f>'Portefeuille SP2'!AQ380</f>
        <v>0</v>
      </c>
      <c r="BF355" s="403">
        <f>'Portefeuille SP2'!AR380</f>
        <v>0</v>
      </c>
      <c r="BG355" s="403" t="e">
        <f>'Portefeuille SP2'!#REF!</f>
        <v>#REF!</v>
      </c>
      <c r="BH355" s="403" t="e">
        <f>'Portefeuille SP2'!#REF!</f>
        <v>#REF!</v>
      </c>
      <c r="BI355" s="403" t="e">
        <f>'Portefeuille SP2'!#REF!</f>
        <v>#REF!</v>
      </c>
      <c r="BJ355" s="403" t="e">
        <f>'Portefeuille SP2'!#REF!</f>
        <v>#REF!</v>
      </c>
      <c r="BK355" s="403" t="e">
        <f>'Portefeuille SP2'!#REF!</f>
        <v>#REF!</v>
      </c>
      <c r="BL355" s="388"/>
      <c r="BM355" s="404">
        <f>'Portefeuille SP2'!L380</f>
        <v>0</v>
      </c>
    </row>
    <row r="356" spans="1:65" ht="15" customHeight="1">
      <c r="A356" s="383">
        <f>'Portefeuille SP2'!B381</f>
        <v>0</v>
      </c>
      <c r="B356" s="390">
        <f>'Portefeuille SP2'!Q381</f>
        <v>0</v>
      </c>
      <c r="C356" s="384"/>
      <c r="D356" s="382">
        <f>'Portefeuille SP2'!E381</f>
        <v>0</v>
      </c>
      <c r="E356" s="382" t="str">
        <f t="shared" si="31"/>
        <v>0</v>
      </c>
      <c r="F356" s="382" t="str">
        <f t="shared" si="32"/>
        <v/>
      </c>
      <c r="G356" s="382">
        <f>'Portefeuille SP2'!C381</f>
        <v>0</v>
      </c>
      <c r="H356" s="382">
        <f>'Portefeuille SP2'!F381</f>
        <v>0</v>
      </c>
      <c r="I356" s="382"/>
      <c r="J356" s="382">
        <f>'Portefeuille SP2'!D381</f>
        <v>0</v>
      </c>
      <c r="K356" s="385">
        <f>'Portefeuille SP2'!H381</f>
        <v>0</v>
      </c>
      <c r="L356" s="157">
        <f>'Portefeuille SP2'!U381</f>
        <v>0</v>
      </c>
      <c r="M356" s="386"/>
      <c r="N356" s="386"/>
      <c r="O356" s="386"/>
      <c r="P356" s="387">
        <f>'Portefeuille SP2'!M381</f>
        <v>0</v>
      </c>
      <c r="Q356" s="387"/>
      <c r="R356" s="387">
        <f>'Portefeuille SP2'!N381</f>
        <v>0</v>
      </c>
      <c r="S356" s="387"/>
      <c r="T356" s="382">
        <f>'Portefeuille SP2'!R381</f>
        <v>0</v>
      </c>
      <c r="U356" s="387">
        <f>'Portefeuille SP2'!K381</f>
        <v>0</v>
      </c>
      <c r="V356" s="399">
        <f>'Portefeuille SP2'!S381</f>
        <v>0</v>
      </c>
      <c r="W356" s="387"/>
      <c r="X356" s="387"/>
      <c r="Y356" s="387"/>
      <c r="Z356" s="387"/>
      <c r="AA356" s="387"/>
      <c r="AB356" s="387"/>
      <c r="AC356" s="387"/>
      <c r="AD356" s="387"/>
      <c r="AE356" s="400">
        <f>'Portefeuille SP2'!J381</f>
        <v>0</v>
      </c>
      <c r="AF356" s="387"/>
      <c r="AG356" s="387"/>
      <c r="AH356" s="389"/>
      <c r="AI356" s="389"/>
      <c r="AJ356" s="403">
        <f>'Portefeuille SP2'!V381</f>
        <v>0</v>
      </c>
      <c r="AK356" s="403">
        <f>'Portefeuille SP2'!W381</f>
        <v>0</v>
      </c>
      <c r="AL356" s="403">
        <f>'Portefeuille SP2'!X381</f>
        <v>0</v>
      </c>
      <c r="AM356" s="403">
        <f>'Portefeuille SP2'!Y381</f>
        <v>0</v>
      </c>
      <c r="AN356" s="403">
        <f>'Portefeuille SP2'!Z381</f>
        <v>0</v>
      </c>
      <c r="AO356" s="403">
        <f>'Portefeuille SP2'!AA381</f>
        <v>0</v>
      </c>
      <c r="AP356" s="403">
        <f>'Portefeuille SP2'!AB381</f>
        <v>0</v>
      </c>
      <c r="AQ356" s="403">
        <f>'Portefeuille SP2'!AC381</f>
        <v>0</v>
      </c>
      <c r="AR356" s="403">
        <f>'Portefeuille SP2'!AD381</f>
        <v>0</v>
      </c>
      <c r="AS356" s="403">
        <f>'Portefeuille SP2'!AE381</f>
        <v>0</v>
      </c>
      <c r="AT356" s="403">
        <f>'Portefeuille SP2'!AF381</f>
        <v>0</v>
      </c>
      <c r="AU356" s="403">
        <f>'Portefeuille SP2'!AG381</f>
        <v>0</v>
      </c>
      <c r="AV356" s="403">
        <f>'Portefeuille SP2'!AH381</f>
        <v>0</v>
      </c>
      <c r="AW356" s="403">
        <f>'Portefeuille SP2'!AI381</f>
        <v>0</v>
      </c>
      <c r="AX356" s="403">
        <f>'Portefeuille SP2'!AJ381</f>
        <v>0</v>
      </c>
      <c r="AY356" s="403">
        <f>'Portefeuille SP2'!AK381</f>
        <v>0</v>
      </c>
      <c r="AZ356" s="403">
        <f>'Portefeuille SP2'!AL381</f>
        <v>0</v>
      </c>
      <c r="BA356" s="403">
        <f>'Portefeuille SP2'!AM381</f>
        <v>0</v>
      </c>
      <c r="BB356" s="403">
        <f>'Portefeuille SP2'!AN381</f>
        <v>0</v>
      </c>
      <c r="BC356" s="403">
        <f>'Portefeuille SP2'!AO381</f>
        <v>0</v>
      </c>
      <c r="BD356" s="403">
        <f>'Portefeuille SP2'!AP381</f>
        <v>0</v>
      </c>
      <c r="BE356" s="403">
        <f>'Portefeuille SP2'!AQ381</f>
        <v>0</v>
      </c>
      <c r="BF356" s="403">
        <f>'Portefeuille SP2'!AR381</f>
        <v>0</v>
      </c>
      <c r="BG356" s="403" t="e">
        <f>'Portefeuille SP2'!#REF!</f>
        <v>#REF!</v>
      </c>
      <c r="BH356" s="403" t="e">
        <f>'Portefeuille SP2'!#REF!</f>
        <v>#REF!</v>
      </c>
      <c r="BI356" s="403" t="e">
        <f>'Portefeuille SP2'!#REF!</f>
        <v>#REF!</v>
      </c>
      <c r="BJ356" s="403" t="e">
        <f>'Portefeuille SP2'!#REF!</f>
        <v>#REF!</v>
      </c>
      <c r="BK356" s="403" t="e">
        <f>'Portefeuille SP2'!#REF!</f>
        <v>#REF!</v>
      </c>
      <c r="BL356" s="388"/>
      <c r="BM356" s="404">
        <f>'Portefeuille SP2'!L381</f>
        <v>0</v>
      </c>
    </row>
    <row r="357" spans="1:65" ht="15" customHeight="1">
      <c r="A357" s="383">
        <f>'Portefeuille SP2'!B382</f>
        <v>0</v>
      </c>
      <c r="B357" s="390">
        <f>'Portefeuille SP2'!Q382</f>
        <v>0</v>
      </c>
      <c r="C357" s="384"/>
      <c r="D357" s="382">
        <f>'Portefeuille SP2'!E382</f>
        <v>0</v>
      </c>
      <c r="E357" s="382" t="str">
        <f t="shared" si="31"/>
        <v>0</v>
      </c>
      <c r="F357" s="382" t="str">
        <f t="shared" si="32"/>
        <v/>
      </c>
      <c r="G357" s="382">
        <f>'Portefeuille SP2'!C382</f>
        <v>0</v>
      </c>
      <c r="H357" s="382">
        <f>'Portefeuille SP2'!F382</f>
        <v>0</v>
      </c>
      <c r="I357" s="382"/>
      <c r="J357" s="382">
        <f>'Portefeuille SP2'!D382</f>
        <v>0</v>
      </c>
      <c r="K357" s="385">
        <f>'Portefeuille SP2'!H382</f>
        <v>0</v>
      </c>
      <c r="L357" s="157">
        <f>'Portefeuille SP2'!U382</f>
        <v>0</v>
      </c>
      <c r="M357" s="386"/>
      <c r="N357" s="386"/>
      <c r="O357" s="386"/>
      <c r="P357" s="387">
        <f>'Portefeuille SP2'!M382</f>
        <v>0</v>
      </c>
      <c r="Q357" s="387"/>
      <c r="R357" s="387">
        <f>'Portefeuille SP2'!N382</f>
        <v>0</v>
      </c>
      <c r="S357" s="387"/>
      <c r="T357" s="382">
        <f>'Portefeuille SP2'!R382</f>
        <v>0</v>
      </c>
      <c r="U357" s="387">
        <f>'Portefeuille SP2'!K382</f>
        <v>0</v>
      </c>
      <c r="V357" s="399">
        <f>'Portefeuille SP2'!S382</f>
        <v>0</v>
      </c>
      <c r="W357" s="387"/>
      <c r="X357" s="387"/>
      <c r="Y357" s="387"/>
      <c r="Z357" s="387"/>
      <c r="AA357" s="387"/>
      <c r="AB357" s="387"/>
      <c r="AC357" s="387"/>
      <c r="AD357" s="387"/>
      <c r="AE357" s="400">
        <f>'Portefeuille SP2'!J382</f>
        <v>0</v>
      </c>
      <c r="AF357" s="387"/>
      <c r="AG357" s="387"/>
      <c r="AH357" s="389"/>
      <c r="AI357" s="389"/>
      <c r="AJ357" s="403">
        <f>'Portefeuille SP2'!V382</f>
        <v>0</v>
      </c>
      <c r="AK357" s="403">
        <f>'Portefeuille SP2'!W382</f>
        <v>0</v>
      </c>
      <c r="AL357" s="403">
        <f>'Portefeuille SP2'!X382</f>
        <v>0</v>
      </c>
      <c r="AM357" s="403">
        <f>'Portefeuille SP2'!Y382</f>
        <v>0</v>
      </c>
      <c r="AN357" s="403">
        <f>'Portefeuille SP2'!Z382</f>
        <v>0</v>
      </c>
      <c r="AO357" s="403">
        <f>'Portefeuille SP2'!AA382</f>
        <v>0</v>
      </c>
      <c r="AP357" s="403">
        <f>'Portefeuille SP2'!AB382</f>
        <v>0</v>
      </c>
      <c r="AQ357" s="403">
        <f>'Portefeuille SP2'!AC382</f>
        <v>0</v>
      </c>
      <c r="AR357" s="403">
        <f>'Portefeuille SP2'!AD382</f>
        <v>0</v>
      </c>
      <c r="AS357" s="403">
        <f>'Portefeuille SP2'!AE382</f>
        <v>0</v>
      </c>
      <c r="AT357" s="403">
        <f>'Portefeuille SP2'!AF382</f>
        <v>0</v>
      </c>
      <c r="AU357" s="403">
        <f>'Portefeuille SP2'!AG382</f>
        <v>0</v>
      </c>
      <c r="AV357" s="403">
        <f>'Portefeuille SP2'!AH382</f>
        <v>0</v>
      </c>
      <c r="AW357" s="403">
        <f>'Portefeuille SP2'!AI382</f>
        <v>0</v>
      </c>
      <c r="AX357" s="403">
        <f>'Portefeuille SP2'!AJ382</f>
        <v>0</v>
      </c>
      <c r="AY357" s="403">
        <f>'Portefeuille SP2'!AK382</f>
        <v>0</v>
      </c>
      <c r="AZ357" s="403">
        <f>'Portefeuille SP2'!AL382</f>
        <v>0</v>
      </c>
      <c r="BA357" s="403">
        <f>'Portefeuille SP2'!AM382</f>
        <v>0</v>
      </c>
      <c r="BB357" s="403">
        <f>'Portefeuille SP2'!AN382</f>
        <v>0</v>
      </c>
      <c r="BC357" s="403">
        <f>'Portefeuille SP2'!AO382</f>
        <v>0</v>
      </c>
      <c r="BD357" s="403">
        <f>'Portefeuille SP2'!AP382</f>
        <v>0</v>
      </c>
      <c r="BE357" s="403">
        <f>'Portefeuille SP2'!AQ382</f>
        <v>0</v>
      </c>
      <c r="BF357" s="403">
        <f>'Portefeuille SP2'!AR382</f>
        <v>0</v>
      </c>
      <c r="BG357" s="403" t="e">
        <f>'Portefeuille SP2'!#REF!</f>
        <v>#REF!</v>
      </c>
      <c r="BH357" s="403" t="e">
        <f>'Portefeuille SP2'!#REF!</f>
        <v>#REF!</v>
      </c>
      <c r="BI357" s="403" t="e">
        <f>'Portefeuille SP2'!#REF!</f>
        <v>#REF!</v>
      </c>
      <c r="BJ357" s="403" t="e">
        <f>'Portefeuille SP2'!#REF!</f>
        <v>#REF!</v>
      </c>
      <c r="BK357" s="403" t="e">
        <f>'Portefeuille SP2'!#REF!</f>
        <v>#REF!</v>
      </c>
      <c r="BL357" s="388"/>
      <c r="BM357" s="404">
        <f>'Portefeuille SP2'!L382</f>
        <v>0</v>
      </c>
    </row>
    <row r="358" spans="1:65" ht="15" customHeight="1">
      <c r="A358" s="383">
        <f>'Portefeuille SP2'!B383</f>
        <v>0</v>
      </c>
      <c r="B358" s="390">
        <f>'Portefeuille SP2'!Q383</f>
        <v>0</v>
      </c>
      <c r="C358" s="384"/>
      <c r="D358" s="382">
        <f>'Portefeuille SP2'!E383</f>
        <v>0</v>
      </c>
      <c r="E358" s="382" t="str">
        <f t="shared" si="31"/>
        <v>0</v>
      </c>
      <c r="F358" s="382" t="str">
        <f t="shared" si="32"/>
        <v/>
      </c>
      <c r="G358" s="382">
        <f>'Portefeuille SP2'!C383</f>
        <v>0</v>
      </c>
      <c r="H358" s="382">
        <f>'Portefeuille SP2'!F383</f>
        <v>0</v>
      </c>
      <c r="I358" s="382"/>
      <c r="J358" s="382">
        <f>'Portefeuille SP2'!D383</f>
        <v>0</v>
      </c>
      <c r="K358" s="385">
        <f>'Portefeuille SP2'!H383</f>
        <v>0</v>
      </c>
      <c r="L358" s="157">
        <f>'Portefeuille SP2'!U383</f>
        <v>0</v>
      </c>
      <c r="M358" s="386"/>
      <c r="N358" s="386"/>
      <c r="O358" s="386"/>
      <c r="P358" s="387">
        <f>'Portefeuille SP2'!M383</f>
        <v>0</v>
      </c>
      <c r="Q358" s="387"/>
      <c r="R358" s="387">
        <f>'Portefeuille SP2'!N383</f>
        <v>0</v>
      </c>
      <c r="S358" s="387"/>
      <c r="T358" s="382">
        <f>'Portefeuille SP2'!R383</f>
        <v>0</v>
      </c>
      <c r="U358" s="387">
        <f>'Portefeuille SP2'!K383</f>
        <v>0</v>
      </c>
      <c r="V358" s="399">
        <f>'Portefeuille SP2'!S383</f>
        <v>0</v>
      </c>
      <c r="W358" s="387"/>
      <c r="X358" s="387"/>
      <c r="Y358" s="387"/>
      <c r="Z358" s="387"/>
      <c r="AA358" s="387"/>
      <c r="AB358" s="387"/>
      <c r="AC358" s="387"/>
      <c r="AD358" s="387"/>
      <c r="AE358" s="400">
        <f>'Portefeuille SP2'!J383</f>
        <v>0</v>
      </c>
      <c r="AF358" s="387"/>
      <c r="AG358" s="387"/>
      <c r="AH358" s="389"/>
      <c r="AI358" s="389"/>
      <c r="AJ358" s="403">
        <f>'Portefeuille SP2'!V383</f>
        <v>0</v>
      </c>
      <c r="AK358" s="403">
        <f>'Portefeuille SP2'!W383</f>
        <v>0</v>
      </c>
      <c r="AL358" s="403">
        <f>'Portefeuille SP2'!X383</f>
        <v>0</v>
      </c>
      <c r="AM358" s="403">
        <f>'Portefeuille SP2'!Y383</f>
        <v>0</v>
      </c>
      <c r="AN358" s="403">
        <f>'Portefeuille SP2'!Z383</f>
        <v>0</v>
      </c>
      <c r="AO358" s="403">
        <f>'Portefeuille SP2'!AA383</f>
        <v>0</v>
      </c>
      <c r="AP358" s="403">
        <f>'Portefeuille SP2'!AB383</f>
        <v>0</v>
      </c>
      <c r="AQ358" s="403">
        <f>'Portefeuille SP2'!AC383</f>
        <v>0</v>
      </c>
      <c r="AR358" s="403">
        <f>'Portefeuille SP2'!AD383</f>
        <v>0</v>
      </c>
      <c r="AS358" s="403">
        <f>'Portefeuille SP2'!AE383</f>
        <v>0</v>
      </c>
      <c r="AT358" s="403">
        <f>'Portefeuille SP2'!AF383</f>
        <v>0</v>
      </c>
      <c r="AU358" s="403">
        <f>'Portefeuille SP2'!AG383</f>
        <v>0</v>
      </c>
      <c r="AV358" s="403">
        <f>'Portefeuille SP2'!AH383</f>
        <v>0</v>
      </c>
      <c r="AW358" s="403">
        <f>'Portefeuille SP2'!AI383</f>
        <v>0</v>
      </c>
      <c r="AX358" s="403">
        <f>'Portefeuille SP2'!AJ383</f>
        <v>0</v>
      </c>
      <c r="AY358" s="403">
        <f>'Portefeuille SP2'!AK383</f>
        <v>0</v>
      </c>
      <c r="AZ358" s="403">
        <f>'Portefeuille SP2'!AL383</f>
        <v>0</v>
      </c>
      <c r="BA358" s="403">
        <f>'Portefeuille SP2'!AM383</f>
        <v>0</v>
      </c>
      <c r="BB358" s="403">
        <f>'Portefeuille SP2'!AN383</f>
        <v>0</v>
      </c>
      <c r="BC358" s="403">
        <f>'Portefeuille SP2'!AO383</f>
        <v>0</v>
      </c>
      <c r="BD358" s="403">
        <f>'Portefeuille SP2'!AP383</f>
        <v>0</v>
      </c>
      <c r="BE358" s="403">
        <f>'Portefeuille SP2'!AQ383</f>
        <v>0</v>
      </c>
      <c r="BF358" s="403">
        <f>'Portefeuille SP2'!AR383</f>
        <v>0</v>
      </c>
      <c r="BG358" s="403" t="e">
        <f>'Portefeuille SP2'!#REF!</f>
        <v>#REF!</v>
      </c>
      <c r="BH358" s="403" t="e">
        <f>'Portefeuille SP2'!#REF!</f>
        <v>#REF!</v>
      </c>
      <c r="BI358" s="403" t="e">
        <f>'Portefeuille SP2'!#REF!</f>
        <v>#REF!</v>
      </c>
      <c r="BJ358" s="403" t="e">
        <f>'Portefeuille SP2'!#REF!</f>
        <v>#REF!</v>
      </c>
      <c r="BK358" s="403" t="e">
        <f>'Portefeuille SP2'!#REF!</f>
        <v>#REF!</v>
      </c>
      <c r="BL358" s="388"/>
      <c r="BM358" s="404">
        <f>'Portefeuille SP2'!L383</f>
        <v>0</v>
      </c>
    </row>
    <row r="359" spans="1:65" ht="15" customHeight="1">
      <c r="A359" s="383">
        <f>'Portefeuille SP2'!B384</f>
        <v>0</v>
      </c>
      <c r="B359" s="390">
        <f>'Portefeuille SP2'!Q384</f>
        <v>0</v>
      </c>
      <c r="C359" s="384"/>
      <c r="D359" s="382">
        <f>'Portefeuille SP2'!E384</f>
        <v>0</v>
      </c>
      <c r="E359" s="382" t="str">
        <f t="shared" si="31"/>
        <v>0</v>
      </c>
      <c r="F359" s="382" t="str">
        <f t="shared" si="32"/>
        <v/>
      </c>
      <c r="G359" s="382">
        <f>'Portefeuille SP2'!C384</f>
        <v>0</v>
      </c>
      <c r="H359" s="382">
        <f>'Portefeuille SP2'!F384</f>
        <v>0</v>
      </c>
      <c r="I359" s="382"/>
      <c r="J359" s="382">
        <f>'Portefeuille SP2'!D384</f>
        <v>0</v>
      </c>
      <c r="K359" s="385">
        <f>'Portefeuille SP2'!H384</f>
        <v>0</v>
      </c>
      <c r="L359" s="157">
        <f>'Portefeuille SP2'!U384</f>
        <v>0</v>
      </c>
      <c r="M359" s="386"/>
      <c r="N359" s="386"/>
      <c r="O359" s="386"/>
      <c r="P359" s="387">
        <f>'Portefeuille SP2'!M384</f>
        <v>0</v>
      </c>
      <c r="Q359" s="387"/>
      <c r="R359" s="387">
        <f>'Portefeuille SP2'!N384</f>
        <v>0</v>
      </c>
      <c r="S359" s="387"/>
      <c r="T359" s="382">
        <f>'Portefeuille SP2'!R384</f>
        <v>0</v>
      </c>
      <c r="U359" s="387">
        <f>'Portefeuille SP2'!K384</f>
        <v>0</v>
      </c>
      <c r="V359" s="399">
        <f>'Portefeuille SP2'!S384</f>
        <v>0</v>
      </c>
      <c r="W359" s="387"/>
      <c r="X359" s="387"/>
      <c r="Y359" s="387"/>
      <c r="Z359" s="387"/>
      <c r="AA359" s="387"/>
      <c r="AB359" s="387"/>
      <c r="AC359" s="387"/>
      <c r="AD359" s="387"/>
      <c r="AE359" s="400">
        <f>'Portefeuille SP2'!J384</f>
        <v>0</v>
      </c>
      <c r="AF359" s="387"/>
      <c r="AG359" s="387"/>
      <c r="AH359" s="389"/>
      <c r="AI359" s="389"/>
      <c r="AJ359" s="403">
        <f>'Portefeuille SP2'!V384</f>
        <v>0</v>
      </c>
      <c r="AK359" s="403">
        <f>'Portefeuille SP2'!W384</f>
        <v>0</v>
      </c>
      <c r="AL359" s="403">
        <f>'Portefeuille SP2'!X384</f>
        <v>0</v>
      </c>
      <c r="AM359" s="403">
        <f>'Portefeuille SP2'!Y384</f>
        <v>0</v>
      </c>
      <c r="AN359" s="403">
        <f>'Portefeuille SP2'!Z384</f>
        <v>0</v>
      </c>
      <c r="AO359" s="403">
        <f>'Portefeuille SP2'!AA384</f>
        <v>0</v>
      </c>
      <c r="AP359" s="403">
        <f>'Portefeuille SP2'!AB384</f>
        <v>0</v>
      </c>
      <c r="AQ359" s="403">
        <f>'Portefeuille SP2'!AC384</f>
        <v>0</v>
      </c>
      <c r="AR359" s="403">
        <f>'Portefeuille SP2'!AD384</f>
        <v>0</v>
      </c>
      <c r="AS359" s="403">
        <f>'Portefeuille SP2'!AE384</f>
        <v>0</v>
      </c>
      <c r="AT359" s="403">
        <f>'Portefeuille SP2'!AF384</f>
        <v>0</v>
      </c>
      <c r="AU359" s="403">
        <f>'Portefeuille SP2'!AG384</f>
        <v>0</v>
      </c>
      <c r="AV359" s="403">
        <f>'Portefeuille SP2'!AH384</f>
        <v>0</v>
      </c>
      <c r="AW359" s="403">
        <f>'Portefeuille SP2'!AI384</f>
        <v>0</v>
      </c>
      <c r="AX359" s="403">
        <f>'Portefeuille SP2'!AJ384</f>
        <v>0</v>
      </c>
      <c r="AY359" s="403">
        <f>'Portefeuille SP2'!AK384</f>
        <v>0</v>
      </c>
      <c r="AZ359" s="403">
        <f>'Portefeuille SP2'!AL384</f>
        <v>0</v>
      </c>
      <c r="BA359" s="403">
        <f>'Portefeuille SP2'!AM384</f>
        <v>0</v>
      </c>
      <c r="BB359" s="403">
        <f>'Portefeuille SP2'!AN384</f>
        <v>0</v>
      </c>
      <c r="BC359" s="403">
        <f>'Portefeuille SP2'!AO384</f>
        <v>0</v>
      </c>
      <c r="BD359" s="403">
        <f>'Portefeuille SP2'!AP384</f>
        <v>0</v>
      </c>
      <c r="BE359" s="403">
        <f>'Portefeuille SP2'!AQ384</f>
        <v>0</v>
      </c>
      <c r="BF359" s="403">
        <f>'Portefeuille SP2'!AR384</f>
        <v>0</v>
      </c>
      <c r="BG359" s="403" t="e">
        <f>'Portefeuille SP2'!#REF!</f>
        <v>#REF!</v>
      </c>
      <c r="BH359" s="403" t="e">
        <f>'Portefeuille SP2'!#REF!</f>
        <v>#REF!</v>
      </c>
      <c r="BI359" s="403" t="e">
        <f>'Portefeuille SP2'!#REF!</f>
        <v>#REF!</v>
      </c>
      <c r="BJ359" s="403" t="e">
        <f>'Portefeuille SP2'!#REF!</f>
        <v>#REF!</v>
      </c>
      <c r="BK359" s="403" t="e">
        <f>'Portefeuille SP2'!#REF!</f>
        <v>#REF!</v>
      </c>
      <c r="BL359" s="388"/>
      <c r="BM359" s="404">
        <f>'Portefeuille SP2'!L384</f>
        <v>0</v>
      </c>
    </row>
    <row r="360" spans="1:65" ht="15" customHeight="1">
      <c r="A360" s="383">
        <f>'Portefeuille SP2'!B385</f>
        <v>0</v>
      </c>
      <c r="B360" s="390">
        <f>'Portefeuille SP2'!Q385</f>
        <v>0</v>
      </c>
      <c r="C360" s="384"/>
      <c r="D360" s="382">
        <f>'Portefeuille SP2'!E385</f>
        <v>0</v>
      </c>
      <c r="E360" s="382" t="str">
        <f t="shared" si="31"/>
        <v>0</v>
      </c>
      <c r="F360" s="382" t="str">
        <f t="shared" si="32"/>
        <v/>
      </c>
      <c r="G360" s="382">
        <f>'Portefeuille SP2'!C385</f>
        <v>0</v>
      </c>
      <c r="H360" s="382">
        <f>'Portefeuille SP2'!F385</f>
        <v>0</v>
      </c>
      <c r="I360" s="382"/>
      <c r="J360" s="382">
        <f>'Portefeuille SP2'!D385</f>
        <v>0</v>
      </c>
      <c r="K360" s="385">
        <f>'Portefeuille SP2'!H385</f>
        <v>0</v>
      </c>
      <c r="L360" s="157">
        <f>'Portefeuille SP2'!U385</f>
        <v>0</v>
      </c>
      <c r="M360" s="386"/>
      <c r="N360" s="386"/>
      <c r="O360" s="386"/>
      <c r="P360" s="387">
        <f>'Portefeuille SP2'!M385</f>
        <v>0</v>
      </c>
      <c r="Q360" s="387"/>
      <c r="R360" s="387">
        <f>'Portefeuille SP2'!N385</f>
        <v>0</v>
      </c>
      <c r="S360" s="387"/>
      <c r="T360" s="382">
        <f>'Portefeuille SP2'!R385</f>
        <v>0</v>
      </c>
      <c r="U360" s="387">
        <f>'Portefeuille SP2'!K385</f>
        <v>0</v>
      </c>
      <c r="V360" s="399">
        <f>'Portefeuille SP2'!S385</f>
        <v>0</v>
      </c>
      <c r="W360" s="387"/>
      <c r="X360" s="387"/>
      <c r="Y360" s="387"/>
      <c r="Z360" s="387"/>
      <c r="AA360" s="387"/>
      <c r="AB360" s="387"/>
      <c r="AC360" s="387"/>
      <c r="AD360" s="387"/>
      <c r="AE360" s="400">
        <f>'Portefeuille SP2'!J385</f>
        <v>0</v>
      </c>
      <c r="AF360" s="387"/>
      <c r="AG360" s="387"/>
      <c r="AH360" s="389"/>
      <c r="AI360" s="389"/>
      <c r="AJ360" s="403">
        <f>'Portefeuille SP2'!V385</f>
        <v>0</v>
      </c>
      <c r="AK360" s="403">
        <f>'Portefeuille SP2'!W385</f>
        <v>0</v>
      </c>
      <c r="AL360" s="403">
        <f>'Portefeuille SP2'!X385</f>
        <v>0</v>
      </c>
      <c r="AM360" s="403">
        <f>'Portefeuille SP2'!Y385</f>
        <v>0</v>
      </c>
      <c r="AN360" s="403">
        <f>'Portefeuille SP2'!Z385</f>
        <v>0</v>
      </c>
      <c r="AO360" s="403">
        <f>'Portefeuille SP2'!AA385</f>
        <v>0</v>
      </c>
      <c r="AP360" s="403">
        <f>'Portefeuille SP2'!AB385</f>
        <v>0</v>
      </c>
      <c r="AQ360" s="403">
        <f>'Portefeuille SP2'!AC385</f>
        <v>0</v>
      </c>
      <c r="AR360" s="403">
        <f>'Portefeuille SP2'!AD385</f>
        <v>0</v>
      </c>
      <c r="AS360" s="403">
        <f>'Portefeuille SP2'!AE385</f>
        <v>0</v>
      </c>
      <c r="AT360" s="403">
        <f>'Portefeuille SP2'!AF385</f>
        <v>0</v>
      </c>
      <c r="AU360" s="403">
        <f>'Portefeuille SP2'!AG385</f>
        <v>0</v>
      </c>
      <c r="AV360" s="403">
        <f>'Portefeuille SP2'!AH385</f>
        <v>0</v>
      </c>
      <c r="AW360" s="403">
        <f>'Portefeuille SP2'!AI385</f>
        <v>0</v>
      </c>
      <c r="AX360" s="403">
        <f>'Portefeuille SP2'!AJ385</f>
        <v>0</v>
      </c>
      <c r="AY360" s="403">
        <f>'Portefeuille SP2'!AK385</f>
        <v>0</v>
      </c>
      <c r="AZ360" s="403">
        <f>'Portefeuille SP2'!AL385</f>
        <v>0</v>
      </c>
      <c r="BA360" s="403">
        <f>'Portefeuille SP2'!AM385</f>
        <v>0</v>
      </c>
      <c r="BB360" s="403">
        <f>'Portefeuille SP2'!AN385</f>
        <v>0</v>
      </c>
      <c r="BC360" s="403">
        <f>'Portefeuille SP2'!AO385</f>
        <v>0</v>
      </c>
      <c r="BD360" s="403">
        <f>'Portefeuille SP2'!AP385</f>
        <v>0</v>
      </c>
      <c r="BE360" s="403">
        <f>'Portefeuille SP2'!AQ385</f>
        <v>0</v>
      </c>
      <c r="BF360" s="403">
        <f>'Portefeuille SP2'!AR385</f>
        <v>0</v>
      </c>
      <c r="BG360" s="403" t="e">
        <f>'Portefeuille SP2'!#REF!</f>
        <v>#REF!</v>
      </c>
      <c r="BH360" s="403" t="e">
        <f>'Portefeuille SP2'!#REF!</f>
        <v>#REF!</v>
      </c>
      <c r="BI360" s="403" t="e">
        <f>'Portefeuille SP2'!#REF!</f>
        <v>#REF!</v>
      </c>
      <c r="BJ360" s="403" t="e">
        <f>'Portefeuille SP2'!#REF!</f>
        <v>#REF!</v>
      </c>
      <c r="BK360" s="403" t="e">
        <f>'Portefeuille SP2'!#REF!</f>
        <v>#REF!</v>
      </c>
      <c r="BL360" s="388"/>
      <c r="BM360" s="404">
        <f>'Portefeuille SP2'!L385</f>
        <v>0</v>
      </c>
    </row>
    <row r="361" spans="1:65" ht="15" customHeight="1">
      <c r="A361" s="383">
        <f>'Portefeuille SP2'!B386</f>
        <v>0</v>
      </c>
      <c r="B361" s="390">
        <f>'Portefeuille SP2'!Q386</f>
        <v>0</v>
      </c>
      <c r="C361" s="384"/>
      <c r="D361" s="382">
        <f>'Portefeuille SP2'!E386</f>
        <v>0</v>
      </c>
      <c r="E361" s="382" t="str">
        <f t="shared" si="31"/>
        <v>0</v>
      </c>
      <c r="F361" s="382" t="str">
        <f t="shared" si="32"/>
        <v/>
      </c>
      <c r="G361" s="382">
        <f>'Portefeuille SP2'!C386</f>
        <v>0</v>
      </c>
      <c r="H361" s="382">
        <f>'Portefeuille SP2'!F386</f>
        <v>0</v>
      </c>
      <c r="I361" s="382"/>
      <c r="J361" s="382">
        <f>'Portefeuille SP2'!D386</f>
        <v>0</v>
      </c>
      <c r="K361" s="385">
        <f>'Portefeuille SP2'!H386</f>
        <v>0</v>
      </c>
      <c r="L361" s="157">
        <f>'Portefeuille SP2'!U386</f>
        <v>0</v>
      </c>
      <c r="M361" s="386"/>
      <c r="N361" s="386"/>
      <c r="O361" s="386"/>
      <c r="P361" s="387">
        <f>'Portefeuille SP2'!M386</f>
        <v>0</v>
      </c>
      <c r="Q361" s="387"/>
      <c r="R361" s="387">
        <f>'Portefeuille SP2'!N386</f>
        <v>0</v>
      </c>
      <c r="S361" s="387"/>
      <c r="T361" s="382">
        <f>'Portefeuille SP2'!R386</f>
        <v>0</v>
      </c>
      <c r="U361" s="387">
        <f>'Portefeuille SP2'!K386</f>
        <v>0</v>
      </c>
      <c r="V361" s="399">
        <f>'Portefeuille SP2'!S386</f>
        <v>0</v>
      </c>
      <c r="W361" s="387"/>
      <c r="X361" s="387"/>
      <c r="Y361" s="387"/>
      <c r="Z361" s="387"/>
      <c r="AA361" s="387"/>
      <c r="AB361" s="387"/>
      <c r="AC361" s="387"/>
      <c r="AD361" s="387"/>
      <c r="AE361" s="400">
        <f>'Portefeuille SP2'!J386</f>
        <v>0</v>
      </c>
      <c r="AF361" s="387"/>
      <c r="AG361" s="387"/>
      <c r="AH361" s="389"/>
      <c r="AI361" s="389"/>
      <c r="AJ361" s="403">
        <f>'Portefeuille SP2'!V386</f>
        <v>0</v>
      </c>
      <c r="AK361" s="403">
        <f>'Portefeuille SP2'!W386</f>
        <v>0</v>
      </c>
      <c r="AL361" s="403">
        <f>'Portefeuille SP2'!X386</f>
        <v>0</v>
      </c>
      <c r="AM361" s="403">
        <f>'Portefeuille SP2'!Y386</f>
        <v>0</v>
      </c>
      <c r="AN361" s="403">
        <f>'Portefeuille SP2'!Z386</f>
        <v>0</v>
      </c>
      <c r="AO361" s="403">
        <f>'Portefeuille SP2'!AA386</f>
        <v>0</v>
      </c>
      <c r="AP361" s="403">
        <f>'Portefeuille SP2'!AB386</f>
        <v>0</v>
      </c>
      <c r="AQ361" s="403">
        <f>'Portefeuille SP2'!AC386</f>
        <v>0</v>
      </c>
      <c r="AR361" s="403">
        <f>'Portefeuille SP2'!AD386</f>
        <v>0</v>
      </c>
      <c r="AS361" s="403">
        <f>'Portefeuille SP2'!AE386</f>
        <v>0</v>
      </c>
      <c r="AT361" s="403">
        <f>'Portefeuille SP2'!AF386</f>
        <v>0</v>
      </c>
      <c r="AU361" s="403">
        <f>'Portefeuille SP2'!AG386</f>
        <v>0</v>
      </c>
      <c r="AV361" s="403">
        <f>'Portefeuille SP2'!AH386</f>
        <v>0</v>
      </c>
      <c r="AW361" s="403">
        <f>'Portefeuille SP2'!AI386</f>
        <v>0</v>
      </c>
      <c r="AX361" s="403">
        <f>'Portefeuille SP2'!AJ386</f>
        <v>0</v>
      </c>
      <c r="AY361" s="403">
        <f>'Portefeuille SP2'!AK386</f>
        <v>0</v>
      </c>
      <c r="AZ361" s="403">
        <f>'Portefeuille SP2'!AL386</f>
        <v>0</v>
      </c>
      <c r="BA361" s="403">
        <f>'Portefeuille SP2'!AM386</f>
        <v>0</v>
      </c>
      <c r="BB361" s="403">
        <f>'Portefeuille SP2'!AN386</f>
        <v>0</v>
      </c>
      <c r="BC361" s="403">
        <f>'Portefeuille SP2'!AO386</f>
        <v>0</v>
      </c>
      <c r="BD361" s="403">
        <f>'Portefeuille SP2'!AP386</f>
        <v>0</v>
      </c>
      <c r="BE361" s="403">
        <f>'Portefeuille SP2'!AQ386</f>
        <v>0</v>
      </c>
      <c r="BF361" s="403">
        <f>'Portefeuille SP2'!AR386</f>
        <v>0</v>
      </c>
      <c r="BG361" s="403" t="e">
        <f>'Portefeuille SP2'!#REF!</f>
        <v>#REF!</v>
      </c>
      <c r="BH361" s="403" t="e">
        <f>'Portefeuille SP2'!#REF!</f>
        <v>#REF!</v>
      </c>
      <c r="BI361" s="403" t="e">
        <f>'Portefeuille SP2'!#REF!</f>
        <v>#REF!</v>
      </c>
      <c r="BJ361" s="403" t="e">
        <f>'Portefeuille SP2'!#REF!</f>
        <v>#REF!</v>
      </c>
      <c r="BK361" s="403" t="e">
        <f>'Portefeuille SP2'!#REF!</f>
        <v>#REF!</v>
      </c>
      <c r="BL361" s="388"/>
      <c r="BM361" s="404">
        <f>'Portefeuille SP2'!L386</f>
        <v>0</v>
      </c>
    </row>
    <row r="362" spans="1:65" ht="15" customHeight="1">
      <c r="A362" s="383">
        <f>'Portefeuille SP2'!B387</f>
        <v>0</v>
      </c>
      <c r="B362" s="390">
        <f>'Portefeuille SP2'!Q387</f>
        <v>0</v>
      </c>
      <c r="C362" s="384"/>
      <c r="D362" s="382">
        <f>'Portefeuille SP2'!E387</f>
        <v>0</v>
      </c>
      <c r="E362" s="382" t="str">
        <f t="shared" si="31"/>
        <v>0</v>
      </c>
      <c r="F362" s="382" t="str">
        <f t="shared" si="32"/>
        <v/>
      </c>
      <c r="G362" s="382">
        <f>'Portefeuille SP2'!C387</f>
        <v>0</v>
      </c>
      <c r="H362" s="382">
        <f>'Portefeuille SP2'!F387</f>
        <v>0</v>
      </c>
      <c r="I362" s="382"/>
      <c r="J362" s="382">
        <f>'Portefeuille SP2'!D387</f>
        <v>0</v>
      </c>
      <c r="K362" s="385">
        <f>'Portefeuille SP2'!H387</f>
        <v>0</v>
      </c>
      <c r="L362" s="157">
        <f>'Portefeuille SP2'!U387</f>
        <v>0</v>
      </c>
      <c r="M362" s="386"/>
      <c r="N362" s="386"/>
      <c r="O362" s="386"/>
      <c r="P362" s="387">
        <f>'Portefeuille SP2'!M387</f>
        <v>0</v>
      </c>
      <c r="Q362" s="387"/>
      <c r="R362" s="387">
        <f>'Portefeuille SP2'!N387</f>
        <v>0</v>
      </c>
      <c r="S362" s="387"/>
      <c r="T362" s="382">
        <f>'Portefeuille SP2'!R387</f>
        <v>0</v>
      </c>
      <c r="U362" s="387">
        <f>'Portefeuille SP2'!K387</f>
        <v>0</v>
      </c>
      <c r="V362" s="399">
        <f>'Portefeuille SP2'!S387</f>
        <v>0</v>
      </c>
      <c r="W362" s="387"/>
      <c r="X362" s="387"/>
      <c r="Y362" s="387"/>
      <c r="Z362" s="387"/>
      <c r="AA362" s="387"/>
      <c r="AB362" s="387"/>
      <c r="AC362" s="387"/>
      <c r="AD362" s="387"/>
      <c r="AE362" s="400">
        <f>'Portefeuille SP2'!J387</f>
        <v>0</v>
      </c>
      <c r="AF362" s="387"/>
      <c r="AG362" s="387"/>
      <c r="AH362" s="389"/>
      <c r="AI362" s="389"/>
      <c r="AJ362" s="403">
        <f>'Portefeuille SP2'!V387</f>
        <v>0</v>
      </c>
      <c r="AK362" s="403">
        <f>'Portefeuille SP2'!W387</f>
        <v>0</v>
      </c>
      <c r="AL362" s="403">
        <f>'Portefeuille SP2'!X387</f>
        <v>0</v>
      </c>
      <c r="AM362" s="403">
        <f>'Portefeuille SP2'!Y387</f>
        <v>0</v>
      </c>
      <c r="AN362" s="403">
        <f>'Portefeuille SP2'!Z387</f>
        <v>0</v>
      </c>
      <c r="AO362" s="403">
        <f>'Portefeuille SP2'!AA387</f>
        <v>0</v>
      </c>
      <c r="AP362" s="403">
        <f>'Portefeuille SP2'!AB387</f>
        <v>0</v>
      </c>
      <c r="AQ362" s="403">
        <f>'Portefeuille SP2'!AC387</f>
        <v>0</v>
      </c>
      <c r="AR362" s="403">
        <f>'Portefeuille SP2'!AD387</f>
        <v>0</v>
      </c>
      <c r="AS362" s="403">
        <f>'Portefeuille SP2'!AE387</f>
        <v>0</v>
      </c>
      <c r="AT362" s="403">
        <f>'Portefeuille SP2'!AF387</f>
        <v>0</v>
      </c>
      <c r="AU362" s="403">
        <f>'Portefeuille SP2'!AG387</f>
        <v>0</v>
      </c>
      <c r="AV362" s="403">
        <f>'Portefeuille SP2'!AH387</f>
        <v>0</v>
      </c>
      <c r="AW362" s="403">
        <f>'Portefeuille SP2'!AI387</f>
        <v>0</v>
      </c>
      <c r="AX362" s="403">
        <f>'Portefeuille SP2'!AJ387</f>
        <v>0</v>
      </c>
      <c r="AY362" s="403">
        <f>'Portefeuille SP2'!AK387</f>
        <v>0</v>
      </c>
      <c r="AZ362" s="403">
        <f>'Portefeuille SP2'!AL387</f>
        <v>0</v>
      </c>
      <c r="BA362" s="403">
        <f>'Portefeuille SP2'!AM387</f>
        <v>0</v>
      </c>
      <c r="BB362" s="403">
        <f>'Portefeuille SP2'!AN387</f>
        <v>0</v>
      </c>
      <c r="BC362" s="403">
        <f>'Portefeuille SP2'!AO387</f>
        <v>0</v>
      </c>
      <c r="BD362" s="403">
        <f>'Portefeuille SP2'!AP387</f>
        <v>0</v>
      </c>
      <c r="BE362" s="403">
        <f>'Portefeuille SP2'!AQ387</f>
        <v>0</v>
      </c>
      <c r="BF362" s="403">
        <f>'Portefeuille SP2'!AR387</f>
        <v>0</v>
      </c>
      <c r="BG362" s="403" t="e">
        <f>'Portefeuille SP2'!#REF!</f>
        <v>#REF!</v>
      </c>
      <c r="BH362" s="403" t="e">
        <f>'Portefeuille SP2'!#REF!</f>
        <v>#REF!</v>
      </c>
      <c r="BI362" s="403" t="e">
        <f>'Portefeuille SP2'!#REF!</f>
        <v>#REF!</v>
      </c>
      <c r="BJ362" s="403" t="e">
        <f>'Portefeuille SP2'!#REF!</f>
        <v>#REF!</v>
      </c>
      <c r="BK362" s="403" t="e">
        <f>'Portefeuille SP2'!#REF!</f>
        <v>#REF!</v>
      </c>
      <c r="BL362" s="388"/>
      <c r="BM362" s="404">
        <f>'Portefeuille SP2'!L387</f>
        <v>0</v>
      </c>
    </row>
    <row r="363" spans="1:65" ht="15" customHeight="1">
      <c r="A363" s="383">
        <f>'Portefeuille SP2'!B388</f>
        <v>0</v>
      </c>
      <c r="B363" s="390">
        <f>'Portefeuille SP2'!Q388</f>
        <v>0</v>
      </c>
      <c r="C363" s="384"/>
      <c r="D363" s="382">
        <f>'Portefeuille SP2'!E388</f>
        <v>0</v>
      </c>
      <c r="E363" s="382" t="str">
        <f t="shared" si="31"/>
        <v>0</v>
      </c>
      <c r="F363" s="382" t="str">
        <f t="shared" si="32"/>
        <v/>
      </c>
      <c r="G363" s="382">
        <f>'Portefeuille SP2'!C388</f>
        <v>0</v>
      </c>
      <c r="H363" s="382">
        <f>'Portefeuille SP2'!F388</f>
        <v>0</v>
      </c>
      <c r="I363" s="382"/>
      <c r="J363" s="382">
        <f>'Portefeuille SP2'!D388</f>
        <v>0</v>
      </c>
      <c r="K363" s="385">
        <f>'Portefeuille SP2'!H388</f>
        <v>0</v>
      </c>
      <c r="L363" s="157">
        <f>'Portefeuille SP2'!U388</f>
        <v>0</v>
      </c>
      <c r="M363" s="386"/>
      <c r="N363" s="386"/>
      <c r="O363" s="386"/>
      <c r="P363" s="387">
        <f>'Portefeuille SP2'!M388</f>
        <v>0</v>
      </c>
      <c r="Q363" s="387"/>
      <c r="R363" s="387">
        <f>'Portefeuille SP2'!N388</f>
        <v>0</v>
      </c>
      <c r="S363" s="387"/>
      <c r="T363" s="382">
        <f>'Portefeuille SP2'!R388</f>
        <v>0</v>
      </c>
      <c r="U363" s="387">
        <f>'Portefeuille SP2'!K388</f>
        <v>0</v>
      </c>
      <c r="V363" s="399">
        <f>'Portefeuille SP2'!S388</f>
        <v>0</v>
      </c>
      <c r="W363" s="387"/>
      <c r="X363" s="387"/>
      <c r="Y363" s="387"/>
      <c r="Z363" s="387"/>
      <c r="AA363" s="387"/>
      <c r="AB363" s="387"/>
      <c r="AC363" s="387"/>
      <c r="AD363" s="387"/>
      <c r="AE363" s="400">
        <f>'Portefeuille SP2'!J388</f>
        <v>0</v>
      </c>
      <c r="AF363" s="387"/>
      <c r="AG363" s="387"/>
      <c r="AH363" s="389"/>
      <c r="AI363" s="389"/>
      <c r="AJ363" s="403">
        <f>'Portefeuille SP2'!V388</f>
        <v>0</v>
      </c>
      <c r="AK363" s="403">
        <f>'Portefeuille SP2'!W388</f>
        <v>0</v>
      </c>
      <c r="AL363" s="403">
        <f>'Portefeuille SP2'!X388</f>
        <v>0</v>
      </c>
      <c r="AM363" s="403">
        <f>'Portefeuille SP2'!Y388</f>
        <v>0</v>
      </c>
      <c r="AN363" s="403">
        <f>'Portefeuille SP2'!Z388</f>
        <v>0</v>
      </c>
      <c r="AO363" s="403">
        <f>'Portefeuille SP2'!AA388</f>
        <v>0</v>
      </c>
      <c r="AP363" s="403">
        <f>'Portefeuille SP2'!AB388</f>
        <v>0</v>
      </c>
      <c r="AQ363" s="403">
        <f>'Portefeuille SP2'!AC388</f>
        <v>0</v>
      </c>
      <c r="AR363" s="403">
        <f>'Portefeuille SP2'!AD388</f>
        <v>0</v>
      </c>
      <c r="AS363" s="403">
        <f>'Portefeuille SP2'!AE388</f>
        <v>0</v>
      </c>
      <c r="AT363" s="403">
        <f>'Portefeuille SP2'!AF388</f>
        <v>0</v>
      </c>
      <c r="AU363" s="403">
        <f>'Portefeuille SP2'!AG388</f>
        <v>0</v>
      </c>
      <c r="AV363" s="403">
        <f>'Portefeuille SP2'!AH388</f>
        <v>0</v>
      </c>
      <c r="AW363" s="403">
        <f>'Portefeuille SP2'!AI388</f>
        <v>0</v>
      </c>
      <c r="AX363" s="403">
        <f>'Portefeuille SP2'!AJ388</f>
        <v>0</v>
      </c>
      <c r="AY363" s="403">
        <f>'Portefeuille SP2'!AK388</f>
        <v>0</v>
      </c>
      <c r="AZ363" s="403">
        <f>'Portefeuille SP2'!AL388</f>
        <v>0</v>
      </c>
      <c r="BA363" s="403">
        <f>'Portefeuille SP2'!AM388</f>
        <v>0</v>
      </c>
      <c r="BB363" s="403">
        <f>'Portefeuille SP2'!AN388</f>
        <v>0</v>
      </c>
      <c r="BC363" s="403">
        <f>'Portefeuille SP2'!AO388</f>
        <v>0</v>
      </c>
      <c r="BD363" s="403">
        <f>'Portefeuille SP2'!AP388</f>
        <v>0</v>
      </c>
      <c r="BE363" s="403">
        <f>'Portefeuille SP2'!AQ388</f>
        <v>0</v>
      </c>
      <c r="BF363" s="403">
        <f>'Portefeuille SP2'!AR388</f>
        <v>0</v>
      </c>
      <c r="BG363" s="403" t="e">
        <f>'Portefeuille SP2'!#REF!</f>
        <v>#REF!</v>
      </c>
      <c r="BH363" s="403" t="e">
        <f>'Portefeuille SP2'!#REF!</f>
        <v>#REF!</v>
      </c>
      <c r="BI363" s="403" t="e">
        <f>'Portefeuille SP2'!#REF!</f>
        <v>#REF!</v>
      </c>
      <c r="BJ363" s="403" t="e">
        <f>'Portefeuille SP2'!#REF!</f>
        <v>#REF!</v>
      </c>
      <c r="BK363" s="403" t="e">
        <f>'Portefeuille SP2'!#REF!</f>
        <v>#REF!</v>
      </c>
      <c r="BL363" s="388"/>
      <c r="BM363" s="404">
        <f>'Portefeuille SP2'!L388</f>
        <v>0</v>
      </c>
    </row>
    <row r="364" spans="1:65" ht="15" customHeight="1">
      <c r="A364" s="383">
        <f>'Portefeuille SP2'!B389</f>
        <v>0</v>
      </c>
      <c r="B364" s="390">
        <f>'Portefeuille SP2'!Q389</f>
        <v>0</v>
      </c>
      <c r="C364" s="384"/>
      <c r="D364" s="382">
        <f>'Portefeuille SP2'!E389</f>
        <v>0</v>
      </c>
      <c r="E364" s="382" t="str">
        <f t="shared" si="31"/>
        <v>0</v>
      </c>
      <c r="F364" s="382" t="str">
        <f t="shared" si="32"/>
        <v/>
      </c>
      <c r="G364" s="382">
        <f>'Portefeuille SP2'!C389</f>
        <v>0</v>
      </c>
      <c r="H364" s="382">
        <f>'Portefeuille SP2'!F389</f>
        <v>0</v>
      </c>
      <c r="I364" s="382"/>
      <c r="J364" s="382">
        <f>'Portefeuille SP2'!D389</f>
        <v>0</v>
      </c>
      <c r="K364" s="385">
        <f>'Portefeuille SP2'!H389</f>
        <v>0</v>
      </c>
      <c r="L364" s="157">
        <f>'Portefeuille SP2'!U389</f>
        <v>0</v>
      </c>
      <c r="M364" s="386"/>
      <c r="N364" s="386"/>
      <c r="O364" s="386"/>
      <c r="P364" s="387">
        <f>'Portefeuille SP2'!M389</f>
        <v>0</v>
      </c>
      <c r="Q364" s="387"/>
      <c r="R364" s="387">
        <f>'Portefeuille SP2'!N389</f>
        <v>0</v>
      </c>
      <c r="S364" s="387"/>
      <c r="T364" s="382">
        <f>'Portefeuille SP2'!R389</f>
        <v>0</v>
      </c>
      <c r="U364" s="387">
        <f>'Portefeuille SP2'!K389</f>
        <v>0</v>
      </c>
      <c r="V364" s="399">
        <f>'Portefeuille SP2'!S389</f>
        <v>0</v>
      </c>
      <c r="W364" s="387"/>
      <c r="X364" s="387"/>
      <c r="Y364" s="387"/>
      <c r="Z364" s="387"/>
      <c r="AA364" s="387"/>
      <c r="AB364" s="387"/>
      <c r="AC364" s="387"/>
      <c r="AD364" s="387"/>
      <c r="AE364" s="400">
        <f>'Portefeuille SP2'!J389</f>
        <v>0</v>
      </c>
      <c r="AF364" s="387"/>
      <c r="AG364" s="387"/>
      <c r="AH364" s="389"/>
      <c r="AI364" s="389"/>
      <c r="AJ364" s="403">
        <f>'Portefeuille SP2'!V389</f>
        <v>0</v>
      </c>
      <c r="AK364" s="403">
        <f>'Portefeuille SP2'!W389</f>
        <v>0</v>
      </c>
      <c r="AL364" s="403">
        <f>'Portefeuille SP2'!X389</f>
        <v>0</v>
      </c>
      <c r="AM364" s="403">
        <f>'Portefeuille SP2'!Y389</f>
        <v>0</v>
      </c>
      <c r="AN364" s="403">
        <f>'Portefeuille SP2'!Z389</f>
        <v>0</v>
      </c>
      <c r="AO364" s="403">
        <f>'Portefeuille SP2'!AA389</f>
        <v>0</v>
      </c>
      <c r="AP364" s="403">
        <f>'Portefeuille SP2'!AB389</f>
        <v>0</v>
      </c>
      <c r="AQ364" s="403">
        <f>'Portefeuille SP2'!AC389</f>
        <v>0</v>
      </c>
      <c r="AR364" s="403">
        <f>'Portefeuille SP2'!AD389</f>
        <v>0</v>
      </c>
      <c r="AS364" s="403">
        <f>'Portefeuille SP2'!AE389</f>
        <v>0</v>
      </c>
      <c r="AT364" s="403">
        <f>'Portefeuille SP2'!AF389</f>
        <v>0</v>
      </c>
      <c r="AU364" s="403">
        <f>'Portefeuille SP2'!AG389</f>
        <v>0</v>
      </c>
      <c r="AV364" s="403">
        <f>'Portefeuille SP2'!AH389</f>
        <v>0</v>
      </c>
      <c r="AW364" s="403">
        <f>'Portefeuille SP2'!AI389</f>
        <v>0</v>
      </c>
      <c r="AX364" s="403">
        <f>'Portefeuille SP2'!AJ389</f>
        <v>0</v>
      </c>
      <c r="AY364" s="403">
        <f>'Portefeuille SP2'!AK389</f>
        <v>0</v>
      </c>
      <c r="AZ364" s="403">
        <f>'Portefeuille SP2'!AL389</f>
        <v>0</v>
      </c>
      <c r="BA364" s="403">
        <f>'Portefeuille SP2'!AM389</f>
        <v>0</v>
      </c>
      <c r="BB364" s="403">
        <f>'Portefeuille SP2'!AN389</f>
        <v>0</v>
      </c>
      <c r="BC364" s="403">
        <f>'Portefeuille SP2'!AO389</f>
        <v>0</v>
      </c>
      <c r="BD364" s="403">
        <f>'Portefeuille SP2'!AP389</f>
        <v>0</v>
      </c>
      <c r="BE364" s="403">
        <f>'Portefeuille SP2'!AQ389</f>
        <v>0</v>
      </c>
      <c r="BF364" s="403">
        <f>'Portefeuille SP2'!AR389</f>
        <v>0</v>
      </c>
      <c r="BG364" s="403" t="e">
        <f>'Portefeuille SP2'!#REF!</f>
        <v>#REF!</v>
      </c>
      <c r="BH364" s="403" t="e">
        <f>'Portefeuille SP2'!#REF!</f>
        <v>#REF!</v>
      </c>
      <c r="BI364" s="403" t="e">
        <f>'Portefeuille SP2'!#REF!</f>
        <v>#REF!</v>
      </c>
      <c r="BJ364" s="403" t="e">
        <f>'Portefeuille SP2'!#REF!</f>
        <v>#REF!</v>
      </c>
      <c r="BK364" s="403" t="e">
        <f>'Portefeuille SP2'!#REF!</f>
        <v>#REF!</v>
      </c>
      <c r="BL364" s="388"/>
      <c r="BM364" s="404">
        <f>'Portefeuille SP2'!L389</f>
        <v>0</v>
      </c>
    </row>
    <row r="365" spans="1:65" ht="15" customHeight="1">
      <c r="A365" s="383">
        <f>'Portefeuille SP2'!B390</f>
        <v>0</v>
      </c>
      <c r="B365" s="390">
        <f>'Portefeuille SP2'!Q390</f>
        <v>0</v>
      </c>
      <c r="C365" s="384"/>
      <c r="D365" s="382">
        <f>'Portefeuille SP2'!E390</f>
        <v>0</v>
      </c>
      <c r="E365" s="382" t="str">
        <f t="shared" si="31"/>
        <v>0</v>
      </c>
      <c r="F365" s="382" t="str">
        <f t="shared" si="32"/>
        <v/>
      </c>
      <c r="G365" s="382">
        <f>'Portefeuille SP2'!C390</f>
        <v>0</v>
      </c>
      <c r="H365" s="382">
        <f>'Portefeuille SP2'!F390</f>
        <v>0</v>
      </c>
      <c r="I365" s="382"/>
      <c r="J365" s="382">
        <f>'Portefeuille SP2'!D390</f>
        <v>0</v>
      </c>
      <c r="K365" s="385">
        <f>'Portefeuille SP2'!H390</f>
        <v>0</v>
      </c>
      <c r="L365" s="157">
        <f>'Portefeuille SP2'!U390</f>
        <v>0</v>
      </c>
      <c r="M365" s="386"/>
      <c r="N365" s="386"/>
      <c r="O365" s="386"/>
      <c r="P365" s="387">
        <f>'Portefeuille SP2'!M390</f>
        <v>0</v>
      </c>
      <c r="Q365" s="387"/>
      <c r="R365" s="387">
        <f>'Portefeuille SP2'!N390</f>
        <v>0</v>
      </c>
      <c r="S365" s="387"/>
      <c r="T365" s="382">
        <f>'Portefeuille SP2'!R390</f>
        <v>0</v>
      </c>
      <c r="U365" s="387">
        <f>'Portefeuille SP2'!K390</f>
        <v>0</v>
      </c>
      <c r="V365" s="399">
        <f>'Portefeuille SP2'!S390</f>
        <v>0</v>
      </c>
      <c r="W365" s="387"/>
      <c r="X365" s="387"/>
      <c r="Y365" s="387"/>
      <c r="Z365" s="387"/>
      <c r="AA365" s="387"/>
      <c r="AB365" s="387"/>
      <c r="AC365" s="387"/>
      <c r="AD365" s="387"/>
      <c r="AE365" s="400">
        <f>'Portefeuille SP2'!J390</f>
        <v>0</v>
      </c>
      <c r="AF365" s="387"/>
      <c r="AG365" s="387"/>
      <c r="AH365" s="389"/>
      <c r="AI365" s="389"/>
      <c r="AJ365" s="403">
        <f>'Portefeuille SP2'!V390</f>
        <v>0</v>
      </c>
      <c r="AK365" s="403">
        <f>'Portefeuille SP2'!W390</f>
        <v>0</v>
      </c>
      <c r="AL365" s="403">
        <f>'Portefeuille SP2'!X390</f>
        <v>0</v>
      </c>
      <c r="AM365" s="403">
        <f>'Portefeuille SP2'!Y390</f>
        <v>0</v>
      </c>
      <c r="AN365" s="403">
        <f>'Portefeuille SP2'!Z390</f>
        <v>0</v>
      </c>
      <c r="AO365" s="403">
        <f>'Portefeuille SP2'!AA390</f>
        <v>0</v>
      </c>
      <c r="AP365" s="403">
        <f>'Portefeuille SP2'!AB390</f>
        <v>0</v>
      </c>
      <c r="AQ365" s="403">
        <f>'Portefeuille SP2'!AC390</f>
        <v>0</v>
      </c>
      <c r="AR365" s="403">
        <f>'Portefeuille SP2'!AD390</f>
        <v>0</v>
      </c>
      <c r="AS365" s="403">
        <f>'Portefeuille SP2'!AE390</f>
        <v>0</v>
      </c>
      <c r="AT365" s="403">
        <f>'Portefeuille SP2'!AF390</f>
        <v>0</v>
      </c>
      <c r="AU365" s="403">
        <f>'Portefeuille SP2'!AG390</f>
        <v>0</v>
      </c>
      <c r="AV365" s="403">
        <f>'Portefeuille SP2'!AH390</f>
        <v>0</v>
      </c>
      <c r="AW365" s="403">
        <f>'Portefeuille SP2'!AI390</f>
        <v>0</v>
      </c>
      <c r="AX365" s="403">
        <f>'Portefeuille SP2'!AJ390</f>
        <v>0</v>
      </c>
      <c r="AY365" s="403">
        <f>'Portefeuille SP2'!AK390</f>
        <v>0</v>
      </c>
      <c r="AZ365" s="403">
        <f>'Portefeuille SP2'!AL390</f>
        <v>0</v>
      </c>
      <c r="BA365" s="403">
        <f>'Portefeuille SP2'!AM390</f>
        <v>0</v>
      </c>
      <c r="BB365" s="403">
        <f>'Portefeuille SP2'!AN390</f>
        <v>0</v>
      </c>
      <c r="BC365" s="403">
        <f>'Portefeuille SP2'!AO390</f>
        <v>0</v>
      </c>
      <c r="BD365" s="403">
        <f>'Portefeuille SP2'!AP390</f>
        <v>0</v>
      </c>
      <c r="BE365" s="403">
        <f>'Portefeuille SP2'!AQ390</f>
        <v>0</v>
      </c>
      <c r="BF365" s="403">
        <f>'Portefeuille SP2'!AR390</f>
        <v>0</v>
      </c>
      <c r="BG365" s="403" t="e">
        <f>'Portefeuille SP2'!#REF!</f>
        <v>#REF!</v>
      </c>
      <c r="BH365" s="403" t="e">
        <f>'Portefeuille SP2'!#REF!</f>
        <v>#REF!</v>
      </c>
      <c r="BI365" s="403" t="e">
        <f>'Portefeuille SP2'!#REF!</f>
        <v>#REF!</v>
      </c>
      <c r="BJ365" s="403" t="e">
        <f>'Portefeuille SP2'!#REF!</f>
        <v>#REF!</v>
      </c>
      <c r="BK365" s="403" t="e">
        <f>'Portefeuille SP2'!#REF!</f>
        <v>#REF!</v>
      </c>
      <c r="BL365" s="388"/>
      <c r="BM365" s="404">
        <f>'Portefeuille SP2'!L390</f>
        <v>0</v>
      </c>
    </row>
    <row r="366" spans="1:65" ht="15" customHeight="1">
      <c r="A366" s="383">
        <f>'Portefeuille SP2'!B391</f>
        <v>0</v>
      </c>
      <c r="B366" s="390">
        <f>'Portefeuille SP2'!Q391</f>
        <v>0</v>
      </c>
      <c r="C366" s="384"/>
      <c r="D366" s="382">
        <f>'Portefeuille SP2'!E391</f>
        <v>0</v>
      </c>
      <c r="E366" s="382" t="str">
        <f t="shared" si="31"/>
        <v>0</v>
      </c>
      <c r="F366" s="382" t="str">
        <f t="shared" si="32"/>
        <v/>
      </c>
      <c r="G366" s="382">
        <f>'Portefeuille SP2'!C391</f>
        <v>0</v>
      </c>
      <c r="H366" s="382">
        <f>'Portefeuille SP2'!F391</f>
        <v>0</v>
      </c>
      <c r="I366" s="382"/>
      <c r="J366" s="382">
        <f>'Portefeuille SP2'!D391</f>
        <v>0</v>
      </c>
      <c r="K366" s="385">
        <f>'Portefeuille SP2'!H391</f>
        <v>0</v>
      </c>
      <c r="L366" s="157">
        <f>'Portefeuille SP2'!U391</f>
        <v>0</v>
      </c>
      <c r="M366" s="386"/>
      <c r="N366" s="386"/>
      <c r="O366" s="386"/>
      <c r="P366" s="387">
        <f>'Portefeuille SP2'!M391</f>
        <v>0</v>
      </c>
      <c r="Q366" s="387"/>
      <c r="R366" s="387">
        <f>'Portefeuille SP2'!N391</f>
        <v>0</v>
      </c>
      <c r="S366" s="387"/>
      <c r="T366" s="382">
        <f>'Portefeuille SP2'!R391</f>
        <v>0</v>
      </c>
      <c r="U366" s="387">
        <f>'Portefeuille SP2'!K391</f>
        <v>0</v>
      </c>
      <c r="V366" s="399">
        <f>'Portefeuille SP2'!S391</f>
        <v>0</v>
      </c>
      <c r="W366" s="387"/>
      <c r="X366" s="387"/>
      <c r="Y366" s="387"/>
      <c r="Z366" s="387"/>
      <c r="AA366" s="387"/>
      <c r="AB366" s="387"/>
      <c r="AC366" s="387"/>
      <c r="AD366" s="387"/>
      <c r="AE366" s="400">
        <f>'Portefeuille SP2'!J391</f>
        <v>0</v>
      </c>
      <c r="AF366" s="387"/>
      <c r="AG366" s="387"/>
      <c r="AH366" s="389"/>
      <c r="AI366" s="389"/>
      <c r="AJ366" s="403">
        <f>'Portefeuille SP2'!V391</f>
        <v>0</v>
      </c>
      <c r="AK366" s="403">
        <f>'Portefeuille SP2'!W391</f>
        <v>0</v>
      </c>
      <c r="AL366" s="403">
        <f>'Portefeuille SP2'!X391</f>
        <v>0</v>
      </c>
      <c r="AM366" s="403">
        <f>'Portefeuille SP2'!Y391</f>
        <v>0</v>
      </c>
      <c r="AN366" s="403">
        <f>'Portefeuille SP2'!Z391</f>
        <v>0</v>
      </c>
      <c r="AO366" s="403">
        <f>'Portefeuille SP2'!AA391</f>
        <v>0</v>
      </c>
      <c r="AP366" s="403">
        <f>'Portefeuille SP2'!AB391</f>
        <v>0</v>
      </c>
      <c r="AQ366" s="403">
        <f>'Portefeuille SP2'!AC391</f>
        <v>0</v>
      </c>
      <c r="AR366" s="403">
        <f>'Portefeuille SP2'!AD391</f>
        <v>0</v>
      </c>
      <c r="AS366" s="403">
        <f>'Portefeuille SP2'!AE391</f>
        <v>0</v>
      </c>
      <c r="AT366" s="403">
        <f>'Portefeuille SP2'!AF391</f>
        <v>0</v>
      </c>
      <c r="AU366" s="403">
        <f>'Portefeuille SP2'!AG391</f>
        <v>0</v>
      </c>
      <c r="AV366" s="403">
        <f>'Portefeuille SP2'!AH391</f>
        <v>0</v>
      </c>
      <c r="AW366" s="403">
        <f>'Portefeuille SP2'!AI391</f>
        <v>0</v>
      </c>
      <c r="AX366" s="403">
        <f>'Portefeuille SP2'!AJ391</f>
        <v>0</v>
      </c>
      <c r="AY366" s="403">
        <f>'Portefeuille SP2'!AK391</f>
        <v>0</v>
      </c>
      <c r="AZ366" s="403">
        <f>'Portefeuille SP2'!AL391</f>
        <v>0</v>
      </c>
      <c r="BA366" s="403">
        <f>'Portefeuille SP2'!AM391</f>
        <v>0</v>
      </c>
      <c r="BB366" s="403">
        <f>'Portefeuille SP2'!AN391</f>
        <v>0</v>
      </c>
      <c r="BC366" s="403">
        <f>'Portefeuille SP2'!AO391</f>
        <v>0</v>
      </c>
      <c r="BD366" s="403">
        <f>'Portefeuille SP2'!AP391</f>
        <v>0</v>
      </c>
      <c r="BE366" s="403">
        <f>'Portefeuille SP2'!AQ391</f>
        <v>0</v>
      </c>
      <c r="BF366" s="403">
        <f>'Portefeuille SP2'!AR391</f>
        <v>0</v>
      </c>
      <c r="BG366" s="403" t="e">
        <f>'Portefeuille SP2'!#REF!</f>
        <v>#REF!</v>
      </c>
      <c r="BH366" s="403" t="e">
        <f>'Portefeuille SP2'!#REF!</f>
        <v>#REF!</v>
      </c>
      <c r="BI366" s="403" t="e">
        <f>'Portefeuille SP2'!#REF!</f>
        <v>#REF!</v>
      </c>
      <c r="BJ366" s="403" t="e">
        <f>'Portefeuille SP2'!#REF!</f>
        <v>#REF!</v>
      </c>
      <c r="BK366" s="403" t="e">
        <f>'Portefeuille SP2'!#REF!</f>
        <v>#REF!</v>
      </c>
      <c r="BL366" s="388"/>
      <c r="BM366" s="404">
        <f>'Portefeuille SP2'!L391</f>
        <v>0</v>
      </c>
    </row>
    <row r="367" spans="1:65" ht="15" customHeight="1">
      <c r="A367" s="383">
        <f>'Portefeuille SP2'!B392</f>
        <v>0</v>
      </c>
      <c r="B367" s="390">
        <f>'Portefeuille SP2'!Q392</f>
        <v>0</v>
      </c>
      <c r="C367" s="384"/>
      <c r="D367" s="382">
        <f>'Portefeuille SP2'!E392</f>
        <v>0</v>
      </c>
      <c r="E367" s="382" t="str">
        <f t="shared" si="31"/>
        <v>0</v>
      </c>
      <c r="F367" s="382" t="str">
        <f t="shared" si="32"/>
        <v/>
      </c>
      <c r="G367" s="382">
        <f>'Portefeuille SP2'!C392</f>
        <v>0</v>
      </c>
      <c r="H367" s="382">
        <f>'Portefeuille SP2'!F392</f>
        <v>0</v>
      </c>
      <c r="I367" s="382"/>
      <c r="J367" s="382">
        <f>'Portefeuille SP2'!D392</f>
        <v>0</v>
      </c>
      <c r="K367" s="385">
        <f>'Portefeuille SP2'!H392</f>
        <v>0</v>
      </c>
      <c r="L367" s="157">
        <f>'Portefeuille SP2'!U392</f>
        <v>0</v>
      </c>
      <c r="M367" s="386"/>
      <c r="N367" s="386"/>
      <c r="O367" s="386"/>
      <c r="P367" s="387">
        <f>'Portefeuille SP2'!M392</f>
        <v>0</v>
      </c>
      <c r="Q367" s="387"/>
      <c r="R367" s="387">
        <f>'Portefeuille SP2'!N392</f>
        <v>0</v>
      </c>
      <c r="S367" s="387"/>
      <c r="T367" s="382">
        <f>'Portefeuille SP2'!R392</f>
        <v>0</v>
      </c>
      <c r="U367" s="387">
        <f>'Portefeuille SP2'!K392</f>
        <v>0</v>
      </c>
      <c r="V367" s="399">
        <f>'Portefeuille SP2'!S392</f>
        <v>0</v>
      </c>
      <c r="W367" s="387"/>
      <c r="X367" s="387"/>
      <c r="Y367" s="387"/>
      <c r="Z367" s="387"/>
      <c r="AA367" s="387"/>
      <c r="AB367" s="387"/>
      <c r="AC367" s="387"/>
      <c r="AD367" s="387"/>
      <c r="AE367" s="400">
        <f>'Portefeuille SP2'!J392</f>
        <v>0</v>
      </c>
      <c r="AF367" s="387"/>
      <c r="AG367" s="387"/>
      <c r="AH367" s="389"/>
      <c r="AI367" s="389"/>
      <c r="AJ367" s="403">
        <f>'Portefeuille SP2'!V392</f>
        <v>0</v>
      </c>
      <c r="AK367" s="403">
        <f>'Portefeuille SP2'!W392</f>
        <v>0</v>
      </c>
      <c r="AL367" s="403">
        <f>'Portefeuille SP2'!X392</f>
        <v>0</v>
      </c>
      <c r="AM367" s="403">
        <f>'Portefeuille SP2'!Y392</f>
        <v>0</v>
      </c>
      <c r="AN367" s="403">
        <f>'Portefeuille SP2'!Z392</f>
        <v>0</v>
      </c>
      <c r="AO367" s="403">
        <f>'Portefeuille SP2'!AA392</f>
        <v>0</v>
      </c>
      <c r="AP367" s="403">
        <f>'Portefeuille SP2'!AB392</f>
        <v>0</v>
      </c>
      <c r="AQ367" s="403">
        <f>'Portefeuille SP2'!AC392</f>
        <v>0</v>
      </c>
      <c r="AR367" s="403">
        <f>'Portefeuille SP2'!AD392</f>
        <v>0</v>
      </c>
      <c r="AS367" s="403">
        <f>'Portefeuille SP2'!AE392</f>
        <v>0</v>
      </c>
      <c r="AT367" s="403">
        <f>'Portefeuille SP2'!AF392</f>
        <v>0</v>
      </c>
      <c r="AU367" s="403">
        <f>'Portefeuille SP2'!AG392</f>
        <v>0</v>
      </c>
      <c r="AV367" s="403">
        <f>'Portefeuille SP2'!AH392</f>
        <v>0</v>
      </c>
      <c r="AW367" s="403">
        <f>'Portefeuille SP2'!AI392</f>
        <v>0</v>
      </c>
      <c r="AX367" s="403">
        <f>'Portefeuille SP2'!AJ392</f>
        <v>0</v>
      </c>
      <c r="AY367" s="403">
        <f>'Portefeuille SP2'!AK392</f>
        <v>0</v>
      </c>
      <c r="AZ367" s="403">
        <f>'Portefeuille SP2'!AL392</f>
        <v>0</v>
      </c>
      <c r="BA367" s="403">
        <f>'Portefeuille SP2'!AM392</f>
        <v>0</v>
      </c>
      <c r="BB367" s="403">
        <f>'Portefeuille SP2'!AN392</f>
        <v>0</v>
      </c>
      <c r="BC367" s="403">
        <f>'Portefeuille SP2'!AO392</f>
        <v>0</v>
      </c>
      <c r="BD367" s="403">
        <f>'Portefeuille SP2'!AP392</f>
        <v>0</v>
      </c>
      <c r="BE367" s="403">
        <f>'Portefeuille SP2'!AQ392</f>
        <v>0</v>
      </c>
      <c r="BF367" s="403">
        <f>'Portefeuille SP2'!AR392</f>
        <v>0</v>
      </c>
      <c r="BG367" s="403" t="e">
        <f>'Portefeuille SP2'!#REF!</f>
        <v>#REF!</v>
      </c>
      <c r="BH367" s="403" t="e">
        <f>'Portefeuille SP2'!#REF!</f>
        <v>#REF!</v>
      </c>
      <c r="BI367" s="403" t="e">
        <f>'Portefeuille SP2'!#REF!</f>
        <v>#REF!</v>
      </c>
      <c r="BJ367" s="403" t="e">
        <f>'Portefeuille SP2'!#REF!</f>
        <v>#REF!</v>
      </c>
      <c r="BK367" s="403" t="e">
        <f>'Portefeuille SP2'!#REF!</f>
        <v>#REF!</v>
      </c>
      <c r="BL367" s="388"/>
      <c r="BM367" s="404">
        <f>'Portefeuille SP2'!L392</f>
        <v>0</v>
      </c>
    </row>
    <row r="368" spans="1:65" ht="15" customHeight="1">
      <c r="A368" s="383">
        <f>'Portefeuille SP2'!B393</f>
        <v>0</v>
      </c>
      <c r="B368" s="390">
        <f>'Portefeuille SP2'!Q393</f>
        <v>0</v>
      </c>
      <c r="C368" s="384"/>
      <c r="D368" s="382">
        <f>'Portefeuille SP2'!E393</f>
        <v>0</v>
      </c>
      <c r="E368" s="382" t="str">
        <f t="shared" si="31"/>
        <v>0</v>
      </c>
      <c r="F368" s="382" t="str">
        <f t="shared" si="32"/>
        <v/>
      </c>
      <c r="G368" s="382">
        <f>'Portefeuille SP2'!C393</f>
        <v>0</v>
      </c>
      <c r="H368" s="382">
        <f>'Portefeuille SP2'!F393</f>
        <v>0</v>
      </c>
      <c r="I368" s="382"/>
      <c r="J368" s="382">
        <f>'Portefeuille SP2'!D393</f>
        <v>0</v>
      </c>
      <c r="K368" s="385">
        <f>'Portefeuille SP2'!H393</f>
        <v>0</v>
      </c>
      <c r="L368" s="157">
        <f>'Portefeuille SP2'!U393</f>
        <v>0</v>
      </c>
      <c r="M368" s="386"/>
      <c r="N368" s="386"/>
      <c r="O368" s="386"/>
      <c r="P368" s="387">
        <f>'Portefeuille SP2'!M393</f>
        <v>0</v>
      </c>
      <c r="Q368" s="387"/>
      <c r="R368" s="387">
        <f>'Portefeuille SP2'!N393</f>
        <v>0</v>
      </c>
      <c r="S368" s="387"/>
      <c r="T368" s="382">
        <f>'Portefeuille SP2'!R393</f>
        <v>0</v>
      </c>
      <c r="U368" s="387">
        <f>'Portefeuille SP2'!K393</f>
        <v>0</v>
      </c>
      <c r="V368" s="399">
        <f>'Portefeuille SP2'!S393</f>
        <v>0</v>
      </c>
      <c r="W368" s="387"/>
      <c r="X368" s="387"/>
      <c r="Y368" s="387"/>
      <c r="Z368" s="387"/>
      <c r="AA368" s="387"/>
      <c r="AB368" s="387"/>
      <c r="AC368" s="387"/>
      <c r="AD368" s="387"/>
      <c r="AE368" s="400">
        <f>'Portefeuille SP2'!J393</f>
        <v>0</v>
      </c>
      <c r="AF368" s="387"/>
      <c r="AG368" s="387"/>
      <c r="AH368" s="389"/>
      <c r="AI368" s="389"/>
      <c r="AJ368" s="403">
        <f>'Portefeuille SP2'!V393</f>
        <v>0</v>
      </c>
      <c r="AK368" s="403">
        <f>'Portefeuille SP2'!W393</f>
        <v>0</v>
      </c>
      <c r="AL368" s="403">
        <f>'Portefeuille SP2'!X393</f>
        <v>0</v>
      </c>
      <c r="AM368" s="403">
        <f>'Portefeuille SP2'!Y393</f>
        <v>0</v>
      </c>
      <c r="AN368" s="403">
        <f>'Portefeuille SP2'!Z393</f>
        <v>0</v>
      </c>
      <c r="AO368" s="403">
        <f>'Portefeuille SP2'!AA393</f>
        <v>0</v>
      </c>
      <c r="AP368" s="403">
        <f>'Portefeuille SP2'!AB393</f>
        <v>0</v>
      </c>
      <c r="AQ368" s="403">
        <f>'Portefeuille SP2'!AC393</f>
        <v>0</v>
      </c>
      <c r="AR368" s="403">
        <f>'Portefeuille SP2'!AD393</f>
        <v>0</v>
      </c>
      <c r="AS368" s="403">
        <f>'Portefeuille SP2'!AE393</f>
        <v>0</v>
      </c>
      <c r="AT368" s="403">
        <f>'Portefeuille SP2'!AF393</f>
        <v>0</v>
      </c>
      <c r="AU368" s="403">
        <f>'Portefeuille SP2'!AG393</f>
        <v>0</v>
      </c>
      <c r="AV368" s="403">
        <f>'Portefeuille SP2'!AH393</f>
        <v>0</v>
      </c>
      <c r="AW368" s="403">
        <f>'Portefeuille SP2'!AI393</f>
        <v>0</v>
      </c>
      <c r="AX368" s="403">
        <f>'Portefeuille SP2'!AJ393</f>
        <v>0</v>
      </c>
      <c r="AY368" s="403">
        <f>'Portefeuille SP2'!AK393</f>
        <v>0</v>
      </c>
      <c r="AZ368" s="403">
        <f>'Portefeuille SP2'!AL393</f>
        <v>0</v>
      </c>
      <c r="BA368" s="403">
        <f>'Portefeuille SP2'!AM393</f>
        <v>0</v>
      </c>
      <c r="BB368" s="403">
        <f>'Portefeuille SP2'!AN393</f>
        <v>0</v>
      </c>
      <c r="BC368" s="403">
        <f>'Portefeuille SP2'!AO393</f>
        <v>0</v>
      </c>
      <c r="BD368" s="403">
        <f>'Portefeuille SP2'!AP393</f>
        <v>0</v>
      </c>
      <c r="BE368" s="403">
        <f>'Portefeuille SP2'!AQ393</f>
        <v>0</v>
      </c>
      <c r="BF368" s="403">
        <f>'Portefeuille SP2'!AR393</f>
        <v>0</v>
      </c>
      <c r="BG368" s="403" t="e">
        <f>'Portefeuille SP2'!#REF!</f>
        <v>#REF!</v>
      </c>
      <c r="BH368" s="403" t="e">
        <f>'Portefeuille SP2'!#REF!</f>
        <v>#REF!</v>
      </c>
      <c r="BI368" s="403" t="e">
        <f>'Portefeuille SP2'!#REF!</f>
        <v>#REF!</v>
      </c>
      <c r="BJ368" s="403" t="e">
        <f>'Portefeuille SP2'!#REF!</f>
        <v>#REF!</v>
      </c>
      <c r="BK368" s="403" t="e">
        <f>'Portefeuille SP2'!#REF!</f>
        <v>#REF!</v>
      </c>
      <c r="BL368" s="388"/>
      <c r="BM368" s="404">
        <f>'Portefeuille SP2'!L393</f>
        <v>0</v>
      </c>
    </row>
    <row r="369" spans="1:65" ht="15" customHeight="1">
      <c r="A369" s="383">
        <f>'Portefeuille SP2'!B394</f>
        <v>0</v>
      </c>
      <c r="B369" s="390">
        <f>'Portefeuille SP2'!Q394</f>
        <v>0</v>
      </c>
      <c r="C369" s="384"/>
      <c r="D369" s="382">
        <f>'Portefeuille SP2'!E394</f>
        <v>0</v>
      </c>
      <c r="E369" s="382" t="str">
        <f t="shared" si="31"/>
        <v>0</v>
      </c>
      <c r="F369" s="382" t="str">
        <f t="shared" si="32"/>
        <v/>
      </c>
      <c r="G369" s="382">
        <f>'Portefeuille SP2'!C394</f>
        <v>0</v>
      </c>
      <c r="H369" s="382">
        <f>'Portefeuille SP2'!F394</f>
        <v>0</v>
      </c>
      <c r="I369" s="382"/>
      <c r="J369" s="382">
        <f>'Portefeuille SP2'!D394</f>
        <v>0</v>
      </c>
      <c r="K369" s="385">
        <f>'Portefeuille SP2'!H394</f>
        <v>0</v>
      </c>
      <c r="L369" s="157">
        <f>'Portefeuille SP2'!U394</f>
        <v>0</v>
      </c>
      <c r="M369" s="386"/>
      <c r="N369" s="386"/>
      <c r="O369" s="386"/>
      <c r="P369" s="387">
        <f>'Portefeuille SP2'!M394</f>
        <v>0</v>
      </c>
      <c r="Q369" s="387"/>
      <c r="R369" s="387">
        <f>'Portefeuille SP2'!N394</f>
        <v>0</v>
      </c>
      <c r="S369" s="387"/>
      <c r="T369" s="382">
        <f>'Portefeuille SP2'!R394</f>
        <v>0</v>
      </c>
      <c r="U369" s="387">
        <f>'Portefeuille SP2'!K394</f>
        <v>0</v>
      </c>
      <c r="V369" s="399">
        <f>'Portefeuille SP2'!S394</f>
        <v>0</v>
      </c>
      <c r="W369" s="387"/>
      <c r="X369" s="387"/>
      <c r="Y369" s="387"/>
      <c r="Z369" s="387"/>
      <c r="AA369" s="387"/>
      <c r="AB369" s="387"/>
      <c r="AC369" s="387"/>
      <c r="AD369" s="387"/>
      <c r="AE369" s="400">
        <f>'Portefeuille SP2'!J394</f>
        <v>0</v>
      </c>
      <c r="AF369" s="387"/>
      <c r="AG369" s="387"/>
      <c r="AH369" s="389"/>
      <c r="AI369" s="389"/>
      <c r="AJ369" s="403">
        <f>'Portefeuille SP2'!V394</f>
        <v>0</v>
      </c>
      <c r="AK369" s="403">
        <f>'Portefeuille SP2'!W394</f>
        <v>0</v>
      </c>
      <c r="AL369" s="403">
        <f>'Portefeuille SP2'!X394</f>
        <v>0</v>
      </c>
      <c r="AM369" s="403">
        <f>'Portefeuille SP2'!Y394</f>
        <v>0</v>
      </c>
      <c r="AN369" s="403">
        <f>'Portefeuille SP2'!Z394</f>
        <v>0</v>
      </c>
      <c r="AO369" s="403">
        <f>'Portefeuille SP2'!AA394</f>
        <v>0</v>
      </c>
      <c r="AP369" s="403">
        <f>'Portefeuille SP2'!AB394</f>
        <v>0</v>
      </c>
      <c r="AQ369" s="403">
        <f>'Portefeuille SP2'!AC394</f>
        <v>0</v>
      </c>
      <c r="AR369" s="403">
        <f>'Portefeuille SP2'!AD394</f>
        <v>0</v>
      </c>
      <c r="AS369" s="403">
        <f>'Portefeuille SP2'!AE394</f>
        <v>0</v>
      </c>
      <c r="AT369" s="403">
        <f>'Portefeuille SP2'!AF394</f>
        <v>0</v>
      </c>
      <c r="AU369" s="403">
        <f>'Portefeuille SP2'!AG394</f>
        <v>0</v>
      </c>
      <c r="AV369" s="403">
        <f>'Portefeuille SP2'!AH394</f>
        <v>0</v>
      </c>
      <c r="AW369" s="403">
        <f>'Portefeuille SP2'!AI394</f>
        <v>0</v>
      </c>
      <c r="AX369" s="403">
        <f>'Portefeuille SP2'!AJ394</f>
        <v>0</v>
      </c>
      <c r="AY369" s="403">
        <f>'Portefeuille SP2'!AK394</f>
        <v>0</v>
      </c>
      <c r="AZ369" s="403">
        <f>'Portefeuille SP2'!AL394</f>
        <v>0</v>
      </c>
      <c r="BA369" s="403">
        <f>'Portefeuille SP2'!AM394</f>
        <v>0</v>
      </c>
      <c r="BB369" s="403">
        <f>'Portefeuille SP2'!AN394</f>
        <v>0</v>
      </c>
      <c r="BC369" s="403">
        <f>'Portefeuille SP2'!AO394</f>
        <v>0</v>
      </c>
      <c r="BD369" s="403">
        <f>'Portefeuille SP2'!AP394</f>
        <v>0</v>
      </c>
      <c r="BE369" s="403">
        <f>'Portefeuille SP2'!AQ394</f>
        <v>0</v>
      </c>
      <c r="BF369" s="403">
        <f>'Portefeuille SP2'!AR394</f>
        <v>0</v>
      </c>
      <c r="BG369" s="403" t="e">
        <f>'Portefeuille SP2'!#REF!</f>
        <v>#REF!</v>
      </c>
      <c r="BH369" s="403" t="e">
        <f>'Portefeuille SP2'!#REF!</f>
        <v>#REF!</v>
      </c>
      <c r="BI369" s="403" t="e">
        <f>'Portefeuille SP2'!#REF!</f>
        <v>#REF!</v>
      </c>
      <c r="BJ369" s="403" t="e">
        <f>'Portefeuille SP2'!#REF!</f>
        <v>#REF!</v>
      </c>
      <c r="BK369" s="403" t="e">
        <f>'Portefeuille SP2'!#REF!</f>
        <v>#REF!</v>
      </c>
      <c r="BL369" s="388"/>
      <c r="BM369" s="404">
        <f>'Portefeuille SP2'!L394</f>
        <v>0</v>
      </c>
    </row>
    <row r="370" spans="1:65" ht="15" customHeight="1">
      <c r="A370" s="383">
        <f>'Portefeuille SP2'!B395</f>
        <v>0</v>
      </c>
      <c r="B370" s="390">
        <f>'Portefeuille SP2'!Q395</f>
        <v>0</v>
      </c>
      <c r="C370" s="384"/>
      <c r="D370" s="382">
        <f>'Portefeuille SP2'!E395</f>
        <v>0</v>
      </c>
      <c r="E370" s="382" t="str">
        <f t="shared" si="31"/>
        <v>0</v>
      </c>
      <c r="F370" s="382" t="str">
        <f t="shared" si="32"/>
        <v/>
      </c>
      <c r="G370" s="382">
        <f>'Portefeuille SP2'!C395</f>
        <v>0</v>
      </c>
      <c r="H370" s="382">
        <f>'Portefeuille SP2'!F395</f>
        <v>0</v>
      </c>
      <c r="I370" s="382"/>
      <c r="J370" s="382">
        <f>'Portefeuille SP2'!D395</f>
        <v>0</v>
      </c>
      <c r="K370" s="385">
        <f>'Portefeuille SP2'!H395</f>
        <v>0</v>
      </c>
      <c r="L370" s="157">
        <f>'Portefeuille SP2'!U395</f>
        <v>0</v>
      </c>
      <c r="M370" s="386"/>
      <c r="N370" s="386"/>
      <c r="O370" s="386"/>
      <c r="P370" s="387">
        <f>'Portefeuille SP2'!M395</f>
        <v>0</v>
      </c>
      <c r="Q370" s="387"/>
      <c r="R370" s="387">
        <f>'Portefeuille SP2'!N395</f>
        <v>0</v>
      </c>
      <c r="S370" s="387"/>
      <c r="T370" s="382">
        <f>'Portefeuille SP2'!R395</f>
        <v>0</v>
      </c>
      <c r="U370" s="387">
        <f>'Portefeuille SP2'!K395</f>
        <v>0</v>
      </c>
      <c r="V370" s="399">
        <f>'Portefeuille SP2'!S395</f>
        <v>0</v>
      </c>
      <c r="W370" s="387"/>
      <c r="X370" s="387"/>
      <c r="Y370" s="387"/>
      <c r="Z370" s="387"/>
      <c r="AA370" s="387"/>
      <c r="AB370" s="387"/>
      <c r="AC370" s="387"/>
      <c r="AD370" s="387"/>
      <c r="AE370" s="400">
        <f>'Portefeuille SP2'!J395</f>
        <v>0</v>
      </c>
      <c r="AF370" s="387"/>
      <c r="AG370" s="387"/>
      <c r="AH370" s="389"/>
      <c r="AI370" s="389"/>
      <c r="AJ370" s="403">
        <f>'Portefeuille SP2'!V395</f>
        <v>0</v>
      </c>
      <c r="AK370" s="403">
        <f>'Portefeuille SP2'!W395</f>
        <v>0</v>
      </c>
      <c r="AL370" s="403">
        <f>'Portefeuille SP2'!X395</f>
        <v>0</v>
      </c>
      <c r="AM370" s="403">
        <f>'Portefeuille SP2'!Y395</f>
        <v>0</v>
      </c>
      <c r="AN370" s="403">
        <f>'Portefeuille SP2'!Z395</f>
        <v>0</v>
      </c>
      <c r="AO370" s="403">
        <f>'Portefeuille SP2'!AA395</f>
        <v>0</v>
      </c>
      <c r="AP370" s="403">
        <f>'Portefeuille SP2'!AB395</f>
        <v>0</v>
      </c>
      <c r="AQ370" s="403">
        <f>'Portefeuille SP2'!AC395</f>
        <v>0</v>
      </c>
      <c r="AR370" s="403">
        <f>'Portefeuille SP2'!AD395</f>
        <v>0</v>
      </c>
      <c r="AS370" s="403">
        <f>'Portefeuille SP2'!AE395</f>
        <v>0</v>
      </c>
      <c r="AT370" s="403">
        <f>'Portefeuille SP2'!AF395</f>
        <v>0</v>
      </c>
      <c r="AU370" s="403">
        <f>'Portefeuille SP2'!AG395</f>
        <v>0</v>
      </c>
      <c r="AV370" s="403">
        <f>'Portefeuille SP2'!AH395</f>
        <v>0</v>
      </c>
      <c r="AW370" s="403">
        <f>'Portefeuille SP2'!AI395</f>
        <v>0</v>
      </c>
      <c r="AX370" s="403">
        <f>'Portefeuille SP2'!AJ395</f>
        <v>0</v>
      </c>
      <c r="AY370" s="403">
        <f>'Portefeuille SP2'!AK395</f>
        <v>0</v>
      </c>
      <c r="AZ370" s="403">
        <f>'Portefeuille SP2'!AL395</f>
        <v>0</v>
      </c>
      <c r="BA370" s="403">
        <f>'Portefeuille SP2'!AM395</f>
        <v>0</v>
      </c>
      <c r="BB370" s="403">
        <f>'Portefeuille SP2'!AN395</f>
        <v>0</v>
      </c>
      <c r="BC370" s="403">
        <f>'Portefeuille SP2'!AO395</f>
        <v>0</v>
      </c>
      <c r="BD370" s="403">
        <f>'Portefeuille SP2'!AP395</f>
        <v>0</v>
      </c>
      <c r="BE370" s="403">
        <f>'Portefeuille SP2'!AQ395</f>
        <v>0</v>
      </c>
      <c r="BF370" s="403">
        <f>'Portefeuille SP2'!AR395</f>
        <v>0</v>
      </c>
      <c r="BG370" s="403" t="e">
        <f>'Portefeuille SP2'!#REF!</f>
        <v>#REF!</v>
      </c>
      <c r="BH370" s="403" t="e">
        <f>'Portefeuille SP2'!#REF!</f>
        <v>#REF!</v>
      </c>
      <c r="BI370" s="403" t="e">
        <f>'Portefeuille SP2'!#REF!</f>
        <v>#REF!</v>
      </c>
      <c r="BJ370" s="403" t="e">
        <f>'Portefeuille SP2'!#REF!</f>
        <v>#REF!</v>
      </c>
      <c r="BK370" s="403" t="e">
        <f>'Portefeuille SP2'!#REF!</f>
        <v>#REF!</v>
      </c>
      <c r="BL370" s="388"/>
      <c r="BM370" s="404">
        <f>'Portefeuille SP2'!L395</f>
        <v>0</v>
      </c>
    </row>
    <row r="371" spans="1:65" ht="15" customHeight="1">
      <c r="A371" s="383">
        <f>'Portefeuille SP2'!B396</f>
        <v>0</v>
      </c>
      <c r="B371" s="390">
        <f>'Portefeuille SP2'!Q396</f>
        <v>0</v>
      </c>
      <c r="C371" s="384"/>
      <c r="D371" s="382">
        <f>'Portefeuille SP2'!E396</f>
        <v>0</v>
      </c>
      <c r="E371" s="382" t="str">
        <f t="shared" si="31"/>
        <v>0</v>
      </c>
      <c r="F371" s="382" t="str">
        <f t="shared" si="32"/>
        <v/>
      </c>
      <c r="G371" s="382">
        <f>'Portefeuille SP2'!C396</f>
        <v>0</v>
      </c>
      <c r="H371" s="382">
        <f>'Portefeuille SP2'!F396</f>
        <v>0</v>
      </c>
      <c r="I371" s="382"/>
      <c r="J371" s="382">
        <f>'Portefeuille SP2'!D396</f>
        <v>0</v>
      </c>
      <c r="K371" s="385">
        <f>'Portefeuille SP2'!H396</f>
        <v>0</v>
      </c>
      <c r="L371" s="157">
        <f>'Portefeuille SP2'!U396</f>
        <v>0</v>
      </c>
      <c r="M371" s="386"/>
      <c r="N371" s="386"/>
      <c r="O371" s="386"/>
      <c r="P371" s="387">
        <f>'Portefeuille SP2'!M396</f>
        <v>0</v>
      </c>
      <c r="Q371" s="387"/>
      <c r="R371" s="387">
        <f>'Portefeuille SP2'!N396</f>
        <v>0</v>
      </c>
      <c r="S371" s="387"/>
      <c r="T371" s="382">
        <f>'Portefeuille SP2'!R396</f>
        <v>0</v>
      </c>
      <c r="U371" s="387">
        <f>'Portefeuille SP2'!K396</f>
        <v>0</v>
      </c>
      <c r="V371" s="399">
        <f>'Portefeuille SP2'!S396</f>
        <v>0</v>
      </c>
      <c r="W371" s="387"/>
      <c r="X371" s="387"/>
      <c r="Y371" s="387"/>
      <c r="Z371" s="387"/>
      <c r="AA371" s="387"/>
      <c r="AB371" s="387"/>
      <c r="AC371" s="387"/>
      <c r="AD371" s="387"/>
      <c r="AE371" s="400">
        <f>'Portefeuille SP2'!J396</f>
        <v>0</v>
      </c>
      <c r="AF371" s="387"/>
      <c r="AG371" s="387"/>
      <c r="AH371" s="389"/>
      <c r="AI371" s="389"/>
      <c r="AJ371" s="403">
        <f>'Portefeuille SP2'!V396</f>
        <v>0</v>
      </c>
      <c r="AK371" s="403">
        <f>'Portefeuille SP2'!W396</f>
        <v>0</v>
      </c>
      <c r="AL371" s="403">
        <f>'Portefeuille SP2'!X396</f>
        <v>0</v>
      </c>
      <c r="AM371" s="403">
        <f>'Portefeuille SP2'!Y396</f>
        <v>0</v>
      </c>
      <c r="AN371" s="403">
        <f>'Portefeuille SP2'!Z396</f>
        <v>0</v>
      </c>
      <c r="AO371" s="403">
        <f>'Portefeuille SP2'!AA396</f>
        <v>0</v>
      </c>
      <c r="AP371" s="403">
        <f>'Portefeuille SP2'!AB396</f>
        <v>0</v>
      </c>
      <c r="AQ371" s="403">
        <f>'Portefeuille SP2'!AC396</f>
        <v>0</v>
      </c>
      <c r="AR371" s="403">
        <f>'Portefeuille SP2'!AD396</f>
        <v>0</v>
      </c>
      <c r="AS371" s="403">
        <f>'Portefeuille SP2'!AE396</f>
        <v>0</v>
      </c>
      <c r="AT371" s="403">
        <f>'Portefeuille SP2'!AF396</f>
        <v>0</v>
      </c>
      <c r="AU371" s="403">
        <f>'Portefeuille SP2'!AG396</f>
        <v>0</v>
      </c>
      <c r="AV371" s="403">
        <f>'Portefeuille SP2'!AH396</f>
        <v>0</v>
      </c>
      <c r="AW371" s="403">
        <f>'Portefeuille SP2'!AI396</f>
        <v>0</v>
      </c>
      <c r="AX371" s="403">
        <f>'Portefeuille SP2'!AJ396</f>
        <v>0</v>
      </c>
      <c r="AY371" s="403">
        <f>'Portefeuille SP2'!AK396</f>
        <v>0</v>
      </c>
      <c r="AZ371" s="403">
        <f>'Portefeuille SP2'!AL396</f>
        <v>0</v>
      </c>
      <c r="BA371" s="403">
        <f>'Portefeuille SP2'!AM396</f>
        <v>0</v>
      </c>
      <c r="BB371" s="403">
        <f>'Portefeuille SP2'!AN396</f>
        <v>0</v>
      </c>
      <c r="BC371" s="403">
        <f>'Portefeuille SP2'!AO396</f>
        <v>0</v>
      </c>
      <c r="BD371" s="403">
        <f>'Portefeuille SP2'!AP396</f>
        <v>0</v>
      </c>
      <c r="BE371" s="403">
        <f>'Portefeuille SP2'!AQ396</f>
        <v>0</v>
      </c>
      <c r="BF371" s="403">
        <f>'Portefeuille SP2'!AR396</f>
        <v>0</v>
      </c>
      <c r="BG371" s="403" t="e">
        <f>'Portefeuille SP2'!#REF!</f>
        <v>#REF!</v>
      </c>
      <c r="BH371" s="403" t="e">
        <f>'Portefeuille SP2'!#REF!</f>
        <v>#REF!</v>
      </c>
      <c r="BI371" s="403" t="e">
        <f>'Portefeuille SP2'!#REF!</f>
        <v>#REF!</v>
      </c>
      <c r="BJ371" s="403" t="e">
        <f>'Portefeuille SP2'!#REF!</f>
        <v>#REF!</v>
      </c>
      <c r="BK371" s="403" t="e">
        <f>'Portefeuille SP2'!#REF!</f>
        <v>#REF!</v>
      </c>
      <c r="BL371" s="388"/>
      <c r="BM371" s="404">
        <f>'Portefeuille SP2'!L396</f>
        <v>0</v>
      </c>
    </row>
    <row r="372" spans="1:65" ht="15" customHeight="1">
      <c r="A372" s="383">
        <f>'Portefeuille SP2'!B397</f>
        <v>0</v>
      </c>
      <c r="B372" s="390">
        <f>'Portefeuille SP2'!Q397</f>
        <v>0</v>
      </c>
      <c r="C372" s="384"/>
      <c r="D372" s="382">
        <f>'Portefeuille SP2'!E397</f>
        <v>0</v>
      </c>
      <c r="E372" s="382" t="str">
        <f t="shared" si="31"/>
        <v>0</v>
      </c>
      <c r="F372" s="382" t="str">
        <f t="shared" si="32"/>
        <v/>
      </c>
      <c r="G372" s="382">
        <f>'Portefeuille SP2'!C397</f>
        <v>0</v>
      </c>
      <c r="H372" s="382">
        <f>'Portefeuille SP2'!F397</f>
        <v>0</v>
      </c>
      <c r="I372" s="382"/>
      <c r="J372" s="382">
        <f>'Portefeuille SP2'!D397</f>
        <v>0</v>
      </c>
      <c r="K372" s="385">
        <f>'Portefeuille SP2'!H397</f>
        <v>0</v>
      </c>
      <c r="L372" s="157">
        <f>'Portefeuille SP2'!U397</f>
        <v>0</v>
      </c>
      <c r="M372" s="386"/>
      <c r="N372" s="386"/>
      <c r="O372" s="386"/>
      <c r="P372" s="387">
        <f>'Portefeuille SP2'!M397</f>
        <v>0</v>
      </c>
      <c r="Q372" s="387"/>
      <c r="R372" s="387">
        <f>'Portefeuille SP2'!N397</f>
        <v>0</v>
      </c>
      <c r="S372" s="387"/>
      <c r="T372" s="382">
        <f>'Portefeuille SP2'!R397</f>
        <v>0</v>
      </c>
      <c r="U372" s="387">
        <f>'Portefeuille SP2'!K397</f>
        <v>0</v>
      </c>
      <c r="V372" s="399">
        <f>'Portefeuille SP2'!S397</f>
        <v>0</v>
      </c>
      <c r="W372" s="387"/>
      <c r="X372" s="387"/>
      <c r="Y372" s="387"/>
      <c r="Z372" s="387"/>
      <c r="AA372" s="387"/>
      <c r="AB372" s="387"/>
      <c r="AC372" s="387"/>
      <c r="AD372" s="387"/>
      <c r="AE372" s="400">
        <f>'Portefeuille SP2'!J397</f>
        <v>0</v>
      </c>
      <c r="AF372" s="387"/>
      <c r="AG372" s="387"/>
      <c r="AH372" s="389"/>
      <c r="AI372" s="389"/>
      <c r="AJ372" s="403">
        <f>'Portefeuille SP2'!V397</f>
        <v>0</v>
      </c>
      <c r="AK372" s="403">
        <f>'Portefeuille SP2'!W397</f>
        <v>0</v>
      </c>
      <c r="AL372" s="403">
        <f>'Portefeuille SP2'!X397</f>
        <v>0</v>
      </c>
      <c r="AM372" s="403">
        <f>'Portefeuille SP2'!Y397</f>
        <v>0</v>
      </c>
      <c r="AN372" s="403">
        <f>'Portefeuille SP2'!Z397</f>
        <v>0</v>
      </c>
      <c r="AO372" s="403">
        <f>'Portefeuille SP2'!AA397</f>
        <v>0</v>
      </c>
      <c r="AP372" s="403">
        <f>'Portefeuille SP2'!AB397</f>
        <v>0</v>
      </c>
      <c r="AQ372" s="403">
        <f>'Portefeuille SP2'!AC397</f>
        <v>0</v>
      </c>
      <c r="AR372" s="403">
        <f>'Portefeuille SP2'!AD397</f>
        <v>0</v>
      </c>
      <c r="AS372" s="403">
        <f>'Portefeuille SP2'!AE397</f>
        <v>0</v>
      </c>
      <c r="AT372" s="403">
        <f>'Portefeuille SP2'!AF397</f>
        <v>0</v>
      </c>
      <c r="AU372" s="403">
        <f>'Portefeuille SP2'!AG397</f>
        <v>0</v>
      </c>
      <c r="AV372" s="403">
        <f>'Portefeuille SP2'!AH397</f>
        <v>0</v>
      </c>
      <c r="AW372" s="403">
        <f>'Portefeuille SP2'!AI397</f>
        <v>0</v>
      </c>
      <c r="AX372" s="403">
        <f>'Portefeuille SP2'!AJ397</f>
        <v>0</v>
      </c>
      <c r="AY372" s="403">
        <f>'Portefeuille SP2'!AK397</f>
        <v>0</v>
      </c>
      <c r="AZ372" s="403">
        <f>'Portefeuille SP2'!AL397</f>
        <v>0</v>
      </c>
      <c r="BA372" s="403">
        <f>'Portefeuille SP2'!AM397</f>
        <v>0</v>
      </c>
      <c r="BB372" s="403">
        <f>'Portefeuille SP2'!AN397</f>
        <v>0</v>
      </c>
      <c r="BC372" s="403">
        <f>'Portefeuille SP2'!AO397</f>
        <v>0</v>
      </c>
      <c r="BD372" s="403">
        <f>'Portefeuille SP2'!AP397</f>
        <v>0</v>
      </c>
      <c r="BE372" s="403">
        <f>'Portefeuille SP2'!AQ397</f>
        <v>0</v>
      </c>
      <c r="BF372" s="403">
        <f>'Portefeuille SP2'!AR397</f>
        <v>0</v>
      </c>
      <c r="BG372" s="403" t="e">
        <f>'Portefeuille SP2'!#REF!</f>
        <v>#REF!</v>
      </c>
      <c r="BH372" s="403" t="e">
        <f>'Portefeuille SP2'!#REF!</f>
        <v>#REF!</v>
      </c>
      <c r="BI372" s="403" t="e">
        <f>'Portefeuille SP2'!#REF!</f>
        <v>#REF!</v>
      </c>
      <c r="BJ372" s="403" t="e">
        <f>'Portefeuille SP2'!#REF!</f>
        <v>#REF!</v>
      </c>
      <c r="BK372" s="403" t="e">
        <f>'Portefeuille SP2'!#REF!</f>
        <v>#REF!</v>
      </c>
      <c r="BL372" s="388"/>
      <c r="BM372" s="404">
        <f>'Portefeuille SP2'!L397</f>
        <v>0</v>
      </c>
    </row>
    <row r="373" spans="1:65" ht="15" customHeight="1">
      <c r="A373" s="383">
        <f>'Portefeuille SP2'!B398</f>
        <v>0</v>
      </c>
      <c r="B373" s="390">
        <f>'Portefeuille SP2'!Q398</f>
        <v>0</v>
      </c>
      <c r="C373" s="384"/>
      <c r="D373" s="382">
        <f>'Portefeuille SP2'!E398</f>
        <v>0</v>
      </c>
      <c r="E373" s="382" t="str">
        <f t="shared" si="31"/>
        <v>0</v>
      </c>
      <c r="F373" s="382" t="str">
        <f t="shared" si="32"/>
        <v/>
      </c>
      <c r="G373" s="382">
        <f>'Portefeuille SP2'!C398</f>
        <v>0</v>
      </c>
      <c r="H373" s="382">
        <f>'Portefeuille SP2'!F398</f>
        <v>0</v>
      </c>
      <c r="I373" s="382"/>
      <c r="J373" s="382">
        <f>'Portefeuille SP2'!D398</f>
        <v>0</v>
      </c>
      <c r="K373" s="385">
        <f>'Portefeuille SP2'!H398</f>
        <v>0</v>
      </c>
      <c r="L373" s="157">
        <f>'Portefeuille SP2'!U398</f>
        <v>0</v>
      </c>
      <c r="M373" s="386"/>
      <c r="N373" s="386"/>
      <c r="O373" s="386"/>
      <c r="P373" s="387">
        <f>'Portefeuille SP2'!M398</f>
        <v>0</v>
      </c>
      <c r="Q373" s="387"/>
      <c r="R373" s="387">
        <f>'Portefeuille SP2'!N398</f>
        <v>0</v>
      </c>
      <c r="S373" s="387"/>
      <c r="T373" s="382">
        <f>'Portefeuille SP2'!R398</f>
        <v>0</v>
      </c>
      <c r="U373" s="387">
        <f>'Portefeuille SP2'!K398</f>
        <v>0</v>
      </c>
      <c r="V373" s="399">
        <f>'Portefeuille SP2'!S398</f>
        <v>0</v>
      </c>
      <c r="W373" s="387"/>
      <c r="X373" s="387"/>
      <c r="Y373" s="387"/>
      <c r="Z373" s="387"/>
      <c r="AA373" s="387"/>
      <c r="AB373" s="387"/>
      <c r="AC373" s="387"/>
      <c r="AD373" s="387"/>
      <c r="AE373" s="400">
        <f>'Portefeuille SP2'!J398</f>
        <v>0</v>
      </c>
      <c r="AF373" s="387"/>
      <c r="AG373" s="387"/>
      <c r="AH373" s="389"/>
      <c r="AI373" s="389"/>
      <c r="AJ373" s="403">
        <f>'Portefeuille SP2'!V398</f>
        <v>0</v>
      </c>
      <c r="AK373" s="403">
        <f>'Portefeuille SP2'!W398</f>
        <v>0</v>
      </c>
      <c r="AL373" s="403">
        <f>'Portefeuille SP2'!X398</f>
        <v>0</v>
      </c>
      <c r="AM373" s="403">
        <f>'Portefeuille SP2'!Y398</f>
        <v>0</v>
      </c>
      <c r="AN373" s="403">
        <f>'Portefeuille SP2'!Z398</f>
        <v>0</v>
      </c>
      <c r="AO373" s="403">
        <f>'Portefeuille SP2'!AA398</f>
        <v>0</v>
      </c>
      <c r="AP373" s="403">
        <f>'Portefeuille SP2'!AB398</f>
        <v>0</v>
      </c>
      <c r="AQ373" s="403">
        <f>'Portefeuille SP2'!AC398</f>
        <v>0</v>
      </c>
      <c r="AR373" s="403">
        <f>'Portefeuille SP2'!AD398</f>
        <v>0</v>
      </c>
      <c r="AS373" s="403">
        <f>'Portefeuille SP2'!AE398</f>
        <v>0</v>
      </c>
      <c r="AT373" s="403">
        <f>'Portefeuille SP2'!AF398</f>
        <v>0</v>
      </c>
      <c r="AU373" s="403">
        <f>'Portefeuille SP2'!AG398</f>
        <v>0</v>
      </c>
      <c r="AV373" s="403">
        <f>'Portefeuille SP2'!AH398</f>
        <v>0</v>
      </c>
      <c r="AW373" s="403">
        <f>'Portefeuille SP2'!AI398</f>
        <v>0</v>
      </c>
      <c r="AX373" s="403">
        <f>'Portefeuille SP2'!AJ398</f>
        <v>0</v>
      </c>
      <c r="AY373" s="403">
        <f>'Portefeuille SP2'!AK398</f>
        <v>0</v>
      </c>
      <c r="AZ373" s="403">
        <f>'Portefeuille SP2'!AL398</f>
        <v>0</v>
      </c>
      <c r="BA373" s="403">
        <f>'Portefeuille SP2'!AM398</f>
        <v>0</v>
      </c>
      <c r="BB373" s="403">
        <f>'Portefeuille SP2'!AN398</f>
        <v>0</v>
      </c>
      <c r="BC373" s="403">
        <f>'Portefeuille SP2'!AO398</f>
        <v>0</v>
      </c>
      <c r="BD373" s="403">
        <f>'Portefeuille SP2'!AP398</f>
        <v>0</v>
      </c>
      <c r="BE373" s="403">
        <f>'Portefeuille SP2'!AQ398</f>
        <v>0</v>
      </c>
      <c r="BF373" s="403">
        <f>'Portefeuille SP2'!AR398</f>
        <v>0</v>
      </c>
      <c r="BG373" s="403" t="e">
        <f>'Portefeuille SP2'!#REF!</f>
        <v>#REF!</v>
      </c>
      <c r="BH373" s="403" t="e">
        <f>'Portefeuille SP2'!#REF!</f>
        <v>#REF!</v>
      </c>
      <c r="BI373" s="403" t="e">
        <f>'Portefeuille SP2'!#REF!</f>
        <v>#REF!</v>
      </c>
      <c r="BJ373" s="403" t="e">
        <f>'Portefeuille SP2'!#REF!</f>
        <v>#REF!</v>
      </c>
      <c r="BK373" s="403" t="e">
        <f>'Portefeuille SP2'!#REF!</f>
        <v>#REF!</v>
      </c>
      <c r="BL373" s="388"/>
      <c r="BM373" s="404">
        <f>'Portefeuille SP2'!L398</f>
        <v>0</v>
      </c>
    </row>
    <row r="374" spans="1:65" ht="15" customHeight="1">
      <c r="A374" s="383">
        <f>'Portefeuille SP2'!B399</f>
        <v>0</v>
      </c>
      <c r="B374" s="390">
        <f>'Portefeuille SP2'!Q399</f>
        <v>0</v>
      </c>
      <c r="C374" s="384"/>
      <c r="D374" s="382">
        <f>'Portefeuille SP2'!E399</f>
        <v>0</v>
      </c>
      <c r="E374" s="382" t="str">
        <f t="shared" si="31"/>
        <v>0</v>
      </c>
      <c r="F374" s="382" t="str">
        <f t="shared" si="32"/>
        <v/>
      </c>
      <c r="G374" s="382">
        <f>'Portefeuille SP2'!C399</f>
        <v>0</v>
      </c>
      <c r="H374" s="382">
        <f>'Portefeuille SP2'!F399</f>
        <v>0</v>
      </c>
      <c r="I374" s="382"/>
      <c r="J374" s="382">
        <f>'Portefeuille SP2'!D399</f>
        <v>0</v>
      </c>
      <c r="K374" s="385">
        <f>'Portefeuille SP2'!H399</f>
        <v>0</v>
      </c>
      <c r="L374" s="157">
        <f>'Portefeuille SP2'!U399</f>
        <v>0</v>
      </c>
      <c r="M374" s="386"/>
      <c r="N374" s="386"/>
      <c r="O374" s="386"/>
      <c r="P374" s="387">
        <f>'Portefeuille SP2'!M399</f>
        <v>0</v>
      </c>
      <c r="Q374" s="387"/>
      <c r="R374" s="387">
        <f>'Portefeuille SP2'!N399</f>
        <v>0</v>
      </c>
      <c r="S374" s="387"/>
      <c r="T374" s="382">
        <f>'Portefeuille SP2'!R399</f>
        <v>0</v>
      </c>
      <c r="U374" s="387">
        <f>'Portefeuille SP2'!K399</f>
        <v>0</v>
      </c>
      <c r="V374" s="399">
        <f>'Portefeuille SP2'!S399</f>
        <v>0</v>
      </c>
      <c r="W374" s="387"/>
      <c r="X374" s="387"/>
      <c r="Y374" s="387"/>
      <c r="Z374" s="387"/>
      <c r="AA374" s="387"/>
      <c r="AB374" s="387"/>
      <c r="AC374" s="387"/>
      <c r="AD374" s="387"/>
      <c r="AE374" s="400">
        <f>'Portefeuille SP2'!J399</f>
        <v>0</v>
      </c>
      <c r="AF374" s="387"/>
      <c r="AG374" s="387"/>
      <c r="AH374" s="389"/>
      <c r="AI374" s="389"/>
      <c r="AJ374" s="403">
        <f>'Portefeuille SP2'!V399</f>
        <v>0</v>
      </c>
      <c r="AK374" s="403">
        <f>'Portefeuille SP2'!W399</f>
        <v>0</v>
      </c>
      <c r="AL374" s="403">
        <f>'Portefeuille SP2'!X399</f>
        <v>0</v>
      </c>
      <c r="AM374" s="403">
        <f>'Portefeuille SP2'!Y399</f>
        <v>0</v>
      </c>
      <c r="AN374" s="403">
        <f>'Portefeuille SP2'!Z399</f>
        <v>0</v>
      </c>
      <c r="AO374" s="403">
        <f>'Portefeuille SP2'!AA399</f>
        <v>0</v>
      </c>
      <c r="AP374" s="403">
        <f>'Portefeuille SP2'!AB399</f>
        <v>0</v>
      </c>
      <c r="AQ374" s="403">
        <f>'Portefeuille SP2'!AC399</f>
        <v>0</v>
      </c>
      <c r="AR374" s="403">
        <f>'Portefeuille SP2'!AD399</f>
        <v>0</v>
      </c>
      <c r="AS374" s="403">
        <f>'Portefeuille SP2'!AE399</f>
        <v>0</v>
      </c>
      <c r="AT374" s="403">
        <f>'Portefeuille SP2'!AF399</f>
        <v>0</v>
      </c>
      <c r="AU374" s="403">
        <f>'Portefeuille SP2'!AG399</f>
        <v>0</v>
      </c>
      <c r="AV374" s="403">
        <f>'Portefeuille SP2'!AH399</f>
        <v>0</v>
      </c>
      <c r="AW374" s="403">
        <f>'Portefeuille SP2'!AI399</f>
        <v>0</v>
      </c>
      <c r="AX374" s="403">
        <f>'Portefeuille SP2'!AJ399</f>
        <v>0</v>
      </c>
      <c r="AY374" s="403">
        <f>'Portefeuille SP2'!AK399</f>
        <v>0</v>
      </c>
      <c r="AZ374" s="403">
        <f>'Portefeuille SP2'!AL399</f>
        <v>0</v>
      </c>
      <c r="BA374" s="403">
        <f>'Portefeuille SP2'!AM399</f>
        <v>0</v>
      </c>
      <c r="BB374" s="403">
        <f>'Portefeuille SP2'!AN399</f>
        <v>0</v>
      </c>
      <c r="BC374" s="403">
        <f>'Portefeuille SP2'!AO399</f>
        <v>0</v>
      </c>
      <c r="BD374" s="403">
        <f>'Portefeuille SP2'!AP399</f>
        <v>0</v>
      </c>
      <c r="BE374" s="403">
        <f>'Portefeuille SP2'!AQ399</f>
        <v>0</v>
      </c>
      <c r="BF374" s="403">
        <f>'Portefeuille SP2'!AR399</f>
        <v>0</v>
      </c>
      <c r="BG374" s="403" t="e">
        <f>'Portefeuille SP2'!#REF!</f>
        <v>#REF!</v>
      </c>
      <c r="BH374" s="403" t="e">
        <f>'Portefeuille SP2'!#REF!</f>
        <v>#REF!</v>
      </c>
      <c r="BI374" s="403" t="e">
        <f>'Portefeuille SP2'!#REF!</f>
        <v>#REF!</v>
      </c>
      <c r="BJ374" s="403" t="e">
        <f>'Portefeuille SP2'!#REF!</f>
        <v>#REF!</v>
      </c>
      <c r="BK374" s="403" t="e">
        <f>'Portefeuille SP2'!#REF!</f>
        <v>#REF!</v>
      </c>
      <c r="BL374" s="388"/>
      <c r="BM374" s="404">
        <f>'Portefeuille SP2'!L399</f>
        <v>0</v>
      </c>
    </row>
    <row r="375" spans="1:65" ht="15" customHeight="1">
      <c r="A375" s="383">
        <f>'Portefeuille SP2'!B400</f>
        <v>0</v>
      </c>
      <c r="B375" s="390">
        <f>'Portefeuille SP2'!Q400</f>
        <v>0</v>
      </c>
      <c r="C375" s="384"/>
      <c r="D375" s="382">
        <f>'Portefeuille SP2'!E400</f>
        <v>0</v>
      </c>
      <c r="E375" s="382" t="str">
        <f t="shared" si="31"/>
        <v>0</v>
      </c>
      <c r="F375" s="382" t="str">
        <f t="shared" si="32"/>
        <v/>
      </c>
      <c r="G375" s="382">
        <f>'Portefeuille SP2'!C400</f>
        <v>0</v>
      </c>
      <c r="H375" s="382">
        <f>'Portefeuille SP2'!F400</f>
        <v>0</v>
      </c>
      <c r="I375" s="382"/>
      <c r="J375" s="382">
        <f>'Portefeuille SP2'!D400</f>
        <v>0</v>
      </c>
      <c r="K375" s="385">
        <f>'Portefeuille SP2'!H400</f>
        <v>0</v>
      </c>
      <c r="L375" s="157">
        <f>'Portefeuille SP2'!U400</f>
        <v>0</v>
      </c>
      <c r="M375" s="386"/>
      <c r="N375" s="386"/>
      <c r="O375" s="386"/>
      <c r="P375" s="387">
        <f>'Portefeuille SP2'!M400</f>
        <v>0</v>
      </c>
      <c r="Q375" s="387"/>
      <c r="R375" s="387">
        <f>'Portefeuille SP2'!N400</f>
        <v>0</v>
      </c>
      <c r="S375" s="387"/>
      <c r="T375" s="382">
        <f>'Portefeuille SP2'!R400</f>
        <v>0</v>
      </c>
      <c r="U375" s="387">
        <f>'Portefeuille SP2'!K400</f>
        <v>0</v>
      </c>
      <c r="V375" s="399">
        <f>'Portefeuille SP2'!S400</f>
        <v>0</v>
      </c>
      <c r="W375" s="387"/>
      <c r="X375" s="387"/>
      <c r="Y375" s="387"/>
      <c r="Z375" s="387"/>
      <c r="AA375" s="387"/>
      <c r="AB375" s="387"/>
      <c r="AC375" s="387"/>
      <c r="AD375" s="387"/>
      <c r="AE375" s="400">
        <f>'Portefeuille SP2'!J400</f>
        <v>0</v>
      </c>
      <c r="AF375" s="387"/>
      <c r="AG375" s="387"/>
      <c r="AH375" s="389"/>
      <c r="AI375" s="389"/>
      <c r="AJ375" s="403">
        <f>'Portefeuille SP2'!V400</f>
        <v>0</v>
      </c>
      <c r="AK375" s="403">
        <f>'Portefeuille SP2'!W400</f>
        <v>0</v>
      </c>
      <c r="AL375" s="403">
        <f>'Portefeuille SP2'!X400</f>
        <v>0</v>
      </c>
      <c r="AM375" s="403">
        <f>'Portefeuille SP2'!Y400</f>
        <v>0</v>
      </c>
      <c r="AN375" s="403">
        <f>'Portefeuille SP2'!Z400</f>
        <v>0</v>
      </c>
      <c r="AO375" s="403">
        <f>'Portefeuille SP2'!AA400</f>
        <v>0</v>
      </c>
      <c r="AP375" s="403">
        <f>'Portefeuille SP2'!AB400</f>
        <v>0</v>
      </c>
      <c r="AQ375" s="403">
        <f>'Portefeuille SP2'!AC400</f>
        <v>0</v>
      </c>
      <c r="AR375" s="403">
        <f>'Portefeuille SP2'!AD400</f>
        <v>0</v>
      </c>
      <c r="AS375" s="403">
        <f>'Portefeuille SP2'!AE400</f>
        <v>0</v>
      </c>
      <c r="AT375" s="403">
        <f>'Portefeuille SP2'!AF400</f>
        <v>0</v>
      </c>
      <c r="AU375" s="403">
        <f>'Portefeuille SP2'!AG400</f>
        <v>0</v>
      </c>
      <c r="AV375" s="403">
        <f>'Portefeuille SP2'!AH400</f>
        <v>0</v>
      </c>
      <c r="AW375" s="403">
        <f>'Portefeuille SP2'!AI400</f>
        <v>0</v>
      </c>
      <c r="AX375" s="403">
        <f>'Portefeuille SP2'!AJ400</f>
        <v>0</v>
      </c>
      <c r="AY375" s="403">
        <f>'Portefeuille SP2'!AK400</f>
        <v>0</v>
      </c>
      <c r="AZ375" s="403">
        <f>'Portefeuille SP2'!AL400</f>
        <v>0</v>
      </c>
      <c r="BA375" s="403">
        <f>'Portefeuille SP2'!AM400</f>
        <v>0</v>
      </c>
      <c r="BB375" s="403">
        <f>'Portefeuille SP2'!AN400</f>
        <v>0</v>
      </c>
      <c r="BC375" s="403">
        <f>'Portefeuille SP2'!AO400</f>
        <v>0</v>
      </c>
      <c r="BD375" s="403">
        <f>'Portefeuille SP2'!AP400</f>
        <v>0</v>
      </c>
      <c r="BE375" s="403">
        <f>'Portefeuille SP2'!AQ400</f>
        <v>0</v>
      </c>
      <c r="BF375" s="403">
        <f>'Portefeuille SP2'!AR400</f>
        <v>0</v>
      </c>
      <c r="BG375" s="403" t="e">
        <f>'Portefeuille SP2'!#REF!</f>
        <v>#REF!</v>
      </c>
      <c r="BH375" s="403" t="e">
        <f>'Portefeuille SP2'!#REF!</f>
        <v>#REF!</v>
      </c>
      <c r="BI375" s="403" t="e">
        <f>'Portefeuille SP2'!#REF!</f>
        <v>#REF!</v>
      </c>
      <c r="BJ375" s="403" t="e">
        <f>'Portefeuille SP2'!#REF!</f>
        <v>#REF!</v>
      </c>
      <c r="BK375" s="403" t="e">
        <f>'Portefeuille SP2'!#REF!</f>
        <v>#REF!</v>
      </c>
      <c r="BL375" s="388"/>
      <c r="BM375" s="404">
        <f>'Portefeuille SP2'!L400</f>
        <v>0</v>
      </c>
    </row>
    <row r="376" spans="1:65" ht="15" customHeight="1">
      <c r="A376" s="383">
        <f>'Portefeuille SP2'!B401</f>
        <v>0</v>
      </c>
      <c r="B376" s="390">
        <f>'Portefeuille SP2'!Q401</f>
        <v>0</v>
      </c>
      <c r="C376" s="384"/>
      <c r="D376" s="382">
        <f>'Portefeuille SP2'!E401</f>
        <v>0</v>
      </c>
      <c r="E376" s="382" t="str">
        <f t="shared" si="31"/>
        <v>0</v>
      </c>
      <c r="F376" s="382" t="str">
        <f t="shared" si="32"/>
        <v/>
      </c>
      <c r="G376" s="382">
        <f>'Portefeuille SP2'!C401</f>
        <v>0</v>
      </c>
      <c r="H376" s="382">
        <f>'Portefeuille SP2'!F401</f>
        <v>0</v>
      </c>
      <c r="I376" s="382"/>
      <c r="J376" s="382">
        <f>'Portefeuille SP2'!D401</f>
        <v>0</v>
      </c>
      <c r="K376" s="385">
        <f>'Portefeuille SP2'!H401</f>
        <v>0</v>
      </c>
      <c r="L376" s="157">
        <f>'Portefeuille SP2'!U401</f>
        <v>0</v>
      </c>
      <c r="M376" s="386"/>
      <c r="N376" s="386"/>
      <c r="O376" s="386"/>
      <c r="P376" s="387">
        <f>'Portefeuille SP2'!M401</f>
        <v>0</v>
      </c>
      <c r="Q376" s="387"/>
      <c r="R376" s="387">
        <f>'Portefeuille SP2'!N401</f>
        <v>0</v>
      </c>
      <c r="S376" s="387"/>
      <c r="T376" s="382">
        <f>'Portefeuille SP2'!R401</f>
        <v>0</v>
      </c>
      <c r="U376" s="387">
        <f>'Portefeuille SP2'!K401</f>
        <v>0</v>
      </c>
      <c r="V376" s="399">
        <f>'Portefeuille SP2'!S401</f>
        <v>0</v>
      </c>
      <c r="W376" s="387"/>
      <c r="X376" s="387"/>
      <c r="Y376" s="387"/>
      <c r="Z376" s="387"/>
      <c r="AA376" s="387"/>
      <c r="AB376" s="387"/>
      <c r="AC376" s="387"/>
      <c r="AD376" s="387"/>
      <c r="AE376" s="400">
        <f>'Portefeuille SP2'!J401</f>
        <v>0</v>
      </c>
      <c r="AF376" s="387"/>
      <c r="AG376" s="387"/>
      <c r="AH376" s="389"/>
      <c r="AI376" s="389"/>
      <c r="AJ376" s="403">
        <f>'Portefeuille SP2'!V401</f>
        <v>0</v>
      </c>
      <c r="AK376" s="403">
        <f>'Portefeuille SP2'!W401</f>
        <v>0</v>
      </c>
      <c r="AL376" s="403">
        <f>'Portefeuille SP2'!X401</f>
        <v>0</v>
      </c>
      <c r="AM376" s="403">
        <f>'Portefeuille SP2'!Y401</f>
        <v>0</v>
      </c>
      <c r="AN376" s="403">
        <f>'Portefeuille SP2'!Z401</f>
        <v>0</v>
      </c>
      <c r="AO376" s="403">
        <f>'Portefeuille SP2'!AA401</f>
        <v>0</v>
      </c>
      <c r="AP376" s="403">
        <f>'Portefeuille SP2'!AB401</f>
        <v>0</v>
      </c>
      <c r="AQ376" s="403">
        <f>'Portefeuille SP2'!AC401</f>
        <v>0</v>
      </c>
      <c r="AR376" s="403">
        <f>'Portefeuille SP2'!AD401</f>
        <v>0</v>
      </c>
      <c r="AS376" s="403">
        <f>'Portefeuille SP2'!AE401</f>
        <v>0</v>
      </c>
      <c r="AT376" s="403">
        <f>'Portefeuille SP2'!AF401</f>
        <v>0</v>
      </c>
      <c r="AU376" s="403">
        <f>'Portefeuille SP2'!AG401</f>
        <v>0</v>
      </c>
      <c r="AV376" s="403">
        <f>'Portefeuille SP2'!AH401</f>
        <v>0</v>
      </c>
      <c r="AW376" s="403">
        <f>'Portefeuille SP2'!AI401</f>
        <v>0</v>
      </c>
      <c r="AX376" s="403">
        <f>'Portefeuille SP2'!AJ401</f>
        <v>0</v>
      </c>
      <c r="AY376" s="403">
        <f>'Portefeuille SP2'!AK401</f>
        <v>0</v>
      </c>
      <c r="AZ376" s="403">
        <f>'Portefeuille SP2'!AL401</f>
        <v>0</v>
      </c>
      <c r="BA376" s="403">
        <f>'Portefeuille SP2'!AM401</f>
        <v>0</v>
      </c>
      <c r="BB376" s="403">
        <f>'Portefeuille SP2'!AN401</f>
        <v>0</v>
      </c>
      <c r="BC376" s="403">
        <f>'Portefeuille SP2'!AO401</f>
        <v>0</v>
      </c>
      <c r="BD376" s="403">
        <f>'Portefeuille SP2'!AP401</f>
        <v>0</v>
      </c>
      <c r="BE376" s="403">
        <f>'Portefeuille SP2'!AQ401</f>
        <v>0</v>
      </c>
      <c r="BF376" s="403">
        <f>'Portefeuille SP2'!AR401</f>
        <v>0</v>
      </c>
      <c r="BG376" s="403" t="e">
        <f>'Portefeuille SP2'!#REF!</f>
        <v>#REF!</v>
      </c>
      <c r="BH376" s="403" t="e">
        <f>'Portefeuille SP2'!#REF!</f>
        <v>#REF!</v>
      </c>
      <c r="BI376" s="403" t="e">
        <f>'Portefeuille SP2'!#REF!</f>
        <v>#REF!</v>
      </c>
      <c r="BJ376" s="403" t="e">
        <f>'Portefeuille SP2'!#REF!</f>
        <v>#REF!</v>
      </c>
      <c r="BK376" s="403" t="e">
        <f>'Portefeuille SP2'!#REF!</f>
        <v>#REF!</v>
      </c>
      <c r="BL376" s="388"/>
      <c r="BM376" s="404">
        <f>'Portefeuille SP2'!L401</f>
        <v>0</v>
      </c>
    </row>
    <row r="377" spans="1:65" ht="15" customHeight="1">
      <c r="A377" s="383">
        <f>'Portefeuille SP2'!B402</f>
        <v>0</v>
      </c>
      <c r="B377" s="390">
        <f>'Portefeuille SP2'!Q402</f>
        <v>0</v>
      </c>
      <c r="C377" s="384"/>
      <c r="D377" s="382">
        <f>'Portefeuille SP2'!E402</f>
        <v>0</v>
      </c>
      <c r="E377" s="382" t="str">
        <f t="shared" si="31"/>
        <v>0</v>
      </c>
      <c r="F377" s="382" t="str">
        <f t="shared" si="32"/>
        <v/>
      </c>
      <c r="G377" s="382">
        <f>'Portefeuille SP2'!C402</f>
        <v>0</v>
      </c>
      <c r="H377" s="382">
        <f>'Portefeuille SP2'!F402</f>
        <v>0</v>
      </c>
      <c r="I377" s="382"/>
      <c r="J377" s="382">
        <f>'Portefeuille SP2'!D402</f>
        <v>0</v>
      </c>
      <c r="K377" s="385">
        <f>'Portefeuille SP2'!H402</f>
        <v>0</v>
      </c>
      <c r="L377" s="157">
        <f>'Portefeuille SP2'!U402</f>
        <v>0</v>
      </c>
      <c r="M377" s="386"/>
      <c r="N377" s="386"/>
      <c r="O377" s="386"/>
      <c r="P377" s="387">
        <f>'Portefeuille SP2'!M402</f>
        <v>0</v>
      </c>
      <c r="Q377" s="387"/>
      <c r="R377" s="387">
        <f>'Portefeuille SP2'!N402</f>
        <v>0</v>
      </c>
      <c r="S377" s="387"/>
      <c r="T377" s="382">
        <f>'Portefeuille SP2'!R402</f>
        <v>0</v>
      </c>
      <c r="U377" s="387">
        <f>'Portefeuille SP2'!K402</f>
        <v>0</v>
      </c>
      <c r="V377" s="399">
        <f>'Portefeuille SP2'!S402</f>
        <v>0</v>
      </c>
      <c r="W377" s="387"/>
      <c r="X377" s="387"/>
      <c r="Y377" s="387"/>
      <c r="Z377" s="387"/>
      <c r="AA377" s="387"/>
      <c r="AB377" s="387"/>
      <c r="AC377" s="387"/>
      <c r="AD377" s="387"/>
      <c r="AE377" s="400">
        <f>'Portefeuille SP2'!J402</f>
        <v>0</v>
      </c>
      <c r="AF377" s="387"/>
      <c r="AG377" s="387"/>
      <c r="AH377" s="389"/>
      <c r="AI377" s="389"/>
      <c r="AJ377" s="403">
        <f>'Portefeuille SP2'!V402</f>
        <v>0</v>
      </c>
      <c r="AK377" s="403">
        <f>'Portefeuille SP2'!W402</f>
        <v>0</v>
      </c>
      <c r="AL377" s="403">
        <f>'Portefeuille SP2'!X402</f>
        <v>0</v>
      </c>
      <c r="AM377" s="403">
        <f>'Portefeuille SP2'!Y402</f>
        <v>0</v>
      </c>
      <c r="AN377" s="403">
        <f>'Portefeuille SP2'!Z402</f>
        <v>0</v>
      </c>
      <c r="AO377" s="403">
        <f>'Portefeuille SP2'!AA402</f>
        <v>0</v>
      </c>
      <c r="AP377" s="403">
        <f>'Portefeuille SP2'!AB402</f>
        <v>0</v>
      </c>
      <c r="AQ377" s="403">
        <f>'Portefeuille SP2'!AC402</f>
        <v>0</v>
      </c>
      <c r="AR377" s="403">
        <f>'Portefeuille SP2'!AD402</f>
        <v>0</v>
      </c>
      <c r="AS377" s="403">
        <f>'Portefeuille SP2'!AE402</f>
        <v>0</v>
      </c>
      <c r="AT377" s="403">
        <f>'Portefeuille SP2'!AF402</f>
        <v>0</v>
      </c>
      <c r="AU377" s="403">
        <f>'Portefeuille SP2'!AG402</f>
        <v>0</v>
      </c>
      <c r="AV377" s="403">
        <f>'Portefeuille SP2'!AH402</f>
        <v>0</v>
      </c>
      <c r="AW377" s="403">
        <f>'Portefeuille SP2'!AI402</f>
        <v>0</v>
      </c>
      <c r="AX377" s="403">
        <f>'Portefeuille SP2'!AJ402</f>
        <v>0</v>
      </c>
      <c r="AY377" s="403">
        <f>'Portefeuille SP2'!AK402</f>
        <v>0</v>
      </c>
      <c r="AZ377" s="403">
        <f>'Portefeuille SP2'!AL402</f>
        <v>0</v>
      </c>
      <c r="BA377" s="403">
        <f>'Portefeuille SP2'!AM402</f>
        <v>0</v>
      </c>
      <c r="BB377" s="403">
        <f>'Portefeuille SP2'!AN402</f>
        <v>0</v>
      </c>
      <c r="BC377" s="403">
        <f>'Portefeuille SP2'!AO402</f>
        <v>0</v>
      </c>
      <c r="BD377" s="403">
        <f>'Portefeuille SP2'!AP402</f>
        <v>0</v>
      </c>
      <c r="BE377" s="403">
        <f>'Portefeuille SP2'!AQ402</f>
        <v>0</v>
      </c>
      <c r="BF377" s="403">
        <f>'Portefeuille SP2'!AR402</f>
        <v>0</v>
      </c>
      <c r="BG377" s="403" t="e">
        <f>'Portefeuille SP2'!#REF!</f>
        <v>#REF!</v>
      </c>
      <c r="BH377" s="403" t="e">
        <f>'Portefeuille SP2'!#REF!</f>
        <v>#REF!</v>
      </c>
      <c r="BI377" s="403" t="e">
        <f>'Portefeuille SP2'!#REF!</f>
        <v>#REF!</v>
      </c>
      <c r="BJ377" s="403" t="e">
        <f>'Portefeuille SP2'!#REF!</f>
        <v>#REF!</v>
      </c>
      <c r="BK377" s="403" t="e">
        <f>'Portefeuille SP2'!#REF!</f>
        <v>#REF!</v>
      </c>
      <c r="BL377" s="388"/>
      <c r="BM377" s="404">
        <f>'Portefeuille SP2'!L402</f>
        <v>0</v>
      </c>
    </row>
    <row r="378" spans="1:65" ht="15" customHeight="1">
      <c r="A378" s="383">
        <f>'Portefeuille SP2'!B403</f>
        <v>0</v>
      </c>
      <c r="B378" s="390">
        <f>'Portefeuille SP2'!Q403</f>
        <v>0</v>
      </c>
      <c r="C378" s="384"/>
      <c r="D378" s="382">
        <f>'Portefeuille SP2'!E403</f>
        <v>0</v>
      </c>
      <c r="E378" s="382" t="str">
        <f t="shared" si="31"/>
        <v>0</v>
      </c>
      <c r="F378" s="382" t="str">
        <f t="shared" si="32"/>
        <v/>
      </c>
      <c r="G378" s="382">
        <f>'Portefeuille SP2'!C403</f>
        <v>0</v>
      </c>
      <c r="H378" s="382">
        <f>'Portefeuille SP2'!F403</f>
        <v>0</v>
      </c>
      <c r="I378" s="382"/>
      <c r="J378" s="382">
        <f>'Portefeuille SP2'!D403</f>
        <v>0</v>
      </c>
      <c r="K378" s="385">
        <f>'Portefeuille SP2'!H403</f>
        <v>0</v>
      </c>
      <c r="L378" s="157">
        <f>'Portefeuille SP2'!U403</f>
        <v>0</v>
      </c>
      <c r="M378" s="386"/>
      <c r="N378" s="386"/>
      <c r="O378" s="386"/>
      <c r="P378" s="387">
        <f>'Portefeuille SP2'!M403</f>
        <v>0</v>
      </c>
      <c r="Q378" s="387"/>
      <c r="R378" s="387">
        <f>'Portefeuille SP2'!N403</f>
        <v>0</v>
      </c>
      <c r="S378" s="387"/>
      <c r="T378" s="382">
        <f>'Portefeuille SP2'!R403</f>
        <v>0</v>
      </c>
      <c r="U378" s="387">
        <f>'Portefeuille SP2'!K403</f>
        <v>0</v>
      </c>
      <c r="V378" s="399">
        <f>'Portefeuille SP2'!S403</f>
        <v>0</v>
      </c>
      <c r="W378" s="387"/>
      <c r="X378" s="387"/>
      <c r="Y378" s="387"/>
      <c r="Z378" s="387"/>
      <c r="AA378" s="387"/>
      <c r="AB378" s="387"/>
      <c r="AC378" s="387"/>
      <c r="AD378" s="387"/>
      <c r="AE378" s="400">
        <f>'Portefeuille SP2'!J403</f>
        <v>0</v>
      </c>
      <c r="AF378" s="387"/>
      <c r="AG378" s="387"/>
      <c r="AH378" s="389"/>
      <c r="AI378" s="389"/>
      <c r="AJ378" s="403">
        <f>'Portefeuille SP2'!V403</f>
        <v>0</v>
      </c>
      <c r="AK378" s="403">
        <f>'Portefeuille SP2'!W403</f>
        <v>0</v>
      </c>
      <c r="AL378" s="403">
        <f>'Portefeuille SP2'!X403</f>
        <v>0</v>
      </c>
      <c r="AM378" s="403">
        <f>'Portefeuille SP2'!Y403</f>
        <v>0</v>
      </c>
      <c r="AN378" s="403">
        <f>'Portefeuille SP2'!Z403</f>
        <v>0</v>
      </c>
      <c r="AO378" s="403">
        <f>'Portefeuille SP2'!AA403</f>
        <v>0</v>
      </c>
      <c r="AP378" s="403">
        <f>'Portefeuille SP2'!AB403</f>
        <v>0</v>
      </c>
      <c r="AQ378" s="403">
        <f>'Portefeuille SP2'!AC403</f>
        <v>0</v>
      </c>
      <c r="AR378" s="403">
        <f>'Portefeuille SP2'!AD403</f>
        <v>0</v>
      </c>
      <c r="AS378" s="403">
        <f>'Portefeuille SP2'!AE403</f>
        <v>0</v>
      </c>
      <c r="AT378" s="403">
        <f>'Portefeuille SP2'!AF403</f>
        <v>0</v>
      </c>
      <c r="AU378" s="403">
        <f>'Portefeuille SP2'!AG403</f>
        <v>0</v>
      </c>
      <c r="AV378" s="403">
        <f>'Portefeuille SP2'!AH403</f>
        <v>0</v>
      </c>
      <c r="AW378" s="403">
        <f>'Portefeuille SP2'!AI403</f>
        <v>0</v>
      </c>
      <c r="AX378" s="403">
        <f>'Portefeuille SP2'!AJ403</f>
        <v>0</v>
      </c>
      <c r="AY378" s="403">
        <f>'Portefeuille SP2'!AK403</f>
        <v>0</v>
      </c>
      <c r="AZ378" s="403">
        <f>'Portefeuille SP2'!AL403</f>
        <v>0</v>
      </c>
      <c r="BA378" s="403">
        <f>'Portefeuille SP2'!AM403</f>
        <v>0</v>
      </c>
      <c r="BB378" s="403">
        <f>'Portefeuille SP2'!AN403</f>
        <v>0</v>
      </c>
      <c r="BC378" s="403">
        <f>'Portefeuille SP2'!AO403</f>
        <v>0</v>
      </c>
      <c r="BD378" s="403">
        <f>'Portefeuille SP2'!AP403</f>
        <v>0</v>
      </c>
      <c r="BE378" s="403">
        <f>'Portefeuille SP2'!AQ403</f>
        <v>0</v>
      </c>
      <c r="BF378" s="403">
        <f>'Portefeuille SP2'!AR403</f>
        <v>0</v>
      </c>
      <c r="BG378" s="403" t="e">
        <f>'Portefeuille SP2'!#REF!</f>
        <v>#REF!</v>
      </c>
      <c r="BH378" s="403" t="e">
        <f>'Portefeuille SP2'!#REF!</f>
        <v>#REF!</v>
      </c>
      <c r="BI378" s="403" t="e">
        <f>'Portefeuille SP2'!#REF!</f>
        <v>#REF!</v>
      </c>
      <c r="BJ378" s="403" t="e">
        <f>'Portefeuille SP2'!#REF!</f>
        <v>#REF!</v>
      </c>
      <c r="BK378" s="403" t="e">
        <f>'Portefeuille SP2'!#REF!</f>
        <v>#REF!</v>
      </c>
      <c r="BL378" s="388"/>
      <c r="BM378" s="404">
        <f>'Portefeuille SP2'!L403</f>
        <v>0</v>
      </c>
    </row>
    <row r="379" spans="1:65" ht="15" customHeight="1">
      <c r="A379" s="383">
        <f>'Portefeuille SP2'!B404</f>
        <v>0</v>
      </c>
      <c r="B379" s="390">
        <f>'Portefeuille SP2'!Q404</f>
        <v>0</v>
      </c>
      <c r="C379" s="384"/>
      <c r="D379" s="382">
        <f>'Portefeuille SP2'!E404</f>
        <v>0</v>
      </c>
      <c r="E379" s="382" t="str">
        <f t="shared" si="31"/>
        <v>0</v>
      </c>
      <c r="F379" s="382" t="str">
        <f t="shared" si="32"/>
        <v/>
      </c>
      <c r="G379" s="382">
        <f>'Portefeuille SP2'!C404</f>
        <v>0</v>
      </c>
      <c r="H379" s="382">
        <f>'Portefeuille SP2'!F404</f>
        <v>0</v>
      </c>
      <c r="I379" s="382"/>
      <c r="J379" s="382">
        <f>'Portefeuille SP2'!D404</f>
        <v>0</v>
      </c>
      <c r="K379" s="385">
        <f>'Portefeuille SP2'!H404</f>
        <v>0</v>
      </c>
      <c r="L379" s="157">
        <f>'Portefeuille SP2'!U404</f>
        <v>0</v>
      </c>
      <c r="M379" s="386"/>
      <c r="N379" s="386"/>
      <c r="O379" s="386"/>
      <c r="P379" s="387">
        <f>'Portefeuille SP2'!M404</f>
        <v>0</v>
      </c>
      <c r="Q379" s="387"/>
      <c r="R379" s="387">
        <f>'Portefeuille SP2'!N404</f>
        <v>0</v>
      </c>
      <c r="S379" s="387"/>
      <c r="T379" s="382">
        <f>'Portefeuille SP2'!R404</f>
        <v>0</v>
      </c>
      <c r="U379" s="387">
        <f>'Portefeuille SP2'!K404</f>
        <v>0</v>
      </c>
      <c r="V379" s="399">
        <f>'Portefeuille SP2'!S404</f>
        <v>0</v>
      </c>
      <c r="W379" s="387"/>
      <c r="X379" s="387"/>
      <c r="Y379" s="387"/>
      <c r="Z379" s="387"/>
      <c r="AA379" s="387"/>
      <c r="AB379" s="387"/>
      <c r="AC379" s="387"/>
      <c r="AD379" s="387"/>
      <c r="AE379" s="400">
        <f>'Portefeuille SP2'!J404</f>
        <v>0</v>
      </c>
      <c r="AF379" s="387"/>
      <c r="AG379" s="387"/>
      <c r="AH379" s="389"/>
      <c r="AI379" s="389"/>
      <c r="AJ379" s="403">
        <f>'Portefeuille SP2'!V404</f>
        <v>0</v>
      </c>
      <c r="AK379" s="403">
        <f>'Portefeuille SP2'!W404</f>
        <v>0</v>
      </c>
      <c r="AL379" s="403">
        <f>'Portefeuille SP2'!X404</f>
        <v>0</v>
      </c>
      <c r="AM379" s="403">
        <f>'Portefeuille SP2'!Y404</f>
        <v>0</v>
      </c>
      <c r="AN379" s="403">
        <f>'Portefeuille SP2'!Z404</f>
        <v>0</v>
      </c>
      <c r="AO379" s="403">
        <f>'Portefeuille SP2'!AA404</f>
        <v>0</v>
      </c>
      <c r="AP379" s="403">
        <f>'Portefeuille SP2'!AB404</f>
        <v>0</v>
      </c>
      <c r="AQ379" s="403">
        <f>'Portefeuille SP2'!AC404</f>
        <v>0</v>
      </c>
      <c r="AR379" s="403">
        <f>'Portefeuille SP2'!AD404</f>
        <v>0</v>
      </c>
      <c r="AS379" s="403">
        <f>'Portefeuille SP2'!AE404</f>
        <v>0</v>
      </c>
      <c r="AT379" s="403">
        <f>'Portefeuille SP2'!AF404</f>
        <v>0</v>
      </c>
      <c r="AU379" s="403">
        <f>'Portefeuille SP2'!AG404</f>
        <v>0</v>
      </c>
      <c r="AV379" s="403">
        <f>'Portefeuille SP2'!AH404</f>
        <v>0</v>
      </c>
      <c r="AW379" s="403">
        <f>'Portefeuille SP2'!AI404</f>
        <v>0</v>
      </c>
      <c r="AX379" s="403">
        <f>'Portefeuille SP2'!AJ404</f>
        <v>0</v>
      </c>
      <c r="AY379" s="403">
        <f>'Portefeuille SP2'!AK404</f>
        <v>0</v>
      </c>
      <c r="AZ379" s="403">
        <f>'Portefeuille SP2'!AL404</f>
        <v>0</v>
      </c>
      <c r="BA379" s="403">
        <f>'Portefeuille SP2'!AM404</f>
        <v>0</v>
      </c>
      <c r="BB379" s="403">
        <f>'Portefeuille SP2'!AN404</f>
        <v>0</v>
      </c>
      <c r="BC379" s="403">
        <f>'Portefeuille SP2'!AO404</f>
        <v>0</v>
      </c>
      <c r="BD379" s="403">
        <f>'Portefeuille SP2'!AP404</f>
        <v>0</v>
      </c>
      <c r="BE379" s="403">
        <f>'Portefeuille SP2'!AQ404</f>
        <v>0</v>
      </c>
      <c r="BF379" s="403">
        <f>'Portefeuille SP2'!AR404</f>
        <v>0</v>
      </c>
      <c r="BG379" s="403" t="e">
        <f>'Portefeuille SP2'!#REF!</f>
        <v>#REF!</v>
      </c>
      <c r="BH379" s="403" t="e">
        <f>'Portefeuille SP2'!#REF!</f>
        <v>#REF!</v>
      </c>
      <c r="BI379" s="403" t="e">
        <f>'Portefeuille SP2'!#REF!</f>
        <v>#REF!</v>
      </c>
      <c r="BJ379" s="403" t="e">
        <f>'Portefeuille SP2'!#REF!</f>
        <v>#REF!</v>
      </c>
      <c r="BK379" s="403" t="e">
        <f>'Portefeuille SP2'!#REF!</f>
        <v>#REF!</v>
      </c>
      <c r="BL379" s="388"/>
      <c r="BM379" s="404">
        <f>'Portefeuille SP2'!L404</f>
        <v>0</v>
      </c>
    </row>
    <row r="380" spans="1:65" ht="15" customHeight="1">
      <c r="A380" s="383">
        <f>'Portefeuille SP2'!B405</f>
        <v>0</v>
      </c>
      <c r="B380" s="390">
        <f>'Portefeuille SP2'!Q405</f>
        <v>0</v>
      </c>
      <c r="C380" s="384"/>
      <c r="D380" s="382">
        <f>'Portefeuille SP2'!E405</f>
        <v>0</v>
      </c>
      <c r="E380" s="382" t="str">
        <f t="shared" si="31"/>
        <v>0</v>
      </c>
      <c r="F380" s="382" t="str">
        <f t="shared" si="32"/>
        <v/>
      </c>
      <c r="G380" s="382">
        <f>'Portefeuille SP2'!C405</f>
        <v>0</v>
      </c>
      <c r="H380" s="382">
        <f>'Portefeuille SP2'!F405</f>
        <v>0</v>
      </c>
      <c r="I380" s="382"/>
      <c r="J380" s="382">
        <f>'Portefeuille SP2'!D405</f>
        <v>0</v>
      </c>
      <c r="K380" s="385">
        <f>'Portefeuille SP2'!H405</f>
        <v>0</v>
      </c>
      <c r="L380" s="157">
        <f>'Portefeuille SP2'!U405</f>
        <v>0</v>
      </c>
      <c r="M380" s="386"/>
      <c r="N380" s="386"/>
      <c r="O380" s="386"/>
      <c r="P380" s="387">
        <f>'Portefeuille SP2'!M405</f>
        <v>0</v>
      </c>
      <c r="Q380" s="387"/>
      <c r="R380" s="387">
        <f>'Portefeuille SP2'!N405</f>
        <v>0</v>
      </c>
      <c r="S380" s="387"/>
      <c r="T380" s="382">
        <f>'Portefeuille SP2'!R405</f>
        <v>0</v>
      </c>
      <c r="U380" s="387">
        <f>'Portefeuille SP2'!K405</f>
        <v>0</v>
      </c>
      <c r="V380" s="399">
        <f>'Portefeuille SP2'!S405</f>
        <v>0</v>
      </c>
      <c r="W380" s="387"/>
      <c r="X380" s="387"/>
      <c r="Y380" s="387"/>
      <c r="Z380" s="387"/>
      <c r="AA380" s="387"/>
      <c r="AB380" s="387"/>
      <c r="AC380" s="387"/>
      <c r="AD380" s="387"/>
      <c r="AE380" s="400">
        <f>'Portefeuille SP2'!J405</f>
        <v>0</v>
      </c>
      <c r="AF380" s="387"/>
      <c r="AG380" s="387"/>
      <c r="AH380" s="389"/>
      <c r="AI380" s="389"/>
      <c r="AJ380" s="403">
        <f>'Portefeuille SP2'!V405</f>
        <v>0</v>
      </c>
      <c r="AK380" s="403">
        <f>'Portefeuille SP2'!W405</f>
        <v>0</v>
      </c>
      <c r="AL380" s="403">
        <f>'Portefeuille SP2'!X405</f>
        <v>0</v>
      </c>
      <c r="AM380" s="403">
        <f>'Portefeuille SP2'!Y405</f>
        <v>0</v>
      </c>
      <c r="AN380" s="403">
        <f>'Portefeuille SP2'!Z405</f>
        <v>0</v>
      </c>
      <c r="AO380" s="403">
        <f>'Portefeuille SP2'!AA405</f>
        <v>0</v>
      </c>
      <c r="AP380" s="403">
        <f>'Portefeuille SP2'!AB405</f>
        <v>0</v>
      </c>
      <c r="AQ380" s="403">
        <f>'Portefeuille SP2'!AC405</f>
        <v>0</v>
      </c>
      <c r="AR380" s="403">
        <f>'Portefeuille SP2'!AD405</f>
        <v>0</v>
      </c>
      <c r="AS380" s="403">
        <f>'Portefeuille SP2'!AE405</f>
        <v>0</v>
      </c>
      <c r="AT380" s="403">
        <f>'Portefeuille SP2'!AF405</f>
        <v>0</v>
      </c>
      <c r="AU380" s="403">
        <f>'Portefeuille SP2'!AG405</f>
        <v>0</v>
      </c>
      <c r="AV380" s="403">
        <f>'Portefeuille SP2'!AH405</f>
        <v>0</v>
      </c>
      <c r="AW380" s="403">
        <f>'Portefeuille SP2'!AI405</f>
        <v>0</v>
      </c>
      <c r="AX380" s="403">
        <f>'Portefeuille SP2'!AJ405</f>
        <v>0</v>
      </c>
      <c r="AY380" s="403">
        <f>'Portefeuille SP2'!AK405</f>
        <v>0</v>
      </c>
      <c r="AZ380" s="403">
        <f>'Portefeuille SP2'!AL405</f>
        <v>0</v>
      </c>
      <c r="BA380" s="403">
        <f>'Portefeuille SP2'!AM405</f>
        <v>0</v>
      </c>
      <c r="BB380" s="403">
        <f>'Portefeuille SP2'!AN405</f>
        <v>0</v>
      </c>
      <c r="BC380" s="403">
        <f>'Portefeuille SP2'!AO405</f>
        <v>0</v>
      </c>
      <c r="BD380" s="403">
        <f>'Portefeuille SP2'!AP405</f>
        <v>0</v>
      </c>
      <c r="BE380" s="403">
        <f>'Portefeuille SP2'!AQ405</f>
        <v>0</v>
      </c>
      <c r="BF380" s="403">
        <f>'Portefeuille SP2'!AR405</f>
        <v>0</v>
      </c>
      <c r="BG380" s="403" t="e">
        <f>'Portefeuille SP2'!#REF!</f>
        <v>#REF!</v>
      </c>
      <c r="BH380" s="403" t="e">
        <f>'Portefeuille SP2'!#REF!</f>
        <v>#REF!</v>
      </c>
      <c r="BI380" s="403" t="e">
        <f>'Portefeuille SP2'!#REF!</f>
        <v>#REF!</v>
      </c>
      <c r="BJ380" s="403" t="e">
        <f>'Portefeuille SP2'!#REF!</f>
        <v>#REF!</v>
      </c>
      <c r="BK380" s="403" t="e">
        <f>'Portefeuille SP2'!#REF!</f>
        <v>#REF!</v>
      </c>
      <c r="BL380" s="388"/>
      <c r="BM380" s="404">
        <f>'Portefeuille SP2'!L405</f>
        <v>0</v>
      </c>
    </row>
    <row r="381" spans="1:65" ht="15" customHeight="1">
      <c r="A381" s="383">
        <f>'Portefeuille SP2'!B406</f>
        <v>0</v>
      </c>
      <c r="B381" s="390">
        <f>'Portefeuille SP2'!Q406</f>
        <v>0</v>
      </c>
      <c r="C381" s="384"/>
      <c r="D381" s="382">
        <f>'Portefeuille SP2'!E406</f>
        <v>0</v>
      </c>
      <c r="E381" s="382" t="str">
        <f t="shared" si="31"/>
        <v>0</v>
      </c>
      <c r="F381" s="382" t="str">
        <f t="shared" si="32"/>
        <v/>
      </c>
      <c r="G381" s="382">
        <f>'Portefeuille SP2'!C406</f>
        <v>0</v>
      </c>
      <c r="H381" s="382">
        <f>'Portefeuille SP2'!F406</f>
        <v>0</v>
      </c>
      <c r="I381" s="382"/>
      <c r="J381" s="382">
        <f>'Portefeuille SP2'!D406</f>
        <v>0</v>
      </c>
      <c r="K381" s="385">
        <f>'Portefeuille SP2'!H406</f>
        <v>0</v>
      </c>
      <c r="L381" s="157">
        <f>'Portefeuille SP2'!U406</f>
        <v>0</v>
      </c>
      <c r="M381" s="386"/>
      <c r="N381" s="386"/>
      <c r="O381" s="386"/>
      <c r="P381" s="387">
        <f>'Portefeuille SP2'!M406</f>
        <v>0</v>
      </c>
      <c r="Q381" s="387"/>
      <c r="R381" s="387">
        <f>'Portefeuille SP2'!N406</f>
        <v>0</v>
      </c>
      <c r="S381" s="387"/>
      <c r="T381" s="382">
        <f>'Portefeuille SP2'!R406</f>
        <v>0</v>
      </c>
      <c r="U381" s="387">
        <f>'Portefeuille SP2'!K406</f>
        <v>0</v>
      </c>
      <c r="V381" s="399">
        <f>'Portefeuille SP2'!S406</f>
        <v>0</v>
      </c>
      <c r="W381" s="387"/>
      <c r="X381" s="387"/>
      <c r="Y381" s="387"/>
      <c r="Z381" s="387"/>
      <c r="AA381" s="387"/>
      <c r="AB381" s="387"/>
      <c r="AC381" s="387"/>
      <c r="AD381" s="387"/>
      <c r="AE381" s="400">
        <f>'Portefeuille SP2'!J406</f>
        <v>0</v>
      </c>
      <c r="AF381" s="387"/>
      <c r="AG381" s="387"/>
      <c r="AH381" s="389"/>
      <c r="AI381" s="389"/>
      <c r="AJ381" s="403">
        <f>'Portefeuille SP2'!V406</f>
        <v>0</v>
      </c>
      <c r="AK381" s="403">
        <f>'Portefeuille SP2'!W406</f>
        <v>0</v>
      </c>
      <c r="AL381" s="403">
        <f>'Portefeuille SP2'!X406</f>
        <v>0</v>
      </c>
      <c r="AM381" s="403">
        <f>'Portefeuille SP2'!Y406</f>
        <v>0</v>
      </c>
      <c r="AN381" s="403">
        <f>'Portefeuille SP2'!Z406</f>
        <v>0</v>
      </c>
      <c r="AO381" s="403">
        <f>'Portefeuille SP2'!AA406</f>
        <v>0</v>
      </c>
      <c r="AP381" s="403">
        <f>'Portefeuille SP2'!AB406</f>
        <v>0</v>
      </c>
      <c r="AQ381" s="403">
        <f>'Portefeuille SP2'!AC406</f>
        <v>0</v>
      </c>
      <c r="AR381" s="403">
        <f>'Portefeuille SP2'!AD406</f>
        <v>0</v>
      </c>
      <c r="AS381" s="403">
        <f>'Portefeuille SP2'!AE406</f>
        <v>0</v>
      </c>
      <c r="AT381" s="403">
        <f>'Portefeuille SP2'!AF406</f>
        <v>0</v>
      </c>
      <c r="AU381" s="403">
        <f>'Portefeuille SP2'!AG406</f>
        <v>0</v>
      </c>
      <c r="AV381" s="403">
        <f>'Portefeuille SP2'!AH406</f>
        <v>0</v>
      </c>
      <c r="AW381" s="403">
        <f>'Portefeuille SP2'!AI406</f>
        <v>0</v>
      </c>
      <c r="AX381" s="403">
        <f>'Portefeuille SP2'!AJ406</f>
        <v>0</v>
      </c>
      <c r="AY381" s="403">
        <f>'Portefeuille SP2'!AK406</f>
        <v>0</v>
      </c>
      <c r="AZ381" s="403">
        <f>'Portefeuille SP2'!AL406</f>
        <v>0</v>
      </c>
      <c r="BA381" s="403">
        <f>'Portefeuille SP2'!AM406</f>
        <v>0</v>
      </c>
      <c r="BB381" s="403">
        <f>'Portefeuille SP2'!AN406</f>
        <v>0</v>
      </c>
      <c r="BC381" s="403">
        <f>'Portefeuille SP2'!AO406</f>
        <v>0</v>
      </c>
      <c r="BD381" s="403">
        <f>'Portefeuille SP2'!AP406</f>
        <v>0</v>
      </c>
      <c r="BE381" s="403">
        <f>'Portefeuille SP2'!AQ406</f>
        <v>0</v>
      </c>
      <c r="BF381" s="403">
        <f>'Portefeuille SP2'!AR406</f>
        <v>0</v>
      </c>
      <c r="BG381" s="403" t="e">
        <f>'Portefeuille SP2'!#REF!</f>
        <v>#REF!</v>
      </c>
      <c r="BH381" s="403" t="e">
        <f>'Portefeuille SP2'!#REF!</f>
        <v>#REF!</v>
      </c>
      <c r="BI381" s="403" t="e">
        <f>'Portefeuille SP2'!#REF!</f>
        <v>#REF!</v>
      </c>
      <c r="BJ381" s="403" t="e">
        <f>'Portefeuille SP2'!#REF!</f>
        <v>#REF!</v>
      </c>
      <c r="BK381" s="403" t="e">
        <f>'Portefeuille SP2'!#REF!</f>
        <v>#REF!</v>
      </c>
      <c r="BL381" s="388"/>
      <c r="BM381" s="404">
        <f>'Portefeuille SP2'!L406</f>
        <v>0</v>
      </c>
    </row>
    <row r="382" spans="1:65" ht="15" customHeight="1">
      <c r="A382" s="383">
        <f>'Portefeuille SP2'!B407</f>
        <v>0</v>
      </c>
      <c r="B382" s="390">
        <f>'Portefeuille SP2'!Q407</f>
        <v>0</v>
      </c>
      <c r="C382" s="384"/>
      <c r="D382" s="382">
        <f>'Portefeuille SP2'!E407</f>
        <v>0</v>
      </c>
      <c r="E382" s="382" t="str">
        <f t="shared" si="31"/>
        <v>0</v>
      </c>
      <c r="F382" s="382" t="str">
        <f t="shared" si="32"/>
        <v/>
      </c>
      <c r="G382" s="382">
        <f>'Portefeuille SP2'!C407</f>
        <v>0</v>
      </c>
      <c r="H382" s="382">
        <f>'Portefeuille SP2'!F407</f>
        <v>0</v>
      </c>
      <c r="I382" s="382"/>
      <c r="J382" s="382">
        <f>'Portefeuille SP2'!D407</f>
        <v>0</v>
      </c>
      <c r="K382" s="385">
        <f>'Portefeuille SP2'!H407</f>
        <v>0</v>
      </c>
      <c r="L382" s="157">
        <f>'Portefeuille SP2'!U407</f>
        <v>0</v>
      </c>
      <c r="M382" s="386"/>
      <c r="N382" s="386"/>
      <c r="O382" s="386"/>
      <c r="P382" s="387">
        <f>'Portefeuille SP2'!M407</f>
        <v>0</v>
      </c>
      <c r="Q382" s="387"/>
      <c r="R382" s="387">
        <f>'Portefeuille SP2'!N407</f>
        <v>0</v>
      </c>
      <c r="S382" s="387"/>
      <c r="T382" s="382">
        <f>'Portefeuille SP2'!R407</f>
        <v>0</v>
      </c>
      <c r="U382" s="387">
        <f>'Portefeuille SP2'!K407</f>
        <v>0</v>
      </c>
      <c r="V382" s="399">
        <f>'Portefeuille SP2'!S407</f>
        <v>0</v>
      </c>
      <c r="W382" s="387"/>
      <c r="X382" s="387"/>
      <c r="Y382" s="387"/>
      <c r="Z382" s="387"/>
      <c r="AA382" s="387"/>
      <c r="AB382" s="387"/>
      <c r="AC382" s="387"/>
      <c r="AD382" s="387"/>
      <c r="AE382" s="400">
        <f>'Portefeuille SP2'!J407</f>
        <v>0</v>
      </c>
      <c r="AF382" s="387"/>
      <c r="AG382" s="387"/>
      <c r="AH382" s="389"/>
      <c r="AI382" s="389"/>
      <c r="AJ382" s="403">
        <f>'Portefeuille SP2'!V407</f>
        <v>0</v>
      </c>
      <c r="AK382" s="403">
        <f>'Portefeuille SP2'!W407</f>
        <v>0</v>
      </c>
      <c r="AL382" s="403">
        <f>'Portefeuille SP2'!X407</f>
        <v>0</v>
      </c>
      <c r="AM382" s="403">
        <f>'Portefeuille SP2'!Y407</f>
        <v>0</v>
      </c>
      <c r="AN382" s="403">
        <f>'Portefeuille SP2'!Z407</f>
        <v>0</v>
      </c>
      <c r="AO382" s="403">
        <f>'Portefeuille SP2'!AA407</f>
        <v>0</v>
      </c>
      <c r="AP382" s="403">
        <f>'Portefeuille SP2'!AB407</f>
        <v>0</v>
      </c>
      <c r="AQ382" s="403">
        <f>'Portefeuille SP2'!AC407</f>
        <v>0</v>
      </c>
      <c r="AR382" s="403">
        <f>'Portefeuille SP2'!AD407</f>
        <v>0</v>
      </c>
      <c r="AS382" s="403">
        <f>'Portefeuille SP2'!AE407</f>
        <v>0</v>
      </c>
      <c r="AT382" s="403">
        <f>'Portefeuille SP2'!AF407</f>
        <v>0</v>
      </c>
      <c r="AU382" s="403">
        <f>'Portefeuille SP2'!AG407</f>
        <v>0</v>
      </c>
      <c r="AV382" s="403">
        <f>'Portefeuille SP2'!AH407</f>
        <v>0</v>
      </c>
      <c r="AW382" s="403">
        <f>'Portefeuille SP2'!AI407</f>
        <v>0</v>
      </c>
      <c r="AX382" s="403">
        <f>'Portefeuille SP2'!AJ407</f>
        <v>0</v>
      </c>
      <c r="AY382" s="403">
        <f>'Portefeuille SP2'!AK407</f>
        <v>0</v>
      </c>
      <c r="AZ382" s="403">
        <f>'Portefeuille SP2'!AL407</f>
        <v>0</v>
      </c>
      <c r="BA382" s="403">
        <f>'Portefeuille SP2'!AM407</f>
        <v>0</v>
      </c>
      <c r="BB382" s="403">
        <f>'Portefeuille SP2'!AN407</f>
        <v>0</v>
      </c>
      <c r="BC382" s="403">
        <f>'Portefeuille SP2'!AO407</f>
        <v>0</v>
      </c>
      <c r="BD382" s="403">
        <f>'Portefeuille SP2'!AP407</f>
        <v>0</v>
      </c>
      <c r="BE382" s="403">
        <f>'Portefeuille SP2'!AQ407</f>
        <v>0</v>
      </c>
      <c r="BF382" s="403">
        <f>'Portefeuille SP2'!AR407</f>
        <v>0</v>
      </c>
      <c r="BG382" s="403" t="e">
        <f>'Portefeuille SP2'!#REF!</f>
        <v>#REF!</v>
      </c>
      <c r="BH382" s="403" t="e">
        <f>'Portefeuille SP2'!#REF!</f>
        <v>#REF!</v>
      </c>
      <c r="BI382" s="403" t="e">
        <f>'Portefeuille SP2'!#REF!</f>
        <v>#REF!</v>
      </c>
      <c r="BJ382" s="403" t="e">
        <f>'Portefeuille SP2'!#REF!</f>
        <v>#REF!</v>
      </c>
      <c r="BK382" s="403" t="e">
        <f>'Portefeuille SP2'!#REF!</f>
        <v>#REF!</v>
      </c>
      <c r="BL382" s="388"/>
      <c r="BM382" s="404">
        <f>'Portefeuille SP2'!L407</f>
        <v>0</v>
      </c>
    </row>
    <row r="383" spans="1:65" ht="15" customHeight="1">
      <c r="A383" s="383">
        <f>'Portefeuille SP2'!B408</f>
        <v>0</v>
      </c>
      <c r="B383" s="390">
        <f>'Portefeuille SP2'!Q408</f>
        <v>0</v>
      </c>
      <c r="C383" s="384"/>
      <c r="D383" s="382">
        <f>'Portefeuille SP2'!E408</f>
        <v>0</v>
      </c>
      <c r="E383" s="382" t="str">
        <f t="shared" si="31"/>
        <v>0</v>
      </c>
      <c r="F383" s="382" t="str">
        <f t="shared" si="32"/>
        <v/>
      </c>
      <c r="G383" s="382">
        <f>'Portefeuille SP2'!C408</f>
        <v>0</v>
      </c>
      <c r="H383" s="382">
        <f>'Portefeuille SP2'!F408</f>
        <v>0</v>
      </c>
      <c r="I383" s="382"/>
      <c r="J383" s="382">
        <f>'Portefeuille SP2'!D408</f>
        <v>0</v>
      </c>
      <c r="K383" s="385">
        <f>'Portefeuille SP2'!H408</f>
        <v>0</v>
      </c>
      <c r="L383" s="157">
        <f>'Portefeuille SP2'!U408</f>
        <v>0</v>
      </c>
      <c r="M383" s="386"/>
      <c r="N383" s="386"/>
      <c r="O383" s="386"/>
      <c r="P383" s="387">
        <f>'Portefeuille SP2'!M408</f>
        <v>0</v>
      </c>
      <c r="Q383" s="387"/>
      <c r="R383" s="387">
        <f>'Portefeuille SP2'!N408</f>
        <v>0</v>
      </c>
      <c r="S383" s="387"/>
      <c r="T383" s="382">
        <f>'Portefeuille SP2'!R408</f>
        <v>0</v>
      </c>
      <c r="U383" s="387">
        <f>'Portefeuille SP2'!K408</f>
        <v>0</v>
      </c>
      <c r="V383" s="399">
        <f>'Portefeuille SP2'!S408</f>
        <v>0</v>
      </c>
      <c r="W383" s="387"/>
      <c r="X383" s="387"/>
      <c r="Y383" s="387"/>
      <c r="Z383" s="387"/>
      <c r="AA383" s="387"/>
      <c r="AB383" s="387"/>
      <c r="AC383" s="387"/>
      <c r="AD383" s="387"/>
      <c r="AE383" s="400">
        <f>'Portefeuille SP2'!J408</f>
        <v>0</v>
      </c>
      <c r="AF383" s="387"/>
      <c r="AG383" s="387"/>
      <c r="AH383" s="389"/>
      <c r="AI383" s="389"/>
      <c r="AJ383" s="403">
        <f>'Portefeuille SP2'!V408</f>
        <v>0</v>
      </c>
      <c r="AK383" s="403">
        <f>'Portefeuille SP2'!W408</f>
        <v>0</v>
      </c>
      <c r="AL383" s="403">
        <f>'Portefeuille SP2'!X408</f>
        <v>0</v>
      </c>
      <c r="AM383" s="403">
        <f>'Portefeuille SP2'!Y408</f>
        <v>0</v>
      </c>
      <c r="AN383" s="403">
        <f>'Portefeuille SP2'!Z408</f>
        <v>0</v>
      </c>
      <c r="AO383" s="403">
        <f>'Portefeuille SP2'!AA408</f>
        <v>0</v>
      </c>
      <c r="AP383" s="403">
        <f>'Portefeuille SP2'!AB408</f>
        <v>0</v>
      </c>
      <c r="AQ383" s="403">
        <f>'Portefeuille SP2'!AC408</f>
        <v>0</v>
      </c>
      <c r="AR383" s="403">
        <f>'Portefeuille SP2'!AD408</f>
        <v>0</v>
      </c>
      <c r="AS383" s="403">
        <f>'Portefeuille SP2'!AE408</f>
        <v>0</v>
      </c>
      <c r="AT383" s="403">
        <f>'Portefeuille SP2'!AF408</f>
        <v>0</v>
      </c>
      <c r="AU383" s="403">
        <f>'Portefeuille SP2'!AG408</f>
        <v>0</v>
      </c>
      <c r="AV383" s="403">
        <f>'Portefeuille SP2'!AH408</f>
        <v>0</v>
      </c>
      <c r="AW383" s="403">
        <f>'Portefeuille SP2'!AI408</f>
        <v>0</v>
      </c>
      <c r="AX383" s="403">
        <f>'Portefeuille SP2'!AJ408</f>
        <v>0</v>
      </c>
      <c r="AY383" s="403">
        <f>'Portefeuille SP2'!AK408</f>
        <v>0</v>
      </c>
      <c r="AZ383" s="403">
        <f>'Portefeuille SP2'!AL408</f>
        <v>0</v>
      </c>
      <c r="BA383" s="403">
        <f>'Portefeuille SP2'!AM408</f>
        <v>0</v>
      </c>
      <c r="BB383" s="403">
        <f>'Portefeuille SP2'!AN408</f>
        <v>0</v>
      </c>
      <c r="BC383" s="403">
        <f>'Portefeuille SP2'!AO408</f>
        <v>0</v>
      </c>
      <c r="BD383" s="403">
        <f>'Portefeuille SP2'!AP408</f>
        <v>0</v>
      </c>
      <c r="BE383" s="403">
        <f>'Portefeuille SP2'!AQ408</f>
        <v>0</v>
      </c>
      <c r="BF383" s="403">
        <f>'Portefeuille SP2'!AR408</f>
        <v>0</v>
      </c>
      <c r="BG383" s="403" t="e">
        <f>'Portefeuille SP2'!#REF!</f>
        <v>#REF!</v>
      </c>
      <c r="BH383" s="403" t="e">
        <f>'Portefeuille SP2'!#REF!</f>
        <v>#REF!</v>
      </c>
      <c r="BI383" s="403" t="e">
        <f>'Portefeuille SP2'!#REF!</f>
        <v>#REF!</v>
      </c>
      <c r="BJ383" s="403" t="e">
        <f>'Portefeuille SP2'!#REF!</f>
        <v>#REF!</v>
      </c>
      <c r="BK383" s="403" t="e">
        <f>'Portefeuille SP2'!#REF!</f>
        <v>#REF!</v>
      </c>
      <c r="BL383" s="388"/>
      <c r="BM383" s="404">
        <f>'Portefeuille SP2'!L408</f>
        <v>0</v>
      </c>
    </row>
    <row r="384" spans="1:65" ht="15" customHeight="1">
      <c r="A384" s="383">
        <f>'Portefeuille SP2'!B409</f>
        <v>0</v>
      </c>
      <c r="B384" s="390">
        <f>'Portefeuille SP2'!Q409</f>
        <v>0</v>
      </c>
      <c r="C384" s="384"/>
      <c r="D384" s="382">
        <f>'Portefeuille SP2'!E409</f>
        <v>0</v>
      </c>
      <c r="E384" s="382" t="str">
        <f t="shared" si="31"/>
        <v>0</v>
      </c>
      <c r="F384" s="382" t="str">
        <f t="shared" si="32"/>
        <v/>
      </c>
      <c r="G384" s="382">
        <f>'Portefeuille SP2'!C409</f>
        <v>0</v>
      </c>
      <c r="H384" s="382">
        <f>'Portefeuille SP2'!F409</f>
        <v>0</v>
      </c>
      <c r="I384" s="382"/>
      <c r="J384" s="382">
        <f>'Portefeuille SP2'!D409</f>
        <v>0</v>
      </c>
      <c r="K384" s="385">
        <f>'Portefeuille SP2'!H409</f>
        <v>0</v>
      </c>
      <c r="L384" s="157">
        <f>'Portefeuille SP2'!U409</f>
        <v>0</v>
      </c>
      <c r="M384" s="386"/>
      <c r="N384" s="386"/>
      <c r="O384" s="386"/>
      <c r="P384" s="387">
        <f>'Portefeuille SP2'!M409</f>
        <v>0</v>
      </c>
      <c r="Q384" s="387"/>
      <c r="R384" s="387">
        <f>'Portefeuille SP2'!N409</f>
        <v>0</v>
      </c>
      <c r="S384" s="387"/>
      <c r="T384" s="382">
        <f>'Portefeuille SP2'!R409</f>
        <v>0</v>
      </c>
      <c r="U384" s="387">
        <f>'Portefeuille SP2'!K409</f>
        <v>0</v>
      </c>
      <c r="V384" s="399">
        <f>'Portefeuille SP2'!S409</f>
        <v>0</v>
      </c>
      <c r="W384" s="387"/>
      <c r="X384" s="387"/>
      <c r="Y384" s="387"/>
      <c r="Z384" s="387"/>
      <c r="AA384" s="387"/>
      <c r="AB384" s="387"/>
      <c r="AC384" s="387"/>
      <c r="AD384" s="387"/>
      <c r="AE384" s="400">
        <f>'Portefeuille SP2'!J409</f>
        <v>0</v>
      </c>
      <c r="AF384" s="387"/>
      <c r="AG384" s="387"/>
      <c r="AH384" s="389"/>
      <c r="AI384" s="389"/>
      <c r="AJ384" s="403">
        <f>'Portefeuille SP2'!V409</f>
        <v>0</v>
      </c>
      <c r="AK384" s="403">
        <f>'Portefeuille SP2'!W409</f>
        <v>0</v>
      </c>
      <c r="AL384" s="403">
        <f>'Portefeuille SP2'!X409</f>
        <v>0</v>
      </c>
      <c r="AM384" s="403">
        <f>'Portefeuille SP2'!Y409</f>
        <v>0</v>
      </c>
      <c r="AN384" s="403">
        <f>'Portefeuille SP2'!Z409</f>
        <v>0</v>
      </c>
      <c r="AO384" s="403">
        <f>'Portefeuille SP2'!AA409</f>
        <v>0</v>
      </c>
      <c r="AP384" s="403">
        <f>'Portefeuille SP2'!AB409</f>
        <v>0</v>
      </c>
      <c r="AQ384" s="403">
        <f>'Portefeuille SP2'!AC409</f>
        <v>0</v>
      </c>
      <c r="AR384" s="403">
        <f>'Portefeuille SP2'!AD409</f>
        <v>0</v>
      </c>
      <c r="AS384" s="403">
        <f>'Portefeuille SP2'!AE409</f>
        <v>0</v>
      </c>
      <c r="AT384" s="403">
        <f>'Portefeuille SP2'!AF409</f>
        <v>0</v>
      </c>
      <c r="AU384" s="403">
        <f>'Portefeuille SP2'!AG409</f>
        <v>0</v>
      </c>
      <c r="AV384" s="403">
        <f>'Portefeuille SP2'!AH409</f>
        <v>0</v>
      </c>
      <c r="AW384" s="403">
        <f>'Portefeuille SP2'!AI409</f>
        <v>0</v>
      </c>
      <c r="AX384" s="403">
        <f>'Portefeuille SP2'!AJ409</f>
        <v>0</v>
      </c>
      <c r="AY384" s="403">
        <f>'Portefeuille SP2'!AK409</f>
        <v>0</v>
      </c>
      <c r="AZ384" s="403">
        <f>'Portefeuille SP2'!AL409</f>
        <v>0</v>
      </c>
      <c r="BA384" s="403">
        <f>'Portefeuille SP2'!AM409</f>
        <v>0</v>
      </c>
      <c r="BB384" s="403">
        <f>'Portefeuille SP2'!AN409</f>
        <v>0</v>
      </c>
      <c r="BC384" s="403">
        <f>'Portefeuille SP2'!AO409</f>
        <v>0</v>
      </c>
      <c r="BD384" s="403">
        <f>'Portefeuille SP2'!AP409</f>
        <v>0</v>
      </c>
      <c r="BE384" s="403">
        <f>'Portefeuille SP2'!AQ409</f>
        <v>0</v>
      </c>
      <c r="BF384" s="403">
        <f>'Portefeuille SP2'!AR409</f>
        <v>0</v>
      </c>
      <c r="BG384" s="403" t="e">
        <f>'Portefeuille SP2'!#REF!</f>
        <v>#REF!</v>
      </c>
      <c r="BH384" s="403" t="e">
        <f>'Portefeuille SP2'!#REF!</f>
        <v>#REF!</v>
      </c>
      <c r="BI384" s="403" t="e">
        <f>'Portefeuille SP2'!#REF!</f>
        <v>#REF!</v>
      </c>
      <c r="BJ384" s="403" t="e">
        <f>'Portefeuille SP2'!#REF!</f>
        <v>#REF!</v>
      </c>
      <c r="BK384" s="403" t="e">
        <f>'Portefeuille SP2'!#REF!</f>
        <v>#REF!</v>
      </c>
      <c r="BL384" s="388"/>
      <c r="BM384" s="404">
        <f>'Portefeuille SP2'!L409</f>
        <v>0</v>
      </c>
    </row>
    <row r="385" spans="1:65" ht="15" customHeight="1">
      <c r="A385" s="383">
        <f>'Portefeuille SP2'!B410</f>
        <v>0</v>
      </c>
      <c r="B385" s="390">
        <f>'Portefeuille SP2'!Q410</f>
        <v>0</v>
      </c>
      <c r="C385" s="384"/>
      <c r="D385" s="382">
        <f>'Portefeuille SP2'!E410</f>
        <v>0</v>
      </c>
      <c r="E385" s="382" t="str">
        <f t="shared" si="31"/>
        <v>0</v>
      </c>
      <c r="F385" s="382" t="str">
        <f t="shared" si="32"/>
        <v/>
      </c>
      <c r="G385" s="382">
        <f>'Portefeuille SP2'!C410</f>
        <v>0</v>
      </c>
      <c r="H385" s="382">
        <f>'Portefeuille SP2'!F410</f>
        <v>0</v>
      </c>
      <c r="I385" s="382"/>
      <c r="J385" s="382">
        <f>'Portefeuille SP2'!D410</f>
        <v>0</v>
      </c>
      <c r="K385" s="385">
        <f>'Portefeuille SP2'!H410</f>
        <v>0</v>
      </c>
      <c r="L385" s="157">
        <f>'Portefeuille SP2'!U410</f>
        <v>0</v>
      </c>
      <c r="M385" s="386"/>
      <c r="N385" s="386"/>
      <c r="O385" s="386"/>
      <c r="P385" s="387">
        <f>'Portefeuille SP2'!M410</f>
        <v>0</v>
      </c>
      <c r="Q385" s="387"/>
      <c r="R385" s="387">
        <f>'Portefeuille SP2'!N410</f>
        <v>0</v>
      </c>
      <c r="S385" s="387"/>
      <c r="T385" s="382">
        <f>'Portefeuille SP2'!R410</f>
        <v>0</v>
      </c>
      <c r="U385" s="387">
        <f>'Portefeuille SP2'!K410</f>
        <v>0</v>
      </c>
      <c r="V385" s="399">
        <f>'Portefeuille SP2'!S410</f>
        <v>0</v>
      </c>
      <c r="W385" s="387"/>
      <c r="X385" s="387"/>
      <c r="Y385" s="387"/>
      <c r="Z385" s="387"/>
      <c r="AA385" s="387"/>
      <c r="AB385" s="387"/>
      <c r="AC385" s="387"/>
      <c r="AD385" s="387"/>
      <c r="AE385" s="400">
        <f>'Portefeuille SP2'!J410</f>
        <v>0</v>
      </c>
      <c r="AF385" s="387"/>
      <c r="AG385" s="387"/>
      <c r="AH385" s="389"/>
      <c r="AI385" s="389"/>
      <c r="AJ385" s="403">
        <f>'Portefeuille SP2'!V410</f>
        <v>0</v>
      </c>
      <c r="AK385" s="403">
        <f>'Portefeuille SP2'!W410</f>
        <v>0</v>
      </c>
      <c r="AL385" s="403">
        <f>'Portefeuille SP2'!X410</f>
        <v>0</v>
      </c>
      <c r="AM385" s="403">
        <f>'Portefeuille SP2'!Y410</f>
        <v>0</v>
      </c>
      <c r="AN385" s="403">
        <f>'Portefeuille SP2'!Z410</f>
        <v>0</v>
      </c>
      <c r="AO385" s="403">
        <f>'Portefeuille SP2'!AA410</f>
        <v>0</v>
      </c>
      <c r="AP385" s="403">
        <f>'Portefeuille SP2'!AB410</f>
        <v>0</v>
      </c>
      <c r="AQ385" s="403">
        <f>'Portefeuille SP2'!AC410</f>
        <v>0</v>
      </c>
      <c r="AR385" s="403">
        <f>'Portefeuille SP2'!AD410</f>
        <v>0</v>
      </c>
      <c r="AS385" s="403">
        <f>'Portefeuille SP2'!AE410</f>
        <v>0</v>
      </c>
      <c r="AT385" s="403">
        <f>'Portefeuille SP2'!AF410</f>
        <v>0</v>
      </c>
      <c r="AU385" s="403">
        <f>'Portefeuille SP2'!AG410</f>
        <v>0</v>
      </c>
      <c r="AV385" s="403">
        <f>'Portefeuille SP2'!AH410</f>
        <v>0</v>
      </c>
      <c r="AW385" s="403">
        <f>'Portefeuille SP2'!AI410</f>
        <v>0</v>
      </c>
      <c r="AX385" s="403">
        <f>'Portefeuille SP2'!AJ410</f>
        <v>0</v>
      </c>
      <c r="AY385" s="403">
        <f>'Portefeuille SP2'!AK410</f>
        <v>0</v>
      </c>
      <c r="AZ385" s="403">
        <f>'Portefeuille SP2'!AL410</f>
        <v>0</v>
      </c>
      <c r="BA385" s="403">
        <f>'Portefeuille SP2'!AM410</f>
        <v>0</v>
      </c>
      <c r="BB385" s="403">
        <f>'Portefeuille SP2'!AN410</f>
        <v>0</v>
      </c>
      <c r="BC385" s="403">
        <f>'Portefeuille SP2'!AO410</f>
        <v>0</v>
      </c>
      <c r="BD385" s="403">
        <f>'Portefeuille SP2'!AP410</f>
        <v>0</v>
      </c>
      <c r="BE385" s="403">
        <f>'Portefeuille SP2'!AQ410</f>
        <v>0</v>
      </c>
      <c r="BF385" s="403">
        <f>'Portefeuille SP2'!AR410</f>
        <v>0</v>
      </c>
      <c r="BG385" s="403" t="e">
        <f>'Portefeuille SP2'!#REF!</f>
        <v>#REF!</v>
      </c>
      <c r="BH385" s="403" t="e">
        <f>'Portefeuille SP2'!#REF!</f>
        <v>#REF!</v>
      </c>
      <c r="BI385" s="403" t="e">
        <f>'Portefeuille SP2'!#REF!</f>
        <v>#REF!</v>
      </c>
      <c r="BJ385" s="403" t="e">
        <f>'Portefeuille SP2'!#REF!</f>
        <v>#REF!</v>
      </c>
      <c r="BK385" s="403" t="e">
        <f>'Portefeuille SP2'!#REF!</f>
        <v>#REF!</v>
      </c>
      <c r="BL385" s="388"/>
      <c r="BM385" s="404">
        <f>'Portefeuille SP2'!L410</f>
        <v>0</v>
      </c>
    </row>
    <row r="386" spans="1:65" ht="15" customHeight="1">
      <c r="A386" s="383">
        <f>'Portefeuille SP2'!B411</f>
        <v>0</v>
      </c>
      <c r="B386" s="390">
        <f>'Portefeuille SP2'!Q411</f>
        <v>0</v>
      </c>
      <c r="C386" s="384"/>
      <c r="D386" s="382">
        <f>'Portefeuille SP2'!E411</f>
        <v>0</v>
      </c>
      <c r="E386" s="382" t="str">
        <f t="shared" si="31"/>
        <v>0</v>
      </c>
      <c r="F386" s="382" t="str">
        <f t="shared" si="32"/>
        <v/>
      </c>
      <c r="G386" s="382">
        <f>'Portefeuille SP2'!C411</f>
        <v>0</v>
      </c>
      <c r="H386" s="382">
        <f>'Portefeuille SP2'!F411</f>
        <v>0</v>
      </c>
      <c r="I386" s="382"/>
      <c r="J386" s="382">
        <f>'Portefeuille SP2'!D411</f>
        <v>0</v>
      </c>
      <c r="K386" s="385">
        <f>'Portefeuille SP2'!H411</f>
        <v>0</v>
      </c>
      <c r="L386" s="157">
        <f>'Portefeuille SP2'!U411</f>
        <v>0</v>
      </c>
      <c r="M386" s="386"/>
      <c r="N386" s="386"/>
      <c r="O386" s="386"/>
      <c r="P386" s="387">
        <f>'Portefeuille SP2'!M411</f>
        <v>0</v>
      </c>
      <c r="Q386" s="387"/>
      <c r="R386" s="387">
        <f>'Portefeuille SP2'!N411</f>
        <v>0</v>
      </c>
      <c r="S386" s="387"/>
      <c r="T386" s="382">
        <f>'Portefeuille SP2'!R411</f>
        <v>0</v>
      </c>
      <c r="U386" s="387">
        <f>'Portefeuille SP2'!K411</f>
        <v>0</v>
      </c>
      <c r="V386" s="399">
        <f>'Portefeuille SP2'!S411</f>
        <v>0</v>
      </c>
      <c r="W386" s="387"/>
      <c r="X386" s="387"/>
      <c r="Y386" s="387"/>
      <c r="Z386" s="387"/>
      <c r="AA386" s="387"/>
      <c r="AB386" s="387"/>
      <c r="AC386" s="387"/>
      <c r="AD386" s="387"/>
      <c r="AE386" s="400">
        <f>'Portefeuille SP2'!J411</f>
        <v>0</v>
      </c>
      <c r="AF386" s="387"/>
      <c r="AG386" s="387"/>
      <c r="AH386" s="389"/>
      <c r="AI386" s="389"/>
      <c r="AJ386" s="403">
        <f>'Portefeuille SP2'!V411</f>
        <v>0</v>
      </c>
      <c r="AK386" s="403">
        <f>'Portefeuille SP2'!W411</f>
        <v>0</v>
      </c>
      <c r="AL386" s="403">
        <f>'Portefeuille SP2'!X411</f>
        <v>0</v>
      </c>
      <c r="AM386" s="403">
        <f>'Portefeuille SP2'!Y411</f>
        <v>0</v>
      </c>
      <c r="AN386" s="403">
        <f>'Portefeuille SP2'!Z411</f>
        <v>0</v>
      </c>
      <c r="AO386" s="403">
        <f>'Portefeuille SP2'!AA411</f>
        <v>0</v>
      </c>
      <c r="AP386" s="403">
        <f>'Portefeuille SP2'!AB411</f>
        <v>0</v>
      </c>
      <c r="AQ386" s="403">
        <f>'Portefeuille SP2'!AC411</f>
        <v>0</v>
      </c>
      <c r="AR386" s="403">
        <f>'Portefeuille SP2'!AD411</f>
        <v>0</v>
      </c>
      <c r="AS386" s="403">
        <f>'Portefeuille SP2'!AE411</f>
        <v>0</v>
      </c>
      <c r="AT386" s="403">
        <f>'Portefeuille SP2'!AF411</f>
        <v>0</v>
      </c>
      <c r="AU386" s="403">
        <f>'Portefeuille SP2'!AG411</f>
        <v>0</v>
      </c>
      <c r="AV386" s="403">
        <f>'Portefeuille SP2'!AH411</f>
        <v>0</v>
      </c>
      <c r="AW386" s="403">
        <f>'Portefeuille SP2'!AI411</f>
        <v>0</v>
      </c>
      <c r="AX386" s="403">
        <f>'Portefeuille SP2'!AJ411</f>
        <v>0</v>
      </c>
      <c r="AY386" s="403">
        <f>'Portefeuille SP2'!AK411</f>
        <v>0</v>
      </c>
      <c r="AZ386" s="403">
        <f>'Portefeuille SP2'!AL411</f>
        <v>0</v>
      </c>
      <c r="BA386" s="403">
        <f>'Portefeuille SP2'!AM411</f>
        <v>0</v>
      </c>
      <c r="BB386" s="403">
        <f>'Portefeuille SP2'!AN411</f>
        <v>0</v>
      </c>
      <c r="BC386" s="403">
        <f>'Portefeuille SP2'!AO411</f>
        <v>0</v>
      </c>
      <c r="BD386" s="403">
        <f>'Portefeuille SP2'!AP411</f>
        <v>0</v>
      </c>
      <c r="BE386" s="403">
        <f>'Portefeuille SP2'!AQ411</f>
        <v>0</v>
      </c>
      <c r="BF386" s="403">
        <f>'Portefeuille SP2'!AR411</f>
        <v>0</v>
      </c>
      <c r="BG386" s="403" t="e">
        <f>'Portefeuille SP2'!#REF!</f>
        <v>#REF!</v>
      </c>
      <c r="BH386" s="403" t="e">
        <f>'Portefeuille SP2'!#REF!</f>
        <v>#REF!</v>
      </c>
      <c r="BI386" s="403" t="e">
        <f>'Portefeuille SP2'!#REF!</f>
        <v>#REF!</v>
      </c>
      <c r="BJ386" s="403" t="e">
        <f>'Portefeuille SP2'!#REF!</f>
        <v>#REF!</v>
      </c>
      <c r="BK386" s="403" t="e">
        <f>'Portefeuille SP2'!#REF!</f>
        <v>#REF!</v>
      </c>
      <c r="BL386" s="388"/>
      <c r="BM386" s="404">
        <f>'Portefeuille SP2'!L411</f>
        <v>0</v>
      </c>
    </row>
    <row r="387" spans="1:65" ht="15" customHeight="1">
      <c r="A387" s="383">
        <f>'Portefeuille SP2'!B412</f>
        <v>0</v>
      </c>
      <c r="B387" s="390">
        <f>'Portefeuille SP2'!Q412</f>
        <v>0</v>
      </c>
      <c r="C387" s="384"/>
      <c r="D387" s="382">
        <f>'Portefeuille SP2'!E412</f>
        <v>0</v>
      </c>
      <c r="E387" s="382" t="str">
        <f t="shared" si="31"/>
        <v>0</v>
      </c>
      <c r="F387" s="382" t="str">
        <f t="shared" si="32"/>
        <v/>
      </c>
      <c r="G387" s="382">
        <f>'Portefeuille SP2'!C412</f>
        <v>0</v>
      </c>
      <c r="H387" s="382">
        <f>'Portefeuille SP2'!F412</f>
        <v>0</v>
      </c>
      <c r="I387" s="382"/>
      <c r="J387" s="382">
        <f>'Portefeuille SP2'!D412</f>
        <v>0</v>
      </c>
      <c r="K387" s="385">
        <f>'Portefeuille SP2'!H412</f>
        <v>0</v>
      </c>
      <c r="L387" s="157">
        <f>'Portefeuille SP2'!U412</f>
        <v>0</v>
      </c>
      <c r="M387" s="386"/>
      <c r="N387" s="386"/>
      <c r="O387" s="386"/>
      <c r="P387" s="387">
        <f>'Portefeuille SP2'!M412</f>
        <v>0</v>
      </c>
      <c r="Q387" s="387"/>
      <c r="R387" s="387">
        <f>'Portefeuille SP2'!N412</f>
        <v>0</v>
      </c>
      <c r="S387" s="387"/>
      <c r="T387" s="382">
        <f>'Portefeuille SP2'!R412</f>
        <v>0</v>
      </c>
      <c r="U387" s="387">
        <f>'Portefeuille SP2'!K412</f>
        <v>0</v>
      </c>
      <c r="V387" s="399">
        <f>'Portefeuille SP2'!S412</f>
        <v>0</v>
      </c>
      <c r="W387" s="387"/>
      <c r="X387" s="387"/>
      <c r="Y387" s="387"/>
      <c r="Z387" s="387"/>
      <c r="AA387" s="387"/>
      <c r="AB387" s="387"/>
      <c r="AC387" s="387"/>
      <c r="AD387" s="387"/>
      <c r="AE387" s="400">
        <f>'Portefeuille SP2'!J412</f>
        <v>0</v>
      </c>
      <c r="AF387" s="387"/>
      <c r="AG387" s="387"/>
      <c r="AH387" s="389"/>
      <c r="AI387" s="389"/>
      <c r="AJ387" s="403">
        <f>'Portefeuille SP2'!V412</f>
        <v>0</v>
      </c>
      <c r="AK387" s="403">
        <f>'Portefeuille SP2'!W412</f>
        <v>0</v>
      </c>
      <c r="AL387" s="403">
        <f>'Portefeuille SP2'!X412</f>
        <v>0</v>
      </c>
      <c r="AM387" s="403">
        <f>'Portefeuille SP2'!Y412</f>
        <v>0</v>
      </c>
      <c r="AN387" s="403">
        <f>'Portefeuille SP2'!Z412</f>
        <v>0</v>
      </c>
      <c r="AO387" s="403">
        <f>'Portefeuille SP2'!AA412</f>
        <v>0</v>
      </c>
      <c r="AP387" s="403">
        <f>'Portefeuille SP2'!AB412</f>
        <v>0</v>
      </c>
      <c r="AQ387" s="403">
        <f>'Portefeuille SP2'!AC412</f>
        <v>0</v>
      </c>
      <c r="AR387" s="403">
        <f>'Portefeuille SP2'!AD412</f>
        <v>0</v>
      </c>
      <c r="AS387" s="403">
        <f>'Portefeuille SP2'!AE412</f>
        <v>0</v>
      </c>
      <c r="AT387" s="403">
        <f>'Portefeuille SP2'!AF412</f>
        <v>0</v>
      </c>
      <c r="AU387" s="403">
        <f>'Portefeuille SP2'!AG412</f>
        <v>0</v>
      </c>
      <c r="AV387" s="403">
        <f>'Portefeuille SP2'!AH412</f>
        <v>0</v>
      </c>
      <c r="AW387" s="403">
        <f>'Portefeuille SP2'!AI412</f>
        <v>0</v>
      </c>
      <c r="AX387" s="403">
        <f>'Portefeuille SP2'!AJ412</f>
        <v>0</v>
      </c>
      <c r="AY387" s="403">
        <f>'Portefeuille SP2'!AK412</f>
        <v>0</v>
      </c>
      <c r="AZ387" s="403">
        <f>'Portefeuille SP2'!AL412</f>
        <v>0</v>
      </c>
      <c r="BA387" s="403">
        <f>'Portefeuille SP2'!AM412</f>
        <v>0</v>
      </c>
      <c r="BB387" s="403">
        <f>'Portefeuille SP2'!AN412</f>
        <v>0</v>
      </c>
      <c r="BC387" s="403">
        <f>'Portefeuille SP2'!AO412</f>
        <v>0</v>
      </c>
      <c r="BD387" s="403">
        <f>'Portefeuille SP2'!AP412</f>
        <v>0</v>
      </c>
      <c r="BE387" s="403">
        <f>'Portefeuille SP2'!AQ412</f>
        <v>0</v>
      </c>
      <c r="BF387" s="403">
        <f>'Portefeuille SP2'!AR412</f>
        <v>0</v>
      </c>
      <c r="BG387" s="403" t="e">
        <f>'Portefeuille SP2'!#REF!</f>
        <v>#REF!</v>
      </c>
      <c r="BH387" s="403" t="e">
        <f>'Portefeuille SP2'!#REF!</f>
        <v>#REF!</v>
      </c>
      <c r="BI387" s="403" t="e">
        <f>'Portefeuille SP2'!#REF!</f>
        <v>#REF!</v>
      </c>
      <c r="BJ387" s="403" t="e">
        <f>'Portefeuille SP2'!#REF!</f>
        <v>#REF!</v>
      </c>
      <c r="BK387" s="403" t="e">
        <f>'Portefeuille SP2'!#REF!</f>
        <v>#REF!</v>
      </c>
      <c r="BL387" s="388"/>
      <c r="BM387" s="404">
        <f>'Portefeuille SP2'!L412</f>
        <v>0</v>
      </c>
    </row>
    <row r="388" spans="1:65" ht="15" customHeight="1">
      <c r="A388" s="383">
        <f>'Portefeuille SP2'!B413</f>
        <v>0</v>
      </c>
      <c r="B388" s="390">
        <f>'Portefeuille SP2'!Q413</f>
        <v>0</v>
      </c>
      <c r="C388" s="384"/>
      <c r="D388" s="382">
        <f>'Portefeuille SP2'!E413</f>
        <v>0</v>
      </c>
      <c r="E388" s="382" t="str">
        <f t="shared" si="31"/>
        <v>0</v>
      </c>
      <c r="F388" s="382" t="str">
        <f t="shared" si="32"/>
        <v/>
      </c>
      <c r="G388" s="382">
        <f>'Portefeuille SP2'!C413</f>
        <v>0</v>
      </c>
      <c r="H388" s="382">
        <f>'Portefeuille SP2'!F413</f>
        <v>0</v>
      </c>
      <c r="I388" s="382"/>
      <c r="J388" s="382">
        <f>'Portefeuille SP2'!D413</f>
        <v>0</v>
      </c>
      <c r="K388" s="385">
        <f>'Portefeuille SP2'!H413</f>
        <v>0</v>
      </c>
      <c r="L388" s="157">
        <f>'Portefeuille SP2'!U413</f>
        <v>0</v>
      </c>
      <c r="M388" s="386"/>
      <c r="N388" s="386"/>
      <c r="O388" s="386"/>
      <c r="P388" s="387">
        <f>'Portefeuille SP2'!M413</f>
        <v>0</v>
      </c>
      <c r="Q388" s="387"/>
      <c r="R388" s="387">
        <f>'Portefeuille SP2'!N413</f>
        <v>0</v>
      </c>
      <c r="S388" s="387"/>
      <c r="T388" s="382">
        <f>'Portefeuille SP2'!R413</f>
        <v>0</v>
      </c>
      <c r="U388" s="387">
        <f>'Portefeuille SP2'!K413</f>
        <v>0</v>
      </c>
      <c r="V388" s="399">
        <f>'Portefeuille SP2'!S413</f>
        <v>0</v>
      </c>
      <c r="W388" s="387"/>
      <c r="X388" s="387"/>
      <c r="Y388" s="387"/>
      <c r="Z388" s="387"/>
      <c r="AA388" s="387"/>
      <c r="AB388" s="387"/>
      <c r="AC388" s="387"/>
      <c r="AD388" s="387"/>
      <c r="AE388" s="400">
        <f>'Portefeuille SP2'!J413</f>
        <v>0</v>
      </c>
      <c r="AF388" s="387"/>
      <c r="AG388" s="387"/>
      <c r="AH388" s="389"/>
      <c r="AI388" s="389"/>
      <c r="AJ388" s="403">
        <f>'Portefeuille SP2'!V413</f>
        <v>0</v>
      </c>
      <c r="AK388" s="403">
        <f>'Portefeuille SP2'!W413</f>
        <v>0</v>
      </c>
      <c r="AL388" s="403">
        <f>'Portefeuille SP2'!X413</f>
        <v>0</v>
      </c>
      <c r="AM388" s="403">
        <f>'Portefeuille SP2'!Y413</f>
        <v>0</v>
      </c>
      <c r="AN388" s="403">
        <f>'Portefeuille SP2'!Z413</f>
        <v>0</v>
      </c>
      <c r="AO388" s="403">
        <f>'Portefeuille SP2'!AA413</f>
        <v>0</v>
      </c>
      <c r="AP388" s="403">
        <f>'Portefeuille SP2'!AB413</f>
        <v>0</v>
      </c>
      <c r="AQ388" s="403">
        <f>'Portefeuille SP2'!AC413</f>
        <v>0</v>
      </c>
      <c r="AR388" s="403">
        <f>'Portefeuille SP2'!AD413</f>
        <v>0</v>
      </c>
      <c r="AS388" s="403">
        <f>'Portefeuille SP2'!AE413</f>
        <v>0</v>
      </c>
      <c r="AT388" s="403">
        <f>'Portefeuille SP2'!AF413</f>
        <v>0</v>
      </c>
      <c r="AU388" s="403">
        <f>'Portefeuille SP2'!AG413</f>
        <v>0</v>
      </c>
      <c r="AV388" s="403">
        <f>'Portefeuille SP2'!AH413</f>
        <v>0</v>
      </c>
      <c r="AW388" s="403">
        <f>'Portefeuille SP2'!AI413</f>
        <v>0</v>
      </c>
      <c r="AX388" s="403">
        <f>'Portefeuille SP2'!AJ413</f>
        <v>0</v>
      </c>
      <c r="AY388" s="403">
        <f>'Portefeuille SP2'!AK413</f>
        <v>0</v>
      </c>
      <c r="AZ388" s="403">
        <f>'Portefeuille SP2'!AL413</f>
        <v>0</v>
      </c>
      <c r="BA388" s="403">
        <f>'Portefeuille SP2'!AM413</f>
        <v>0</v>
      </c>
      <c r="BB388" s="403">
        <f>'Portefeuille SP2'!AN413</f>
        <v>0</v>
      </c>
      <c r="BC388" s="403">
        <f>'Portefeuille SP2'!AO413</f>
        <v>0</v>
      </c>
      <c r="BD388" s="403">
        <f>'Portefeuille SP2'!AP413</f>
        <v>0</v>
      </c>
      <c r="BE388" s="403">
        <f>'Portefeuille SP2'!AQ413</f>
        <v>0</v>
      </c>
      <c r="BF388" s="403">
        <f>'Portefeuille SP2'!AR413</f>
        <v>0</v>
      </c>
      <c r="BG388" s="403" t="e">
        <f>'Portefeuille SP2'!#REF!</f>
        <v>#REF!</v>
      </c>
      <c r="BH388" s="403" t="e">
        <f>'Portefeuille SP2'!#REF!</f>
        <v>#REF!</v>
      </c>
      <c r="BI388" s="403" t="e">
        <f>'Portefeuille SP2'!#REF!</f>
        <v>#REF!</v>
      </c>
      <c r="BJ388" s="403" t="e">
        <f>'Portefeuille SP2'!#REF!</f>
        <v>#REF!</v>
      </c>
      <c r="BK388" s="403" t="e">
        <f>'Portefeuille SP2'!#REF!</f>
        <v>#REF!</v>
      </c>
      <c r="BL388" s="388"/>
      <c r="BM388" s="404">
        <f>'Portefeuille SP2'!L413</f>
        <v>0</v>
      </c>
    </row>
    <row r="389" spans="1:65" ht="15" customHeight="1">
      <c r="A389" s="383">
        <f>'Portefeuille SP2'!B414</f>
        <v>0</v>
      </c>
      <c r="B389" s="390">
        <f>'Portefeuille SP2'!Q414</f>
        <v>0</v>
      </c>
      <c r="C389" s="384"/>
      <c r="D389" s="382">
        <f>'Portefeuille SP2'!E414</f>
        <v>0</v>
      </c>
      <c r="E389" s="382" t="str">
        <f t="shared" si="31"/>
        <v>0</v>
      </c>
      <c r="F389" s="382" t="str">
        <f t="shared" si="32"/>
        <v/>
      </c>
      <c r="G389" s="382">
        <f>'Portefeuille SP2'!C414</f>
        <v>0</v>
      </c>
      <c r="H389" s="382">
        <f>'Portefeuille SP2'!F414</f>
        <v>0</v>
      </c>
      <c r="I389" s="382"/>
      <c r="J389" s="382">
        <f>'Portefeuille SP2'!D414</f>
        <v>0</v>
      </c>
      <c r="K389" s="385">
        <f>'Portefeuille SP2'!H414</f>
        <v>0</v>
      </c>
      <c r="L389" s="157">
        <f>'Portefeuille SP2'!U414</f>
        <v>0</v>
      </c>
      <c r="M389" s="386"/>
      <c r="N389" s="386"/>
      <c r="O389" s="386"/>
      <c r="P389" s="387">
        <f>'Portefeuille SP2'!M414</f>
        <v>0</v>
      </c>
      <c r="Q389" s="387"/>
      <c r="R389" s="387">
        <f>'Portefeuille SP2'!N414</f>
        <v>0</v>
      </c>
      <c r="S389" s="387"/>
      <c r="T389" s="382">
        <f>'Portefeuille SP2'!R414</f>
        <v>0</v>
      </c>
      <c r="U389" s="387">
        <f>'Portefeuille SP2'!K414</f>
        <v>0</v>
      </c>
      <c r="V389" s="399">
        <f>'Portefeuille SP2'!S414</f>
        <v>0</v>
      </c>
      <c r="W389" s="387"/>
      <c r="X389" s="387"/>
      <c r="Y389" s="387"/>
      <c r="Z389" s="387"/>
      <c r="AA389" s="387"/>
      <c r="AB389" s="387"/>
      <c r="AC389" s="387"/>
      <c r="AD389" s="387"/>
      <c r="AE389" s="400">
        <f>'Portefeuille SP2'!J414</f>
        <v>0</v>
      </c>
      <c r="AF389" s="387"/>
      <c r="AG389" s="387"/>
      <c r="AH389" s="389"/>
      <c r="AI389" s="389"/>
      <c r="AJ389" s="403">
        <f>'Portefeuille SP2'!V414</f>
        <v>0</v>
      </c>
      <c r="AK389" s="403">
        <f>'Portefeuille SP2'!W414</f>
        <v>0</v>
      </c>
      <c r="AL389" s="403">
        <f>'Portefeuille SP2'!X414</f>
        <v>0</v>
      </c>
      <c r="AM389" s="403">
        <f>'Portefeuille SP2'!Y414</f>
        <v>0</v>
      </c>
      <c r="AN389" s="403">
        <f>'Portefeuille SP2'!Z414</f>
        <v>0</v>
      </c>
      <c r="AO389" s="403">
        <f>'Portefeuille SP2'!AA414</f>
        <v>0</v>
      </c>
      <c r="AP389" s="403">
        <f>'Portefeuille SP2'!AB414</f>
        <v>0</v>
      </c>
      <c r="AQ389" s="403">
        <f>'Portefeuille SP2'!AC414</f>
        <v>0</v>
      </c>
      <c r="AR389" s="403">
        <f>'Portefeuille SP2'!AD414</f>
        <v>0</v>
      </c>
      <c r="AS389" s="403">
        <f>'Portefeuille SP2'!AE414</f>
        <v>0</v>
      </c>
      <c r="AT389" s="403">
        <f>'Portefeuille SP2'!AF414</f>
        <v>0</v>
      </c>
      <c r="AU389" s="403">
        <f>'Portefeuille SP2'!AG414</f>
        <v>0</v>
      </c>
      <c r="AV389" s="403">
        <f>'Portefeuille SP2'!AH414</f>
        <v>0</v>
      </c>
      <c r="AW389" s="403">
        <f>'Portefeuille SP2'!AI414</f>
        <v>0</v>
      </c>
      <c r="AX389" s="403">
        <f>'Portefeuille SP2'!AJ414</f>
        <v>0</v>
      </c>
      <c r="AY389" s="403">
        <f>'Portefeuille SP2'!AK414</f>
        <v>0</v>
      </c>
      <c r="AZ389" s="403">
        <f>'Portefeuille SP2'!AL414</f>
        <v>0</v>
      </c>
      <c r="BA389" s="403">
        <f>'Portefeuille SP2'!AM414</f>
        <v>0</v>
      </c>
      <c r="BB389" s="403">
        <f>'Portefeuille SP2'!AN414</f>
        <v>0</v>
      </c>
      <c r="BC389" s="403">
        <f>'Portefeuille SP2'!AO414</f>
        <v>0</v>
      </c>
      <c r="BD389" s="403">
        <f>'Portefeuille SP2'!AP414</f>
        <v>0</v>
      </c>
      <c r="BE389" s="403">
        <f>'Portefeuille SP2'!AQ414</f>
        <v>0</v>
      </c>
      <c r="BF389" s="403">
        <f>'Portefeuille SP2'!AR414</f>
        <v>0</v>
      </c>
      <c r="BG389" s="403" t="e">
        <f>'Portefeuille SP2'!#REF!</f>
        <v>#REF!</v>
      </c>
      <c r="BH389" s="403" t="e">
        <f>'Portefeuille SP2'!#REF!</f>
        <v>#REF!</v>
      </c>
      <c r="BI389" s="403" t="e">
        <f>'Portefeuille SP2'!#REF!</f>
        <v>#REF!</v>
      </c>
      <c r="BJ389" s="403" t="e">
        <f>'Portefeuille SP2'!#REF!</f>
        <v>#REF!</v>
      </c>
      <c r="BK389" s="403" t="e">
        <f>'Portefeuille SP2'!#REF!</f>
        <v>#REF!</v>
      </c>
      <c r="BL389" s="388"/>
      <c r="BM389" s="404">
        <f>'Portefeuille SP2'!L414</f>
        <v>0</v>
      </c>
    </row>
    <row r="390" spans="1:65" ht="15" customHeight="1">
      <c r="A390" s="383">
        <f>'Portefeuille SP2'!B415</f>
        <v>0</v>
      </c>
      <c r="B390" s="390">
        <f>'Portefeuille SP2'!Q415</f>
        <v>0</v>
      </c>
      <c r="C390" s="384"/>
      <c r="D390" s="382">
        <f>'Portefeuille SP2'!E415</f>
        <v>0</v>
      </c>
      <c r="E390" s="382" t="str">
        <f t="shared" si="31"/>
        <v>0</v>
      </c>
      <c r="F390" s="382" t="str">
        <f t="shared" si="32"/>
        <v/>
      </c>
      <c r="G390" s="382">
        <f>'Portefeuille SP2'!C415</f>
        <v>0</v>
      </c>
      <c r="H390" s="382">
        <f>'Portefeuille SP2'!F415</f>
        <v>0</v>
      </c>
      <c r="I390" s="382"/>
      <c r="J390" s="382">
        <f>'Portefeuille SP2'!D415</f>
        <v>0</v>
      </c>
      <c r="K390" s="385">
        <f>'Portefeuille SP2'!H415</f>
        <v>0</v>
      </c>
      <c r="L390" s="157">
        <f>'Portefeuille SP2'!U415</f>
        <v>0</v>
      </c>
      <c r="M390" s="386"/>
      <c r="N390" s="386"/>
      <c r="O390" s="386"/>
      <c r="P390" s="387">
        <f>'Portefeuille SP2'!M415</f>
        <v>0</v>
      </c>
      <c r="Q390" s="387"/>
      <c r="R390" s="387">
        <f>'Portefeuille SP2'!N415</f>
        <v>0</v>
      </c>
      <c r="S390" s="387"/>
      <c r="T390" s="382">
        <f>'Portefeuille SP2'!R415</f>
        <v>0</v>
      </c>
      <c r="U390" s="387">
        <f>'Portefeuille SP2'!K415</f>
        <v>0</v>
      </c>
      <c r="V390" s="399">
        <f>'Portefeuille SP2'!S415</f>
        <v>0</v>
      </c>
      <c r="W390" s="387"/>
      <c r="X390" s="387"/>
      <c r="Y390" s="387"/>
      <c r="Z390" s="387"/>
      <c r="AA390" s="387"/>
      <c r="AB390" s="387"/>
      <c r="AC390" s="387"/>
      <c r="AD390" s="387"/>
      <c r="AE390" s="400">
        <f>'Portefeuille SP2'!J415</f>
        <v>0</v>
      </c>
      <c r="AF390" s="387"/>
      <c r="AG390" s="387"/>
      <c r="AH390" s="389"/>
      <c r="AI390" s="389"/>
      <c r="AJ390" s="403">
        <f>'Portefeuille SP2'!V415</f>
        <v>0</v>
      </c>
      <c r="AK390" s="403">
        <f>'Portefeuille SP2'!W415</f>
        <v>0</v>
      </c>
      <c r="AL390" s="403">
        <f>'Portefeuille SP2'!X415</f>
        <v>0</v>
      </c>
      <c r="AM390" s="403">
        <f>'Portefeuille SP2'!Y415</f>
        <v>0</v>
      </c>
      <c r="AN390" s="403">
        <f>'Portefeuille SP2'!Z415</f>
        <v>0</v>
      </c>
      <c r="AO390" s="403">
        <f>'Portefeuille SP2'!AA415</f>
        <v>0</v>
      </c>
      <c r="AP390" s="403">
        <f>'Portefeuille SP2'!AB415</f>
        <v>0</v>
      </c>
      <c r="AQ390" s="403">
        <f>'Portefeuille SP2'!AC415</f>
        <v>0</v>
      </c>
      <c r="AR390" s="403">
        <f>'Portefeuille SP2'!AD415</f>
        <v>0</v>
      </c>
      <c r="AS390" s="403">
        <f>'Portefeuille SP2'!AE415</f>
        <v>0</v>
      </c>
      <c r="AT390" s="403">
        <f>'Portefeuille SP2'!AF415</f>
        <v>0</v>
      </c>
      <c r="AU390" s="403">
        <f>'Portefeuille SP2'!AG415</f>
        <v>0</v>
      </c>
      <c r="AV390" s="403">
        <f>'Portefeuille SP2'!AH415</f>
        <v>0</v>
      </c>
      <c r="AW390" s="403">
        <f>'Portefeuille SP2'!AI415</f>
        <v>0</v>
      </c>
      <c r="AX390" s="403">
        <f>'Portefeuille SP2'!AJ415</f>
        <v>0</v>
      </c>
      <c r="AY390" s="403">
        <f>'Portefeuille SP2'!AK415</f>
        <v>0</v>
      </c>
      <c r="AZ390" s="403">
        <f>'Portefeuille SP2'!AL415</f>
        <v>0</v>
      </c>
      <c r="BA390" s="403">
        <f>'Portefeuille SP2'!AM415</f>
        <v>0</v>
      </c>
      <c r="BB390" s="403">
        <f>'Portefeuille SP2'!AN415</f>
        <v>0</v>
      </c>
      <c r="BC390" s="403">
        <f>'Portefeuille SP2'!AO415</f>
        <v>0</v>
      </c>
      <c r="BD390" s="403">
        <f>'Portefeuille SP2'!AP415</f>
        <v>0</v>
      </c>
      <c r="BE390" s="403">
        <f>'Portefeuille SP2'!AQ415</f>
        <v>0</v>
      </c>
      <c r="BF390" s="403">
        <f>'Portefeuille SP2'!AR415</f>
        <v>0</v>
      </c>
      <c r="BG390" s="403" t="e">
        <f>'Portefeuille SP2'!#REF!</f>
        <v>#REF!</v>
      </c>
      <c r="BH390" s="403" t="e">
        <f>'Portefeuille SP2'!#REF!</f>
        <v>#REF!</v>
      </c>
      <c r="BI390" s="403" t="e">
        <f>'Portefeuille SP2'!#REF!</f>
        <v>#REF!</v>
      </c>
      <c r="BJ390" s="403" t="e">
        <f>'Portefeuille SP2'!#REF!</f>
        <v>#REF!</v>
      </c>
      <c r="BK390" s="403" t="e">
        <f>'Portefeuille SP2'!#REF!</f>
        <v>#REF!</v>
      </c>
      <c r="BL390" s="388"/>
      <c r="BM390" s="404">
        <f>'Portefeuille SP2'!L415</f>
        <v>0</v>
      </c>
    </row>
    <row r="391" spans="1:65" ht="15" customHeight="1">
      <c r="A391" s="383">
        <f>'Portefeuille SP2'!B416</f>
        <v>0</v>
      </c>
      <c r="B391" s="390">
        <f>'Portefeuille SP2'!Q416</f>
        <v>0</v>
      </c>
      <c r="C391" s="384"/>
      <c r="D391" s="382">
        <f>'Portefeuille SP2'!E416</f>
        <v>0</v>
      </c>
      <c r="E391" s="382" t="str">
        <f t="shared" si="31"/>
        <v>0</v>
      </c>
      <c r="F391" s="382" t="str">
        <f t="shared" si="32"/>
        <v/>
      </c>
      <c r="G391" s="382">
        <f>'Portefeuille SP2'!C416</f>
        <v>0</v>
      </c>
      <c r="H391" s="382">
        <f>'Portefeuille SP2'!F416</f>
        <v>0</v>
      </c>
      <c r="I391" s="382"/>
      <c r="J391" s="382">
        <f>'Portefeuille SP2'!D416</f>
        <v>0</v>
      </c>
      <c r="K391" s="385">
        <f>'Portefeuille SP2'!H416</f>
        <v>0</v>
      </c>
      <c r="L391" s="157">
        <f>'Portefeuille SP2'!U416</f>
        <v>0</v>
      </c>
      <c r="M391" s="386"/>
      <c r="N391" s="386"/>
      <c r="O391" s="386"/>
      <c r="P391" s="387">
        <f>'Portefeuille SP2'!M416</f>
        <v>0</v>
      </c>
      <c r="Q391" s="387"/>
      <c r="R391" s="387">
        <f>'Portefeuille SP2'!N416</f>
        <v>0</v>
      </c>
      <c r="S391" s="387"/>
      <c r="T391" s="382">
        <f>'Portefeuille SP2'!R416</f>
        <v>0</v>
      </c>
      <c r="U391" s="387">
        <f>'Portefeuille SP2'!K416</f>
        <v>0</v>
      </c>
      <c r="V391" s="399">
        <f>'Portefeuille SP2'!S416</f>
        <v>0</v>
      </c>
      <c r="W391" s="387"/>
      <c r="X391" s="387"/>
      <c r="Y391" s="387"/>
      <c r="Z391" s="387"/>
      <c r="AA391" s="387"/>
      <c r="AB391" s="387"/>
      <c r="AC391" s="387"/>
      <c r="AD391" s="387"/>
      <c r="AE391" s="400">
        <f>'Portefeuille SP2'!J416</f>
        <v>0</v>
      </c>
      <c r="AF391" s="387"/>
      <c r="AG391" s="387"/>
      <c r="AH391" s="389"/>
      <c r="AI391" s="389"/>
      <c r="AJ391" s="403">
        <f>'Portefeuille SP2'!V416</f>
        <v>0</v>
      </c>
      <c r="AK391" s="403">
        <f>'Portefeuille SP2'!W416</f>
        <v>0</v>
      </c>
      <c r="AL391" s="403">
        <f>'Portefeuille SP2'!X416</f>
        <v>0</v>
      </c>
      <c r="AM391" s="403">
        <f>'Portefeuille SP2'!Y416</f>
        <v>0</v>
      </c>
      <c r="AN391" s="403">
        <f>'Portefeuille SP2'!Z416</f>
        <v>0</v>
      </c>
      <c r="AO391" s="403">
        <f>'Portefeuille SP2'!AA416</f>
        <v>0</v>
      </c>
      <c r="AP391" s="403">
        <f>'Portefeuille SP2'!AB416</f>
        <v>0</v>
      </c>
      <c r="AQ391" s="403">
        <f>'Portefeuille SP2'!AC416</f>
        <v>0</v>
      </c>
      <c r="AR391" s="403">
        <f>'Portefeuille SP2'!AD416</f>
        <v>0</v>
      </c>
      <c r="AS391" s="403">
        <f>'Portefeuille SP2'!AE416</f>
        <v>0</v>
      </c>
      <c r="AT391" s="403">
        <f>'Portefeuille SP2'!AF416</f>
        <v>0</v>
      </c>
      <c r="AU391" s="403">
        <f>'Portefeuille SP2'!AG416</f>
        <v>0</v>
      </c>
      <c r="AV391" s="403">
        <f>'Portefeuille SP2'!AH416</f>
        <v>0</v>
      </c>
      <c r="AW391" s="403">
        <f>'Portefeuille SP2'!AI416</f>
        <v>0</v>
      </c>
      <c r="AX391" s="403">
        <f>'Portefeuille SP2'!AJ416</f>
        <v>0</v>
      </c>
      <c r="AY391" s="403">
        <f>'Portefeuille SP2'!AK416</f>
        <v>0</v>
      </c>
      <c r="AZ391" s="403">
        <f>'Portefeuille SP2'!AL416</f>
        <v>0</v>
      </c>
      <c r="BA391" s="403">
        <f>'Portefeuille SP2'!AM416</f>
        <v>0</v>
      </c>
      <c r="BB391" s="403">
        <f>'Portefeuille SP2'!AN416</f>
        <v>0</v>
      </c>
      <c r="BC391" s="403">
        <f>'Portefeuille SP2'!AO416</f>
        <v>0</v>
      </c>
      <c r="BD391" s="403">
        <f>'Portefeuille SP2'!AP416</f>
        <v>0</v>
      </c>
      <c r="BE391" s="403">
        <f>'Portefeuille SP2'!AQ416</f>
        <v>0</v>
      </c>
      <c r="BF391" s="403">
        <f>'Portefeuille SP2'!AR416</f>
        <v>0</v>
      </c>
      <c r="BG391" s="403" t="e">
        <f>'Portefeuille SP2'!#REF!</f>
        <v>#REF!</v>
      </c>
      <c r="BH391" s="403" t="e">
        <f>'Portefeuille SP2'!#REF!</f>
        <v>#REF!</v>
      </c>
      <c r="BI391" s="403" t="e">
        <f>'Portefeuille SP2'!#REF!</f>
        <v>#REF!</v>
      </c>
      <c r="BJ391" s="403" t="e">
        <f>'Portefeuille SP2'!#REF!</f>
        <v>#REF!</v>
      </c>
      <c r="BK391" s="403" t="e">
        <f>'Portefeuille SP2'!#REF!</f>
        <v>#REF!</v>
      </c>
      <c r="BL391" s="388"/>
      <c r="BM391" s="404">
        <f>'Portefeuille SP2'!L416</f>
        <v>0</v>
      </c>
    </row>
    <row r="392" spans="1:65" ht="15" customHeight="1">
      <c r="A392" s="383">
        <f>'Portefeuille SP2'!B417</f>
        <v>0</v>
      </c>
      <c r="B392" s="390">
        <f>'Portefeuille SP2'!Q417</f>
        <v>0</v>
      </c>
      <c r="C392" s="384"/>
      <c r="D392" s="382">
        <f>'Portefeuille SP2'!E417</f>
        <v>0</v>
      </c>
      <c r="E392" s="382" t="str">
        <f t="shared" si="31"/>
        <v>0</v>
      </c>
      <c r="F392" s="382" t="str">
        <f t="shared" si="32"/>
        <v/>
      </c>
      <c r="G392" s="382">
        <f>'Portefeuille SP2'!C417</f>
        <v>0</v>
      </c>
      <c r="H392" s="382">
        <f>'Portefeuille SP2'!F417</f>
        <v>0</v>
      </c>
      <c r="I392" s="382"/>
      <c r="J392" s="382">
        <f>'Portefeuille SP2'!D417</f>
        <v>0</v>
      </c>
      <c r="K392" s="385">
        <f>'Portefeuille SP2'!H417</f>
        <v>0</v>
      </c>
      <c r="L392" s="157">
        <f>'Portefeuille SP2'!U417</f>
        <v>0</v>
      </c>
      <c r="M392" s="386"/>
      <c r="N392" s="386"/>
      <c r="O392" s="386"/>
      <c r="P392" s="387">
        <f>'Portefeuille SP2'!M417</f>
        <v>0</v>
      </c>
      <c r="Q392" s="387"/>
      <c r="R392" s="387">
        <f>'Portefeuille SP2'!N417</f>
        <v>0</v>
      </c>
      <c r="S392" s="387"/>
      <c r="T392" s="382">
        <f>'Portefeuille SP2'!R417</f>
        <v>0</v>
      </c>
      <c r="U392" s="387">
        <f>'Portefeuille SP2'!K417</f>
        <v>0</v>
      </c>
      <c r="V392" s="399">
        <f>'Portefeuille SP2'!S417</f>
        <v>0</v>
      </c>
      <c r="W392" s="387"/>
      <c r="X392" s="387"/>
      <c r="Y392" s="387"/>
      <c r="Z392" s="387"/>
      <c r="AA392" s="387"/>
      <c r="AB392" s="387"/>
      <c r="AC392" s="387"/>
      <c r="AD392" s="387"/>
      <c r="AE392" s="400">
        <f>'Portefeuille SP2'!J417</f>
        <v>0</v>
      </c>
      <c r="AF392" s="387"/>
      <c r="AG392" s="387"/>
      <c r="AH392" s="389"/>
      <c r="AI392" s="389"/>
      <c r="AJ392" s="403">
        <f>'Portefeuille SP2'!V417</f>
        <v>0</v>
      </c>
      <c r="AK392" s="403">
        <f>'Portefeuille SP2'!W417</f>
        <v>0</v>
      </c>
      <c r="AL392" s="403">
        <f>'Portefeuille SP2'!X417</f>
        <v>0</v>
      </c>
      <c r="AM392" s="403">
        <f>'Portefeuille SP2'!Y417</f>
        <v>0</v>
      </c>
      <c r="AN392" s="403">
        <f>'Portefeuille SP2'!Z417</f>
        <v>0</v>
      </c>
      <c r="AO392" s="403">
        <f>'Portefeuille SP2'!AA417</f>
        <v>0</v>
      </c>
      <c r="AP392" s="403">
        <f>'Portefeuille SP2'!AB417</f>
        <v>0</v>
      </c>
      <c r="AQ392" s="403">
        <f>'Portefeuille SP2'!AC417</f>
        <v>0</v>
      </c>
      <c r="AR392" s="403">
        <f>'Portefeuille SP2'!AD417</f>
        <v>0</v>
      </c>
      <c r="AS392" s="403">
        <f>'Portefeuille SP2'!AE417</f>
        <v>0</v>
      </c>
      <c r="AT392" s="403">
        <f>'Portefeuille SP2'!AF417</f>
        <v>0</v>
      </c>
      <c r="AU392" s="403">
        <f>'Portefeuille SP2'!AG417</f>
        <v>0</v>
      </c>
      <c r="AV392" s="403">
        <f>'Portefeuille SP2'!AH417</f>
        <v>0</v>
      </c>
      <c r="AW392" s="403">
        <f>'Portefeuille SP2'!AI417</f>
        <v>0</v>
      </c>
      <c r="AX392" s="403">
        <f>'Portefeuille SP2'!AJ417</f>
        <v>0</v>
      </c>
      <c r="AY392" s="403">
        <f>'Portefeuille SP2'!AK417</f>
        <v>0</v>
      </c>
      <c r="AZ392" s="403">
        <f>'Portefeuille SP2'!AL417</f>
        <v>0</v>
      </c>
      <c r="BA392" s="403">
        <f>'Portefeuille SP2'!AM417</f>
        <v>0</v>
      </c>
      <c r="BB392" s="403">
        <f>'Portefeuille SP2'!AN417</f>
        <v>0</v>
      </c>
      <c r="BC392" s="403">
        <f>'Portefeuille SP2'!AO417</f>
        <v>0</v>
      </c>
      <c r="BD392" s="403">
        <f>'Portefeuille SP2'!AP417</f>
        <v>0</v>
      </c>
      <c r="BE392" s="403">
        <f>'Portefeuille SP2'!AQ417</f>
        <v>0</v>
      </c>
      <c r="BF392" s="403">
        <f>'Portefeuille SP2'!AR417</f>
        <v>0</v>
      </c>
      <c r="BG392" s="403" t="e">
        <f>'Portefeuille SP2'!#REF!</f>
        <v>#REF!</v>
      </c>
      <c r="BH392" s="403" t="e">
        <f>'Portefeuille SP2'!#REF!</f>
        <v>#REF!</v>
      </c>
      <c r="BI392" s="403" t="e">
        <f>'Portefeuille SP2'!#REF!</f>
        <v>#REF!</v>
      </c>
      <c r="BJ392" s="403" t="e">
        <f>'Portefeuille SP2'!#REF!</f>
        <v>#REF!</v>
      </c>
      <c r="BK392" s="403" t="e">
        <f>'Portefeuille SP2'!#REF!</f>
        <v>#REF!</v>
      </c>
      <c r="BL392" s="388"/>
      <c r="BM392" s="404">
        <f>'Portefeuille SP2'!L417</f>
        <v>0</v>
      </c>
    </row>
    <row r="393" spans="1:65" ht="15" customHeight="1">
      <c r="A393" s="383">
        <f>'Portefeuille SP2'!B418</f>
        <v>0</v>
      </c>
      <c r="B393" s="390">
        <f>'Portefeuille SP2'!Q418</f>
        <v>0</v>
      </c>
      <c r="C393" s="384"/>
      <c r="D393" s="382">
        <f>'Portefeuille SP2'!E418</f>
        <v>0</v>
      </c>
      <c r="E393" s="382" t="str">
        <f t="shared" ref="E393:E456" si="33">LEFT(J393,3)</f>
        <v>0</v>
      </c>
      <c r="F393" s="382" t="str">
        <f t="shared" ref="F393:F456" si="34">MID(J393, 6, 20)</f>
        <v/>
      </c>
      <c r="G393" s="382">
        <f>'Portefeuille SP2'!C418</f>
        <v>0</v>
      </c>
      <c r="H393" s="382">
        <f>'Portefeuille SP2'!F418</f>
        <v>0</v>
      </c>
      <c r="I393" s="382"/>
      <c r="J393" s="382">
        <f>'Portefeuille SP2'!D418</f>
        <v>0</v>
      </c>
      <c r="K393" s="385">
        <f>'Portefeuille SP2'!H418</f>
        <v>0</v>
      </c>
      <c r="L393" s="157">
        <f>'Portefeuille SP2'!U418</f>
        <v>0</v>
      </c>
      <c r="M393" s="386"/>
      <c r="N393" s="386"/>
      <c r="O393" s="386"/>
      <c r="P393" s="387">
        <f>'Portefeuille SP2'!M418</f>
        <v>0</v>
      </c>
      <c r="Q393" s="387"/>
      <c r="R393" s="387">
        <f>'Portefeuille SP2'!N418</f>
        <v>0</v>
      </c>
      <c r="S393" s="387"/>
      <c r="T393" s="382">
        <f>'Portefeuille SP2'!R418</f>
        <v>0</v>
      </c>
      <c r="U393" s="387">
        <f>'Portefeuille SP2'!K418</f>
        <v>0</v>
      </c>
      <c r="V393" s="399">
        <f>'Portefeuille SP2'!S418</f>
        <v>0</v>
      </c>
      <c r="W393" s="387"/>
      <c r="X393" s="387"/>
      <c r="Y393" s="387"/>
      <c r="Z393" s="387"/>
      <c r="AA393" s="387"/>
      <c r="AB393" s="387"/>
      <c r="AC393" s="387"/>
      <c r="AD393" s="387"/>
      <c r="AE393" s="400">
        <f>'Portefeuille SP2'!J418</f>
        <v>0</v>
      </c>
      <c r="AF393" s="387"/>
      <c r="AG393" s="387"/>
      <c r="AH393" s="389"/>
      <c r="AI393" s="389"/>
      <c r="AJ393" s="403">
        <f>'Portefeuille SP2'!V418</f>
        <v>0</v>
      </c>
      <c r="AK393" s="403">
        <f>'Portefeuille SP2'!W418</f>
        <v>0</v>
      </c>
      <c r="AL393" s="403">
        <f>'Portefeuille SP2'!X418</f>
        <v>0</v>
      </c>
      <c r="AM393" s="403">
        <f>'Portefeuille SP2'!Y418</f>
        <v>0</v>
      </c>
      <c r="AN393" s="403">
        <f>'Portefeuille SP2'!Z418</f>
        <v>0</v>
      </c>
      <c r="AO393" s="403">
        <f>'Portefeuille SP2'!AA418</f>
        <v>0</v>
      </c>
      <c r="AP393" s="403">
        <f>'Portefeuille SP2'!AB418</f>
        <v>0</v>
      </c>
      <c r="AQ393" s="403">
        <f>'Portefeuille SP2'!AC418</f>
        <v>0</v>
      </c>
      <c r="AR393" s="403">
        <f>'Portefeuille SP2'!AD418</f>
        <v>0</v>
      </c>
      <c r="AS393" s="403">
        <f>'Portefeuille SP2'!AE418</f>
        <v>0</v>
      </c>
      <c r="AT393" s="403">
        <f>'Portefeuille SP2'!AF418</f>
        <v>0</v>
      </c>
      <c r="AU393" s="403">
        <f>'Portefeuille SP2'!AG418</f>
        <v>0</v>
      </c>
      <c r="AV393" s="403">
        <f>'Portefeuille SP2'!AH418</f>
        <v>0</v>
      </c>
      <c r="AW393" s="403">
        <f>'Portefeuille SP2'!AI418</f>
        <v>0</v>
      </c>
      <c r="AX393" s="403">
        <f>'Portefeuille SP2'!AJ418</f>
        <v>0</v>
      </c>
      <c r="AY393" s="403">
        <f>'Portefeuille SP2'!AK418</f>
        <v>0</v>
      </c>
      <c r="AZ393" s="403">
        <f>'Portefeuille SP2'!AL418</f>
        <v>0</v>
      </c>
      <c r="BA393" s="403">
        <f>'Portefeuille SP2'!AM418</f>
        <v>0</v>
      </c>
      <c r="BB393" s="403">
        <f>'Portefeuille SP2'!AN418</f>
        <v>0</v>
      </c>
      <c r="BC393" s="403">
        <f>'Portefeuille SP2'!AO418</f>
        <v>0</v>
      </c>
      <c r="BD393" s="403">
        <f>'Portefeuille SP2'!AP418</f>
        <v>0</v>
      </c>
      <c r="BE393" s="403">
        <f>'Portefeuille SP2'!AQ418</f>
        <v>0</v>
      </c>
      <c r="BF393" s="403">
        <f>'Portefeuille SP2'!AR418</f>
        <v>0</v>
      </c>
      <c r="BG393" s="403" t="e">
        <f>'Portefeuille SP2'!#REF!</f>
        <v>#REF!</v>
      </c>
      <c r="BH393" s="403" t="e">
        <f>'Portefeuille SP2'!#REF!</f>
        <v>#REF!</v>
      </c>
      <c r="BI393" s="403" t="e">
        <f>'Portefeuille SP2'!#REF!</f>
        <v>#REF!</v>
      </c>
      <c r="BJ393" s="403" t="e">
        <f>'Portefeuille SP2'!#REF!</f>
        <v>#REF!</v>
      </c>
      <c r="BK393" s="403" t="e">
        <f>'Portefeuille SP2'!#REF!</f>
        <v>#REF!</v>
      </c>
      <c r="BL393" s="388"/>
      <c r="BM393" s="404">
        <f>'Portefeuille SP2'!L418</f>
        <v>0</v>
      </c>
    </row>
    <row r="394" spans="1:65" ht="15" customHeight="1">
      <c r="A394" s="383">
        <f>'Portefeuille SP2'!B419</f>
        <v>0</v>
      </c>
      <c r="B394" s="390">
        <f>'Portefeuille SP2'!Q419</f>
        <v>0</v>
      </c>
      <c r="C394" s="384"/>
      <c r="D394" s="382">
        <f>'Portefeuille SP2'!E419</f>
        <v>0</v>
      </c>
      <c r="E394" s="382" t="str">
        <f t="shared" si="33"/>
        <v>0</v>
      </c>
      <c r="F394" s="382" t="str">
        <f t="shared" si="34"/>
        <v/>
      </c>
      <c r="G394" s="382">
        <f>'Portefeuille SP2'!C419</f>
        <v>0</v>
      </c>
      <c r="H394" s="382">
        <f>'Portefeuille SP2'!F419</f>
        <v>0</v>
      </c>
      <c r="I394" s="382"/>
      <c r="J394" s="382">
        <f>'Portefeuille SP2'!D419</f>
        <v>0</v>
      </c>
      <c r="K394" s="385">
        <f>'Portefeuille SP2'!H419</f>
        <v>0</v>
      </c>
      <c r="L394" s="157">
        <f>'Portefeuille SP2'!U419</f>
        <v>0</v>
      </c>
      <c r="M394" s="386"/>
      <c r="N394" s="386"/>
      <c r="O394" s="386"/>
      <c r="P394" s="387">
        <f>'Portefeuille SP2'!M419</f>
        <v>0</v>
      </c>
      <c r="Q394" s="387"/>
      <c r="R394" s="387">
        <f>'Portefeuille SP2'!N419</f>
        <v>0</v>
      </c>
      <c r="S394" s="387"/>
      <c r="T394" s="382">
        <f>'Portefeuille SP2'!R419</f>
        <v>0</v>
      </c>
      <c r="U394" s="387">
        <f>'Portefeuille SP2'!K419</f>
        <v>0</v>
      </c>
      <c r="V394" s="399">
        <f>'Portefeuille SP2'!S419</f>
        <v>0</v>
      </c>
      <c r="W394" s="387"/>
      <c r="X394" s="387"/>
      <c r="Y394" s="387"/>
      <c r="Z394" s="387"/>
      <c r="AA394" s="387"/>
      <c r="AB394" s="387"/>
      <c r="AC394" s="387"/>
      <c r="AD394" s="387"/>
      <c r="AE394" s="400">
        <f>'Portefeuille SP2'!J419</f>
        <v>0</v>
      </c>
      <c r="AF394" s="387"/>
      <c r="AG394" s="387"/>
      <c r="AH394" s="389"/>
      <c r="AI394" s="389"/>
      <c r="AJ394" s="403">
        <f>'Portefeuille SP2'!V419</f>
        <v>0</v>
      </c>
      <c r="AK394" s="403">
        <f>'Portefeuille SP2'!W419</f>
        <v>0</v>
      </c>
      <c r="AL394" s="403">
        <f>'Portefeuille SP2'!X419</f>
        <v>0</v>
      </c>
      <c r="AM394" s="403">
        <f>'Portefeuille SP2'!Y419</f>
        <v>0</v>
      </c>
      <c r="AN394" s="403">
        <f>'Portefeuille SP2'!Z419</f>
        <v>0</v>
      </c>
      <c r="AO394" s="403">
        <f>'Portefeuille SP2'!AA419</f>
        <v>0</v>
      </c>
      <c r="AP394" s="403">
        <f>'Portefeuille SP2'!AB419</f>
        <v>0</v>
      </c>
      <c r="AQ394" s="403">
        <f>'Portefeuille SP2'!AC419</f>
        <v>0</v>
      </c>
      <c r="AR394" s="403">
        <f>'Portefeuille SP2'!AD419</f>
        <v>0</v>
      </c>
      <c r="AS394" s="403">
        <f>'Portefeuille SP2'!AE419</f>
        <v>0</v>
      </c>
      <c r="AT394" s="403">
        <f>'Portefeuille SP2'!AF419</f>
        <v>0</v>
      </c>
      <c r="AU394" s="403">
        <f>'Portefeuille SP2'!AG419</f>
        <v>0</v>
      </c>
      <c r="AV394" s="403">
        <f>'Portefeuille SP2'!AH419</f>
        <v>0</v>
      </c>
      <c r="AW394" s="403">
        <f>'Portefeuille SP2'!AI419</f>
        <v>0</v>
      </c>
      <c r="AX394" s="403">
        <f>'Portefeuille SP2'!AJ419</f>
        <v>0</v>
      </c>
      <c r="AY394" s="403">
        <f>'Portefeuille SP2'!AK419</f>
        <v>0</v>
      </c>
      <c r="AZ394" s="403">
        <f>'Portefeuille SP2'!AL419</f>
        <v>0</v>
      </c>
      <c r="BA394" s="403">
        <f>'Portefeuille SP2'!AM419</f>
        <v>0</v>
      </c>
      <c r="BB394" s="403">
        <f>'Portefeuille SP2'!AN419</f>
        <v>0</v>
      </c>
      <c r="BC394" s="403">
        <f>'Portefeuille SP2'!AO419</f>
        <v>0</v>
      </c>
      <c r="BD394" s="403">
        <f>'Portefeuille SP2'!AP419</f>
        <v>0</v>
      </c>
      <c r="BE394" s="403">
        <f>'Portefeuille SP2'!AQ419</f>
        <v>0</v>
      </c>
      <c r="BF394" s="403">
        <f>'Portefeuille SP2'!AR419</f>
        <v>0</v>
      </c>
      <c r="BG394" s="403" t="e">
        <f>'Portefeuille SP2'!#REF!</f>
        <v>#REF!</v>
      </c>
      <c r="BH394" s="403" t="e">
        <f>'Portefeuille SP2'!#REF!</f>
        <v>#REF!</v>
      </c>
      <c r="BI394" s="403" t="e">
        <f>'Portefeuille SP2'!#REF!</f>
        <v>#REF!</v>
      </c>
      <c r="BJ394" s="403" t="e">
        <f>'Portefeuille SP2'!#REF!</f>
        <v>#REF!</v>
      </c>
      <c r="BK394" s="403" t="e">
        <f>'Portefeuille SP2'!#REF!</f>
        <v>#REF!</v>
      </c>
      <c r="BL394" s="388"/>
      <c r="BM394" s="404">
        <f>'Portefeuille SP2'!L419</f>
        <v>0</v>
      </c>
    </row>
    <row r="395" spans="1:65" ht="15" customHeight="1">
      <c r="A395" s="383">
        <f>'Portefeuille SP2'!B420</f>
        <v>0</v>
      </c>
      <c r="B395" s="390">
        <f>'Portefeuille SP2'!Q420</f>
        <v>0</v>
      </c>
      <c r="C395" s="384"/>
      <c r="D395" s="382">
        <f>'Portefeuille SP2'!E420</f>
        <v>0</v>
      </c>
      <c r="E395" s="382" t="str">
        <f t="shared" si="33"/>
        <v>0</v>
      </c>
      <c r="F395" s="382" t="str">
        <f t="shared" si="34"/>
        <v/>
      </c>
      <c r="G395" s="382">
        <f>'Portefeuille SP2'!C420</f>
        <v>0</v>
      </c>
      <c r="H395" s="382">
        <f>'Portefeuille SP2'!F420</f>
        <v>0</v>
      </c>
      <c r="I395" s="382"/>
      <c r="J395" s="382">
        <f>'Portefeuille SP2'!D420</f>
        <v>0</v>
      </c>
      <c r="K395" s="385">
        <f>'Portefeuille SP2'!H420</f>
        <v>0</v>
      </c>
      <c r="L395" s="157">
        <f>'Portefeuille SP2'!U420</f>
        <v>0</v>
      </c>
      <c r="M395" s="386"/>
      <c r="N395" s="386"/>
      <c r="O395" s="386"/>
      <c r="P395" s="387">
        <f>'Portefeuille SP2'!M420</f>
        <v>0</v>
      </c>
      <c r="Q395" s="387"/>
      <c r="R395" s="387">
        <f>'Portefeuille SP2'!N420</f>
        <v>0</v>
      </c>
      <c r="S395" s="387"/>
      <c r="T395" s="382">
        <f>'Portefeuille SP2'!R420</f>
        <v>0</v>
      </c>
      <c r="U395" s="387">
        <f>'Portefeuille SP2'!K420</f>
        <v>0</v>
      </c>
      <c r="V395" s="399">
        <f>'Portefeuille SP2'!S420</f>
        <v>0</v>
      </c>
      <c r="W395" s="387"/>
      <c r="X395" s="387"/>
      <c r="Y395" s="387"/>
      <c r="Z395" s="387"/>
      <c r="AA395" s="387"/>
      <c r="AB395" s="387"/>
      <c r="AC395" s="387"/>
      <c r="AD395" s="387"/>
      <c r="AE395" s="400">
        <f>'Portefeuille SP2'!J420</f>
        <v>0</v>
      </c>
      <c r="AF395" s="387"/>
      <c r="AG395" s="387"/>
      <c r="AH395" s="389"/>
      <c r="AI395" s="389"/>
      <c r="AJ395" s="403">
        <f>'Portefeuille SP2'!V420</f>
        <v>0</v>
      </c>
      <c r="AK395" s="403">
        <f>'Portefeuille SP2'!W420</f>
        <v>0</v>
      </c>
      <c r="AL395" s="403">
        <f>'Portefeuille SP2'!X420</f>
        <v>0</v>
      </c>
      <c r="AM395" s="403">
        <f>'Portefeuille SP2'!Y420</f>
        <v>0</v>
      </c>
      <c r="AN395" s="403">
        <f>'Portefeuille SP2'!Z420</f>
        <v>0</v>
      </c>
      <c r="AO395" s="403">
        <f>'Portefeuille SP2'!AA420</f>
        <v>0</v>
      </c>
      <c r="AP395" s="403">
        <f>'Portefeuille SP2'!AB420</f>
        <v>0</v>
      </c>
      <c r="AQ395" s="403">
        <f>'Portefeuille SP2'!AC420</f>
        <v>0</v>
      </c>
      <c r="AR395" s="403">
        <f>'Portefeuille SP2'!AD420</f>
        <v>0</v>
      </c>
      <c r="AS395" s="403">
        <f>'Portefeuille SP2'!AE420</f>
        <v>0</v>
      </c>
      <c r="AT395" s="403">
        <f>'Portefeuille SP2'!AF420</f>
        <v>0</v>
      </c>
      <c r="AU395" s="403">
        <f>'Portefeuille SP2'!AG420</f>
        <v>0</v>
      </c>
      <c r="AV395" s="403">
        <f>'Portefeuille SP2'!AH420</f>
        <v>0</v>
      </c>
      <c r="AW395" s="403">
        <f>'Portefeuille SP2'!AI420</f>
        <v>0</v>
      </c>
      <c r="AX395" s="403">
        <f>'Portefeuille SP2'!AJ420</f>
        <v>0</v>
      </c>
      <c r="AY395" s="403">
        <f>'Portefeuille SP2'!AK420</f>
        <v>0</v>
      </c>
      <c r="AZ395" s="403">
        <f>'Portefeuille SP2'!AL420</f>
        <v>0</v>
      </c>
      <c r="BA395" s="403">
        <f>'Portefeuille SP2'!AM420</f>
        <v>0</v>
      </c>
      <c r="BB395" s="403">
        <f>'Portefeuille SP2'!AN420</f>
        <v>0</v>
      </c>
      <c r="BC395" s="403">
        <f>'Portefeuille SP2'!AO420</f>
        <v>0</v>
      </c>
      <c r="BD395" s="403">
        <f>'Portefeuille SP2'!AP420</f>
        <v>0</v>
      </c>
      <c r="BE395" s="403">
        <f>'Portefeuille SP2'!AQ420</f>
        <v>0</v>
      </c>
      <c r="BF395" s="403">
        <f>'Portefeuille SP2'!AR420</f>
        <v>0</v>
      </c>
      <c r="BG395" s="403" t="e">
        <f>'Portefeuille SP2'!#REF!</f>
        <v>#REF!</v>
      </c>
      <c r="BH395" s="403" t="e">
        <f>'Portefeuille SP2'!#REF!</f>
        <v>#REF!</v>
      </c>
      <c r="BI395" s="403" t="e">
        <f>'Portefeuille SP2'!#REF!</f>
        <v>#REF!</v>
      </c>
      <c r="BJ395" s="403" t="e">
        <f>'Portefeuille SP2'!#REF!</f>
        <v>#REF!</v>
      </c>
      <c r="BK395" s="403" t="e">
        <f>'Portefeuille SP2'!#REF!</f>
        <v>#REF!</v>
      </c>
      <c r="BL395" s="388"/>
      <c r="BM395" s="404">
        <f>'Portefeuille SP2'!L420</f>
        <v>0</v>
      </c>
    </row>
    <row r="396" spans="1:65" ht="15" customHeight="1">
      <c r="A396" s="383">
        <f>'Portefeuille SP2'!B421</f>
        <v>0</v>
      </c>
      <c r="B396" s="390">
        <f>'Portefeuille SP2'!Q421</f>
        <v>0</v>
      </c>
      <c r="C396" s="384"/>
      <c r="D396" s="382">
        <f>'Portefeuille SP2'!E421</f>
        <v>0</v>
      </c>
      <c r="E396" s="382" t="str">
        <f t="shared" si="33"/>
        <v>0</v>
      </c>
      <c r="F396" s="382" t="str">
        <f t="shared" si="34"/>
        <v/>
      </c>
      <c r="G396" s="382">
        <f>'Portefeuille SP2'!C421</f>
        <v>0</v>
      </c>
      <c r="H396" s="382">
        <f>'Portefeuille SP2'!F421</f>
        <v>0</v>
      </c>
      <c r="I396" s="382"/>
      <c r="J396" s="382">
        <f>'Portefeuille SP2'!D421</f>
        <v>0</v>
      </c>
      <c r="K396" s="385">
        <f>'Portefeuille SP2'!H421</f>
        <v>0</v>
      </c>
      <c r="L396" s="157">
        <f>'Portefeuille SP2'!U421</f>
        <v>0</v>
      </c>
      <c r="M396" s="386"/>
      <c r="N396" s="386"/>
      <c r="O396" s="386"/>
      <c r="P396" s="387">
        <f>'Portefeuille SP2'!M421</f>
        <v>0</v>
      </c>
      <c r="Q396" s="387"/>
      <c r="R396" s="387">
        <f>'Portefeuille SP2'!N421</f>
        <v>0</v>
      </c>
      <c r="S396" s="387"/>
      <c r="T396" s="382">
        <f>'Portefeuille SP2'!R421</f>
        <v>0</v>
      </c>
      <c r="U396" s="387">
        <f>'Portefeuille SP2'!K421</f>
        <v>0</v>
      </c>
      <c r="V396" s="399">
        <f>'Portefeuille SP2'!S421</f>
        <v>0</v>
      </c>
      <c r="W396" s="387"/>
      <c r="X396" s="387"/>
      <c r="Y396" s="387"/>
      <c r="Z396" s="387"/>
      <c r="AA396" s="387"/>
      <c r="AB396" s="387"/>
      <c r="AC396" s="387"/>
      <c r="AD396" s="387"/>
      <c r="AE396" s="400">
        <f>'Portefeuille SP2'!J421</f>
        <v>0</v>
      </c>
      <c r="AF396" s="387"/>
      <c r="AG396" s="387"/>
      <c r="AH396" s="389"/>
      <c r="AI396" s="389"/>
      <c r="AJ396" s="403">
        <f>'Portefeuille SP2'!V421</f>
        <v>0</v>
      </c>
      <c r="AK396" s="403">
        <f>'Portefeuille SP2'!W421</f>
        <v>0</v>
      </c>
      <c r="AL396" s="403">
        <f>'Portefeuille SP2'!X421</f>
        <v>0</v>
      </c>
      <c r="AM396" s="403">
        <f>'Portefeuille SP2'!Y421</f>
        <v>0</v>
      </c>
      <c r="AN396" s="403">
        <f>'Portefeuille SP2'!Z421</f>
        <v>0</v>
      </c>
      <c r="AO396" s="403">
        <f>'Portefeuille SP2'!AA421</f>
        <v>0</v>
      </c>
      <c r="AP396" s="403">
        <f>'Portefeuille SP2'!AB421</f>
        <v>0</v>
      </c>
      <c r="AQ396" s="403">
        <f>'Portefeuille SP2'!AC421</f>
        <v>0</v>
      </c>
      <c r="AR396" s="403">
        <f>'Portefeuille SP2'!AD421</f>
        <v>0</v>
      </c>
      <c r="AS396" s="403">
        <f>'Portefeuille SP2'!AE421</f>
        <v>0</v>
      </c>
      <c r="AT396" s="403">
        <f>'Portefeuille SP2'!AF421</f>
        <v>0</v>
      </c>
      <c r="AU396" s="403">
        <f>'Portefeuille SP2'!AG421</f>
        <v>0</v>
      </c>
      <c r="AV396" s="403">
        <f>'Portefeuille SP2'!AH421</f>
        <v>0</v>
      </c>
      <c r="AW396" s="403">
        <f>'Portefeuille SP2'!AI421</f>
        <v>0</v>
      </c>
      <c r="AX396" s="403">
        <f>'Portefeuille SP2'!AJ421</f>
        <v>0</v>
      </c>
      <c r="AY396" s="403">
        <f>'Portefeuille SP2'!AK421</f>
        <v>0</v>
      </c>
      <c r="AZ396" s="403">
        <f>'Portefeuille SP2'!AL421</f>
        <v>0</v>
      </c>
      <c r="BA396" s="403">
        <f>'Portefeuille SP2'!AM421</f>
        <v>0</v>
      </c>
      <c r="BB396" s="403">
        <f>'Portefeuille SP2'!AN421</f>
        <v>0</v>
      </c>
      <c r="BC396" s="403">
        <f>'Portefeuille SP2'!AO421</f>
        <v>0</v>
      </c>
      <c r="BD396" s="403">
        <f>'Portefeuille SP2'!AP421</f>
        <v>0</v>
      </c>
      <c r="BE396" s="403">
        <f>'Portefeuille SP2'!AQ421</f>
        <v>0</v>
      </c>
      <c r="BF396" s="403">
        <f>'Portefeuille SP2'!AR421</f>
        <v>0</v>
      </c>
      <c r="BG396" s="403" t="e">
        <f>'Portefeuille SP2'!#REF!</f>
        <v>#REF!</v>
      </c>
      <c r="BH396" s="403" t="e">
        <f>'Portefeuille SP2'!#REF!</f>
        <v>#REF!</v>
      </c>
      <c r="BI396" s="403" t="e">
        <f>'Portefeuille SP2'!#REF!</f>
        <v>#REF!</v>
      </c>
      <c r="BJ396" s="403" t="e">
        <f>'Portefeuille SP2'!#REF!</f>
        <v>#REF!</v>
      </c>
      <c r="BK396" s="403" t="e">
        <f>'Portefeuille SP2'!#REF!</f>
        <v>#REF!</v>
      </c>
      <c r="BL396" s="388"/>
      <c r="BM396" s="404">
        <f>'Portefeuille SP2'!L421</f>
        <v>0</v>
      </c>
    </row>
    <row r="397" spans="1:65" ht="15" customHeight="1">
      <c r="A397" s="383">
        <f>'Portefeuille SP2'!B422</f>
        <v>0</v>
      </c>
      <c r="B397" s="390">
        <f>'Portefeuille SP2'!Q422</f>
        <v>0</v>
      </c>
      <c r="C397" s="384"/>
      <c r="D397" s="382">
        <f>'Portefeuille SP2'!E422</f>
        <v>0</v>
      </c>
      <c r="E397" s="382" t="str">
        <f t="shared" si="33"/>
        <v>0</v>
      </c>
      <c r="F397" s="382" t="str">
        <f t="shared" si="34"/>
        <v/>
      </c>
      <c r="G397" s="382">
        <f>'Portefeuille SP2'!C422</f>
        <v>0</v>
      </c>
      <c r="H397" s="382">
        <f>'Portefeuille SP2'!F422</f>
        <v>0</v>
      </c>
      <c r="I397" s="382"/>
      <c r="J397" s="382">
        <f>'Portefeuille SP2'!D422</f>
        <v>0</v>
      </c>
      <c r="K397" s="385">
        <f>'Portefeuille SP2'!H422</f>
        <v>0</v>
      </c>
      <c r="L397" s="157">
        <f>'Portefeuille SP2'!U422</f>
        <v>0</v>
      </c>
      <c r="M397" s="386"/>
      <c r="N397" s="386"/>
      <c r="O397" s="386"/>
      <c r="P397" s="387">
        <f>'Portefeuille SP2'!M422</f>
        <v>0</v>
      </c>
      <c r="Q397" s="387"/>
      <c r="R397" s="387">
        <f>'Portefeuille SP2'!N422</f>
        <v>0</v>
      </c>
      <c r="S397" s="387"/>
      <c r="T397" s="382">
        <f>'Portefeuille SP2'!R422</f>
        <v>0</v>
      </c>
      <c r="U397" s="387">
        <f>'Portefeuille SP2'!K422</f>
        <v>0</v>
      </c>
      <c r="V397" s="399">
        <f>'Portefeuille SP2'!S422</f>
        <v>0</v>
      </c>
      <c r="W397" s="387"/>
      <c r="X397" s="387"/>
      <c r="Y397" s="387"/>
      <c r="Z397" s="387"/>
      <c r="AA397" s="387"/>
      <c r="AB397" s="387"/>
      <c r="AC397" s="387"/>
      <c r="AD397" s="387"/>
      <c r="AE397" s="400">
        <f>'Portefeuille SP2'!J422</f>
        <v>0</v>
      </c>
      <c r="AF397" s="387"/>
      <c r="AG397" s="387"/>
      <c r="AH397" s="389"/>
      <c r="AI397" s="389"/>
      <c r="AJ397" s="403">
        <f>'Portefeuille SP2'!V422</f>
        <v>0</v>
      </c>
      <c r="AK397" s="403">
        <f>'Portefeuille SP2'!W422</f>
        <v>0</v>
      </c>
      <c r="AL397" s="403">
        <f>'Portefeuille SP2'!X422</f>
        <v>0</v>
      </c>
      <c r="AM397" s="403">
        <f>'Portefeuille SP2'!Y422</f>
        <v>0</v>
      </c>
      <c r="AN397" s="403">
        <f>'Portefeuille SP2'!Z422</f>
        <v>0</v>
      </c>
      <c r="AO397" s="403">
        <f>'Portefeuille SP2'!AA422</f>
        <v>0</v>
      </c>
      <c r="AP397" s="403">
        <f>'Portefeuille SP2'!AB422</f>
        <v>0</v>
      </c>
      <c r="AQ397" s="403">
        <f>'Portefeuille SP2'!AC422</f>
        <v>0</v>
      </c>
      <c r="AR397" s="403">
        <f>'Portefeuille SP2'!AD422</f>
        <v>0</v>
      </c>
      <c r="AS397" s="403">
        <f>'Portefeuille SP2'!AE422</f>
        <v>0</v>
      </c>
      <c r="AT397" s="403">
        <f>'Portefeuille SP2'!AF422</f>
        <v>0</v>
      </c>
      <c r="AU397" s="403">
        <f>'Portefeuille SP2'!AG422</f>
        <v>0</v>
      </c>
      <c r="AV397" s="403">
        <f>'Portefeuille SP2'!AH422</f>
        <v>0</v>
      </c>
      <c r="AW397" s="403">
        <f>'Portefeuille SP2'!AI422</f>
        <v>0</v>
      </c>
      <c r="AX397" s="403">
        <f>'Portefeuille SP2'!AJ422</f>
        <v>0</v>
      </c>
      <c r="AY397" s="403">
        <f>'Portefeuille SP2'!AK422</f>
        <v>0</v>
      </c>
      <c r="AZ397" s="403">
        <f>'Portefeuille SP2'!AL422</f>
        <v>0</v>
      </c>
      <c r="BA397" s="403">
        <f>'Portefeuille SP2'!AM422</f>
        <v>0</v>
      </c>
      <c r="BB397" s="403">
        <f>'Portefeuille SP2'!AN422</f>
        <v>0</v>
      </c>
      <c r="BC397" s="403">
        <f>'Portefeuille SP2'!AO422</f>
        <v>0</v>
      </c>
      <c r="BD397" s="403">
        <f>'Portefeuille SP2'!AP422</f>
        <v>0</v>
      </c>
      <c r="BE397" s="403">
        <f>'Portefeuille SP2'!AQ422</f>
        <v>0</v>
      </c>
      <c r="BF397" s="403">
        <f>'Portefeuille SP2'!AR422</f>
        <v>0</v>
      </c>
      <c r="BG397" s="403" t="e">
        <f>'Portefeuille SP2'!#REF!</f>
        <v>#REF!</v>
      </c>
      <c r="BH397" s="403" t="e">
        <f>'Portefeuille SP2'!#REF!</f>
        <v>#REF!</v>
      </c>
      <c r="BI397" s="403" t="e">
        <f>'Portefeuille SP2'!#REF!</f>
        <v>#REF!</v>
      </c>
      <c r="BJ397" s="403" t="e">
        <f>'Portefeuille SP2'!#REF!</f>
        <v>#REF!</v>
      </c>
      <c r="BK397" s="403" t="e">
        <f>'Portefeuille SP2'!#REF!</f>
        <v>#REF!</v>
      </c>
      <c r="BL397" s="388"/>
      <c r="BM397" s="404">
        <f>'Portefeuille SP2'!L422</f>
        <v>0</v>
      </c>
    </row>
    <row r="398" spans="1:65" ht="15" customHeight="1">
      <c r="A398" s="383">
        <f>'Portefeuille SP2'!B423</f>
        <v>0</v>
      </c>
      <c r="B398" s="390">
        <f>'Portefeuille SP2'!Q423</f>
        <v>0</v>
      </c>
      <c r="C398" s="384"/>
      <c r="D398" s="382">
        <f>'Portefeuille SP2'!E423</f>
        <v>0</v>
      </c>
      <c r="E398" s="382" t="str">
        <f t="shared" si="33"/>
        <v>0</v>
      </c>
      <c r="F398" s="382" t="str">
        <f t="shared" si="34"/>
        <v/>
      </c>
      <c r="G398" s="382">
        <f>'Portefeuille SP2'!C423</f>
        <v>0</v>
      </c>
      <c r="H398" s="382">
        <f>'Portefeuille SP2'!F423</f>
        <v>0</v>
      </c>
      <c r="I398" s="382"/>
      <c r="J398" s="382">
        <f>'Portefeuille SP2'!D423</f>
        <v>0</v>
      </c>
      <c r="K398" s="385">
        <f>'Portefeuille SP2'!H423</f>
        <v>0</v>
      </c>
      <c r="L398" s="157">
        <f>'Portefeuille SP2'!U423</f>
        <v>0</v>
      </c>
      <c r="M398" s="386"/>
      <c r="N398" s="386"/>
      <c r="O398" s="386"/>
      <c r="P398" s="387">
        <f>'Portefeuille SP2'!M423</f>
        <v>0</v>
      </c>
      <c r="Q398" s="387"/>
      <c r="R398" s="387">
        <f>'Portefeuille SP2'!N423</f>
        <v>0</v>
      </c>
      <c r="S398" s="387"/>
      <c r="T398" s="382">
        <f>'Portefeuille SP2'!R423</f>
        <v>0</v>
      </c>
      <c r="U398" s="387">
        <f>'Portefeuille SP2'!K423</f>
        <v>0</v>
      </c>
      <c r="V398" s="399">
        <f>'Portefeuille SP2'!S423</f>
        <v>0</v>
      </c>
      <c r="W398" s="387"/>
      <c r="X398" s="387"/>
      <c r="Y398" s="387"/>
      <c r="Z398" s="387"/>
      <c r="AA398" s="387"/>
      <c r="AB398" s="387"/>
      <c r="AC398" s="387"/>
      <c r="AD398" s="387"/>
      <c r="AE398" s="400">
        <f>'Portefeuille SP2'!J423</f>
        <v>0</v>
      </c>
      <c r="AF398" s="387"/>
      <c r="AG398" s="387"/>
      <c r="AH398" s="389"/>
      <c r="AI398" s="389"/>
      <c r="AJ398" s="403">
        <f>'Portefeuille SP2'!V423</f>
        <v>0</v>
      </c>
      <c r="AK398" s="403">
        <f>'Portefeuille SP2'!W423</f>
        <v>0</v>
      </c>
      <c r="AL398" s="403">
        <f>'Portefeuille SP2'!X423</f>
        <v>0</v>
      </c>
      <c r="AM398" s="403">
        <f>'Portefeuille SP2'!Y423</f>
        <v>0</v>
      </c>
      <c r="AN398" s="403">
        <f>'Portefeuille SP2'!Z423</f>
        <v>0</v>
      </c>
      <c r="AO398" s="403">
        <f>'Portefeuille SP2'!AA423</f>
        <v>0</v>
      </c>
      <c r="AP398" s="403">
        <f>'Portefeuille SP2'!AB423</f>
        <v>0</v>
      </c>
      <c r="AQ398" s="403">
        <f>'Portefeuille SP2'!AC423</f>
        <v>0</v>
      </c>
      <c r="AR398" s="403">
        <f>'Portefeuille SP2'!AD423</f>
        <v>0</v>
      </c>
      <c r="AS398" s="403">
        <f>'Portefeuille SP2'!AE423</f>
        <v>0</v>
      </c>
      <c r="AT398" s="403">
        <f>'Portefeuille SP2'!AF423</f>
        <v>0</v>
      </c>
      <c r="AU398" s="403">
        <f>'Portefeuille SP2'!AG423</f>
        <v>0</v>
      </c>
      <c r="AV398" s="403">
        <f>'Portefeuille SP2'!AH423</f>
        <v>0</v>
      </c>
      <c r="AW398" s="403">
        <f>'Portefeuille SP2'!AI423</f>
        <v>0</v>
      </c>
      <c r="AX398" s="403">
        <f>'Portefeuille SP2'!AJ423</f>
        <v>0</v>
      </c>
      <c r="AY398" s="403">
        <f>'Portefeuille SP2'!AK423</f>
        <v>0</v>
      </c>
      <c r="AZ398" s="403">
        <f>'Portefeuille SP2'!AL423</f>
        <v>0</v>
      </c>
      <c r="BA398" s="403">
        <f>'Portefeuille SP2'!AM423</f>
        <v>0</v>
      </c>
      <c r="BB398" s="403">
        <f>'Portefeuille SP2'!AN423</f>
        <v>0</v>
      </c>
      <c r="BC398" s="403">
        <f>'Portefeuille SP2'!AO423</f>
        <v>0</v>
      </c>
      <c r="BD398" s="403">
        <f>'Portefeuille SP2'!AP423</f>
        <v>0</v>
      </c>
      <c r="BE398" s="403">
        <f>'Portefeuille SP2'!AQ423</f>
        <v>0</v>
      </c>
      <c r="BF398" s="403">
        <f>'Portefeuille SP2'!AR423</f>
        <v>0</v>
      </c>
      <c r="BG398" s="403" t="e">
        <f>'Portefeuille SP2'!#REF!</f>
        <v>#REF!</v>
      </c>
      <c r="BH398" s="403" t="e">
        <f>'Portefeuille SP2'!#REF!</f>
        <v>#REF!</v>
      </c>
      <c r="BI398" s="403" t="e">
        <f>'Portefeuille SP2'!#REF!</f>
        <v>#REF!</v>
      </c>
      <c r="BJ398" s="403" t="e">
        <f>'Portefeuille SP2'!#REF!</f>
        <v>#REF!</v>
      </c>
      <c r="BK398" s="403" t="e">
        <f>'Portefeuille SP2'!#REF!</f>
        <v>#REF!</v>
      </c>
      <c r="BL398" s="388"/>
      <c r="BM398" s="404">
        <f>'Portefeuille SP2'!L423</f>
        <v>0</v>
      </c>
    </row>
    <row r="399" spans="1:65" ht="15" customHeight="1">
      <c r="A399" s="383">
        <f>'Portefeuille SP2'!B424</f>
        <v>0</v>
      </c>
      <c r="B399" s="390">
        <f>'Portefeuille SP2'!Q424</f>
        <v>0</v>
      </c>
      <c r="C399" s="384"/>
      <c r="D399" s="382">
        <f>'Portefeuille SP2'!E424</f>
        <v>0</v>
      </c>
      <c r="E399" s="382" t="str">
        <f t="shared" si="33"/>
        <v>0</v>
      </c>
      <c r="F399" s="382" t="str">
        <f t="shared" si="34"/>
        <v/>
      </c>
      <c r="G399" s="382">
        <f>'Portefeuille SP2'!C424</f>
        <v>0</v>
      </c>
      <c r="H399" s="382">
        <f>'Portefeuille SP2'!F424</f>
        <v>0</v>
      </c>
      <c r="I399" s="382"/>
      <c r="J399" s="382">
        <f>'Portefeuille SP2'!D424</f>
        <v>0</v>
      </c>
      <c r="K399" s="385">
        <f>'Portefeuille SP2'!H424</f>
        <v>0</v>
      </c>
      <c r="L399" s="157">
        <f>'Portefeuille SP2'!U424</f>
        <v>0</v>
      </c>
      <c r="M399" s="386"/>
      <c r="N399" s="386"/>
      <c r="O399" s="386"/>
      <c r="P399" s="387">
        <f>'Portefeuille SP2'!M424</f>
        <v>0</v>
      </c>
      <c r="Q399" s="387"/>
      <c r="R399" s="387">
        <f>'Portefeuille SP2'!N424</f>
        <v>0</v>
      </c>
      <c r="S399" s="387"/>
      <c r="T399" s="382">
        <f>'Portefeuille SP2'!R424</f>
        <v>0</v>
      </c>
      <c r="U399" s="387">
        <f>'Portefeuille SP2'!K424</f>
        <v>0</v>
      </c>
      <c r="V399" s="399">
        <f>'Portefeuille SP2'!S424</f>
        <v>0</v>
      </c>
      <c r="W399" s="387"/>
      <c r="X399" s="387"/>
      <c r="Y399" s="387"/>
      <c r="Z399" s="387"/>
      <c r="AA399" s="387"/>
      <c r="AB399" s="387"/>
      <c r="AC399" s="387"/>
      <c r="AD399" s="387"/>
      <c r="AE399" s="400">
        <f>'Portefeuille SP2'!J424</f>
        <v>0</v>
      </c>
      <c r="AF399" s="387"/>
      <c r="AG399" s="387"/>
      <c r="AH399" s="389"/>
      <c r="AI399" s="389"/>
      <c r="AJ399" s="403">
        <f>'Portefeuille SP2'!V424</f>
        <v>0</v>
      </c>
      <c r="AK399" s="403">
        <f>'Portefeuille SP2'!W424</f>
        <v>0</v>
      </c>
      <c r="AL399" s="403">
        <f>'Portefeuille SP2'!X424</f>
        <v>0</v>
      </c>
      <c r="AM399" s="403">
        <f>'Portefeuille SP2'!Y424</f>
        <v>0</v>
      </c>
      <c r="AN399" s="403">
        <f>'Portefeuille SP2'!Z424</f>
        <v>0</v>
      </c>
      <c r="AO399" s="403">
        <f>'Portefeuille SP2'!AA424</f>
        <v>0</v>
      </c>
      <c r="AP399" s="403">
        <f>'Portefeuille SP2'!AB424</f>
        <v>0</v>
      </c>
      <c r="AQ399" s="403">
        <f>'Portefeuille SP2'!AC424</f>
        <v>0</v>
      </c>
      <c r="AR399" s="403">
        <f>'Portefeuille SP2'!AD424</f>
        <v>0</v>
      </c>
      <c r="AS399" s="403">
        <f>'Portefeuille SP2'!AE424</f>
        <v>0</v>
      </c>
      <c r="AT399" s="403">
        <f>'Portefeuille SP2'!AF424</f>
        <v>0</v>
      </c>
      <c r="AU399" s="403">
        <f>'Portefeuille SP2'!AG424</f>
        <v>0</v>
      </c>
      <c r="AV399" s="403">
        <f>'Portefeuille SP2'!AH424</f>
        <v>0</v>
      </c>
      <c r="AW399" s="403">
        <f>'Portefeuille SP2'!AI424</f>
        <v>0</v>
      </c>
      <c r="AX399" s="403">
        <f>'Portefeuille SP2'!AJ424</f>
        <v>0</v>
      </c>
      <c r="AY399" s="403">
        <f>'Portefeuille SP2'!AK424</f>
        <v>0</v>
      </c>
      <c r="AZ399" s="403">
        <f>'Portefeuille SP2'!AL424</f>
        <v>0</v>
      </c>
      <c r="BA399" s="403">
        <f>'Portefeuille SP2'!AM424</f>
        <v>0</v>
      </c>
      <c r="BB399" s="403">
        <f>'Portefeuille SP2'!AN424</f>
        <v>0</v>
      </c>
      <c r="BC399" s="403">
        <f>'Portefeuille SP2'!AO424</f>
        <v>0</v>
      </c>
      <c r="BD399" s="403">
        <f>'Portefeuille SP2'!AP424</f>
        <v>0</v>
      </c>
      <c r="BE399" s="403">
        <f>'Portefeuille SP2'!AQ424</f>
        <v>0</v>
      </c>
      <c r="BF399" s="403">
        <f>'Portefeuille SP2'!AR424</f>
        <v>0</v>
      </c>
      <c r="BG399" s="403" t="e">
        <f>'Portefeuille SP2'!#REF!</f>
        <v>#REF!</v>
      </c>
      <c r="BH399" s="403" t="e">
        <f>'Portefeuille SP2'!#REF!</f>
        <v>#REF!</v>
      </c>
      <c r="BI399" s="403" t="e">
        <f>'Portefeuille SP2'!#REF!</f>
        <v>#REF!</v>
      </c>
      <c r="BJ399" s="403" t="e">
        <f>'Portefeuille SP2'!#REF!</f>
        <v>#REF!</v>
      </c>
      <c r="BK399" s="403" t="e">
        <f>'Portefeuille SP2'!#REF!</f>
        <v>#REF!</v>
      </c>
      <c r="BL399" s="388"/>
      <c r="BM399" s="404">
        <f>'Portefeuille SP2'!L424</f>
        <v>0</v>
      </c>
    </row>
    <row r="400" spans="1:65" ht="15" customHeight="1">
      <c r="A400" s="383">
        <f>'Portefeuille SP2'!B425</f>
        <v>0</v>
      </c>
      <c r="B400" s="390">
        <f>'Portefeuille SP2'!Q425</f>
        <v>0</v>
      </c>
      <c r="C400" s="384"/>
      <c r="D400" s="382">
        <f>'Portefeuille SP2'!E425</f>
        <v>0</v>
      </c>
      <c r="E400" s="382" t="str">
        <f t="shared" si="33"/>
        <v>0</v>
      </c>
      <c r="F400" s="382" t="str">
        <f t="shared" si="34"/>
        <v/>
      </c>
      <c r="G400" s="382">
        <f>'Portefeuille SP2'!C425</f>
        <v>0</v>
      </c>
      <c r="H400" s="382">
        <f>'Portefeuille SP2'!F425</f>
        <v>0</v>
      </c>
      <c r="I400" s="382"/>
      <c r="J400" s="382">
        <f>'Portefeuille SP2'!D425</f>
        <v>0</v>
      </c>
      <c r="K400" s="385">
        <f>'Portefeuille SP2'!H425</f>
        <v>0</v>
      </c>
      <c r="L400" s="157">
        <f>'Portefeuille SP2'!U425</f>
        <v>0</v>
      </c>
      <c r="M400" s="386"/>
      <c r="N400" s="386"/>
      <c r="O400" s="386"/>
      <c r="P400" s="387">
        <f>'Portefeuille SP2'!M425</f>
        <v>0</v>
      </c>
      <c r="Q400" s="387"/>
      <c r="R400" s="387">
        <f>'Portefeuille SP2'!N425</f>
        <v>0</v>
      </c>
      <c r="S400" s="387"/>
      <c r="T400" s="382">
        <f>'Portefeuille SP2'!R425</f>
        <v>0</v>
      </c>
      <c r="U400" s="387">
        <f>'Portefeuille SP2'!K425</f>
        <v>0</v>
      </c>
      <c r="V400" s="399">
        <f>'Portefeuille SP2'!S425</f>
        <v>0</v>
      </c>
      <c r="W400" s="387"/>
      <c r="X400" s="387"/>
      <c r="Y400" s="387"/>
      <c r="Z400" s="387"/>
      <c r="AA400" s="387"/>
      <c r="AB400" s="387"/>
      <c r="AC400" s="387"/>
      <c r="AD400" s="387"/>
      <c r="AE400" s="400">
        <f>'Portefeuille SP2'!J425</f>
        <v>0</v>
      </c>
      <c r="AF400" s="387"/>
      <c r="AG400" s="387"/>
      <c r="AH400" s="389"/>
      <c r="AI400" s="389"/>
      <c r="AJ400" s="403">
        <f>'Portefeuille SP2'!V425</f>
        <v>0</v>
      </c>
      <c r="AK400" s="403">
        <f>'Portefeuille SP2'!W425</f>
        <v>0</v>
      </c>
      <c r="AL400" s="403">
        <f>'Portefeuille SP2'!X425</f>
        <v>0</v>
      </c>
      <c r="AM400" s="403">
        <f>'Portefeuille SP2'!Y425</f>
        <v>0</v>
      </c>
      <c r="AN400" s="403">
        <f>'Portefeuille SP2'!Z425</f>
        <v>0</v>
      </c>
      <c r="AO400" s="403">
        <f>'Portefeuille SP2'!AA425</f>
        <v>0</v>
      </c>
      <c r="AP400" s="403">
        <f>'Portefeuille SP2'!AB425</f>
        <v>0</v>
      </c>
      <c r="AQ400" s="403">
        <f>'Portefeuille SP2'!AC425</f>
        <v>0</v>
      </c>
      <c r="AR400" s="403">
        <f>'Portefeuille SP2'!AD425</f>
        <v>0</v>
      </c>
      <c r="AS400" s="403">
        <f>'Portefeuille SP2'!AE425</f>
        <v>0</v>
      </c>
      <c r="AT400" s="403">
        <f>'Portefeuille SP2'!AF425</f>
        <v>0</v>
      </c>
      <c r="AU400" s="403">
        <f>'Portefeuille SP2'!AG425</f>
        <v>0</v>
      </c>
      <c r="AV400" s="403">
        <f>'Portefeuille SP2'!AH425</f>
        <v>0</v>
      </c>
      <c r="AW400" s="403">
        <f>'Portefeuille SP2'!AI425</f>
        <v>0</v>
      </c>
      <c r="AX400" s="403">
        <f>'Portefeuille SP2'!AJ425</f>
        <v>0</v>
      </c>
      <c r="AY400" s="403">
        <f>'Portefeuille SP2'!AK425</f>
        <v>0</v>
      </c>
      <c r="AZ400" s="403">
        <f>'Portefeuille SP2'!AL425</f>
        <v>0</v>
      </c>
      <c r="BA400" s="403">
        <f>'Portefeuille SP2'!AM425</f>
        <v>0</v>
      </c>
      <c r="BB400" s="403">
        <f>'Portefeuille SP2'!AN425</f>
        <v>0</v>
      </c>
      <c r="BC400" s="403">
        <f>'Portefeuille SP2'!AO425</f>
        <v>0</v>
      </c>
      <c r="BD400" s="403">
        <f>'Portefeuille SP2'!AP425</f>
        <v>0</v>
      </c>
      <c r="BE400" s="403">
        <f>'Portefeuille SP2'!AQ425</f>
        <v>0</v>
      </c>
      <c r="BF400" s="403">
        <f>'Portefeuille SP2'!AR425</f>
        <v>0</v>
      </c>
      <c r="BG400" s="403" t="e">
        <f>'Portefeuille SP2'!#REF!</f>
        <v>#REF!</v>
      </c>
      <c r="BH400" s="403" t="e">
        <f>'Portefeuille SP2'!#REF!</f>
        <v>#REF!</v>
      </c>
      <c r="BI400" s="403" t="e">
        <f>'Portefeuille SP2'!#REF!</f>
        <v>#REF!</v>
      </c>
      <c r="BJ400" s="403" t="e">
        <f>'Portefeuille SP2'!#REF!</f>
        <v>#REF!</v>
      </c>
      <c r="BK400" s="403" t="e">
        <f>'Portefeuille SP2'!#REF!</f>
        <v>#REF!</v>
      </c>
      <c r="BL400" s="388"/>
      <c r="BM400" s="404">
        <f>'Portefeuille SP2'!L425</f>
        <v>0</v>
      </c>
    </row>
    <row r="401" spans="1:65" ht="15" customHeight="1">
      <c r="A401" s="383">
        <f>'Portefeuille SP2'!B426</f>
        <v>0</v>
      </c>
      <c r="B401" s="390">
        <f>'Portefeuille SP2'!Q426</f>
        <v>0</v>
      </c>
      <c r="C401" s="384"/>
      <c r="D401" s="382">
        <f>'Portefeuille SP2'!E426</f>
        <v>0</v>
      </c>
      <c r="E401" s="382" t="str">
        <f t="shared" si="33"/>
        <v>0</v>
      </c>
      <c r="F401" s="382" t="str">
        <f t="shared" si="34"/>
        <v/>
      </c>
      <c r="G401" s="382">
        <f>'Portefeuille SP2'!C426</f>
        <v>0</v>
      </c>
      <c r="H401" s="382">
        <f>'Portefeuille SP2'!F426</f>
        <v>0</v>
      </c>
      <c r="I401" s="382"/>
      <c r="J401" s="382">
        <f>'Portefeuille SP2'!D426</f>
        <v>0</v>
      </c>
      <c r="K401" s="385">
        <f>'Portefeuille SP2'!H426</f>
        <v>0</v>
      </c>
      <c r="L401" s="157">
        <f>'Portefeuille SP2'!U426</f>
        <v>0</v>
      </c>
      <c r="M401" s="386"/>
      <c r="N401" s="386"/>
      <c r="O401" s="386"/>
      <c r="P401" s="387">
        <f>'Portefeuille SP2'!M426</f>
        <v>0</v>
      </c>
      <c r="Q401" s="387"/>
      <c r="R401" s="387">
        <f>'Portefeuille SP2'!N426</f>
        <v>0</v>
      </c>
      <c r="S401" s="387"/>
      <c r="T401" s="382">
        <f>'Portefeuille SP2'!R426</f>
        <v>0</v>
      </c>
      <c r="U401" s="387">
        <f>'Portefeuille SP2'!K426</f>
        <v>0</v>
      </c>
      <c r="V401" s="399">
        <f>'Portefeuille SP2'!S426</f>
        <v>0</v>
      </c>
      <c r="W401" s="387"/>
      <c r="X401" s="387"/>
      <c r="Y401" s="387"/>
      <c r="Z401" s="387"/>
      <c r="AA401" s="387"/>
      <c r="AB401" s="387"/>
      <c r="AC401" s="387"/>
      <c r="AD401" s="387"/>
      <c r="AE401" s="400">
        <f>'Portefeuille SP2'!J426</f>
        <v>0</v>
      </c>
      <c r="AF401" s="387"/>
      <c r="AG401" s="387"/>
      <c r="AH401" s="389"/>
      <c r="AI401" s="389"/>
      <c r="AJ401" s="403">
        <f>'Portefeuille SP2'!V426</f>
        <v>0</v>
      </c>
      <c r="AK401" s="403">
        <f>'Portefeuille SP2'!W426</f>
        <v>0</v>
      </c>
      <c r="AL401" s="403">
        <f>'Portefeuille SP2'!X426</f>
        <v>0</v>
      </c>
      <c r="AM401" s="403">
        <f>'Portefeuille SP2'!Y426</f>
        <v>0</v>
      </c>
      <c r="AN401" s="403">
        <f>'Portefeuille SP2'!Z426</f>
        <v>0</v>
      </c>
      <c r="AO401" s="403">
        <f>'Portefeuille SP2'!AA426</f>
        <v>0</v>
      </c>
      <c r="AP401" s="403">
        <f>'Portefeuille SP2'!AB426</f>
        <v>0</v>
      </c>
      <c r="AQ401" s="403">
        <f>'Portefeuille SP2'!AC426</f>
        <v>0</v>
      </c>
      <c r="AR401" s="403">
        <f>'Portefeuille SP2'!AD426</f>
        <v>0</v>
      </c>
      <c r="AS401" s="403">
        <f>'Portefeuille SP2'!AE426</f>
        <v>0</v>
      </c>
      <c r="AT401" s="403">
        <f>'Portefeuille SP2'!AF426</f>
        <v>0</v>
      </c>
      <c r="AU401" s="403">
        <f>'Portefeuille SP2'!AG426</f>
        <v>0</v>
      </c>
      <c r="AV401" s="403">
        <f>'Portefeuille SP2'!AH426</f>
        <v>0</v>
      </c>
      <c r="AW401" s="403">
        <f>'Portefeuille SP2'!AI426</f>
        <v>0</v>
      </c>
      <c r="AX401" s="403">
        <f>'Portefeuille SP2'!AJ426</f>
        <v>0</v>
      </c>
      <c r="AY401" s="403">
        <f>'Portefeuille SP2'!AK426</f>
        <v>0</v>
      </c>
      <c r="AZ401" s="403">
        <f>'Portefeuille SP2'!AL426</f>
        <v>0</v>
      </c>
      <c r="BA401" s="403">
        <f>'Portefeuille SP2'!AM426</f>
        <v>0</v>
      </c>
      <c r="BB401" s="403">
        <f>'Portefeuille SP2'!AN426</f>
        <v>0</v>
      </c>
      <c r="BC401" s="403">
        <f>'Portefeuille SP2'!AO426</f>
        <v>0</v>
      </c>
      <c r="BD401" s="403">
        <f>'Portefeuille SP2'!AP426</f>
        <v>0</v>
      </c>
      <c r="BE401" s="403">
        <f>'Portefeuille SP2'!AQ426</f>
        <v>0</v>
      </c>
      <c r="BF401" s="403">
        <f>'Portefeuille SP2'!AR426</f>
        <v>0</v>
      </c>
      <c r="BG401" s="403" t="e">
        <f>'Portefeuille SP2'!#REF!</f>
        <v>#REF!</v>
      </c>
      <c r="BH401" s="403" t="e">
        <f>'Portefeuille SP2'!#REF!</f>
        <v>#REF!</v>
      </c>
      <c r="BI401" s="403" t="e">
        <f>'Portefeuille SP2'!#REF!</f>
        <v>#REF!</v>
      </c>
      <c r="BJ401" s="403" t="e">
        <f>'Portefeuille SP2'!#REF!</f>
        <v>#REF!</v>
      </c>
      <c r="BK401" s="403" t="e">
        <f>'Portefeuille SP2'!#REF!</f>
        <v>#REF!</v>
      </c>
      <c r="BL401" s="388"/>
      <c r="BM401" s="404">
        <f>'Portefeuille SP2'!L426</f>
        <v>0</v>
      </c>
    </row>
    <row r="402" spans="1:65" ht="15" customHeight="1">
      <c r="A402" s="383">
        <f>'Portefeuille SP2'!B427</f>
        <v>0</v>
      </c>
      <c r="B402" s="390">
        <f>'Portefeuille SP2'!Q427</f>
        <v>0</v>
      </c>
      <c r="C402" s="384"/>
      <c r="D402" s="382">
        <f>'Portefeuille SP2'!E427</f>
        <v>0</v>
      </c>
      <c r="E402" s="382" t="str">
        <f t="shared" si="33"/>
        <v>0</v>
      </c>
      <c r="F402" s="382" t="str">
        <f t="shared" si="34"/>
        <v/>
      </c>
      <c r="G402" s="382">
        <f>'Portefeuille SP2'!C427</f>
        <v>0</v>
      </c>
      <c r="H402" s="382">
        <f>'Portefeuille SP2'!F427</f>
        <v>0</v>
      </c>
      <c r="I402" s="382"/>
      <c r="J402" s="382">
        <f>'Portefeuille SP2'!D427</f>
        <v>0</v>
      </c>
      <c r="K402" s="385">
        <f>'Portefeuille SP2'!H427</f>
        <v>0</v>
      </c>
      <c r="L402" s="157">
        <f>'Portefeuille SP2'!U427</f>
        <v>0</v>
      </c>
      <c r="M402" s="386"/>
      <c r="N402" s="386"/>
      <c r="O402" s="386"/>
      <c r="P402" s="387">
        <f>'Portefeuille SP2'!M427</f>
        <v>0</v>
      </c>
      <c r="Q402" s="387"/>
      <c r="R402" s="387">
        <f>'Portefeuille SP2'!N427</f>
        <v>0</v>
      </c>
      <c r="S402" s="387"/>
      <c r="T402" s="382">
        <f>'Portefeuille SP2'!R427</f>
        <v>0</v>
      </c>
      <c r="U402" s="387">
        <f>'Portefeuille SP2'!K427</f>
        <v>0</v>
      </c>
      <c r="V402" s="399">
        <f>'Portefeuille SP2'!S427</f>
        <v>0</v>
      </c>
      <c r="W402" s="387"/>
      <c r="X402" s="387"/>
      <c r="Y402" s="387"/>
      <c r="Z402" s="387"/>
      <c r="AA402" s="387"/>
      <c r="AB402" s="387"/>
      <c r="AC402" s="387"/>
      <c r="AD402" s="387"/>
      <c r="AE402" s="400">
        <f>'Portefeuille SP2'!J427</f>
        <v>0</v>
      </c>
      <c r="AF402" s="387"/>
      <c r="AG402" s="387"/>
      <c r="AH402" s="389"/>
      <c r="AI402" s="389"/>
      <c r="AJ402" s="403">
        <f>'Portefeuille SP2'!V427</f>
        <v>0</v>
      </c>
      <c r="AK402" s="403">
        <f>'Portefeuille SP2'!W427</f>
        <v>0</v>
      </c>
      <c r="AL402" s="403">
        <f>'Portefeuille SP2'!X427</f>
        <v>0</v>
      </c>
      <c r="AM402" s="403">
        <f>'Portefeuille SP2'!Y427</f>
        <v>0</v>
      </c>
      <c r="AN402" s="403">
        <f>'Portefeuille SP2'!Z427</f>
        <v>0</v>
      </c>
      <c r="AO402" s="403">
        <f>'Portefeuille SP2'!AA427</f>
        <v>0</v>
      </c>
      <c r="AP402" s="403">
        <f>'Portefeuille SP2'!AB427</f>
        <v>0</v>
      </c>
      <c r="AQ402" s="403">
        <f>'Portefeuille SP2'!AC427</f>
        <v>0</v>
      </c>
      <c r="AR402" s="403">
        <f>'Portefeuille SP2'!AD427</f>
        <v>0</v>
      </c>
      <c r="AS402" s="403">
        <f>'Portefeuille SP2'!AE427</f>
        <v>0</v>
      </c>
      <c r="AT402" s="403">
        <f>'Portefeuille SP2'!AF427</f>
        <v>0</v>
      </c>
      <c r="AU402" s="403">
        <f>'Portefeuille SP2'!AG427</f>
        <v>0</v>
      </c>
      <c r="AV402" s="403">
        <f>'Portefeuille SP2'!AH427</f>
        <v>0</v>
      </c>
      <c r="AW402" s="403">
        <f>'Portefeuille SP2'!AI427</f>
        <v>0</v>
      </c>
      <c r="AX402" s="403">
        <f>'Portefeuille SP2'!AJ427</f>
        <v>0</v>
      </c>
      <c r="AY402" s="403">
        <f>'Portefeuille SP2'!AK427</f>
        <v>0</v>
      </c>
      <c r="AZ402" s="403">
        <f>'Portefeuille SP2'!AL427</f>
        <v>0</v>
      </c>
      <c r="BA402" s="403">
        <f>'Portefeuille SP2'!AM427</f>
        <v>0</v>
      </c>
      <c r="BB402" s="403">
        <f>'Portefeuille SP2'!AN427</f>
        <v>0</v>
      </c>
      <c r="BC402" s="403">
        <f>'Portefeuille SP2'!AO427</f>
        <v>0</v>
      </c>
      <c r="BD402" s="403">
        <f>'Portefeuille SP2'!AP427</f>
        <v>0</v>
      </c>
      <c r="BE402" s="403">
        <f>'Portefeuille SP2'!AQ427</f>
        <v>0</v>
      </c>
      <c r="BF402" s="403">
        <f>'Portefeuille SP2'!AR427</f>
        <v>0</v>
      </c>
      <c r="BG402" s="403" t="e">
        <f>'Portefeuille SP2'!#REF!</f>
        <v>#REF!</v>
      </c>
      <c r="BH402" s="403" t="e">
        <f>'Portefeuille SP2'!#REF!</f>
        <v>#REF!</v>
      </c>
      <c r="BI402" s="403" t="e">
        <f>'Portefeuille SP2'!#REF!</f>
        <v>#REF!</v>
      </c>
      <c r="BJ402" s="403" t="e">
        <f>'Portefeuille SP2'!#REF!</f>
        <v>#REF!</v>
      </c>
      <c r="BK402" s="403" t="e">
        <f>'Portefeuille SP2'!#REF!</f>
        <v>#REF!</v>
      </c>
      <c r="BL402" s="388"/>
      <c r="BM402" s="404">
        <f>'Portefeuille SP2'!L427</f>
        <v>0</v>
      </c>
    </row>
    <row r="403" spans="1:65" ht="15" customHeight="1">
      <c r="A403" s="383">
        <f>'Portefeuille SP2'!B428</f>
        <v>0</v>
      </c>
      <c r="B403" s="390">
        <f>'Portefeuille SP2'!Q428</f>
        <v>0</v>
      </c>
      <c r="C403" s="384"/>
      <c r="D403" s="382">
        <f>'Portefeuille SP2'!E428</f>
        <v>0</v>
      </c>
      <c r="E403" s="382" t="str">
        <f t="shared" si="33"/>
        <v>0</v>
      </c>
      <c r="F403" s="382" t="str">
        <f t="shared" si="34"/>
        <v/>
      </c>
      <c r="G403" s="382">
        <f>'Portefeuille SP2'!C428</f>
        <v>0</v>
      </c>
      <c r="H403" s="382">
        <f>'Portefeuille SP2'!F428</f>
        <v>0</v>
      </c>
      <c r="I403" s="382"/>
      <c r="J403" s="382">
        <f>'Portefeuille SP2'!D428</f>
        <v>0</v>
      </c>
      <c r="K403" s="385">
        <f>'Portefeuille SP2'!H428</f>
        <v>0</v>
      </c>
      <c r="L403" s="157">
        <f>'Portefeuille SP2'!U428</f>
        <v>0</v>
      </c>
      <c r="M403" s="386"/>
      <c r="N403" s="386"/>
      <c r="O403" s="386"/>
      <c r="P403" s="387">
        <f>'Portefeuille SP2'!M428</f>
        <v>0</v>
      </c>
      <c r="Q403" s="387"/>
      <c r="R403" s="387">
        <f>'Portefeuille SP2'!N428</f>
        <v>0</v>
      </c>
      <c r="S403" s="387"/>
      <c r="T403" s="382">
        <f>'Portefeuille SP2'!R428</f>
        <v>0</v>
      </c>
      <c r="U403" s="387">
        <f>'Portefeuille SP2'!K428</f>
        <v>0</v>
      </c>
      <c r="V403" s="399">
        <f>'Portefeuille SP2'!S428</f>
        <v>0</v>
      </c>
      <c r="W403" s="387"/>
      <c r="X403" s="387"/>
      <c r="Y403" s="387"/>
      <c r="Z403" s="387"/>
      <c r="AA403" s="387"/>
      <c r="AB403" s="387"/>
      <c r="AC403" s="387"/>
      <c r="AD403" s="387"/>
      <c r="AE403" s="400">
        <f>'Portefeuille SP2'!J428</f>
        <v>0</v>
      </c>
      <c r="AF403" s="387"/>
      <c r="AG403" s="387"/>
      <c r="AH403" s="389"/>
      <c r="AI403" s="389"/>
      <c r="AJ403" s="403">
        <f>'Portefeuille SP2'!V428</f>
        <v>0</v>
      </c>
      <c r="AK403" s="403">
        <f>'Portefeuille SP2'!W428</f>
        <v>0</v>
      </c>
      <c r="AL403" s="403">
        <f>'Portefeuille SP2'!X428</f>
        <v>0</v>
      </c>
      <c r="AM403" s="403">
        <f>'Portefeuille SP2'!Y428</f>
        <v>0</v>
      </c>
      <c r="AN403" s="403">
        <f>'Portefeuille SP2'!Z428</f>
        <v>0</v>
      </c>
      <c r="AO403" s="403">
        <f>'Portefeuille SP2'!AA428</f>
        <v>0</v>
      </c>
      <c r="AP403" s="403">
        <f>'Portefeuille SP2'!AB428</f>
        <v>0</v>
      </c>
      <c r="AQ403" s="403">
        <f>'Portefeuille SP2'!AC428</f>
        <v>0</v>
      </c>
      <c r="AR403" s="403">
        <f>'Portefeuille SP2'!AD428</f>
        <v>0</v>
      </c>
      <c r="AS403" s="403">
        <f>'Portefeuille SP2'!AE428</f>
        <v>0</v>
      </c>
      <c r="AT403" s="403">
        <f>'Portefeuille SP2'!AF428</f>
        <v>0</v>
      </c>
      <c r="AU403" s="403">
        <f>'Portefeuille SP2'!AG428</f>
        <v>0</v>
      </c>
      <c r="AV403" s="403">
        <f>'Portefeuille SP2'!AH428</f>
        <v>0</v>
      </c>
      <c r="AW403" s="403">
        <f>'Portefeuille SP2'!AI428</f>
        <v>0</v>
      </c>
      <c r="AX403" s="403">
        <f>'Portefeuille SP2'!AJ428</f>
        <v>0</v>
      </c>
      <c r="AY403" s="403">
        <f>'Portefeuille SP2'!AK428</f>
        <v>0</v>
      </c>
      <c r="AZ403" s="403">
        <f>'Portefeuille SP2'!AL428</f>
        <v>0</v>
      </c>
      <c r="BA403" s="403">
        <f>'Portefeuille SP2'!AM428</f>
        <v>0</v>
      </c>
      <c r="BB403" s="403">
        <f>'Portefeuille SP2'!AN428</f>
        <v>0</v>
      </c>
      <c r="BC403" s="403">
        <f>'Portefeuille SP2'!AO428</f>
        <v>0</v>
      </c>
      <c r="BD403" s="403">
        <f>'Portefeuille SP2'!AP428</f>
        <v>0</v>
      </c>
      <c r="BE403" s="403">
        <f>'Portefeuille SP2'!AQ428</f>
        <v>0</v>
      </c>
      <c r="BF403" s="403">
        <f>'Portefeuille SP2'!AR428</f>
        <v>0</v>
      </c>
      <c r="BG403" s="403" t="e">
        <f>'Portefeuille SP2'!#REF!</f>
        <v>#REF!</v>
      </c>
      <c r="BH403" s="403" t="e">
        <f>'Portefeuille SP2'!#REF!</f>
        <v>#REF!</v>
      </c>
      <c r="BI403" s="403" t="e">
        <f>'Portefeuille SP2'!#REF!</f>
        <v>#REF!</v>
      </c>
      <c r="BJ403" s="403" t="e">
        <f>'Portefeuille SP2'!#REF!</f>
        <v>#REF!</v>
      </c>
      <c r="BK403" s="403" t="e">
        <f>'Portefeuille SP2'!#REF!</f>
        <v>#REF!</v>
      </c>
      <c r="BL403" s="388"/>
      <c r="BM403" s="404">
        <f>'Portefeuille SP2'!L428</f>
        <v>0</v>
      </c>
    </row>
    <row r="404" spans="1:65" ht="15" customHeight="1">
      <c r="A404" s="383">
        <f>'Portefeuille SP2'!B429</f>
        <v>0</v>
      </c>
      <c r="B404" s="390">
        <f>'Portefeuille SP2'!Q429</f>
        <v>0</v>
      </c>
      <c r="C404" s="384"/>
      <c r="D404" s="382">
        <f>'Portefeuille SP2'!E429</f>
        <v>0</v>
      </c>
      <c r="E404" s="382" t="str">
        <f t="shared" si="33"/>
        <v>0</v>
      </c>
      <c r="F404" s="382" t="str">
        <f t="shared" si="34"/>
        <v/>
      </c>
      <c r="G404" s="382">
        <f>'Portefeuille SP2'!C429</f>
        <v>0</v>
      </c>
      <c r="H404" s="382">
        <f>'Portefeuille SP2'!F429</f>
        <v>0</v>
      </c>
      <c r="I404" s="382"/>
      <c r="J404" s="382">
        <f>'Portefeuille SP2'!D429</f>
        <v>0</v>
      </c>
      <c r="K404" s="385">
        <f>'Portefeuille SP2'!H429</f>
        <v>0</v>
      </c>
      <c r="L404" s="157">
        <f>'Portefeuille SP2'!U429</f>
        <v>0</v>
      </c>
      <c r="M404" s="386"/>
      <c r="N404" s="386"/>
      <c r="O404" s="386"/>
      <c r="P404" s="387">
        <f>'Portefeuille SP2'!M429</f>
        <v>0</v>
      </c>
      <c r="Q404" s="387"/>
      <c r="R404" s="387">
        <f>'Portefeuille SP2'!N429</f>
        <v>0</v>
      </c>
      <c r="S404" s="387"/>
      <c r="T404" s="382">
        <f>'Portefeuille SP2'!R429</f>
        <v>0</v>
      </c>
      <c r="U404" s="387">
        <f>'Portefeuille SP2'!K429</f>
        <v>0</v>
      </c>
      <c r="V404" s="399">
        <f>'Portefeuille SP2'!S429</f>
        <v>0</v>
      </c>
      <c r="W404" s="387"/>
      <c r="X404" s="387"/>
      <c r="Y404" s="387"/>
      <c r="Z404" s="387"/>
      <c r="AA404" s="387"/>
      <c r="AB404" s="387"/>
      <c r="AC404" s="387"/>
      <c r="AD404" s="387"/>
      <c r="AE404" s="400">
        <f>'Portefeuille SP2'!J429</f>
        <v>0</v>
      </c>
      <c r="AF404" s="387"/>
      <c r="AG404" s="387"/>
      <c r="AH404" s="389"/>
      <c r="AI404" s="389"/>
      <c r="AJ404" s="403">
        <f>'Portefeuille SP2'!V429</f>
        <v>0</v>
      </c>
      <c r="AK404" s="403">
        <f>'Portefeuille SP2'!W429</f>
        <v>0</v>
      </c>
      <c r="AL404" s="403">
        <f>'Portefeuille SP2'!X429</f>
        <v>0</v>
      </c>
      <c r="AM404" s="403">
        <f>'Portefeuille SP2'!Y429</f>
        <v>0</v>
      </c>
      <c r="AN404" s="403">
        <f>'Portefeuille SP2'!Z429</f>
        <v>0</v>
      </c>
      <c r="AO404" s="403">
        <f>'Portefeuille SP2'!AA429</f>
        <v>0</v>
      </c>
      <c r="AP404" s="403">
        <f>'Portefeuille SP2'!AB429</f>
        <v>0</v>
      </c>
      <c r="AQ404" s="403">
        <f>'Portefeuille SP2'!AC429</f>
        <v>0</v>
      </c>
      <c r="AR404" s="403">
        <f>'Portefeuille SP2'!AD429</f>
        <v>0</v>
      </c>
      <c r="AS404" s="403">
        <f>'Portefeuille SP2'!AE429</f>
        <v>0</v>
      </c>
      <c r="AT404" s="403">
        <f>'Portefeuille SP2'!AF429</f>
        <v>0</v>
      </c>
      <c r="AU404" s="403">
        <f>'Portefeuille SP2'!AG429</f>
        <v>0</v>
      </c>
      <c r="AV404" s="403">
        <f>'Portefeuille SP2'!AH429</f>
        <v>0</v>
      </c>
      <c r="AW404" s="403">
        <f>'Portefeuille SP2'!AI429</f>
        <v>0</v>
      </c>
      <c r="AX404" s="403">
        <f>'Portefeuille SP2'!AJ429</f>
        <v>0</v>
      </c>
      <c r="AY404" s="403">
        <f>'Portefeuille SP2'!AK429</f>
        <v>0</v>
      </c>
      <c r="AZ404" s="403">
        <f>'Portefeuille SP2'!AL429</f>
        <v>0</v>
      </c>
      <c r="BA404" s="403">
        <f>'Portefeuille SP2'!AM429</f>
        <v>0</v>
      </c>
      <c r="BB404" s="403">
        <f>'Portefeuille SP2'!AN429</f>
        <v>0</v>
      </c>
      <c r="BC404" s="403">
        <f>'Portefeuille SP2'!AO429</f>
        <v>0</v>
      </c>
      <c r="BD404" s="403">
        <f>'Portefeuille SP2'!AP429</f>
        <v>0</v>
      </c>
      <c r="BE404" s="403">
        <f>'Portefeuille SP2'!AQ429</f>
        <v>0</v>
      </c>
      <c r="BF404" s="403">
        <f>'Portefeuille SP2'!AR429</f>
        <v>0</v>
      </c>
      <c r="BG404" s="403" t="e">
        <f>'Portefeuille SP2'!#REF!</f>
        <v>#REF!</v>
      </c>
      <c r="BH404" s="403" t="e">
        <f>'Portefeuille SP2'!#REF!</f>
        <v>#REF!</v>
      </c>
      <c r="BI404" s="403" t="e">
        <f>'Portefeuille SP2'!#REF!</f>
        <v>#REF!</v>
      </c>
      <c r="BJ404" s="403" t="e">
        <f>'Portefeuille SP2'!#REF!</f>
        <v>#REF!</v>
      </c>
      <c r="BK404" s="403" t="e">
        <f>'Portefeuille SP2'!#REF!</f>
        <v>#REF!</v>
      </c>
      <c r="BL404" s="388"/>
      <c r="BM404" s="404">
        <f>'Portefeuille SP2'!L429</f>
        <v>0</v>
      </c>
    </row>
    <row r="405" spans="1:65" ht="15" customHeight="1">
      <c r="A405" s="383">
        <f>'Portefeuille SP2'!B430</f>
        <v>0</v>
      </c>
      <c r="B405" s="390">
        <f>'Portefeuille SP2'!Q430</f>
        <v>0</v>
      </c>
      <c r="C405" s="384"/>
      <c r="D405" s="382">
        <f>'Portefeuille SP2'!E430</f>
        <v>0</v>
      </c>
      <c r="E405" s="382" t="str">
        <f t="shared" si="33"/>
        <v>0</v>
      </c>
      <c r="F405" s="382" t="str">
        <f t="shared" si="34"/>
        <v/>
      </c>
      <c r="G405" s="382">
        <f>'Portefeuille SP2'!C430</f>
        <v>0</v>
      </c>
      <c r="H405" s="382">
        <f>'Portefeuille SP2'!F430</f>
        <v>0</v>
      </c>
      <c r="I405" s="382"/>
      <c r="J405" s="382">
        <f>'Portefeuille SP2'!D430</f>
        <v>0</v>
      </c>
      <c r="K405" s="385">
        <f>'Portefeuille SP2'!H430</f>
        <v>0</v>
      </c>
      <c r="L405" s="157">
        <f>'Portefeuille SP2'!U430</f>
        <v>0</v>
      </c>
      <c r="M405" s="386"/>
      <c r="N405" s="386"/>
      <c r="O405" s="386"/>
      <c r="P405" s="387">
        <f>'Portefeuille SP2'!M430</f>
        <v>0</v>
      </c>
      <c r="Q405" s="387"/>
      <c r="R405" s="387">
        <f>'Portefeuille SP2'!N430</f>
        <v>0</v>
      </c>
      <c r="S405" s="387"/>
      <c r="T405" s="382">
        <f>'Portefeuille SP2'!R430</f>
        <v>0</v>
      </c>
      <c r="U405" s="387">
        <f>'Portefeuille SP2'!K430</f>
        <v>0</v>
      </c>
      <c r="V405" s="399">
        <f>'Portefeuille SP2'!S430</f>
        <v>0</v>
      </c>
      <c r="W405" s="387"/>
      <c r="X405" s="387"/>
      <c r="Y405" s="387"/>
      <c r="Z405" s="387"/>
      <c r="AA405" s="387"/>
      <c r="AB405" s="387"/>
      <c r="AC405" s="387"/>
      <c r="AD405" s="387"/>
      <c r="AE405" s="400">
        <f>'Portefeuille SP2'!J430</f>
        <v>0</v>
      </c>
      <c r="AF405" s="387"/>
      <c r="AG405" s="387"/>
      <c r="AH405" s="389"/>
      <c r="AI405" s="389"/>
      <c r="AJ405" s="403">
        <f>'Portefeuille SP2'!V430</f>
        <v>0</v>
      </c>
      <c r="AK405" s="403">
        <f>'Portefeuille SP2'!W430</f>
        <v>0</v>
      </c>
      <c r="AL405" s="403">
        <f>'Portefeuille SP2'!X430</f>
        <v>0</v>
      </c>
      <c r="AM405" s="403">
        <f>'Portefeuille SP2'!Y430</f>
        <v>0</v>
      </c>
      <c r="AN405" s="403">
        <f>'Portefeuille SP2'!Z430</f>
        <v>0</v>
      </c>
      <c r="AO405" s="403">
        <f>'Portefeuille SP2'!AA430</f>
        <v>0</v>
      </c>
      <c r="AP405" s="403">
        <f>'Portefeuille SP2'!AB430</f>
        <v>0</v>
      </c>
      <c r="AQ405" s="403">
        <f>'Portefeuille SP2'!AC430</f>
        <v>0</v>
      </c>
      <c r="AR405" s="403">
        <f>'Portefeuille SP2'!AD430</f>
        <v>0</v>
      </c>
      <c r="AS405" s="403">
        <f>'Portefeuille SP2'!AE430</f>
        <v>0</v>
      </c>
      <c r="AT405" s="403">
        <f>'Portefeuille SP2'!AF430</f>
        <v>0</v>
      </c>
      <c r="AU405" s="403">
        <f>'Portefeuille SP2'!AG430</f>
        <v>0</v>
      </c>
      <c r="AV405" s="403">
        <f>'Portefeuille SP2'!AH430</f>
        <v>0</v>
      </c>
      <c r="AW405" s="403">
        <f>'Portefeuille SP2'!AI430</f>
        <v>0</v>
      </c>
      <c r="AX405" s="403">
        <f>'Portefeuille SP2'!AJ430</f>
        <v>0</v>
      </c>
      <c r="AY405" s="403">
        <f>'Portefeuille SP2'!AK430</f>
        <v>0</v>
      </c>
      <c r="AZ405" s="403">
        <f>'Portefeuille SP2'!AL430</f>
        <v>0</v>
      </c>
      <c r="BA405" s="403">
        <f>'Portefeuille SP2'!AM430</f>
        <v>0</v>
      </c>
      <c r="BB405" s="403">
        <f>'Portefeuille SP2'!AN430</f>
        <v>0</v>
      </c>
      <c r="BC405" s="403">
        <f>'Portefeuille SP2'!AO430</f>
        <v>0</v>
      </c>
      <c r="BD405" s="403">
        <f>'Portefeuille SP2'!AP430</f>
        <v>0</v>
      </c>
      <c r="BE405" s="403">
        <f>'Portefeuille SP2'!AQ430</f>
        <v>0</v>
      </c>
      <c r="BF405" s="403">
        <f>'Portefeuille SP2'!AR430</f>
        <v>0</v>
      </c>
      <c r="BG405" s="403" t="e">
        <f>'Portefeuille SP2'!#REF!</f>
        <v>#REF!</v>
      </c>
      <c r="BH405" s="403" t="e">
        <f>'Portefeuille SP2'!#REF!</f>
        <v>#REF!</v>
      </c>
      <c r="BI405" s="403" t="e">
        <f>'Portefeuille SP2'!#REF!</f>
        <v>#REF!</v>
      </c>
      <c r="BJ405" s="403" t="e">
        <f>'Portefeuille SP2'!#REF!</f>
        <v>#REF!</v>
      </c>
      <c r="BK405" s="403" t="e">
        <f>'Portefeuille SP2'!#REF!</f>
        <v>#REF!</v>
      </c>
      <c r="BL405" s="388"/>
      <c r="BM405" s="404">
        <f>'Portefeuille SP2'!L430</f>
        <v>0</v>
      </c>
    </row>
    <row r="406" spans="1:65" ht="15" customHeight="1">
      <c r="A406" s="383">
        <f>'Portefeuille SP2'!B431</f>
        <v>0</v>
      </c>
      <c r="B406" s="390">
        <f>'Portefeuille SP2'!Q431</f>
        <v>0</v>
      </c>
      <c r="C406" s="384"/>
      <c r="D406" s="382">
        <f>'Portefeuille SP2'!E431</f>
        <v>0</v>
      </c>
      <c r="E406" s="382" t="str">
        <f t="shared" si="33"/>
        <v>0</v>
      </c>
      <c r="F406" s="382" t="str">
        <f t="shared" si="34"/>
        <v/>
      </c>
      <c r="G406" s="382">
        <f>'Portefeuille SP2'!C431</f>
        <v>0</v>
      </c>
      <c r="H406" s="382">
        <f>'Portefeuille SP2'!F431</f>
        <v>0</v>
      </c>
      <c r="I406" s="382"/>
      <c r="J406" s="382">
        <f>'Portefeuille SP2'!D431</f>
        <v>0</v>
      </c>
      <c r="K406" s="385">
        <f>'Portefeuille SP2'!H431</f>
        <v>0</v>
      </c>
      <c r="L406" s="157">
        <f>'Portefeuille SP2'!U431</f>
        <v>0</v>
      </c>
      <c r="M406" s="386"/>
      <c r="N406" s="386"/>
      <c r="O406" s="386"/>
      <c r="P406" s="387">
        <f>'Portefeuille SP2'!M431</f>
        <v>0</v>
      </c>
      <c r="Q406" s="387"/>
      <c r="R406" s="387">
        <f>'Portefeuille SP2'!N431</f>
        <v>0</v>
      </c>
      <c r="S406" s="387"/>
      <c r="T406" s="382">
        <f>'Portefeuille SP2'!R431</f>
        <v>0</v>
      </c>
      <c r="U406" s="387">
        <f>'Portefeuille SP2'!K431</f>
        <v>0</v>
      </c>
      <c r="V406" s="399">
        <f>'Portefeuille SP2'!S431</f>
        <v>0</v>
      </c>
      <c r="W406" s="387"/>
      <c r="X406" s="387"/>
      <c r="Y406" s="387"/>
      <c r="Z406" s="387"/>
      <c r="AA406" s="387"/>
      <c r="AB406" s="387"/>
      <c r="AC406" s="387"/>
      <c r="AD406" s="387"/>
      <c r="AE406" s="400">
        <f>'Portefeuille SP2'!J431</f>
        <v>0</v>
      </c>
      <c r="AF406" s="387"/>
      <c r="AG406" s="387"/>
      <c r="AH406" s="389"/>
      <c r="AI406" s="389"/>
      <c r="AJ406" s="403">
        <f>'Portefeuille SP2'!V431</f>
        <v>0</v>
      </c>
      <c r="AK406" s="403">
        <f>'Portefeuille SP2'!W431</f>
        <v>0</v>
      </c>
      <c r="AL406" s="403">
        <f>'Portefeuille SP2'!X431</f>
        <v>0</v>
      </c>
      <c r="AM406" s="403">
        <f>'Portefeuille SP2'!Y431</f>
        <v>0</v>
      </c>
      <c r="AN406" s="403">
        <f>'Portefeuille SP2'!Z431</f>
        <v>0</v>
      </c>
      <c r="AO406" s="403">
        <f>'Portefeuille SP2'!AA431</f>
        <v>0</v>
      </c>
      <c r="AP406" s="403">
        <f>'Portefeuille SP2'!AB431</f>
        <v>0</v>
      </c>
      <c r="AQ406" s="403">
        <f>'Portefeuille SP2'!AC431</f>
        <v>0</v>
      </c>
      <c r="AR406" s="403">
        <f>'Portefeuille SP2'!AD431</f>
        <v>0</v>
      </c>
      <c r="AS406" s="403">
        <f>'Portefeuille SP2'!AE431</f>
        <v>0</v>
      </c>
      <c r="AT406" s="403">
        <f>'Portefeuille SP2'!AF431</f>
        <v>0</v>
      </c>
      <c r="AU406" s="403">
        <f>'Portefeuille SP2'!AG431</f>
        <v>0</v>
      </c>
      <c r="AV406" s="403">
        <f>'Portefeuille SP2'!AH431</f>
        <v>0</v>
      </c>
      <c r="AW406" s="403">
        <f>'Portefeuille SP2'!AI431</f>
        <v>0</v>
      </c>
      <c r="AX406" s="403">
        <f>'Portefeuille SP2'!AJ431</f>
        <v>0</v>
      </c>
      <c r="AY406" s="403">
        <f>'Portefeuille SP2'!AK431</f>
        <v>0</v>
      </c>
      <c r="AZ406" s="403">
        <f>'Portefeuille SP2'!AL431</f>
        <v>0</v>
      </c>
      <c r="BA406" s="403">
        <f>'Portefeuille SP2'!AM431</f>
        <v>0</v>
      </c>
      <c r="BB406" s="403">
        <f>'Portefeuille SP2'!AN431</f>
        <v>0</v>
      </c>
      <c r="BC406" s="403">
        <f>'Portefeuille SP2'!AO431</f>
        <v>0</v>
      </c>
      <c r="BD406" s="403">
        <f>'Portefeuille SP2'!AP431</f>
        <v>0</v>
      </c>
      <c r="BE406" s="403">
        <f>'Portefeuille SP2'!AQ431</f>
        <v>0</v>
      </c>
      <c r="BF406" s="403">
        <f>'Portefeuille SP2'!AR431</f>
        <v>0</v>
      </c>
      <c r="BG406" s="403" t="e">
        <f>'Portefeuille SP2'!#REF!</f>
        <v>#REF!</v>
      </c>
      <c r="BH406" s="403" t="e">
        <f>'Portefeuille SP2'!#REF!</f>
        <v>#REF!</v>
      </c>
      <c r="BI406" s="403" t="e">
        <f>'Portefeuille SP2'!#REF!</f>
        <v>#REF!</v>
      </c>
      <c r="BJ406" s="403" t="e">
        <f>'Portefeuille SP2'!#REF!</f>
        <v>#REF!</v>
      </c>
      <c r="BK406" s="403" t="e">
        <f>'Portefeuille SP2'!#REF!</f>
        <v>#REF!</v>
      </c>
      <c r="BL406" s="388"/>
      <c r="BM406" s="404">
        <f>'Portefeuille SP2'!L431</f>
        <v>0</v>
      </c>
    </row>
    <row r="407" spans="1:65" ht="15" customHeight="1">
      <c r="A407" s="383">
        <f>'Portefeuille SP2'!B432</f>
        <v>0</v>
      </c>
      <c r="B407" s="390">
        <f>'Portefeuille SP2'!Q432</f>
        <v>0</v>
      </c>
      <c r="C407" s="384"/>
      <c r="D407" s="382">
        <f>'Portefeuille SP2'!E432</f>
        <v>0</v>
      </c>
      <c r="E407" s="382" t="str">
        <f t="shared" si="33"/>
        <v>0</v>
      </c>
      <c r="F407" s="382" t="str">
        <f t="shared" si="34"/>
        <v/>
      </c>
      <c r="G407" s="382">
        <f>'Portefeuille SP2'!C432</f>
        <v>0</v>
      </c>
      <c r="H407" s="382">
        <f>'Portefeuille SP2'!F432</f>
        <v>0</v>
      </c>
      <c r="I407" s="382"/>
      <c r="J407" s="382">
        <f>'Portefeuille SP2'!D432</f>
        <v>0</v>
      </c>
      <c r="K407" s="385">
        <f>'Portefeuille SP2'!H432</f>
        <v>0</v>
      </c>
      <c r="L407" s="157">
        <f>'Portefeuille SP2'!U432</f>
        <v>0</v>
      </c>
      <c r="M407" s="386"/>
      <c r="N407" s="386"/>
      <c r="O407" s="386"/>
      <c r="P407" s="387">
        <f>'Portefeuille SP2'!M432</f>
        <v>0</v>
      </c>
      <c r="Q407" s="387"/>
      <c r="R407" s="387">
        <f>'Portefeuille SP2'!N432</f>
        <v>0</v>
      </c>
      <c r="S407" s="387"/>
      <c r="T407" s="382">
        <f>'Portefeuille SP2'!R432</f>
        <v>0</v>
      </c>
      <c r="U407" s="387">
        <f>'Portefeuille SP2'!K432</f>
        <v>0</v>
      </c>
      <c r="V407" s="399">
        <f>'Portefeuille SP2'!S432</f>
        <v>0</v>
      </c>
      <c r="W407" s="387"/>
      <c r="X407" s="387"/>
      <c r="Y407" s="387"/>
      <c r="Z407" s="387"/>
      <c r="AA407" s="387"/>
      <c r="AB407" s="387"/>
      <c r="AC407" s="387"/>
      <c r="AD407" s="387"/>
      <c r="AE407" s="400">
        <f>'Portefeuille SP2'!J432</f>
        <v>0</v>
      </c>
      <c r="AF407" s="387"/>
      <c r="AG407" s="387"/>
      <c r="AH407" s="389"/>
      <c r="AI407" s="389"/>
      <c r="AJ407" s="403">
        <f>'Portefeuille SP2'!V432</f>
        <v>0</v>
      </c>
      <c r="AK407" s="403">
        <f>'Portefeuille SP2'!W432</f>
        <v>0</v>
      </c>
      <c r="AL407" s="403">
        <f>'Portefeuille SP2'!X432</f>
        <v>0</v>
      </c>
      <c r="AM407" s="403">
        <f>'Portefeuille SP2'!Y432</f>
        <v>0</v>
      </c>
      <c r="AN407" s="403">
        <f>'Portefeuille SP2'!Z432</f>
        <v>0</v>
      </c>
      <c r="AO407" s="403">
        <f>'Portefeuille SP2'!AA432</f>
        <v>0</v>
      </c>
      <c r="AP407" s="403">
        <f>'Portefeuille SP2'!AB432</f>
        <v>0</v>
      </c>
      <c r="AQ407" s="403">
        <f>'Portefeuille SP2'!AC432</f>
        <v>0</v>
      </c>
      <c r="AR407" s="403">
        <f>'Portefeuille SP2'!AD432</f>
        <v>0</v>
      </c>
      <c r="AS407" s="403">
        <f>'Portefeuille SP2'!AE432</f>
        <v>0</v>
      </c>
      <c r="AT407" s="403">
        <f>'Portefeuille SP2'!AF432</f>
        <v>0</v>
      </c>
      <c r="AU407" s="403">
        <f>'Portefeuille SP2'!AG432</f>
        <v>0</v>
      </c>
      <c r="AV407" s="403">
        <f>'Portefeuille SP2'!AH432</f>
        <v>0</v>
      </c>
      <c r="AW407" s="403">
        <f>'Portefeuille SP2'!AI432</f>
        <v>0</v>
      </c>
      <c r="AX407" s="403">
        <f>'Portefeuille SP2'!AJ432</f>
        <v>0</v>
      </c>
      <c r="AY407" s="403">
        <f>'Portefeuille SP2'!AK432</f>
        <v>0</v>
      </c>
      <c r="AZ407" s="403">
        <f>'Portefeuille SP2'!AL432</f>
        <v>0</v>
      </c>
      <c r="BA407" s="403">
        <f>'Portefeuille SP2'!AM432</f>
        <v>0</v>
      </c>
      <c r="BB407" s="403">
        <f>'Portefeuille SP2'!AN432</f>
        <v>0</v>
      </c>
      <c r="BC407" s="403">
        <f>'Portefeuille SP2'!AO432</f>
        <v>0</v>
      </c>
      <c r="BD407" s="403">
        <f>'Portefeuille SP2'!AP432</f>
        <v>0</v>
      </c>
      <c r="BE407" s="403">
        <f>'Portefeuille SP2'!AQ432</f>
        <v>0</v>
      </c>
      <c r="BF407" s="403">
        <f>'Portefeuille SP2'!AR432</f>
        <v>0</v>
      </c>
      <c r="BG407" s="403" t="e">
        <f>'Portefeuille SP2'!#REF!</f>
        <v>#REF!</v>
      </c>
      <c r="BH407" s="403" t="e">
        <f>'Portefeuille SP2'!#REF!</f>
        <v>#REF!</v>
      </c>
      <c r="BI407" s="403" t="e">
        <f>'Portefeuille SP2'!#REF!</f>
        <v>#REF!</v>
      </c>
      <c r="BJ407" s="403" t="e">
        <f>'Portefeuille SP2'!#REF!</f>
        <v>#REF!</v>
      </c>
      <c r="BK407" s="403" t="e">
        <f>'Portefeuille SP2'!#REF!</f>
        <v>#REF!</v>
      </c>
      <c r="BL407" s="388"/>
      <c r="BM407" s="404">
        <f>'Portefeuille SP2'!L432</f>
        <v>0</v>
      </c>
    </row>
    <row r="408" spans="1:65" ht="15" customHeight="1">
      <c r="A408" s="383">
        <f>'Portefeuille SP2'!B433</f>
        <v>0</v>
      </c>
      <c r="B408" s="390">
        <f>'Portefeuille SP2'!Q433</f>
        <v>0</v>
      </c>
      <c r="C408" s="384"/>
      <c r="D408" s="382">
        <f>'Portefeuille SP2'!E433</f>
        <v>0</v>
      </c>
      <c r="E408" s="382" t="str">
        <f t="shared" si="33"/>
        <v>0</v>
      </c>
      <c r="F408" s="382" t="str">
        <f t="shared" si="34"/>
        <v/>
      </c>
      <c r="G408" s="382">
        <f>'Portefeuille SP2'!C433</f>
        <v>0</v>
      </c>
      <c r="H408" s="382">
        <f>'Portefeuille SP2'!F433</f>
        <v>0</v>
      </c>
      <c r="I408" s="382"/>
      <c r="J408" s="382">
        <f>'Portefeuille SP2'!D433</f>
        <v>0</v>
      </c>
      <c r="K408" s="385">
        <f>'Portefeuille SP2'!H433</f>
        <v>0</v>
      </c>
      <c r="L408" s="157">
        <f>'Portefeuille SP2'!U433</f>
        <v>0</v>
      </c>
      <c r="M408" s="386"/>
      <c r="N408" s="386"/>
      <c r="O408" s="386"/>
      <c r="P408" s="387">
        <f>'Portefeuille SP2'!M433</f>
        <v>0</v>
      </c>
      <c r="Q408" s="387"/>
      <c r="R408" s="387">
        <f>'Portefeuille SP2'!N433</f>
        <v>0</v>
      </c>
      <c r="S408" s="387"/>
      <c r="T408" s="382">
        <f>'Portefeuille SP2'!R433</f>
        <v>0</v>
      </c>
      <c r="U408" s="387">
        <f>'Portefeuille SP2'!K433</f>
        <v>0</v>
      </c>
      <c r="V408" s="399">
        <f>'Portefeuille SP2'!S433</f>
        <v>0</v>
      </c>
      <c r="W408" s="387"/>
      <c r="X408" s="387"/>
      <c r="Y408" s="387"/>
      <c r="Z408" s="387"/>
      <c r="AA408" s="387"/>
      <c r="AB408" s="387"/>
      <c r="AC408" s="387"/>
      <c r="AD408" s="387"/>
      <c r="AE408" s="400">
        <f>'Portefeuille SP2'!J433</f>
        <v>0</v>
      </c>
      <c r="AF408" s="387"/>
      <c r="AG408" s="387"/>
      <c r="AH408" s="389"/>
      <c r="AI408" s="389"/>
      <c r="AJ408" s="403">
        <f>'Portefeuille SP2'!V433</f>
        <v>0</v>
      </c>
      <c r="AK408" s="403">
        <f>'Portefeuille SP2'!W433</f>
        <v>0</v>
      </c>
      <c r="AL408" s="403">
        <f>'Portefeuille SP2'!X433</f>
        <v>0</v>
      </c>
      <c r="AM408" s="403">
        <f>'Portefeuille SP2'!Y433</f>
        <v>0</v>
      </c>
      <c r="AN408" s="403">
        <f>'Portefeuille SP2'!Z433</f>
        <v>0</v>
      </c>
      <c r="AO408" s="403">
        <f>'Portefeuille SP2'!AA433</f>
        <v>0</v>
      </c>
      <c r="AP408" s="403">
        <f>'Portefeuille SP2'!AB433</f>
        <v>0</v>
      </c>
      <c r="AQ408" s="403">
        <f>'Portefeuille SP2'!AC433</f>
        <v>0</v>
      </c>
      <c r="AR408" s="403">
        <f>'Portefeuille SP2'!AD433</f>
        <v>0</v>
      </c>
      <c r="AS408" s="403">
        <f>'Portefeuille SP2'!AE433</f>
        <v>0</v>
      </c>
      <c r="AT408" s="403">
        <f>'Portefeuille SP2'!AF433</f>
        <v>0</v>
      </c>
      <c r="AU408" s="403">
        <f>'Portefeuille SP2'!AG433</f>
        <v>0</v>
      </c>
      <c r="AV408" s="403">
        <f>'Portefeuille SP2'!AH433</f>
        <v>0</v>
      </c>
      <c r="AW408" s="403">
        <f>'Portefeuille SP2'!AI433</f>
        <v>0</v>
      </c>
      <c r="AX408" s="403">
        <f>'Portefeuille SP2'!AJ433</f>
        <v>0</v>
      </c>
      <c r="AY408" s="403">
        <f>'Portefeuille SP2'!AK433</f>
        <v>0</v>
      </c>
      <c r="AZ408" s="403">
        <f>'Portefeuille SP2'!AL433</f>
        <v>0</v>
      </c>
      <c r="BA408" s="403">
        <f>'Portefeuille SP2'!AM433</f>
        <v>0</v>
      </c>
      <c r="BB408" s="403">
        <f>'Portefeuille SP2'!AN433</f>
        <v>0</v>
      </c>
      <c r="BC408" s="403">
        <f>'Portefeuille SP2'!AO433</f>
        <v>0</v>
      </c>
      <c r="BD408" s="403">
        <f>'Portefeuille SP2'!AP433</f>
        <v>0</v>
      </c>
      <c r="BE408" s="403">
        <f>'Portefeuille SP2'!AQ433</f>
        <v>0</v>
      </c>
      <c r="BF408" s="403">
        <f>'Portefeuille SP2'!AR433</f>
        <v>0</v>
      </c>
      <c r="BG408" s="403" t="e">
        <f>'Portefeuille SP2'!#REF!</f>
        <v>#REF!</v>
      </c>
      <c r="BH408" s="403" t="e">
        <f>'Portefeuille SP2'!#REF!</f>
        <v>#REF!</v>
      </c>
      <c r="BI408" s="403" t="e">
        <f>'Portefeuille SP2'!#REF!</f>
        <v>#REF!</v>
      </c>
      <c r="BJ408" s="403" t="e">
        <f>'Portefeuille SP2'!#REF!</f>
        <v>#REF!</v>
      </c>
      <c r="BK408" s="403" t="e">
        <f>'Portefeuille SP2'!#REF!</f>
        <v>#REF!</v>
      </c>
      <c r="BL408" s="388"/>
      <c r="BM408" s="404">
        <f>'Portefeuille SP2'!L433</f>
        <v>0</v>
      </c>
    </row>
    <row r="409" spans="1:65" ht="15" customHeight="1">
      <c r="A409" s="383">
        <f>'Portefeuille SP2'!B434</f>
        <v>0</v>
      </c>
      <c r="B409" s="390">
        <f>'Portefeuille SP2'!Q434</f>
        <v>0</v>
      </c>
      <c r="C409" s="384"/>
      <c r="D409" s="382">
        <f>'Portefeuille SP2'!E434</f>
        <v>0</v>
      </c>
      <c r="E409" s="382" t="str">
        <f t="shared" si="33"/>
        <v>0</v>
      </c>
      <c r="F409" s="382" t="str">
        <f t="shared" si="34"/>
        <v/>
      </c>
      <c r="G409" s="382">
        <f>'Portefeuille SP2'!C434</f>
        <v>0</v>
      </c>
      <c r="H409" s="382">
        <f>'Portefeuille SP2'!F434</f>
        <v>0</v>
      </c>
      <c r="I409" s="382"/>
      <c r="J409" s="382">
        <f>'Portefeuille SP2'!D434</f>
        <v>0</v>
      </c>
      <c r="K409" s="385">
        <f>'Portefeuille SP2'!H434</f>
        <v>0</v>
      </c>
      <c r="L409" s="157">
        <f>'Portefeuille SP2'!U434</f>
        <v>0</v>
      </c>
      <c r="M409" s="386"/>
      <c r="N409" s="386"/>
      <c r="O409" s="386"/>
      <c r="P409" s="387">
        <f>'Portefeuille SP2'!M434</f>
        <v>0</v>
      </c>
      <c r="Q409" s="387"/>
      <c r="R409" s="387">
        <f>'Portefeuille SP2'!N434</f>
        <v>0</v>
      </c>
      <c r="S409" s="387"/>
      <c r="T409" s="382">
        <f>'Portefeuille SP2'!R434</f>
        <v>0</v>
      </c>
      <c r="U409" s="387">
        <f>'Portefeuille SP2'!K434</f>
        <v>0</v>
      </c>
      <c r="V409" s="399">
        <f>'Portefeuille SP2'!S434</f>
        <v>0</v>
      </c>
      <c r="W409" s="387"/>
      <c r="X409" s="387"/>
      <c r="Y409" s="387"/>
      <c r="Z409" s="387"/>
      <c r="AA409" s="387"/>
      <c r="AB409" s="387"/>
      <c r="AC409" s="387"/>
      <c r="AD409" s="387"/>
      <c r="AE409" s="400">
        <f>'Portefeuille SP2'!J434</f>
        <v>0</v>
      </c>
      <c r="AF409" s="387"/>
      <c r="AG409" s="387"/>
      <c r="AH409" s="389"/>
      <c r="AI409" s="389"/>
      <c r="AJ409" s="403">
        <f>'Portefeuille SP2'!V434</f>
        <v>0</v>
      </c>
      <c r="AK409" s="403">
        <f>'Portefeuille SP2'!W434</f>
        <v>0</v>
      </c>
      <c r="AL409" s="403">
        <f>'Portefeuille SP2'!X434</f>
        <v>0</v>
      </c>
      <c r="AM409" s="403">
        <f>'Portefeuille SP2'!Y434</f>
        <v>0</v>
      </c>
      <c r="AN409" s="403">
        <f>'Portefeuille SP2'!Z434</f>
        <v>0</v>
      </c>
      <c r="AO409" s="403">
        <f>'Portefeuille SP2'!AA434</f>
        <v>0</v>
      </c>
      <c r="AP409" s="403">
        <f>'Portefeuille SP2'!AB434</f>
        <v>0</v>
      </c>
      <c r="AQ409" s="403">
        <f>'Portefeuille SP2'!AC434</f>
        <v>0</v>
      </c>
      <c r="AR409" s="403">
        <f>'Portefeuille SP2'!AD434</f>
        <v>0</v>
      </c>
      <c r="AS409" s="403">
        <f>'Portefeuille SP2'!AE434</f>
        <v>0</v>
      </c>
      <c r="AT409" s="403">
        <f>'Portefeuille SP2'!AF434</f>
        <v>0</v>
      </c>
      <c r="AU409" s="403">
        <f>'Portefeuille SP2'!AG434</f>
        <v>0</v>
      </c>
      <c r="AV409" s="403">
        <f>'Portefeuille SP2'!AH434</f>
        <v>0</v>
      </c>
      <c r="AW409" s="403">
        <f>'Portefeuille SP2'!AI434</f>
        <v>0</v>
      </c>
      <c r="AX409" s="403">
        <f>'Portefeuille SP2'!AJ434</f>
        <v>0</v>
      </c>
      <c r="AY409" s="403">
        <f>'Portefeuille SP2'!AK434</f>
        <v>0</v>
      </c>
      <c r="AZ409" s="403">
        <f>'Portefeuille SP2'!AL434</f>
        <v>0</v>
      </c>
      <c r="BA409" s="403">
        <f>'Portefeuille SP2'!AM434</f>
        <v>0</v>
      </c>
      <c r="BB409" s="403">
        <f>'Portefeuille SP2'!AN434</f>
        <v>0</v>
      </c>
      <c r="BC409" s="403">
        <f>'Portefeuille SP2'!AO434</f>
        <v>0</v>
      </c>
      <c r="BD409" s="403">
        <f>'Portefeuille SP2'!AP434</f>
        <v>0</v>
      </c>
      <c r="BE409" s="403">
        <f>'Portefeuille SP2'!AQ434</f>
        <v>0</v>
      </c>
      <c r="BF409" s="403">
        <f>'Portefeuille SP2'!AR434</f>
        <v>0</v>
      </c>
      <c r="BG409" s="403" t="e">
        <f>'Portefeuille SP2'!#REF!</f>
        <v>#REF!</v>
      </c>
      <c r="BH409" s="403" t="e">
        <f>'Portefeuille SP2'!#REF!</f>
        <v>#REF!</v>
      </c>
      <c r="BI409" s="403" t="e">
        <f>'Portefeuille SP2'!#REF!</f>
        <v>#REF!</v>
      </c>
      <c r="BJ409" s="403" t="e">
        <f>'Portefeuille SP2'!#REF!</f>
        <v>#REF!</v>
      </c>
      <c r="BK409" s="403" t="e">
        <f>'Portefeuille SP2'!#REF!</f>
        <v>#REF!</v>
      </c>
      <c r="BL409" s="388"/>
      <c r="BM409" s="404">
        <f>'Portefeuille SP2'!L434</f>
        <v>0</v>
      </c>
    </row>
    <row r="410" spans="1:65" ht="15" customHeight="1">
      <c r="A410" s="383">
        <f>'Portefeuille SP2'!B435</f>
        <v>0</v>
      </c>
      <c r="B410" s="390">
        <f>'Portefeuille SP2'!Q435</f>
        <v>0</v>
      </c>
      <c r="C410" s="384"/>
      <c r="D410" s="382">
        <f>'Portefeuille SP2'!E435</f>
        <v>0</v>
      </c>
      <c r="E410" s="382" t="str">
        <f t="shared" si="33"/>
        <v>0</v>
      </c>
      <c r="F410" s="382" t="str">
        <f t="shared" si="34"/>
        <v/>
      </c>
      <c r="G410" s="382">
        <f>'Portefeuille SP2'!C435</f>
        <v>0</v>
      </c>
      <c r="H410" s="382">
        <f>'Portefeuille SP2'!F435</f>
        <v>0</v>
      </c>
      <c r="I410" s="382"/>
      <c r="J410" s="382">
        <f>'Portefeuille SP2'!D435</f>
        <v>0</v>
      </c>
      <c r="K410" s="385">
        <f>'Portefeuille SP2'!H435</f>
        <v>0</v>
      </c>
      <c r="L410" s="157">
        <f>'Portefeuille SP2'!U435</f>
        <v>0</v>
      </c>
      <c r="M410" s="386"/>
      <c r="N410" s="386"/>
      <c r="O410" s="386"/>
      <c r="P410" s="387">
        <f>'Portefeuille SP2'!M435</f>
        <v>0</v>
      </c>
      <c r="Q410" s="387"/>
      <c r="R410" s="387">
        <f>'Portefeuille SP2'!N435</f>
        <v>0</v>
      </c>
      <c r="S410" s="387"/>
      <c r="T410" s="382">
        <f>'Portefeuille SP2'!R435</f>
        <v>0</v>
      </c>
      <c r="U410" s="387">
        <f>'Portefeuille SP2'!K435</f>
        <v>0</v>
      </c>
      <c r="V410" s="399">
        <f>'Portefeuille SP2'!S435</f>
        <v>0</v>
      </c>
      <c r="W410" s="387"/>
      <c r="X410" s="387"/>
      <c r="Y410" s="387"/>
      <c r="Z410" s="387"/>
      <c r="AA410" s="387"/>
      <c r="AB410" s="387"/>
      <c r="AC410" s="387"/>
      <c r="AD410" s="387"/>
      <c r="AE410" s="400">
        <f>'Portefeuille SP2'!J435</f>
        <v>0</v>
      </c>
      <c r="AF410" s="387"/>
      <c r="AG410" s="387"/>
      <c r="AH410" s="389"/>
      <c r="AI410" s="389"/>
      <c r="AJ410" s="403">
        <f>'Portefeuille SP2'!V435</f>
        <v>0</v>
      </c>
      <c r="AK410" s="403">
        <f>'Portefeuille SP2'!W435</f>
        <v>0</v>
      </c>
      <c r="AL410" s="403">
        <f>'Portefeuille SP2'!X435</f>
        <v>0</v>
      </c>
      <c r="AM410" s="403">
        <f>'Portefeuille SP2'!Y435</f>
        <v>0</v>
      </c>
      <c r="AN410" s="403">
        <f>'Portefeuille SP2'!Z435</f>
        <v>0</v>
      </c>
      <c r="AO410" s="403">
        <f>'Portefeuille SP2'!AA435</f>
        <v>0</v>
      </c>
      <c r="AP410" s="403">
        <f>'Portefeuille SP2'!AB435</f>
        <v>0</v>
      </c>
      <c r="AQ410" s="403">
        <f>'Portefeuille SP2'!AC435</f>
        <v>0</v>
      </c>
      <c r="AR410" s="403">
        <f>'Portefeuille SP2'!AD435</f>
        <v>0</v>
      </c>
      <c r="AS410" s="403">
        <f>'Portefeuille SP2'!AE435</f>
        <v>0</v>
      </c>
      <c r="AT410" s="403">
        <f>'Portefeuille SP2'!AF435</f>
        <v>0</v>
      </c>
      <c r="AU410" s="403">
        <f>'Portefeuille SP2'!AG435</f>
        <v>0</v>
      </c>
      <c r="AV410" s="403">
        <f>'Portefeuille SP2'!AH435</f>
        <v>0</v>
      </c>
      <c r="AW410" s="403">
        <f>'Portefeuille SP2'!AI435</f>
        <v>0</v>
      </c>
      <c r="AX410" s="403">
        <f>'Portefeuille SP2'!AJ435</f>
        <v>0</v>
      </c>
      <c r="AY410" s="403">
        <f>'Portefeuille SP2'!AK435</f>
        <v>0</v>
      </c>
      <c r="AZ410" s="403">
        <f>'Portefeuille SP2'!AL435</f>
        <v>0</v>
      </c>
      <c r="BA410" s="403">
        <f>'Portefeuille SP2'!AM435</f>
        <v>0</v>
      </c>
      <c r="BB410" s="403">
        <f>'Portefeuille SP2'!AN435</f>
        <v>0</v>
      </c>
      <c r="BC410" s="403">
        <f>'Portefeuille SP2'!AO435</f>
        <v>0</v>
      </c>
      <c r="BD410" s="403">
        <f>'Portefeuille SP2'!AP435</f>
        <v>0</v>
      </c>
      <c r="BE410" s="403">
        <f>'Portefeuille SP2'!AQ435</f>
        <v>0</v>
      </c>
      <c r="BF410" s="403">
        <f>'Portefeuille SP2'!AR435</f>
        <v>0</v>
      </c>
      <c r="BG410" s="403" t="e">
        <f>'Portefeuille SP2'!#REF!</f>
        <v>#REF!</v>
      </c>
      <c r="BH410" s="403" t="e">
        <f>'Portefeuille SP2'!#REF!</f>
        <v>#REF!</v>
      </c>
      <c r="BI410" s="403" t="e">
        <f>'Portefeuille SP2'!#REF!</f>
        <v>#REF!</v>
      </c>
      <c r="BJ410" s="403" t="e">
        <f>'Portefeuille SP2'!#REF!</f>
        <v>#REF!</v>
      </c>
      <c r="BK410" s="403" t="e">
        <f>'Portefeuille SP2'!#REF!</f>
        <v>#REF!</v>
      </c>
      <c r="BL410" s="388"/>
      <c r="BM410" s="404">
        <f>'Portefeuille SP2'!L435</f>
        <v>0</v>
      </c>
    </row>
    <row r="411" spans="1:65" ht="15" customHeight="1">
      <c r="A411" s="383">
        <f>'Portefeuille SP2'!B436</f>
        <v>0</v>
      </c>
      <c r="B411" s="390">
        <f>'Portefeuille SP2'!Q436</f>
        <v>0</v>
      </c>
      <c r="C411" s="384"/>
      <c r="D411" s="382">
        <f>'Portefeuille SP2'!E436</f>
        <v>0</v>
      </c>
      <c r="E411" s="382" t="str">
        <f t="shared" si="33"/>
        <v>0</v>
      </c>
      <c r="F411" s="382" t="str">
        <f t="shared" si="34"/>
        <v/>
      </c>
      <c r="G411" s="382">
        <f>'Portefeuille SP2'!C436</f>
        <v>0</v>
      </c>
      <c r="H411" s="382">
        <f>'Portefeuille SP2'!F436</f>
        <v>0</v>
      </c>
      <c r="I411" s="382"/>
      <c r="J411" s="382">
        <f>'Portefeuille SP2'!D436</f>
        <v>0</v>
      </c>
      <c r="K411" s="385">
        <f>'Portefeuille SP2'!H436</f>
        <v>0</v>
      </c>
      <c r="L411" s="157">
        <f>'Portefeuille SP2'!U436</f>
        <v>0</v>
      </c>
      <c r="M411" s="386"/>
      <c r="N411" s="386"/>
      <c r="O411" s="386"/>
      <c r="P411" s="387">
        <f>'Portefeuille SP2'!M436</f>
        <v>0</v>
      </c>
      <c r="Q411" s="387"/>
      <c r="R411" s="387">
        <f>'Portefeuille SP2'!N436</f>
        <v>0</v>
      </c>
      <c r="S411" s="387"/>
      <c r="T411" s="382">
        <f>'Portefeuille SP2'!R436</f>
        <v>0</v>
      </c>
      <c r="U411" s="387">
        <f>'Portefeuille SP2'!K436</f>
        <v>0</v>
      </c>
      <c r="V411" s="399">
        <f>'Portefeuille SP2'!S436</f>
        <v>0</v>
      </c>
      <c r="W411" s="387"/>
      <c r="X411" s="387"/>
      <c r="Y411" s="387"/>
      <c r="Z411" s="387"/>
      <c r="AA411" s="387"/>
      <c r="AB411" s="387"/>
      <c r="AC411" s="387"/>
      <c r="AD411" s="387"/>
      <c r="AE411" s="400">
        <f>'Portefeuille SP2'!J436</f>
        <v>0</v>
      </c>
      <c r="AF411" s="387"/>
      <c r="AG411" s="387"/>
      <c r="AH411" s="389"/>
      <c r="AI411" s="389"/>
      <c r="AJ411" s="403">
        <f>'Portefeuille SP2'!V436</f>
        <v>0</v>
      </c>
      <c r="AK411" s="403">
        <f>'Portefeuille SP2'!W436</f>
        <v>0</v>
      </c>
      <c r="AL411" s="403">
        <f>'Portefeuille SP2'!X436</f>
        <v>0</v>
      </c>
      <c r="AM411" s="403">
        <f>'Portefeuille SP2'!Y436</f>
        <v>0</v>
      </c>
      <c r="AN411" s="403">
        <f>'Portefeuille SP2'!Z436</f>
        <v>0</v>
      </c>
      <c r="AO411" s="403">
        <f>'Portefeuille SP2'!AA436</f>
        <v>0</v>
      </c>
      <c r="AP411" s="403">
        <f>'Portefeuille SP2'!AB436</f>
        <v>0</v>
      </c>
      <c r="AQ411" s="403">
        <f>'Portefeuille SP2'!AC436</f>
        <v>0</v>
      </c>
      <c r="AR411" s="403">
        <f>'Portefeuille SP2'!AD436</f>
        <v>0</v>
      </c>
      <c r="AS411" s="403">
        <f>'Portefeuille SP2'!AE436</f>
        <v>0</v>
      </c>
      <c r="AT411" s="403">
        <f>'Portefeuille SP2'!AF436</f>
        <v>0</v>
      </c>
      <c r="AU411" s="403">
        <f>'Portefeuille SP2'!AG436</f>
        <v>0</v>
      </c>
      <c r="AV411" s="403">
        <f>'Portefeuille SP2'!AH436</f>
        <v>0</v>
      </c>
      <c r="AW411" s="403">
        <f>'Portefeuille SP2'!AI436</f>
        <v>0</v>
      </c>
      <c r="AX411" s="403">
        <f>'Portefeuille SP2'!AJ436</f>
        <v>0</v>
      </c>
      <c r="AY411" s="403">
        <f>'Portefeuille SP2'!AK436</f>
        <v>0</v>
      </c>
      <c r="AZ411" s="403">
        <f>'Portefeuille SP2'!AL436</f>
        <v>0</v>
      </c>
      <c r="BA411" s="403">
        <f>'Portefeuille SP2'!AM436</f>
        <v>0</v>
      </c>
      <c r="BB411" s="403">
        <f>'Portefeuille SP2'!AN436</f>
        <v>0</v>
      </c>
      <c r="BC411" s="403">
        <f>'Portefeuille SP2'!AO436</f>
        <v>0</v>
      </c>
      <c r="BD411" s="403">
        <f>'Portefeuille SP2'!AP436</f>
        <v>0</v>
      </c>
      <c r="BE411" s="403">
        <f>'Portefeuille SP2'!AQ436</f>
        <v>0</v>
      </c>
      <c r="BF411" s="403">
        <f>'Portefeuille SP2'!AR436</f>
        <v>0</v>
      </c>
      <c r="BG411" s="403" t="e">
        <f>'Portefeuille SP2'!#REF!</f>
        <v>#REF!</v>
      </c>
      <c r="BH411" s="403" t="e">
        <f>'Portefeuille SP2'!#REF!</f>
        <v>#REF!</v>
      </c>
      <c r="BI411" s="403" t="e">
        <f>'Portefeuille SP2'!#REF!</f>
        <v>#REF!</v>
      </c>
      <c r="BJ411" s="403" t="e">
        <f>'Portefeuille SP2'!#REF!</f>
        <v>#REF!</v>
      </c>
      <c r="BK411" s="403" t="e">
        <f>'Portefeuille SP2'!#REF!</f>
        <v>#REF!</v>
      </c>
      <c r="BL411" s="388"/>
      <c r="BM411" s="404">
        <f>'Portefeuille SP2'!L436</f>
        <v>0</v>
      </c>
    </row>
    <row r="412" spans="1:65" ht="15" customHeight="1">
      <c r="A412" s="383">
        <f>'Portefeuille SP2'!B437</f>
        <v>0</v>
      </c>
      <c r="B412" s="390">
        <f>'Portefeuille SP2'!Q437</f>
        <v>0</v>
      </c>
      <c r="C412" s="384"/>
      <c r="D412" s="382">
        <f>'Portefeuille SP2'!E437</f>
        <v>0</v>
      </c>
      <c r="E412" s="382" t="str">
        <f t="shared" si="33"/>
        <v>0</v>
      </c>
      <c r="F412" s="382" t="str">
        <f t="shared" si="34"/>
        <v/>
      </c>
      <c r="G412" s="382">
        <f>'Portefeuille SP2'!C437</f>
        <v>0</v>
      </c>
      <c r="H412" s="382">
        <f>'Portefeuille SP2'!F437</f>
        <v>0</v>
      </c>
      <c r="I412" s="382"/>
      <c r="J412" s="382">
        <f>'Portefeuille SP2'!D437</f>
        <v>0</v>
      </c>
      <c r="K412" s="385">
        <f>'Portefeuille SP2'!H437</f>
        <v>0</v>
      </c>
      <c r="L412" s="157">
        <f>'Portefeuille SP2'!U437</f>
        <v>0</v>
      </c>
      <c r="M412" s="386"/>
      <c r="N412" s="386"/>
      <c r="O412" s="386"/>
      <c r="P412" s="387">
        <f>'Portefeuille SP2'!M437</f>
        <v>0</v>
      </c>
      <c r="Q412" s="387"/>
      <c r="R412" s="387">
        <f>'Portefeuille SP2'!N437</f>
        <v>0</v>
      </c>
      <c r="S412" s="387"/>
      <c r="T412" s="382">
        <f>'Portefeuille SP2'!R437</f>
        <v>0</v>
      </c>
      <c r="U412" s="387">
        <f>'Portefeuille SP2'!K437</f>
        <v>0</v>
      </c>
      <c r="V412" s="399">
        <f>'Portefeuille SP2'!S437</f>
        <v>0</v>
      </c>
      <c r="W412" s="387"/>
      <c r="X412" s="387"/>
      <c r="Y412" s="387"/>
      <c r="Z412" s="387"/>
      <c r="AA412" s="387"/>
      <c r="AB412" s="387"/>
      <c r="AC412" s="387"/>
      <c r="AD412" s="387"/>
      <c r="AE412" s="400">
        <f>'Portefeuille SP2'!J437</f>
        <v>0</v>
      </c>
      <c r="AF412" s="387"/>
      <c r="AG412" s="387"/>
      <c r="AH412" s="389"/>
      <c r="AI412" s="389"/>
      <c r="AJ412" s="403">
        <f>'Portefeuille SP2'!V437</f>
        <v>0</v>
      </c>
      <c r="AK412" s="403">
        <f>'Portefeuille SP2'!W437</f>
        <v>0</v>
      </c>
      <c r="AL412" s="403">
        <f>'Portefeuille SP2'!X437</f>
        <v>0</v>
      </c>
      <c r="AM412" s="403">
        <f>'Portefeuille SP2'!Y437</f>
        <v>0</v>
      </c>
      <c r="AN412" s="403">
        <f>'Portefeuille SP2'!Z437</f>
        <v>0</v>
      </c>
      <c r="AO412" s="403">
        <f>'Portefeuille SP2'!AA437</f>
        <v>0</v>
      </c>
      <c r="AP412" s="403">
        <f>'Portefeuille SP2'!AB437</f>
        <v>0</v>
      </c>
      <c r="AQ412" s="403">
        <f>'Portefeuille SP2'!AC437</f>
        <v>0</v>
      </c>
      <c r="AR412" s="403">
        <f>'Portefeuille SP2'!AD437</f>
        <v>0</v>
      </c>
      <c r="AS412" s="403">
        <f>'Portefeuille SP2'!AE437</f>
        <v>0</v>
      </c>
      <c r="AT412" s="403">
        <f>'Portefeuille SP2'!AF437</f>
        <v>0</v>
      </c>
      <c r="AU412" s="403">
        <f>'Portefeuille SP2'!AG437</f>
        <v>0</v>
      </c>
      <c r="AV412" s="403">
        <f>'Portefeuille SP2'!AH437</f>
        <v>0</v>
      </c>
      <c r="AW412" s="403">
        <f>'Portefeuille SP2'!AI437</f>
        <v>0</v>
      </c>
      <c r="AX412" s="403">
        <f>'Portefeuille SP2'!AJ437</f>
        <v>0</v>
      </c>
      <c r="AY412" s="403">
        <f>'Portefeuille SP2'!AK437</f>
        <v>0</v>
      </c>
      <c r="AZ412" s="403">
        <f>'Portefeuille SP2'!AL437</f>
        <v>0</v>
      </c>
      <c r="BA412" s="403">
        <f>'Portefeuille SP2'!AM437</f>
        <v>0</v>
      </c>
      <c r="BB412" s="403">
        <f>'Portefeuille SP2'!AN437</f>
        <v>0</v>
      </c>
      <c r="BC412" s="403">
        <f>'Portefeuille SP2'!AO437</f>
        <v>0</v>
      </c>
      <c r="BD412" s="403">
        <f>'Portefeuille SP2'!AP437</f>
        <v>0</v>
      </c>
      <c r="BE412" s="403">
        <f>'Portefeuille SP2'!AQ437</f>
        <v>0</v>
      </c>
      <c r="BF412" s="403">
        <f>'Portefeuille SP2'!AR437</f>
        <v>0</v>
      </c>
      <c r="BG412" s="403" t="e">
        <f>'Portefeuille SP2'!#REF!</f>
        <v>#REF!</v>
      </c>
      <c r="BH412" s="403" t="e">
        <f>'Portefeuille SP2'!#REF!</f>
        <v>#REF!</v>
      </c>
      <c r="BI412" s="403" t="e">
        <f>'Portefeuille SP2'!#REF!</f>
        <v>#REF!</v>
      </c>
      <c r="BJ412" s="403" t="e">
        <f>'Portefeuille SP2'!#REF!</f>
        <v>#REF!</v>
      </c>
      <c r="BK412" s="403" t="e">
        <f>'Portefeuille SP2'!#REF!</f>
        <v>#REF!</v>
      </c>
      <c r="BL412" s="388"/>
      <c r="BM412" s="404">
        <f>'Portefeuille SP2'!L437</f>
        <v>0</v>
      </c>
    </row>
    <row r="413" spans="1:65" ht="15" customHeight="1">
      <c r="A413" s="383">
        <f>'Portefeuille SP2'!B438</f>
        <v>0</v>
      </c>
      <c r="B413" s="390">
        <f>'Portefeuille SP2'!Q438</f>
        <v>0</v>
      </c>
      <c r="C413" s="384"/>
      <c r="D413" s="382">
        <f>'Portefeuille SP2'!E438</f>
        <v>0</v>
      </c>
      <c r="E413" s="382" t="str">
        <f t="shared" si="33"/>
        <v>0</v>
      </c>
      <c r="F413" s="382" t="str">
        <f t="shared" si="34"/>
        <v/>
      </c>
      <c r="G413" s="382">
        <f>'Portefeuille SP2'!C438</f>
        <v>0</v>
      </c>
      <c r="H413" s="382">
        <f>'Portefeuille SP2'!F438</f>
        <v>0</v>
      </c>
      <c r="I413" s="382"/>
      <c r="J413" s="382">
        <f>'Portefeuille SP2'!D438</f>
        <v>0</v>
      </c>
      <c r="K413" s="385">
        <f>'Portefeuille SP2'!H438</f>
        <v>0</v>
      </c>
      <c r="L413" s="157">
        <f>'Portefeuille SP2'!U438</f>
        <v>0</v>
      </c>
      <c r="M413" s="386"/>
      <c r="N413" s="386"/>
      <c r="O413" s="386"/>
      <c r="P413" s="387">
        <f>'Portefeuille SP2'!M438</f>
        <v>0</v>
      </c>
      <c r="Q413" s="387"/>
      <c r="R413" s="387">
        <f>'Portefeuille SP2'!N438</f>
        <v>0</v>
      </c>
      <c r="S413" s="387"/>
      <c r="T413" s="382">
        <f>'Portefeuille SP2'!R438</f>
        <v>0</v>
      </c>
      <c r="U413" s="387">
        <f>'Portefeuille SP2'!K438</f>
        <v>0</v>
      </c>
      <c r="V413" s="399">
        <f>'Portefeuille SP2'!S438</f>
        <v>0</v>
      </c>
      <c r="W413" s="387"/>
      <c r="X413" s="387"/>
      <c r="Y413" s="387"/>
      <c r="Z413" s="387"/>
      <c r="AA413" s="387"/>
      <c r="AB413" s="387"/>
      <c r="AC413" s="387"/>
      <c r="AD413" s="387"/>
      <c r="AE413" s="400">
        <f>'Portefeuille SP2'!J438</f>
        <v>0</v>
      </c>
      <c r="AF413" s="387"/>
      <c r="AG413" s="387"/>
      <c r="AH413" s="389"/>
      <c r="AI413" s="389"/>
      <c r="AJ413" s="403">
        <f>'Portefeuille SP2'!V438</f>
        <v>0</v>
      </c>
      <c r="AK413" s="403">
        <f>'Portefeuille SP2'!W438</f>
        <v>0</v>
      </c>
      <c r="AL413" s="403">
        <f>'Portefeuille SP2'!X438</f>
        <v>0</v>
      </c>
      <c r="AM413" s="403">
        <f>'Portefeuille SP2'!Y438</f>
        <v>0</v>
      </c>
      <c r="AN413" s="403">
        <f>'Portefeuille SP2'!Z438</f>
        <v>0</v>
      </c>
      <c r="AO413" s="403">
        <f>'Portefeuille SP2'!AA438</f>
        <v>0</v>
      </c>
      <c r="AP413" s="403">
        <f>'Portefeuille SP2'!AB438</f>
        <v>0</v>
      </c>
      <c r="AQ413" s="403">
        <f>'Portefeuille SP2'!AC438</f>
        <v>0</v>
      </c>
      <c r="AR413" s="403">
        <f>'Portefeuille SP2'!AD438</f>
        <v>0</v>
      </c>
      <c r="AS413" s="403">
        <f>'Portefeuille SP2'!AE438</f>
        <v>0</v>
      </c>
      <c r="AT413" s="403">
        <f>'Portefeuille SP2'!AF438</f>
        <v>0</v>
      </c>
      <c r="AU413" s="403">
        <f>'Portefeuille SP2'!AG438</f>
        <v>0</v>
      </c>
      <c r="AV413" s="403">
        <f>'Portefeuille SP2'!AH438</f>
        <v>0</v>
      </c>
      <c r="AW413" s="403">
        <f>'Portefeuille SP2'!AI438</f>
        <v>0</v>
      </c>
      <c r="AX413" s="403">
        <f>'Portefeuille SP2'!AJ438</f>
        <v>0</v>
      </c>
      <c r="AY413" s="403">
        <f>'Portefeuille SP2'!AK438</f>
        <v>0</v>
      </c>
      <c r="AZ413" s="403">
        <f>'Portefeuille SP2'!AL438</f>
        <v>0</v>
      </c>
      <c r="BA413" s="403">
        <f>'Portefeuille SP2'!AM438</f>
        <v>0</v>
      </c>
      <c r="BB413" s="403">
        <f>'Portefeuille SP2'!AN438</f>
        <v>0</v>
      </c>
      <c r="BC413" s="403">
        <f>'Portefeuille SP2'!AO438</f>
        <v>0</v>
      </c>
      <c r="BD413" s="403">
        <f>'Portefeuille SP2'!AP438</f>
        <v>0</v>
      </c>
      <c r="BE413" s="403">
        <f>'Portefeuille SP2'!AQ438</f>
        <v>0</v>
      </c>
      <c r="BF413" s="403">
        <f>'Portefeuille SP2'!AR438</f>
        <v>0</v>
      </c>
      <c r="BG413" s="403" t="e">
        <f>'Portefeuille SP2'!#REF!</f>
        <v>#REF!</v>
      </c>
      <c r="BH413" s="403" t="e">
        <f>'Portefeuille SP2'!#REF!</f>
        <v>#REF!</v>
      </c>
      <c r="BI413" s="403" t="e">
        <f>'Portefeuille SP2'!#REF!</f>
        <v>#REF!</v>
      </c>
      <c r="BJ413" s="403" t="e">
        <f>'Portefeuille SP2'!#REF!</f>
        <v>#REF!</v>
      </c>
      <c r="BK413" s="403" t="e">
        <f>'Portefeuille SP2'!#REF!</f>
        <v>#REF!</v>
      </c>
      <c r="BL413" s="388"/>
      <c r="BM413" s="404">
        <f>'Portefeuille SP2'!L438</f>
        <v>0</v>
      </c>
    </row>
    <row r="414" spans="1:65" ht="15" customHeight="1">
      <c r="A414" s="383">
        <f>'Portefeuille SP2'!B439</f>
        <v>0</v>
      </c>
      <c r="B414" s="390">
        <f>'Portefeuille SP2'!Q439</f>
        <v>0</v>
      </c>
      <c r="C414" s="384"/>
      <c r="D414" s="382">
        <f>'Portefeuille SP2'!E439</f>
        <v>0</v>
      </c>
      <c r="E414" s="382" t="str">
        <f t="shared" si="33"/>
        <v>0</v>
      </c>
      <c r="F414" s="382" t="str">
        <f t="shared" si="34"/>
        <v/>
      </c>
      <c r="G414" s="382">
        <f>'Portefeuille SP2'!C439</f>
        <v>0</v>
      </c>
      <c r="H414" s="382">
        <f>'Portefeuille SP2'!F439</f>
        <v>0</v>
      </c>
      <c r="I414" s="382"/>
      <c r="J414" s="382">
        <f>'Portefeuille SP2'!D439</f>
        <v>0</v>
      </c>
      <c r="K414" s="385">
        <f>'Portefeuille SP2'!H439</f>
        <v>0</v>
      </c>
      <c r="L414" s="157">
        <f>'Portefeuille SP2'!U439</f>
        <v>0</v>
      </c>
      <c r="M414" s="386"/>
      <c r="N414" s="386"/>
      <c r="O414" s="386"/>
      <c r="P414" s="387">
        <f>'Portefeuille SP2'!M439</f>
        <v>0</v>
      </c>
      <c r="Q414" s="387"/>
      <c r="R414" s="387">
        <f>'Portefeuille SP2'!N439</f>
        <v>0</v>
      </c>
      <c r="S414" s="387"/>
      <c r="T414" s="382">
        <f>'Portefeuille SP2'!R439</f>
        <v>0</v>
      </c>
      <c r="U414" s="387">
        <f>'Portefeuille SP2'!K439</f>
        <v>0</v>
      </c>
      <c r="V414" s="399">
        <f>'Portefeuille SP2'!S439</f>
        <v>0</v>
      </c>
      <c r="W414" s="387"/>
      <c r="X414" s="387"/>
      <c r="Y414" s="387"/>
      <c r="Z414" s="387"/>
      <c r="AA414" s="387"/>
      <c r="AB414" s="387"/>
      <c r="AC414" s="387"/>
      <c r="AD414" s="387"/>
      <c r="AE414" s="400">
        <f>'Portefeuille SP2'!J439</f>
        <v>0</v>
      </c>
      <c r="AF414" s="387"/>
      <c r="AG414" s="387"/>
      <c r="AH414" s="389"/>
      <c r="AI414" s="389"/>
      <c r="AJ414" s="403">
        <f>'Portefeuille SP2'!V439</f>
        <v>0</v>
      </c>
      <c r="AK414" s="403">
        <f>'Portefeuille SP2'!W439</f>
        <v>0</v>
      </c>
      <c r="AL414" s="403">
        <f>'Portefeuille SP2'!X439</f>
        <v>0</v>
      </c>
      <c r="AM414" s="403">
        <f>'Portefeuille SP2'!Y439</f>
        <v>0</v>
      </c>
      <c r="AN414" s="403">
        <f>'Portefeuille SP2'!Z439</f>
        <v>0</v>
      </c>
      <c r="AO414" s="403">
        <f>'Portefeuille SP2'!AA439</f>
        <v>0</v>
      </c>
      <c r="AP414" s="403">
        <f>'Portefeuille SP2'!AB439</f>
        <v>0</v>
      </c>
      <c r="AQ414" s="403">
        <f>'Portefeuille SP2'!AC439</f>
        <v>0</v>
      </c>
      <c r="AR414" s="403">
        <f>'Portefeuille SP2'!AD439</f>
        <v>0</v>
      </c>
      <c r="AS414" s="403">
        <f>'Portefeuille SP2'!AE439</f>
        <v>0</v>
      </c>
      <c r="AT414" s="403">
        <f>'Portefeuille SP2'!AF439</f>
        <v>0</v>
      </c>
      <c r="AU414" s="403">
        <f>'Portefeuille SP2'!AG439</f>
        <v>0</v>
      </c>
      <c r="AV414" s="403">
        <f>'Portefeuille SP2'!AH439</f>
        <v>0</v>
      </c>
      <c r="AW414" s="403">
        <f>'Portefeuille SP2'!AI439</f>
        <v>0</v>
      </c>
      <c r="AX414" s="403">
        <f>'Portefeuille SP2'!AJ439</f>
        <v>0</v>
      </c>
      <c r="AY414" s="403">
        <f>'Portefeuille SP2'!AK439</f>
        <v>0</v>
      </c>
      <c r="AZ414" s="403">
        <f>'Portefeuille SP2'!AL439</f>
        <v>0</v>
      </c>
      <c r="BA414" s="403">
        <f>'Portefeuille SP2'!AM439</f>
        <v>0</v>
      </c>
      <c r="BB414" s="403">
        <f>'Portefeuille SP2'!AN439</f>
        <v>0</v>
      </c>
      <c r="BC414" s="403">
        <f>'Portefeuille SP2'!AO439</f>
        <v>0</v>
      </c>
      <c r="BD414" s="403">
        <f>'Portefeuille SP2'!AP439</f>
        <v>0</v>
      </c>
      <c r="BE414" s="403">
        <f>'Portefeuille SP2'!AQ439</f>
        <v>0</v>
      </c>
      <c r="BF414" s="403">
        <f>'Portefeuille SP2'!AR439</f>
        <v>0</v>
      </c>
      <c r="BG414" s="403" t="e">
        <f>'Portefeuille SP2'!#REF!</f>
        <v>#REF!</v>
      </c>
      <c r="BH414" s="403" t="e">
        <f>'Portefeuille SP2'!#REF!</f>
        <v>#REF!</v>
      </c>
      <c r="BI414" s="403" t="e">
        <f>'Portefeuille SP2'!#REF!</f>
        <v>#REF!</v>
      </c>
      <c r="BJ414" s="403" t="e">
        <f>'Portefeuille SP2'!#REF!</f>
        <v>#REF!</v>
      </c>
      <c r="BK414" s="403" t="e">
        <f>'Portefeuille SP2'!#REF!</f>
        <v>#REF!</v>
      </c>
      <c r="BL414" s="388"/>
      <c r="BM414" s="404">
        <f>'Portefeuille SP2'!L439</f>
        <v>0</v>
      </c>
    </row>
    <row r="415" spans="1:65" ht="15" customHeight="1">
      <c r="A415" s="383">
        <f>'Portefeuille SP2'!B440</f>
        <v>0</v>
      </c>
      <c r="B415" s="390">
        <f>'Portefeuille SP2'!Q440</f>
        <v>0</v>
      </c>
      <c r="C415" s="384"/>
      <c r="D415" s="382">
        <f>'Portefeuille SP2'!E440</f>
        <v>0</v>
      </c>
      <c r="E415" s="382" t="str">
        <f t="shared" si="33"/>
        <v>0</v>
      </c>
      <c r="F415" s="382" t="str">
        <f t="shared" si="34"/>
        <v/>
      </c>
      <c r="G415" s="382">
        <f>'Portefeuille SP2'!C440</f>
        <v>0</v>
      </c>
      <c r="H415" s="382">
        <f>'Portefeuille SP2'!F440</f>
        <v>0</v>
      </c>
      <c r="I415" s="382"/>
      <c r="J415" s="382">
        <f>'Portefeuille SP2'!D440</f>
        <v>0</v>
      </c>
      <c r="K415" s="385">
        <f>'Portefeuille SP2'!H440</f>
        <v>0</v>
      </c>
      <c r="L415" s="157">
        <f>'Portefeuille SP2'!U440</f>
        <v>0</v>
      </c>
      <c r="M415" s="386"/>
      <c r="N415" s="386"/>
      <c r="O415" s="386"/>
      <c r="P415" s="387">
        <f>'Portefeuille SP2'!M440</f>
        <v>0</v>
      </c>
      <c r="Q415" s="387"/>
      <c r="R415" s="387">
        <f>'Portefeuille SP2'!N440</f>
        <v>0</v>
      </c>
      <c r="S415" s="387"/>
      <c r="T415" s="382">
        <f>'Portefeuille SP2'!R440</f>
        <v>0</v>
      </c>
      <c r="U415" s="387">
        <f>'Portefeuille SP2'!K440</f>
        <v>0</v>
      </c>
      <c r="V415" s="399">
        <f>'Portefeuille SP2'!S440</f>
        <v>0</v>
      </c>
      <c r="W415" s="387"/>
      <c r="X415" s="387"/>
      <c r="Y415" s="387"/>
      <c r="Z415" s="387"/>
      <c r="AA415" s="387"/>
      <c r="AB415" s="387"/>
      <c r="AC415" s="387"/>
      <c r="AD415" s="387"/>
      <c r="AE415" s="400">
        <f>'Portefeuille SP2'!J440</f>
        <v>0</v>
      </c>
      <c r="AF415" s="387"/>
      <c r="AG415" s="387"/>
      <c r="AH415" s="389"/>
      <c r="AI415" s="389"/>
      <c r="AJ415" s="403">
        <f>'Portefeuille SP2'!V440</f>
        <v>0</v>
      </c>
      <c r="AK415" s="403">
        <f>'Portefeuille SP2'!W440</f>
        <v>0</v>
      </c>
      <c r="AL415" s="403">
        <f>'Portefeuille SP2'!X440</f>
        <v>0</v>
      </c>
      <c r="AM415" s="403">
        <f>'Portefeuille SP2'!Y440</f>
        <v>0</v>
      </c>
      <c r="AN415" s="403">
        <f>'Portefeuille SP2'!Z440</f>
        <v>0</v>
      </c>
      <c r="AO415" s="403">
        <f>'Portefeuille SP2'!AA440</f>
        <v>0</v>
      </c>
      <c r="AP415" s="403">
        <f>'Portefeuille SP2'!AB440</f>
        <v>0</v>
      </c>
      <c r="AQ415" s="403">
        <f>'Portefeuille SP2'!AC440</f>
        <v>0</v>
      </c>
      <c r="AR415" s="403">
        <f>'Portefeuille SP2'!AD440</f>
        <v>0</v>
      </c>
      <c r="AS415" s="403">
        <f>'Portefeuille SP2'!AE440</f>
        <v>0</v>
      </c>
      <c r="AT415" s="403">
        <f>'Portefeuille SP2'!AF440</f>
        <v>0</v>
      </c>
      <c r="AU415" s="403">
        <f>'Portefeuille SP2'!AG440</f>
        <v>0</v>
      </c>
      <c r="AV415" s="403">
        <f>'Portefeuille SP2'!AH440</f>
        <v>0</v>
      </c>
      <c r="AW415" s="403">
        <f>'Portefeuille SP2'!AI440</f>
        <v>0</v>
      </c>
      <c r="AX415" s="403">
        <f>'Portefeuille SP2'!AJ440</f>
        <v>0</v>
      </c>
      <c r="AY415" s="403">
        <f>'Portefeuille SP2'!AK440</f>
        <v>0</v>
      </c>
      <c r="AZ415" s="403">
        <f>'Portefeuille SP2'!AL440</f>
        <v>0</v>
      </c>
      <c r="BA415" s="403">
        <f>'Portefeuille SP2'!AM440</f>
        <v>0</v>
      </c>
      <c r="BB415" s="403">
        <f>'Portefeuille SP2'!AN440</f>
        <v>0</v>
      </c>
      <c r="BC415" s="403">
        <f>'Portefeuille SP2'!AO440</f>
        <v>0</v>
      </c>
      <c r="BD415" s="403">
        <f>'Portefeuille SP2'!AP440</f>
        <v>0</v>
      </c>
      <c r="BE415" s="403">
        <f>'Portefeuille SP2'!AQ440</f>
        <v>0</v>
      </c>
      <c r="BF415" s="403">
        <f>'Portefeuille SP2'!AR440</f>
        <v>0</v>
      </c>
      <c r="BG415" s="403" t="e">
        <f>'Portefeuille SP2'!#REF!</f>
        <v>#REF!</v>
      </c>
      <c r="BH415" s="403" t="e">
        <f>'Portefeuille SP2'!#REF!</f>
        <v>#REF!</v>
      </c>
      <c r="BI415" s="403" t="e">
        <f>'Portefeuille SP2'!#REF!</f>
        <v>#REF!</v>
      </c>
      <c r="BJ415" s="403" t="e">
        <f>'Portefeuille SP2'!#REF!</f>
        <v>#REF!</v>
      </c>
      <c r="BK415" s="403" t="e">
        <f>'Portefeuille SP2'!#REF!</f>
        <v>#REF!</v>
      </c>
      <c r="BL415" s="388"/>
      <c r="BM415" s="404">
        <f>'Portefeuille SP2'!L440</f>
        <v>0</v>
      </c>
    </row>
    <row r="416" spans="1:65" ht="15" customHeight="1">
      <c r="A416" s="383">
        <f>'Portefeuille SP2'!B441</f>
        <v>0</v>
      </c>
      <c r="B416" s="390">
        <f>'Portefeuille SP2'!Q441</f>
        <v>0</v>
      </c>
      <c r="C416" s="384"/>
      <c r="D416" s="382">
        <f>'Portefeuille SP2'!E441</f>
        <v>0</v>
      </c>
      <c r="E416" s="382" t="str">
        <f t="shared" si="33"/>
        <v>0</v>
      </c>
      <c r="F416" s="382" t="str">
        <f t="shared" si="34"/>
        <v/>
      </c>
      <c r="G416" s="382">
        <f>'Portefeuille SP2'!C441</f>
        <v>0</v>
      </c>
      <c r="H416" s="382">
        <f>'Portefeuille SP2'!F441</f>
        <v>0</v>
      </c>
      <c r="I416" s="382"/>
      <c r="J416" s="382">
        <f>'Portefeuille SP2'!D441</f>
        <v>0</v>
      </c>
      <c r="K416" s="385">
        <f>'Portefeuille SP2'!H441</f>
        <v>0</v>
      </c>
      <c r="L416" s="157">
        <f>'Portefeuille SP2'!U441</f>
        <v>0</v>
      </c>
      <c r="M416" s="386"/>
      <c r="N416" s="386"/>
      <c r="O416" s="386"/>
      <c r="P416" s="387">
        <f>'Portefeuille SP2'!M441</f>
        <v>0</v>
      </c>
      <c r="Q416" s="387"/>
      <c r="R416" s="387">
        <f>'Portefeuille SP2'!N441</f>
        <v>0</v>
      </c>
      <c r="S416" s="387"/>
      <c r="T416" s="382">
        <f>'Portefeuille SP2'!R441</f>
        <v>0</v>
      </c>
      <c r="U416" s="387">
        <f>'Portefeuille SP2'!K441</f>
        <v>0</v>
      </c>
      <c r="V416" s="399">
        <f>'Portefeuille SP2'!S441</f>
        <v>0</v>
      </c>
      <c r="W416" s="387"/>
      <c r="X416" s="387"/>
      <c r="Y416" s="387"/>
      <c r="Z416" s="387"/>
      <c r="AA416" s="387"/>
      <c r="AB416" s="387"/>
      <c r="AC416" s="387"/>
      <c r="AD416" s="387"/>
      <c r="AE416" s="400">
        <f>'Portefeuille SP2'!J441</f>
        <v>0</v>
      </c>
      <c r="AF416" s="387"/>
      <c r="AG416" s="387"/>
      <c r="AH416" s="389"/>
      <c r="AI416" s="389"/>
      <c r="AJ416" s="403">
        <f>'Portefeuille SP2'!V441</f>
        <v>0</v>
      </c>
      <c r="AK416" s="403">
        <f>'Portefeuille SP2'!W441</f>
        <v>0</v>
      </c>
      <c r="AL416" s="403">
        <f>'Portefeuille SP2'!X441</f>
        <v>0</v>
      </c>
      <c r="AM416" s="403">
        <f>'Portefeuille SP2'!Y441</f>
        <v>0</v>
      </c>
      <c r="AN416" s="403">
        <f>'Portefeuille SP2'!Z441</f>
        <v>0</v>
      </c>
      <c r="AO416" s="403">
        <f>'Portefeuille SP2'!AA441</f>
        <v>0</v>
      </c>
      <c r="AP416" s="403">
        <f>'Portefeuille SP2'!AB441</f>
        <v>0</v>
      </c>
      <c r="AQ416" s="403">
        <f>'Portefeuille SP2'!AC441</f>
        <v>0</v>
      </c>
      <c r="AR416" s="403">
        <f>'Portefeuille SP2'!AD441</f>
        <v>0</v>
      </c>
      <c r="AS416" s="403">
        <f>'Portefeuille SP2'!AE441</f>
        <v>0</v>
      </c>
      <c r="AT416" s="403">
        <f>'Portefeuille SP2'!AF441</f>
        <v>0</v>
      </c>
      <c r="AU416" s="403">
        <f>'Portefeuille SP2'!AG441</f>
        <v>0</v>
      </c>
      <c r="AV416" s="403">
        <f>'Portefeuille SP2'!AH441</f>
        <v>0</v>
      </c>
      <c r="AW416" s="403">
        <f>'Portefeuille SP2'!AI441</f>
        <v>0</v>
      </c>
      <c r="AX416" s="403">
        <f>'Portefeuille SP2'!AJ441</f>
        <v>0</v>
      </c>
      <c r="AY416" s="403">
        <f>'Portefeuille SP2'!AK441</f>
        <v>0</v>
      </c>
      <c r="AZ416" s="403">
        <f>'Portefeuille SP2'!AL441</f>
        <v>0</v>
      </c>
      <c r="BA416" s="403">
        <f>'Portefeuille SP2'!AM441</f>
        <v>0</v>
      </c>
      <c r="BB416" s="403">
        <f>'Portefeuille SP2'!AN441</f>
        <v>0</v>
      </c>
      <c r="BC416" s="403">
        <f>'Portefeuille SP2'!AO441</f>
        <v>0</v>
      </c>
      <c r="BD416" s="403">
        <f>'Portefeuille SP2'!AP441</f>
        <v>0</v>
      </c>
      <c r="BE416" s="403">
        <f>'Portefeuille SP2'!AQ441</f>
        <v>0</v>
      </c>
      <c r="BF416" s="403">
        <f>'Portefeuille SP2'!AR441</f>
        <v>0</v>
      </c>
      <c r="BG416" s="403" t="e">
        <f>'Portefeuille SP2'!#REF!</f>
        <v>#REF!</v>
      </c>
      <c r="BH416" s="403" t="e">
        <f>'Portefeuille SP2'!#REF!</f>
        <v>#REF!</v>
      </c>
      <c r="BI416" s="403" t="e">
        <f>'Portefeuille SP2'!#REF!</f>
        <v>#REF!</v>
      </c>
      <c r="BJ416" s="403" t="e">
        <f>'Portefeuille SP2'!#REF!</f>
        <v>#REF!</v>
      </c>
      <c r="BK416" s="403" t="e">
        <f>'Portefeuille SP2'!#REF!</f>
        <v>#REF!</v>
      </c>
      <c r="BL416" s="388"/>
      <c r="BM416" s="404">
        <f>'Portefeuille SP2'!L441</f>
        <v>0</v>
      </c>
    </row>
    <row r="417" spans="1:65" ht="15" customHeight="1">
      <c r="A417" s="383">
        <f>'Portefeuille SP2'!B442</f>
        <v>0</v>
      </c>
      <c r="B417" s="390">
        <f>'Portefeuille SP2'!Q442</f>
        <v>0</v>
      </c>
      <c r="C417" s="384"/>
      <c r="D417" s="382">
        <f>'Portefeuille SP2'!E442</f>
        <v>0</v>
      </c>
      <c r="E417" s="382" t="str">
        <f t="shared" si="33"/>
        <v>0</v>
      </c>
      <c r="F417" s="382" t="str">
        <f t="shared" si="34"/>
        <v/>
      </c>
      <c r="G417" s="382">
        <f>'Portefeuille SP2'!C442</f>
        <v>0</v>
      </c>
      <c r="H417" s="382">
        <f>'Portefeuille SP2'!F442</f>
        <v>0</v>
      </c>
      <c r="I417" s="382"/>
      <c r="J417" s="382">
        <f>'Portefeuille SP2'!D442</f>
        <v>0</v>
      </c>
      <c r="K417" s="385">
        <f>'Portefeuille SP2'!H442</f>
        <v>0</v>
      </c>
      <c r="L417" s="157">
        <f>'Portefeuille SP2'!U442</f>
        <v>0</v>
      </c>
      <c r="M417" s="386"/>
      <c r="N417" s="386"/>
      <c r="O417" s="386"/>
      <c r="P417" s="387">
        <f>'Portefeuille SP2'!M442</f>
        <v>0</v>
      </c>
      <c r="Q417" s="387"/>
      <c r="R417" s="387">
        <f>'Portefeuille SP2'!N442</f>
        <v>0</v>
      </c>
      <c r="S417" s="387"/>
      <c r="T417" s="382">
        <f>'Portefeuille SP2'!R442</f>
        <v>0</v>
      </c>
      <c r="U417" s="387">
        <f>'Portefeuille SP2'!K442</f>
        <v>0</v>
      </c>
      <c r="V417" s="399">
        <f>'Portefeuille SP2'!S442</f>
        <v>0</v>
      </c>
      <c r="W417" s="387"/>
      <c r="X417" s="387"/>
      <c r="Y417" s="387"/>
      <c r="Z417" s="387"/>
      <c r="AA417" s="387"/>
      <c r="AB417" s="387"/>
      <c r="AC417" s="387"/>
      <c r="AD417" s="387"/>
      <c r="AE417" s="400">
        <f>'Portefeuille SP2'!J442</f>
        <v>0</v>
      </c>
      <c r="AF417" s="387"/>
      <c r="AG417" s="387"/>
      <c r="AH417" s="389"/>
      <c r="AI417" s="389"/>
      <c r="AJ417" s="403">
        <f>'Portefeuille SP2'!V442</f>
        <v>0</v>
      </c>
      <c r="AK417" s="403">
        <f>'Portefeuille SP2'!W442</f>
        <v>0</v>
      </c>
      <c r="AL417" s="403">
        <f>'Portefeuille SP2'!X442</f>
        <v>0</v>
      </c>
      <c r="AM417" s="403">
        <f>'Portefeuille SP2'!Y442</f>
        <v>0</v>
      </c>
      <c r="AN417" s="403">
        <f>'Portefeuille SP2'!Z442</f>
        <v>0</v>
      </c>
      <c r="AO417" s="403">
        <f>'Portefeuille SP2'!AA442</f>
        <v>0</v>
      </c>
      <c r="AP417" s="403">
        <f>'Portefeuille SP2'!AB442</f>
        <v>0</v>
      </c>
      <c r="AQ417" s="403">
        <f>'Portefeuille SP2'!AC442</f>
        <v>0</v>
      </c>
      <c r="AR417" s="403">
        <f>'Portefeuille SP2'!AD442</f>
        <v>0</v>
      </c>
      <c r="AS417" s="403">
        <f>'Portefeuille SP2'!AE442</f>
        <v>0</v>
      </c>
      <c r="AT417" s="403">
        <f>'Portefeuille SP2'!AF442</f>
        <v>0</v>
      </c>
      <c r="AU417" s="403">
        <f>'Portefeuille SP2'!AG442</f>
        <v>0</v>
      </c>
      <c r="AV417" s="403">
        <f>'Portefeuille SP2'!AH442</f>
        <v>0</v>
      </c>
      <c r="AW417" s="403">
        <f>'Portefeuille SP2'!AI442</f>
        <v>0</v>
      </c>
      <c r="AX417" s="403">
        <f>'Portefeuille SP2'!AJ442</f>
        <v>0</v>
      </c>
      <c r="AY417" s="403">
        <f>'Portefeuille SP2'!AK442</f>
        <v>0</v>
      </c>
      <c r="AZ417" s="403">
        <f>'Portefeuille SP2'!AL442</f>
        <v>0</v>
      </c>
      <c r="BA417" s="403">
        <f>'Portefeuille SP2'!AM442</f>
        <v>0</v>
      </c>
      <c r="BB417" s="403">
        <f>'Portefeuille SP2'!AN442</f>
        <v>0</v>
      </c>
      <c r="BC417" s="403">
        <f>'Portefeuille SP2'!AO442</f>
        <v>0</v>
      </c>
      <c r="BD417" s="403">
        <f>'Portefeuille SP2'!AP442</f>
        <v>0</v>
      </c>
      <c r="BE417" s="403">
        <f>'Portefeuille SP2'!AQ442</f>
        <v>0</v>
      </c>
      <c r="BF417" s="403">
        <f>'Portefeuille SP2'!AR442</f>
        <v>0</v>
      </c>
      <c r="BG417" s="403" t="e">
        <f>'Portefeuille SP2'!#REF!</f>
        <v>#REF!</v>
      </c>
      <c r="BH417" s="403" t="e">
        <f>'Portefeuille SP2'!#REF!</f>
        <v>#REF!</v>
      </c>
      <c r="BI417" s="403" t="e">
        <f>'Portefeuille SP2'!#REF!</f>
        <v>#REF!</v>
      </c>
      <c r="BJ417" s="403" t="e">
        <f>'Portefeuille SP2'!#REF!</f>
        <v>#REF!</v>
      </c>
      <c r="BK417" s="403" t="e">
        <f>'Portefeuille SP2'!#REF!</f>
        <v>#REF!</v>
      </c>
      <c r="BL417" s="388"/>
      <c r="BM417" s="404">
        <f>'Portefeuille SP2'!L442</f>
        <v>0</v>
      </c>
    </row>
    <row r="418" spans="1:65" ht="15" customHeight="1">
      <c r="A418" s="383">
        <f>'Portefeuille SP2'!B443</f>
        <v>0</v>
      </c>
      <c r="B418" s="390">
        <f>'Portefeuille SP2'!Q443</f>
        <v>0</v>
      </c>
      <c r="C418" s="384"/>
      <c r="D418" s="382">
        <f>'Portefeuille SP2'!E443</f>
        <v>0</v>
      </c>
      <c r="E418" s="382" t="str">
        <f t="shared" si="33"/>
        <v>0</v>
      </c>
      <c r="F418" s="382" t="str">
        <f t="shared" si="34"/>
        <v/>
      </c>
      <c r="G418" s="382">
        <f>'Portefeuille SP2'!C443</f>
        <v>0</v>
      </c>
      <c r="H418" s="382">
        <f>'Portefeuille SP2'!F443</f>
        <v>0</v>
      </c>
      <c r="I418" s="382"/>
      <c r="J418" s="382">
        <f>'Portefeuille SP2'!D443</f>
        <v>0</v>
      </c>
      <c r="K418" s="385">
        <f>'Portefeuille SP2'!H443</f>
        <v>0</v>
      </c>
      <c r="L418" s="157">
        <f>'Portefeuille SP2'!U443</f>
        <v>0</v>
      </c>
      <c r="M418" s="386"/>
      <c r="N418" s="386"/>
      <c r="O418" s="386"/>
      <c r="P418" s="387">
        <f>'Portefeuille SP2'!M443</f>
        <v>0</v>
      </c>
      <c r="Q418" s="387"/>
      <c r="R418" s="387">
        <f>'Portefeuille SP2'!N443</f>
        <v>0</v>
      </c>
      <c r="S418" s="387"/>
      <c r="T418" s="382">
        <f>'Portefeuille SP2'!R443</f>
        <v>0</v>
      </c>
      <c r="U418" s="387">
        <f>'Portefeuille SP2'!K443</f>
        <v>0</v>
      </c>
      <c r="V418" s="399">
        <f>'Portefeuille SP2'!S443</f>
        <v>0</v>
      </c>
      <c r="W418" s="387"/>
      <c r="X418" s="387"/>
      <c r="Y418" s="387"/>
      <c r="Z418" s="387"/>
      <c r="AA418" s="387"/>
      <c r="AB418" s="387"/>
      <c r="AC418" s="387"/>
      <c r="AD418" s="387"/>
      <c r="AE418" s="400">
        <f>'Portefeuille SP2'!J443</f>
        <v>0</v>
      </c>
      <c r="AF418" s="387"/>
      <c r="AG418" s="387"/>
      <c r="AH418" s="389"/>
      <c r="AI418" s="389"/>
      <c r="AJ418" s="403">
        <f>'Portefeuille SP2'!V443</f>
        <v>0</v>
      </c>
      <c r="AK418" s="403">
        <f>'Portefeuille SP2'!W443</f>
        <v>0</v>
      </c>
      <c r="AL418" s="403">
        <f>'Portefeuille SP2'!X443</f>
        <v>0</v>
      </c>
      <c r="AM418" s="403">
        <f>'Portefeuille SP2'!Y443</f>
        <v>0</v>
      </c>
      <c r="AN418" s="403">
        <f>'Portefeuille SP2'!Z443</f>
        <v>0</v>
      </c>
      <c r="AO418" s="403">
        <f>'Portefeuille SP2'!AA443</f>
        <v>0</v>
      </c>
      <c r="AP418" s="403">
        <f>'Portefeuille SP2'!AB443</f>
        <v>0</v>
      </c>
      <c r="AQ418" s="403">
        <f>'Portefeuille SP2'!AC443</f>
        <v>0</v>
      </c>
      <c r="AR418" s="403">
        <f>'Portefeuille SP2'!AD443</f>
        <v>0</v>
      </c>
      <c r="AS418" s="403">
        <f>'Portefeuille SP2'!AE443</f>
        <v>0</v>
      </c>
      <c r="AT418" s="403">
        <f>'Portefeuille SP2'!AF443</f>
        <v>0</v>
      </c>
      <c r="AU418" s="403">
        <f>'Portefeuille SP2'!AG443</f>
        <v>0</v>
      </c>
      <c r="AV418" s="403">
        <f>'Portefeuille SP2'!AH443</f>
        <v>0</v>
      </c>
      <c r="AW418" s="403">
        <f>'Portefeuille SP2'!AI443</f>
        <v>0</v>
      </c>
      <c r="AX418" s="403">
        <f>'Portefeuille SP2'!AJ443</f>
        <v>0</v>
      </c>
      <c r="AY418" s="403">
        <f>'Portefeuille SP2'!AK443</f>
        <v>0</v>
      </c>
      <c r="AZ418" s="403">
        <f>'Portefeuille SP2'!AL443</f>
        <v>0</v>
      </c>
      <c r="BA418" s="403">
        <f>'Portefeuille SP2'!AM443</f>
        <v>0</v>
      </c>
      <c r="BB418" s="403">
        <f>'Portefeuille SP2'!AN443</f>
        <v>0</v>
      </c>
      <c r="BC418" s="403">
        <f>'Portefeuille SP2'!AO443</f>
        <v>0</v>
      </c>
      <c r="BD418" s="403">
        <f>'Portefeuille SP2'!AP443</f>
        <v>0</v>
      </c>
      <c r="BE418" s="403">
        <f>'Portefeuille SP2'!AQ443</f>
        <v>0</v>
      </c>
      <c r="BF418" s="403">
        <f>'Portefeuille SP2'!AR443</f>
        <v>0</v>
      </c>
      <c r="BG418" s="403" t="e">
        <f>'Portefeuille SP2'!#REF!</f>
        <v>#REF!</v>
      </c>
      <c r="BH418" s="403" t="e">
        <f>'Portefeuille SP2'!#REF!</f>
        <v>#REF!</v>
      </c>
      <c r="BI418" s="403" t="e">
        <f>'Portefeuille SP2'!#REF!</f>
        <v>#REF!</v>
      </c>
      <c r="BJ418" s="403" t="e">
        <f>'Portefeuille SP2'!#REF!</f>
        <v>#REF!</v>
      </c>
      <c r="BK418" s="403" t="e">
        <f>'Portefeuille SP2'!#REF!</f>
        <v>#REF!</v>
      </c>
      <c r="BL418" s="388"/>
      <c r="BM418" s="404">
        <f>'Portefeuille SP2'!L443</f>
        <v>0</v>
      </c>
    </row>
    <row r="419" spans="1:65" ht="15" customHeight="1">
      <c r="A419" s="383">
        <f>'Portefeuille SP2'!B444</f>
        <v>0</v>
      </c>
      <c r="B419" s="390">
        <f>'Portefeuille SP2'!Q444</f>
        <v>0</v>
      </c>
      <c r="C419" s="384"/>
      <c r="D419" s="382">
        <f>'Portefeuille SP2'!E444</f>
        <v>0</v>
      </c>
      <c r="E419" s="382" t="str">
        <f t="shared" si="33"/>
        <v>0</v>
      </c>
      <c r="F419" s="382" t="str">
        <f t="shared" si="34"/>
        <v/>
      </c>
      <c r="G419" s="382">
        <f>'Portefeuille SP2'!C444</f>
        <v>0</v>
      </c>
      <c r="H419" s="382">
        <f>'Portefeuille SP2'!F444</f>
        <v>0</v>
      </c>
      <c r="I419" s="382"/>
      <c r="J419" s="382">
        <f>'Portefeuille SP2'!D444</f>
        <v>0</v>
      </c>
      <c r="K419" s="385">
        <f>'Portefeuille SP2'!H444</f>
        <v>0</v>
      </c>
      <c r="L419" s="157">
        <f>'Portefeuille SP2'!U444</f>
        <v>0</v>
      </c>
      <c r="M419" s="386"/>
      <c r="N419" s="386"/>
      <c r="O419" s="386"/>
      <c r="P419" s="387">
        <f>'Portefeuille SP2'!M444</f>
        <v>0</v>
      </c>
      <c r="Q419" s="387"/>
      <c r="R419" s="387">
        <f>'Portefeuille SP2'!N444</f>
        <v>0</v>
      </c>
      <c r="S419" s="387"/>
      <c r="T419" s="382">
        <f>'Portefeuille SP2'!R444</f>
        <v>0</v>
      </c>
      <c r="U419" s="387">
        <f>'Portefeuille SP2'!K444</f>
        <v>0</v>
      </c>
      <c r="V419" s="399">
        <f>'Portefeuille SP2'!S444</f>
        <v>0</v>
      </c>
      <c r="W419" s="387"/>
      <c r="X419" s="387"/>
      <c r="Y419" s="387"/>
      <c r="Z419" s="387"/>
      <c r="AA419" s="387"/>
      <c r="AB419" s="387"/>
      <c r="AC419" s="387"/>
      <c r="AD419" s="387"/>
      <c r="AE419" s="400">
        <f>'Portefeuille SP2'!J444</f>
        <v>0</v>
      </c>
      <c r="AF419" s="387"/>
      <c r="AG419" s="387"/>
      <c r="AH419" s="389"/>
      <c r="AI419" s="389"/>
      <c r="AJ419" s="403">
        <f>'Portefeuille SP2'!V444</f>
        <v>0</v>
      </c>
      <c r="AK419" s="403">
        <f>'Portefeuille SP2'!W444</f>
        <v>0</v>
      </c>
      <c r="AL419" s="403">
        <f>'Portefeuille SP2'!X444</f>
        <v>0</v>
      </c>
      <c r="AM419" s="403">
        <f>'Portefeuille SP2'!Y444</f>
        <v>0</v>
      </c>
      <c r="AN419" s="403">
        <f>'Portefeuille SP2'!Z444</f>
        <v>0</v>
      </c>
      <c r="AO419" s="403">
        <f>'Portefeuille SP2'!AA444</f>
        <v>0</v>
      </c>
      <c r="AP419" s="403">
        <f>'Portefeuille SP2'!AB444</f>
        <v>0</v>
      </c>
      <c r="AQ419" s="403">
        <f>'Portefeuille SP2'!AC444</f>
        <v>0</v>
      </c>
      <c r="AR419" s="403">
        <f>'Portefeuille SP2'!AD444</f>
        <v>0</v>
      </c>
      <c r="AS419" s="403">
        <f>'Portefeuille SP2'!AE444</f>
        <v>0</v>
      </c>
      <c r="AT419" s="403">
        <f>'Portefeuille SP2'!AF444</f>
        <v>0</v>
      </c>
      <c r="AU419" s="403">
        <f>'Portefeuille SP2'!AG444</f>
        <v>0</v>
      </c>
      <c r="AV419" s="403">
        <f>'Portefeuille SP2'!AH444</f>
        <v>0</v>
      </c>
      <c r="AW419" s="403">
        <f>'Portefeuille SP2'!AI444</f>
        <v>0</v>
      </c>
      <c r="AX419" s="403">
        <f>'Portefeuille SP2'!AJ444</f>
        <v>0</v>
      </c>
      <c r="AY419" s="403">
        <f>'Portefeuille SP2'!AK444</f>
        <v>0</v>
      </c>
      <c r="AZ419" s="403">
        <f>'Portefeuille SP2'!AL444</f>
        <v>0</v>
      </c>
      <c r="BA419" s="403">
        <f>'Portefeuille SP2'!AM444</f>
        <v>0</v>
      </c>
      <c r="BB419" s="403">
        <f>'Portefeuille SP2'!AN444</f>
        <v>0</v>
      </c>
      <c r="BC419" s="403">
        <f>'Portefeuille SP2'!AO444</f>
        <v>0</v>
      </c>
      <c r="BD419" s="403">
        <f>'Portefeuille SP2'!AP444</f>
        <v>0</v>
      </c>
      <c r="BE419" s="403">
        <f>'Portefeuille SP2'!AQ444</f>
        <v>0</v>
      </c>
      <c r="BF419" s="403">
        <f>'Portefeuille SP2'!AR444</f>
        <v>0</v>
      </c>
      <c r="BG419" s="403" t="e">
        <f>'Portefeuille SP2'!#REF!</f>
        <v>#REF!</v>
      </c>
      <c r="BH419" s="403" t="e">
        <f>'Portefeuille SP2'!#REF!</f>
        <v>#REF!</v>
      </c>
      <c r="BI419" s="403" t="e">
        <f>'Portefeuille SP2'!#REF!</f>
        <v>#REF!</v>
      </c>
      <c r="BJ419" s="403" t="e">
        <f>'Portefeuille SP2'!#REF!</f>
        <v>#REF!</v>
      </c>
      <c r="BK419" s="403" t="e">
        <f>'Portefeuille SP2'!#REF!</f>
        <v>#REF!</v>
      </c>
      <c r="BL419" s="388"/>
      <c r="BM419" s="404">
        <f>'Portefeuille SP2'!L444</f>
        <v>0</v>
      </c>
    </row>
    <row r="420" spans="1:65" ht="15" customHeight="1">
      <c r="A420" s="383">
        <f>'Portefeuille SP2'!B445</f>
        <v>0</v>
      </c>
      <c r="B420" s="390">
        <f>'Portefeuille SP2'!Q445</f>
        <v>0</v>
      </c>
      <c r="C420" s="384"/>
      <c r="D420" s="382">
        <f>'Portefeuille SP2'!E445</f>
        <v>0</v>
      </c>
      <c r="E420" s="382" t="str">
        <f t="shared" si="33"/>
        <v>0</v>
      </c>
      <c r="F420" s="382" t="str">
        <f t="shared" si="34"/>
        <v/>
      </c>
      <c r="G420" s="382">
        <f>'Portefeuille SP2'!C445</f>
        <v>0</v>
      </c>
      <c r="H420" s="382">
        <f>'Portefeuille SP2'!F445</f>
        <v>0</v>
      </c>
      <c r="I420" s="382"/>
      <c r="J420" s="382">
        <f>'Portefeuille SP2'!D445</f>
        <v>0</v>
      </c>
      <c r="K420" s="385">
        <f>'Portefeuille SP2'!H445</f>
        <v>0</v>
      </c>
      <c r="L420" s="157">
        <f>'Portefeuille SP2'!U445</f>
        <v>0</v>
      </c>
      <c r="M420" s="386"/>
      <c r="N420" s="386"/>
      <c r="O420" s="386"/>
      <c r="P420" s="387">
        <f>'Portefeuille SP2'!M445</f>
        <v>0</v>
      </c>
      <c r="Q420" s="387"/>
      <c r="R420" s="387">
        <f>'Portefeuille SP2'!N445</f>
        <v>0</v>
      </c>
      <c r="S420" s="387"/>
      <c r="T420" s="382">
        <f>'Portefeuille SP2'!R445</f>
        <v>0</v>
      </c>
      <c r="U420" s="387">
        <f>'Portefeuille SP2'!K445</f>
        <v>0</v>
      </c>
      <c r="V420" s="399">
        <f>'Portefeuille SP2'!S445</f>
        <v>0</v>
      </c>
      <c r="W420" s="387"/>
      <c r="X420" s="387"/>
      <c r="Y420" s="387"/>
      <c r="Z420" s="387"/>
      <c r="AA420" s="387"/>
      <c r="AB420" s="387"/>
      <c r="AC420" s="387"/>
      <c r="AD420" s="387"/>
      <c r="AE420" s="400">
        <f>'Portefeuille SP2'!J445</f>
        <v>0</v>
      </c>
      <c r="AF420" s="387"/>
      <c r="AG420" s="387"/>
      <c r="AH420" s="389"/>
      <c r="AI420" s="389"/>
      <c r="AJ420" s="403">
        <f>'Portefeuille SP2'!V445</f>
        <v>0</v>
      </c>
      <c r="AK420" s="403">
        <f>'Portefeuille SP2'!W445</f>
        <v>0</v>
      </c>
      <c r="AL420" s="403">
        <f>'Portefeuille SP2'!X445</f>
        <v>0</v>
      </c>
      <c r="AM420" s="403">
        <f>'Portefeuille SP2'!Y445</f>
        <v>0</v>
      </c>
      <c r="AN420" s="403">
        <f>'Portefeuille SP2'!Z445</f>
        <v>0</v>
      </c>
      <c r="AO420" s="403">
        <f>'Portefeuille SP2'!AA445</f>
        <v>0</v>
      </c>
      <c r="AP420" s="403">
        <f>'Portefeuille SP2'!AB445</f>
        <v>0</v>
      </c>
      <c r="AQ420" s="403">
        <f>'Portefeuille SP2'!AC445</f>
        <v>0</v>
      </c>
      <c r="AR420" s="403">
        <f>'Portefeuille SP2'!AD445</f>
        <v>0</v>
      </c>
      <c r="AS420" s="403">
        <f>'Portefeuille SP2'!AE445</f>
        <v>0</v>
      </c>
      <c r="AT420" s="403">
        <f>'Portefeuille SP2'!AF445</f>
        <v>0</v>
      </c>
      <c r="AU420" s="403">
        <f>'Portefeuille SP2'!AG445</f>
        <v>0</v>
      </c>
      <c r="AV420" s="403">
        <f>'Portefeuille SP2'!AH445</f>
        <v>0</v>
      </c>
      <c r="AW420" s="403">
        <f>'Portefeuille SP2'!AI445</f>
        <v>0</v>
      </c>
      <c r="AX420" s="403">
        <f>'Portefeuille SP2'!AJ445</f>
        <v>0</v>
      </c>
      <c r="AY420" s="403">
        <f>'Portefeuille SP2'!AK445</f>
        <v>0</v>
      </c>
      <c r="AZ420" s="403">
        <f>'Portefeuille SP2'!AL445</f>
        <v>0</v>
      </c>
      <c r="BA420" s="403">
        <f>'Portefeuille SP2'!AM445</f>
        <v>0</v>
      </c>
      <c r="BB420" s="403">
        <f>'Portefeuille SP2'!AN445</f>
        <v>0</v>
      </c>
      <c r="BC420" s="403">
        <f>'Portefeuille SP2'!AO445</f>
        <v>0</v>
      </c>
      <c r="BD420" s="403">
        <f>'Portefeuille SP2'!AP445</f>
        <v>0</v>
      </c>
      <c r="BE420" s="403">
        <f>'Portefeuille SP2'!AQ445</f>
        <v>0</v>
      </c>
      <c r="BF420" s="403">
        <f>'Portefeuille SP2'!AR445</f>
        <v>0</v>
      </c>
      <c r="BG420" s="403" t="e">
        <f>'Portefeuille SP2'!#REF!</f>
        <v>#REF!</v>
      </c>
      <c r="BH420" s="403" t="e">
        <f>'Portefeuille SP2'!#REF!</f>
        <v>#REF!</v>
      </c>
      <c r="BI420" s="403" t="e">
        <f>'Portefeuille SP2'!#REF!</f>
        <v>#REF!</v>
      </c>
      <c r="BJ420" s="403" t="e">
        <f>'Portefeuille SP2'!#REF!</f>
        <v>#REF!</v>
      </c>
      <c r="BK420" s="403" t="e">
        <f>'Portefeuille SP2'!#REF!</f>
        <v>#REF!</v>
      </c>
      <c r="BL420" s="388"/>
      <c r="BM420" s="404">
        <f>'Portefeuille SP2'!L445</f>
        <v>0</v>
      </c>
    </row>
    <row r="421" spans="1:65" ht="15" customHeight="1">
      <c r="A421" s="383">
        <f>'Portefeuille SP2'!B446</f>
        <v>0</v>
      </c>
      <c r="B421" s="390">
        <f>'Portefeuille SP2'!Q446</f>
        <v>0</v>
      </c>
      <c r="C421" s="384"/>
      <c r="D421" s="382">
        <f>'Portefeuille SP2'!E446</f>
        <v>0</v>
      </c>
      <c r="E421" s="382" t="str">
        <f t="shared" si="33"/>
        <v>0</v>
      </c>
      <c r="F421" s="382" t="str">
        <f t="shared" si="34"/>
        <v/>
      </c>
      <c r="G421" s="382">
        <f>'Portefeuille SP2'!C446</f>
        <v>0</v>
      </c>
      <c r="H421" s="382">
        <f>'Portefeuille SP2'!F446</f>
        <v>0</v>
      </c>
      <c r="I421" s="382"/>
      <c r="J421" s="382">
        <f>'Portefeuille SP2'!D446</f>
        <v>0</v>
      </c>
      <c r="K421" s="385">
        <f>'Portefeuille SP2'!H446</f>
        <v>0</v>
      </c>
      <c r="L421" s="157">
        <f>'Portefeuille SP2'!U446</f>
        <v>0</v>
      </c>
      <c r="M421" s="386"/>
      <c r="N421" s="386"/>
      <c r="O421" s="386"/>
      <c r="P421" s="387">
        <f>'Portefeuille SP2'!M446</f>
        <v>0</v>
      </c>
      <c r="Q421" s="387"/>
      <c r="R421" s="387">
        <f>'Portefeuille SP2'!N446</f>
        <v>0</v>
      </c>
      <c r="S421" s="387"/>
      <c r="T421" s="382">
        <f>'Portefeuille SP2'!R446</f>
        <v>0</v>
      </c>
      <c r="U421" s="387">
        <f>'Portefeuille SP2'!K446</f>
        <v>0</v>
      </c>
      <c r="V421" s="399">
        <f>'Portefeuille SP2'!S446</f>
        <v>0</v>
      </c>
      <c r="W421" s="387"/>
      <c r="X421" s="387"/>
      <c r="Y421" s="387"/>
      <c r="Z421" s="387"/>
      <c r="AA421" s="387"/>
      <c r="AB421" s="387"/>
      <c r="AC421" s="387"/>
      <c r="AD421" s="387"/>
      <c r="AE421" s="400">
        <f>'Portefeuille SP2'!J446</f>
        <v>0</v>
      </c>
      <c r="AF421" s="387"/>
      <c r="AG421" s="387"/>
      <c r="AH421" s="389"/>
      <c r="AI421" s="389"/>
      <c r="AJ421" s="403">
        <f>'Portefeuille SP2'!V446</f>
        <v>0</v>
      </c>
      <c r="AK421" s="403">
        <f>'Portefeuille SP2'!W446</f>
        <v>0</v>
      </c>
      <c r="AL421" s="403">
        <f>'Portefeuille SP2'!X446</f>
        <v>0</v>
      </c>
      <c r="AM421" s="403">
        <f>'Portefeuille SP2'!Y446</f>
        <v>0</v>
      </c>
      <c r="AN421" s="403">
        <f>'Portefeuille SP2'!Z446</f>
        <v>0</v>
      </c>
      <c r="AO421" s="403">
        <f>'Portefeuille SP2'!AA446</f>
        <v>0</v>
      </c>
      <c r="AP421" s="403">
        <f>'Portefeuille SP2'!AB446</f>
        <v>0</v>
      </c>
      <c r="AQ421" s="403">
        <f>'Portefeuille SP2'!AC446</f>
        <v>0</v>
      </c>
      <c r="AR421" s="403">
        <f>'Portefeuille SP2'!AD446</f>
        <v>0</v>
      </c>
      <c r="AS421" s="403">
        <f>'Portefeuille SP2'!AE446</f>
        <v>0</v>
      </c>
      <c r="AT421" s="403">
        <f>'Portefeuille SP2'!AF446</f>
        <v>0</v>
      </c>
      <c r="AU421" s="403">
        <f>'Portefeuille SP2'!AG446</f>
        <v>0</v>
      </c>
      <c r="AV421" s="403">
        <f>'Portefeuille SP2'!AH446</f>
        <v>0</v>
      </c>
      <c r="AW421" s="403">
        <f>'Portefeuille SP2'!AI446</f>
        <v>0</v>
      </c>
      <c r="AX421" s="403">
        <f>'Portefeuille SP2'!AJ446</f>
        <v>0</v>
      </c>
      <c r="AY421" s="403">
        <f>'Portefeuille SP2'!AK446</f>
        <v>0</v>
      </c>
      <c r="AZ421" s="403">
        <f>'Portefeuille SP2'!AL446</f>
        <v>0</v>
      </c>
      <c r="BA421" s="403">
        <f>'Portefeuille SP2'!AM446</f>
        <v>0</v>
      </c>
      <c r="BB421" s="403">
        <f>'Portefeuille SP2'!AN446</f>
        <v>0</v>
      </c>
      <c r="BC421" s="403">
        <f>'Portefeuille SP2'!AO446</f>
        <v>0</v>
      </c>
      <c r="BD421" s="403">
        <f>'Portefeuille SP2'!AP446</f>
        <v>0</v>
      </c>
      <c r="BE421" s="403">
        <f>'Portefeuille SP2'!AQ446</f>
        <v>0</v>
      </c>
      <c r="BF421" s="403">
        <f>'Portefeuille SP2'!AR446</f>
        <v>0</v>
      </c>
      <c r="BG421" s="403" t="e">
        <f>'Portefeuille SP2'!#REF!</f>
        <v>#REF!</v>
      </c>
      <c r="BH421" s="403" t="e">
        <f>'Portefeuille SP2'!#REF!</f>
        <v>#REF!</v>
      </c>
      <c r="BI421" s="403" t="e">
        <f>'Portefeuille SP2'!#REF!</f>
        <v>#REF!</v>
      </c>
      <c r="BJ421" s="403" t="e">
        <f>'Portefeuille SP2'!#REF!</f>
        <v>#REF!</v>
      </c>
      <c r="BK421" s="403" t="e">
        <f>'Portefeuille SP2'!#REF!</f>
        <v>#REF!</v>
      </c>
      <c r="BL421" s="388"/>
      <c r="BM421" s="404">
        <f>'Portefeuille SP2'!L446</f>
        <v>0</v>
      </c>
    </row>
    <row r="422" spans="1:65" ht="15" customHeight="1">
      <c r="A422" s="383">
        <f>'Portefeuille SP2'!B447</f>
        <v>0</v>
      </c>
      <c r="B422" s="390">
        <f>'Portefeuille SP2'!Q447</f>
        <v>0</v>
      </c>
      <c r="C422" s="384"/>
      <c r="D422" s="382">
        <f>'Portefeuille SP2'!E447</f>
        <v>0</v>
      </c>
      <c r="E422" s="382" t="str">
        <f t="shared" si="33"/>
        <v>0</v>
      </c>
      <c r="F422" s="382" t="str">
        <f t="shared" si="34"/>
        <v/>
      </c>
      <c r="G422" s="382">
        <f>'Portefeuille SP2'!C447</f>
        <v>0</v>
      </c>
      <c r="H422" s="382">
        <f>'Portefeuille SP2'!F447</f>
        <v>0</v>
      </c>
      <c r="I422" s="382"/>
      <c r="J422" s="382">
        <f>'Portefeuille SP2'!D447</f>
        <v>0</v>
      </c>
      <c r="K422" s="385">
        <f>'Portefeuille SP2'!H447</f>
        <v>0</v>
      </c>
      <c r="L422" s="157">
        <f>'Portefeuille SP2'!U447</f>
        <v>0</v>
      </c>
      <c r="M422" s="386"/>
      <c r="N422" s="386"/>
      <c r="O422" s="386"/>
      <c r="P422" s="387">
        <f>'Portefeuille SP2'!M447</f>
        <v>0</v>
      </c>
      <c r="Q422" s="387"/>
      <c r="R422" s="387">
        <f>'Portefeuille SP2'!N447</f>
        <v>0</v>
      </c>
      <c r="S422" s="387"/>
      <c r="T422" s="382">
        <f>'Portefeuille SP2'!R447</f>
        <v>0</v>
      </c>
      <c r="U422" s="387">
        <f>'Portefeuille SP2'!K447</f>
        <v>0</v>
      </c>
      <c r="V422" s="399">
        <f>'Portefeuille SP2'!S447</f>
        <v>0</v>
      </c>
      <c r="W422" s="387"/>
      <c r="X422" s="387"/>
      <c r="Y422" s="387"/>
      <c r="Z422" s="387"/>
      <c r="AA422" s="387"/>
      <c r="AB422" s="387"/>
      <c r="AC422" s="387"/>
      <c r="AD422" s="387"/>
      <c r="AE422" s="400">
        <f>'Portefeuille SP2'!J447</f>
        <v>0</v>
      </c>
      <c r="AF422" s="387"/>
      <c r="AG422" s="387"/>
      <c r="AH422" s="389"/>
      <c r="AI422" s="389"/>
      <c r="AJ422" s="403">
        <f>'Portefeuille SP2'!V447</f>
        <v>0</v>
      </c>
      <c r="AK422" s="403">
        <f>'Portefeuille SP2'!W447</f>
        <v>0</v>
      </c>
      <c r="AL422" s="403">
        <f>'Portefeuille SP2'!X447</f>
        <v>0</v>
      </c>
      <c r="AM422" s="403">
        <f>'Portefeuille SP2'!Y447</f>
        <v>0</v>
      </c>
      <c r="AN422" s="403">
        <f>'Portefeuille SP2'!Z447</f>
        <v>0</v>
      </c>
      <c r="AO422" s="403">
        <f>'Portefeuille SP2'!AA447</f>
        <v>0</v>
      </c>
      <c r="AP422" s="403">
        <f>'Portefeuille SP2'!AB447</f>
        <v>0</v>
      </c>
      <c r="AQ422" s="403">
        <f>'Portefeuille SP2'!AC447</f>
        <v>0</v>
      </c>
      <c r="AR422" s="403">
        <f>'Portefeuille SP2'!AD447</f>
        <v>0</v>
      </c>
      <c r="AS422" s="403">
        <f>'Portefeuille SP2'!AE447</f>
        <v>0</v>
      </c>
      <c r="AT422" s="403">
        <f>'Portefeuille SP2'!AF447</f>
        <v>0</v>
      </c>
      <c r="AU422" s="403">
        <f>'Portefeuille SP2'!AG447</f>
        <v>0</v>
      </c>
      <c r="AV422" s="403">
        <f>'Portefeuille SP2'!AH447</f>
        <v>0</v>
      </c>
      <c r="AW422" s="403">
        <f>'Portefeuille SP2'!AI447</f>
        <v>0</v>
      </c>
      <c r="AX422" s="403">
        <f>'Portefeuille SP2'!AJ447</f>
        <v>0</v>
      </c>
      <c r="AY422" s="403">
        <f>'Portefeuille SP2'!AK447</f>
        <v>0</v>
      </c>
      <c r="AZ422" s="403">
        <f>'Portefeuille SP2'!AL447</f>
        <v>0</v>
      </c>
      <c r="BA422" s="403">
        <f>'Portefeuille SP2'!AM447</f>
        <v>0</v>
      </c>
      <c r="BB422" s="403">
        <f>'Portefeuille SP2'!AN447</f>
        <v>0</v>
      </c>
      <c r="BC422" s="403">
        <f>'Portefeuille SP2'!AO447</f>
        <v>0</v>
      </c>
      <c r="BD422" s="403">
        <f>'Portefeuille SP2'!AP447</f>
        <v>0</v>
      </c>
      <c r="BE422" s="403">
        <f>'Portefeuille SP2'!AQ447</f>
        <v>0</v>
      </c>
      <c r="BF422" s="403">
        <f>'Portefeuille SP2'!AR447</f>
        <v>0</v>
      </c>
      <c r="BG422" s="403" t="e">
        <f>'Portefeuille SP2'!#REF!</f>
        <v>#REF!</v>
      </c>
      <c r="BH422" s="403" t="e">
        <f>'Portefeuille SP2'!#REF!</f>
        <v>#REF!</v>
      </c>
      <c r="BI422" s="403" t="e">
        <f>'Portefeuille SP2'!#REF!</f>
        <v>#REF!</v>
      </c>
      <c r="BJ422" s="403" t="e">
        <f>'Portefeuille SP2'!#REF!</f>
        <v>#REF!</v>
      </c>
      <c r="BK422" s="403" t="e">
        <f>'Portefeuille SP2'!#REF!</f>
        <v>#REF!</v>
      </c>
      <c r="BL422" s="388"/>
      <c r="BM422" s="404">
        <f>'Portefeuille SP2'!L447</f>
        <v>0</v>
      </c>
    </row>
    <row r="423" spans="1:65" ht="15" customHeight="1">
      <c r="A423" s="383">
        <f>'Portefeuille SP2'!B448</f>
        <v>0</v>
      </c>
      <c r="B423" s="390">
        <f>'Portefeuille SP2'!Q448</f>
        <v>0</v>
      </c>
      <c r="C423" s="384"/>
      <c r="D423" s="382">
        <f>'Portefeuille SP2'!E448</f>
        <v>0</v>
      </c>
      <c r="E423" s="382" t="str">
        <f t="shared" si="33"/>
        <v>0</v>
      </c>
      <c r="F423" s="382" t="str">
        <f t="shared" si="34"/>
        <v/>
      </c>
      <c r="G423" s="382">
        <f>'Portefeuille SP2'!C448</f>
        <v>0</v>
      </c>
      <c r="H423" s="382">
        <f>'Portefeuille SP2'!F448</f>
        <v>0</v>
      </c>
      <c r="I423" s="382"/>
      <c r="J423" s="382">
        <f>'Portefeuille SP2'!D448</f>
        <v>0</v>
      </c>
      <c r="K423" s="385">
        <f>'Portefeuille SP2'!H448</f>
        <v>0</v>
      </c>
      <c r="L423" s="157">
        <f>'Portefeuille SP2'!U448</f>
        <v>0</v>
      </c>
      <c r="M423" s="386"/>
      <c r="N423" s="386"/>
      <c r="O423" s="386"/>
      <c r="P423" s="387">
        <f>'Portefeuille SP2'!M448</f>
        <v>0</v>
      </c>
      <c r="Q423" s="387"/>
      <c r="R423" s="387">
        <f>'Portefeuille SP2'!N448</f>
        <v>0</v>
      </c>
      <c r="S423" s="387"/>
      <c r="T423" s="382">
        <f>'Portefeuille SP2'!R448</f>
        <v>0</v>
      </c>
      <c r="U423" s="387">
        <f>'Portefeuille SP2'!K448</f>
        <v>0</v>
      </c>
      <c r="V423" s="399">
        <f>'Portefeuille SP2'!S448</f>
        <v>0</v>
      </c>
      <c r="W423" s="387"/>
      <c r="X423" s="387"/>
      <c r="Y423" s="387"/>
      <c r="Z423" s="387"/>
      <c r="AA423" s="387"/>
      <c r="AB423" s="387"/>
      <c r="AC423" s="387"/>
      <c r="AD423" s="387"/>
      <c r="AE423" s="400">
        <f>'Portefeuille SP2'!J448</f>
        <v>0</v>
      </c>
      <c r="AF423" s="387"/>
      <c r="AG423" s="387"/>
      <c r="AH423" s="389"/>
      <c r="AI423" s="389"/>
      <c r="AJ423" s="403">
        <f>'Portefeuille SP2'!V448</f>
        <v>0</v>
      </c>
      <c r="AK423" s="403">
        <f>'Portefeuille SP2'!W448</f>
        <v>0</v>
      </c>
      <c r="AL423" s="403">
        <f>'Portefeuille SP2'!X448</f>
        <v>0</v>
      </c>
      <c r="AM423" s="403">
        <f>'Portefeuille SP2'!Y448</f>
        <v>0</v>
      </c>
      <c r="AN423" s="403">
        <f>'Portefeuille SP2'!Z448</f>
        <v>0</v>
      </c>
      <c r="AO423" s="403">
        <f>'Portefeuille SP2'!AA448</f>
        <v>0</v>
      </c>
      <c r="AP423" s="403">
        <f>'Portefeuille SP2'!AB448</f>
        <v>0</v>
      </c>
      <c r="AQ423" s="403">
        <f>'Portefeuille SP2'!AC448</f>
        <v>0</v>
      </c>
      <c r="AR423" s="403">
        <f>'Portefeuille SP2'!AD448</f>
        <v>0</v>
      </c>
      <c r="AS423" s="403">
        <f>'Portefeuille SP2'!AE448</f>
        <v>0</v>
      </c>
      <c r="AT423" s="403">
        <f>'Portefeuille SP2'!AF448</f>
        <v>0</v>
      </c>
      <c r="AU423" s="403">
        <f>'Portefeuille SP2'!AG448</f>
        <v>0</v>
      </c>
      <c r="AV423" s="403">
        <f>'Portefeuille SP2'!AH448</f>
        <v>0</v>
      </c>
      <c r="AW423" s="403">
        <f>'Portefeuille SP2'!AI448</f>
        <v>0</v>
      </c>
      <c r="AX423" s="403">
        <f>'Portefeuille SP2'!AJ448</f>
        <v>0</v>
      </c>
      <c r="AY423" s="403">
        <f>'Portefeuille SP2'!AK448</f>
        <v>0</v>
      </c>
      <c r="AZ423" s="403">
        <f>'Portefeuille SP2'!AL448</f>
        <v>0</v>
      </c>
      <c r="BA423" s="403">
        <f>'Portefeuille SP2'!AM448</f>
        <v>0</v>
      </c>
      <c r="BB423" s="403">
        <f>'Portefeuille SP2'!AN448</f>
        <v>0</v>
      </c>
      <c r="BC423" s="403">
        <f>'Portefeuille SP2'!AO448</f>
        <v>0</v>
      </c>
      <c r="BD423" s="403">
        <f>'Portefeuille SP2'!AP448</f>
        <v>0</v>
      </c>
      <c r="BE423" s="403">
        <f>'Portefeuille SP2'!AQ448</f>
        <v>0</v>
      </c>
      <c r="BF423" s="403">
        <f>'Portefeuille SP2'!AR448</f>
        <v>0</v>
      </c>
      <c r="BG423" s="403" t="e">
        <f>'Portefeuille SP2'!#REF!</f>
        <v>#REF!</v>
      </c>
      <c r="BH423" s="403" t="e">
        <f>'Portefeuille SP2'!#REF!</f>
        <v>#REF!</v>
      </c>
      <c r="BI423" s="403" t="e">
        <f>'Portefeuille SP2'!#REF!</f>
        <v>#REF!</v>
      </c>
      <c r="BJ423" s="403" t="e">
        <f>'Portefeuille SP2'!#REF!</f>
        <v>#REF!</v>
      </c>
      <c r="BK423" s="403" t="e">
        <f>'Portefeuille SP2'!#REF!</f>
        <v>#REF!</v>
      </c>
      <c r="BL423" s="388"/>
      <c r="BM423" s="404">
        <f>'Portefeuille SP2'!L448</f>
        <v>0</v>
      </c>
    </row>
    <row r="424" spans="1:65" ht="15" customHeight="1">
      <c r="A424" s="383">
        <f>'Portefeuille SP2'!B449</f>
        <v>0</v>
      </c>
      <c r="B424" s="390">
        <f>'Portefeuille SP2'!Q449</f>
        <v>0</v>
      </c>
      <c r="C424" s="384"/>
      <c r="D424" s="382">
        <f>'Portefeuille SP2'!E449</f>
        <v>0</v>
      </c>
      <c r="E424" s="382" t="str">
        <f t="shared" si="33"/>
        <v>0</v>
      </c>
      <c r="F424" s="382" t="str">
        <f t="shared" si="34"/>
        <v/>
      </c>
      <c r="G424" s="382">
        <f>'Portefeuille SP2'!C449</f>
        <v>0</v>
      </c>
      <c r="H424" s="382">
        <f>'Portefeuille SP2'!F449</f>
        <v>0</v>
      </c>
      <c r="I424" s="382"/>
      <c r="J424" s="382">
        <f>'Portefeuille SP2'!D449</f>
        <v>0</v>
      </c>
      <c r="K424" s="385">
        <f>'Portefeuille SP2'!H449</f>
        <v>0</v>
      </c>
      <c r="L424" s="157">
        <f>'Portefeuille SP2'!U449</f>
        <v>0</v>
      </c>
      <c r="M424" s="386"/>
      <c r="N424" s="386"/>
      <c r="O424" s="386"/>
      <c r="P424" s="387">
        <f>'Portefeuille SP2'!M449</f>
        <v>0</v>
      </c>
      <c r="Q424" s="387"/>
      <c r="R424" s="387">
        <f>'Portefeuille SP2'!N449</f>
        <v>0</v>
      </c>
      <c r="S424" s="387"/>
      <c r="T424" s="382">
        <f>'Portefeuille SP2'!R449</f>
        <v>0</v>
      </c>
      <c r="U424" s="387">
        <f>'Portefeuille SP2'!K449</f>
        <v>0</v>
      </c>
      <c r="V424" s="399">
        <f>'Portefeuille SP2'!S449</f>
        <v>0</v>
      </c>
      <c r="W424" s="387"/>
      <c r="X424" s="387"/>
      <c r="Y424" s="387"/>
      <c r="Z424" s="387"/>
      <c r="AA424" s="387"/>
      <c r="AB424" s="387"/>
      <c r="AC424" s="387"/>
      <c r="AD424" s="387"/>
      <c r="AE424" s="400">
        <f>'Portefeuille SP2'!J449</f>
        <v>0</v>
      </c>
      <c r="AF424" s="387"/>
      <c r="AG424" s="387"/>
      <c r="AH424" s="389"/>
      <c r="AI424" s="389"/>
      <c r="AJ424" s="403">
        <f>'Portefeuille SP2'!V449</f>
        <v>0</v>
      </c>
      <c r="AK424" s="403">
        <f>'Portefeuille SP2'!W449</f>
        <v>0</v>
      </c>
      <c r="AL424" s="403">
        <f>'Portefeuille SP2'!X449</f>
        <v>0</v>
      </c>
      <c r="AM424" s="403">
        <f>'Portefeuille SP2'!Y449</f>
        <v>0</v>
      </c>
      <c r="AN424" s="403">
        <f>'Portefeuille SP2'!Z449</f>
        <v>0</v>
      </c>
      <c r="AO424" s="403">
        <f>'Portefeuille SP2'!AA449</f>
        <v>0</v>
      </c>
      <c r="AP424" s="403">
        <f>'Portefeuille SP2'!AB449</f>
        <v>0</v>
      </c>
      <c r="AQ424" s="403">
        <f>'Portefeuille SP2'!AC449</f>
        <v>0</v>
      </c>
      <c r="AR424" s="403">
        <f>'Portefeuille SP2'!AD449</f>
        <v>0</v>
      </c>
      <c r="AS424" s="403">
        <f>'Portefeuille SP2'!AE449</f>
        <v>0</v>
      </c>
      <c r="AT424" s="403">
        <f>'Portefeuille SP2'!AF449</f>
        <v>0</v>
      </c>
      <c r="AU424" s="403">
        <f>'Portefeuille SP2'!AG449</f>
        <v>0</v>
      </c>
      <c r="AV424" s="403">
        <f>'Portefeuille SP2'!AH449</f>
        <v>0</v>
      </c>
      <c r="AW424" s="403">
        <f>'Portefeuille SP2'!AI449</f>
        <v>0</v>
      </c>
      <c r="AX424" s="403">
        <f>'Portefeuille SP2'!AJ449</f>
        <v>0</v>
      </c>
      <c r="AY424" s="403">
        <f>'Portefeuille SP2'!AK449</f>
        <v>0</v>
      </c>
      <c r="AZ424" s="403">
        <f>'Portefeuille SP2'!AL449</f>
        <v>0</v>
      </c>
      <c r="BA424" s="403">
        <f>'Portefeuille SP2'!AM449</f>
        <v>0</v>
      </c>
      <c r="BB424" s="403">
        <f>'Portefeuille SP2'!AN449</f>
        <v>0</v>
      </c>
      <c r="BC424" s="403">
        <f>'Portefeuille SP2'!AO449</f>
        <v>0</v>
      </c>
      <c r="BD424" s="403">
        <f>'Portefeuille SP2'!AP449</f>
        <v>0</v>
      </c>
      <c r="BE424" s="403">
        <f>'Portefeuille SP2'!AQ449</f>
        <v>0</v>
      </c>
      <c r="BF424" s="403">
        <f>'Portefeuille SP2'!AR449</f>
        <v>0</v>
      </c>
      <c r="BG424" s="403" t="e">
        <f>'Portefeuille SP2'!#REF!</f>
        <v>#REF!</v>
      </c>
      <c r="BH424" s="403" t="e">
        <f>'Portefeuille SP2'!#REF!</f>
        <v>#REF!</v>
      </c>
      <c r="BI424" s="403" t="e">
        <f>'Portefeuille SP2'!#REF!</f>
        <v>#REF!</v>
      </c>
      <c r="BJ424" s="403" t="e">
        <f>'Portefeuille SP2'!#REF!</f>
        <v>#REF!</v>
      </c>
      <c r="BK424" s="403" t="e">
        <f>'Portefeuille SP2'!#REF!</f>
        <v>#REF!</v>
      </c>
      <c r="BL424" s="388"/>
      <c r="BM424" s="404">
        <f>'Portefeuille SP2'!L449</f>
        <v>0</v>
      </c>
    </row>
    <row r="425" spans="1:65" ht="15" customHeight="1">
      <c r="A425" s="383">
        <f>'Portefeuille SP2'!B450</f>
        <v>0</v>
      </c>
      <c r="B425" s="390">
        <f>'Portefeuille SP2'!Q450</f>
        <v>0</v>
      </c>
      <c r="C425" s="384"/>
      <c r="D425" s="382">
        <f>'Portefeuille SP2'!E450</f>
        <v>0</v>
      </c>
      <c r="E425" s="382" t="str">
        <f t="shared" si="33"/>
        <v>0</v>
      </c>
      <c r="F425" s="382" t="str">
        <f t="shared" si="34"/>
        <v/>
      </c>
      <c r="G425" s="382">
        <f>'Portefeuille SP2'!C450</f>
        <v>0</v>
      </c>
      <c r="H425" s="382">
        <f>'Portefeuille SP2'!F450</f>
        <v>0</v>
      </c>
      <c r="I425" s="382"/>
      <c r="J425" s="382">
        <f>'Portefeuille SP2'!D450</f>
        <v>0</v>
      </c>
      <c r="K425" s="385">
        <f>'Portefeuille SP2'!H450</f>
        <v>0</v>
      </c>
      <c r="L425" s="157">
        <f>'Portefeuille SP2'!U450</f>
        <v>0</v>
      </c>
      <c r="M425" s="386"/>
      <c r="N425" s="386"/>
      <c r="O425" s="386"/>
      <c r="P425" s="387">
        <f>'Portefeuille SP2'!M450</f>
        <v>0</v>
      </c>
      <c r="Q425" s="387"/>
      <c r="R425" s="387">
        <f>'Portefeuille SP2'!N450</f>
        <v>0</v>
      </c>
      <c r="S425" s="387"/>
      <c r="T425" s="382">
        <f>'Portefeuille SP2'!R450</f>
        <v>0</v>
      </c>
      <c r="U425" s="387">
        <f>'Portefeuille SP2'!K450</f>
        <v>0</v>
      </c>
      <c r="V425" s="399">
        <f>'Portefeuille SP2'!S450</f>
        <v>0</v>
      </c>
      <c r="W425" s="387"/>
      <c r="X425" s="387"/>
      <c r="Y425" s="387"/>
      <c r="Z425" s="387"/>
      <c r="AA425" s="387"/>
      <c r="AB425" s="387"/>
      <c r="AC425" s="387"/>
      <c r="AD425" s="387"/>
      <c r="AE425" s="400">
        <f>'Portefeuille SP2'!J450</f>
        <v>0</v>
      </c>
      <c r="AF425" s="387"/>
      <c r="AG425" s="387"/>
      <c r="AH425" s="389"/>
      <c r="AI425" s="389"/>
      <c r="AJ425" s="403">
        <f>'Portefeuille SP2'!V450</f>
        <v>0</v>
      </c>
      <c r="AK425" s="403">
        <f>'Portefeuille SP2'!W450</f>
        <v>0</v>
      </c>
      <c r="AL425" s="403">
        <f>'Portefeuille SP2'!X450</f>
        <v>0</v>
      </c>
      <c r="AM425" s="403">
        <f>'Portefeuille SP2'!Y450</f>
        <v>0</v>
      </c>
      <c r="AN425" s="403">
        <f>'Portefeuille SP2'!Z450</f>
        <v>0</v>
      </c>
      <c r="AO425" s="403">
        <f>'Portefeuille SP2'!AA450</f>
        <v>0</v>
      </c>
      <c r="AP425" s="403">
        <f>'Portefeuille SP2'!AB450</f>
        <v>0</v>
      </c>
      <c r="AQ425" s="403">
        <f>'Portefeuille SP2'!AC450</f>
        <v>0</v>
      </c>
      <c r="AR425" s="403">
        <f>'Portefeuille SP2'!AD450</f>
        <v>0</v>
      </c>
      <c r="AS425" s="403">
        <f>'Portefeuille SP2'!AE450</f>
        <v>0</v>
      </c>
      <c r="AT425" s="403">
        <f>'Portefeuille SP2'!AF450</f>
        <v>0</v>
      </c>
      <c r="AU425" s="403">
        <f>'Portefeuille SP2'!AG450</f>
        <v>0</v>
      </c>
      <c r="AV425" s="403">
        <f>'Portefeuille SP2'!AH450</f>
        <v>0</v>
      </c>
      <c r="AW425" s="403">
        <f>'Portefeuille SP2'!AI450</f>
        <v>0</v>
      </c>
      <c r="AX425" s="403">
        <f>'Portefeuille SP2'!AJ450</f>
        <v>0</v>
      </c>
      <c r="AY425" s="403">
        <f>'Portefeuille SP2'!AK450</f>
        <v>0</v>
      </c>
      <c r="AZ425" s="403">
        <f>'Portefeuille SP2'!AL450</f>
        <v>0</v>
      </c>
      <c r="BA425" s="403">
        <f>'Portefeuille SP2'!AM450</f>
        <v>0</v>
      </c>
      <c r="BB425" s="403">
        <f>'Portefeuille SP2'!AN450</f>
        <v>0</v>
      </c>
      <c r="BC425" s="403">
        <f>'Portefeuille SP2'!AO450</f>
        <v>0</v>
      </c>
      <c r="BD425" s="403">
        <f>'Portefeuille SP2'!AP450</f>
        <v>0</v>
      </c>
      <c r="BE425" s="403">
        <f>'Portefeuille SP2'!AQ450</f>
        <v>0</v>
      </c>
      <c r="BF425" s="403">
        <f>'Portefeuille SP2'!AR450</f>
        <v>0</v>
      </c>
      <c r="BG425" s="403" t="e">
        <f>'Portefeuille SP2'!#REF!</f>
        <v>#REF!</v>
      </c>
      <c r="BH425" s="403" t="e">
        <f>'Portefeuille SP2'!#REF!</f>
        <v>#REF!</v>
      </c>
      <c r="BI425" s="403" t="e">
        <f>'Portefeuille SP2'!#REF!</f>
        <v>#REF!</v>
      </c>
      <c r="BJ425" s="403" t="e">
        <f>'Portefeuille SP2'!#REF!</f>
        <v>#REF!</v>
      </c>
      <c r="BK425" s="403" t="e">
        <f>'Portefeuille SP2'!#REF!</f>
        <v>#REF!</v>
      </c>
      <c r="BL425" s="388"/>
      <c r="BM425" s="404">
        <f>'Portefeuille SP2'!L450</f>
        <v>0</v>
      </c>
    </row>
    <row r="426" spans="1:65" ht="15" customHeight="1">
      <c r="A426" s="383">
        <f>'Portefeuille SP2'!B451</f>
        <v>0</v>
      </c>
      <c r="B426" s="390">
        <f>'Portefeuille SP2'!Q451</f>
        <v>0</v>
      </c>
      <c r="C426" s="384"/>
      <c r="D426" s="382">
        <f>'Portefeuille SP2'!E451</f>
        <v>0</v>
      </c>
      <c r="E426" s="382" t="str">
        <f t="shared" si="33"/>
        <v>0</v>
      </c>
      <c r="F426" s="382" t="str">
        <f t="shared" si="34"/>
        <v/>
      </c>
      <c r="G426" s="382">
        <f>'Portefeuille SP2'!C451</f>
        <v>0</v>
      </c>
      <c r="H426" s="382">
        <f>'Portefeuille SP2'!F451</f>
        <v>0</v>
      </c>
      <c r="I426" s="382"/>
      <c r="J426" s="382">
        <f>'Portefeuille SP2'!D451</f>
        <v>0</v>
      </c>
      <c r="K426" s="385">
        <f>'Portefeuille SP2'!H451</f>
        <v>0</v>
      </c>
      <c r="L426" s="157">
        <f>'Portefeuille SP2'!U451</f>
        <v>0</v>
      </c>
      <c r="M426" s="386"/>
      <c r="N426" s="386"/>
      <c r="O426" s="386"/>
      <c r="P426" s="387">
        <f>'Portefeuille SP2'!M451</f>
        <v>0</v>
      </c>
      <c r="Q426" s="387"/>
      <c r="R426" s="387">
        <f>'Portefeuille SP2'!N451</f>
        <v>0</v>
      </c>
      <c r="S426" s="387"/>
      <c r="T426" s="382">
        <f>'Portefeuille SP2'!R451</f>
        <v>0</v>
      </c>
      <c r="U426" s="387">
        <f>'Portefeuille SP2'!K451</f>
        <v>0</v>
      </c>
      <c r="V426" s="399">
        <f>'Portefeuille SP2'!S451</f>
        <v>0</v>
      </c>
      <c r="W426" s="387"/>
      <c r="X426" s="387"/>
      <c r="Y426" s="387"/>
      <c r="Z426" s="387"/>
      <c r="AA426" s="387"/>
      <c r="AB426" s="387"/>
      <c r="AC426" s="387"/>
      <c r="AD426" s="387"/>
      <c r="AE426" s="400">
        <f>'Portefeuille SP2'!J451</f>
        <v>0</v>
      </c>
      <c r="AF426" s="387"/>
      <c r="AG426" s="387"/>
      <c r="AH426" s="389"/>
      <c r="AI426" s="389"/>
      <c r="AJ426" s="403">
        <f>'Portefeuille SP2'!V451</f>
        <v>0</v>
      </c>
      <c r="AK426" s="403">
        <f>'Portefeuille SP2'!W451</f>
        <v>0</v>
      </c>
      <c r="AL426" s="403">
        <f>'Portefeuille SP2'!X451</f>
        <v>0</v>
      </c>
      <c r="AM426" s="403">
        <f>'Portefeuille SP2'!Y451</f>
        <v>0</v>
      </c>
      <c r="AN426" s="403">
        <f>'Portefeuille SP2'!Z451</f>
        <v>0</v>
      </c>
      <c r="AO426" s="403">
        <f>'Portefeuille SP2'!AA451</f>
        <v>0</v>
      </c>
      <c r="AP426" s="403">
        <f>'Portefeuille SP2'!AB451</f>
        <v>0</v>
      </c>
      <c r="AQ426" s="403">
        <f>'Portefeuille SP2'!AC451</f>
        <v>0</v>
      </c>
      <c r="AR426" s="403">
        <f>'Portefeuille SP2'!AD451</f>
        <v>0</v>
      </c>
      <c r="AS426" s="403">
        <f>'Portefeuille SP2'!AE451</f>
        <v>0</v>
      </c>
      <c r="AT426" s="403">
        <f>'Portefeuille SP2'!AF451</f>
        <v>0</v>
      </c>
      <c r="AU426" s="403">
        <f>'Portefeuille SP2'!AG451</f>
        <v>0</v>
      </c>
      <c r="AV426" s="403">
        <f>'Portefeuille SP2'!AH451</f>
        <v>0</v>
      </c>
      <c r="AW426" s="403">
        <f>'Portefeuille SP2'!AI451</f>
        <v>0</v>
      </c>
      <c r="AX426" s="403">
        <f>'Portefeuille SP2'!AJ451</f>
        <v>0</v>
      </c>
      <c r="AY426" s="403">
        <f>'Portefeuille SP2'!AK451</f>
        <v>0</v>
      </c>
      <c r="AZ426" s="403">
        <f>'Portefeuille SP2'!AL451</f>
        <v>0</v>
      </c>
      <c r="BA426" s="403">
        <f>'Portefeuille SP2'!AM451</f>
        <v>0</v>
      </c>
      <c r="BB426" s="403">
        <f>'Portefeuille SP2'!AN451</f>
        <v>0</v>
      </c>
      <c r="BC426" s="403">
        <f>'Portefeuille SP2'!AO451</f>
        <v>0</v>
      </c>
      <c r="BD426" s="403">
        <f>'Portefeuille SP2'!AP451</f>
        <v>0</v>
      </c>
      <c r="BE426" s="403">
        <f>'Portefeuille SP2'!AQ451</f>
        <v>0</v>
      </c>
      <c r="BF426" s="403">
        <f>'Portefeuille SP2'!AR451</f>
        <v>0</v>
      </c>
      <c r="BG426" s="403" t="e">
        <f>'Portefeuille SP2'!#REF!</f>
        <v>#REF!</v>
      </c>
      <c r="BH426" s="403" t="e">
        <f>'Portefeuille SP2'!#REF!</f>
        <v>#REF!</v>
      </c>
      <c r="BI426" s="403" t="e">
        <f>'Portefeuille SP2'!#REF!</f>
        <v>#REF!</v>
      </c>
      <c r="BJ426" s="403" t="e">
        <f>'Portefeuille SP2'!#REF!</f>
        <v>#REF!</v>
      </c>
      <c r="BK426" s="403" t="e">
        <f>'Portefeuille SP2'!#REF!</f>
        <v>#REF!</v>
      </c>
      <c r="BL426" s="388"/>
      <c r="BM426" s="404">
        <f>'Portefeuille SP2'!L451</f>
        <v>0</v>
      </c>
    </row>
    <row r="427" spans="1:65" ht="15" customHeight="1">
      <c r="A427" s="383">
        <f>'Portefeuille SP2'!B452</f>
        <v>0</v>
      </c>
      <c r="B427" s="390">
        <f>'Portefeuille SP2'!Q452</f>
        <v>0</v>
      </c>
      <c r="C427" s="384"/>
      <c r="D427" s="382">
        <f>'Portefeuille SP2'!E452</f>
        <v>0</v>
      </c>
      <c r="E427" s="382" t="str">
        <f t="shared" si="33"/>
        <v>0</v>
      </c>
      <c r="F427" s="382" t="str">
        <f t="shared" si="34"/>
        <v/>
      </c>
      <c r="G427" s="382">
        <f>'Portefeuille SP2'!C452</f>
        <v>0</v>
      </c>
      <c r="H427" s="382">
        <f>'Portefeuille SP2'!F452</f>
        <v>0</v>
      </c>
      <c r="I427" s="382"/>
      <c r="J427" s="382">
        <f>'Portefeuille SP2'!D452</f>
        <v>0</v>
      </c>
      <c r="K427" s="385">
        <f>'Portefeuille SP2'!H452</f>
        <v>0</v>
      </c>
      <c r="L427" s="157">
        <f>'Portefeuille SP2'!U452</f>
        <v>0</v>
      </c>
      <c r="M427" s="386"/>
      <c r="N427" s="386"/>
      <c r="O427" s="386"/>
      <c r="P427" s="387">
        <f>'Portefeuille SP2'!M452</f>
        <v>0</v>
      </c>
      <c r="Q427" s="387"/>
      <c r="R427" s="387">
        <f>'Portefeuille SP2'!N452</f>
        <v>0</v>
      </c>
      <c r="S427" s="387"/>
      <c r="T427" s="382">
        <f>'Portefeuille SP2'!R452</f>
        <v>0</v>
      </c>
      <c r="U427" s="387">
        <f>'Portefeuille SP2'!K452</f>
        <v>0</v>
      </c>
      <c r="V427" s="399">
        <f>'Portefeuille SP2'!S452</f>
        <v>0</v>
      </c>
      <c r="W427" s="387"/>
      <c r="X427" s="387"/>
      <c r="Y427" s="387"/>
      <c r="Z427" s="387"/>
      <c r="AA427" s="387"/>
      <c r="AB427" s="387"/>
      <c r="AC427" s="387"/>
      <c r="AD427" s="387"/>
      <c r="AE427" s="400">
        <f>'Portefeuille SP2'!J452</f>
        <v>0</v>
      </c>
      <c r="AF427" s="387"/>
      <c r="AG427" s="387"/>
      <c r="AH427" s="389"/>
      <c r="AI427" s="389"/>
      <c r="AJ427" s="403">
        <f>'Portefeuille SP2'!V452</f>
        <v>0</v>
      </c>
      <c r="AK427" s="403">
        <f>'Portefeuille SP2'!W452</f>
        <v>0</v>
      </c>
      <c r="AL427" s="403">
        <f>'Portefeuille SP2'!X452</f>
        <v>0</v>
      </c>
      <c r="AM427" s="403">
        <f>'Portefeuille SP2'!Y452</f>
        <v>0</v>
      </c>
      <c r="AN427" s="403">
        <f>'Portefeuille SP2'!Z452</f>
        <v>0</v>
      </c>
      <c r="AO427" s="403">
        <f>'Portefeuille SP2'!AA452</f>
        <v>0</v>
      </c>
      <c r="AP427" s="403">
        <f>'Portefeuille SP2'!AB452</f>
        <v>0</v>
      </c>
      <c r="AQ427" s="403">
        <f>'Portefeuille SP2'!AC452</f>
        <v>0</v>
      </c>
      <c r="AR427" s="403">
        <f>'Portefeuille SP2'!AD452</f>
        <v>0</v>
      </c>
      <c r="AS427" s="403">
        <f>'Portefeuille SP2'!AE452</f>
        <v>0</v>
      </c>
      <c r="AT427" s="403">
        <f>'Portefeuille SP2'!AF452</f>
        <v>0</v>
      </c>
      <c r="AU427" s="403">
        <f>'Portefeuille SP2'!AG452</f>
        <v>0</v>
      </c>
      <c r="AV427" s="403">
        <f>'Portefeuille SP2'!AH452</f>
        <v>0</v>
      </c>
      <c r="AW427" s="403">
        <f>'Portefeuille SP2'!AI452</f>
        <v>0</v>
      </c>
      <c r="AX427" s="403">
        <f>'Portefeuille SP2'!AJ452</f>
        <v>0</v>
      </c>
      <c r="AY427" s="403">
        <f>'Portefeuille SP2'!AK452</f>
        <v>0</v>
      </c>
      <c r="AZ427" s="403">
        <f>'Portefeuille SP2'!AL452</f>
        <v>0</v>
      </c>
      <c r="BA427" s="403">
        <f>'Portefeuille SP2'!AM452</f>
        <v>0</v>
      </c>
      <c r="BB427" s="403">
        <f>'Portefeuille SP2'!AN452</f>
        <v>0</v>
      </c>
      <c r="BC427" s="403">
        <f>'Portefeuille SP2'!AO452</f>
        <v>0</v>
      </c>
      <c r="BD427" s="403">
        <f>'Portefeuille SP2'!AP452</f>
        <v>0</v>
      </c>
      <c r="BE427" s="403">
        <f>'Portefeuille SP2'!AQ452</f>
        <v>0</v>
      </c>
      <c r="BF427" s="403">
        <f>'Portefeuille SP2'!AR452</f>
        <v>0</v>
      </c>
      <c r="BG427" s="403" t="e">
        <f>'Portefeuille SP2'!#REF!</f>
        <v>#REF!</v>
      </c>
      <c r="BH427" s="403" t="e">
        <f>'Portefeuille SP2'!#REF!</f>
        <v>#REF!</v>
      </c>
      <c r="BI427" s="403" t="e">
        <f>'Portefeuille SP2'!#REF!</f>
        <v>#REF!</v>
      </c>
      <c r="BJ427" s="403" t="e">
        <f>'Portefeuille SP2'!#REF!</f>
        <v>#REF!</v>
      </c>
      <c r="BK427" s="403" t="e">
        <f>'Portefeuille SP2'!#REF!</f>
        <v>#REF!</v>
      </c>
      <c r="BL427" s="388"/>
      <c r="BM427" s="404">
        <f>'Portefeuille SP2'!L452</f>
        <v>0</v>
      </c>
    </row>
    <row r="428" spans="1:65" ht="15" customHeight="1">
      <c r="A428" s="383">
        <f>'Portefeuille SP2'!B453</f>
        <v>0</v>
      </c>
      <c r="B428" s="390">
        <f>'Portefeuille SP2'!Q453</f>
        <v>0</v>
      </c>
      <c r="C428" s="384"/>
      <c r="D428" s="382">
        <f>'Portefeuille SP2'!E453</f>
        <v>0</v>
      </c>
      <c r="E428" s="382" t="str">
        <f t="shared" si="33"/>
        <v>0</v>
      </c>
      <c r="F428" s="382" t="str">
        <f t="shared" si="34"/>
        <v/>
      </c>
      <c r="G428" s="382">
        <f>'Portefeuille SP2'!C453</f>
        <v>0</v>
      </c>
      <c r="H428" s="382">
        <f>'Portefeuille SP2'!F453</f>
        <v>0</v>
      </c>
      <c r="I428" s="382"/>
      <c r="J428" s="382">
        <f>'Portefeuille SP2'!D453</f>
        <v>0</v>
      </c>
      <c r="K428" s="385">
        <f>'Portefeuille SP2'!H453</f>
        <v>0</v>
      </c>
      <c r="L428" s="157">
        <f>'Portefeuille SP2'!U453</f>
        <v>0</v>
      </c>
      <c r="M428" s="386"/>
      <c r="N428" s="386"/>
      <c r="O428" s="386"/>
      <c r="P428" s="387">
        <f>'Portefeuille SP2'!M453</f>
        <v>0</v>
      </c>
      <c r="Q428" s="387"/>
      <c r="R428" s="387">
        <f>'Portefeuille SP2'!N453</f>
        <v>0</v>
      </c>
      <c r="S428" s="387"/>
      <c r="T428" s="382">
        <f>'Portefeuille SP2'!R453</f>
        <v>0</v>
      </c>
      <c r="U428" s="387">
        <f>'Portefeuille SP2'!K453</f>
        <v>0</v>
      </c>
      <c r="V428" s="399">
        <f>'Portefeuille SP2'!S453</f>
        <v>0</v>
      </c>
      <c r="W428" s="387"/>
      <c r="X428" s="387"/>
      <c r="Y428" s="387"/>
      <c r="Z428" s="387"/>
      <c r="AA428" s="387"/>
      <c r="AB428" s="387"/>
      <c r="AC428" s="387"/>
      <c r="AD428" s="387"/>
      <c r="AE428" s="400">
        <f>'Portefeuille SP2'!J453</f>
        <v>0</v>
      </c>
      <c r="AF428" s="387"/>
      <c r="AG428" s="387"/>
      <c r="AH428" s="389"/>
      <c r="AI428" s="389"/>
      <c r="AJ428" s="403">
        <f>'Portefeuille SP2'!V453</f>
        <v>0</v>
      </c>
      <c r="AK428" s="403">
        <f>'Portefeuille SP2'!W453</f>
        <v>0</v>
      </c>
      <c r="AL428" s="403">
        <f>'Portefeuille SP2'!X453</f>
        <v>0</v>
      </c>
      <c r="AM428" s="403">
        <f>'Portefeuille SP2'!Y453</f>
        <v>0</v>
      </c>
      <c r="AN428" s="403">
        <f>'Portefeuille SP2'!Z453</f>
        <v>0</v>
      </c>
      <c r="AO428" s="403">
        <f>'Portefeuille SP2'!AA453</f>
        <v>0</v>
      </c>
      <c r="AP428" s="403">
        <f>'Portefeuille SP2'!AB453</f>
        <v>0</v>
      </c>
      <c r="AQ428" s="403">
        <f>'Portefeuille SP2'!AC453</f>
        <v>0</v>
      </c>
      <c r="AR428" s="403">
        <f>'Portefeuille SP2'!AD453</f>
        <v>0</v>
      </c>
      <c r="AS428" s="403">
        <f>'Portefeuille SP2'!AE453</f>
        <v>0</v>
      </c>
      <c r="AT428" s="403">
        <f>'Portefeuille SP2'!AF453</f>
        <v>0</v>
      </c>
      <c r="AU428" s="403">
        <f>'Portefeuille SP2'!AG453</f>
        <v>0</v>
      </c>
      <c r="AV428" s="403">
        <f>'Portefeuille SP2'!AH453</f>
        <v>0</v>
      </c>
      <c r="AW428" s="403">
        <f>'Portefeuille SP2'!AI453</f>
        <v>0</v>
      </c>
      <c r="AX428" s="403">
        <f>'Portefeuille SP2'!AJ453</f>
        <v>0</v>
      </c>
      <c r="AY428" s="403">
        <f>'Portefeuille SP2'!AK453</f>
        <v>0</v>
      </c>
      <c r="AZ428" s="403">
        <f>'Portefeuille SP2'!AL453</f>
        <v>0</v>
      </c>
      <c r="BA428" s="403">
        <f>'Portefeuille SP2'!AM453</f>
        <v>0</v>
      </c>
      <c r="BB428" s="403">
        <f>'Portefeuille SP2'!AN453</f>
        <v>0</v>
      </c>
      <c r="BC428" s="403">
        <f>'Portefeuille SP2'!AO453</f>
        <v>0</v>
      </c>
      <c r="BD428" s="403">
        <f>'Portefeuille SP2'!AP453</f>
        <v>0</v>
      </c>
      <c r="BE428" s="403">
        <f>'Portefeuille SP2'!AQ453</f>
        <v>0</v>
      </c>
      <c r="BF428" s="403">
        <f>'Portefeuille SP2'!AR453</f>
        <v>0</v>
      </c>
      <c r="BG428" s="403" t="e">
        <f>'Portefeuille SP2'!#REF!</f>
        <v>#REF!</v>
      </c>
      <c r="BH428" s="403" t="e">
        <f>'Portefeuille SP2'!#REF!</f>
        <v>#REF!</v>
      </c>
      <c r="BI428" s="403" t="e">
        <f>'Portefeuille SP2'!#REF!</f>
        <v>#REF!</v>
      </c>
      <c r="BJ428" s="403" t="e">
        <f>'Portefeuille SP2'!#REF!</f>
        <v>#REF!</v>
      </c>
      <c r="BK428" s="403" t="e">
        <f>'Portefeuille SP2'!#REF!</f>
        <v>#REF!</v>
      </c>
      <c r="BL428" s="388"/>
      <c r="BM428" s="404">
        <f>'Portefeuille SP2'!L453</f>
        <v>0</v>
      </c>
    </row>
    <row r="429" spans="1:65" ht="15" customHeight="1">
      <c r="A429" s="383">
        <f>'Portefeuille SP2'!B454</f>
        <v>0</v>
      </c>
      <c r="B429" s="390">
        <f>'Portefeuille SP2'!Q454</f>
        <v>0</v>
      </c>
      <c r="C429" s="384"/>
      <c r="D429" s="382">
        <f>'Portefeuille SP2'!E454</f>
        <v>0</v>
      </c>
      <c r="E429" s="382" t="str">
        <f t="shared" si="33"/>
        <v>0</v>
      </c>
      <c r="F429" s="382" t="str">
        <f t="shared" si="34"/>
        <v/>
      </c>
      <c r="G429" s="382">
        <f>'Portefeuille SP2'!C454</f>
        <v>0</v>
      </c>
      <c r="H429" s="382">
        <f>'Portefeuille SP2'!F454</f>
        <v>0</v>
      </c>
      <c r="I429" s="382"/>
      <c r="J429" s="382">
        <f>'Portefeuille SP2'!D454</f>
        <v>0</v>
      </c>
      <c r="K429" s="385">
        <f>'Portefeuille SP2'!H454</f>
        <v>0</v>
      </c>
      <c r="L429" s="157">
        <f>'Portefeuille SP2'!U454</f>
        <v>0</v>
      </c>
      <c r="M429" s="386"/>
      <c r="N429" s="386"/>
      <c r="O429" s="386"/>
      <c r="P429" s="387">
        <f>'Portefeuille SP2'!M454</f>
        <v>0</v>
      </c>
      <c r="Q429" s="387"/>
      <c r="R429" s="387">
        <f>'Portefeuille SP2'!N454</f>
        <v>0</v>
      </c>
      <c r="S429" s="387"/>
      <c r="T429" s="382">
        <f>'Portefeuille SP2'!R454</f>
        <v>0</v>
      </c>
      <c r="U429" s="387">
        <f>'Portefeuille SP2'!K454</f>
        <v>0</v>
      </c>
      <c r="V429" s="399">
        <f>'Portefeuille SP2'!S454</f>
        <v>0</v>
      </c>
      <c r="W429" s="387"/>
      <c r="X429" s="387"/>
      <c r="Y429" s="387"/>
      <c r="Z429" s="387"/>
      <c r="AA429" s="387"/>
      <c r="AB429" s="387"/>
      <c r="AC429" s="387"/>
      <c r="AD429" s="387"/>
      <c r="AE429" s="400">
        <f>'Portefeuille SP2'!J454</f>
        <v>0</v>
      </c>
      <c r="AF429" s="387"/>
      <c r="AG429" s="387"/>
      <c r="AH429" s="389"/>
      <c r="AI429" s="389"/>
      <c r="AJ429" s="403">
        <f>'Portefeuille SP2'!V454</f>
        <v>0</v>
      </c>
      <c r="AK429" s="403">
        <f>'Portefeuille SP2'!W454</f>
        <v>0</v>
      </c>
      <c r="AL429" s="403">
        <f>'Portefeuille SP2'!X454</f>
        <v>0</v>
      </c>
      <c r="AM429" s="403">
        <f>'Portefeuille SP2'!Y454</f>
        <v>0</v>
      </c>
      <c r="AN429" s="403">
        <f>'Portefeuille SP2'!Z454</f>
        <v>0</v>
      </c>
      <c r="AO429" s="403">
        <f>'Portefeuille SP2'!AA454</f>
        <v>0</v>
      </c>
      <c r="AP429" s="403">
        <f>'Portefeuille SP2'!AB454</f>
        <v>0</v>
      </c>
      <c r="AQ429" s="403">
        <f>'Portefeuille SP2'!AC454</f>
        <v>0</v>
      </c>
      <c r="AR429" s="403">
        <f>'Portefeuille SP2'!AD454</f>
        <v>0</v>
      </c>
      <c r="AS429" s="403">
        <f>'Portefeuille SP2'!AE454</f>
        <v>0</v>
      </c>
      <c r="AT429" s="403">
        <f>'Portefeuille SP2'!AF454</f>
        <v>0</v>
      </c>
      <c r="AU429" s="403">
        <f>'Portefeuille SP2'!AG454</f>
        <v>0</v>
      </c>
      <c r="AV429" s="403">
        <f>'Portefeuille SP2'!AH454</f>
        <v>0</v>
      </c>
      <c r="AW429" s="403">
        <f>'Portefeuille SP2'!AI454</f>
        <v>0</v>
      </c>
      <c r="AX429" s="403">
        <f>'Portefeuille SP2'!AJ454</f>
        <v>0</v>
      </c>
      <c r="AY429" s="403">
        <f>'Portefeuille SP2'!AK454</f>
        <v>0</v>
      </c>
      <c r="AZ429" s="403">
        <f>'Portefeuille SP2'!AL454</f>
        <v>0</v>
      </c>
      <c r="BA429" s="403">
        <f>'Portefeuille SP2'!AM454</f>
        <v>0</v>
      </c>
      <c r="BB429" s="403">
        <f>'Portefeuille SP2'!AN454</f>
        <v>0</v>
      </c>
      <c r="BC429" s="403">
        <f>'Portefeuille SP2'!AO454</f>
        <v>0</v>
      </c>
      <c r="BD429" s="403">
        <f>'Portefeuille SP2'!AP454</f>
        <v>0</v>
      </c>
      <c r="BE429" s="403">
        <f>'Portefeuille SP2'!AQ454</f>
        <v>0</v>
      </c>
      <c r="BF429" s="403">
        <f>'Portefeuille SP2'!AR454</f>
        <v>0</v>
      </c>
      <c r="BG429" s="403" t="e">
        <f>'Portefeuille SP2'!#REF!</f>
        <v>#REF!</v>
      </c>
      <c r="BH429" s="403" t="e">
        <f>'Portefeuille SP2'!#REF!</f>
        <v>#REF!</v>
      </c>
      <c r="BI429" s="403" t="e">
        <f>'Portefeuille SP2'!#REF!</f>
        <v>#REF!</v>
      </c>
      <c r="BJ429" s="403" t="e">
        <f>'Portefeuille SP2'!#REF!</f>
        <v>#REF!</v>
      </c>
      <c r="BK429" s="403" t="e">
        <f>'Portefeuille SP2'!#REF!</f>
        <v>#REF!</v>
      </c>
      <c r="BL429" s="388"/>
      <c r="BM429" s="404">
        <f>'Portefeuille SP2'!L454</f>
        <v>0</v>
      </c>
    </row>
    <row r="430" spans="1:65" ht="15" customHeight="1">
      <c r="A430" s="383">
        <f>'Portefeuille SP2'!B455</f>
        <v>0</v>
      </c>
      <c r="B430" s="390">
        <f>'Portefeuille SP2'!Q455</f>
        <v>0</v>
      </c>
      <c r="C430" s="384"/>
      <c r="D430" s="382">
        <f>'Portefeuille SP2'!E455</f>
        <v>0</v>
      </c>
      <c r="E430" s="382" t="str">
        <f t="shared" si="33"/>
        <v>0</v>
      </c>
      <c r="F430" s="382" t="str">
        <f t="shared" si="34"/>
        <v/>
      </c>
      <c r="G430" s="382">
        <f>'Portefeuille SP2'!C455</f>
        <v>0</v>
      </c>
      <c r="H430" s="382">
        <f>'Portefeuille SP2'!F455</f>
        <v>0</v>
      </c>
      <c r="I430" s="382"/>
      <c r="J430" s="382">
        <f>'Portefeuille SP2'!D455</f>
        <v>0</v>
      </c>
      <c r="K430" s="385">
        <f>'Portefeuille SP2'!H455</f>
        <v>0</v>
      </c>
      <c r="L430" s="157">
        <f>'Portefeuille SP2'!U455</f>
        <v>0</v>
      </c>
      <c r="M430" s="386"/>
      <c r="N430" s="386"/>
      <c r="O430" s="386"/>
      <c r="P430" s="387">
        <f>'Portefeuille SP2'!M455</f>
        <v>0</v>
      </c>
      <c r="Q430" s="387"/>
      <c r="R430" s="387">
        <f>'Portefeuille SP2'!N455</f>
        <v>0</v>
      </c>
      <c r="S430" s="387"/>
      <c r="T430" s="382">
        <f>'Portefeuille SP2'!R455</f>
        <v>0</v>
      </c>
      <c r="U430" s="387">
        <f>'Portefeuille SP2'!K455</f>
        <v>0</v>
      </c>
      <c r="V430" s="399">
        <f>'Portefeuille SP2'!S455</f>
        <v>0</v>
      </c>
      <c r="W430" s="387"/>
      <c r="X430" s="387"/>
      <c r="Y430" s="387"/>
      <c r="Z430" s="387"/>
      <c r="AA430" s="387"/>
      <c r="AB430" s="387"/>
      <c r="AC430" s="387"/>
      <c r="AD430" s="387"/>
      <c r="AE430" s="400">
        <f>'Portefeuille SP2'!J455</f>
        <v>0</v>
      </c>
      <c r="AF430" s="387"/>
      <c r="AG430" s="387"/>
      <c r="AH430" s="389"/>
      <c r="AI430" s="389"/>
      <c r="AJ430" s="403">
        <f>'Portefeuille SP2'!V455</f>
        <v>0</v>
      </c>
      <c r="AK430" s="403">
        <f>'Portefeuille SP2'!W455</f>
        <v>0</v>
      </c>
      <c r="AL430" s="403">
        <f>'Portefeuille SP2'!X455</f>
        <v>0</v>
      </c>
      <c r="AM430" s="403">
        <f>'Portefeuille SP2'!Y455</f>
        <v>0</v>
      </c>
      <c r="AN430" s="403">
        <f>'Portefeuille SP2'!Z455</f>
        <v>0</v>
      </c>
      <c r="AO430" s="403">
        <f>'Portefeuille SP2'!AA455</f>
        <v>0</v>
      </c>
      <c r="AP430" s="403">
        <f>'Portefeuille SP2'!AB455</f>
        <v>0</v>
      </c>
      <c r="AQ430" s="403">
        <f>'Portefeuille SP2'!AC455</f>
        <v>0</v>
      </c>
      <c r="AR430" s="403">
        <f>'Portefeuille SP2'!AD455</f>
        <v>0</v>
      </c>
      <c r="AS430" s="403">
        <f>'Portefeuille SP2'!AE455</f>
        <v>0</v>
      </c>
      <c r="AT430" s="403">
        <f>'Portefeuille SP2'!AF455</f>
        <v>0</v>
      </c>
      <c r="AU430" s="403">
        <f>'Portefeuille SP2'!AG455</f>
        <v>0</v>
      </c>
      <c r="AV430" s="403">
        <f>'Portefeuille SP2'!AH455</f>
        <v>0</v>
      </c>
      <c r="AW430" s="403">
        <f>'Portefeuille SP2'!AI455</f>
        <v>0</v>
      </c>
      <c r="AX430" s="403">
        <f>'Portefeuille SP2'!AJ455</f>
        <v>0</v>
      </c>
      <c r="AY430" s="403">
        <f>'Portefeuille SP2'!AK455</f>
        <v>0</v>
      </c>
      <c r="AZ430" s="403">
        <f>'Portefeuille SP2'!AL455</f>
        <v>0</v>
      </c>
      <c r="BA430" s="403">
        <f>'Portefeuille SP2'!AM455</f>
        <v>0</v>
      </c>
      <c r="BB430" s="403">
        <f>'Portefeuille SP2'!AN455</f>
        <v>0</v>
      </c>
      <c r="BC430" s="403">
        <f>'Portefeuille SP2'!AO455</f>
        <v>0</v>
      </c>
      <c r="BD430" s="403">
        <f>'Portefeuille SP2'!AP455</f>
        <v>0</v>
      </c>
      <c r="BE430" s="403">
        <f>'Portefeuille SP2'!AQ455</f>
        <v>0</v>
      </c>
      <c r="BF430" s="403">
        <f>'Portefeuille SP2'!AR455</f>
        <v>0</v>
      </c>
      <c r="BG430" s="403" t="e">
        <f>'Portefeuille SP2'!#REF!</f>
        <v>#REF!</v>
      </c>
      <c r="BH430" s="403" t="e">
        <f>'Portefeuille SP2'!#REF!</f>
        <v>#REF!</v>
      </c>
      <c r="BI430" s="403" t="e">
        <f>'Portefeuille SP2'!#REF!</f>
        <v>#REF!</v>
      </c>
      <c r="BJ430" s="403" t="e">
        <f>'Portefeuille SP2'!#REF!</f>
        <v>#REF!</v>
      </c>
      <c r="BK430" s="403" t="e">
        <f>'Portefeuille SP2'!#REF!</f>
        <v>#REF!</v>
      </c>
      <c r="BL430" s="388"/>
      <c r="BM430" s="404">
        <f>'Portefeuille SP2'!L455</f>
        <v>0</v>
      </c>
    </row>
    <row r="431" spans="1:65" ht="15" customHeight="1">
      <c r="A431" s="383">
        <f>'Portefeuille SP2'!B456</f>
        <v>0</v>
      </c>
      <c r="B431" s="390">
        <f>'Portefeuille SP2'!Q456</f>
        <v>0</v>
      </c>
      <c r="C431" s="384"/>
      <c r="D431" s="382">
        <f>'Portefeuille SP2'!E456</f>
        <v>0</v>
      </c>
      <c r="E431" s="382" t="str">
        <f t="shared" si="33"/>
        <v>0</v>
      </c>
      <c r="F431" s="382" t="str">
        <f t="shared" si="34"/>
        <v/>
      </c>
      <c r="G431" s="382">
        <f>'Portefeuille SP2'!C456</f>
        <v>0</v>
      </c>
      <c r="H431" s="382">
        <f>'Portefeuille SP2'!F456</f>
        <v>0</v>
      </c>
      <c r="I431" s="382"/>
      <c r="J431" s="382">
        <f>'Portefeuille SP2'!D456</f>
        <v>0</v>
      </c>
      <c r="K431" s="385">
        <f>'Portefeuille SP2'!H456</f>
        <v>0</v>
      </c>
      <c r="L431" s="157">
        <f>'Portefeuille SP2'!U456</f>
        <v>0</v>
      </c>
      <c r="M431" s="386"/>
      <c r="N431" s="386"/>
      <c r="O431" s="386"/>
      <c r="P431" s="387">
        <f>'Portefeuille SP2'!M456</f>
        <v>0</v>
      </c>
      <c r="Q431" s="387"/>
      <c r="R431" s="387">
        <f>'Portefeuille SP2'!N456</f>
        <v>0</v>
      </c>
      <c r="S431" s="387"/>
      <c r="T431" s="382">
        <f>'Portefeuille SP2'!R456</f>
        <v>0</v>
      </c>
      <c r="U431" s="387">
        <f>'Portefeuille SP2'!K456</f>
        <v>0</v>
      </c>
      <c r="V431" s="399">
        <f>'Portefeuille SP2'!S456</f>
        <v>0</v>
      </c>
      <c r="W431" s="387"/>
      <c r="X431" s="387"/>
      <c r="Y431" s="387"/>
      <c r="Z431" s="387"/>
      <c r="AA431" s="387"/>
      <c r="AB431" s="387"/>
      <c r="AC431" s="387"/>
      <c r="AD431" s="387"/>
      <c r="AE431" s="400">
        <f>'Portefeuille SP2'!J456</f>
        <v>0</v>
      </c>
      <c r="AF431" s="387"/>
      <c r="AG431" s="387"/>
      <c r="AH431" s="389"/>
      <c r="AI431" s="389"/>
      <c r="AJ431" s="403">
        <f>'Portefeuille SP2'!V456</f>
        <v>0</v>
      </c>
      <c r="AK431" s="403">
        <f>'Portefeuille SP2'!W456</f>
        <v>0</v>
      </c>
      <c r="AL431" s="403">
        <f>'Portefeuille SP2'!X456</f>
        <v>0</v>
      </c>
      <c r="AM431" s="403">
        <f>'Portefeuille SP2'!Y456</f>
        <v>0</v>
      </c>
      <c r="AN431" s="403">
        <f>'Portefeuille SP2'!Z456</f>
        <v>0</v>
      </c>
      <c r="AO431" s="403">
        <f>'Portefeuille SP2'!AA456</f>
        <v>0</v>
      </c>
      <c r="AP431" s="403">
        <f>'Portefeuille SP2'!AB456</f>
        <v>0</v>
      </c>
      <c r="AQ431" s="403">
        <f>'Portefeuille SP2'!AC456</f>
        <v>0</v>
      </c>
      <c r="AR431" s="403">
        <f>'Portefeuille SP2'!AD456</f>
        <v>0</v>
      </c>
      <c r="AS431" s="403">
        <f>'Portefeuille SP2'!AE456</f>
        <v>0</v>
      </c>
      <c r="AT431" s="403">
        <f>'Portefeuille SP2'!AF456</f>
        <v>0</v>
      </c>
      <c r="AU431" s="403">
        <f>'Portefeuille SP2'!AG456</f>
        <v>0</v>
      </c>
      <c r="AV431" s="403">
        <f>'Portefeuille SP2'!AH456</f>
        <v>0</v>
      </c>
      <c r="AW431" s="403">
        <f>'Portefeuille SP2'!AI456</f>
        <v>0</v>
      </c>
      <c r="AX431" s="403">
        <f>'Portefeuille SP2'!AJ456</f>
        <v>0</v>
      </c>
      <c r="AY431" s="403">
        <f>'Portefeuille SP2'!AK456</f>
        <v>0</v>
      </c>
      <c r="AZ431" s="403">
        <f>'Portefeuille SP2'!AL456</f>
        <v>0</v>
      </c>
      <c r="BA431" s="403">
        <f>'Portefeuille SP2'!AM456</f>
        <v>0</v>
      </c>
      <c r="BB431" s="403">
        <f>'Portefeuille SP2'!AN456</f>
        <v>0</v>
      </c>
      <c r="BC431" s="403">
        <f>'Portefeuille SP2'!AO456</f>
        <v>0</v>
      </c>
      <c r="BD431" s="403">
        <f>'Portefeuille SP2'!AP456</f>
        <v>0</v>
      </c>
      <c r="BE431" s="403">
        <f>'Portefeuille SP2'!AQ456</f>
        <v>0</v>
      </c>
      <c r="BF431" s="403">
        <f>'Portefeuille SP2'!AR456</f>
        <v>0</v>
      </c>
      <c r="BG431" s="403" t="e">
        <f>'Portefeuille SP2'!#REF!</f>
        <v>#REF!</v>
      </c>
      <c r="BH431" s="403" t="e">
        <f>'Portefeuille SP2'!#REF!</f>
        <v>#REF!</v>
      </c>
      <c r="BI431" s="403" t="e">
        <f>'Portefeuille SP2'!#REF!</f>
        <v>#REF!</v>
      </c>
      <c r="BJ431" s="403" t="e">
        <f>'Portefeuille SP2'!#REF!</f>
        <v>#REF!</v>
      </c>
      <c r="BK431" s="403" t="e">
        <f>'Portefeuille SP2'!#REF!</f>
        <v>#REF!</v>
      </c>
      <c r="BL431" s="388"/>
      <c r="BM431" s="404">
        <f>'Portefeuille SP2'!L456</f>
        <v>0</v>
      </c>
    </row>
    <row r="432" spans="1:65" ht="15" customHeight="1">
      <c r="A432" s="383">
        <f>'Portefeuille SP2'!B457</f>
        <v>0</v>
      </c>
      <c r="B432" s="390">
        <f>'Portefeuille SP2'!Q457</f>
        <v>0</v>
      </c>
      <c r="C432" s="384"/>
      <c r="D432" s="382">
        <f>'Portefeuille SP2'!E457</f>
        <v>0</v>
      </c>
      <c r="E432" s="382" t="str">
        <f t="shared" si="33"/>
        <v>0</v>
      </c>
      <c r="F432" s="382" t="str">
        <f t="shared" si="34"/>
        <v/>
      </c>
      <c r="G432" s="382">
        <f>'Portefeuille SP2'!C457</f>
        <v>0</v>
      </c>
      <c r="H432" s="382">
        <f>'Portefeuille SP2'!F457</f>
        <v>0</v>
      </c>
      <c r="I432" s="382"/>
      <c r="J432" s="382">
        <f>'Portefeuille SP2'!D457</f>
        <v>0</v>
      </c>
      <c r="K432" s="385">
        <f>'Portefeuille SP2'!H457</f>
        <v>0</v>
      </c>
      <c r="L432" s="157">
        <f>'Portefeuille SP2'!U457</f>
        <v>0</v>
      </c>
      <c r="M432" s="386"/>
      <c r="N432" s="386"/>
      <c r="O432" s="386"/>
      <c r="P432" s="387">
        <f>'Portefeuille SP2'!M457</f>
        <v>0</v>
      </c>
      <c r="Q432" s="387"/>
      <c r="R432" s="387">
        <f>'Portefeuille SP2'!N457</f>
        <v>0</v>
      </c>
      <c r="S432" s="387"/>
      <c r="T432" s="382">
        <f>'Portefeuille SP2'!R457</f>
        <v>0</v>
      </c>
      <c r="U432" s="387">
        <f>'Portefeuille SP2'!K457</f>
        <v>0</v>
      </c>
      <c r="V432" s="399">
        <f>'Portefeuille SP2'!S457</f>
        <v>0</v>
      </c>
      <c r="W432" s="387"/>
      <c r="X432" s="387"/>
      <c r="Y432" s="387"/>
      <c r="Z432" s="387"/>
      <c r="AA432" s="387"/>
      <c r="AB432" s="387"/>
      <c r="AC432" s="387"/>
      <c r="AD432" s="387"/>
      <c r="AE432" s="400">
        <f>'Portefeuille SP2'!J457</f>
        <v>0</v>
      </c>
      <c r="AF432" s="387"/>
      <c r="AG432" s="387"/>
      <c r="AH432" s="389"/>
      <c r="AI432" s="389"/>
      <c r="AJ432" s="403">
        <f>'Portefeuille SP2'!V457</f>
        <v>0</v>
      </c>
      <c r="AK432" s="403">
        <f>'Portefeuille SP2'!W457</f>
        <v>0</v>
      </c>
      <c r="AL432" s="403">
        <f>'Portefeuille SP2'!X457</f>
        <v>0</v>
      </c>
      <c r="AM432" s="403">
        <f>'Portefeuille SP2'!Y457</f>
        <v>0</v>
      </c>
      <c r="AN432" s="403">
        <f>'Portefeuille SP2'!Z457</f>
        <v>0</v>
      </c>
      <c r="AO432" s="403">
        <f>'Portefeuille SP2'!AA457</f>
        <v>0</v>
      </c>
      <c r="AP432" s="403">
        <f>'Portefeuille SP2'!AB457</f>
        <v>0</v>
      </c>
      <c r="AQ432" s="403">
        <f>'Portefeuille SP2'!AC457</f>
        <v>0</v>
      </c>
      <c r="AR432" s="403">
        <f>'Portefeuille SP2'!AD457</f>
        <v>0</v>
      </c>
      <c r="AS432" s="403">
        <f>'Portefeuille SP2'!AE457</f>
        <v>0</v>
      </c>
      <c r="AT432" s="403">
        <f>'Portefeuille SP2'!AF457</f>
        <v>0</v>
      </c>
      <c r="AU432" s="403">
        <f>'Portefeuille SP2'!AG457</f>
        <v>0</v>
      </c>
      <c r="AV432" s="403">
        <f>'Portefeuille SP2'!AH457</f>
        <v>0</v>
      </c>
      <c r="AW432" s="403">
        <f>'Portefeuille SP2'!AI457</f>
        <v>0</v>
      </c>
      <c r="AX432" s="403">
        <f>'Portefeuille SP2'!AJ457</f>
        <v>0</v>
      </c>
      <c r="AY432" s="403">
        <f>'Portefeuille SP2'!AK457</f>
        <v>0</v>
      </c>
      <c r="AZ432" s="403">
        <f>'Portefeuille SP2'!AL457</f>
        <v>0</v>
      </c>
      <c r="BA432" s="403">
        <f>'Portefeuille SP2'!AM457</f>
        <v>0</v>
      </c>
      <c r="BB432" s="403">
        <f>'Portefeuille SP2'!AN457</f>
        <v>0</v>
      </c>
      <c r="BC432" s="403">
        <f>'Portefeuille SP2'!AO457</f>
        <v>0</v>
      </c>
      <c r="BD432" s="403">
        <f>'Portefeuille SP2'!AP457</f>
        <v>0</v>
      </c>
      <c r="BE432" s="403">
        <f>'Portefeuille SP2'!AQ457</f>
        <v>0</v>
      </c>
      <c r="BF432" s="403">
        <f>'Portefeuille SP2'!AR457</f>
        <v>0</v>
      </c>
      <c r="BG432" s="403" t="e">
        <f>'Portefeuille SP2'!#REF!</f>
        <v>#REF!</v>
      </c>
      <c r="BH432" s="403" t="e">
        <f>'Portefeuille SP2'!#REF!</f>
        <v>#REF!</v>
      </c>
      <c r="BI432" s="403" t="e">
        <f>'Portefeuille SP2'!#REF!</f>
        <v>#REF!</v>
      </c>
      <c r="BJ432" s="403" t="e">
        <f>'Portefeuille SP2'!#REF!</f>
        <v>#REF!</v>
      </c>
      <c r="BK432" s="403" t="e">
        <f>'Portefeuille SP2'!#REF!</f>
        <v>#REF!</v>
      </c>
      <c r="BL432" s="388"/>
      <c r="BM432" s="404">
        <f>'Portefeuille SP2'!L457</f>
        <v>0</v>
      </c>
    </row>
    <row r="433" spans="1:65" ht="15" customHeight="1">
      <c r="A433" s="383">
        <f>'Portefeuille SP2'!B458</f>
        <v>0</v>
      </c>
      <c r="B433" s="390">
        <f>'Portefeuille SP2'!Q458</f>
        <v>0</v>
      </c>
      <c r="C433" s="384"/>
      <c r="D433" s="382">
        <f>'Portefeuille SP2'!E458</f>
        <v>0</v>
      </c>
      <c r="E433" s="382" t="str">
        <f t="shared" si="33"/>
        <v>0</v>
      </c>
      <c r="F433" s="382" t="str">
        <f t="shared" si="34"/>
        <v/>
      </c>
      <c r="G433" s="382">
        <f>'Portefeuille SP2'!C458</f>
        <v>0</v>
      </c>
      <c r="H433" s="382">
        <f>'Portefeuille SP2'!F458</f>
        <v>0</v>
      </c>
      <c r="I433" s="382"/>
      <c r="J433" s="382">
        <f>'Portefeuille SP2'!D458</f>
        <v>0</v>
      </c>
      <c r="K433" s="385">
        <f>'Portefeuille SP2'!H458</f>
        <v>0</v>
      </c>
      <c r="L433" s="157">
        <f>'Portefeuille SP2'!U458</f>
        <v>0</v>
      </c>
      <c r="M433" s="386"/>
      <c r="N433" s="386"/>
      <c r="O433" s="386"/>
      <c r="P433" s="387">
        <f>'Portefeuille SP2'!M458</f>
        <v>0</v>
      </c>
      <c r="Q433" s="387"/>
      <c r="R433" s="387">
        <f>'Portefeuille SP2'!N458</f>
        <v>0</v>
      </c>
      <c r="S433" s="387"/>
      <c r="T433" s="382">
        <f>'Portefeuille SP2'!R458</f>
        <v>0</v>
      </c>
      <c r="U433" s="387">
        <f>'Portefeuille SP2'!K458</f>
        <v>0</v>
      </c>
      <c r="V433" s="399">
        <f>'Portefeuille SP2'!S458</f>
        <v>0</v>
      </c>
      <c r="W433" s="387"/>
      <c r="X433" s="387"/>
      <c r="Y433" s="387"/>
      <c r="Z433" s="387"/>
      <c r="AA433" s="387"/>
      <c r="AB433" s="387"/>
      <c r="AC433" s="387"/>
      <c r="AD433" s="387"/>
      <c r="AE433" s="400">
        <f>'Portefeuille SP2'!J458</f>
        <v>0</v>
      </c>
      <c r="AF433" s="387"/>
      <c r="AG433" s="387"/>
      <c r="AH433" s="389"/>
      <c r="AI433" s="389"/>
      <c r="AJ433" s="403">
        <f>'Portefeuille SP2'!V458</f>
        <v>0</v>
      </c>
      <c r="AK433" s="403">
        <f>'Portefeuille SP2'!W458</f>
        <v>0</v>
      </c>
      <c r="AL433" s="403">
        <f>'Portefeuille SP2'!X458</f>
        <v>0</v>
      </c>
      <c r="AM433" s="403">
        <f>'Portefeuille SP2'!Y458</f>
        <v>0</v>
      </c>
      <c r="AN433" s="403">
        <f>'Portefeuille SP2'!Z458</f>
        <v>0</v>
      </c>
      <c r="AO433" s="403">
        <f>'Portefeuille SP2'!AA458</f>
        <v>0</v>
      </c>
      <c r="AP433" s="403">
        <f>'Portefeuille SP2'!AB458</f>
        <v>0</v>
      </c>
      <c r="AQ433" s="403">
        <f>'Portefeuille SP2'!AC458</f>
        <v>0</v>
      </c>
      <c r="AR433" s="403">
        <f>'Portefeuille SP2'!AD458</f>
        <v>0</v>
      </c>
      <c r="AS433" s="403">
        <f>'Portefeuille SP2'!AE458</f>
        <v>0</v>
      </c>
      <c r="AT433" s="403">
        <f>'Portefeuille SP2'!AF458</f>
        <v>0</v>
      </c>
      <c r="AU433" s="403">
        <f>'Portefeuille SP2'!AG458</f>
        <v>0</v>
      </c>
      <c r="AV433" s="403">
        <f>'Portefeuille SP2'!AH458</f>
        <v>0</v>
      </c>
      <c r="AW433" s="403">
        <f>'Portefeuille SP2'!AI458</f>
        <v>0</v>
      </c>
      <c r="AX433" s="403">
        <f>'Portefeuille SP2'!AJ458</f>
        <v>0</v>
      </c>
      <c r="AY433" s="403">
        <f>'Portefeuille SP2'!AK458</f>
        <v>0</v>
      </c>
      <c r="AZ433" s="403">
        <f>'Portefeuille SP2'!AL458</f>
        <v>0</v>
      </c>
      <c r="BA433" s="403">
        <f>'Portefeuille SP2'!AM458</f>
        <v>0</v>
      </c>
      <c r="BB433" s="403">
        <f>'Portefeuille SP2'!AN458</f>
        <v>0</v>
      </c>
      <c r="BC433" s="403">
        <f>'Portefeuille SP2'!AO458</f>
        <v>0</v>
      </c>
      <c r="BD433" s="403">
        <f>'Portefeuille SP2'!AP458</f>
        <v>0</v>
      </c>
      <c r="BE433" s="403">
        <f>'Portefeuille SP2'!AQ458</f>
        <v>0</v>
      </c>
      <c r="BF433" s="403">
        <f>'Portefeuille SP2'!AR458</f>
        <v>0</v>
      </c>
      <c r="BG433" s="403" t="e">
        <f>'Portefeuille SP2'!#REF!</f>
        <v>#REF!</v>
      </c>
      <c r="BH433" s="403" t="e">
        <f>'Portefeuille SP2'!#REF!</f>
        <v>#REF!</v>
      </c>
      <c r="BI433" s="403" t="e">
        <f>'Portefeuille SP2'!#REF!</f>
        <v>#REF!</v>
      </c>
      <c r="BJ433" s="403" t="e">
        <f>'Portefeuille SP2'!#REF!</f>
        <v>#REF!</v>
      </c>
      <c r="BK433" s="403" t="e">
        <f>'Portefeuille SP2'!#REF!</f>
        <v>#REF!</v>
      </c>
      <c r="BL433" s="388"/>
      <c r="BM433" s="404">
        <f>'Portefeuille SP2'!L458</f>
        <v>0</v>
      </c>
    </row>
    <row r="434" spans="1:65" ht="15" customHeight="1">
      <c r="A434" s="383">
        <f>'Portefeuille SP2'!B459</f>
        <v>0</v>
      </c>
      <c r="B434" s="390">
        <f>'Portefeuille SP2'!Q459</f>
        <v>0</v>
      </c>
      <c r="C434" s="384"/>
      <c r="D434" s="382">
        <f>'Portefeuille SP2'!E459</f>
        <v>0</v>
      </c>
      <c r="E434" s="382" t="str">
        <f t="shared" si="33"/>
        <v>0</v>
      </c>
      <c r="F434" s="382" t="str">
        <f t="shared" si="34"/>
        <v/>
      </c>
      <c r="G434" s="382">
        <f>'Portefeuille SP2'!C459</f>
        <v>0</v>
      </c>
      <c r="H434" s="382">
        <f>'Portefeuille SP2'!F459</f>
        <v>0</v>
      </c>
      <c r="I434" s="382"/>
      <c r="J434" s="382">
        <f>'Portefeuille SP2'!D459</f>
        <v>0</v>
      </c>
      <c r="K434" s="385">
        <f>'Portefeuille SP2'!H459</f>
        <v>0</v>
      </c>
      <c r="L434" s="157">
        <f>'Portefeuille SP2'!U459</f>
        <v>0</v>
      </c>
      <c r="M434" s="386"/>
      <c r="N434" s="386"/>
      <c r="O434" s="386"/>
      <c r="P434" s="387">
        <f>'Portefeuille SP2'!M459</f>
        <v>0</v>
      </c>
      <c r="Q434" s="387"/>
      <c r="R434" s="387">
        <f>'Portefeuille SP2'!N459</f>
        <v>0</v>
      </c>
      <c r="S434" s="387"/>
      <c r="T434" s="382">
        <f>'Portefeuille SP2'!R459</f>
        <v>0</v>
      </c>
      <c r="U434" s="387">
        <f>'Portefeuille SP2'!K459</f>
        <v>0</v>
      </c>
      <c r="V434" s="399">
        <f>'Portefeuille SP2'!S459</f>
        <v>0</v>
      </c>
      <c r="W434" s="387"/>
      <c r="X434" s="387"/>
      <c r="Y434" s="387"/>
      <c r="Z434" s="387"/>
      <c r="AA434" s="387"/>
      <c r="AB434" s="387"/>
      <c r="AC434" s="387"/>
      <c r="AD434" s="387"/>
      <c r="AE434" s="400">
        <f>'Portefeuille SP2'!J459</f>
        <v>0</v>
      </c>
      <c r="AF434" s="387"/>
      <c r="AG434" s="387"/>
      <c r="AH434" s="389"/>
      <c r="AI434" s="389"/>
      <c r="AJ434" s="403">
        <f>'Portefeuille SP2'!V459</f>
        <v>0</v>
      </c>
      <c r="AK434" s="403">
        <f>'Portefeuille SP2'!W459</f>
        <v>0</v>
      </c>
      <c r="AL434" s="403">
        <f>'Portefeuille SP2'!X459</f>
        <v>0</v>
      </c>
      <c r="AM434" s="403">
        <f>'Portefeuille SP2'!Y459</f>
        <v>0</v>
      </c>
      <c r="AN434" s="403">
        <f>'Portefeuille SP2'!Z459</f>
        <v>0</v>
      </c>
      <c r="AO434" s="403">
        <f>'Portefeuille SP2'!AA459</f>
        <v>0</v>
      </c>
      <c r="AP434" s="403">
        <f>'Portefeuille SP2'!AB459</f>
        <v>0</v>
      </c>
      <c r="AQ434" s="403">
        <f>'Portefeuille SP2'!AC459</f>
        <v>0</v>
      </c>
      <c r="AR434" s="403">
        <f>'Portefeuille SP2'!AD459</f>
        <v>0</v>
      </c>
      <c r="AS434" s="403">
        <f>'Portefeuille SP2'!AE459</f>
        <v>0</v>
      </c>
      <c r="AT434" s="403">
        <f>'Portefeuille SP2'!AF459</f>
        <v>0</v>
      </c>
      <c r="AU434" s="403">
        <f>'Portefeuille SP2'!AG459</f>
        <v>0</v>
      </c>
      <c r="AV434" s="403">
        <f>'Portefeuille SP2'!AH459</f>
        <v>0</v>
      </c>
      <c r="AW434" s="403">
        <f>'Portefeuille SP2'!AI459</f>
        <v>0</v>
      </c>
      <c r="AX434" s="403">
        <f>'Portefeuille SP2'!AJ459</f>
        <v>0</v>
      </c>
      <c r="AY434" s="403">
        <f>'Portefeuille SP2'!AK459</f>
        <v>0</v>
      </c>
      <c r="AZ434" s="403">
        <f>'Portefeuille SP2'!AL459</f>
        <v>0</v>
      </c>
      <c r="BA434" s="403">
        <f>'Portefeuille SP2'!AM459</f>
        <v>0</v>
      </c>
      <c r="BB434" s="403">
        <f>'Portefeuille SP2'!AN459</f>
        <v>0</v>
      </c>
      <c r="BC434" s="403">
        <f>'Portefeuille SP2'!AO459</f>
        <v>0</v>
      </c>
      <c r="BD434" s="403">
        <f>'Portefeuille SP2'!AP459</f>
        <v>0</v>
      </c>
      <c r="BE434" s="403">
        <f>'Portefeuille SP2'!AQ459</f>
        <v>0</v>
      </c>
      <c r="BF434" s="403">
        <f>'Portefeuille SP2'!AR459</f>
        <v>0</v>
      </c>
      <c r="BG434" s="403" t="e">
        <f>'Portefeuille SP2'!#REF!</f>
        <v>#REF!</v>
      </c>
      <c r="BH434" s="403" t="e">
        <f>'Portefeuille SP2'!#REF!</f>
        <v>#REF!</v>
      </c>
      <c r="BI434" s="403" t="e">
        <f>'Portefeuille SP2'!#REF!</f>
        <v>#REF!</v>
      </c>
      <c r="BJ434" s="403" t="e">
        <f>'Portefeuille SP2'!#REF!</f>
        <v>#REF!</v>
      </c>
      <c r="BK434" s="403" t="e">
        <f>'Portefeuille SP2'!#REF!</f>
        <v>#REF!</v>
      </c>
      <c r="BL434" s="388"/>
      <c r="BM434" s="404">
        <f>'Portefeuille SP2'!L459</f>
        <v>0</v>
      </c>
    </row>
    <row r="435" spans="1:65" ht="15" customHeight="1">
      <c r="A435" s="383">
        <f>'Portefeuille SP2'!B460</f>
        <v>0</v>
      </c>
      <c r="B435" s="390">
        <f>'Portefeuille SP2'!Q460</f>
        <v>0</v>
      </c>
      <c r="C435" s="384"/>
      <c r="D435" s="382">
        <f>'Portefeuille SP2'!E460</f>
        <v>0</v>
      </c>
      <c r="E435" s="382" t="str">
        <f t="shared" si="33"/>
        <v>0</v>
      </c>
      <c r="F435" s="382" t="str">
        <f t="shared" si="34"/>
        <v/>
      </c>
      <c r="G435" s="382">
        <f>'Portefeuille SP2'!C460</f>
        <v>0</v>
      </c>
      <c r="H435" s="382">
        <f>'Portefeuille SP2'!F460</f>
        <v>0</v>
      </c>
      <c r="I435" s="382"/>
      <c r="J435" s="382">
        <f>'Portefeuille SP2'!D460</f>
        <v>0</v>
      </c>
      <c r="K435" s="385">
        <f>'Portefeuille SP2'!H460</f>
        <v>0</v>
      </c>
      <c r="L435" s="157">
        <f>'Portefeuille SP2'!U460</f>
        <v>0</v>
      </c>
      <c r="M435" s="386"/>
      <c r="N435" s="386"/>
      <c r="O435" s="386"/>
      <c r="P435" s="387">
        <f>'Portefeuille SP2'!M460</f>
        <v>0</v>
      </c>
      <c r="Q435" s="387"/>
      <c r="R435" s="387">
        <f>'Portefeuille SP2'!N460</f>
        <v>0</v>
      </c>
      <c r="S435" s="387"/>
      <c r="T435" s="382">
        <f>'Portefeuille SP2'!R460</f>
        <v>0</v>
      </c>
      <c r="U435" s="387">
        <f>'Portefeuille SP2'!K460</f>
        <v>0</v>
      </c>
      <c r="V435" s="399">
        <f>'Portefeuille SP2'!S460</f>
        <v>0</v>
      </c>
      <c r="W435" s="387"/>
      <c r="X435" s="387"/>
      <c r="Y435" s="387"/>
      <c r="Z435" s="387"/>
      <c r="AA435" s="387"/>
      <c r="AB435" s="387"/>
      <c r="AC435" s="387"/>
      <c r="AD435" s="387"/>
      <c r="AE435" s="400">
        <f>'Portefeuille SP2'!J460</f>
        <v>0</v>
      </c>
      <c r="AF435" s="387"/>
      <c r="AG435" s="387"/>
      <c r="AH435" s="389"/>
      <c r="AI435" s="389"/>
      <c r="AJ435" s="403">
        <f>'Portefeuille SP2'!V460</f>
        <v>0</v>
      </c>
      <c r="AK435" s="403">
        <f>'Portefeuille SP2'!W460</f>
        <v>0</v>
      </c>
      <c r="AL435" s="403">
        <f>'Portefeuille SP2'!X460</f>
        <v>0</v>
      </c>
      <c r="AM435" s="403">
        <f>'Portefeuille SP2'!Y460</f>
        <v>0</v>
      </c>
      <c r="AN435" s="403">
        <f>'Portefeuille SP2'!Z460</f>
        <v>0</v>
      </c>
      <c r="AO435" s="403">
        <f>'Portefeuille SP2'!AA460</f>
        <v>0</v>
      </c>
      <c r="AP435" s="403">
        <f>'Portefeuille SP2'!AB460</f>
        <v>0</v>
      </c>
      <c r="AQ435" s="403">
        <f>'Portefeuille SP2'!AC460</f>
        <v>0</v>
      </c>
      <c r="AR435" s="403">
        <f>'Portefeuille SP2'!AD460</f>
        <v>0</v>
      </c>
      <c r="AS435" s="403">
        <f>'Portefeuille SP2'!AE460</f>
        <v>0</v>
      </c>
      <c r="AT435" s="403">
        <f>'Portefeuille SP2'!AF460</f>
        <v>0</v>
      </c>
      <c r="AU435" s="403">
        <f>'Portefeuille SP2'!AG460</f>
        <v>0</v>
      </c>
      <c r="AV435" s="403">
        <f>'Portefeuille SP2'!AH460</f>
        <v>0</v>
      </c>
      <c r="AW435" s="403">
        <f>'Portefeuille SP2'!AI460</f>
        <v>0</v>
      </c>
      <c r="AX435" s="403">
        <f>'Portefeuille SP2'!AJ460</f>
        <v>0</v>
      </c>
      <c r="AY435" s="403">
        <f>'Portefeuille SP2'!AK460</f>
        <v>0</v>
      </c>
      <c r="AZ435" s="403">
        <f>'Portefeuille SP2'!AL460</f>
        <v>0</v>
      </c>
      <c r="BA435" s="403">
        <f>'Portefeuille SP2'!AM460</f>
        <v>0</v>
      </c>
      <c r="BB435" s="403">
        <f>'Portefeuille SP2'!AN460</f>
        <v>0</v>
      </c>
      <c r="BC435" s="403">
        <f>'Portefeuille SP2'!AO460</f>
        <v>0</v>
      </c>
      <c r="BD435" s="403">
        <f>'Portefeuille SP2'!AP460</f>
        <v>0</v>
      </c>
      <c r="BE435" s="403">
        <f>'Portefeuille SP2'!AQ460</f>
        <v>0</v>
      </c>
      <c r="BF435" s="403">
        <f>'Portefeuille SP2'!AR460</f>
        <v>0</v>
      </c>
      <c r="BG435" s="403" t="e">
        <f>'Portefeuille SP2'!#REF!</f>
        <v>#REF!</v>
      </c>
      <c r="BH435" s="403" t="e">
        <f>'Portefeuille SP2'!#REF!</f>
        <v>#REF!</v>
      </c>
      <c r="BI435" s="403" t="e">
        <f>'Portefeuille SP2'!#REF!</f>
        <v>#REF!</v>
      </c>
      <c r="BJ435" s="403" t="e">
        <f>'Portefeuille SP2'!#REF!</f>
        <v>#REF!</v>
      </c>
      <c r="BK435" s="403" t="e">
        <f>'Portefeuille SP2'!#REF!</f>
        <v>#REF!</v>
      </c>
      <c r="BL435" s="388"/>
      <c r="BM435" s="404">
        <f>'Portefeuille SP2'!L460</f>
        <v>0</v>
      </c>
    </row>
    <row r="436" spans="1:65" ht="15" customHeight="1">
      <c r="A436" s="383">
        <f>'Portefeuille SP2'!B461</f>
        <v>0</v>
      </c>
      <c r="B436" s="390">
        <f>'Portefeuille SP2'!Q461</f>
        <v>0</v>
      </c>
      <c r="C436" s="384"/>
      <c r="D436" s="382">
        <f>'Portefeuille SP2'!E461</f>
        <v>0</v>
      </c>
      <c r="E436" s="382" t="str">
        <f t="shared" si="33"/>
        <v>0</v>
      </c>
      <c r="F436" s="382" t="str">
        <f t="shared" si="34"/>
        <v/>
      </c>
      <c r="G436" s="382">
        <f>'Portefeuille SP2'!C461</f>
        <v>0</v>
      </c>
      <c r="H436" s="382">
        <f>'Portefeuille SP2'!F461</f>
        <v>0</v>
      </c>
      <c r="I436" s="382"/>
      <c r="J436" s="382">
        <f>'Portefeuille SP2'!D461</f>
        <v>0</v>
      </c>
      <c r="K436" s="385">
        <f>'Portefeuille SP2'!H461</f>
        <v>0</v>
      </c>
      <c r="L436" s="157">
        <f>'Portefeuille SP2'!U461</f>
        <v>0</v>
      </c>
      <c r="M436" s="386"/>
      <c r="N436" s="386"/>
      <c r="O436" s="386"/>
      <c r="P436" s="387">
        <f>'Portefeuille SP2'!M461</f>
        <v>0</v>
      </c>
      <c r="Q436" s="387"/>
      <c r="R436" s="387">
        <f>'Portefeuille SP2'!N461</f>
        <v>0</v>
      </c>
      <c r="S436" s="387"/>
      <c r="T436" s="382">
        <f>'Portefeuille SP2'!R461</f>
        <v>0</v>
      </c>
      <c r="U436" s="387">
        <f>'Portefeuille SP2'!K461</f>
        <v>0</v>
      </c>
      <c r="V436" s="399">
        <f>'Portefeuille SP2'!S461</f>
        <v>0</v>
      </c>
      <c r="W436" s="387"/>
      <c r="X436" s="387"/>
      <c r="Y436" s="387"/>
      <c r="Z436" s="387"/>
      <c r="AA436" s="387"/>
      <c r="AB436" s="387"/>
      <c r="AC436" s="387"/>
      <c r="AD436" s="387"/>
      <c r="AE436" s="400">
        <f>'Portefeuille SP2'!J461</f>
        <v>0</v>
      </c>
      <c r="AF436" s="387"/>
      <c r="AG436" s="387"/>
      <c r="AH436" s="389"/>
      <c r="AI436" s="389"/>
      <c r="AJ436" s="403">
        <f>'Portefeuille SP2'!V461</f>
        <v>0</v>
      </c>
      <c r="AK436" s="403">
        <f>'Portefeuille SP2'!W461</f>
        <v>0</v>
      </c>
      <c r="AL436" s="403">
        <f>'Portefeuille SP2'!X461</f>
        <v>0</v>
      </c>
      <c r="AM436" s="403">
        <f>'Portefeuille SP2'!Y461</f>
        <v>0</v>
      </c>
      <c r="AN436" s="403">
        <f>'Portefeuille SP2'!Z461</f>
        <v>0</v>
      </c>
      <c r="AO436" s="403">
        <f>'Portefeuille SP2'!AA461</f>
        <v>0</v>
      </c>
      <c r="AP436" s="403">
        <f>'Portefeuille SP2'!AB461</f>
        <v>0</v>
      </c>
      <c r="AQ436" s="403">
        <f>'Portefeuille SP2'!AC461</f>
        <v>0</v>
      </c>
      <c r="AR436" s="403">
        <f>'Portefeuille SP2'!AD461</f>
        <v>0</v>
      </c>
      <c r="AS436" s="403">
        <f>'Portefeuille SP2'!AE461</f>
        <v>0</v>
      </c>
      <c r="AT436" s="403">
        <f>'Portefeuille SP2'!AF461</f>
        <v>0</v>
      </c>
      <c r="AU436" s="403">
        <f>'Portefeuille SP2'!AG461</f>
        <v>0</v>
      </c>
      <c r="AV436" s="403">
        <f>'Portefeuille SP2'!AH461</f>
        <v>0</v>
      </c>
      <c r="AW436" s="403">
        <f>'Portefeuille SP2'!AI461</f>
        <v>0</v>
      </c>
      <c r="AX436" s="403">
        <f>'Portefeuille SP2'!AJ461</f>
        <v>0</v>
      </c>
      <c r="AY436" s="403">
        <f>'Portefeuille SP2'!AK461</f>
        <v>0</v>
      </c>
      <c r="AZ436" s="403">
        <f>'Portefeuille SP2'!AL461</f>
        <v>0</v>
      </c>
      <c r="BA436" s="403">
        <f>'Portefeuille SP2'!AM461</f>
        <v>0</v>
      </c>
      <c r="BB436" s="403">
        <f>'Portefeuille SP2'!AN461</f>
        <v>0</v>
      </c>
      <c r="BC436" s="403">
        <f>'Portefeuille SP2'!AO461</f>
        <v>0</v>
      </c>
      <c r="BD436" s="403">
        <f>'Portefeuille SP2'!AP461</f>
        <v>0</v>
      </c>
      <c r="BE436" s="403">
        <f>'Portefeuille SP2'!AQ461</f>
        <v>0</v>
      </c>
      <c r="BF436" s="403">
        <f>'Portefeuille SP2'!AR461</f>
        <v>0</v>
      </c>
      <c r="BG436" s="403" t="e">
        <f>'Portefeuille SP2'!#REF!</f>
        <v>#REF!</v>
      </c>
      <c r="BH436" s="403" t="e">
        <f>'Portefeuille SP2'!#REF!</f>
        <v>#REF!</v>
      </c>
      <c r="BI436" s="403" t="e">
        <f>'Portefeuille SP2'!#REF!</f>
        <v>#REF!</v>
      </c>
      <c r="BJ436" s="403" t="e">
        <f>'Portefeuille SP2'!#REF!</f>
        <v>#REF!</v>
      </c>
      <c r="BK436" s="403" t="e">
        <f>'Portefeuille SP2'!#REF!</f>
        <v>#REF!</v>
      </c>
      <c r="BL436" s="388"/>
      <c r="BM436" s="404">
        <f>'Portefeuille SP2'!L461</f>
        <v>0</v>
      </c>
    </row>
    <row r="437" spans="1:65" ht="15" customHeight="1">
      <c r="A437" s="383">
        <f>'Portefeuille SP2'!B462</f>
        <v>0</v>
      </c>
      <c r="B437" s="390">
        <f>'Portefeuille SP2'!Q462</f>
        <v>0</v>
      </c>
      <c r="C437" s="384"/>
      <c r="D437" s="382">
        <f>'Portefeuille SP2'!E462</f>
        <v>0</v>
      </c>
      <c r="E437" s="382" t="str">
        <f t="shared" si="33"/>
        <v>0</v>
      </c>
      <c r="F437" s="382" t="str">
        <f t="shared" si="34"/>
        <v/>
      </c>
      <c r="G437" s="382">
        <f>'Portefeuille SP2'!C462</f>
        <v>0</v>
      </c>
      <c r="H437" s="382">
        <f>'Portefeuille SP2'!F462</f>
        <v>0</v>
      </c>
      <c r="I437" s="382"/>
      <c r="J437" s="382">
        <f>'Portefeuille SP2'!D462</f>
        <v>0</v>
      </c>
      <c r="K437" s="385">
        <f>'Portefeuille SP2'!H462</f>
        <v>0</v>
      </c>
      <c r="L437" s="157">
        <f>'Portefeuille SP2'!U462</f>
        <v>0</v>
      </c>
      <c r="M437" s="386"/>
      <c r="N437" s="386"/>
      <c r="O437" s="386"/>
      <c r="P437" s="387">
        <f>'Portefeuille SP2'!M462</f>
        <v>0</v>
      </c>
      <c r="Q437" s="387"/>
      <c r="R437" s="387">
        <f>'Portefeuille SP2'!N462</f>
        <v>0</v>
      </c>
      <c r="S437" s="387"/>
      <c r="T437" s="382">
        <f>'Portefeuille SP2'!R462</f>
        <v>0</v>
      </c>
      <c r="U437" s="387">
        <f>'Portefeuille SP2'!K462</f>
        <v>0</v>
      </c>
      <c r="V437" s="399">
        <f>'Portefeuille SP2'!S462</f>
        <v>0</v>
      </c>
      <c r="W437" s="387"/>
      <c r="X437" s="387"/>
      <c r="Y437" s="387"/>
      <c r="Z437" s="387"/>
      <c r="AA437" s="387"/>
      <c r="AB437" s="387"/>
      <c r="AC437" s="387"/>
      <c r="AD437" s="387"/>
      <c r="AE437" s="400">
        <f>'Portefeuille SP2'!J462</f>
        <v>0</v>
      </c>
      <c r="AF437" s="387"/>
      <c r="AG437" s="387"/>
      <c r="AH437" s="389"/>
      <c r="AI437" s="389"/>
      <c r="AJ437" s="403">
        <f>'Portefeuille SP2'!V462</f>
        <v>0</v>
      </c>
      <c r="AK437" s="403">
        <f>'Portefeuille SP2'!W462</f>
        <v>0</v>
      </c>
      <c r="AL437" s="403">
        <f>'Portefeuille SP2'!X462</f>
        <v>0</v>
      </c>
      <c r="AM437" s="403">
        <f>'Portefeuille SP2'!Y462</f>
        <v>0</v>
      </c>
      <c r="AN437" s="403">
        <f>'Portefeuille SP2'!Z462</f>
        <v>0</v>
      </c>
      <c r="AO437" s="403">
        <f>'Portefeuille SP2'!AA462</f>
        <v>0</v>
      </c>
      <c r="AP437" s="403">
        <f>'Portefeuille SP2'!AB462</f>
        <v>0</v>
      </c>
      <c r="AQ437" s="403">
        <f>'Portefeuille SP2'!AC462</f>
        <v>0</v>
      </c>
      <c r="AR437" s="403">
        <f>'Portefeuille SP2'!AD462</f>
        <v>0</v>
      </c>
      <c r="AS437" s="403">
        <f>'Portefeuille SP2'!AE462</f>
        <v>0</v>
      </c>
      <c r="AT437" s="403">
        <f>'Portefeuille SP2'!AF462</f>
        <v>0</v>
      </c>
      <c r="AU437" s="403">
        <f>'Portefeuille SP2'!AG462</f>
        <v>0</v>
      </c>
      <c r="AV437" s="403">
        <f>'Portefeuille SP2'!AH462</f>
        <v>0</v>
      </c>
      <c r="AW437" s="403">
        <f>'Portefeuille SP2'!AI462</f>
        <v>0</v>
      </c>
      <c r="AX437" s="403">
        <f>'Portefeuille SP2'!AJ462</f>
        <v>0</v>
      </c>
      <c r="AY437" s="403">
        <f>'Portefeuille SP2'!AK462</f>
        <v>0</v>
      </c>
      <c r="AZ437" s="403">
        <f>'Portefeuille SP2'!AL462</f>
        <v>0</v>
      </c>
      <c r="BA437" s="403">
        <f>'Portefeuille SP2'!AM462</f>
        <v>0</v>
      </c>
      <c r="BB437" s="403">
        <f>'Portefeuille SP2'!AN462</f>
        <v>0</v>
      </c>
      <c r="BC437" s="403">
        <f>'Portefeuille SP2'!AO462</f>
        <v>0</v>
      </c>
      <c r="BD437" s="403">
        <f>'Portefeuille SP2'!AP462</f>
        <v>0</v>
      </c>
      <c r="BE437" s="403">
        <f>'Portefeuille SP2'!AQ462</f>
        <v>0</v>
      </c>
      <c r="BF437" s="403">
        <f>'Portefeuille SP2'!AR462</f>
        <v>0</v>
      </c>
      <c r="BG437" s="403" t="e">
        <f>'Portefeuille SP2'!#REF!</f>
        <v>#REF!</v>
      </c>
      <c r="BH437" s="403" t="e">
        <f>'Portefeuille SP2'!#REF!</f>
        <v>#REF!</v>
      </c>
      <c r="BI437" s="403" t="e">
        <f>'Portefeuille SP2'!#REF!</f>
        <v>#REF!</v>
      </c>
      <c r="BJ437" s="403" t="e">
        <f>'Portefeuille SP2'!#REF!</f>
        <v>#REF!</v>
      </c>
      <c r="BK437" s="403" t="e">
        <f>'Portefeuille SP2'!#REF!</f>
        <v>#REF!</v>
      </c>
      <c r="BL437" s="388"/>
      <c r="BM437" s="404">
        <f>'Portefeuille SP2'!L462</f>
        <v>0</v>
      </c>
    </row>
    <row r="438" spans="1:65" ht="15" customHeight="1">
      <c r="A438" s="383">
        <f>'Portefeuille SP2'!B463</f>
        <v>0</v>
      </c>
      <c r="B438" s="390">
        <f>'Portefeuille SP2'!Q463</f>
        <v>0</v>
      </c>
      <c r="C438" s="384"/>
      <c r="D438" s="382">
        <f>'Portefeuille SP2'!E463</f>
        <v>0</v>
      </c>
      <c r="E438" s="382" t="str">
        <f t="shared" si="33"/>
        <v>0</v>
      </c>
      <c r="F438" s="382" t="str">
        <f t="shared" si="34"/>
        <v/>
      </c>
      <c r="G438" s="382">
        <f>'Portefeuille SP2'!C463</f>
        <v>0</v>
      </c>
      <c r="H438" s="382">
        <f>'Portefeuille SP2'!F463</f>
        <v>0</v>
      </c>
      <c r="I438" s="382"/>
      <c r="J438" s="382">
        <f>'Portefeuille SP2'!D463</f>
        <v>0</v>
      </c>
      <c r="K438" s="385">
        <f>'Portefeuille SP2'!H463</f>
        <v>0</v>
      </c>
      <c r="L438" s="157">
        <f>'Portefeuille SP2'!U463</f>
        <v>0</v>
      </c>
      <c r="M438" s="386"/>
      <c r="N438" s="386"/>
      <c r="O438" s="386"/>
      <c r="P438" s="387">
        <f>'Portefeuille SP2'!M463</f>
        <v>0</v>
      </c>
      <c r="Q438" s="387"/>
      <c r="R438" s="387">
        <f>'Portefeuille SP2'!N463</f>
        <v>0</v>
      </c>
      <c r="S438" s="387"/>
      <c r="T438" s="382">
        <f>'Portefeuille SP2'!R463</f>
        <v>0</v>
      </c>
      <c r="U438" s="387">
        <f>'Portefeuille SP2'!K463</f>
        <v>0</v>
      </c>
      <c r="V438" s="399">
        <f>'Portefeuille SP2'!S463</f>
        <v>0</v>
      </c>
      <c r="W438" s="387"/>
      <c r="X438" s="387"/>
      <c r="Y438" s="387"/>
      <c r="Z438" s="387"/>
      <c r="AA438" s="387"/>
      <c r="AB438" s="387"/>
      <c r="AC438" s="387"/>
      <c r="AD438" s="387"/>
      <c r="AE438" s="400">
        <f>'Portefeuille SP2'!J463</f>
        <v>0</v>
      </c>
      <c r="AF438" s="387"/>
      <c r="AG438" s="387"/>
      <c r="AH438" s="389"/>
      <c r="AI438" s="389"/>
      <c r="AJ438" s="403">
        <f>'Portefeuille SP2'!V463</f>
        <v>0</v>
      </c>
      <c r="AK438" s="403">
        <f>'Portefeuille SP2'!W463</f>
        <v>0</v>
      </c>
      <c r="AL438" s="403">
        <f>'Portefeuille SP2'!X463</f>
        <v>0</v>
      </c>
      <c r="AM438" s="403">
        <f>'Portefeuille SP2'!Y463</f>
        <v>0</v>
      </c>
      <c r="AN438" s="403">
        <f>'Portefeuille SP2'!Z463</f>
        <v>0</v>
      </c>
      <c r="AO438" s="403">
        <f>'Portefeuille SP2'!AA463</f>
        <v>0</v>
      </c>
      <c r="AP438" s="403">
        <f>'Portefeuille SP2'!AB463</f>
        <v>0</v>
      </c>
      <c r="AQ438" s="403">
        <f>'Portefeuille SP2'!AC463</f>
        <v>0</v>
      </c>
      <c r="AR438" s="403">
        <f>'Portefeuille SP2'!AD463</f>
        <v>0</v>
      </c>
      <c r="AS438" s="403">
        <f>'Portefeuille SP2'!AE463</f>
        <v>0</v>
      </c>
      <c r="AT438" s="403">
        <f>'Portefeuille SP2'!AF463</f>
        <v>0</v>
      </c>
      <c r="AU438" s="403">
        <f>'Portefeuille SP2'!AG463</f>
        <v>0</v>
      </c>
      <c r="AV438" s="403">
        <f>'Portefeuille SP2'!AH463</f>
        <v>0</v>
      </c>
      <c r="AW438" s="403">
        <f>'Portefeuille SP2'!AI463</f>
        <v>0</v>
      </c>
      <c r="AX438" s="403">
        <f>'Portefeuille SP2'!AJ463</f>
        <v>0</v>
      </c>
      <c r="AY438" s="403">
        <f>'Portefeuille SP2'!AK463</f>
        <v>0</v>
      </c>
      <c r="AZ438" s="403">
        <f>'Portefeuille SP2'!AL463</f>
        <v>0</v>
      </c>
      <c r="BA438" s="403">
        <f>'Portefeuille SP2'!AM463</f>
        <v>0</v>
      </c>
      <c r="BB438" s="403">
        <f>'Portefeuille SP2'!AN463</f>
        <v>0</v>
      </c>
      <c r="BC438" s="403">
        <f>'Portefeuille SP2'!AO463</f>
        <v>0</v>
      </c>
      <c r="BD438" s="403">
        <f>'Portefeuille SP2'!AP463</f>
        <v>0</v>
      </c>
      <c r="BE438" s="403">
        <f>'Portefeuille SP2'!AQ463</f>
        <v>0</v>
      </c>
      <c r="BF438" s="403">
        <f>'Portefeuille SP2'!AR463</f>
        <v>0</v>
      </c>
      <c r="BG438" s="403" t="e">
        <f>'Portefeuille SP2'!#REF!</f>
        <v>#REF!</v>
      </c>
      <c r="BH438" s="403" t="e">
        <f>'Portefeuille SP2'!#REF!</f>
        <v>#REF!</v>
      </c>
      <c r="BI438" s="403" t="e">
        <f>'Portefeuille SP2'!#REF!</f>
        <v>#REF!</v>
      </c>
      <c r="BJ438" s="403" t="e">
        <f>'Portefeuille SP2'!#REF!</f>
        <v>#REF!</v>
      </c>
      <c r="BK438" s="403" t="e">
        <f>'Portefeuille SP2'!#REF!</f>
        <v>#REF!</v>
      </c>
      <c r="BL438" s="388"/>
      <c r="BM438" s="404">
        <f>'Portefeuille SP2'!L463</f>
        <v>0</v>
      </c>
    </row>
    <row r="439" spans="1:65" ht="15" customHeight="1">
      <c r="A439" s="383">
        <f>'Portefeuille SP2'!B464</f>
        <v>0</v>
      </c>
      <c r="B439" s="390">
        <f>'Portefeuille SP2'!Q464</f>
        <v>0</v>
      </c>
      <c r="C439" s="384"/>
      <c r="D439" s="382">
        <f>'Portefeuille SP2'!E464</f>
        <v>0</v>
      </c>
      <c r="E439" s="382" t="str">
        <f t="shared" si="33"/>
        <v>0</v>
      </c>
      <c r="F439" s="382" t="str">
        <f t="shared" si="34"/>
        <v/>
      </c>
      <c r="G439" s="382">
        <f>'Portefeuille SP2'!C464</f>
        <v>0</v>
      </c>
      <c r="H439" s="382">
        <f>'Portefeuille SP2'!F464</f>
        <v>0</v>
      </c>
      <c r="I439" s="382"/>
      <c r="J439" s="382">
        <f>'Portefeuille SP2'!D464</f>
        <v>0</v>
      </c>
      <c r="K439" s="385">
        <f>'Portefeuille SP2'!H464</f>
        <v>0</v>
      </c>
      <c r="L439" s="157">
        <f>'Portefeuille SP2'!U464</f>
        <v>0</v>
      </c>
      <c r="M439" s="386"/>
      <c r="N439" s="386"/>
      <c r="O439" s="386"/>
      <c r="P439" s="387">
        <f>'Portefeuille SP2'!M464</f>
        <v>0</v>
      </c>
      <c r="Q439" s="387"/>
      <c r="R439" s="387">
        <f>'Portefeuille SP2'!N464</f>
        <v>0</v>
      </c>
      <c r="S439" s="387"/>
      <c r="T439" s="382">
        <f>'Portefeuille SP2'!R464</f>
        <v>0</v>
      </c>
      <c r="U439" s="387">
        <f>'Portefeuille SP2'!K464</f>
        <v>0</v>
      </c>
      <c r="V439" s="399">
        <f>'Portefeuille SP2'!S464</f>
        <v>0</v>
      </c>
      <c r="W439" s="387"/>
      <c r="X439" s="387"/>
      <c r="Y439" s="387"/>
      <c r="Z439" s="387"/>
      <c r="AA439" s="387"/>
      <c r="AB439" s="387"/>
      <c r="AC439" s="387"/>
      <c r="AD439" s="387"/>
      <c r="AE439" s="400">
        <f>'Portefeuille SP2'!J464</f>
        <v>0</v>
      </c>
      <c r="AF439" s="387"/>
      <c r="AG439" s="387"/>
      <c r="AH439" s="389"/>
      <c r="AI439" s="389"/>
      <c r="AJ439" s="403">
        <f>'Portefeuille SP2'!V464</f>
        <v>0</v>
      </c>
      <c r="AK439" s="403">
        <f>'Portefeuille SP2'!W464</f>
        <v>0</v>
      </c>
      <c r="AL439" s="403">
        <f>'Portefeuille SP2'!X464</f>
        <v>0</v>
      </c>
      <c r="AM439" s="403">
        <f>'Portefeuille SP2'!Y464</f>
        <v>0</v>
      </c>
      <c r="AN439" s="403">
        <f>'Portefeuille SP2'!Z464</f>
        <v>0</v>
      </c>
      <c r="AO439" s="403">
        <f>'Portefeuille SP2'!AA464</f>
        <v>0</v>
      </c>
      <c r="AP439" s="403">
        <f>'Portefeuille SP2'!AB464</f>
        <v>0</v>
      </c>
      <c r="AQ439" s="403">
        <f>'Portefeuille SP2'!AC464</f>
        <v>0</v>
      </c>
      <c r="AR439" s="403">
        <f>'Portefeuille SP2'!AD464</f>
        <v>0</v>
      </c>
      <c r="AS439" s="403">
        <f>'Portefeuille SP2'!AE464</f>
        <v>0</v>
      </c>
      <c r="AT439" s="403">
        <f>'Portefeuille SP2'!AF464</f>
        <v>0</v>
      </c>
      <c r="AU439" s="403">
        <f>'Portefeuille SP2'!AG464</f>
        <v>0</v>
      </c>
      <c r="AV439" s="403">
        <f>'Portefeuille SP2'!AH464</f>
        <v>0</v>
      </c>
      <c r="AW439" s="403">
        <f>'Portefeuille SP2'!AI464</f>
        <v>0</v>
      </c>
      <c r="AX439" s="403">
        <f>'Portefeuille SP2'!AJ464</f>
        <v>0</v>
      </c>
      <c r="AY439" s="403">
        <f>'Portefeuille SP2'!AK464</f>
        <v>0</v>
      </c>
      <c r="AZ439" s="403">
        <f>'Portefeuille SP2'!AL464</f>
        <v>0</v>
      </c>
      <c r="BA439" s="403">
        <f>'Portefeuille SP2'!AM464</f>
        <v>0</v>
      </c>
      <c r="BB439" s="403">
        <f>'Portefeuille SP2'!AN464</f>
        <v>0</v>
      </c>
      <c r="BC439" s="403">
        <f>'Portefeuille SP2'!AO464</f>
        <v>0</v>
      </c>
      <c r="BD439" s="403">
        <f>'Portefeuille SP2'!AP464</f>
        <v>0</v>
      </c>
      <c r="BE439" s="403">
        <f>'Portefeuille SP2'!AQ464</f>
        <v>0</v>
      </c>
      <c r="BF439" s="403">
        <f>'Portefeuille SP2'!AR464</f>
        <v>0</v>
      </c>
      <c r="BG439" s="403" t="e">
        <f>'Portefeuille SP2'!#REF!</f>
        <v>#REF!</v>
      </c>
      <c r="BH439" s="403" t="e">
        <f>'Portefeuille SP2'!#REF!</f>
        <v>#REF!</v>
      </c>
      <c r="BI439" s="403" t="e">
        <f>'Portefeuille SP2'!#REF!</f>
        <v>#REF!</v>
      </c>
      <c r="BJ439" s="403" t="e">
        <f>'Portefeuille SP2'!#REF!</f>
        <v>#REF!</v>
      </c>
      <c r="BK439" s="403" t="e">
        <f>'Portefeuille SP2'!#REF!</f>
        <v>#REF!</v>
      </c>
      <c r="BL439" s="388"/>
      <c r="BM439" s="404">
        <f>'Portefeuille SP2'!L464</f>
        <v>0</v>
      </c>
    </row>
    <row r="440" spans="1:65" ht="15" customHeight="1">
      <c r="A440" s="383">
        <f>'Portefeuille SP2'!B465</f>
        <v>0</v>
      </c>
      <c r="B440" s="390">
        <f>'Portefeuille SP2'!Q465</f>
        <v>0</v>
      </c>
      <c r="C440" s="384"/>
      <c r="D440" s="382">
        <f>'Portefeuille SP2'!E465</f>
        <v>0</v>
      </c>
      <c r="E440" s="382" t="str">
        <f t="shared" si="33"/>
        <v>0</v>
      </c>
      <c r="F440" s="382" t="str">
        <f t="shared" si="34"/>
        <v/>
      </c>
      <c r="G440" s="382">
        <f>'Portefeuille SP2'!C465</f>
        <v>0</v>
      </c>
      <c r="H440" s="382">
        <f>'Portefeuille SP2'!F465</f>
        <v>0</v>
      </c>
      <c r="I440" s="382"/>
      <c r="J440" s="382">
        <f>'Portefeuille SP2'!D465</f>
        <v>0</v>
      </c>
      <c r="K440" s="385">
        <f>'Portefeuille SP2'!H465</f>
        <v>0</v>
      </c>
      <c r="L440" s="157">
        <f>'Portefeuille SP2'!U465</f>
        <v>0</v>
      </c>
      <c r="M440" s="386"/>
      <c r="N440" s="386"/>
      <c r="O440" s="386"/>
      <c r="P440" s="387">
        <f>'Portefeuille SP2'!M465</f>
        <v>0</v>
      </c>
      <c r="Q440" s="387"/>
      <c r="R440" s="387">
        <f>'Portefeuille SP2'!N465</f>
        <v>0</v>
      </c>
      <c r="S440" s="387"/>
      <c r="T440" s="382">
        <f>'Portefeuille SP2'!R465</f>
        <v>0</v>
      </c>
      <c r="U440" s="387">
        <f>'Portefeuille SP2'!K465</f>
        <v>0</v>
      </c>
      <c r="V440" s="399">
        <f>'Portefeuille SP2'!S465</f>
        <v>0</v>
      </c>
      <c r="W440" s="387"/>
      <c r="X440" s="387"/>
      <c r="Y440" s="387"/>
      <c r="Z440" s="387"/>
      <c r="AA440" s="387"/>
      <c r="AB440" s="387"/>
      <c r="AC440" s="387"/>
      <c r="AD440" s="387"/>
      <c r="AE440" s="400">
        <f>'Portefeuille SP2'!J465</f>
        <v>0</v>
      </c>
      <c r="AF440" s="387"/>
      <c r="AG440" s="387"/>
      <c r="AH440" s="389"/>
      <c r="AI440" s="389"/>
      <c r="AJ440" s="403">
        <f>'Portefeuille SP2'!V465</f>
        <v>0</v>
      </c>
      <c r="AK440" s="403">
        <f>'Portefeuille SP2'!W465</f>
        <v>0</v>
      </c>
      <c r="AL440" s="403">
        <f>'Portefeuille SP2'!X465</f>
        <v>0</v>
      </c>
      <c r="AM440" s="403">
        <f>'Portefeuille SP2'!Y465</f>
        <v>0</v>
      </c>
      <c r="AN440" s="403">
        <f>'Portefeuille SP2'!Z465</f>
        <v>0</v>
      </c>
      <c r="AO440" s="403">
        <f>'Portefeuille SP2'!AA465</f>
        <v>0</v>
      </c>
      <c r="AP440" s="403">
        <f>'Portefeuille SP2'!AB465</f>
        <v>0</v>
      </c>
      <c r="AQ440" s="403">
        <f>'Portefeuille SP2'!AC465</f>
        <v>0</v>
      </c>
      <c r="AR440" s="403">
        <f>'Portefeuille SP2'!AD465</f>
        <v>0</v>
      </c>
      <c r="AS440" s="403">
        <f>'Portefeuille SP2'!AE465</f>
        <v>0</v>
      </c>
      <c r="AT440" s="403">
        <f>'Portefeuille SP2'!AF465</f>
        <v>0</v>
      </c>
      <c r="AU440" s="403">
        <f>'Portefeuille SP2'!AG465</f>
        <v>0</v>
      </c>
      <c r="AV440" s="403">
        <f>'Portefeuille SP2'!AH465</f>
        <v>0</v>
      </c>
      <c r="AW440" s="403">
        <f>'Portefeuille SP2'!AI465</f>
        <v>0</v>
      </c>
      <c r="AX440" s="403">
        <f>'Portefeuille SP2'!AJ465</f>
        <v>0</v>
      </c>
      <c r="AY440" s="403">
        <f>'Portefeuille SP2'!AK465</f>
        <v>0</v>
      </c>
      <c r="AZ440" s="403">
        <f>'Portefeuille SP2'!AL465</f>
        <v>0</v>
      </c>
      <c r="BA440" s="403">
        <f>'Portefeuille SP2'!AM465</f>
        <v>0</v>
      </c>
      <c r="BB440" s="403">
        <f>'Portefeuille SP2'!AN465</f>
        <v>0</v>
      </c>
      <c r="BC440" s="403">
        <f>'Portefeuille SP2'!AO465</f>
        <v>0</v>
      </c>
      <c r="BD440" s="403">
        <f>'Portefeuille SP2'!AP465</f>
        <v>0</v>
      </c>
      <c r="BE440" s="403">
        <f>'Portefeuille SP2'!AQ465</f>
        <v>0</v>
      </c>
      <c r="BF440" s="403">
        <f>'Portefeuille SP2'!AR465</f>
        <v>0</v>
      </c>
      <c r="BG440" s="403" t="e">
        <f>'Portefeuille SP2'!#REF!</f>
        <v>#REF!</v>
      </c>
      <c r="BH440" s="403" t="e">
        <f>'Portefeuille SP2'!#REF!</f>
        <v>#REF!</v>
      </c>
      <c r="BI440" s="403" t="e">
        <f>'Portefeuille SP2'!#REF!</f>
        <v>#REF!</v>
      </c>
      <c r="BJ440" s="403" t="e">
        <f>'Portefeuille SP2'!#REF!</f>
        <v>#REF!</v>
      </c>
      <c r="BK440" s="403" t="e">
        <f>'Portefeuille SP2'!#REF!</f>
        <v>#REF!</v>
      </c>
      <c r="BL440" s="388"/>
      <c r="BM440" s="404">
        <f>'Portefeuille SP2'!L465</f>
        <v>0</v>
      </c>
    </row>
    <row r="441" spans="1:65" ht="15" customHeight="1">
      <c r="A441" s="383">
        <f>'Portefeuille SP2'!B466</f>
        <v>0</v>
      </c>
      <c r="B441" s="390">
        <f>'Portefeuille SP2'!Q466</f>
        <v>0</v>
      </c>
      <c r="C441" s="384"/>
      <c r="D441" s="382">
        <f>'Portefeuille SP2'!E466</f>
        <v>0</v>
      </c>
      <c r="E441" s="382" t="str">
        <f t="shared" si="33"/>
        <v>0</v>
      </c>
      <c r="F441" s="382" t="str">
        <f t="shared" si="34"/>
        <v/>
      </c>
      <c r="G441" s="382">
        <f>'Portefeuille SP2'!C466</f>
        <v>0</v>
      </c>
      <c r="H441" s="382">
        <f>'Portefeuille SP2'!F466</f>
        <v>0</v>
      </c>
      <c r="I441" s="382"/>
      <c r="J441" s="382">
        <f>'Portefeuille SP2'!D466</f>
        <v>0</v>
      </c>
      <c r="K441" s="385">
        <f>'Portefeuille SP2'!H466</f>
        <v>0</v>
      </c>
      <c r="L441" s="157">
        <f>'Portefeuille SP2'!U466</f>
        <v>0</v>
      </c>
      <c r="M441" s="386"/>
      <c r="N441" s="386"/>
      <c r="O441" s="386"/>
      <c r="P441" s="387">
        <f>'Portefeuille SP2'!M466</f>
        <v>0</v>
      </c>
      <c r="Q441" s="387"/>
      <c r="R441" s="387">
        <f>'Portefeuille SP2'!N466</f>
        <v>0</v>
      </c>
      <c r="S441" s="387"/>
      <c r="T441" s="382">
        <f>'Portefeuille SP2'!R466</f>
        <v>0</v>
      </c>
      <c r="U441" s="387">
        <f>'Portefeuille SP2'!K466</f>
        <v>0</v>
      </c>
      <c r="V441" s="399">
        <f>'Portefeuille SP2'!S466</f>
        <v>0</v>
      </c>
      <c r="W441" s="387"/>
      <c r="X441" s="387"/>
      <c r="Y441" s="387"/>
      <c r="Z441" s="387"/>
      <c r="AA441" s="387"/>
      <c r="AB441" s="387"/>
      <c r="AC441" s="387"/>
      <c r="AD441" s="387"/>
      <c r="AE441" s="400">
        <f>'Portefeuille SP2'!J466</f>
        <v>0</v>
      </c>
      <c r="AF441" s="387"/>
      <c r="AG441" s="387"/>
      <c r="AH441" s="389"/>
      <c r="AI441" s="389"/>
      <c r="AJ441" s="403">
        <f>'Portefeuille SP2'!V466</f>
        <v>0</v>
      </c>
      <c r="AK441" s="403">
        <f>'Portefeuille SP2'!W466</f>
        <v>0</v>
      </c>
      <c r="AL441" s="403">
        <f>'Portefeuille SP2'!X466</f>
        <v>0</v>
      </c>
      <c r="AM441" s="403">
        <f>'Portefeuille SP2'!Y466</f>
        <v>0</v>
      </c>
      <c r="AN441" s="403">
        <f>'Portefeuille SP2'!Z466</f>
        <v>0</v>
      </c>
      <c r="AO441" s="403">
        <f>'Portefeuille SP2'!AA466</f>
        <v>0</v>
      </c>
      <c r="AP441" s="403">
        <f>'Portefeuille SP2'!AB466</f>
        <v>0</v>
      </c>
      <c r="AQ441" s="403">
        <f>'Portefeuille SP2'!AC466</f>
        <v>0</v>
      </c>
      <c r="AR441" s="403">
        <f>'Portefeuille SP2'!AD466</f>
        <v>0</v>
      </c>
      <c r="AS441" s="403">
        <f>'Portefeuille SP2'!AE466</f>
        <v>0</v>
      </c>
      <c r="AT441" s="403">
        <f>'Portefeuille SP2'!AF466</f>
        <v>0</v>
      </c>
      <c r="AU441" s="403">
        <f>'Portefeuille SP2'!AG466</f>
        <v>0</v>
      </c>
      <c r="AV441" s="403">
        <f>'Portefeuille SP2'!AH466</f>
        <v>0</v>
      </c>
      <c r="AW441" s="403">
        <f>'Portefeuille SP2'!AI466</f>
        <v>0</v>
      </c>
      <c r="AX441" s="403">
        <f>'Portefeuille SP2'!AJ466</f>
        <v>0</v>
      </c>
      <c r="AY441" s="403">
        <f>'Portefeuille SP2'!AK466</f>
        <v>0</v>
      </c>
      <c r="AZ441" s="403">
        <f>'Portefeuille SP2'!AL466</f>
        <v>0</v>
      </c>
      <c r="BA441" s="403">
        <f>'Portefeuille SP2'!AM466</f>
        <v>0</v>
      </c>
      <c r="BB441" s="403">
        <f>'Portefeuille SP2'!AN466</f>
        <v>0</v>
      </c>
      <c r="BC441" s="403">
        <f>'Portefeuille SP2'!AO466</f>
        <v>0</v>
      </c>
      <c r="BD441" s="403">
        <f>'Portefeuille SP2'!AP466</f>
        <v>0</v>
      </c>
      <c r="BE441" s="403">
        <f>'Portefeuille SP2'!AQ466</f>
        <v>0</v>
      </c>
      <c r="BF441" s="403">
        <f>'Portefeuille SP2'!AR466</f>
        <v>0</v>
      </c>
      <c r="BG441" s="403" t="e">
        <f>'Portefeuille SP2'!#REF!</f>
        <v>#REF!</v>
      </c>
      <c r="BH441" s="403" t="e">
        <f>'Portefeuille SP2'!#REF!</f>
        <v>#REF!</v>
      </c>
      <c r="BI441" s="403" t="e">
        <f>'Portefeuille SP2'!#REF!</f>
        <v>#REF!</v>
      </c>
      <c r="BJ441" s="403" t="e">
        <f>'Portefeuille SP2'!#REF!</f>
        <v>#REF!</v>
      </c>
      <c r="BK441" s="403" t="e">
        <f>'Portefeuille SP2'!#REF!</f>
        <v>#REF!</v>
      </c>
      <c r="BL441" s="388"/>
      <c r="BM441" s="404">
        <f>'Portefeuille SP2'!L466</f>
        <v>0</v>
      </c>
    </row>
    <row r="442" spans="1:65" ht="15" customHeight="1">
      <c r="A442" s="383">
        <f>'Portefeuille SP2'!B467</f>
        <v>0</v>
      </c>
      <c r="B442" s="390">
        <f>'Portefeuille SP2'!Q467</f>
        <v>0</v>
      </c>
      <c r="C442" s="384"/>
      <c r="D442" s="382">
        <f>'Portefeuille SP2'!E467</f>
        <v>0</v>
      </c>
      <c r="E442" s="382" t="str">
        <f t="shared" si="33"/>
        <v>0</v>
      </c>
      <c r="F442" s="382" t="str">
        <f t="shared" si="34"/>
        <v/>
      </c>
      <c r="G442" s="382">
        <f>'Portefeuille SP2'!C467</f>
        <v>0</v>
      </c>
      <c r="H442" s="382">
        <f>'Portefeuille SP2'!F467</f>
        <v>0</v>
      </c>
      <c r="I442" s="382"/>
      <c r="J442" s="382">
        <f>'Portefeuille SP2'!D467</f>
        <v>0</v>
      </c>
      <c r="K442" s="385">
        <f>'Portefeuille SP2'!H467</f>
        <v>0</v>
      </c>
      <c r="L442" s="157">
        <f>'Portefeuille SP2'!U467</f>
        <v>0</v>
      </c>
      <c r="M442" s="386"/>
      <c r="N442" s="386"/>
      <c r="O442" s="386"/>
      <c r="P442" s="387">
        <f>'Portefeuille SP2'!M467</f>
        <v>0</v>
      </c>
      <c r="Q442" s="387"/>
      <c r="R442" s="387">
        <f>'Portefeuille SP2'!N467</f>
        <v>0</v>
      </c>
      <c r="S442" s="387"/>
      <c r="T442" s="382">
        <f>'Portefeuille SP2'!R467</f>
        <v>0</v>
      </c>
      <c r="U442" s="387">
        <f>'Portefeuille SP2'!K467</f>
        <v>0</v>
      </c>
      <c r="V442" s="399">
        <f>'Portefeuille SP2'!S467</f>
        <v>0</v>
      </c>
      <c r="W442" s="387"/>
      <c r="X442" s="387"/>
      <c r="Y442" s="387"/>
      <c r="Z442" s="387"/>
      <c r="AA442" s="387"/>
      <c r="AB442" s="387"/>
      <c r="AC442" s="387"/>
      <c r="AD442" s="387"/>
      <c r="AE442" s="400">
        <f>'Portefeuille SP2'!J467</f>
        <v>0</v>
      </c>
      <c r="AF442" s="387"/>
      <c r="AG442" s="387"/>
      <c r="AH442" s="389"/>
      <c r="AI442" s="389"/>
      <c r="AJ442" s="403">
        <f>'Portefeuille SP2'!V467</f>
        <v>0</v>
      </c>
      <c r="AK442" s="403">
        <f>'Portefeuille SP2'!W467</f>
        <v>0</v>
      </c>
      <c r="AL442" s="403">
        <f>'Portefeuille SP2'!X467</f>
        <v>0</v>
      </c>
      <c r="AM442" s="403">
        <f>'Portefeuille SP2'!Y467</f>
        <v>0</v>
      </c>
      <c r="AN442" s="403">
        <f>'Portefeuille SP2'!Z467</f>
        <v>0</v>
      </c>
      <c r="AO442" s="403">
        <f>'Portefeuille SP2'!AA467</f>
        <v>0</v>
      </c>
      <c r="AP442" s="403">
        <f>'Portefeuille SP2'!AB467</f>
        <v>0</v>
      </c>
      <c r="AQ442" s="403">
        <f>'Portefeuille SP2'!AC467</f>
        <v>0</v>
      </c>
      <c r="AR442" s="403">
        <f>'Portefeuille SP2'!AD467</f>
        <v>0</v>
      </c>
      <c r="AS442" s="403">
        <f>'Portefeuille SP2'!AE467</f>
        <v>0</v>
      </c>
      <c r="AT442" s="403">
        <f>'Portefeuille SP2'!AF467</f>
        <v>0</v>
      </c>
      <c r="AU442" s="403">
        <f>'Portefeuille SP2'!AG467</f>
        <v>0</v>
      </c>
      <c r="AV442" s="403">
        <f>'Portefeuille SP2'!AH467</f>
        <v>0</v>
      </c>
      <c r="AW442" s="403">
        <f>'Portefeuille SP2'!AI467</f>
        <v>0</v>
      </c>
      <c r="AX442" s="403">
        <f>'Portefeuille SP2'!AJ467</f>
        <v>0</v>
      </c>
      <c r="AY442" s="403">
        <f>'Portefeuille SP2'!AK467</f>
        <v>0</v>
      </c>
      <c r="AZ442" s="403">
        <f>'Portefeuille SP2'!AL467</f>
        <v>0</v>
      </c>
      <c r="BA442" s="403">
        <f>'Portefeuille SP2'!AM467</f>
        <v>0</v>
      </c>
      <c r="BB442" s="403">
        <f>'Portefeuille SP2'!AN467</f>
        <v>0</v>
      </c>
      <c r="BC442" s="403">
        <f>'Portefeuille SP2'!AO467</f>
        <v>0</v>
      </c>
      <c r="BD442" s="403">
        <f>'Portefeuille SP2'!AP467</f>
        <v>0</v>
      </c>
      <c r="BE442" s="403">
        <f>'Portefeuille SP2'!AQ467</f>
        <v>0</v>
      </c>
      <c r="BF442" s="403">
        <f>'Portefeuille SP2'!AR467</f>
        <v>0</v>
      </c>
      <c r="BG442" s="403" t="e">
        <f>'Portefeuille SP2'!#REF!</f>
        <v>#REF!</v>
      </c>
      <c r="BH442" s="403" t="e">
        <f>'Portefeuille SP2'!#REF!</f>
        <v>#REF!</v>
      </c>
      <c r="BI442" s="403" t="e">
        <f>'Portefeuille SP2'!#REF!</f>
        <v>#REF!</v>
      </c>
      <c r="BJ442" s="403" t="e">
        <f>'Portefeuille SP2'!#REF!</f>
        <v>#REF!</v>
      </c>
      <c r="BK442" s="403" t="e">
        <f>'Portefeuille SP2'!#REF!</f>
        <v>#REF!</v>
      </c>
      <c r="BL442" s="388"/>
      <c r="BM442" s="404">
        <f>'Portefeuille SP2'!L467</f>
        <v>0</v>
      </c>
    </row>
    <row r="443" spans="1:65" ht="15" customHeight="1">
      <c r="A443" s="383">
        <f>'Portefeuille SP2'!B468</f>
        <v>0</v>
      </c>
      <c r="B443" s="390">
        <f>'Portefeuille SP2'!Q468</f>
        <v>0</v>
      </c>
      <c r="C443" s="384"/>
      <c r="D443" s="382">
        <f>'Portefeuille SP2'!E468</f>
        <v>0</v>
      </c>
      <c r="E443" s="382" t="str">
        <f t="shared" si="33"/>
        <v>0</v>
      </c>
      <c r="F443" s="382" t="str">
        <f t="shared" si="34"/>
        <v/>
      </c>
      <c r="G443" s="382">
        <f>'Portefeuille SP2'!C468</f>
        <v>0</v>
      </c>
      <c r="H443" s="382">
        <f>'Portefeuille SP2'!F468</f>
        <v>0</v>
      </c>
      <c r="I443" s="382"/>
      <c r="J443" s="382">
        <f>'Portefeuille SP2'!D468</f>
        <v>0</v>
      </c>
      <c r="K443" s="385">
        <f>'Portefeuille SP2'!H468</f>
        <v>0</v>
      </c>
      <c r="L443" s="157">
        <f>'Portefeuille SP2'!U468</f>
        <v>0</v>
      </c>
      <c r="M443" s="386"/>
      <c r="N443" s="386"/>
      <c r="O443" s="386"/>
      <c r="P443" s="387">
        <f>'Portefeuille SP2'!M468</f>
        <v>0</v>
      </c>
      <c r="Q443" s="387"/>
      <c r="R443" s="387">
        <f>'Portefeuille SP2'!N468</f>
        <v>0</v>
      </c>
      <c r="S443" s="387"/>
      <c r="T443" s="382">
        <f>'Portefeuille SP2'!R468</f>
        <v>0</v>
      </c>
      <c r="U443" s="387">
        <f>'Portefeuille SP2'!K468</f>
        <v>0</v>
      </c>
      <c r="V443" s="399">
        <f>'Portefeuille SP2'!S468</f>
        <v>0</v>
      </c>
      <c r="W443" s="387"/>
      <c r="X443" s="387"/>
      <c r="Y443" s="387"/>
      <c r="Z443" s="387"/>
      <c r="AA443" s="387"/>
      <c r="AB443" s="387"/>
      <c r="AC443" s="387"/>
      <c r="AD443" s="387"/>
      <c r="AE443" s="400">
        <f>'Portefeuille SP2'!J468</f>
        <v>0</v>
      </c>
      <c r="AF443" s="387"/>
      <c r="AG443" s="387"/>
      <c r="AH443" s="389"/>
      <c r="AI443" s="389"/>
      <c r="AJ443" s="403">
        <f>'Portefeuille SP2'!V468</f>
        <v>0</v>
      </c>
      <c r="AK443" s="403">
        <f>'Portefeuille SP2'!W468</f>
        <v>0</v>
      </c>
      <c r="AL443" s="403">
        <f>'Portefeuille SP2'!X468</f>
        <v>0</v>
      </c>
      <c r="AM443" s="403">
        <f>'Portefeuille SP2'!Y468</f>
        <v>0</v>
      </c>
      <c r="AN443" s="403">
        <f>'Portefeuille SP2'!Z468</f>
        <v>0</v>
      </c>
      <c r="AO443" s="403">
        <f>'Portefeuille SP2'!AA468</f>
        <v>0</v>
      </c>
      <c r="AP443" s="403">
        <f>'Portefeuille SP2'!AB468</f>
        <v>0</v>
      </c>
      <c r="AQ443" s="403">
        <f>'Portefeuille SP2'!AC468</f>
        <v>0</v>
      </c>
      <c r="AR443" s="403">
        <f>'Portefeuille SP2'!AD468</f>
        <v>0</v>
      </c>
      <c r="AS443" s="403">
        <f>'Portefeuille SP2'!AE468</f>
        <v>0</v>
      </c>
      <c r="AT443" s="403">
        <f>'Portefeuille SP2'!AF468</f>
        <v>0</v>
      </c>
      <c r="AU443" s="403">
        <f>'Portefeuille SP2'!AG468</f>
        <v>0</v>
      </c>
      <c r="AV443" s="403">
        <f>'Portefeuille SP2'!AH468</f>
        <v>0</v>
      </c>
      <c r="AW443" s="403">
        <f>'Portefeuille SP2'!AI468</f>
        <v>0</v>
      </c>
      <c r="AX443" s="403">
        <f>'Portefeuille SP2'!AJ468</f>
        <v>0</v>
      </c>
      <c r="AY443" s="403">
        <f>'Portefeuille SP2'!AK468</f>
        <v>0</v>
      </c>
      <c r="AZ443" s="403">
        <f>'Portefeuille SP2'!AL468</f>
        <v>0</v>
      </c>
      <c r="BA443" s="403">
        <f>'Portefeuille SP2'!AM468</f>
        <v>0</v>
      </c>
      <c r="BB443" s="403">
        <f>'Portefeuille SP2'!AN468</f>
        <v>0</v>
      </c>
      <c r="BC443" s="403">
        <f>'Portefeuille SP2'!AO468</f>
        <v>0</v>
      </c>
      <c r="BD443" s="403">
        <f>'Portefeuille SP2'!AP468</f>
        <v>0</v>
      </c>
      <c r="BE443" s="403">
        <f>'Portefeuille SP2'!AQ468</f>
        <v>0</v>
      </c>
      <c r="BF443" s="403">
        <f>'Portefeuille SP2'!AR468</f>
        <v>0</v>
      </c>
      <c r="BG443" s="403" t="e">
        <f>'Portefeuille SP2'!#REF!</f>
        <v>#REF!</v>
      </c>
      <c r="BH443" s="403" t="e">
        <f>'Portefeuille SP2'!#REF!</f>
        <v>#REF!</v>
      </c>
      <c r="BI443" s="403" t="e">
        <f>'Portefeuille SP2'!#REF!</f>
        <v>#REF!</v>
      </c>
      <c r="BJ443" s="403" t="e">
        <f>'Portefeuille SP2'!#REF!</f>
        <v>#REF!</v>
      </c>
      <c r="BK443" s="403" t="e">
        <f>'Portefeuille SP2'!#REF!</f>
        <v>#REF!</v>
      </c>
      <c r="BL443" s="388"/>
      <c r="BM443" s="404">
        <f>'Portefeuille SP2'!L468</f>
        <v>0</v>
      </c>
    </row>
    <row r="444" spans="1:65" ht="15" customHeight="1">
      <c r="A444" s="383">
        <f>'Portefeuille SP2'!B469</f>
        <v>0</v>
      </c>
      <c r="B444" s="390">
        <f>'Portefeuille SP2'!Q469</f>
        <v>0</v>
      </c>
      <c r="C444" s="384"/>
      <c r="D444" s="382">
        <f>'Portefeuille SP2'!E469</f>
        <v>0</v>
      </c>
      <c r="E444" s="382" t="str">
        <f t="shared" si="33"/>
        <v>0</v>
      </c>
      <c r="F444" s="382" t="str">
        <f t="shared" si="34"/>
        <v/>
      </c>
      <c r="G444" s="382">
        <f>'Portefeuille SP2'!C469</f>
        <v>0</v>
      </c>
      <c r="H444" s="382">
        <f>'Portefeuille SP2'!F469</f>
        <v>0</v>
      </c>
      <c r="I444" s="382"/>
      <c r="J444" s="382">
        <f>'Portefeuille SP2'!D469</f>
        <v>0</v>
      </c>
      <c r="K444" s="385">
        <f>'Portefeuille SP2'!H469</f>
        <v>0</v>
      </c>
      <c r="L444" s="157">
        <f>'Portefeuille SP2'!U469</f>
        <v>0</v>
      </c>
      <c r="M444" s="386"/>
      <c r="N444" s="386"/>
      <c r="O444" s="386"/>
      <c r="P444" s="387">
        <f>'Portefeuille SP2'!M469</f>
        <v>0</v>
      </c>
      <c r="Q444" s="387"/>
      <c r="R444" s="387">
        <f>'Portefeuille SP2'!N469</f>
        <v>0</v>
      </c>
      <c r="S444" s="387"/>
      <c r="T444" s="382">
        <f>'Portefeuille SP2'!R469</f>
        <v>0</v>
      </c>
      <c r="U444" s="387">
        <f>'Portefeuille SP2'!K469</f>
        <v>0</v>
      </c>
      <c r="V444" s="399">
        <f>'Portefeuille SP2'!S469</f>
        <v>0</v>
      </c>
      <c r="W444" s="387"/>
      <c r="X444" s="387"/>
      <c r="Y444" s="387"/>
      <c r="Z444" s="387"/>
      <c r="AA444" s="387"/>
      <c r="AB444" s="387"/>
      <c r="AC444" s="387"/>
      <c r="AD444" s="387"/>
      <c r="AE444" s="400">
        <f>'Portefeuille SP2'!J469</f>
        <v>0</v>
      </c>
      <c r="AF444" s="387"/>
      <c r="AG444" s="387"/>
      <c r="AH444" s="389"/>
      <c r="AI444" s="389"/>
      <c r="AJ444" s="403">
        <f>'Portefeuille SP2'!V469</f>
        <v>0</v>
      </c>
      <c r="AK444" s="403">
        <f>'Portefeuille SP2'!W469</f>
        <v>0</v>
      </c>
      <c r="AL444" s="403">
        <f>'Portefeuille SP2'!X469</f>
        <v>0</v>
      </c>
      <c r="AM444" s="403">
        <f>'Portefeuille SP2'!Y469</f>
        <v>0</v>
      </c>
      <c r="AN444" s="403">
        <f>'Portefeuille SP2'!Z469</f>
        <v>0</v>
      </c>
      <c r="AO444" s="403">
        <f>'Portefeuille SP2'!AA469</f>
        <v>0</v>
      </c>
      <c r="AP444" s="403">
        <f>'Portefeuille SP2'!AB469</f>
        <v>0</v>
      </c>
      <c r="AQ444" s="403">
        <f>'Portefeuille SP2'!AC469</f>
        <v>0</v>
      </c>
      <c r="AR444" s="403">
        <f>'Portefeuille SP2'!AD469</f>
        <v>0</v>
      </c>
      <c r="AS444" s="403">
        <f>'Portefeuille SP2'!AE469</f>
        <v>0</v>
      </c>
      <c r="AT444" s="403">
        <f>'Portefeuille SP2'!AF469</f>
        <v>0</v>
      </c>
      <c r="AU444" s="403">
        <f>'Portefeuille SP2'!AG469</f>
        <v>0</v>
      </c>
      <c r="AV444" s="403">
        <f>'Portefeuille SP2'!AH469</f>
        <v>0</v>
      </c>
      <c r="AW444" s="403">
        <f>'Portefeuille SP2'!AI469</f>
        <v>0</v>
      </c>
      <c r="AX444" s="403">
        <f>'Portefeuille SP2'!AJ469</f>
        <v>0</v>
      </c>
      <c r="AY444" s="403">
        <f>'Portefeuille SP2'!AK469</f>
        <v>0</v>
      </c>
      <c r="AZ444" s="403">
        <f>'Portefeuille SP2'!AL469</f>
        <v>0</v>
      </c>
      <c r="BA444" s="403">
        <f>'Portefeuille SP2'!AM469</f>
        <v>0</v>
      </c>
      <c r="BB444" s="403">
        <f>'Portefeuille SP2'!AN469</f>
        <v>0</v>
      </c>
      <c r="BC444" s="403">
        <f>'Portefeuille SP2'!AO469</f>
        <v>0</v>
      </c>
      <c r="BD444" s="403">
        <f>'Portefeuille SP2'!AP469</f>
        <v>0</v>
      </c>
      <c r="BE444" s="403">
        <f>'Portefeuille SP2'!AQ469</f>
        <v>0</v>
      </c>
      <c r="BF444" s="403">
        <f>'Portefeuille SP2'!AR469</f>
        <v>0</v>
      </c>
      <c r="BG444" s="403" t="e">
        <f>'Portefeuille SP2'!#REF!</f>
        <v>#REF!</v>
      </c>
      <c r="BH444" s="403" t="e">
        <f>'Portefeuille SP2'!#REF!</f>
        <v>#REF!</v>
      </c>
      <c r="BI444" s="403" t="e">
        <f>'Portefeuille SP2'!#REF!</f>
        <v>#REF!</v>
      </c>
      <c r="BJ444" s="403" t="e">
        <f>'Portefeuille SP2'!#REF!</f>
        <v>#REF!</v>
      </c>
      <c r="BK444" s="403" t="e">
        <f>'Portefeuille SP2'!#REF!</f>
        <v>#REF!</v>
      </c>
      <c r="BL444" s="388"/>
      <c r="BM444" s="404">
        <f>'Portefeuille SP2'!L469</f>
        <v>0</v>
      </c>
    </row>
    <row r="445" spans="1:65" ht="15" customHeight="1">
      <c r="A445" s="383">
        <f>'Portefeuille SP2'!B470</f>
        <v>0</v>
      </c>
      <c r="B445" s="390">
        <f>'Portefeuille SP2'!Q470</f>
        <v>0</v>
      </c>
      <c r="C445" s="384"/>
      <c r="D445" s="382">
        <f>'Portefeuille SP2'!E470</f>
        <v>0</v>
      </c>
      <c r="E445" s="382" t="str">
        <f t="shared" si="33"/>
        <v>0</v>
      </c>
      <c r="F445" s="382" t="str">
        <f t="shared" si="34"/>
        <v/>
      </c>
      <c r="G445" s="382">
        <f>'Portefeuille SP2'!C470</f>
        <v>0</v>
      </c>
      <c r="H445" s="382">
        <f>'Portefeuille SP2'!F470</f>
        <v>0</v>
      </c>
      <c r="I445" s="382"/>
      <c r="J445" s="382">
        <f>'Portefeuille SP2'!D470</f>
        <v>0</v>
      </c>
      <c r="K445" s="385">
        <f>'Portefeuille SP2'!H470</f>
        <v>0</v>
      </c>
      <c r="L445" s="157">
        <f>'Portefeuille SP2'!U470</f>
        <v>0</v>
      </c>
      <c r="M445" s="386"/>
      <c r="N445" s="386"/>
      <c r="O445" s="386"/>
      <c r="P445" s="387">
        <f>'Portefeuille SP2'!M470</f>
        <v>0</v>
      </c>
      <c r="Q445" s="387"/>
      <c r="R445" s="387">
        <f>'Portefeuille SP2'!N470</f>
        <v>0</v>
      </c>
      <c r="S445" s="387"/>
      <c r="T445" s="382">
        <f>'Portefeuille SP2'!R470</f>
        <v>0</v>
      </c>
      <c r="U445" s="387">
        <f>'Portefeuille SP2'!K470</f>
        <v>0</v>
      </c>
      <c r="V445" s="399">
        <f>'Portefeuille SP2'!S470</f>
        <v>0</v>
      </c>
      <c r="W445" s="387"/>
      <c r="X445" s="387"/>
      <c r="Y445" s="387"/>
      <c r="Z445" s="387"/>
      <c r="AA445" s="387"/>
      <c r="AB445" s="387"/>
      <c r="AC445" s="387"/>
      <c r="AD445" s="387"/>
      <c r="AE445" s="400">
        <f>'Portefeuille SP2'!J470</f>
        <v>0</v>
      </c>
      <c r="AF445" s="387"/>
      <c r="AG445" s="387"/>
      <c r="AH445" s="389"/>
      <c r="AI445" s="389"/>
      <c r="AJ445" s="403">
        <f>'Portefeuille SP2'!V470</f>
        <v>0</v>
      </c>
      <c r="AK445" s="403">
        <f>'Portefeuille SP2'!W470</f>
        <v>0</v>
      </c>
      <c r="AL445" s="403">
        <f>'Portefeuille SP2'!X470</f>
        <v>0</v>
      </c>
      <c r="AM445" s="403">
        <f>'Portefeuille SP2'!Y470</f>
        <v>0</v>
      </c>
      <c r="AN445" s="403">
        <f>'Portefeuille SP2'!Z470</f>
        <v>0</v>
      </c>
      <c r="AO445" s="403">
        <f>'Portefeuille SP2'!AA470</f>
        <v>0</v>
      </c>
      <c r="AP445" s="403">
        <f>'Portefeuille SP2'!AB470</f>
        <v>0</v>
      </c>
      <c r="AQ445" s="403">
        <f>'Portefeuille SP2'!AC470</f>
        <v>0</v>
      </c>
      <c r="AR445" s="403">
        <f>'Portefeuille SP2'!AD470</f>
        <v>0</v>
      </c>
      <c r="AS445" s="403">
        <f>'Portefeuille SP2'!AE470</f>
        <v>0</v>
      </c>
      <c r="AT445" s="403">
        <f>'Portefeuille SP2'!AF470</f>
        <v>0</v>
      </c>
      <c r="AU445" s="403">
        <f>'Portefeuille SP2'!AG470</f>
        <v>0</v>
      </c>
      <c r="AV445" s="403">
        <f>'Portefeuille SP2'!AH470</f>
        <v>0</v>
      </c>
      <c r="AW445" s="403">
        <f>'Portefeuille SP2'!AI470</f>
        <v>0</v>
      </c>
      <c r="AX445" s="403">
        <f>'Portefeuille SP2'!AJ470</f>
        <v>0</v>
      </c>
      <c r="AY445" s="403">
        <f>'Portefeuille SP2'!AK470</f>
        <v>0</v>
      </c>
      <c r="AZ445" s="403">
        <f>'Portefeuille SP2'!AL470</f>
        <v>0</v>
      </c>
      <c r="BA445" s="403">
        <f>'Portefeuille SP2'!AM470</f>
        <v>0</v>
      </c>
      <c r="BB445" s="403">
        <f>'Portefeuille SP2'!AN470</f>
        <v>0</v>
      </c>
      <c r="BC445" s="403">
        <f>'Portefeuille SP2'!AO470</f>
        <v>0</v>
      </c>
      <c r="BD445" s="403">
        <f>'Portefeuille SP2'!AP470</f>
        <v>0</v>
      </c>
      <c r="BE445" s="403">
        <f>'Portefeuille SP2'!AQ470</f>
        <v>0</v>
      </c>
      <c r="BF445" s="403">
        <f>'Portefeuille SP2'!AR470</f>
        <v>0</v>
      </c>
      <c r="BG445" s="403" t="e">
        <f>'Portefeuille SP2'!#REF!</f>
        <v>#REF!</v>
      </c>
      <c r="BH445" s="403" t="e">
        <f>'Portefeuille SP2'!#REF!</f>
        <v>#REF!</v>
      </c>
      <c r="BI445" s="403" t="e">
        <f>'Portefeuille SP2'!#REF!</f>
        <v>#REF!</v>
      </c>
      <c r="BJ445" s="403" t="e">
        <f>'Portefeuille SP2'!#REF!</f>
        <v>#REF!</v>
      </c>
      <c r="BK445" s="403" t="e">
        <f>'Portefeuille SP2'!#REF!</f>
        <v>#REF!</v>
      </c>
      <c r="BL445" s="388"/>
      <c r="BM445" s="404">
        <f>'Portefeuille SP2'!L470</f>
        <v>0</v>
      </c>
    </row>
    <row r="446" spans="1:65" ht="15" customHeight="1">
      <c r="A446" s="383">
        <f>'Portefeuille SP2'!B471</f>
        <v>0</v>
      </c>
      <c r="B446" s="390">
        <f>'Portefeuille SP2'!Q471</f>
        <v>0</v>
      </c>
      <c r="C446" s="384"/>
      <c r="D446" s="382">
        <f>'Portefeuille SP2'!E471</f>
        <v>0</v>
      </c>
      <c r="E446" s="382" t="str">
        <f t="shared" si="33"/>
        <v>0</v>
      </c>
      <c r="F446" s="382" t="str">
        <f t="shared" si="34"/>
        <v/>
      </c>
      <c r="G446" s="382">
        <f>'Portefeuille SP2'!C471</f>
        <v>0</v>
      </c>
      <c r="H446" s="382">
        <f>'Portefeuille SP2'!F471</f>
        <v>0</v>
      </c>
      <c r="I446" s="382"/>
      <c r="J446" s="382">
        <f>'Portefeuille SP2'!D471</f>
        <v>0</v>
      </c>
      <c r="K446" s="385">
        <f>'Portefeuille SP2'!H471</f>
        <v>0</v>
      </c>
      <c r="L446" s="157">
        <f>'Portefeuille SP2'!U471</f>
        <v>0</v>
      </c>
      <c r="M446" s="386"/>
      <c r="N446" s="386"/>
      <c r="O446" s="386"/>
      <c r="P446" s="387">
        <f>'Portefeuille SP2'!M471</f>
        <v>0</v>
      </c>
      <c r="Q446" s="387"/>
      <c r="R446" s="387">
        <f>'Portefeuille SP2'!N471</f>
        <v>0</v>
      </c>
      <c r="S446" s="387"/>
      <c r="T446" s="382">
        <f>'Portefeuille SP2'!R471</f>
        <v>0</v>
      </c>
      <c r="U446" s="387">
        <f>'Portefeuille SP2'!K471</f>
        <v>0</v>
      </c>
      <c r="V446" s="399">
        <f>'Portefeuille SP2'!S471</f>
        <v>0</v>
      </c>
      <c r="W446" s="387"/>
      <c r="X446" s="387"/>
      <c r="Y446" s="387"/>
      <c r="Z446" s="387"/>
      <c r="AA446" s="387"/>
      <c r="AB446" s="387"/>
      <c r="AC446" s="387"/>
      <c r="AD446" s="387"/>
      <c r="AE446" s="400">
        <f>'Portefeuille SP2'!J471</f>
        <v>0</v>
      </c>
      <c r="AF446" s="387"/>
      <c r="AG446" s="387"/>
      <c r="AH446" s="389"/>
      <c r="AI446" s="389"/>
      <c r="AJ446" s="403">
        <f>'Portefeuille SP2'!V471</f>
        <v>0</v>
      </c>
      <c r="AK446" s="403">
        <f>'Portefeuille SP2'!W471</f>
        <v>0</v>
      </c>
      <c r="AL446" s="403">
        <f>'Portefeuille SP2'!X471</f>
        <v>0</v>
      </c>
      <c r="AM446" s="403">
        <f>'Portefeuille SP2'!Y471</f>
        <v>0</v>
      </c>
      <c r="AN446" s="403">
        <f>'Portefeuille SP2'!Z471</f>
        <v>0</v>
      </c>
      <c r="AO446" s="403">
        <f>'Portefeuille SP2'!AA471</f>
        <v>0</v>
      </c>
      <c r="AP446" s="403">
        <f>'Portefeuille SP2'!AB471</f>
        <v>0</v>
      </c>
      <c r="AQ446" s="403">
        <f>'Portefeuille SP2'!AC471</f>
        <v>0</v>
      </c>
      <c r="AR446" s="403">
        <f>'Portefeuille SP2'!AD471</f>
        <v>0</v>
      </c>
      <c r="AS446" s="403">
        <f>'Portefeuille SP2'!AE471</f>
        <v>0</v>
      </c>
      <c r="AT446" s="403">
        <f>'Portefeuille SP2'!AF471</f>
        <v>0</v>
      </c>
      <c r="AU446" s="403">
        <f>'Portefeuille SP2'!AG471</f>
        <v>0</v>
      </c>
      <c r="AV446" s="403">
        <f>'Portefeuille SP2'!AH471</f>
        <v>0</v>
      </c>
      <c r="AW446" s="403">
        <f>'Portefeuille SP2'!AI471</f>
        <v>0</v>
      </c>
      <c r="AX446" s="403">
        <f>'Portefeuille SP2'!AJ471</f>
        <v>0</v>
      </c>
      <c r="AY446" s="403">
        <f>'Portefeuille SP2'!AK471</f>
        <v>0</v>
      </c>
      <c r="AZ446" s="403">
        <f>'Portefeuille SP2'!AL471</f>
        <v>0</v>
      </c>
      <c r="BA446" s="403">
        <f>'Portefeuille SP2'!AM471</f>
        <v>0</v>
      </c>
      <c r="BB446" s="403">
        <f>'Portefeuille SP2'!AN471</f>
        <v>0</v>
      </c>
      <c r="BC446" s="403">
        <f>'Portefeuille SP2'!AO471</f>
        <v>0</v>
      </c>
      <c r="BD446" s="403">
        <f>'Portefeuille SP2'!AP471</f>
        <v>0</v>
      </c>
      <c r="BE446" s="403">
        <f>'Portefeuille SP2'!AQ471</f>
        <v>0</v>
      </c>
      <c r="BF446" s="403">
        <f>'Portefeuille SP2'!AR471</f>
        <v>0</v>
      </c>
      <c r="BG446" s="403" t="e">
        <f>'Portefeuille SP2'!#REF!</f>
        <v>#REF!</v>
      </c>
      <c r="BH446" s="403" t="e">
        <f>'Portefeuille SP2'!#REF!</f>
        <v>#REF!</v>
      </c>
      <c r="BI446" s="403" t="e">
        <f>'Portefeuille SP2'!#REF!</f>
        <v>#REF!</v>
      </c>
      <c r="BJ446" s="403" t="e">
        <f>'Portefeuille SP2'!#REF!</f>
        <v>#REF!</v>
      </c>
      <c r="BK446" s="403" t="e">
        <f>'Portefeuille SP2'!#REF!</f>
        <v>#REF!</v>
      </c>
      <c r="BL446" s="388"/>
      <c r="BM446" s="404">
        <f>'Portefeuille SP2'!L471</f>
        <v>0</v>
      </c>
    </row>
    <row r="447" spans="1:65" ht="15" customHeight="1">
      <c r="A447" s="383">
        <f>'Portefeuille SP2'!B472</f>
        <v>0</v>
      </c>
      <c r="B447" s="390">
        <f>'Portefeuille SP2'!Q472</f>
        <v>0</v>
      </c>
      <c r="C447" s="384"/>
      <c r="D447" s="382">
        <f>'Portefeuille SP2'!E472</f>
        <v>0</v>
      </c>
      <c r="E447" s="382" t="str">
        <f t="shared" si="33"/>
        <v>0</v>
      </c>
      <c r="F447" s="382" t="str">
        <f t="shared" si="34"/>
        <v/>
      </c>
      <c r="G447" s="382">
        <f>'Portefeuille SP2'!C472</f>
        <v>0</v>
      </c>
      <c r="H447" s="382">
        <f>'Portefeuille SP2'!F472</f>
        <v>0</v>
      </c>
      <c r="I447" s="382"/>
      <c r="J447" s="382">
        <f>'Portefeuille SP2'!D472</f>
        <v>0</v>
      </c>
      <c r="K447" s="385">
        <f>'Portefeuille SP2'!H472</f>
        <v>0</v>
      </c>
      <c r="L447" s="157">
        <f>'Portefeuille SP2'!U472</f>
        <v>0</v>
      </c>
      <c r="M447" s="386"/>
      <c r="N447" s="386"/>
      <c r="O447" s="386"/>
      <c r="P447" s="387">
        <f>'Portefeuille SP2'!M472</f>
        <v>0</v>
      </c>
      <c r="Q447" s="387"/>
      <c r="R447" s="387">
        <f>'Portefeuille SP2'!N472</f>
        <v>0</v>
      </c>
      <c r="S447" s="387"/>
      <c r="T447" s="382">
        <f>'Portefeuille SP2'!R472</f>
        <v>0</v>
      </c>
      <c r="U447" s="387">
        <f>'Portefeuille SP2'!K472</f>
        <v>0</v>
      </c>
      <c r="V447" s="399">
        <f>'Portefeuille SP2'!S472</f>
        <v>0</v>
      </c>
      <c r="W447" s="387"/>
      <c r="X447" s="387"/>
      <c r="Y447" s="387"/>
      <c r="Z447" s="387"/>
      <c r="AA447" s="387"/>
      <c r="AB447" s="387"/>
      <c r="AC447" s="387"/>
      <c r="AD447" s="387"/>
      <c r="AE447" s="400">
        <f>'Portefeuille SP2'!J472</f>
        <v>0</v>
      </c>
      <c r="AF447" s="387"/>
      <c r="AG447" s="387"/>
      <c r="AH447" s="389"/>
      <c r="AI447" s="389"/>
      <c r="AJ447" s="403">
        <f>'Portefeuille SP2'!V472</f>
        <v>0</v>
      </c>
      <c r="AK447" s="403">
        <f>'Portefeuille SP2'!W472</f>
        <v>0</v>
      </c>
      <c r="AL447" s="403">
        <f>'Portefeuille SP2'!X472</f>
        <v>0</v>
      </c>
      <c r="AM447" s="403">
        <f>'Portefeuille SP2'!Y472</f>
        <v>0</v>
      </c>
      <c r="AN447" s="403">
        <f>'Portefeuille SP2'!Z472</f>
        <v>0</v>
      </c>
      <c r="AO447" s="403">
        <f>'Portefeuille SP2'!AA472</f>
        <v>0</v>
      </c>
      <c r="AP447" s="403">
        <f>'Portefeuille SP2'!AB472</f>
        <v>0</v>
      </c>
      <c r="AQ447" s="403">
        <f>'Portefeuille SP2'!AC472</f>
        <v>0</v>
      </c>
      <c r="AR447" s="403">
        <f>'Portefeuille SP2'!AD472</f>
        <v>0</v>
      </c>
      <c r="AS447" s="403">
        <f>'Portefeuille SP2'!AE472</f>
        <v>0</v>
      </c>
      <c r="AT447" s="403">
        <f>'Portefeuille SP2'!AF472</f>
        <v>0</v>
      </c>
      <c r="AU447" s="403">
        <f>'Portefeuille SP2'!AG472</f>
        <v>0</v>
      </c>
      <c r="AV447" s="403">
        <f>'Portefeuille SP2'!AH472</f>
        <v>0</v>
      </c>
      <c r="AW447" s="403">
        <f>'Portefeuille SP2'!AI472</f>
        <v>0</v>
      </c>
      <c r="AX447" s="403">
        <f>'Portefeuille SP2'!AJ472</f>
        <v>0</v>
      </c>
      <c r="AY447" s="403">
        <f>'Portefeuille SP2'!AK472</f>
        <v>0</v>
      </c>
      <c r="AZ447" s="403">
        <f>'Portefeuille SP2'!AL472</f>
        <v>0</v>
      </c>
      <c r="BA447" s="403">
        <f>'Portefeuille SP2'!AM472</f>
        <v>0</v>
      </c>
      <c r="BB447" s="403">
        <f>'Portefeuille SP2'!AN472</f>
        <v>0</v>
      </c>
      <c r="BC447" s="403">
        <f>'Portefeuille SP2'!AO472</f>
        <v>0</v>
      </c>
      <c r="BD447" s="403">
        <f>'Portefeuille SP2'!AP472</f>
        <v>0</v>
      </c>
      <c r="BE447" s="403">
        <f>'Portefeuille SP2'!AQ472</f>
        <v>0</v>
      </c>
      <c r="BF447" s="403">
        <f>'Portefeuille SP2'!AR472</f>
        <v>0</v>
      </c>
      <c r="BG447" s="403" t="e">
        <f>'Portefeuille SP2'!#REF!</f>
        <v>#REF!</v>
      </c>
      <c r="BH447" s="403" t="e">
        <f>'Portefeuille SP2'!#REF!</f>
        <v>#REF!</v>
      </c>
      <c r="BI447" s="403" t="e">
        <f>'Portefeuille SP2'!#REF!</f>
        <v>#REF!</v>
      </c>
      <c r="BJ447" s="403" t="e">
        <f>'Portefeuille SP2'!#REF!</f>
        <v>#REF!</v>
      </c>
      <c r="BK447" s="403" t="e">
        <f>'Portefeuille SP2'!#REF!</f>
        <v>#REF!</v>
      </c>
      <c r="BL447" s="388"/>
      <c r="BM447" s="404">
        <f>'Portefeuille SP2'!L472</f>
        <v>0</v>
      </c>
    </row>
    <row r="448" spans="1:65" ht="15" customHeight="1">
      <c r="A448" s="383">
        <f>'Portefeuille SP2'!B473</f>
        <v>0</v>
      </c>
      <c r="B448" s="390">
        <f>'Portefeuille SP2'!Q473</f>
        <v>0</v>
      </c>
      <c r="C448" s="384"/>
      <c r="D448" s="382">
        <f>'Portefeuille SP2'!E473</f>
        <v>0</v>
      </c>
      <c r="E448" s="382" t="str">
        <f t="shared" si="33"/>
        <v>0</v>
      </c>
      <c r="F448" s="382" t="str">
        <f t="shared" si="34"/>
        <v/>
      </c>
      <c r="G448" s="382">
        <f>'Portefeuille SP2'!C473</f>
        <v>0</v>
      </c>
      <c r="H448" s="382">
        <f>'Portefeuille SP2'!F473</f>
        <v>0</v>
      </c>
      <c r="I448" s="382"/>
      <c r="J448" s="382">
        <f>'Portefeuille SP2'!D473</f>
        <v>0</v>
      </c>
      <c r="K448" s="385">
        <f>'Portefeuille SP2'!H473</f>
        <v>0</v>
      </c>
      <c r="L448" s="157">
        <f>'Portefeuille SP2'!U473</f>
        <v>0</v>
      </c>
      <c r="M448" s="386"/>
      <c r="N448" s="386"/>
      <c r="O448" s="386"/>
      <c r="P448" s="387">
        <f>'Portefeuille SP2'!M473</f>
        <v>0</v>
      </c>
      <c r="Q448" s="387"/>
      <c r="R448" s="387">
        <f>'Portefeuille SP2'!N473</f>
        <v>0</v>
      </c>
      <c r="S448" s="387"/>
      <c r="T448" s="382">
        <f>'Portefeuille SP2'!R473</f>
        <v>0</v>
      </c>
      <c r="U448" s="387">
        <f>'Portefeuille SP2'!K473</f>
        <v>0</v>
      </c>
      <c r="V448" s="399">
        <f>'Portefeuille SP2'!S473</f>
        <v>0</v>
      </c>
      <c r="W448" s="387"/>
      <c r="X448" s="387"/>
      <c r="Y448" s="387"/>
      <c r="Z448" s="387"/>
      <c r="AA448" s="387"/>
      <c r="AB448" s="387"/>
      <c r="AC448" s="387"/>
      <c r="AD448" s="387"/>
      <c r="AE448" s="400">
        <f>'Portefeuille SP2'!J473</f>
        <v>0</v>
      </c>
      <c r="AF448" s="387"/>
      <c r="AG448" s="387"/>
      <c r="AH448" s="389"/>
      <c r="AI448" s="389"/>
      <c r="AJ448" s="403">
        <f>'Portefeuille SP2'!V473</f>
        <v>0</v>
      </c>
      <c r="AK448" s="403">
        <f>'Portefeuille SP2'!W473</f>
        <v>0</v>
      </c>
      <c r="AL448" s="403">
        <f>'Portefeuille SP2'!X473</f>
        <v>0</v>
      </c>
      <c r="AM448" s="403">
        <f>'Portefeuille SP2'!Y473</f>
        <v>0</v>
      </c>
      <c r="AN448" s="403">
        <f>'Portefeuille SP2'!Z473</f>
        <v>0</v>
      </c>
      <c r="AO448" s="403">
        <f>'Portefeuille SP2'!AA473</f>
        <v>0</v>
      </c>
      <c r="AP448" s="403">
        <f>'Portefeuille SP2'!AB473</f>
        <v>0</v>
      </c>
      <c r="AQ448" s="403">
        <f>'Portefeuille SP2'!AC473</f>
        <v>0</v>
      </c>
      <c r="AR448" s="403">
        <f>'Portefeuille SP2'!AD473</f>
        <v>0</v>
      </c>
      <c r="AS448" s="403">
        <f>'Portefeuille SP2'!AE473</f>
        <v>0</v>
      </c>
      <c r="AT448" s="403">
        <f>'Portefeuille SP2'!AF473</f>
        <v>0</v>
      </c>
      <c r="AU448" s="403">
        <f>'Portefeuille SP2'!AG473</f>
        <v>0</v>
      </c>
      <c r="AV448" s="403">
        <f>'Portefeuille SP2'!AH473</f>
        <v>0</v>
      </c>
      <c r="AW448" s="403">
        <f>'Portefeuille SP2'!AI473</f>
        <v>0</v>
      </c>
      <c r="AX448" s="403">
        <f>'Portefeuille SP2'!AJ473</f>
        <v>0</v>
      </c>
      <c r="AY448" s="403">
        <f>'Portefeuille SP2'!AK473</f>
        <v>0</v>
      </c>
      <c r="AZ448" s="403">
        <f>'Portefeuille SP2'!AL473</f>
        <v>0</v>
      </c>
      <c r="BA448" s="403">
        <f>'Portefeuille SP2'!AM473</f>
        <v>0</v>
      </c>
      <c r="BB448" s="403">
        <f>'Portefeuille SP2'!AN473</f>
        <v>0</v>
      </c>
      <c r="BC448" s="403">
        <f>'Portefeuille SP2'!AO473</f>
        <v>0</v>
      </c>
      <c r="BD448" s="403">
        <f>'Portefeuille SP2'!AP473</f>
        <v>0</v>
      </c>
      <c r="BE448" s="403">
        <f>'Portefeuille SP2'!AQ473</f>
        <v>0</v>
      </c>
      <c r="BF448" s="403">
        <f>'Portefeuille SP2'!AR473</f>
        <v>0</v>
      </c>
      <c r="BG448" s="403" t="e">
        <f>'Portefeuille SP2'!#REF!</f>
        <v>#REF!</v>
      </c>
      <c r="BH448" s="403" t="e">
        <f>'Portefeuille SP2'!#REF!</f>
        <v>#REF!</v>
      </c>
      <c r="BI448" s="403" t="e">
        <f>'Portefeuille SP2'!#REF!</f>
        <v>#REF!</v>
      </c>
      <c r="BJ448" s="403" t="e">
        <f>'Portefeuille SP2'!#REF!</f>
        <v>#REF!</v>
      </c>
      <c r="BK448" s="403" t="e">
        <f>'Portefeuille SP2'!#REF!</f>
        <v>#REF!</v>
      </c>
      <c r="BL448" s="388"/>
      <c r="BM448" s="404">
        <f>'Portefeuille SP2'!L473</f>
        <v>0</v>
      </c>
    </row>
    <row r="449" spans="1:65" ht="15" customHeight="1">
      <c r="A449" s="383">
        <f>'Portefeuille SP2'!B474</f>
        <v>0</v>
      </c>
      <c r="B449" s="390">
        <f>'Portefeuille SP2'!Q474</f>
        <v>0</v>
      </c>
      <c r="C449" s="384"/>
      <c r="D449" s="382">
        <f>'Portefeuille SP2'!E474</f>
        <v>0</v>
      </c>
      <c r="E449" s="382" t="str">
        <f t="shared" si="33"/>
        <v>0</v>
      </c>
      <c r="F449" s="382" t="str">
        <f t="shared" si="34"/>
        <v/>
      </c>
      <c r="G449" s="382">
        <f>'Portefeuille SP2'!C474</f>
        <v>0</v>
      </c>
      <c r="H449" s="382">
        <f>'Portefeuille SP2'!F474</f>
        <v>0</v>
      </c>
      <c r="I449" s="382"/>
      <c r="J449" s="382">
        <f>'Portefeuille SP2'!D474</f>
        <v>0</v>
      </c>
      <c r="K449" s="385">
        <f>'Portefeuille SP2'!H474</f>
        <v>0</v>
      </c>
      <c r="L449" s="157">
        <f>'Portefeuille SP2'!U474</f>
        <v>0</v>
      </c>
      <c r="M449" s="386"/>
      <c r="N449" s="386"/>
      <c r="O449" s="386"/>
      <c r="P449" s="387">
        <f>'Portefeuille SP2'!M474</f>
        <v>0</v>
      </c>
      <c r="Q449" s="387"/>
      <c r="R449" s="387">
        <f>'Portefeuille SP2'!N474</f>
        <v>0</v>
      </c>
      <c r="S449" s="387"/>
      <c r="T449" s="382">
        <f>'Portefeuille SP2'!R474</f>
        <v>0</v>
      </c>
      <c r="U449" s="387">
        <f>'Portefeuille SP2'!K474</f>
        <v>0</v>
      </c>
      <c r="V449" s="399">
        <f>'Portefeuille SP2'!S474</f>
        <v>0</v>
      </c>
      <c r="W449" s="387"/>
      <c r="X449" s="387"/>
      <c r="Y449" s="387"/>
      <c r="Z449" s="387"/>
      <c r="AA449" s="387"/>
      <c r="AB449" s="387"/>
      <c r="AC449" s="387"/>
      <c r="AD449" s="387"/>
      <c r="AE449" s="400">
        <f>'Portefeuille SP2'!J474</f>
        <v>0</v>
      </c>
      <c r="AF449" s="387"/>
      <c r="AG449" s="387"/>
      <c r="AH449" s="389"/>
      <c r="AI449" s="389"/>
      <c r="AJ449" s="403">
        <f>'Portefeuille SP2'!V474</f>
        <v>0</v>
      </c>
      <c r="AK449" s="403">
        <f>'Portefeuille SP2'!W474</f>
        <v>0</v>
      </c>
      <c r="AL449" s="403">
        <f>'Portefeuille SP2'!X474</f>
        <v>0</v>
      </c>
      <c r="AM449" s="403">
        <f>'Portefeuille SP2'!Y474</f>
        <v>0</v>
      </c>
      <c r="AN449" s="403">
        <f>'Portefeuille SP2'!Z474</f>
        <v>0</v>
      </c>
      <c r="AO449" s="403">
        <f>'Portefeuille SP2'!AA474</f>
        <v>0</v>
      </c>
      <c r="AP449" s="403">
        <f>'Portefeuille SP2'!AB474</f>
        <v>0</v>
      </c>
      <c r="AQ449" s="403">
        <f>'Portefeuille SP2'!AC474</f>
        <v>0</v>
      </c>
      <c r="AR449" s="403">
        <f>'Portefeuille SP2'!AD474</f>
        <v>0</v>
      </c>
      <c r="AS449" s="403">
        <f>'Portefeuille SP2'!AE474</f>
        <v>0</v>
      </c>
      <c r="AT449" s="403">
        <f>'Portefeuille SP2'!AF474</f>
        <v>0</v>
      </c>
      <c r="AU449" s="403">
        <f>'Portefeuille SP2'!AG474</f>
        <v>0</v>
      </c>
      <c r="AV449" s="403">
        <f>'Portefeuille SP2'!AH474</f>
        <v>0</v>
      </c>
      <c r="AW449" s="403">
        <f>'Portefeuille SP2'!AI474</f>
        <v>0</v>
      </c>
      <c r="AX449" s="403">
        <f>'Portefeuille SP2'!AJ474</f>
        <v>0</v>
      </c>
      <c r="AY449" s="403">
        <f>'Portefeuille SP2'!AK474</f>
        <v>0</v>
      </c>
      <c r="AZ449" s="403">
        <f>'Portefeuille SP2'!AL474</f>
        <v>0</v>
      </c>
      <c r="BA449" s="403">
        <f>'Portefeuille SP2'!AM474</f>
        <v>0</v>
      </c>
      <c r="BB449" s="403">
        <f>'Portefeuille SP2'!AN474</f>
        <v>0</v>
      </c>
      <c r="BC449" s="403">
        <f>'Portefeuille SP2'!AO474</f>
        <v>0</v>
      </c>
      <c r="BD449" s="403">
        <f>'Portefeuille SP2'!AP474</f>
        <v>0</v>
      </c>
      <c r="BE449" s="403">
        <f>'Portefeuille SP2'!AQ474</f>
        <v>0</v>
      </c>
      <c r="BF449" s="403">
        <f>'Portefeuille SP2'!AR474</f>
        <v>0</v>
      </c>
      <c r="BG449" s="403" t="e">
        <f>'Portefeuille SP2'!#REF!</f>
        <v>#REF!</v>
      </c>
      <c r="BH449" s="403" t="e">
        <f>'Portefeuille SP2'!#REF!</f>
        <v>#REF!</v>
      </c>
      <c r="BI449" s="403" t="e">
        <f>'Portefeuille SP2'!#REF!</f>
        <v>#REF!</v>
      </c>
      <c r="BJ449" s="403" t="e">
        <f>'Portefeuille SP2'!#REF!</f>
        <v>#REF!</v>
      </c>
      <c r="BK449" s="403" t="e">
        <f>'Portefeuille SP2'!#REF!</f>
        <v>#REF!</v>
      </c>
      <c r="BL449" s="388"/>
      <c r="BM449" s="404">
        <f>'Portefeuille SP2'!L474</f>
        <v>0</v>
      </c>
    </row>
    <row r="450" spans="1:65" ht="15" customHeight="1">
      <c r="A450" s="383">
        <f>'Portefeuille SP2'!B475</f>
        <v>0</v>
      </c>
      <c r="B450" s="390">
        <f>'Portefeuille SP2'!Q475</f>
        <v>0</v>
      </c>
      <c r="C450" s="384"/>
      <c r="D450" s="382">
        <f>'Portefeuille SP2'!E475</f>
        <v>0</v>
      </c>
      <c r="E450" s="382" t="str">
        <f t="shared" si="33"/>
        <v>0</v>
      </c>
      <c r="F450" s="382" t="str">
        <f t="shared" si="34"/>
        <v/>
      </c>
      <c r="G450" s="382">
        <f>'Portefeuille SP2'!C475</f>
        <v>0</v>
      </c>
      <c r="H450" s="382">
        <f>'Portefeuille SP2'!F475</f>
        <v>0</v>
      </c>
      <c r="I450" s="382"/>
      <c r="J450" s="382">
        <f>'Portefeuille SP2'!D475</f>
        <v>0</v>
      </c>
      <c r="K450" s="385">
        <f>'Portefeuille SP2'!H475</f>
        <v>0</v>
      </c>
      <c r="L450" s="157">
        <f>'Portefeuille SP2'!U475</f>
        <v>0</v>
      </c>
      <c r="M450" s="386"/>
      <c r="N450" s="386"/>
      <c r="O450" s="386"/>
      <c r="P450" s="387">
        <f>'Portefeuille SP2'!M475</f>
        <v>0</v>
      </c>
      <c r="Q450" s="387"/>
      <c r="R450" s="387">
        <f>'Portefeuille SP2'!N475</f>
        <v>0</v>
      </c>
      <c r="S450" s="387"/>
      <c r="T450" s="382">
        <f>'Portefeuille SP2'!R475</f>
        <v>0</v>
      </c>
      <c r="U450" s="387">
        <f>'Portefeuille SP2'!K475</f>
        <v>0</v>
      </c>
      <c r="V450" s="399">
        <f>'Portefeuille SP2'!S475</f>
        <v>0</v>
      </c>
      <c r="W450" s="387"/>
      <c r="X450" s="387"/>
      <c r="Y450" s="387"/>
      <c r="Z450" s="387"/>
      <c r="AA450" s="387"/>
      <c r="AB450" s="387"/>
      <c r="AC450" s="387"/>
      <c r="AD450" s="387"/>
      <c r="AE450" s="400">
        <f>'Portefeuille SP2'!J475</f>
        <v>0</v>
      </c>
      <c r="AF450" s="387"/>
      <c r="AG450" s="387"/>
      <c r="AH450" s="389"/>
      <c r="AI450" s="389"/>
      <c r="AJ450" s="403">
        <f>'Portefeuille SP2'!V475</f>
        <v>0</v>
      </c>
      <c r="AK450" s="403">
        <f>'Portefeuille SP2'!W475</f>
        <v>0</v>
      </c>
      <c r="AL450" s="403">
        <f>'Portefeuille SP2'!X475</f>
        <v>0</v>
      </c>
      <c r="AM450" s="403">
        <f>'Portefeuille SP2'!Y475</f>
        <v>0</v>
      </c>
      <c r="AN450" s="403">
        <f>'Portefeuille SP2'!Z475</f>
        <v>0</v>
      </c>
      <c r="AO450" s="403">
        <f>'Portefeuille SP2'!AA475</f>
        <v>0</v>
      </c>
      <c r="AP450" s="403">
        <f>'Portefeuille SP2'!AB475</f>
        <v>0</v>
      </c>
      <c r="AQ450" s="403">
        <f>'Portefeuille SP2'!AC475</f>
        <v>0</v>
      </c>
      <c r="AR450" s="403">
        <f>'Portefeuille SP2'!AD475</f>
        <v>0</v>
      </c>
      <c r="AS450" s="403">
        <f>'Portefeuille SP2'!AE475</f>
        <v>0</v>
      </c>
      <c r="AT450" s="403">
        <f>'Portefeuille SP2'!AF475</f>
        <v>0</v>
      </c>
      <c r="AU450" s="403">
        <f>'Portefeuille SP2'!AG475</f>
        <v>0</v>
      </c>
      <c r="AV450" s="403">
        <f>'Portefeuille SP2'!AH475</f>
        <v>0</v>
      </c>
      <c r="AW450" s="403">
        <f>'Portefeuille SP2'!AI475</f>
        <v>0</v>
      </c>
      <c r="AX450" s="403">
        <f>'Portefeuille SP2'!AJ475</f>
        <v>0</v>
      </c>
      <c r="AY450" s="403">
        <f>'Portefeuille SP2'!AK475</f>
        <v>0</v>
      </c>
      <c r="AZ450" s="403">
        <f>'Portefeuille SP2'!AL475</f>
        <v>0</v>
      </c>
      <c r="BA450" s="403">
        <f>'Portefeuille SP2'!AM475</f>
        <v>0</v>
      </c>
      <c r="BB450" s="403">
        <f>'Portefeuille SP2'!AN475</f>
        <v>0</v>
      </c>
      <c r="BC450" s="403">
        <f>'Portefeuille SP2'!AO475</f>
        <v>0</v>
      </c>
      <c r="BD450" s="403">
        <f>'Portefeuille SP2'!AP475</f>
        <v>0</v>
      </c>
      <c r="BE450" s="403">
        <f>'Portefeuille SP2'!AQ475</f>
        <v>0</v>
      </c>
      <c r="BF450" s="403">
        <f>'Portefeuille SP2'!AR475</f>
        <v>0</v>
      </c>
      <c r="BG450" s="403" t="e">
        <f>'Portefeuille SP2'!#REF!</f>
        <v>#REF!</v>
      </c>
      <c r="BH450" s="403" t="e">
        <f>'Portefeuille SP2'!#REF!</f>
        <v>#REF!</v>
      </c>
      <c r="BI450" s="403" t="e">
        <f>'Portefeuille SP2'!#REF!</f>
        <v>#REF!</v>
      </c>
      <c r="BJ450" s="403" t="e">
        <f>'Portefeuille SP2'!#REF!</f>
        <v>#REF!</v>
      </c>
      <c r="BK450" s="403" t="e">
        <f>'Portefeuille SP2'!#REF!</f>
        <v>#REF!</v>
      </c>
      <c r="BL450" s="388"/>
      <c r="BM450" s="404">
        <f>'Portefeuille SP2'!L475</f>
        <v>0</v>
      </c>
    </row>
    <row r="451" spans="1:65" ht="15" customHeight="1">
      <c r="A451" s="383">
        <f>'Portefeuille SP2'!B476</f>
        <v>0</v>
      </c>
      <c r="B451" s="390">
        <f>'Portefeuille SP2'!Q476</f>
        <v>0</v>
      </c>
      <c r="C451" s="384"/>
      <c r="D451" s="382">
        <f>'Portefeuille SP2'!E476</f>
        <v>0</v>
      </c>
      <c r="E451" s="382" t="str">
        <f t="shared" si="33"/>
        <v>0</v>
      </c>
      <c r="F451" s="382" t="str">
        <f t="shared" si="34"/>
        <v/>
      </c>
      <c r="G451" s="382">
        <f>'Portefeuille SP2'!C476</f>
        <v>0</v>
      </c>
      <c r="H451" s="382">
        <f>'Portefeuille SP2'!F476</f>
        <v>0</v>
      </c>
      <c r="I451" s="382"/>
      <c r="J451" s="382">
        <f>'Portefeuille SP2'!D476</f>
        <v>0</v>
      </c>
      <c r="K451" s="385">
        <f>'Portefeuille SP2'!H476</f>
        <v>0</v>
      </c>
      <c r="L451" s="157">
        <f>'Portefeuille SP2'!U476</f>
        <v>0</v>
      </c>
      <c r="M451" s="386"/>
      <c r="N451" s="386"/>
      <c r="O451" s="386"/>
      <c r="P451" s="387">
        <f>'Portefeuille SP2'!M476</f>
        <v>0</v>
      </c>
      <c r="Q451" s="387"/>
      <c r="R451" s="387">
        <f>'Portefeuille SP2'!N476</f>
        <v>0</v>
      </c>
      <c r="S451" s="387"/>
      <c r="T451" s="382">
        <f>'Portefeuille SP2'!R476</f>
        <v>0</v>
      </c>
      <c r="U451" s="387">
        <f>'Portefeuille SP2'!K476</f>
        <v>0</v>
      </c>
      <c r="V451" s="399">
        <f>'Portefeuille SP2'!S476</f>
        <v>0</v>
      </c>
      <c r="W451" s="387"/>
      <c r="X451" s="387"/>
      <c r="Y451" s="387"/>
      <c r="Z451" s="387"/>
      <c r="AA451" s="387"/>
      <c r="AB451" s="387"/>
      <c r="AC451" s="387"/>
      <c r="AD451" s="387"/>
      <c r="AE451" s="400">
        <f>'Portefeuille SP2'!J476</f>
        <v>0</v>
      </c>
      <c r="AF451" s="387"/>
      <c r="AG451" s="387"/>
      <c r="AH451" s="389"/>
      <c r="AI451" s="389"/>
      <c r="AJ451" s="403">
        <f>'Portefeuille SP2'!V476</f>
        <v>0</v>
      </c>
      <c r="AK451" s="403">
        <f>'Portefeuille SP2'!W476</f>
        <v>0</v>
      </c>
      <c r="AL451" s="403">
        <f>'Portefeuille SP2'!X476</f>
        <v>0</v>
      </c>
      <c r="AM451" s="403">
        <f>'Portefeuille SP2'!Y476</f>
        <v>0</v>
      </c>
      <c r="AN451" s="403">
        <f>'Portefeuille SP2'!Z476</f>
        <v>0</v>
      </c>
      <c r="AO451" s="403">
        <f>'Portefeuille SP2'!AA476</f>
        <v>0</v>
      </c>
      <c r="AP451" s="403">
        <f>'Portefeuille SP2'!AB476</f>
        <v>0</v>
      </c>
      <c r="AQ451" s="403">
        <f>'Portefeuille SP2'!AC476</f>
        <v>0</v>
      </c>
      <c r="AR451" s="403">
        <f>'Portefeuille SP2'!AD476</f>
        <v>0</v>
      </c>
      <c r="AS451" s="403">
        <f>'Portefeuille SP2'!AE476</f>
        <v>0</v>
      </c>
      <c r="AT451" s="403">
        <f>'Portefeuille SP2'!AF476</f>
        <v>0</v>
      </c>
      <c r="AU451" s="403">
        <f>'Portefeuille SP2'!AG476</f>
        <v>0</v>
      </c>
      <c r="AV451" s="403">
        <f>'Portefeuille SP2'!AH476</f>
        <v>0</v>
      </c>
      <c r="AW451" s="403">
        <f>'Portefeuille SP2'!AI476</f>
        <v>0</v>
      </c>
      <c r="AX451" s="403">
        <f>'Portefeuille SP2'!AJ476</f>
        <v>0</v>
      </c>
      <c r="AY451" s="403">
        <f>'Portefeuille SP2'!AK476</f>
        <v>0</v>
      </c>
      <c r="AZ451" s="403">
        <f>'Portefeuille SP2'!AL476</f>
        <v>0</v>
      </c>
      <c r="BA451" s="403">
        <f>'Portefeuille SP2'!AM476</f>
        <v>0</v>
      </c>
      <c r="BB451" s="403">
        <f>'Portefeuille SP2'!AN476</f>
        <v>0</v>
      </c>
      <c r="BC451" s="403">
        <f>'Portefeuille SP2'!AO476</f>
        <v>0</v>
      </c>
      <c r="BD451" s="403">
        <f>'Portefeuille SP2'!AP476</f>
        <v>0</v>
      </c>
      <c r="BE451" s="403">
        <f>'Portefeuille SP2'!AQ476</f>
        <v>0</v>
      </c>
      <c r="BF451" s="403">
        <f>'Portefeuille SP2'!AR476</f>
        <v>0</v>
      </c>
      <c r="BG451" s="403" t="e">
        <f>'Portefeuille SP2'!#REF!</f>
        <v>#REF!</v>
      </c>
      <c r="BH451" s="403" t="e">
        <f>'Portefeuille SP2'!#REF!</f>
        <v>#REF!</v>
      </c>
      <c r="BI451" s="403" t="e">
        <f>'Portefeuille SP2'!#REF!</f>
        <v>#REF!</v>
      </c>
      <c r="BJ451" s="403" t="e">
        <f>'Portefeuille SP2'!#REF!</f>
        <v>#REF!</v>
      </c>
      <c r="BK451" s="403" t="e">
        <f>'Portefeuille SP2'!#REF!</f>
        <v>#REF!</v>
      </c>
      <c r="BL451" s="388"/>
      <c r="BM451" s="404">
        <f>'Portefeuille SP2'!L476</f>
        <v>0</v>
      </c>
    </row>
    <row r="452" spans="1:65" ht="15" customHeight="1">
      <c r="A452" s="383">
        <f>'Portefeuille SP2'!B477</f>
        <v>0</v>
      </c>
      <c r="B452" s="390">
        <f>'Portefeuille SP2'!Q477</f>
        <v>0</v>
      </c>
      <c r="C452" s="384"/>
      <c r="D452" s="382">
        <f>'Portefeuille SP2'!E477</f>
        <v>0</v>
      </c>
      <c r="E452" s="382" t="str">
        <f t="shared" si="33"/>
        <v>0</v>
      </c>
      <c r="F452" s="382" t="str">
        <f t="shared" si="34"/>
        <v/>
      </c>
      <c r="G452" s="382">
        <f>'Portefeuille SP2'!C477</f>
        <v>0</v>
      </c>
      <c r="H452" s="382">
        <f>'Portefeuille SP2'!F477</f>
        <v>0</v>
      </c>
      <c r="I452" s="382"/>
      <c r="J452" s="382">
        <f>'Portefeuille SP2'!D477</f>
        <v>0</v>
      </c>
      <c r="K452" s="385">
        <f>'Portefeuille SP2'!H477</f>
        <v>0</v>
      </c>
      <c r="L452" s="157">
        <f>'Portefeuille SP2'!U477</f>
        <v>0</v>
      </c>
      <c r="M452" s="386"/>
      <c r="N452" s="386"/>
      <c r="O452" s="386"/>
      <c r="P452" s="387">
        <f>'Portefeuille SP2'!M477</f>
        <v>0</v>
      </c>
      <c r="Q452" s="387"/>
      <c r="R452" s="387">
        <f>'Portefeuille SP2'!N477</f>
        <v>0</v>
      </c>
      <c r="S452" s="387"/>
      <c r="T452" s="382">
        <f>'Portefeuille SP2'!R477</f>
        <v>0</v>
      </c>
      <c r="U452" s="387">
        <f>'Portefeuille SP2'!K477</f>
        <v>0</v>
      </c>
      <c r="V452" s="399">
        <f>'Portefeuille SP2'!S477</f>
        <v>0</v>
      </c>
      <c r="W452" s="387"/>
      <c r="X452" s="387"/>
      <c r="Y452" s="387"/>
      <c r="Z452" s="387"/>
      <c r="AA452" s="387"/>
      <c r="AB452" s="387"/>
      <c r="AC452" s="387"/>
      <c r="AD452" s="387"/>
      <c r="AE452" s="400">
        <f>'Portefeuille SP2'!J477</f>
        <v>0</v>
      </c>
      <c r="AF452" s="387"/>
      <c r="AG452" s="387"/>
      <c r="AH452" s="389"/>
      <c r="AI452" s="389"/>
      <c r="AJ452" s="403">
        <f>'Portefeuille SP2'!V477</f>
        <v>0</v>
      </c>
      <c r="AK452" s="403">
        <f>'Portefeuille SP2'!W477</f>
        <v>0</v>
      </c>
      <c r="AL452" s="403">
        <f>'Portefeuille SP2'!X477</f>
        <v>0</v>
      </c>
      <c r="AM452" s="403">
        <f>'Portefeuille SP2'!Y477</f>
        <v>0</v>
      </c>
      <c r="AN452" s="403">
        <f>'Portefeuille SP2'!Z477</f>
        <v>0</v>
      </c>
      <c r="AO452" s="403">
        <f>'Portefeuille SP2'!AA477</f>
        <v>0</v>
      </c>
      <c r="AP452" s="403">
        <f>'Portefeuille SP2'!AB477</f>
        <v>0</v>
      </c>
      <c r="AQ452" s="403">
        <f>'Portefeuille SP2'!AC477</f>
        <v>0</v>
      </c>
      <c r="AR452" s="403">
        <f>'Portefeuille SP2'!AD477</f>
        <v>0</v>
      </c>
      <c r="AS452" s="403">
        <f>'Portefeuille SP2'!AE477</f>
        <v>0</v>
      </c>
      <c r="AT452" s="403">
        <f>'Portefeuille SP2'!AF477</f>
        <v>0</v>
      </c>
      <c r="AU452" s="403">
        <f>'Portefeuille SP2'!AG477</f>
        <v>0</v>
      </c>
      <c r="AV452" s="403">
        <f>'Portefeuille SP2'!AH477</f>
        <v>0</v>
      </c>
      <c r="AW452" s="403">
        <f>'Portefeuille SP2'!AI477</f>
        <v>0</v>
      </c>
      <c r="AX452" s="403">
        <f>'Portefeuille SP2'!AJ477</f>
        <v>0</v>
      </c>
      <c r="AY452" s="403">
        <f>'Portefeuille SP2'!AK477</f>
        <v>0</v>
      </c>
      <c r="AZ452" s="403">
        <f>'Portefeuille SP2'!AL477</f>
        <v>0</v>
      </c>
      <c r="BA452" s="403">
        <f>'Portefeuille SP2'!AM477</f>
        <v>0</v>
      </c>
      <c r="BB452" s="403">
        <f>'Portefeuille SP2'!AN477</f>
        <v>0</v>
      </c>
      <c r="BC452" s="403">
        <f>'Portefeuille SP2'!AO477</f>
        <v>0</v>
      </c>
      <c r="BD452" s="403">
        <f>'Portefeuille SP2'!AP477</f>
        <v>0</v>
      </c>
      <c r="BE452" s="403">
        <f>'Portefeuille SP2'!AQ477</f>
        <v>0</v>
      </c>
      <c r="BF452" s="403">
        <f>'Portefeuille SP2'!AR477</f>
        <v>0</v>
      </c>
      <c r="BG452" s="403" t="e">
        <f>'Portefeuille SP2'!#REF!</f>
        <v>#REF!</v>
      </c>
      <c r="BH452" s="403" t="e">
        <f>'Portefeuille SP2'!#REF!</f>
        <v>#REF!</v>
      </c>
      <c r="BI452" s="403" t="e">
        <f>'Portefeuille SP2'!#REF!</f>
        <v>#REF!</v>
      </c>
      <c r="BJ452" s="403" t="e">
        <f>'Portefeuille SP2'!#REF!</f>
        <v>#REF!</v>
      </c>
      <c r="BK452" s="403" t="e">
        <f>'Portefeuille SP2'!#REF!</f>
        <v>#REF!</v>
      </c>
      <c r="BL452" s="388"/>
      <c r="BM452" s="404">
        <f>'Portefeuille SP2'!L477</f>
        <v>0</v>
      </c>
    </row>
    <row r="453" spans="1:65" ht="15" customHeight="1">
      <c r="A453" s="383">
        <f>'Portefeuille SP2'!B478</f>
        <v>0</v>
      </c>
      <c r="B453" s="390">
        <f>'Portefeuille SP2'!Q478</f>
        <v>0</v>
      </c>
      <c r="C453" s="384"/>
      <c r="D453" s="382">
        <f>'Portefeuille SP2'!E478</f>
        <v>0</v>
      </c>
      <c r="E453" s="382" t="str">
        <f t="shared" si="33"/>
        <v>0</v>
      </c>
      <c r="F453" s="382" t="str">
        <f t="shared" si="34"/>
        <v/>
      </c>
      <c r="G453" s="382">
        <f>'Portefeuille SP2'!C478</f>
        <v>0</v>
      </c>
      <c r="H453" s="382">
        <f>'Portefeuille SP2'!F478</f>
        <v>0</v>
      </c>
      <c r="I453" s="382"/>
      <c r="J453" s="382">
        <f>'Portefeuille SP2'!D478</f>
        <v>0</v>
      </c>
      <c r="K453" s="385">
        <f>'Portefeuille SP2'!H478</f>
        <v>0</v>
      </c>
      <c r="L453" s="157">
        <f>'Portefeuille SP2'!U478</f>
        <v>0</v>
      </c>
      <c r="M453" s="386"/>
      <c r="N453" s="386"/>
      <c r="O453" s="386"/>
      <c r="P453" s="387">
        <f>'Portefeuille SP2'!M478</f>
        <v>0</v>
      </c>
      <c r="Q453" s="387"/>
      <c r="R453" s="387">
        <f>'Portefeuille SP2'!N478</f>
        <v>0</v>
      </c>
      <c r="S453" s="387"/>
      <c r="T453" s="382">
        <f>'Portefeuille SP2'!R478</f>
        <v>0</v>
      </c>
      <c r="U453" s="387">
        <f>'Portefeuille SP2'!K478</f>
        <v>0</v>
      </c>
      <c r="V453" s="399">
        <f>'Portefeuille SP2'!S478</f>
        <v>0</v>
      </c>
      <c r="W453" s="387"/>
      <c r="X453" s="387"/>
      <c r="Y453" s="387"/>
      <c r="Z453" s="387"/>
      <c r="AA453" s="387"/>
      <c r="AB453" s="387"/>
      <c r="AC453" s="387"/>
      <c r="AD453" s="387"/>
      <c r="AE453" s="400">
        <f>'Portefeuille SP2'!J478</f>
        <v>0</v>
      </c>
      <c r="AF453" s="387"/>
      <c r="AG453" s="387"/>
      <c r="AH453" s="389"/>
      <c r="AI453" s="389"/>
      <c r="AJ453" s="403">
        <f>'Portefeuille SP2'!V478</f>
        <v>0</v>
      </c>
      <c r="AK453" s="403">
        <f>'Portefeuille SP2'!W478</f>
        <v>0</v>
      </c>
      <c r="AL453" s="403">
        <f>'Portefeuille SP2'!X478</f>
        <v>0</v>
      </c>
      <c r="AM453" s="403">
        <f>'Portefeuille SP2'!Y478</f>
        <v>0</v>
      </c>
      <c r="AN453" s="403">
        <f>'Portefeuille SP2'!Z478</f>
        <v>0</v>
      </c>
      <c r="AO453" s="403">
        <f>'Portefeuille SP2'!AA478</f>
        <v>0</v>
      </c>
      <c r="AP453" s="403">
        <f>'Portefeuille SP2'!AB478</f>
        <v>0</v>
      </c>
      <c r="AQ453" s="403">
        <f>'Portefeuille SP2'!AC478</f>
        <v>0</v>
      </c>
      <c r="AR453" s="403">
        <f>'Portefeuille SP2'!AD478</f>
        <v>0</v>
      </c>
      <c r="AS453" s="403">
        <f>'Portefeuille SP2'!AE478</f>
        <v>0</v>
      </c>
      <c r="AT453" s="403">
        <f>'Portefeuille SP2'!AF478</f>
        <v>0</v>
      </c>
      <c r="AU453" s="403">
        <f>'Portefeuille SP2'!AG478</f>
        <v>0</v>
      </c>
      <c r="AV453" s="403">
        <f>'Portefeuille SP2'!AH478</f>
        <v>0</v>
      </c>
      <c r="AW453" s="403">
        <f>'Portefeuille SP2'!AI478</f>
        <v>0</v>
      </c>
      <c r="AX453" s="403">
        <f>'Portefeuille SP2'!AJ478</f>
        <v>0</v>
      </c>
      <c r="AY453" s="403">
        <f>'Portefeuille SP2'!AK478</f>
        <v>0</v>
      </c>
      <c r="AZ453" s="403">
        <f>'Portefeuille SP2'!AL478</f>
        <v>0</v>
      </c>
      <c r="BA453" s="403">
        <f>'Portefeuille SP2'!AM478</f>
        <v>0</v>
      </c>
      <c r="BB453" s="403">
        <f>'Portefeuille SP2'!AN478</f>
        <v>0</v>
      </c>
      <c r="BC453" s="403">
        <f>'Portefeuille SP2'!AO478</f>
        <v>0</v>
      </c>
      <c r="BD453" s="403">
        <f>'Portefeuille SP2'!AP478</f>
        <v>0</v>
      </c>
      <c r="BE453" s="403">
        <f>'Portefeuille SP2'!AQ478</f>
        <v>0</v>
      </c>
      <c r="BF453" s="403">
        <f>'Portefeuille SP2'!AR478</f>
        <v>0</v>
      </c>
      <c r="BG453" s="403" t="e">
        <f>'Portefeuille SP2'!#REF!</f>
        <v>#REF!</v>
      </c>
      <c r="BH453" s="403" t="e">
        <f>'Portefeuille SP2'!#REF!</f>
        <v>#REF!</v>
      </c>
      <c r="BI453" s="403" t="e">
        <f>'Portefeuille SP2'!#REF!</f>
        <v>#REF!</v>
      </c>
      <c r="BJ453" s="403" t="e">
        <f>'Portefeuille SP2'!#REF!</f>
        <v>#REF!</v>
      </c>
      <c r="BK453" s="403" t="e">
        <f>'Portefeuille SP2'!#REF!</f>
        <v>#REF!</v>
      </c>
      <c r="BL453" s="388"/>
      <c r="BM453" s="404">
        <f>'Portefeuille SP2'!L478</f>
        <v>0</v>
      </c>
    </row>
    <row r="454" spans="1:65" ht="15" customHeight="1">
      <c r="A454" s="383">
        <f>'Portefeuille SP2'!B479</f>
        <v>0</v>
      </c>
      <c r="B454" s="390">
        <f>'Portefeuille SP2'!Q479</f>
        <v>0</v>
      </c>
      <c r="C454" s="384"/>
      <c r="D454" s="382">
        <f>'Portefeuille SP2'!E479</f>
        <v>0</v>
      </c>
      <c r="E454" s="382" t="str">
        <f t="shared" si="33"/>
        <v>0</v>
      </c>
      <c r="F454" s="382" t="str">
        <f t="shared" si="34"/>
        <v/>
      </c>
      <c r="G454" s="382">
        <f>'Portefeuille SP2'!C479</f>
        <v>0</v>
      </c>
      <c r="H454" s="382">
        <f>'Portefeuille SP2'!F479</f>
        <v>0</v>
      </c>
      <c r="I454" s="382"/>
      <c r="J454" s="382">
        <f>'Portefeuille SP2'!D479</f>
        <v>0</v>
      </c>
      <c r="K454" s="385">
        <f>'Portefeuille SP2'!H479</f>
        <v>0</v>
      </c>
      <c r="L454" s="157">
        <f>'Portefeuille SP2'!U479</f>
        <v>0</v>
      </c>
      <c r="M454" s="386"/>
      <c r="N454" s="386"/>
      <c r="O454" s="386"/>
      <c r="P454" s="387">
        <f>'Portefeuille SP2'!M479</f>
        <v>0</v>
      </c>
      <c r="Q454" s="387"/>
      <c r="R454" s="387">
        <f>'Portefeuille SP2'!N479</f>
        <v>0</v>
      </c>
      <c r="S454" s="387"/>
      <c r="T454" s="382">
        <f>'Portefeuille SP2'!R479</f>
        <v>0</v>
      </c>
      <c r="U454" s="387">
        <f>'Portefeuille SP2'!K479</f>
        <v>0</v>
      </c>
      <c r="V454" s="399">
        <f>'Portefeuille SP2'!S479</f>
        <v>0</v>
      </c>
      <c r="W454" s="387"/>
      <c r="X454" s="387"/>
      <c r="Y454" s="387"/>
      <c r="Z454" s="387"/>
      <c r="AA454" s="387"/>
      <c r="AB454" s="387"/>
      <c r="AC454" s="387"/>
      <c r="AD454" s="387"/>
      <c r="AE454" s="400">
        <f>'Portefeuille SP2'!J479</f>
        <v>0</v>
      </c>
      <c r="AF454" s="387"/>
      <c r="AG454" s="387"/>
      <c r="AH454" s="389"/>
      <c r="AI454" s="389"/>
      <c r="AJ454" s="403">
        <f>'Portefeuille SP2'!V479</f>
        <v>0</v>
      </c>
      <c r="AK454" s="403">
        <f>'Portefeuille SP2'!W479</f>
        <v>0</v>
      </c>
      <c r="AL454" s="403">
        <f>'Portefeuille SP2'!X479</f>
        <v>0</v>
      </c>
      <c r="AM454" s="403">
        <f>'Portefeuille SP2'!Y479</f>
        <v>0</v>
      </c>
      <c r="AN454" s="403">
        <f>'Portefeuille SP2'!Z479</f>
        <v>0</v>
      </c>
      <c r="AO454" s="403">
        <f>'Portefeuille SP2'!AA479</f>
        <v>0</v>
      </c>
      <c r="AP454" s="403">
        <f>'Portefeuille SP2'!AB479</f>
        <v>0</v>
      </c>
      <c r="AQ454" s="403">
        <f>'Portefeuille SP2'!AC479</f>
        <v>0</v>
      </c>
      <c r="AR454" s="403">
        <f>'Portefeuille SP2'!AD479</f>
        <v>0</v>
      </c>
      <c r="AS454" s="403">
        <f>'Portefeuille SP2'!AE479</f>
        <v>0</v>
      </c>
      <c r="AT454" s="403">
        <f>'Portefeuille SP2'!AF479</f>
        <v>0</v>
      </c>
      <c r="AU454" s="403">
        <f>'Portefeuille SP2'!AG479</f>
        <v>0</v>
      </c>
      <c r="AV454" s="403">
        <f>'Portefeuille SP2'!AH479</f>
        <v>0</v>
      </c>
      <c r="AW454" s="403">
        <f>'Portefeuille SP2'!AI479</f>
        <v>0</v>
      </c>
      <c r="AX454" s="403">
        <f>'Portefeuille SP2'!AJ479</f>
        <v>0</v>
      </c>
      <c r="AY454" s="403">
        <f>'Portefeuille SP2'!AK479</f>
        <v>0</v>
      </c>
      <c r="AZ454" s="403">
        <f>'Portefeuille SP2'!AL479</f>
        <v>0</v>
      </c>
      <c r="BA454" s="403">
        <f>'Portefeuille SP2'!AM479</f>
        <v>0</v>
      </c>
      <c r="BB454" s="403">
        <f>'Portefeuille SP2'!AN479</f>
        <v>0</v>
      </c>
      <c r="BC454" s="403">
        <f>'Portefeuille SP2'!AO479</f>
        <v>0</v>
      </c>
      <c r="BD454" s="403">
        <f>'Portefeuille SP2'!AP479</f>
        <v>0</v>
      </c>
      <c r="BE454" s="403">
        <f>'Portefeuille SP2'!AQ479</f>
        <v>0</v>
      </c>
      <c r="BF454" s="403">
        <f>'Portefeuille SP2'!AR479</f>
        <v>0</v>
      </c>
      <c r="BG454" s="403" t="e">
        <f>'Portefeuille SP2'!#REF!</f>
        <v>#REF!</v>
      </c>
      <c r="BH454" s="403" t="e">
        <f>'Portefeuille SP2'!#REF!</f>
        <v>#REF!</v>
      </c>
      <c r="BI454" s="403" t="e">
        <f>'Portefeuille SP2'!#REF!</f>
        <v>#REF!</v>
      </c>
      <c r="BJ454" s="403" t="e">
        <f>'Portefeuille SP2'!#REF!</f>
        <v>#REF!</v>
      </c>
      <c r="BK454" s="403" t="e">
        <f>'Portefeuille SP2'!#REF!</f>
        <v>#REF!</v>
      </c>
      <c r="BL454" s="388"/>
      <c r="BM454" s="404">
        <f>'Portefeuille SP2'!L479</f>
        <v>0</v>
      </c>
    </row>
    <row r="455" spans="1:65" ht="15" customHeight="1">
      <c r="A455" s="383">
        <f>'Portefeuille SP2'!B480</f>
        <v>0</v>
      </c>
      <c r="B455" s="390">
        <f>'Portefeuille SP2'!Q480</f>
        <v>0</v>
      </c>
      <c r="C455" s="384"/>
      <c r="D455" s="382">
        <f>'Portefeuille SP2'!E480</f>
        <v>0</v>
      </c>
      <c r="E455" s="382" t="str">
        <f t="shared" si="33"/>
        <v>0</v>
      </c>
      <c r="F455" s="382" t="str">
        <f t="shared" si="34"/>
        <v/>
      </c>
      <c r="G455" s="382">
        <f>'Portefeuille SP2'!C480</f>
        <v>0</v>
      </c>
      <c r="H455" s="382">
        <f>'Portefeuille SP2'!F480</f>
        <v>0</v>
      </c>
      <c r="I455" s="382"/>
      <c r="J455" s="382">
        <f>'Portefeuille SP2'!D480</f>
        <v>0</v>
      </c>
      <c r="K455" s="385">
        <f>'Portefeuille SP2'!H480</f>
        <v>0</v>
      </c>
      <c r="L455" s="157">
        <f>'Portefeuille SP2'!U480</f>
        <v>0</v>
      </c>
      <c r="M455" s="386"/>
      <c r="N455" s="386"/>
      <c r="O455" s="386"/>
      <c r="P455" s="387">
        <f>'Portefeuille SP2'!M480</f>
        <v>0</v>
      </c>
      <c r="Q455" s="387"/>
      <c r="R455" s="387">
        <f>'Portefeuille SP2'!N480</f>
        <v>0</v>
      </c>
      <c r="S455" s="387"/>
      <c r="T455" s="382">
        <f>'Portefeuille SP2'!R480</f>
        <v>0</v>
      </c>
      <c r="U455" s="387">
        <f>'Portefeuille SP2'!K480</f>
        <v>0</v>
      </c>
      <c r="V455" s="399">
        <f>'Portefeuille SP2'!S480</f>
        <v>0</v>
      </c>
      <c r="W455" s="387"/>
      <c r="X455" s="387"/>
      <c r="Y455" s="387"/>
      <c r="Z455" s="387"/>
      <c r="AA455" s="387"/>
      <c r="AB455" s="387"/>
      <c r="AC455" s="387"/>
      <c r="AD455" s="387"/>
      <c r="AE455" s="400">
        <f>'Portefeuille SP2'!J480</f>
        <v>0</v>
      </c>
      <c r="AF455" s="387"/>
      <c r="AG455" s="387"/>
      <c r="AH455" s="389"/>
      <c r="AI455" s="389"/>
      <c r="AJ455" s="403">
        <f>'Portefeuille SP2'!V480</f>
        <v>0</v>
      </c>
      <c r="AK455" s="403">
        <f>'Portefeuille SP2'!W480</f>
        <v>0</v>
      </c>
      <c r="AL455" s="403">
        <f>'Portefeuille SP2'!X480</f>
        <v>0</v>
      </c>
      <c r="AM455" s="403">
        <f>'Portefeuille SP2'!Y480</f>
        <v>0</v>
      </c>
      <c r="AN455" s="403">
        <f>'Portefeuille SP2'!Z480</f>
        <v>0</v>
      </c>
      <c r="AO455" s="403">
        <f>'Portefeuille SP2'!AA480</f>
        <v>0</v>
      </c>
      <c r="AP455" s="403">
        <f>'Portefeuille SP2'!AB480</f>
        <v>0</v>
      </c>
      <c r="AQ455" s="403">
        <f>'Portefeuille SP2'!AC480</f>
        <v>0</v>
      </c>
      <c r="AR455" s="403">
        <f>'Portefeuille SP2'!AD480</f>
        <v>0</v>
      </c>
      <c r="AS455" s="403">
        <f>'Portefeuille SP2'!AE480</f>
        <v>0</v>
      </c>
      <c r="AT455" s="403">
        <f>'Portefeuille SP2'!AF480</f>
        <v>0</v>
      </c>
      <c r="AU455" s="403">
        <f>'Portefeuille SP2'!AG480</f>
        <v>0</v>
      </c>
      <c r="AV455" s="403">
        <f>'Portefeuille SP2'!AH480</f>
        <v>0</v>
      </c>
      <c r="AW455" s="403">
        <f>'Portefeuille SP2'!AI480</f>
        <v>0</v>
      </c>
      <c r="AX455" s="403">
        <f>'Portefeuille SP2'!AJ480</f>
        <v>0</v>
      </c>
      <c r="AY455" s="403">
        <f>'Portefeuille SP2'!AK480</f>
        <v>0</v>
      </c>
      <c r="AZ455" s="403">
        <f>'Portefeuille SP2'!AL480</f>
        <v>0</v>
      </c>
      <c r="BA455" s="403">
        <f>'Portefeuille SP2'!AM480</f>
        <v>0</v>
      </c>
      <c r="BB455" s="403">
        <f>'Portefeuille SP2'!AN480</f>
        <v>0</v>
      </c>
      <c r="BC455" s="403">
        <f>'Portefeuille SP2'!AO480</f>
        <v>0</v>
      </c>
      <c r="BD455" s="403">
        <f>'Portefeuille SP2'!AP480</f>
        <v>0</v>
      </c>
      <c r="BE455" s="403">
        <f>'Portefeuille SP2'!AQ480</f>
        <v>0</v>
      </c>
      <c r="BF455" s="403">
        <f>'Portefeuille SP2'!AR480</f>
        <v>0</v>
      </c>
      <c r="BG455" s="403" t="e">
        <f>'Portefeuille SP2'!#REF!</f>
        <v>#REF!</v>
      </c>
      <c r="BH455" s="403" t="e">
        <f>'Portefeuille SP2'!#REF!</f>
        <v>#REF!</v>
      </c>
      <c r="BI455" s="403" t="e">
        <f>'Portefeuille SP2'!#REF!</f>
        <v>#REF!</v>
      </c>
      <c r="BJ455" s="403" t="e">
        <f>'Portefeuille SP2'!#REF!</f>
        <v>#REF!</v>
      </c>
      <c r="BK455" s="403" t="e">
        <f>'Portefeuille SP2'!#REF!</f>
        <v>#REF!</v>
      </c>
      <c r="BL455" s="388"/>
      <c r="BM455" s="404">
        <f>'Portefeuille SP2'!L480</f>
        <v>0</v>
      </c>
    </row>
    <row r="456" spans="1:65" ht="15" customHeight="1">
      <c r="A456" s="383">
        <f>'Portefeuille SP2'!B481</f>
        <v>0</v>
      </c>
      <c r="B456" s="390">
        <f>'Portefeuille SP2'!Q481</f>
        <v>0</v>
      </c>
      <c r="C456" s="384"/>
      <c r="D456" s="382">
        <f>'Portefeuille SP2'!E481</f>
        <v>0</v>
      </c>
      <c r="E456" s="382" t="str">
        <f t="shared" si="33"/>
        <v>0</v>
      </c>
      <c r="F456" s="382" t="str">
        <f t="shared" si="34"/>
        <v/>
      </c>
      <c r="G456" s="382">
        <f>'Portefeuille SP2'!C481</f>
        <v>0</v>
      </c>
      <c r="H456" s="382">
        <f>'Portefeuille SP2'!F481</f>
        <v>0</v>
      </c>
      <c r="I456" s="382"/>
      <c r="J456" s="382">
        <f>'Portefeuille SP2'!D481</f>
        <v>0</v>
      </c>
      <c r="K456" s="385">
        <f>'Portefeuille SP2'!H481</f>
        <v>0</v>
      </c>
      <c r="L456" s="157">
        <f>'Portefeuille SP2'!U481</f>
        <v>0</v>
      </c>
      <c r="M456" s="386"/>
      <c r="N456" s="386"/>
      <c r="O456" s="386"/>
      <c r="P456" s="387">
        <f>'Portefeuille SP2'!M481</f>
        <v>0</v>
      </c>
      <c r="Q456" s="387"/>
      <c r="R456" s="387">
        <f>'Portefeuille SP2'!N481</f>
        <v>0</v>
      </c>
      <c r="S456" s="387"/>
      <c r="T456" s="382">
        <f>'Portefeuille SP2'!R481</f>
        <v>0</v>
      </c>
      <c r="U456" s="387">
        <f>'Portefeuille SP2'!K481</f>
        <v>0</v>
      </c>
      <c r="V456" s="399">
        <f>'Portefeuille SP2'!S481</f>
        <v>0</v>
      </c>
      <c r="W456" s="387"/>
      <c r="X456" s="387"/>
      <c r="Y456" s="387"/>
      <c r="Z456" s="387"/>
      <c r="AA456" s="387"/>
      <c r="AB456" s="387"/>
      <c r="AC456" s="387"/>
      <c r="AD456" s="387"/>
      <c r="AE456" s="400">
        <f>'Portefeuille SP2'!J481</f>
        <v>0</v>
      </c>
      <c r="AF456" s="387"/>
      <c r="AG456" s="387"/>
      <c r="AH456" s="389"/>
      <c r="AI456" s="389"/>
      <c r="AJ456" s="403">
        <f>'Portefeuille SP2'!V481</f>
        <v>0</v>
      </c>
      <c r="AK456" s="403">
        <f>'Portefeuille SP2'!W481</f>
        <v>0</v>
      </c>
      <c r="AL456" s="403">
        <f>'Portefeuille SP2'!X481</f>
        <v>0</v>
      </c>
      <c r="AM456" s="403">
        <f>'Portefeuille SP2'!Y481</f>
        <v>0</v>
      </c>
      <c r="AN456" s="403">
        <f>'Portefeuille SP2'!Z481</f>
        <v>0</v>
      </c>
      <c r="AO456" s="403">
        <f>'Portefeuille SP2'!AA481</f>
        <v>0</v>
      </c>
      <c r="AP456" s="403">
        <f>'Portefeuille SP2'!AB481</f>
        <v>0</v>
      </c>
      <c r="AQ456" s="403">
        <f>'Portefeuille SP2'!AC481</f>
        <v>0</v>
      </c>
      <c r="AR456" s="403">
        <f>'Portefeuille SP2'!AD481</f>
        <v>0</v>
      </c>
      <c r="AS456" s="403">
        <f>'Portefeuille SP2'!AE481</f>
        <v>0</v>
      </c>
      <c r="AT456" s="403">
        <f>'Portefeuille SP2'!AF481</f>
        <v>0</v>
      </c>
      <c r="AU456" s="403">
        <f>'Portefeuille SP2'!AG481</f>
        <v>0</v>
      </c>
      <c r="AV456" s="403">
        <f>'Portefeuille SP2'!AH481</f>
        <v>0</v>
      </c>
      <c r="AW456" s="403">
        <f>'Portefeuille SP2'!AI481</f>
        <v>0</v>
      </c>
      <c r="AX456" s="403">
        <f>'Portefeuille SP2'!AJ481</f>
        <v>0</v>
      </c>
      <c r="AY456" s="403">
        <f>'Portefeuille SP2'!AK481</f>
        <v>0</v>
      </c>
      <c r="AZ456" s="403">
        <f>'Portefeuille SP2'!AL481</f>
        <v>0</v>
      </c>
      <c r="BA456" s="403">
        <f>'Portefeuille SP2'!AM481</f>
        <v>0</v>
      </c>
      <c r="BB456" s="403">
        <f>'Portefeuille SP2'!AN481</f>
        <v>0</v>
      </c>
      <c r="BC456" s="403">
        <f>'Portefeuille SP2'!AO481</f>
        <v>0</v>
      </c>
      <c r="BD456" s="403">
        <f>'Portefeuille SP2'!AP481</f>
        <v>0</v>
      </c>
      <c r="BE456" s="403">
        <f>'Portefeuille SP2'!AQ481</f>
        <v>0</v>
      </c>
      <c r="BF456" s="403">
        <f>'Portefeuille SP2'!AR481</f>
        <v>0</v>
      </c>
      <c r="BG456" s="403" t="e">
        <f>'Portefeuille SP2'!#REF!</f>
        <v>#REF!</v>
      </c>
      <c r="BH456" s="403" t="e">
        <f>'Portefeuille SP2'!#REF!</f>
        <v>#REF!</v>
      </c>
      <c r="BI456" s="403" t="e">
        <f>'Portefeuille SP2'!#REF!</f>
        <v>#REF!</v>
      </c>
      <c r="BJ456" s="403" t="e">
        <f>'Portefeuille SP2'!#REF!</f>
        <v>#REF!</v>
      </c>
      <c r="BK456" s="403" t="e">
        <f>'Portefeuille SP2'!#REF!</f>
        <v>#REF!</v>
      </c>
      <c r="BL456" s="388"/>
      <c r="BM456" s="404">
        <f>'Portefeuille SP2'!L481</f>
        <v>0</v>
      </c>
    </row>
    <row r="457" spans="1:65" ht="15" customHeight="1">
      <c r="A457" s="383">
        <f>'Portefeuille SP2'!B482</f>
        <v>0</v>
      </c>
      <c r="B457" s="390">
        <f>'Portefeuille SP2'!Q482</f>
        <v>0</v>
      </c>
      <c r="C457" s="384"/>
      <c r="D457" s="382">
        <f>'Portefeuille SP2'!E482</f>
        <v>0</v>
      </c>
      <c r="E457" s="382" t="str">
        <f t="shared" ref="E457:E520" si="35">LEFT(J457,3)</f>
        <v>0</v>
      </c>
      <c r="F457" s="382" t="str">
        <f t="shared" ref="F457:F520" si="36">MID(J457, 6, 20)</f>
        <v/>
      </c>
      <c r="G457" s="382">
        <f>'Portefeuille SP2'!C482</f>
        <v>0</v>
      </c>
      <c r="H457" s="382">
        <f>'Portefeuille SP2'!F482</f>
        <v>0</v>
      </c>
      <c r="I457" s="382"/>
      <c r="J457" s="382">
        <f>'Portefeuille SP2'!D482</f>
        <v>0</v>
      </c>
      <c r="K457" s="385">
        <f>'Portefeuille SP2'!H482</f>
        <v>0</v>
      </c>
      <c r="L457" s="157">
        <f>'Portefeuille SP2'!U482</f>
        <v>0</v>
      </c>
      <c r="M457" s="386"/>
      <c r="N457" s="386"/>
      <c r="O457" s="386"/>
      <c r="P457" s="387">
        <f>'Portefeuille SP2'!M482</f>
        <v>0</v>
      </c>
      <c r="Q457" s="387"/>
      <c r="R457" s="387">
        <f>'Portefeuille SP2'!N482</f>
        <v>0</v>
      </c>
      <c r="S457" s="387"/>
      <c r="T457" s="382">
        <f>'Portefeuille SP2'!R482</f>
        <v>0</v>
      </c>
      <c r="U457" s="387">
        <f>'Portefeuille SP2'!K482</f>
        <v>0</v>
      </c>
      <c r="V457" s="399">
        <f>'Portefeuille SP2'!S482</f>
        <v>0</v>
      </c>
      <c r="W457" s="387"/>
      <c r="X457" s="387"/>
      <c r="Y457" s="387"/>
      <c r="Z457" s="387"/>
      <c r="AA457" s="387"/>
      <c r="AB457" s="387"/>
      <c r="AC457" s="387"/>
      <c r="AD457" s="387"/>
      <c r="AE457" s="400">
        <f>'Portefeuille SP2'!J482</f>
        <v>0</v>
      </c>
      <c r="AF457" s="387"/>
      <c r="AG457" s="387"/>
      <c r="AH457" s="389"/>
      <c r="AI457" s="389"/>
      <c r="AJ457" s="403">
        <f>'Portefeuille SP2'!V482</f>
        <v>0</v>
      </c>
      <c r="AK457" s="403">
        <f>'Portefeuille SP2'!W482</f>
        <v>0</v>
      </c>
      <c r="AL457" s="403">
        <f>'Portefeuille SP2'!X482</f>
        <v>0</v>
      </c>
      <c r="AM457" s="403">
        <f>'Portefeuille SP2'!Y482</f>
        <v>0</v>
      </c>
      <c r="AN457" s="403">
        <f>'Portefeuille SP2'!Z482</f>
        <v>0</v>
      </c>
      <c r="AO457" s="403">
        <f>'Portefeuille SP2'!AA482</f>
        <v>0</v>
      </c>
      <c r="AP457" s="403">
        <f>'Portefeuille SP2'!AB482</f>
        <v>0</v>
      </c>
      <c r="AQ457" s="403">
        <f>'Portefeuille SP2'!AC482</f>
        <v>0</v>
      </c>
      <c r="AR457" s="403">
        <f>'Portefeuille SP2'!AD482</f>
        <v>0</v>
      </c>
      <c r="AS457" s="403">
        <f>'Portefeuille SP2'!AE482</f>
        <v>0</v>
      </c>
      <c r="AT457" s="403">
        <f>'Portefeuille SP2'!AF482</f>
        <v>0</v>
      </c>
      <c r="AU457" s="403">
        <f>'Portefeuille SP2'!AG482</f>
        <v>0</v>
      </c>
      <c r="AV457" s="403">
        <f>'Portefeuille SP2'!AH482</f>
        <v>0</v>
      </c>
      <c r="AW457" s="403">
        <f>'Portefeuille SP2'!AI482</f>
        <v>0</v>
      </c>
      <c r="AX457" s="403">
        <f>'Portefeuille SP2'!AJ482</f>
        <v>0</v>
      </c>
      <c r="AY457" s="403">
        <f>'Portefeuille SP2'!AK482</f>
        <v>0</v>
      </c>
      <c r="AZ457" s="403">
        <f>'Portefeuille SP2'!AL482</f>
        <v>0</v>
      </c>
      <c r="BA457" s="403">
        <f>'Portefeuille SP2'!AM482</f>
        <v>0</v>
      </c>
      <c r="BB457" s="403">
        <f>'Portefeuille SP2'!AN482</f>
        <v>0</v>
      </c>
      <c r="BC457" s="403">
        <f>'Portefeuille SP2'!AO482</f>
        <v>0</v>
      </c>
      <c r="BD457" s="403">
        <f>'Portefeuille SP2'!AP482</f>
        <v>0</v>
      </c>
      <c r="BE457" s="403">
        <f>'Portefeuille SP2'!AQ482</f>
        <v>0</v>
      </c>
      <c r="BF457" s="403">
        <f>'Portefeuille SP2'!AR482</f>
        <v>0</v>
      </c>
      <c r="BG457" s="403" t="e">
        <f>'Portefeuille SP2'!#REF!</f>
        <v>#REF!</v>
      </c>
      <c r="BH457" s="403" t="e">
        <f>'Portefeuille SP2'!#REF!</f>
        <v>#REF!</v>
      </c>
      <c r="BI457" s="403" t="e">
        <f>'Portefeuille SP2'!#REF!</f>
        <v>#REF!</v>
      </c>
      <c r="BJ457" s="403" t="e">
        <f>'Portefeuille SP2'!#REF!</f>
        <v>#REF!</v>
      </c>
      <c r="BK457" s="403" t="e">
        <f>'Portefeuille SP2'!#REF!</f>
        <v>#REF!</v>
      </c>
      <c r="BL457" s="388"/>
      <c r="BM457" s="404">
        <f>'Portefeuille SP2'!L482</f>
        <v>0</v>
      </c>
    </row>
    <row r="458" spans="1:65" ht="15" customHeight="1">
      <c r="A458" s="383">
        <f>'Portefeuille SP2'!B483</f>
        <v>0</v>
      </c>
      <c r="B458" s="390">
        <f>'Portefeuille SP2'!Q483</f>
        <v>0</v>
      </c>
      <c r="C458" s="384"/>
      <c r="D458" s="382">
        <f>'Portefeuille SP2'!E483</f>
        <v>0</v>
      </c>
      <c r="E458" s="382" t="str">
        <f t="shared" si="35"/>
        <v>0</v>
      </c>
      <c r="F458" s="382" t="str">
        <f t="shared" si="36"/>
        <v/>
      </c>
      <c r="G458" s="382">
        <f>'Portefeuille SP2'!C483</f>
        <v>0</v>
      </c>
      <c r="H458" s="382">
        <f>'Portefeuille SP2'!F483</f>
        <v>0</v>
      </c>
      <c r="I458" s="382"/>
      <c r="J458" s="382">
        <f>'Portefeuille SP2'!D483</f>
        <v>0</v>
      </c>
      <c r="K458" s="385">
        <f>'Portefeuille SP2'!H483</f>
        <v>0</v>
      </c>
      <c r="L458" s="157">
        <f>'Portefeuille SP2'!U483</f>
        <v>0</v>
      </c>
      <c r="M458" s="386"/>
      <c r="N458" s="386"/>
      <c r="O458" s="386"/>
      <c r="P458" s="387">
        <f>'Portefeuille SP2'!M483</f>
        <v>0</v>
      </c>
      <c r="Q458" s="387"/>
      <c r="R458" s="387">
        <f>'Portefeuille SP2'!N483</f>
        <v>0</v>
      </c>
      <c r="S458" s="387"/>
      <c r="T458" s="382">
        <f>'Portefeuille SP2'!R483</f>
        <v>0</v>
      </c>
      <c r="U458" s="387">
        <f>'Portefeuille SP2'!K483</f>
        <v>0</v>
      </c>
      <c r="V458" s="399">
        <f>'Portefeuille SP2'!S483</f>
        <v>0</v>
      </c>
      <c r="W458" s="387"/>
      <c r="X458" s="387"/>
      <c r="Y458" s="387"/>
      <c r="Z458" s="387"/>
      <c r="AA458" s="387"/>
      <c r="AB458" s="387"/>
      <c r="AC458" s="387"/>
      <c r="AD458" s="387"/>
      <c r="AE458" s="400">
        <f>'Portefeuille SP2'!J483</f>
        <v>0</v>
      </c>
      <c r="AF458" s="387"/>
      <c r="AG458" s="387"/>
      <c r="AH458" s="389"/>
      <c r="AI458" s="389"/>
      <c r="AJ458" s="403">
        <f>'Portefeuille SP2'!V483</f>
        <v>0</v>
      </c>
      <c r="AK458" s="403">
        <f>'Portefeuille SP2'!W483</f>
        <v>0</v>
      </c>
      <c r="AL458" s="403">
        <f>'Portefeuille SP2'!X483</f>
        <v>0</v>
      </c>
      <c r="AM458" s="403">
        <f>'Portefeuille SP2'!Y483</f>
        <v>0</v>
      </c>
      <c r="AN458" s="403">
        <f>'Portefeuille SP2'!Z483</f>
        <v>0</v>
      </c>
      <c r="AO458" s="403">
        <f>'Portefeuille SP2'!AA483</f>
        <v>0</v>
      </c>
      <c r="AP458" s="403">
        <f>'Portefeuille SP2'!AB483</f>
        <v>0</v>
      </c>
      <c r="AQ458" s="403">
        <f>'Portefeuille SP2'!AC483</f>
        <v>0</v>
      </c>
      <c r="AR458" s="403">
        <f>'Portefeuille SP2'!AD483</f>
        <v>0</v>
      </c>
      <c r="AS458" s="403">
        <f>'Portefeuille SP2'!AE483</f>
        <v>0</v>
      </c>
      <c r="AT458" s="403">
        <f>'Portefeuille SP2'!AF483</f>
        <v>0</v>
      </c>
      <c r="AU458" s="403">
        <f>'Portefeuille SP2'!AG483</f>
        <v>0</v>
      </c>
      <c r="AV458" s="403">
        <f>'Portefeuille SP2'!AH483</f>
        <v>0</v>
      </c>
      <c r="AW458" s="403">
        <f>'Portefeuille SP2'!AI483</f>
        <v>0</v>
      </c>
      <c r="AX458" s="403">
        <f>'Portefeuille SP2'!AJ483</f>
        <v>0</v>
      </c>
      <c r="AY458" s="403">
        <f>'Portefeuille SP2'!AK483</f>
        <v>0</v>
      </c>
      <c r="AZ458" s="403">
        <f>'Portefeuille SP2'!AL483</f>
        <v>0</v>
      </c>
      <c r="BA458" s="403">
        <f>'Portefeuille SP2'!AM483</f>
        <v>0</v>
      </c>
      <c r="BB458" s="403">
        <f>'Portefeuille SP2'!AN483</f>
        <v>0</v>
      </c>
      <c r="BC458" s="403">
        <f>'Portefeuille SP2'!AO483</f>
        <v>0</v>
      </c>
      <c r="BD458" s="403">
        <f>'Portefeuille SP2'!AP483</f>
        <v>0</v>
      </c>
      <c r="BE458" s="403">
        <f>'Portefeuille SP2'!AQ483</f>
        <v>0</v>
      </c>
      <c r="BF458" s="403">
        <f>'Portefeuille SP2'!AR483</f>
        <v>0</v>
      </c>
      <c r="BG458" s="403" t="e">
        <f>'Portefeuille SP2'!#REF!</f>
        <v>#REF!</v>
      </c>
      <c r="BH458" s="403" t="e">
        <f>'Portefeuille SP2'!#REF!</f>
        <v>#REF!</v>
      </c>
      <c r="BI458" s="403" t="e">
        <f>'Portefeuille SP2'!#REF!</f>
        <v>#REF!</v>
      </c>
      <c r="BJ458" s="403" t="e">
        <f>'Portefeuille SP2'!#REF!</f>
        <v>#REF!</v>
      </c>
      <c r="BK458" s="403" t="e">
        <f>'Portefeuille SP2'!#REF!</f>
        <v>#REF!</v>
      </c>
      <c r="BL458" s="388"/>
      <c r="BM458" s="404">
        <f>'Portefeuille SP2'!L483</f>
        <v>0</v>
      </c>
    </row>
    <row r="459" spans="1:65" ht="15" customHeight="1">
      <c r="A459" s="383">
        <f>'Portefeuille SP2'!B484</f>
        <v>0</v>
      </c>
      <c r="B459" s="390">
        <f>'Portefeuille SP2'!Q484</f>
        <v>0</v>
      </c>
      <c r="C459" s="384"/>
      <c r="D459" s="382">
        <f>'Portefeuille SP2'!E484</f>
        <v>0</v>
      </c>
      <c r="E459" s="382" t="str">
        <f t="shared" si="35"/>
        <v>0</v>
      </c>
      <c r="F459" s="382" t="str">
        <f t="shared" si="36"/>
        <v/>
      </c>
      <c r="G459" s="382">
        <f>'Portefeuille SP2'!C484</f>
        <v>0</v>
      </c>
      <c r="H459" s="382">
        <f>'Portefeuille SP2'!F484</f>
        <v>0</v>
      </c>
      <c r="I459" s="382"/>
      <c r="J459" s="382">
        <f>'Portefeuille SP2'!D484</f>
        <v>0</v>
      </c>
      <c r="K459" s="385">
        <f>'Portefeuille SP2'!H484</f>
        <v>0</v>
      </c>
      <c r="L459" s="157">
        <f>'Portefeuille SP2'!U484</f>
        <v>0</v>
      </c>
      <c r="M459" s="386"/>
      <c r="N459" s="386"/>
      <c r="O459" s="386"/>
      <c r="P459" s="387">
        <f>'Portefeuille SP2'!M484</f>
        <v>0</v>
      </c>
      <c r="Q459" s="387"/>
      <c r="R459" s="387">
        <f>'Portefeuille SP2'!N484</f>
        <v>0</v>
      </c>
      <c r="S459" s="387"/>
      <c r="T459" s="382">
        <f>'Portefeuille SP2'!R484</f>
        <v>0</v>
      </c>
      <c r="U459" s="387">
        <f>'Portefeuille SP2'!K484</f>
        <v>0</v>
      </c>
      <c r="V459" s="399">
        <f>'Portefeuille SP2'!S484</f>
        <v>0</v>
      </c>
      <c r="W459" s="387"/>
      <c r="X459" s="387"/>
      <c r="Y459" s="387"/>
      <c r="Z459" s="387"/>
      <c r="AA459" s="387"/>
      <c r="AB459" s="387"/>
      <c r="AC459" s="387"/>
      <c r="AD459" s="387"/>
      <c r="AE459" s="400">
        <f>'Portefeuille SP2'!J484</f>
        <v>0</v>
      </c>
      <c r="AF459" s="387"/>
      <c r="AG459" s="387"/>
      <c r="AH459" s="389"/>
      <c r="AI459" s="389"/>
      <c r="AJ459" s="403">
        <f>'Portefeuille SP2'!V484</f>
        <v>0</v>
      </c>
      <c r="AK459" s="403">
        <f>'Portefeuille SP2'!W484</f>
        <v>0</v>
      </c>
      <c r="AL459" s="403">
        <f>'Portefeuille SP2'!X484</f>
        <v>0</v>
      </c>
      <c r="AM459" s="403">
        <f>'Portefeuille SP2'!Y484</f>
        <v>0</v>
      </c>
      <c r="AN459" s="403">
        <f>'Portefeuille SP2'!Z484</f>
        <v>0</v>
      </c>
      <c r="AO459" s="403">
        <f>'Portefeuille SP2'!AA484</f>
        <v>0</v>
      </c>
      <c r="AP459" s="403">
        <f>'Portefeuille SP2'!AB484</f>
        <v>0</v>
      </c>
      <c r="AQ459" s="403">
        <f>'Portefeuille SP2'!AC484</f>
        <v>0</v>
      </c>
      <c r="AR459" s="403">
        <f>'Portefeuille SP2'!AD484</f>
        <v>0</v>
      </c>
      <c r="AS459" s="403">
        <f>'Portefeuille SP2'!AE484</f>
        <v>0</v>
      </c>
      <c r="AT459" s="403">
        <f>'Portefeuille SP2'!AF484</f>
        <v>0</v>
      </c>
      <c r="AU459" s="403">
        <f>'Portefeuille SP2'!AG484</f>
        <v>0</v>
      </c>
      <c r="AV459" s="403">
        <f>'Portefeuille SP2'!AH484</f>
        <v>0</v>
      </c>
      <c r="AW459" s="403">
        <f>'Portefeuille SP2'!AI484</f>
        <v>0</v>
      </c>
      <c r="AX459" s="403">
        <f>'Portefeuille SP2'!AJ484</f>
        <v>0</v>
      </c>
      <c r="AY459" s="403">
        <f>'Portefeuille SP2'!AK484</f>
        <v>0</v>
      </c>
      <c r="AZ459" s="403">
        <f>'Portefeuille SP2'!AL484</f>
        <v>0</v>
      </c>
      <c r="BA459" s="403">
        <f>'Portefeuille SP2'!AM484</f>
        <v>0</v>
      </c>
      <c r="BB459" s="403">
        <f>'Portefeuille SP2'!AN484</f>
        <v>0</v>
      </c>
      <c r="BC459" s="403">
        <f>'Portefeuille SP2'!AO484</f>
        <v>0</v>
      </c>
      <c r="BD459" s="403">
        <f>'Portefeuille SP2'!AP484</f>
        <v>0</v>
      </c>
      <c r="BE459" s="403">
        <f>'Portefeuille SP2'!AQ484</f>
        <v>0</v>
      </c>
      <c r="BF459" s="403">
        <f>'Portefeuille SP2'!AR484</f>
        <v>0</v>
      </c>
      <c r="BG459" s="403" t="e">
        <f>'Portefeuille SP2'!#REF!</f>
        <v>#REF!</v>
      </c>
      <c r="BH459" s="403" t="e">
        <f>'Portefeuille SP2'!#REF!</f>
        <v>#REF!</v>
      </c>
      <c r="BI459" s="403" t="e">
        <f>'Portefeuille SP2'!#REF!</f>
        <v>#REF!</v>
      </c>
      <c r="BJ459" s="403" t="e">
        <f>'Portefeuille SP2'!#REF!</f>
        <v>#REF!</v>
      </c>
      <c r="BK459" s="403" t="e">
        <f>'Portefeuille SP2'!#REF!</f>
        <v>#REF!</v>
      </c>
      <c r="BL459" s="388"/>
      <c r="BM459" s="404">
        <f>'Portefeuille SP2'!L484</f>
        <v>0</v>
      </c>
    </row>
    <row r="460" spans="1:65" ht="15" customHeight="1">
      <c r="A460" s="383">
        <f>'Portefeuille SP2'!B485</f>
        <v>0</v>
      </c>
      <c r="B460" s="390">
        <f>'Portefeuille SP2'!Q485</f>
        <v>0</v>
      </c>
      <c r="C460" s="384"/>
      <c r="D460" s="382">
        <f>'Portefeuille SP2'!E485</f>
        <v>0</v>
      </c>
      <c r="E460" s="382" t="str">
        <f t="shared" si="35"/>
        <v>0</v>
      </c>
      <c r="F460" s="382" t="str">
        <f t="shared" si="36"/>
        <v/>
      </c>
      <c r="G460" s="382">
        <f>'Portefeuille SP2'!C485</f>
        <v>0</v>
      </c>
      <c r="H460" s="382">
        <f>'Portefeuille SP2'!F485</f>
        <v>0</v>
      </c>
      <c r="I460" s="382"/>
      <c r="J460" s="382">
        <f>'Portefeuille SP2'!D485</f>
        <v>0</v>
      </c>
      <c r="K460" s="385">
        <f>'Portefeuille SP2'!H485</f>
        <v>0</v>
      </c>
      <c r="L460" s="157">
        <f>'Portefeuille SP2'!U485</f>
        <v>0</v>
      </c>
      <c r="M460" s="386"/>
      <c r="N460" s="386"/>
      <c r="O460" s="386"/>
      <c r="P460" s="387">
        <f>'Portefeuille SP2'!M485</f>
        <v>0</v>
      </c>
      <c r="Q460" s="387"/>
      <c r="R460" s="387">
        <f>'Portefeuille SP2'!N485</f>
        <v>0</v>
      </c>
      <c r="S460" s="387"/>
      <c r="T460" s="382">
        <f>'Portefeuille SP2'!R485</f>
        <v>0</v>
      </c>
      <c r="U460" s="387">
        <f>'Portefeuille SP2'!K485</f>
        <v>0</v>
      </c>
      <c r="V460" s="399">
        <f>'Portefeuille SP2'!S485</f>
        <v>0</v>
      </c>
      <c r="W460" s="387"/>
      <c r="X460" s="387"/>
      <c r="Y460" s="387"/>
      <c r="Z460" s="387"/>
      <c r="AA460" s="387"/>
      <c r="AB460" s="387"/>
      <c r="AC460" s="387"/>
      <c r="AD460" s="387"/>
      <c r="AE460" s="400">
        <f>'Portefeuille SP2'!J485</f>
        <v>0</v>
      </c>
      <c r="AF460" s="387"/>
      <c r="AG460" s="387"/>
      <c r="AH460" s="389"/>
      <c r="AI460" s="389"/>
      <c r="AJ460" s="403">
        <f>'Portefeuille SP2'!V485</f>
        <v>0</v>
      </c>
      <c r="AK460" s="403">
        <f>'Portefeuille SP2'!W485</f>
        <v>0</v>
      </c>
      <c r="AL460" s="403">
        <f>'Portefeuille SP2'!X485</f>
        <v>0</v>
      </c>
      <c r="AM460" s="403">
        <f>'Portefeuille SP2'!Y485</f>
        <v>0</v>
      </c>
      <c r="AN460" s="403">
        <f>'Portefeuille SP2'!Z485</f>
        <v>0</v>
      </c>
      <c r="AO460" s="403">
        <f>'Portefeuille SP2'!AA485</f>
        <v>0</v>
      </c>
      <c r="AP460" s="403">
        <f>'Portefeuille SP2'!AB485</f>
        <v>0</v>
      </c>
      <c r="AQ460" s="403">
        <f>'Portefeuille SP2'!AC485</f>
        <v>0</v>
      </c>
      <c r="AR460" s="403">
        <f>'Portefeuille SP2'!AD485</f>
        <v>0</v>
      </c>
      <c r="AS460" s="403">
        <f>'Portefeuille SP2'!AE485</f>
        <v>0</v>
      </c>
      <c r="AT460" s="403">
        <f>'Portefeuille SP2'!AF485</f>
        <v>0</v>
      </c>
      <c r="AU460" s="403">
        <f>'Portefeuille SP2'!AG485</f>
        <v>0</v>
      </c>
      <c r="AV460" s="403">
        <f>'Portefeuille SP2'!AH485</f>
        <v>0</v>
      </c>
      <c r="AW460" s="403">
        <f>'Portefeuille SP2'!AI485</f>
        <v>0</v>
      </c>
      <c r="AX460" s="403">
        <f>'Portefeuille SP2'!AJ485</f>
        <v>0</v>
      </c>
      <c r="AY460" s="403">
        <f>'Portefeuille SP2'!AK485</f>
        <v>0</v>
      </c>
      <c r="AZ460" s="403">
        <f>'Portefeuille SP2'!AL485</f>
        <v>0</v>
      </c>
      <c r="BA460" s="403">
        <f>'Portefeuille SP2'!AM485</f>
        <v>0</v>
      </c>
      <c r="BB460" s="403">
        <f>'Portefeuille SP2'!AN485</f>
        <v>0</v>
      </c>
      <c r="BC460" s="403">
        <f>'Portefeuille SP2'!AO485</f>
        <v>0</v>
      </c>
      <c r="BD460" s="403">
        <f>'Portefeuille SP2'!AP485</f>
        <v>0</v>
      </c>
      <c r="BE460" s="403">
        <f>'Portefeuille SP2'!AQ485</f>
        <v>0</v>
      </c>
      <c r="BF460" s="403">
        <f>'Portefeuille SP2'!AR485</f>
        <v>0</v>
      </c>
      <c r="BG460" s="403" t="e">
        <f>'Portefeuille SP2'!#REF!</f>
        <v>#REF!</v>
      </c>
      <c r="BH460" s="403" t="e">
        <f>'Portefeuille SP2'!#REF!</f>
        <v>#REF!</v>
      </c>
      <c r="BI460" s="403" t="e">
        <f>'Portefeuille SP2'!#REF!</f>
        <v>#REF!</v>
      </c>
      <c r="BJ460" s="403" t="e">
        <f>'Portefeuille SP2'!#REF!</f>
        <v>#REF!</v>
      </c>
      <c r="BK460" s="403" t="e">
        <f>'Portefeuille SP2'!#REF!</f>
        <v>#REF!</v>
      </c>
      <c r="BL460" s="388"/>
      <c r="BM460" s="404">
        <f>'Portefeuille SP2'!L485</f>
        <v>0</v>
      </c>
    </row>
    <row r="461" spans="1:65" ht="15" customHeight="1">
      <c r="A461" s="383">
        <f>'Portefeuille SP2'!B486</f>
        <v>0</v>
      </c>
      <c r="B461" s="390">
        <f>'Portefeuille SP2'!Q486</f>
        <v>0</v>
      </c>
      <c r="C461" s="384"/>
      <c r="D461" s="382">
        <f>'Portefeuille SP2'!E486</f>
        <v>0</v>
      </c>
      <c r="E461" s="382" t="str">
        <f t="shared" si="35"/>
        <v>0</v>
      </c>
      <c r="F461" s="382" t="str">
        <f t="shared" si="36"/>
        <v/>
      </c>
      <c r="G461" s="382">
        <f>'Portefeuille SP2'!C486</f>
        <v>0</v>
      </c>
      <c r="H461" s="382">
        <f>'Portefeuille SP2'!F486</f>
        <v>0</v>
      </c>
      <c r="I461" s="382"/>
      <c r="J461" s="382">
        <f>'Portefeuille SP2'!D486</f>
        <v>0</v>
      </c>
      <c r="K461" s="385">
        <f>'Portefeuille SP2'!H486</f>
        <v>0</v>
      </c>
      <c r="L461" s="157">
        <f>'Portefeuille SP2'!U486</f>
        <v>0</v>
      </c>
      <c r="M461" s="386"/>
      <c r="N461" s="386"/>
      <c r="O461" s="386"/>
      <c r="P461" s="387">
        <f>'Portefeuille SP2'!M486</f>
        <v>0</v>
      </c>
      <c r="Q461" s="387"/>
      <c r="R461" s="387">
        <f>'Portefeuille SP2'!N486</f>
        <v>0</v>
      </c>
      <c r="S461" s="387"/>
      <c r="T461" s="382">
        <f>'Portefeuille SP2'!R486</f>
        <v>0</v>
      </c>
      <c r="U461" s="387">
        <f>'Portefeuille SP2'!K486</f>
        <v>0</v>
      </c>
      <c r="V461" s="399">
        <f>'Portefeuille SP2'!S486</f>
        <v>0</v>
      </c>
      <c r="W461" s="387"/>
      <c r="X461" s="387"/>
      <c r="Y461" s="387"/>
      <c r="Z461" s="387"/>
      <c r="AA461" s="387"/>
      <c r="AB461" s="387"/>
      <c r="AC461" s="387"/>
      <c r="AD461" s="387"/>
      <c r="AE461" s="400">
        <f>'Portefeuille SP2'!J486</f>
        <v>0</v>
      </c>
      <c r="AF461" s="387"/>
      <c r="AG461" s="387"/>
      <c r="AH461" s="389"/>
      <c r="AI461" s="389"/>
      <c r="AJ461" s="403">
        <f>'Portefeuille SP2'!V486</f>
        <v>0</v>
      </c>
      <c r="AK461" s="403">
        <f>'Portefeuille SP2'!W486</f>
        <v>0</v>
      </c>
      <c r="AL461" s="403">
        <f>'Portefeuille SP2'!X486</f>
        <v>0</v>
      </c>
      <c r="AM461" s="403">
        <f>'Portefeuille SP2'!Y486</f>
        <v>0</v>
      </c>
      <c r="AN461" s="403">
        <f>'Portefeuille SP2'!Z486</f>
        <v>0</v>
      </c>
      <c r="AO461" s="403">
        <f>'Portefeuille SP2'!AA486</f>
        <v>0</v>
      </c>
      <c r="AP461" s="403">
        <f>'Portefeuille SP2'!AB486</f>
        <v>0</v>
      </c>
      <c r="AQ461" s="403">
        <f>'Portefeuille SP2'!AC486</f>
        <v>0</v>
      </c>
      <c r="AR461" s="403">
        <f>'Portefeuille SP2'!AD486</f>
        <v>0</v>
      </c>
      <c r="AS461" s="403">
        <f>'Portefeuille SP2'!AE486</f>
        <v>0</v>
      </c>
      <c r="AT461" s="403">
        <f>'Portefeuille SP2'!AF486</f>
        <v>0</v>
      </c>
      <c r="AU461" s="403">
        <f>'Portefeuille SP2'!AG486</f>
        <v>0</v>
      </c>
      <c r="AV461" s="403">
        <f>'Portefeuille SP2'!AH486</f>
        <v>0</v>
      </c>
      <c r="AW461" s="403">
        <f>'Portefeuille SP2'!AI486</f>
        <v>0</v>
      </c>
      <c r="AX461" s="403">
        <f>'Portefeuille SP2'!AJ486</f>
        <v>0</v>
      </c>
      <c r="AY461" s="403">
        <f>'Portefeuille SP2'!AK486</f>
        <v>0</v>
      </c>
      <c r="AZ461" s="403">
        <f>'Portefeuille SP2'!AL486</f>
        <v>0</v>
      </c>
      <c r="BA461" s="403">
        <f>'Portefeuille SP2'!AM486</f>
        <v>0</v>
      </c>
      <c r="BB461" s="403">
        <f>'Portefeuille SP2'!AN486</f>
        <v>0</v>
      </c>
      <c r="BC461" s="403">
        <f>'Portefeuille SP2'!AO486</f>
        <v>0</v>
      </c>
      <c r="BD461" s="403">
        <f>'Portefeuille SP2'!AP486</f>
        <v>0</v>
      </c>
      <c r="BE461" s="403">
        <f>'Portefeuille SP2'!AQ486</f>
        <v>0</v>
      </c>
      <c r="BF461" s="403">
        <f>'Portefeuille SP2'!AR486</f>
        <v>0</v>
      </c>
      <c r="BG461" s="403" t="e">
        <f>'Portefeuille SP2'!#REF!</f>
        <v>#REF!</v>
      </c>
      <c r="BH461" s="403" t="e">
        <f>'Portefeuille SP2'!#REF!</f>
        <v>#REF!</v>
      </c>
      <c r="BI461" s="403" t="e">
        <f>'Portefeuille SP2'!#REF!</f>
        <v>#REF!</v>
      </c>
      <c r="BJ461" s="403" t="e">
        <f>'Portefeuille SP2'!#REF!</f>
        <v>#REF!</v>
      </c>
      <c r="BK461" s="403" t="e">
        <f>'Portefeuille SP2'!#REF!</f>
        <v>#REF!</v>
      </c>
      <c r="BL461" s="388"/>
      <c r="BM461" s="404">
        <f>'Portefeuille SP2'!L486</f>
        <v>0</v>
      </c>
    </row>
    <row r="462" spans="1:65" ht="15" customHeight="1">
      <c r="A462" s="383">
        <f>'Portefeuille SP2'!B487</f>
        <v>0</v>
      </c>
      <c r="B462" s="390">
        <f>'Portefeuille SP2'!Q487</f>
        <v>0</v>
      </c>
      <c r="C462" s="384"/>
      <c r="D462" s="382">
        <f>'Portefeuille SP2'!E487</f>
        <v>0</v>
      </c>
      <c r="E462" s="382" t="str">
        <f t="shared" si="35"/>
        <v>0</v>
      </c>
      <c r="F462" s="382" t="str">
        <f t="shared" si="36"/>
        <v/>
      </c>
      <c r="G462" s="382">
        <f>'Portefeuille SP2'!C487</f>
        <v>0</v>
      </c>
      <c r="H462" s="382">
        <f>'Portefeuille SP2'!F487</f>
        <v>0</v>
      </c>
      <c r="I462" s="382"/>
      <c r="J462" s="382">
        <f>'Portefeuille SP2'!D487</f>
        <v>0</v>
      </c>
      <c r="K462" s="385">
        <f>'Portefeuille SP2'!H487</f>
        <v>0</v>
      </c>
      <c r="L462" s="157">
        <f>'Portefeuille SP2'!U487</f>
        <v>0</v>
      </c>
      <c r="M462" s="386"/>
      <c r="N462" s="386"/>
      <c r="O462" s="386"/>
      <c r="P462" s="387">
        <f>'Portefeuille SP2'!M487</f>
        <v>0</v>
      </c>
      <c r="Q462" s="387"/>
      <c r="R462" s="387">
        <f>'Portefeuille SP2'!N487</f>
        <v>0</v>
      </c>
      <c r="S462" s="387"/>
      <c r="T462" s="382">
        <f>'Portefeuille SP2'!R487</f>
        <v>0</v>
      </c>
      <c r="U462" s="387">
        <f>'Portefeuille SP2'!K487</f>
        <v>0</v>
      </c>
      <c r="V462" s="399">
        <f>'Portefeuille SP2'!S487</f>
        <v>0</v>
      </c>
      <c r="W462" s="387"/>
      <c r="X462" s="387"/>
      <c r="Y462" s="387"/>
      <c r="Z462" s="387"/>
      <c r="AA462" s="387"/>
      <c r="AB462" s="387"/>
      <c r="AC462" s="387"/>
      <c r="AD462" s="387"/>
      <c r="AE462" s="400">
        <f>'Portefeuille SP2'!J487</f>
        <v>0</v>
      </c>
      <c r="AF462" s="387"/>
      <c r="AG462" s="387"/>
      <c r="AH462" s="389"/>
      <c r="AI462" s="389"/>
      <c r="AJ462" s="403">
        <f>'Portefeuille SP2'!V487</f>
        <v>0</v>
      </c>
      <c r="AK462" s="403">
        <f>'Portefeuille SP2'!W487</f>
        <v>0</v>
      </c>
      <c r="AL462" s="403">
        <f>'Portefeuille SP2'!X487</f>
        <v>0</v>
      </c>
      <c r="AM462" s="403">
        <f>'Portefeuille SP2'!Y487</f>
        <v>0</v>
      </c>
      <c r="AN462" s="403">
        <f>'Portefeuille SP2'!Z487</f>
        <v>0</v>
      </c>
      <c r="AO462" s="403">
        <f>'Portefeuille SP2'!AA487</f>
        <v>0</v>
      </c>
      <c r="AP462" s="403">
        <f>'Portefeuille SP2'!AB487</f>
        <v>0</v>
      </c>
      <c r="AQ462" s="403">
        <f>'Portefeuille SP2'!AC487</f>
        <v>0</v>
      </c>
      <c r="AR462" s="403">
        <f>'Portefeuille SP2'!AD487</f>
        <v>0</v>
      </c>
      <c r="AS462" s="403">
        <f>'Portefeuille SP2'!AE487</f>
        <v>0</v>
      </c>
      <c r="AT462" s="403">
        <f>'Portefeuille SP2'!AF487</f>
        <v>0</v>
      </c>
      <c r="AU462" s="403">
        <f>'Portefeuille SP2'!AG487</f>
        <v>0</v>
      </c>
      <c r="AV462" s="403">
        <f>'Portefeuille SP2'!AH487</f>
        <v>0</v>
      </c>
      <c r="AW462" s="403">
        <f>'Portefeuille SP2'!AI487</f>
        <v>0</v>
      </c>
      <c r="AX462" s="403">
        <f>'Portefeuille SP2'!AJ487</f>
        <v>0</v>
      </c>
      <c r="AY462" s="403">
        <f>'Portefeuille SP2'!AK487</f>
        <v>0</v>
      </c>
      <c r="AZ462" s="403">
        <f>'Portefeuille SP2'!AL487</f>
        <v>0</v>
      </c>
      <c r="BA462" s="403">
        <f>'Portefeuille SP2'!AM487</f>
        <v>0</v>
      </c>
      <c r="BB462" s="403">
        <f>'Portefeuille SP2'!AN487</f>
        <v>0</v>
      </c>
      <c r="BC462" s="403">
        <f>'Portefeuille SP2'!AO487</f>
        <v>0</v>
      </c>
      <c r="BD462" s="403">
        <f>'Portefeuille SP2'!AP487</f>
        <v>0</v>
      </c>
      <c r="BE462" s="403">
        <f>'Portefeuille SP2'!AQ487</f>
        <v>0</v>
      </c>
      <c r="BF462" s="403">
        <f>'Portefeuille SP2'!AR487</f>
        <v>0</v>
      </c>
      <c r="BG462" s="403" t="e">
        <f>'Portefeuille SP2'!#REF!</f>
        <v>#REF!</v>
      </c>
      <c r="BH462" s="403" t="e">
        <f>'Portefeuille SP2'!#REF!</f>
        <v>#REF!</v>
      </c>
      <c r="BI462" s="403" t="e">
        <f>'Portefeuille SP2'!#REF!</f>
        <v>#REF!</v>
      </c>
      <c r="BJ462" s="403" t="e">
        <f>'Portefeuille SP2'!#REF!</f>
        <v>#REF!</v>
      </c>
      <c r="BK462" s="403" t="e">
        <f>'Portefeuille SP2'!#REF!</f>
        <v>#REF!</v>
      </c>
      <c r="BL462" s="388"/>
      <c r="BM462" s="404">
        <f>'Portefeuille SP2'!L487</f>
        <v>0</v>
      </c>
    </row>
    <row r="463" spans="1:65" ht="15" customHeight="1">
      <c r="A463" s="383">
        <f>'Portefeuille SP2'!B488</f>
        <v>0</v>
      </c>
      <c r="B463" s="390">
        <f>'Portefeuille SP2'!Q488</f>
        <v>0</v>
      </c>
      <c r="C463" s="384"/>
      <c r="D463" s="382">
        <f>'Portefeuille SP2'!E488</f>
        <v>0</v>
      </c>
      <c r="E463" s="382" t="str">
        <f t="shared" si="35"/>
        <v>0</v>
      </c>
      <c r="F463" s="382" t="str">
        <f t="shared" si="36"/>
        <v/>
      </c>
      <c r="G463" s="382">
        <f>'Portefeuille SP2'!C488</f>
        <v>0</v>
      </c>
      <c r="H463" s="382">
        <f>'Portefeuille SP2'!F488</f>
        <v>0</v>
      </c>
      <c r="I463" s="382"/>
      <c r="J463" s="382">
        <f>'Portefeuille SP2'!D488</f>
        <v>0</v>
      </c>
      <c r="K463" s="385">
        <f>'Portefeuille SP2'!H488</f>
        <v>0</v>
      </c>
      <c r="L463" s="157">
        <f>'Portefeuille SP2'!U488</f>
        <v>0</v>
      </c>
      <c r="M463" s="386"/>
      <c r="N463" s="386"/>
      <c r="O463" s="386"/>
      <c r="P463" s="387">
        <f>'Portefeuille SP2'!M488</f>
        <v>0</v>
      </c>
      <c r="Q463" s="387"/>
      <c r="R463" s="387">
        <f>'Portefeuille SP2'!N488</f>
        <v>0</v>
      </c>
      <c r="S463" s="387"/>
      <c r="T463" s="382">
        <f>'Portefeuille SP2'!R488</f>
        <v>0</v>
      </c>
      <c r="U463" s="387">
        <f>'Portefeuille SP2'!K488</f>
        <v>0</v>
      </c>
      <c r="V463" s="399">
        <f>'Portefeuille SP2'!S488</f>
        <v>0</v>
      </c>
      <c r="W463" s="387"/>
      <c r="X463" s="387"/>
      <c r="Y463" s="387"/>
      <c r="Z463" s="387"/>
      <c r="AA463" s="387"/>
      <c r="AB463" s="387"/>
      <c r="AC463" s="387"/>
      <c r="AD463" s="387"/>
      <c r="AE463" s="400">
        <f>'Portefeuille SP2'!J488</f>
        <v>0</v>
      </c>
      <c r="AF463" s="387"/>
      <c r="AG463" s="387"/>
      <c r="AH463" s="389"/>
      <c r="AI463" s="389"/>
      <c r="AJ463" s="403">
        <f>'Portefeuille SP2'!V488</f>
        <v>0</v>
      </c>
      <c r="AK463" s="403">
        <f>'Portefeuille SP2'!W488</f>
        <v>0</v>
      </c>
      <c r="AL463" s="403">
        <f>'Portefeuille SP2'!X488</f>
        <v>0</v>
      </c>
      <c r="AM463" s="403">
        <f>'Portefeuille SP2'!Y488</f>
        <v>0</v>
      </c>
      <c r="AN463" s="403">
        <f>'Portefeuille SP2'!Z488</f>
        <v>0</v>
      </c>
      <c r="AO463" s="403">
        <f>'Portefeuille SP2'!AA488</f>
        <v>0</v>
      </c>
      <c r="AP463" s="403">
        <f>'Portefeuille SP2'!AB488</f>
        <v>0</v>
      </c>
      <c r="AQ463" s="403">
        <f>'Portefeuille SP2'!AC488</f>
        <v>0</v>
      </c>
      <c r="AR463" s="403">
        <f>'Portefeuille SP2'!AD488</f>
        <v>0</v>
      </c>
      <c r="AS463" s="403">
        <f>'Portefeuille SP2'!AE488</f>
        <v>0</v>
      </c>
      <c r="AT463" s="403">
        <f>'Portefeuille SP2'!AF488</f>
        <v>0</v>
      </c>
      <c r="AU463" s="403">
        <f>'Portefeuille SP2'!AG488</f>
        <v>0</v>
      </c>
      <c r="AV463" s="403">
        <f>'Portefeuille SP2'!AH488</f>
        <v>0</v>
      </c>
      <c r="AW463" s="403">
        <f>'Portefeuille SP2'!AI488</f>
        <v>0</v>
      </c>
      <c r="AX463" s="403">
        <f>'Portefeuille SP2'!AJ488</f>
        <v>0</v>
      </c>
      <c r="AY463" s="403">
        <f>'Portefeuille SP2'!AK488</f>
        <v>0</v>
      </c>
      <c r="AZ463" s="403">
        <f>'Portefeuille SP2'!AL488</f>
        <v>0</v>
      </c>
      <c r="BA463" s="403">
        <f>'Portefeuille SP2'!AM488</f>
        <v>0</v>
      </c>
      <c r="BB463" s="403">
        <f>'Portefeuille SP2'!AN488</f>
        <v>0</v>
      </c>
      <c r="BC463" s="403">
        <f>'Portefeuille SP2'!AO488</f>
        <v>0</v>
      </c>
      <c r="BD463" s="403">
        <f>'Portefeuille SP2'!AP488</f>
        <v>0</v>
      </c>
      <c r="BE463" s="403">
        <f>'Portefeuille SP2'!AQ488</f>
        <v>0</v>
      </c>
      <c r="BF463" s="403">
        <f>'Portefeuille SP2'!AR488</f>
        <v>0</v>
      </c>
      <c r="BG463" s="403" t="e">
        <f>'Portefeuille SP2'!#REF!</f>
        <v>#REF!</v>
      </c>
      <c r="BH463" s="403" t="e">
        <f>'Portefeuille SP2'!#REF!</f>
        <v>#REF!</v>
      </c>
      <c r="BI463" s="403" t="e">
        <f>'Portefeuille SP2'!#REF!</f>
        <v>#REF!</v>
      </c>
      <c r="BJ463" s="403" t="e">
        <f>'Portefeuille SP2'!#REF!</f>
        <v>#REF!</v>
      </c>
      <c r="BK463" s="403" t="e">
        <f>'Portefeuille SP2'!#REF!</f>
        <v>#REF!</v>
      </c>
      <c r="BL463" s="388"/>
      <c r="BM463" s="404">
        <f>'Portefeuille SP2'!L488</f>
        <v>0</v>
      </c>
    </row>
    <row r="464" spans="1:65" ht="15" customHeight="1">
      <c r="A464" s="383">
        <f>'Portefeuille SP2'!B489</f>
        <v>0</v>
      </c>
      <c r="B464" s="390">
        <f>'Portefeuille SP2'!Q489</f>
        <v>0</v>
      </c>
      <c r="C464" s="384"/>
      <c r="D464" s="382">
        <f>'Portefeuille SP2'!E489</f>
        <v>0</v>
      </c>
      <c r="E464" s="382" t="str">
        <f t="shared" si="35"/>
        <v>0</v>
      </c>
      <c r="F464" s="382" t="str">
        <f t="shared" si="36"/>
        <v/>
      </c>
      <c r="G464" s="382">
        <f>'Portefeuille SP2'!C489</f>
        <v>0</v>
      </c>
      <c r="H464" s="382">
        <f>'Portefeuille SP2'!F489</f>
        <v>0</v>
      </c>
      <c r="I464" s="382"/>
      <c r="J464" s="382">
        <f>'Portefeuille SP2'!D489</f>
        <v>0</v>
      </c>
      <c r="K464" s="385">
        <f>'Portefeuille SP2'!H489</f>
        <v>0</v>
      </c>
      <c r="L464" s="157">
        <f>'Portefeuille SP2'!U489</f>
        <v>0</v>
      </c>
      <c r="M464" s="386"/>
      <c r="N464" s="386"/>
      <c r="O464" s="386"/>
      <c r="P464" s="387">
        <f>'Portefeuille SP2'!M489</f>
        <v>0</v>
      </c>
      <c r="Q464" s="387"/>
      <c r="R464" s="387">
        <f>'Portefeuille SP2'!N489</f>
        <v>0</v>
      </c>
      <c r="S464" s="387"/>
      <c r="T464" s="382">
        <f>'Portefeuille SP2'!R489</f>
        <v>0</v>
      </c>
      <c r="U464" s="387">
        <f>'Portefeuille SP2'!K489</f>
        <v>0</v>
      </c>
      <c r="V464" s="399">
        <f>'Portefeuille SP2'!S489</f>
        <v>0</v>
      </c>
      <c r="W464" s="387"/>
      <c r="X464" s="387"/>
      <c r="Y464" s="387"/>
      <c r="Z464" s="387"/>
      <c r="AA464" s="387"/>
      <c r="AB464" s="387"/>
      <c r="AC464" s="387"/>
      <c r="AD464" s="387"/>
      <c r="AE464" s="400">
        <f>'Portefeuille SP2'!J489</f>
        <v>0</v>
      </c>
      <c r="AF464" s="387"/>
      <c r="AG464" s="387"/>
      <c r="AH464" s="389"/>
      <c r="AI464" s="389"/>
      <c r="AJ464" s="403">
        <f>'Portefeuille SP2'!V489</f>
        <v>0</v>
      </c>
      <c r="AK464" s="403">
        <f>'Portefeuille SP2'!W489</f>
        <v>0</v>
      </c>
      <c r="AL464" s="403">
        <f>'Portefeuille SP2'!X489</f>
        <v>0</v>
      </c>
      <c r="AM464" s="403">
        <f>'Portefeuille SP2'!Y489</f>
        <v>0</v>
      </c>
      <c r="AN464" s="403">
        <f>'Portefeuille SP2'!Z489</f>
        <v>0</v>
      </c>
      <c r="AO464" s="403">
        <f>'Portefeuille SP2'!AA489</f>
        <v>0</v>
      </c>
      <c r="AP464" s="403">
        <f>'Portefeuille SP2'!AB489</f>
        <v>0</v>
      </c>
      <c r="AQ464" s="403">
        <f>'Portefeuille SP2'!AC489</f>
        <v>0</v>
      </c>
      <c r="AR464" s="403">
        <f>'Portefeuille SP2'!AD489</f>
        <v>0</v>
      </c>
      <c r="AS464" s="403">
        <f>'Portefeuille SP2'!AE489</f>
        <v>0</v>
      </c>
      <c r="AT464" s="403">
        <f>'Portefeuille SP2'!AF489</f>
        <v>0</v>
      </c>
      <c r="AU464" s="403">
        <f>'Portefeuille SP2'!AG489</f>
        <v>0</v>
      </c>
      <c r="AV464" s="403">
        <f>'Portefeuille SP2'!AH489</f>
        <v>0</v>
      </c>
      <c r="AW464" s="403">
        <f>'Portefeuille SP2'!AI489</f>
        <v>0</v>
      </c>
      <c r="AX464" s="403">
        <f>'Portefeuille SP2'!AJ489</f>
        <v>0</v>
      </c>
      <c r="AY464" s="403">
        <f>'Portefeuille SP2'!AK489</f>
        <v>0</v>
      </c>
      <c r="AZ464" s="403">
        <f>'Portefeuille SP2'!AL489</f>
        <v>0</v>
      </c>
      <c r="BA464" s="403">
        <f>'Portefeuille SP2'!AM489</f>
        <v>0</v>
      </c>
      <c r="BB464" s="403">
        <f>'Portefeuille SP2'!AN489</f>
        <v>0</v>
      </c>
      <c r="BC464" s="403">
        <f>'Portefeuille SP2'!AO489</f>
        <v>0</v>
      </c>
      <c r="BD464" s="403">
        <f>'Portefeuille SP2'!AP489</f>
        <v>0</v>
      </c>
      <c r="BE464" s="403">
        <f>'Portefeuille SP2'!AQ489</f>
        <v>0</v>
      </c>
      <c r="BF464" s="403">
        <f>'Portefeuille SP2'!AR489</f>
        <v>0</v>
      </c>
      <c r="BG464" s="403" t="e">
        <f>'Portefeuille SP2'!#REF!</f>
        <v>#REF!</v>
      </c>
      <c r="BH464" s="403" t="e">
        <f>'Portefeuille SP2'!#REF!</f>
        <v>#REF!</v>
      </c>
      <c r="BI464" s="403" t="e">
        <f>'Portefeuille SP2'!#REF!</f>
        <v>#REF!</v>
      </c>
      <c r="BJ464" s="403" t="e">
        <f>'Portefeuille SP2'!#REF!</f>
        <v>#REF!</v>
      </c>
      <c r="BK464" s="403" t="e">
        <f>'Portefeuille SP2'!#REF!</f>
        <v>#REF!</v>
      </c>
      <c r="BL464" s="388"/>
      <c r="BM464" s="404">
        <f>'Portefeuille SP2'!L489</f>
        <v>0</v>
      </c>
    </row>
    <row r="465" spans="1:65" ht="15" customHeight="1">
      <c r="A465" s="383">
        <f>'Portefeuille SP2'!B490</f>
        <v>0</v>
      </c>
      <c r="B465" s="390">
        <f>'Portefeuille SP2'!Q490</f>
        <v>0</v>
      </c>
      <c r="C465" s="384"/>
      <c r="D465" s="382">
        <f>'Portefeuille SP2'!E490</f>
        <v>0</v>
      </c>
      <c r="E465" s="382" t="str">
        <f t="shared" si="35"/>
        <v>0</v>
      </c>
      <c r="F465" s="382" t="str">
        <f t="shared" si="36"/>
        <v/>
      </c>
      <c r="G465" s="382">
        <f>'Portefeuille SP2'!C490</f>
        <v>0</v>
      </c>
      <c r="H465" s="382">
        <f>'Portefeuille SP2'!F490</f>
        <v>0</v>
      </c>
      <c r="I465" s="382"/>
      <c r="J465" s="382">
        <f>'Portefeuille SP2'!D490</f>
        <v>0</v>
      </c>
      <c r="K465" s="385">
        <f>'Portefeuille SP2'!H490</f>
        <v>0</v>
      </c>
      <c r="L465" s="157">
        <f>'Portefeuille SP2'!U490</f>
        <v>0</v>
      </c>
      <c r="M465" s="386"/>
      <c r="N465" s="386"/>
      <c r="O465" s="386"/>
      <c r="P465" s="387">
        <f>'Portefeuille SP2'!M490</f>
        <v>0</v>
      </c>
      <c r="Q465" s="387"/>
      <c r="R465" s="387">
        <f>'Portefeuille SP2'!N490</f>
        <v>0</v>
      </c>
      <c r="S465" s="387"/>
      <c r="T465" s="382">
        <f>'Portefeuille SP2'!R490</f>
        <v>0</v>
      </c>
      <c r="U465" s="387">
        <f>'Portefeuille SP2'!K490</f>
        <v>0</v>
      </c>
      <c r="V465" s="399">
        <f>'Portefeuille SP2'!S490</f>
        <v>0</v>
      </c>
      <c r="W465" s="387"/>
      <c r="X465" s="387"/>
      <c r="Y465" s="387"/>
      <c r="Z465" s="387"/>
      <c r="AA465" s="387"/>
      <c r="AB465" s="387"/>
      <c r="AC465" s="387"/>
      <c r="AD465" s="387"/>
      <c r="AE465" s="400">
        <f>'Portefeuille SP2'!J490</f>
        <v>0</v>
      </c>
      <c r="AF465" s="387"/>
      <c r="AG465" s="387"/>
      <c r="AH465" s="389"/>
      <c r="AI465" s="389"/>
      <c r="AJ465" s="403">
        <f>'Portefeuille SP2'!V490</f>
        <v>0</v>
      </c>
      <c r="AK465" s="403">
        <f>'Portefeuille SP2'!W490</f>
        <v>0</v>
      </c>
      <c r="AL465" s="403">
        <f>'Portefeuille SP2'!X490</f>
        <v>0</v>
      </c>
      <c r="AM465" s="403">
        <f>'Portefeuille SP2'!Y490</f>
        <v>0</v>
      </c>
      <c r="AN465" s="403">
        <f>'Portefeuille SP2'!Z490</f>
        <v>0</v>
      </c>
      <c r="AO465" s="403">
        <f>'Portefeuille SP2'!AA490</f>
        <v>0</v>
      </c>
      <c r="AP465" s="403">
        <f>'Portefeuille SP2'!AB490</f>
        <v>0</v>
      </c>
      <c r="AQ465" s="403">
        <f>'Portefeuille SP2'!AC490</f>
        <v>0</v>
      </c>
      <c r="AR465" s="403">
        <f>'Portefeuille SP2'!AD490</f>
        <v>0</v>
      </c>
      <c r="AS465" s="403">
        <f>'Portefeuille SP2'!AE490</f>
        <v>0</v>
      </c>
      <c r="AT465" s="403">
        <f>'Portefeuille SP2'!AF490</f>
        <v>0</v>
      </c>
      <c r="AU465" s="403">
        <f>'Portefeuille SP2'!AG490</f>
        <v>0</v>
      </c>
      <c r="AV465" s="403">
        <f>'Portefeuille SP2'!AH490</f>
        <v>0</v>
      </c>
      <c r="AW465" s="403">
        <f>'Portefeuille SP2'!AI490</f>
        <v>0</v>
      </c>
      <c r="AX465" s="403">
        <f>'Portefeuille SP2'!AJ490</f>
        <v>0</v>
      </c>
      <c r="AY465" s="403">
        <f>'Portefeuille SP2'!AK490</f>
        <v>0</v>
      </c>
      <c r="AZ465" s="403">
        <f>'Portefeuille SP2'!AL490</f>
        <v>0</v>
      </c>
      <c r="BA465" s="403">
        <f>'Portefeuille SP2'!AM490</f>
        <v>0</v>
      </c>
      <c r="BB465" s="403">
        <f>'Portefeuille SP2'!AN490</f>
        <v>0</v>
      </c>
      <c r="BC465" s="403">
        <f>'Portefeuille SP2'!AO490</f>
        <v>0</v>
      </c>
      <c r="BD465" s="403">
        <f>'Portefeuille SP2'!AP490</f>
        <v>0</v>
      </c>
      <c r="BE465" s="403">
        <f>'Portefeuille SP2'!AQ490</f>
        <v>0</v>
      </c>
      <c r="BF465" s="403">
        <f>'Portefeuille SP2'!AR490</f>
        <v>0</v>
      </c>
      <c r="BG465" s="403" t="e">
        <f>'Portefeuille SP2'!#REF!</f>
        <v>#REF!</v>
      </c>
      <c r="BH465" s="403" t="e">
        <f>'Portefeuille SP2'!#REF!</f>
        <v>#REF!</v>
      </c>
      <c r="BI465" s="403" t="e">
        <f>'Portefeuille SP2'!#REF!</f>
        <v>#REF!</v>
      </c>
      <c r="BJ465" s="403" t="e">
        <f>'Portefeuille SP2'!#REF!</f>
        <v>#REF!</v>
      </c>
      <c r="BK465" s="403" t="e">
        <f>'Portefeuille SP2'!#REF!</f>
        <v>#REF!</v>
      </c>
      <c r="BL465" s="388"/>
      <c r="BM465" s="404">
        <f>'Portefeuille SP2'!L490</f>
        <v>0</v>
      </c>
    </row>
    <row r="466" spans="1:65" ht="15" customHeight="1">
      <c r="A466" s="383">
        <f>'Portefeuille SP2'!B491</f>
        <v>0</v>
      </c>
      <c r="B466" s="390">
        <f>'Portefeuille SP2'!Q491</f>
        <v>0</v>
      </c>
      <c r="C466" s="384"/>
      <c r="D466" s="382">
        <f>'Portefeuille SP2'!E491</f>
        <v>0</v>
      </c>
      <c r="E466" s="382" t="str">
        <f t="shared" si="35"/>
        <v>0</v>
      </c>
      <c r="F466" s="382" t="str">
        <f t="shared" si="36"/>
        <v/>
      </c>
      <c r="G466" s="382">
        <f>'Portefeuille SP2'!C491</f>
        <v>0</v>
      </c>
      <c r="H466" s="382">
        <f>'Portefeuille SP2'!F491</f>
        <v>0</v>
      </c>
      <c r="I466" s="382"/>
      <c r="J466" s="382">
        <f>'Portefeuille SP2'!D491</f>
        <v>0</v>
      </c>
      <c r="K466" s="385">
        <f>'Portefeuille SP2'!H491</f>
        <v>0</v>
      </c>
      <c r="L466" s="157">
        <f>'Portefeuille SP2'!U491</f>
        <v>0</v>
      </c>
      <c r="M466" s="386"/>
      <c r="N466" s="386"/>
      <c r="O466" s="386"/>
      <c r="P466" s="387">
        <f>'Portefeuille SP2'!M491</f>
        <v>0</v>
      </c>
      <c r="Q466" s="387"/>
      <c r="R466" s="387">
        <f>'Portefeuille SP2'!N491</f>
        <v>0</v>
      </c>
      <c r="S466" s="387"/>
      <c r="T466" s="382">
        <f>'Portefeuille SP2'!R491</f>
        <v>0</v>
      </c>
      <c r="U466" s="387">
        <f>'Portefeuille SP2'!K491</f>
        <v>0</v>
      </c>
      <c r="V466" s="399">
        <f>'Portefeuille SP2'!S491</f>
        <v>0</v>
      </c>
      <c r="W466" s="387"/>
      <c r="X466" s="387"/>
      <c r="Y466" s="387"/>
      <c r="Z466" s="387"/>
      <c r="AA466" s="387"/>
      <c r="AB466" s="387"/>
      <c r="AC466" s="387"/>
      <c r="AD466" s="387"/>
      <c r="AE466" s="400">
        <f>'Portefeuille SP2'!J491</f>
        <v>0</v>
      </c>
      <c r="AF466" s="387"/>
      <c r="AG466" s="387"/>
      <c r="AH466" s="389"/>
      <c r="AI466" s="389"/>
      <c r="AJ466" s="403">
        <f>'Portefeuille SP2'!V491</f>
        <v>0</v>
      </c>
      <c r="AK466" s="403">
        <f>'Portefeuille SP2'!W491</f>
        <v>0</v>
      </c>
      <c r="AL466" s="403">
        <f>'Portefeuille SP2'!X491</f>
        <v>0</v>
      </c>
      <c r="AM466" s="403">
        <f>'Portefeuille SP2'!Y491</f>
        <v>0</v>
      </c>
      <c r="AN466" s="403">
        <f>'Portefeuille SP2'!Z491</f>
        <v>0</v>
      </c>
      <c r="AO466" s="403">
        <f>'Portefeuille SP2'!AA491</f>
        <v>0</v>
      </c>
      <c r="AP466" s="403">
        <f>'Portefeuille SP2'!AB491</f>
        <v>0</v>
      </c>
      <c r="AQ466" s="403">
        <f>'Portefeuille SP2'!AC491</f>
        <v>0</v>
      </c>
      <c r="AR466" s="403">
        <f>'Portefeuille SP2'!AD491</f>
        <v>0</v>
      </c>
      <c r="AS466" s="403">
        <f>'Portefeuille SP2'!AE491</f>
        <v>0</v>
      </c>
      <c r="AT466" s="403">
        <f>'Portefeuille SP2'!AF491</f>
        <v>0</v>
      </c>
      <c r="AU466" s="403">
        <f>'Portefeuille SP2'!AG491</f>
        <v>0</v>
      </c>
      <c r="AV466" s="403">
        <f>'Portefeuille SP2'!AH491</f>
        <v>0</v>
      </c>
      <c r="AW466" s="403">
        <f>'Portefeuille SP2'!AI491</f>
        <v>0</v>
      </c>
      <c r="AX466" s="403">
        <f>'Portefeuille SP2'!AJ491</f>
        <v>0</v>
      </c>
      <c r="AY466" s="403">
        <f>'Portefeuille SP2'!AK491</f>
        <v>0</v>
      </c>
      <c r="AZ466" s="403">
        <f>'Portefeuille SP2'!AL491</f>
        <v>0</v>
      </c>
      <c r="BA466" s="403">
        <f>'Portefeuille SP2'!AM491</f>
        <v>0</v>
      </c>
      <c r="BB466" s="403">
        <f>'Portefeuille SP2'!AN491</f>
        <v>0</v>
      </c>
      <c r="BC466" s="403">
        <f>'Portefeuille SP2'!AO491</f>
        <v>0</v>
      </c>
      <c r="BD466" s="403">
        <f>'Portefeuille SP2'!AP491</f>
        <v>0</v>
      </c>
      <c r="BE466" s="403">
        <f>'Portefeuille SP2'!AQ491</f>
        <v>0</v>
      </c>
      <c r="BF466" s="403">
        <f>'Portefeuille SP2'!AR491</f>
        <v>0</v>
      </c>
      <c r="BG466" s="403" t="e">
        <f>'Portefeuille SP2'!#REF!</f>
        <v>#REF!</v>
      </c>
      <c r="BH466" s="403" t="e">
        <f>'Portefeuille SP2'!#REF!</f>
        <v>#REF!</v>
      </c>
      <c r="BI466" s="403" t="e">
        <f>'Portefeuille SP2'!#REF!</f>
        <v>#REF!</v>
      </c>
      <c r="BJ466" s="403" t="e">
        <f>'Portefeuille SP2'!#REF!</f>
        <v>#REF!</v>
      </c>
      <c r="BK466" s="403" t="e">
        <f>'Portefeuille SP2'!#REF!</f>
        <v>#REF!</v>
      </c>
      <c r="BL466" s="388"/>
      <c r="BM466" s="404">
        <f>'Portefeuille SP2'!L491</f>
        <v>0</v>
      </c>
    </row>
    <row r="467" spans="1:65" ht="15" customHeight="1">
      <c r="A467" s="383">
        <f>'Portefeuille SP2'!B492</f>
        <v>0</v>
      </c>
      <c r="B467" s="390">
        <f>'Portefeuille SP2'!Q492</f>
        <v>0</v>
      </c>
      <c r="C467" s="384"/>
      <c r="D467" s="382">
        <f>'Portefeuille SP2'!E492</f>
        <v>0</v>
      </c>
      <c r="E467" s="382" t="str">
        <f t="shared" si="35"/>
        <v>0</v>
      </c>
      <c r="F467" s="382" t="str">
        <f t="shared" si="36"/>
        <v/>
      </c>
      <c r="G467" s="382">
        <f>'Portefeuille SP2'!C492</f>
        <v>0</v>
      </c>
      <c r="H467" s="382">
        <f>'Portefeuille SP2'!F492</f>
        <v>0</v>
      </c>
      <c r="I467" s="382"/>
      <c r="J467" s="382">
        <f>'Portefeuille SP2'!D492</f>
        <v>0</v>
      </c>
      <c r="K467" s="385">
        <f>'Portefeuille SP2'!H492</f>
        <v>0</v>
      </c>
      <c r="L467" s="157">
        <f>'Portefeuille SP2'!U492</f>
        <v>0</v>
      </c>
      <c r="M467" s="386"/>
      <c r="N467" s="386"/>
      <c r="O467" s="386"/>
      <c r="P467" s="387">
        <f>'Portefeuille SP2'!M492</f>
        <v>0</v>
      </c>
      <c r="Q467" s="387"/>
      <c r="R467" s="387">
        <f>'Portefeuille SP2'!N492</f>
        <v>0</v>
      </c>
      <c r="S467" s="387"/>
      <c r="T467" s="382">
        <f>'Portefeuille SP2'!R492</f>
        <v>0</v>
      </c>
      <c r="U467" s="387">
        <f>'Portefeuille SP2'!K492</f>
        <v>0</v>
      </c>
      <c r="V467" s="399">
        <f>'Portefeuille SP2'!S492</f>
        <v>0</v>
      </c>
      <c r="W467" s="387"/>
      <c r="X467" s="387"/>
      <c r="Y467" s="387"/>
      <c r="Z467" s="387"/>
      <c r="AA467" s="387"/>
      <c r="AB467" s="387"/>
      <c r="AC467" s="387"/>
      <c r="AD467" s="387"/>
      <c r="AE467" s="400">
        <f>'Portefeuille SP2'!J492</f>
        <v>0</v>
      </c>
      <c r="AF467" s="387"/>
      <c r="AG467" s="387"/>
      <c r="AH467" s="389"/>
      <c r="AI467" s="389"/>
      <c r="AJ467" s="403">
        <f>'Portefeuille SP2'!V492</f>
        <v>0</v>
      </c>
      <c r="AK467" s="403">
        <f>'Portefeuille SP2'!W492</f>
        <v>0</v>
      </c>
      <c r="AL467" s="403">
        <f>'Portefeuille SP2'!X492</f>
        <v>0</v>
      </c>
      <c r="AM467" s="403">
        <f>'Portefeuille SP2'!Y492</f>
        <v>0</v>
      </c>
      <c r="AN467" s="403">
        <f>'Portefeuille SP2'!Z492</f>
        <v>0</v>
      </c>
      <c r="AO467" s="403">
        <f>'Portefeuille SP2'!AA492</f>
        <v>0</v>
      </c>
      <c r="AP467" s="403">
        <f>'Portefeuille SP2'!AB492</f>
        <v>0</v>
      </c>
      <c r="AQ467" s="403">
        <f>'Portefeuille SP2'!AC492</f>
        <v>0</v>
      </c>
      <c r="AR467" s="403">
        <f>'Portefeuille SP2'!AD492</f>
        <v>0</v>
      </c>
      <c r="AS467" s="403">
        <f>'Portefeuille SP2'!AE492</f>
        <v>0</v>
      </c>
      <c r="AT467" s="403">
        <f>'Portefeuille SP2'!AF492</f>
        <v>0</v>
      </c>
      <c r="AU467" s="403">
        <f>'Portefeuille SP2'!AG492</f>
        <v>0</v>
      </c>
      <c r="AV467" s="403">
        <f>'Portefeuille SP2'!AH492</f>
        <v>0</v>
      </c>
      <c r="AW467" s="403">
        <f>'Portefeuille SP2'!AI492</f>
        <v>0</v>
      </c>
      <c r="AX467" s="403">
        <f>'Portefeuille SP2'!AJ492</f>
        <v>0</v>
      </c>
      <c r="AY467" s="403">
        <f>'Portefeuille SP2'!AK492</f>
        <v>0</v>
      </c>
      <c r="AZ467" s="403">
        <f>'Portefeuille SP2'!AL492</f>
        <v>0</v>
      </c>
      <c r="BA467" s="403">
        <f>'Portefeuille SP2'!AM492</f>
        <v>0</v>
      </c>
      <c r="BB467" s="403">
        <f>'Portefeuille SP2'!AN492</f>
        <v>0</v>
      </c>
      <c r="BC467" s="403">
        <f>'Portefeuille SP2'!AO492</f>
        <v>0</v>
      </c>
      <c r="BD467" s="403">
        <f>'Portefeuille SP2'!AP492</f>
        <v>0</v>
      </c>
      <c r="BE467" s="403">
        <f>'Portefeuille SP2'!AQ492</f>
        <v>0</v>
      </c>
      <c r="BF467" s="403">
        <f>'Portefeuille SP2'!AR492</f>
        <v>0</v>
      </c>
      <c r="BG467" s="403" t="e">
        <f>'Portefeuille SP2'!#REF!</f>
        <v>#REF!</v>
      </c>
      <c r="BH467" s="403" t="e">
        <f>'Portefeuille SP2'!#REF!</f>
        <v>#REF!</v>
      </c>
      <c r="BI467" s="403" t="e">
        <f>'Portefeuille SP2'!#REF!</f>
        <v>#REF!</v>
      </c>
      <c r="BJ467" s="403" t="e">
        <f>'Portefeuille SP2'!#REF!</f>
        <v>#REF!</v>
      </c>
      <c r="BK467" s="403" t="e">
        <f>'Portefeuille SP2'!#REF!</f>
        <v>#REF!</v>
      </c>
      <c r="BL467" s="388"/>
      <c r="BM467" s="404">
        <f>'Portefeuille SP2'!L492</f>
        <v>0</v>
      </c>
    </row>
    <row r="468" spans="1:65" ht="15" customHeight="1">
      <c r="A468" s="383">
        <f>'Portefeuille SP2'!B493</f>
        <v>0</v>
      </c>
      <c r="B468" s="390">
        <f>'Portefeuille SP2'!Q493</f>
        <v>0</v>
      </c>
      <c r="C468" s="384"/>
      <c r="D468" s="382">
        <f>'Portefeuille SP2'!E493</f>
        <v>0</v>
      </c>
      <c r="E468" s="382" t="str">
        <f t="shared" si="35"/>
        <v>0</v>
      </c>
      <c r="F468" s="382" t="str">
        <f t="shared" si="36"/>
        <v/>
      </c>
      <c r="G468" s="382">
        <f>'Portefeuille SP2'!C493</f>
        <v>0</v>
      </c>
      <c r="H468" s="382">
        <f>'Portefeuille SP2'!F493</f>
        <v>0</v>
      </c>
      <c r="I468" s="382"/>
      <c r="J468" s="382">
        <f>'Portefeuille SP2'!D493</f>
        <v>0</v>
      </c>
      <c r="K468" s="385">
        <f>'Portefeuille SP2'!H493</f>
        <v>0</v>
      </c>
      <c r="L468" s="157">
        <f>'Portefeuille SP2'!U493</f>
        <v>0</v>
      </c>
      <c r="M468" s="386"/>
      <c r="N468" s="386"/>
      <c r="O468" s="386"/>
      <c r="P468" s="387">
        <f>'Portefeuille SP2'!M493</f>
        <v>0</v>
      </c>
      <c r="Q468" s="387"/>
      <c r="R468" s="387">
        <f>'Portefeuille SP2'!N493</f>
        <v>0</v>
      </c>
      <c r="S468" s="387"/>
      <c r="T468" s="382">
        <f>'Portefeuille SP2'!R493</f>
        <v>0</v>
      </c>
      <c r="U468" s="387">
        <f>'Portefeuille SP2'!K493</f>
        <v>0</v>
      </c>
      <c r="V468" s="399">
        <f>'Portefeuille SP2'!S493</f>
        <v>0</v>
      </c>
      <c r="W468" s="387"/>
      <c r="X468" s="387"/>
      <c r="Y468" s="387"/>
      <c r="Z468" s="387"/>
      <c r="AA468" s="387"/>
      <c r="AB468" s="387"/>
      <c r="AC468" s="387"/>
      <c r="AD468" s="387"/>
      <c r="AE468" s="400">
        <f>'Portefeuille SP2'!J493</f>
        <v>0</v>
      </c>
      <c r="AF468" s="387"/>
      <c r="AG468" s="387"/>
      <c r="AH468" s="389"/>
      <c r="AI468" s="389"/>
      <c r="AJ468" s="403">
        <f>'Portefeuille SP2'!V493</f>
        <v>0</v>
      </c>
      <c r="AK468" s="403">
        <f>'Portefeuille SP2'!W493</f>
        <v>0</v>
      </c>
      <c r="AL468" s="403">
        <f>'Portefeuille SP2'!X493</f>
        <v>0</v>
      </c>
      <c r="AM468" s="403">
        <f>'Portefeuille SP2'!Y493</f>
        <v>0</v>
      </c>
      <c r="AN468" s="403">
        <f>'Portefeuille SP2'!Z493</f>
        <v>0</v>
      </c>
      <c r="AO468" s="403">
        <f>'Portefeuille SP2'!AA493</f>
        <v>0</v>
      </c>
      <c r="AP468" s="403">
        <f>'Portefeuille SP2'!AB493</f>
        <v>0</v>
      </c>
      <c r="AQ468" s="403">
        <f>'Portefeuille SP2'!AC493</f>
        <v>0</v>
      </c>
      <c r="AR468" s="403">
        <f>'Portefeuille SP2'!AD493</f>
        <v>0</v>
      </c>
      <c r="AS468" s="403">
        <f>'Portefeuille SP2'!AE493</f>
        <v>0</v>
      </c>
      <c r="AT468" s="403">
        <f>'Portefeuille SP2'!AF493</f>
        <v>0</v>
      </c>
      <c r="AU468" s="403">
        <f>'Portefeuille SP2'!AG493</f>
        <v>0</v>
      </c>
      <c r="AV468" s="403">
        <f>'Portefeuille SP2'!AH493</f>
        <v>0</v>
      </c>
      <c r="AW468" s="403">
        <f>'Portefeuille SP2'!AI493</f>
        <v>0</v>
      </c>
      <c r="AX468" s="403">
        <f>'Portefeuille SP2'!AJ493</f>
        <v>0</v>
      </c>
      <c r="AY468" s="403">
        <f>'Portefeuille SP2'!AK493</f>
        <v>0</v>
      </c>
      <c r="AZ468" s="403">
        <f>'Portefeuille SP2'!AL493</f>
        <v>0</v>
      </c>
      <c r="BA468" s="403">
        <f>'Portefeuille SP2'!AM493</f>
        <v>0</v>
      </c>
      <c r="BB468" s="403">
        <f>'Portefeuille SP2'!AN493</f>
        <v>0</v>
      </c>
      <c r="BC468" s="403">
        <f>'Portefeuille SP2'!AO493</f>
        <v>0</v>
      </c>
      <c r="BD468" s="403">
        <f>'Portefeuille SP2'!AP493</f>
        <v>0</v>
      </c>
      <c r="BE468" s="403">
        <f>'Portefeuille SP2'!AQ493</f>
        <v>0</v>
      </c>
      <c r="BF468" s="403">
        <f>'Portefeuille SP2'!AR493</f>
        <v>0</v>
      </c>
      <c r="BG468" s="403" t="e">
        <f>'Portefeuille SP2'!#REF!</f>
        <v>#REF!</v>
      </c>
      <c r="BH468" s="403" t="e">
        <f>'Portefeuille SP2'!#REF!</f>
        <v>#REF!</v>
      </c>
      <c r="BI468" s="403" t="e">
        <f>'Portefeuille SP2'!#REF!</f>
        <v>#REF!</v>
      </c>
      <c r="BJ468" s="403" t="e">
        <f>'Portefeuille SP2'!#REF!</f>
        <v>#REF!</v>
      </c>
      <c r="BK468" s="403" t="e">
        <f>'Portefeuille SP2'!#REF!</f>
        <v>#REF!</v>
      </c>
      <c r="BL468" s="388"/>
      <c r="BM468" s="404">
        <f>'Portefeuille SP2'!L493</f>
        <v>0</v>
      </c>
    </row>
    <row r="469" spans="1:65" ht="15" customHeight="1">
      <c r="A469" s="383">
        <f>'Portefeuille SP2'!B494</f>
        <v>0</v>
      </c>
      <c r="B469" s="390">
        <f>'Portefeuille SP2'!Q494</f>
        <v>0</v>
      </c>
      <c r="C469" s="384"/>
      <c r="D469" s="382">
        <f>'Portefeuille SP2'!E494</f>
        <v>0</v>
      </c>
      <c r="E469" s="382" t="str">
        <f t="shared" si="35"/>
        <v>0</v>
      </c>
      <c r="F469" s="382" t="str">
        <f t="shared" si="36"/>
        <v/>
      </c>
      <c r="G469" s="382">
        <f>'Portefeuille SP2'!C494</f>
        <v>0</v>
      </c>
      <c r="H469" s="382">
        <f>'Portefeuille SP2'!F494</f>
        <v>0</v>
      </c>
      <c r="I469" s="382"/>
      <c r="J469" s="382">
        <f>'Portefeuille SP2'!D494</f>
        <v>0</v>
      </c>
      <c r="K469" s="385">
        <f>'Portefeuille SP2'!H494</f>
        <v>0</v>
      </c>
      <c r="L469" s="157">
        <f>'Portefeuille SP2'!U494</f>
        <v>0</v>
      </c>
      <c r="M469" s="386"/>
      <c r="N469" s="386"/>
      <c r="O469" s="386"/>
      <c r="P469" s="387">
        <f>'Portefeuille SP2'!M494</f>
        <v>0</v>
      </c>
      <c r="Q469" s="387"/>
      <c r="R469" s="387">
        <f>'Portefeuille SP2'!N494</f>
        <v>0</v>
      </c>
      <c r="S469" s="387"/>
      <c r="T469" s="382">
        <f>'Portefeuille SP2'!R494</f>
        <v>0</v>
      </c>
      <c r="U469" s="387">
        <f>'Portefeuille SP2'!K494</f>
        <v>0</v>
      </c>
      <c r="V469" s="399">
        <f>'Portefeuille SP2'!S494</f>
        <v>0</v>
      </c>
      <c r="W469" s="387"/>
      <c r="X469" s="387"/>
      <c r="Y469" s="387"/>
      <c r="Z469" s="387"/>
      <c r="AA469" s="387"/>
      <c r="AB469" s="387"/>
      <c r="AC469" s="387"/>
      <c r="AD469" s="387"/>
      <c r="AE469" s="400">
        <f>'Portefeuille SP2'!J494</f>
        <v>0</v>
      </c>
      <c r="AF469" s="387"/>
      <c r="AG469" s="387"/>
      <c r="AH469" s="389"/>
      <c r="AI469" s="389"/>
      <c r="AJ469" s="403">
        <f>'Portefeuille SP2'!V494</f>
        <v>0</v>
      </c>
      <c r="AK469" s="403">
        <f>'Portefeuille SP2'!W494</f>
        <v>0</v>
      </c>
      <c r="AL469" s="403">
        <f>'Portefeuille SP2'!X494</f>
        <v>0</v>
      </c>
      <c r="AM469" s="403">
        <f>'Portefeuille SP2'!Y494</f>
        <v>0</v>
      </c>
      <c r="AN469" s="403">
        <f>'Portefeuille SP2'!Z494</f>
        <v>0</v>
      </c>
      <c r="AO469" s="403">
        <f>'Portefeuille SP2'!AA494</f>
        <v>0</v>
      </c>
      <c r="AP469" s="403">
        <f>'Portefeuille SP2'!AB494</f>
        <v>0</v>
      </c>
      <c r="AQ469" s="403">
        <f>'Portefeuille SP2'!AC494</f>
        <v>0</v>
      </c>
      <c r="AR469" s="403">
        <f>'Portefeuille SP2'!AD494</f>
        <v>0</v>
      </c>
      <c r="AS469" s="403">
        <f>'Portefeuille SP2'!AE494</f>
        <v>0</v>
      </c>
      <c r="AT469" s="403">
        <f>'Portefeuille SP2'!AF494</f>
        <v>0</v>
      </c>
      <c r="AU469" s="403">
        <f>'Portefeuille SP2'!AG494</f>
        <v>0</v>
      </c>
      <c r="AV469" s="403">
        <f>'Portefeuille SP2'!AH494</f>
        <v>0</v>
      </c>
      <c r="AW469" s="403">
        <f>'Portefeuille SP2'!AI494</f>
        <v>0</v>
      </c>
      <c r="AX469" s="403">
        <f>'Portefeuille SP2'!AJ494</f>
        <v>0</v>
      </c>
      <c r="AY469" s="403">
        <f>'Portefeuille SP2'!AK494</f>
        <v>0</v>
      </c>
      <c r="AZ469" s="403">
        <f>'Portefeuille SP2'!AL494</f>
        <v>0</v>
      </c>
      <c r="BA469" s="403">
        <f>'Portefeuille SP2'!AM494</f>
        <v>0</v>
      </c>
      <c r="BB469" s="403">
        <f>'Portefeuille SP2'!AN494</f>
        <v>0</v>
      </c>
      <c r="BC469" s="403">
        <f>'Portefeuille SP2'!AO494</f>
        <v>0</v>
      </c>
      <c r="BD469" s="403">
        <f>'Portefeuille SP2'!AP494</f>
        <v>0</v>
      </c>
      <c r="BE469" s="403">
        <f>'Portefeuille SP2'!AQ494</f>
        <v>0</v>
      </c>
      <c r="BF469" s="403">
        <f>'Portefeuille SP2'!AR494</f>
        <v>0</v>
      </c>
      <c r="BG469" s="403" t="e">
        <f>'Portefeuille SP2'!#REF!</f>
        <v>#REF!</v>
      </c>
      <c r="BH469" s="403" t="e">
        <f>'Portefeuille SP2'!#REF!</f>
        <v>#REF!</v>
      </c>
      <c r="BI469" s="403" t="e">
        <f>'Portefeuille SP2'!#REF!</f>
        <v>#REF!</v>
      </c>
      <c r="BJ469" s="403" t="e">
        <f>'Portefeuille SP2'!#REF!</f>
        <v>#REF!</v>
      </c>
      <c r="BK469" s="403" t="e">
        <f>'Portefeuille SP2'!#REF!</f>
        <v>#REF!</v>
      </c>
      <c r="BL469" s="388"/>
      <c r="BM469" s="404">
        <f>'Portefeuille SP2'!L494</f>
        <v>0</v>
      </c>
    </row>
    <row r="470" spans="1:65" ht="15" customHeight="1">
      <c r="A470" s="383">
        <f>'Portefeuille SP2'!B495</f>
        <v>0</v>
      </c>
      <c r="B470" s="390">
        <f>'Portefeuille SP2'!Q495</f>
        <v>0</v>
      </c>
      <c r="C470" s="384"/>
      <c r="D470" s="382">
        <f>'Portefeuille SP2'!E495</f>
        <v>0</v>
      </c>
      <c r="E470" s="382" t="str">
        <f t="shared" si="35"/>
        <v>0</v>
      </c>
      <c r="F470" s="382" t="str">
        <f t="shared" si="36"/>
        <v/>
      </c>
      <c r="G470" s="382">
        <f>'Portefeuille SP2'!C495</f>
        <v>0</v>
      </c>
      <c r="H470" s="382">
        <f>'Portefeuille SP2'!F495</f>
        <v>0</v>
      </c>
      <c r="I470" s="382"/>
      <c r="J470" s="382">
        <f>'Portefeuille SP2'!D495</f>
        <v>0</v>
      </c>
      <c r="K470" s="385">
        <f>'Portefeuille SP2'!H495</f>
        <v>0</v>
      </c>
      <c r="L470" s="157">
        <f>'Portefeuille SP2'!U495</f>
        <v>0</v>
      </c>
      <c r="M470" s="386"/>
      <c r="N470" s="386"/>
      <c r="O470" s="386"/>
      <c r="P470" s="387">
        <f>'Portefeuille SP2'!M495</f>
        <v>0</v>
      </c>
      <c r="Q470" s="387"/>
      <c r="R470" s="387">
        <f>'Portefeuille SP2'!N495</f>
        <v>0</v>
      </c>
      <c r="S470" s="387"/>
      <c r="T470" s="382">
        <f>'Portefeuille SP2'!R495</f>
        <v>0</v>
      </c>
      <c r="U470" s="387">
        <f>'Portefeuille SP2'!K495</f>
        <v>0</v>
      </c>
      <c r="V470" s="399">
        <f>'Portefeuille SP2'!S495</f>
        <v>0</v>
      </c>
      <c r="W470" s="387"/>
      <c r="X470" s="387"/>
      <c r="Y470" s="387"/>
      <c r="Z470" s="387"/>
      <c r="AA470" s="387"/>
      <c r="AB470" s="387"/>
      <c r="AC470" s="387"/>
      <c r="AD470" s="387"/>
      <c r="AE470" s="400">
        <f>'Portefeuille SP2'!J495</f>
        <v>0</v>
      </c>
      <c r="AF470" s="387"/>
      <c r="AG470" s="387"/>
      <c r="AH470" s="389"/>
      <c r="AI470" s="389"/>
      <c r="AJ470" s="403">
        <f>'Portefeuille SP2'!V495</f>
        <v>0</v>
      </c>
      <c r="AK470" s="403">
        <f>'Portefeuille SP2'!W495</f>
        <v>0</v>
      </c>
      <c r="AL470" s="403">
        <f>'Portefeuille SP2'!X495</f>
        <v>0</v>
      </c>
      <c r="AM470" s="403">
        <f>'Portefeuille SP2'!Y495</f>
        <v>0</v>
      </c>
      <c r="AN470" s="403">
        <f>'Portefeuille SP2'!Z495</f>
        <v>0</v>
      </c>
      <c r="AO470" s="403">
        <f>'Portefeuille SP2'!AA495</f>
        <v>0</v>
      </c>
      <c r="AP470" s="403">
        <f>'Portefeuille SP2'!AB495</f>
        <v>0</v>
      </c>
      <c r="AQ470" s="403">
        <f>'Portefeuille SP2'!AC495</f>
        <v>0</v>
      </c>
      <c r="AR470" s="403">
        <f>'Portefeuille SP2'!AD495</f>
        <v>0</v>
      </c>
      <c r="AS470" s="403">
        <f>'Portefeuille SP2'!AE495</f>
        <v>0</v>
      </c>
      <c r="AT470" s="403">
        <f>'Portefeuille SP2'!AF495</f>
        <v>0</v>
      </c>
      <c r="AU470" s="403">
        <f>'Portefeuille SP2'!AG495</f>
        <v>0</v>
      </c>
      <c r="AV470" s="403">
        <f>'Portefeuille SP2'!AH495</f>
        <v>0</v>
      </c>
      <c r="AW470" s="403">
        <f>'Portefeuille SP2'!AI495</f>
        <v>0</v>
      </c>
      <c r="AX470" s="403">
        <f>'Portefeuille SP2'!AJ495</f>
        <v>0</v>
      </c>
      <c r="AY470" s="403">
        <f>'Portefeuille SP2'!AK495</f>
        <v>0</v>
      </c>
      <c r="AZ470" s="403">
        <f>'Portefeuille SP2'!AL495</f>
        <v>0</v>
      </c>
      <c r="BA470" s="403">
        <f>'Portefeuille SP2'!AM495</f>
        <v>0</v>
      </c>
      <c r="BB470" s="403">
        <f>'Portefeuille SP2'!AN495</f>
        <v>0</v>
      </c>
      <c r="BC470" s="403">
        <f>'Portefeuille SP2'!AO495</f>
        <v>0</v>
      </c>
      <c r="BD470" s="403">
        <f>'Portefeuille SP2'!AP495</f>
        <v>0</v>
      </c>
      <c r="BE470" s="403">
        <f>'Portefeuille SP2'!AQ495</f>
        <v>0</v>
      </c>
      <c r="BF470" s="403">
        <f>'Portefeuille SP2'!AR495</f>
        <v>0</v>
      </c>
      <c r="BG470" s="403" t="e">
        <f>'Portefeuille SP2'!#REF!</f>
        <v>#REF!</v>
      </c>
      <c r="BH470" s="403" t="e">
        <f>'Portefeuille SP2'!#REF!</f>
        <v>#REF!</v>
      </c>
      <c r="BI470" s="403" t="e">
        <f>'Portefeuille SP2'!#REF!</f>
        <v>#REF!</v>
      </c>
      <c r="BJ470" s="403" t="e">
        <f>'Portefeuille SP2'!#REF!</f>
        <v>#REF!</v>
      </c>
      <c r="BK470" s="403" t="e">
        <f>'Portefeuille SP2'!#REF!</f>
        <v>#REF!</v>
      </c>
      <c r="BL470" s="388"/>
      <c r="BM470" s="404">
        <f>'Portefeuille SP2'!L495</f>
        <v>0</v>
      </c>
    </row>
    <row r="471" spans="1:65" ht="15" customHeight="1">
      <c r="A471" s="383">
        <f>'Portefeuille SP2'!B496</f>
        <v>0</v>
      </c>
      <c r="B471" s="390">
        <f>'Portefeuille SP2'!Q496</f>
        <v>0</v>
      </c>
      <c r="C471" s="384"/>
      <c r="D471" s="382">
        <f>'Portefeuille SP2'!E496</f>
        <v>0</v>
      </c>
      <c r="E471" s="382" t="str">
        <f t="shared" si="35"/>
        <v>0</v>
      </c>
      <c r="F471" s="382" t="str">
        <f t="shared" si="36"/>
        <v/>
      </c>
      <c r="G471" s="382">
        <f>'Portefeuille SP2'!C496</f>
        <v>0</v>
      </c>
      <c r="H471" s="382">
        <f>'Portefeuille SP2'!F496</f>
        <v>0</v>
      </c>
      <c r="I471" s="382"/>
      <c r="J471" s="382">
        <f>'Portefeuille SP2'!D496</f>
        <v>0</v>
      </c>
      <c r="K471" s="385">
        <f>'Portefeuille SP2'!H496</f>
        <v>0</v>
      </c>
      <c r="L471" s="157">
        <f>'Portefeuille SP2'!U496</f>
        <v>0</v>
      </c>
      <c r="M471" s="386"/>
      <c r="N471" s="386"/>
      <c r="O471" s="386"/>
      <c r="P471" s="387">
        <f>'Portefeuille SP2'!M496</f>
        <v>0</v>
      </c>
      <c r="Q471" s="387"/>
      <c r="R471" s="387">
        <f>'Portefeuille SP2'!N496</f>
        <v>0</v>
      </c>
      <c r="S471" s="387"/>
      <c r="T471" s="382">
        <f>'Portefeuille SP2'!R496</f>
        <v>0</v>
      </c>
      <c r="U471" s="387">
        <f>'Portefeuille SP2'!K496</f>
        <v>0</v>
      </c>
      <c r="V471" s="399">
        <f>'Portefeuille SP2'!S496</f>
        <v>0</v>
      </c>
      <c r="W471" s="387"/>
      <c r="X471" s="387"/>
      <c r="Y471" s="387"/>
      <c r="Z471" s="387"/>
      <c r="AA471" s="387"/>
      <c r="AB471" s="387"/>
      <c r="AC471" s="387"/>
      <c r="AD471" s="387"/>
      <c r="AE471" s="400">
        <f>'Portefeuille SP2'!J496</f>
        <v>0</v>
      </c>
      <c r="AF471" s="387"/>
      <c r="AG471" s="387"/>
      <c r="AH471" s="389"/>
      <c r="AI471" s="389"/>
      <c r="AJ471" s="403">
        <f>'Portefeuille SP2'!V496</f>
        <v>0</v>
      </c>
      <c r="AK471" s="403">
        <f>'Portefeuille SP2'!W496</f>
        <v>0</v>
      </c>
      <c r="AL471" s="403">
        <f>'Portefeuille SP2'!X496</f>
        <v>0</v>
      </c>
      <c r="AM471" s="403">
        <f>'Portefeuille SP2'!Y496</f>
        <v>0</v>
      </c>
      <c r="AN471" s="403">
        <f>'Portefeuille SP2'!Z496</f>
        <v>0</v>
      </c>
      <c r="AO471" s="403">
        <f>'Portefeuille SP2'!AA496</f>
        <v>0</v>
      </c>
      <c r="AP471" s="403">
        <f>'Portefeuille SP2'!AB496</f>
        <v>0</v>
      </c>
      <c r="AQ471" s="403">
        <f>'Portefeuille SP2'!AC496</f>
        <v>0</v>
      </c>
      <c r="AR471" s="403">
        <f>'Portefeuille SP2'!AD496</f>
        <v>0</v>
      </c>
      <c r="AS471" s="403">
        <f>'Portefeuille SP2'!AE496</f>
        <v>0</v>
      </c>
      <c r="AT471" s="403">
        <f>'Portefeuille SP2'!AF496</f>
        <v>0</v>
      </c>
      <c r="AU471" s="403">
        <f>'Portefeuille SP2'!AG496</f>
        <v>0</v>
      </c>
      <c r="AV471" s="403">
        <f>'Portefeuille SP2'!AH496</f>
        <v>0</v>
      </c>
      <c r="AW471" s="403">
        <f>'Portefeuille SP2'!AI496</f>
        <v>0</v>
      </c>
      <c r="AX471" s="403">
        <f>'Portefeuille SP2'!AJ496</f>
        <v>0</v>
      </c>
      <c r="AY471" s="403">
        <f>'Portefeuille SP2'!AK496</f>
        <v>0</v>
      </c>
      <c r="AZ471" s="403">
        <f>'Portefeuille SP2'!AL496</f>
        <v>0</v>
      </c>
      <c r="BA471" s="403">
        <f>'Portefeuille SP2'!AM496</f>
        <v>0</v>
      </c>
      <c r="BB471" s="403">
        <f>'Portefeuille SP2'!AN496</f>
        <v>0</v>
      </c>
      <c r="BC471" s="403">
        <f>'Portefeuille SP2'!AO496</f>
        <v>0</v>
      </c>
      <c r="BD471" s="403">
        <f>'Portefeuille SP2'!AP496</f>
        <v>0</v>
      </c>
      <c r="BE471" s="403">
        <f>'Portefeuille SP2'!AQ496</f>
        <v>0</v>
      </c>
      <c r="BF471" s="403">
        <f>'Portefeuille SP2'!AR496</f>
        <v>0</v>
      </c>
      <c r="BG471" s="403" t="e">
        <f>'Portefeuille SP2'!#REF!</f>
        <v>#REF!</v>
      </c>
      <c r="BH471" s="403" t="e">
        <f>'Portefeuille SP2'!#REF!</f>
        <v>#REF!</v>
      </c>
      <c r="BI471" s="403" t="e">
        <f>'Portefeuille SP2'!#REF!</f>
        <v>#REF!</v>
      </c>
      <c r="BJ471" s="403" t="e">
        <f>'Portefeuille SP2'!#REF!</f>
        <v>#REF!</v>
      </c>
      <c r="BK471" s="403" t="e">
        <f>'Portefeuille SP2'!#REF!</f>
        <v>#REF!</v>
      </c>
      <c r="BL471" s="388"/>
      <c r="BM471" s="404">
        <f>'Portefeuille SP2'!L496</f>
        <v>0</v>
      </c>
    </row>
    <row r="472" spans="1:65" ht="15" customHeight="1">
      <c r="A472" s="383">
        <f>'Portefeuille SP2'!B497</f>
        <v>0</v>
      </c>
      <c r="B472" s="390">
        <f>'Portefeuille SP2'!Q497</f>
        <v>0</v>
      </c>
      <c r="C472" s="384"/>
      <c r="D472" s="382">
        <f>'Portefeuille SP2'!E497</f>
        <v>0</v>
      </c>
      <c r="E472" s="382" t="str">
        <f t="shared" si="35"/>
        <v>0</v>
      </c>
      <c r="F472" s="382" t="str">
        <f t="shared" si="36"/>
        <v/>
      </c>
      <c r="G472" s="382">
        <f>'Portefeuille SP2'!C497</f>
        <v>0</v>
      </c>
      <c r="H472" s="382">
        <f>'Portefeuille SP2'!F497</f>
        <v>0</v>
      </c>
      <c r="I472" s="382"/>
      <c r="J472" s="382">
        <f>'Portefeuille SP2'!D497</f>
        <v>0</v>
      </c>
      <c r="K472" s="385">
        <f>'Portefeuille SP2'!H497</f>
        <v>0</v>
      </c>
      <c r="L472" s="157">
        <f>'Portefeuille SP2'!U497</f>
        <v>0</v>
      </c>
      <c r="M472" s="386"/>
      <c r="N472" s="386"/>
      <c r="O472" s="386"/>
      <c r="P472" s="387">
        <f>'Portefeuille SP2'!M497</f>
        <v>0</v>
      </c>
      <c r="Q472" s="387"/>
      <c r="R472" s="387">
        <f>'Portefeuille SP2'!N497</f>
        <v>0</v>
      </c>
      <c r="S472" s="387"/>
      <c r="T472" s="382">
        <f>'Portefeuille SP2'!R497</f>
        <v>0</v>
      </c>
      <c r="U472" s="387">
        <f>'Portefeuille SP2'!K497</f>
        <v>0</v>
      </c>
      <c r="V472" s="399">
        <f>'Portefeuille SP2'!S497</f>
        <v>0</v>
      </c>
      <c r="W472" s="387"/>
      <c r="X472" s="387"/>
      <c r="Y472" s="387"/>
      <c r="Z472" s="387"/>
      <c r="AA472" s="387"/>
      <c r="AB472" s="387"/>
      <c r="AC472" s="387"/>
      <c r="AD472" s="387"/>
      <c r="AE472" s="400">
        <f>'Portefeuille SP2'!J497</f>
        <v>0</v>
      </c>
      <c r="AF472" s="387"/>
      <c r="AG472" s="387"/>
      <c r="AH472" s="389"/>
      <c r="AI472" s="389"/>
      <c r="AJ472" s="403">
        <f>'Portefeuille SP2'!V497</f>
        <v>0</v>
      </c>
      <c r="AK472" s="403">
        <f>'Portefeuille SP2'!W497</f>
        <v>0</v>
      </c>
      <c r="AL472" s="403">
        <f>'Portefeuille SP2'!X497</f>
        <v>0</v>
      </c>
      <c r="AM472" s="403">
        <f>'Portefeuille SP2'!Y497</f>
        <v>0</v>
      </c>
      <c r="AN472" s="403">
        <f>'Portefeuille SP2'!Z497</f>
        <v>0</v>
      </c>
      <c r="AO472" s="403">
        <f>'Portefeuille SP2'!AA497</f>
        <v>0</v>
      </c>
      <c r="AP472" s="403">
        <f>'Portefeuille SP2'!AB497</f>
        <v>0</v>
      </c>
      <c r="AQ472" s="403">
        <f>'Portefeuille SP2'!AC497</f>
        <v>0</v>
      </c>
      <c r="AR472" s="403">
        <f>'Portefeuille SP2'!AD497</f>
        <v>0</v>
      </c>
      <c r="AS472" s="403">
        <f>'Portefeuille SP2'!AE497</f>
        <v>0</v>
      </c>
      <c r="AT472" s="403">
        <f>'Portefeuille SP2'!AF497</f>
        <v>0</v>
      </c>
      <c r="AU472" s="403">
        <f>'Portefeuille SP2'!AG497</f>
        <v>0</v>
      </c>
      <c r="AV472" s="403">
        <f>'Portefeuille SP2'!AH497</f>
        <v>0</v>
      </c>
      <c r="AW472" s="403">
        <f>'Portefeuille SP2'!AI497</f>
        <v>0</v>
      </c>
      <c r="AX472" s="403">
        <f>'Portefeuille SP2'!AJ497</f>
        <v>0</v>
      </c>
      <c r="AY472" s="403">
        <f>'Portefeuille SP2'!AK497</f>
        <v>0</v>
      </c>
      <c r="AZ472" s="403">
        <f>'Portefeuille SP2'!AL497</f>
        <v>0</v>
      </c>
      <c r="BA472" s="403">
        <f>'Portefeuille SP2'!AM497</f>
        <v>0</v>
      </c>
      <c r="BB472" s="403">
        <f>'Portefeuille SP2'!AN497</f>
        <v>0</v>
      </c>
      <c r="BC472" s="403">
        <f>'Portefeuille SP2'!AO497</f>
        <v>0</v>
      </c>
      <c r="BD472" s="403">
        <f>'Portefeuille SP2'!AP497</f>
        <v>0</v>
      </c>
      <c r="BE472" s="403">
        <f>'Portefeuille SP2'!AQ497</f>
        <v>0</v>
      </c>
      <c r="BF472" s="403">
        <f>'Portefeuille SP2'!AR497</f>
        <v>0</v>
      </c>
      <c r="BG472" s="403" t="e">
        <f>'Portefeuille SP2'!#REF!</f>
        <v>#REF!</v>
      </c>
      <c r="BH472" s="403" t="e">
        <f>'Portefeuille SP2'!#REF!</f>
        <v>#REF!</v>
      </c>
      <c r="BI472" s="403" t="e">
        <f>'Portefeuille SP2'!#REF!</f>
        <v>#REF!</v>
      </c>
      <c r="BJ472" s="403" t="e">
        <f>'Portefeuille SP2'!#REF!</f>
        <v>#REF!</v>
      </c>
      <c r="BK472" s="403" t="e">
        <f>'Portefeuille SP2'!#REF!</f>
        <v>#REF!</v>
      </c>
      <c r="BL472" s="388"/>
      <c r="BM472" s="404">
        <f>'Portefeuille SP2'!L497</f>
        <v>0</v>
      </c>
    </row>
    <row r="473" spans="1:65" ht="15" customHeight="1">
      <c r="A473" s="383">
        <f>'Portefeuille SP2'!B498</f>
        <v>0</v>
      </c>
      <c r="B473" s="390">
        <f>'Portefeuille SP2'!Q498</f>
        <v>0</v>
      </c>
      <c r="C473" s="384"/>
      <c r="D473" s="382">
        <f>'Portefeuille SP2'!E498</f>
        <v>0</v>
      </c>
      <c r="E473" s="382" t="str">
        <f t="shared" si="35"/>
        <v>0</v>
      </c>
      <c r="F473" s="382" t="str">
        <f t="shared" si="36"/>
        <v/>
      </c>
      <c r="G473" s="382">
        <f>'Portefeuille SP2'!C498</f>
        <v>0</v>
      </c>
      <c r="H473" s="382">
        <f>'Portefeuille SP2'!F498</f>
        <v>0</v>
      </c>
      <c r="I473" s="382"/>
      <c r="J473" s="382">
        <f>'Portefeuille SP2'!D498</f>
        <v>0</v>
      </c>
      <c r="K473" s="385">
        <f>'Portefeuille SP2'!H498</f>
        <v>0</v>
      </c>
      <c r="L473" s="157">
        <f>'Portefeuille SP2'!U498</f>
        <v>0</v>
      </c>
      <c r="M473" s="386"/>
      <c r="N473" s="386"/>
      <c r="O473" s="386"/>
      <c r="P473" s="387">
        <f>'Portefeuille SP2'!M498</f>
        <v>0</v>
      </c>
      <c r="Q473" s="387"/>
      <c r="R473" s="387">
        <f>'Portefeuille SP2'!N498</f>
        <v>0</v>
      </c>
      <c r="S473" s="387"/>
      <c r="T473" s="382">
        <f>'Portefeuille SP2'!R498</f>
        <v>0</v>
      </c>
      <c r="U473" s="387">
        <f>'Portefeuille SP2'!K498</f>
        <v>0</v>
      </c>
      <c r="V473" s="399">
        <f>'Portefeuille SP2'!S498</f>
        <v>0</v>
      </c>
      <c r="W473" s="387"/>
      <c r="X473" s="387"/>
      <c r="Y473" s="387"/>
      <c r="Z473" s="387"/>
      <c r="AA473" s="387"/>
      <c r="AB473" s="387"/>
      <c r="AC473" s="387"/>
      <c r="AD473" s="387"/>
      <c r="AE473" s="400">
        <f>'Portefeuille SP2'!J498</f>
        <v>0</v>
      </c>
      <c r="AF473" s="387"/>
      <c r="AG473" s="387"/>
      <c r="AH473" s="389"/>
      <c r="AI473" s="389"/>
      <c r="AJ473" s="403">
        <f>'Portefeuille SP2'!V498</f>
        <v>0</v>
      </c>
      <c r="AK473" s="403">
        <f>'Portefeuille SP2'!W498</f>
        <v>0</v>
      </c>
      <c r="AL473" s="403">
        <f>'Portefeuille SP2'!X498</f>
        <v>0</v>
      </c>
      <c r="AM473" s="403">
        <f>'Portefeuille SP2'!Y498</f>
        <v>0</v>
      </c>
      <c r="AN473" s="403">
        <f>'Portefeuille SP2'!Z498</f>
        <v>0</v>
      </c>
      <c r="AO473" s="403">
        <f>'Portefeuille SP2'!AA498</f>
        <v>0</v>
      </c>
      <c r="AP473" s="403">
        <f>'Portefeuille SP2'!AB498</f>
        <v>0</v>
      </c>
      <c r="AQ473" s="403">
        <f>'Portefeuille SP2'!AC498</f>
        <v>0</v>
      </c>
      <c r="AR473" s="403">
        <f>'Portefeuille SP2'!AD498</f>
        <v>0</v>
      </c>
      <c r="AS473" s="403">
        <f>'Portefeuille SP2'!AE498</f>
        <v>0</v>
      </c>
      <c r="AT473" s="403">
        <f>'Portefeuille SP2'!AF498</f>
        <v>0</v>
      </c>
      <c r="AU473" s="403">
        <f>'Portefeuille SP2'!AG498</f>
        <v>0</v>
      </c>
      <c r="AV473" s="403">
        <f>'Portefeuille SP2'!AH498</f>
        <v>0</v>
      </c>
      <c r="AW473" s="403">
        <f>'Portefeuille SP2'!AI498</f>
        <v>0</v>
      </c>
      <c r="AX473" s="403">
        <f>'Portefeuille SP2'!AJ498</f>
        <v>0</v>
      </c>
      <c r="AY473" s="403">
        <f>'Portefeuille SP2'!AK498</f>
        <v>0</v>
      </c>
      <c r="AZ473" s="403">
        <f>'Portefeuille SP2'!AL498</f>
        <v>0</v>
      </c>
      <c r="BA473" s="403">
        <f>'Portefeuille SP2'!AM498</f>
        <v>0</v>
      </c>
      <c r="BB473" s="403">
        <f>'Portefeuille SP2'!AN498</f>
        <v>0</v>
      </c>
      <c r="BC473" s="403">
        <f>'Portefeuille SP2'!AO498</f>
        <v>0</v>
      </c>
      <c r="BD473" s="403">
        <f>'Portefeuille SP2'!AP498</f>
        <v>0</v>
      </c>
      <c r="BE473" s="403">
        <f>'Portefeuille SP2'!AQ498</f>
        <v>0</v>
      </c>
      <c r="BF473" s="403">
        <f>'Portefeuille SP2'!AR498</f>
        <v>0</v>
      </c>
      <c r="BG473" s="403" t="e">
        <f>'Portefeuille SP2'!#REF!</f>
        <v>#REF!</v>
      </c>
      <c r="BH473" s="403" t="e">
        <f>'Portefeuille SP2'!#REF!</f>
        <v>#REF!</v>
      </c>
      <c r="BI473" s="403" t="e">
        <f>'Portefeuille SP2'!#REF!</f>
        <v>#REF!</v>
      </c>
      <c r="BJ473" s="403" t="e">
        <f>'Portefeuille SP2'!#REF!</f>
        <v>#REF!</v>
      </c>
      <c r="BK473" s="403" t="e">
        <f>'Portefeuille SP2'!#REF!</f>
        <v>#REF!</v>
      </c>
      <c r="BL473" s="388"/>
      <c r="BM473" s="404">
        <f>'Portefeuille SP2'!L498</f>
        <v>0</v>
      </c>
    </row>
    <row r="474" spans="1:65" ht="15" customHeight="1">
      <c r="A474" s="383">
        <f>'Portefeuille SP2'!B499</f>
        <v>0</v>
      </c>
      <c r="B474" s="390">
        <f>'Portefeuille SP2'!Q499</f>
        <v>0</v>
      </c>
      <c r="C474" s="384"/>
      <c r="D474" s="382">
        <f>'Portefeuille SP2'!E499</f>
        <v>0</v>
      </c>
      <c r="E474" s="382" t="str">
        <f t="shared" si="35"/>
        <v>0</v>
      </c>
      <c r="F474" s="382" t="str">
        <f t="shared" si="36"/>
        <v/>
      </c>
      <c r="G474" s="382">
        <f>'Portefeuille SP2'!C499</f>
        <v>0</v>
      </c>
      <c r="H474" s="382">
        <f>'Portefeuille SP2'!F499</f>
        <v>0</v>
      </c>
      <c r="I474" s="382"/>
      <c r="J474" s="382">
        <f>'Portefeuille SP2'!D499</f>
        <v>0</v>
      </c>
      <c r="K474" s="385">
        <f>'Portefeuille SP2'!H499</f>
        <v>0</v>
      </c>
      <c r="L474" s="157">
        <f>'Portefeuille SP2'!U499</f>
        <v>0</v>
      </c>
      <c r="M474" s="386"/>
      <c r="N474" s="386"/>
      <c r="O474" s="386"/>
      <c r="P474" s="387">
        <f>'Portefeuille SP2'!M499</f>
        <v>0</v>
      </c>
      <c r="Q474" s="387"/>
      <c r="R474" s="387">
        <f>'Portefeuille SP2'!N499</f>
        <v>0</v>
      </c>
      <c r="S474" s="387"/>
      <c r="T474" s="382">
        <f>'Portefeuille SP2'!R499</f>
        <v>0</v>
      </c>
      <c r="U474" s="387">
        <f>'Portefeuille SP2'!K499</f>
        <v>0</v>
      </c>
      <c r="V474" s="399">
        <f>'Portefeuille SP2'!S499</f>
        <v>0</v>
      </c>
      <c r="W474" s="387"/>
      <c r="X474" s="387"/>
      <c r="Y474" s="387"/>
      <c r="Z474" s="387"/>
      <c r="AA474" s="387"/>
      <c r="AB474" s="387"/>
      <c r="AC474" s="387"/>
      <c r="AD474" s="387"/>
      <c r="AE474" s="400">
        <f>'Portefeuille SP2'!J499</f>
        <v>0</v>
      </c>
      <c r="AF474" s="387"/>
      <c r="AG474" s="387"/>
      <c r="AH474" s="389"/>
      <c r="AI474" s="389"/>
      <c r="AJ474" s="403">
        <f>'Portefeuille SP2'!V499</f>
        <v>0</v>
      </c>
      <c r="AK474" s="403">
        <f>'Portefeuille SP2'!W499</f>
        <v>0</v>
      </c>
      <c r="AL474" s="403">
        <f>'Portefeuille SP2'!X499</f>
        <v>0</v>
      </c>
      <c r="AM474" s="403">
        <f>'Portefeuille SP2'!Y499</f>
        <v>0</v>
      </c>
      <c r="AN474" s="403">
        <f>'Portefeuille SP2'!Z499</f>
        <v>0</v>
      </c>
      <c r="AO474" s="403">
        <f>'Portefeuille SP2'!AA499</f>
        <v>0</v>
      </c>
      <c r="AP474" s="403">
        <f>'Portefeuille SP2'!AB499</f>
        <v>0</v>
      </c>
      <c r="AQ474" s="403">
        <f>'Portefeuille SP2'!AC499</f>
        <v>0</v>
      </c>
      <c r="AR474" s="403">
        <f>'Portefeuille SP2'!AD499</f>
        <v>0</v>
      </c>
      <c r="AS474" s="403">
        <f>'Portefeuille SP2'!AE499</f>
        <v>0</v>
      </c>
      <c r="AT474" s="403">
        <f>'Portefeuille SP2'!AF499</f>
        <v>0</v>
      </c>
      <c r="AU474" s="403">
        <f>'Portefeuille SP2'!AG499</f>
        <v>0</v>
      </c>
      <c r="AV474" s="403">
        <f>'Portefeuille SP2'!AH499</f>
        <v>0</v>
      </c>
      <c r="AW474" s="403">
        <f>'Portefeuille SP2'!AI499</f>
        <v>0</v>
      </c>
      <c r="AX474" s="403">
        <f>'Portefeuille SP2'!AJ499</f>
        <v>0</v>
      </c>
      <c r="AY474" s="403">
        <f>'Portefeuille SP2'!AK499</f>
        <v>0</v>
      </c>
      <c r="AZ474" s="403">
        <f>'Portefeuille SP2'!AL499</f>
        <v>0</v>
      </c>
      <c r="BA474" s="403">
        <f>'Portefeuille SP2'!AM499</f>
        <v>0</v>
      </c>
      <c r="BB474" s="403">
        <f>'Portefeuille SP2'!AN499</f>
        <v>0</v>
      </c>
      <c r="BC474" s="403">
        <f>'Portefeuille SP2'!AO499</f>
        <v>0</v>
      </c>
      <c r="BD474" s="403">
        <f>'Portefeuille SP2'!AP499</f>
        <v>0</v>
      </c>
      <c r="BE474" s="403">
        <f>'Portefeuille SP2'!AQ499</f>
        <v>0</v>
      </c>
      <c r="BF474" s="403">
        <f>'Portefeuille SP2'!AR499</f>
        <v>0</v>
      </c>
      <c r="BG474" s="403" t="e">
        <f>'Portefeuille SP2'!#REF!</f>
        <v>#REF!</v>
      </c>
      <c r="BH474" s="403" t="e">
        <f>'Portefeuille SP2'!#REF!</f>
        <v>#REF!</v>
      </c>
      <c r="BI474" s="403" t="e">
        <f>'Portefeuille SP2'!#REF!</f>
        <v>#REF!</v>
      </c>
      <c r="BJ474" s="403" t="e">
        <f>'Portefeuille SP2'!#REF!</f>
        <v>#REF!</v>
      </c>
      <c r="BK474" s="403" t="e">
        <f>'Portefeuille SP2'!#REF!</f>
        <v>#REF!</v>
      </c>
      <c r="BL474" s="388"/>
      <c r="BM474" s="404">
        <f>'Portefeuille SP2'!L499</f>
        <v>0</v>
      </c>
    </row>
    <row r="475" spans="1:65" ht="15" customHeight="1">
      <c r="A475" s="383">
        <f>'Portefeuille SP2'!B500</f>
        <v>0</v>
      </c>
      <c r="B475" s="390">
        <f>'Portefeuille SP2'!Q500</f>
        <v>0</v>
      </c>
      <c r="C475" s="384"/>
      <c r="D475" s="382">
        <f>'Portefeuille SP2'!E500</f>
        <v>0</v>
      </c>
      <c r="E475" s="382" t="str">
        <f t="shared" si="35"/>
        <v>0</v>
      </c>
      <c r="F475" s="382" t="str">
        <f t="shared" si="36"/>
        <v/>
      </c>
      <c r="G475" s="382">
        <f>'Portefeuille SP2'!C500</f>
        <v>0</v>
      </c>
      <c r="H475" s="382">
        <f>'Portefeuille SP2'!F500</f>
        <v>0</v>
      </c>
      <c r="I475" s="382"/>
      <c r="J475" s="382">
        <f>'Portefeuille SP2'!D500</f>
        <v>0</v>
      </c>
      <c r="K475" s="385">
        <f>'Portefeuille SP2'!H500</f>
        <v>0</v>
      </c>
      <c r="L475" s="157">
        <f>'Portefeuille SP2'!U500</f>
        <v>0</v>
      </c>
      <c r="M475" s="386"/>
      <c r="N475" s="386"/>
      <c r="O475" s="386"/>
      <c r="P475" s="387">
        <f>'Portefeuille SP2'!M500</f>
        <v>0</v>
      </c>
      <c r="Q475" s="387"/>
      <c r="R475" s="387">
        <f>'Portefeuille SP2'!N500</f>
        <v>0</v>
      </c>
      <c r="S475" s="387"/>
      <c r="T475" s="382">
        <f>'Portefeuille SP2'!R500</f>
        <v>0</v>
      </c>
      <c r="U475" s="387">
        <f>'Portefeuille SP2'!K500</f>
        <v>0</v>
      </c>
      <c r="V475" s="399">
        <f>'Portefeuille SP2'!S500</f>
        <v>0</v>
      </c>
      <c r="W475" s="387"/>
      <c r="X475" s="387"/>
      <c r="Y475" s="387"/>
      <c r="Z475" s="387"/>
      <c r="AA475" s="387"/>
      <c r="AB475" s="387"/>
      <c r="AC475" s="387"/>
      <c r="AD475" s="387"/>
      <c r="AE475" s="400">
        <f>'Portefeuille SP2'!J500</f>
        <v>0</v>
      </c>
      <c r="AF475" s="387"/>
      <c r="AG475" s="387"/>
      <c r="AH475" s="389"/>
      <c r="AI475" s="389"/>
      <c r="AJ475" s="403">
        <f>'Portefeuille SP2'!V500</f>
        <v>0</v>
      </c>
      <c r="AK475" s="403">
        <f>'Portefeuille SP2'!W500</f>
        <v>0</v>
      </c>
      <c r="AL475" s="403">
        <f>'Portefeuille SP2'!X500</f>
        <v>0</v>
      </c>
      <c r="AM475" s="403">
        <f>'Portefeuille SP2'!Y500</f>
        <v>0</v>
      </c>
      <c r="AN475" s="403">
        <f>'Portefeuille SP2'!Z500</f>
        <v>0</v>
      </c>
      <c r="AO475" s="403">
        <f>'Portefeuille SP2'!AA500</f>
        <v>0</v>
      </c>
      <c r="AP475" s="403">
        <f>'Portefeuille SP2'!AB500</f>
        <v>0</v>
      </c>
      <c r="AQ475" s="403">
        <f>'Portefeuille SP2'!AC500</f>
        <v>0</v>
      </c>
      <c r="AR475" s="403">
        <f>'Portefeuille SP2'!AD500</f>
        <v>0</v>
      </c>
      <c r="AS475" s="403">
        <f>'Portefeuille SP2'!AE500</f>
        <v>0</v>
      </c>
      <c r="AT475" s="403">
        <f>'Portefeuille SP2'!AF500</f>
        <v>0</v>
      </c>
      <c r="AU475" s="403">
        <f>'Portefeuille SP2'!AG500</f>
        <v>0</v>
      </c>
      <c r="AV475" s="403">
        <f>'Portefeuille SP2'!AH500</f>
        <v>0</v>
      </c>
      <c r="AW475" s="403">
        <f>'Portefeuille SP2'!AI500</f>
        <v>0</v>
      </c>
      <c r="AX475" s="403">
        <f>'Portefeuille SP2'!AJ500</f>
        <v>0</v>
      </c>
      <c r="AY475" s="403">
        <f>'Portefeuille SP2'!AK500</f>
        <v>0</v>
      </c>
      <c r="AZ475" s="403">
        <f>'Portefeuille SP2'!AL500</f>
        <v>0</v>
      </c>
      <c r="BA475" s="403">
        <f>'Portefeuille SP2'!AM500</f>
        <v>0</v>
      </c>
      <c r="BB475" s="403">
        <f>'Portefeuille SP2'!AN500</f>
        <v>0</v>
      </c>
      <c r="BC475" s="403">
        <f>'Portefeuille SP2'!AO500</f>
        <v>0</v>
      </c>
      <c r="BD475" s="403">
        <f>'Portefeuille SP2'!AP500</f>
        <v>0</v>
      </c>
      <c r="BE475" s="403">
        <f>'Portefeuille SP2'!AQ500</f>
        <v>0</v>
      </c>
      <c r="BF475" s="403">
        <f>'Portefeuille SP2'!AR500</f>
        <v>0</v>
      </c>
      <c r="BG475" s="403" t="e">
        <f>'Portefeuille SP2'!#REF!</f>
        <v>#REF!</v>
      </c>
      <c r="BH475" s="403" t="e">
        <f>'Portefeuille SP2'!#REF!</f>
        <v>#REF!</v>
      </c>
      <c r="BI475" s="403" t="e">
        <f>'Portefeuille SP2'!#REF!</f>
        <v>#REF!</v>
      </c>
      <c r="BJ475" s="403" t="e">
        <f>'Portefeuille SP2'!#REF!</f>
        <v>#REF!</v>
      </c>
      <c r="BK475" s="403" t="e">
        <f>'Portefeuille SP2'!#REF!</f>
        <v>#REF!</v>
      </c>
      <c r="BL475" s="388"/>
      <c r="BM475" s="404">
        <f>'Portefeuille SP2'!L500</f>
        <v>0</v>
      </c>
    </row>
    <row r="476" spans="1:65" ht="15" customHeight="1">
      <c r="A476" s="383">
        <f>'Portefeuille SP2'!B501</f>
        <v>0</v>
      </c>
      <c r="B476" s="390">
        <f>'Portefeuille SP2'!Q501</f>
        <v>0</v>
      </c>
      <c r="C476" s="384"/>
      <c r="D476" s="382">
        <f>'Portefeuille SP2'!E501</f>
        <v>0</v>
      </c>
      <c r="E476" s="382" t="str">
        <f t="shared" si="35"/>
        <v>0</v>
      </c>
      <c r="F476" s="382" t="str">
        <f t="shared" si="36"/>
        <v/>
      </c>
      <c r="G476" s="382">
        <f>'Portefeuille SP2'!C501</f>
        <v>0</v>
      </c>
      <c r="H476" s="382">
        <f>'Portefeuille SP2'!F501</f>
        <v>0</v>
      </c>
      <c r="I476" s="382"/>
      <c r="J476" s="382">
        <f>'Portefeuille SP2'!D501</f>
        <v>0</v>
      </c>
      <c r="K476" s="385">
        <f>'Portefeuille SP2'!H501</f>
        <v>0</v>
      </c>
      <c r="L476" s="157">
        <f>'Portefeuille SP2'!U501</f>
        <v>0</v>
      </c>
      <c r="M476" s="386"/>
      <c r="N476" s="386"/>
      <c r="O476" s="386"/>
      <c r="P476" s="387">
        <f>'Portefeuille SP2'!M501</f>
        <v>0</v>
      </c>
      <c r="Q476" s="387"/>
      <c r="R476" s="387">
        <f>'Portefeuille SP2'!N501</f>
        <v>0</v>
      </c>
      <c r="S476" s="387"/>
      <c r="T476" s="382">
        <f>'Portefeuille SP2'!R501</f>
        <v>0</v>
      </c>
      <c r="U476" s="387">
        <f>'Portefeuille SP2'!K501</f>
        <v>0</v>
      </c>
      <c r="V476" s="399">
        <f>'Portefeuille SP2'!S501</f>
        <v>0</v>
      </c>
      <c r="W476" s="387"/>
      <c r="X476" s="387"/>
      <c r="Y476" s="387"/>
      <c r="Z476" s="387"/>
      <c r="AA476" s="387"/>
      <c r="AB476" s="387"/>
      <c r="AC476" s="387"/>
      <c r="AD476" s="387"/>
      <c r="AE476" s="400">
        <f>'Portefeuille SP2'!J501</f>
        <v>0</v>
      </c>
      <c r="AF476" s="387"/>
      <c r="AG476" s="387"/>
      <c r="AH476" s="389"/>
      <c r="AI476" s="389"/>
      <c r="AJ476" s="403">
        <f>'Portefeuille SP2'!V501</f>
        <v>0</v>
      </c>
      <c r="AK476" s="403">
        <f>'Portefeuille SP2'!W501</f>
        <v>0</v>
      </c>
      <c r="AL476" s="403">
        <f>'Portefeuille SP2'!X501</f>
        <v>0</v>
      </c>
      <c r="AM476" s="403">
        <f>'Portefeuille SP2'!Y501</f>
        <v>0</v>
      </c>
      <c r="AN476" s="403">
        <f>'Portefeuille SP2'!Z501</f>
        <v>0</v>
      </c>
      <c r="AO476" s="403">
        <f>'Portefeuille SP2'!AA501</f>
        <v>0</v>
      </c>
      <c r="AP476" s="403">
        <f>'Portefeuille SP2'!AB501</f>
        <v>0</v>
      </c>
      <c r="AQ476" s="403">
        <f>'Portefeuille SP2'!AC501</f>
        <v>0</v>
      </c>
      <c r="AR476" s="403">
        <f>'Portefeuille SP2'!AD501</f>
        <v>0</v>
      </c>
      <c r="AS476" s="403">
        <f>'Portefeuille SP2'!AE501</f>
        <v>0</v>
      </c>
      <c r="AT476" s="403">
        <f>'Portefeuille SP2'!AF501</f>
        <v>0</v>
      </c>
      <c r="AU476" s="403">
        <f>'Portefeuille SP2'!AG501</f>
        <v>0</v>
      </c>
      <c r="AV476" s="403">
        <f>'Portefeuille SP2'!AH501</f>
        <v>0</v>
      </c>
      <c r="AW476" s="403">
        <f>'Portefeuille SP2'!AI501</f>
        <v>0</v>
      </c>
      <c r="AX476" s="403">
        <f>'Portefeuille SP2'!AJ501</f>
        <v>0</v>
      </c>
      <c r="AY476" s="403">
        <f>'Portefeuille SP2'!AK501</f>
        <v>0</v>
      </c>
      <c r="AZ476" s="403">
        <f>'Portefeuille SP2'!AL501</f>
        <v>0</v>
      </c>
      <c r="BA476" s="403">
        <f>'Portefeuille SP2'!AM501</f>
        <v>0</v>
      </c>
      <c r="BB476" s="403">
        <f>'Portefeuille SP2'!AN501</f>
        <v>0</v>
      </c>
      <c r="BC476" s="403">
        <f>'Portefeuille SP2'!AO501</f>
        <v>0</v>
      </c>
      <c r="BD476" s="403">
        <f>'Portefeuille SP2'!AP501</f>
        <v>0</v>
      </c>
      <c r="BE476" s="403">
        <f>'Portefeuille SP2'!AQ501</f>
        <v>0</v>
      </c>
      <c r="BF476" s="403">
        <f>'Portefeuille SP2'!AR501</f>
        <v>0</v>
      </c>
      <c r="BG476" s="403" t="e">
        <f>'Portefeuille SP2'!#REF!</f>
        <v>#REF!</v>
      </c>
      <c r="BH476" s="403" t="e">
        <f>'Portefeuille SP2'!#REF!</f>
        <v>#REF!</v>
      </c>
      <c r="BI476" s="403" t="e">
        <f>'Portefeuille SP2'!#REF!</f>
        <v>#REF!</v>
      </c>
      <c r="BJ476" s="403" t="e">
        <f>'Portefeuille SP2'!#REF!</f>
        <v>#REF!</v>
      </c>
      <c r="BK476" s="403" t="e">
        <f>'Portefeuille SP2'!#REF!</f>
        <v>#REF!</v>
      </c>
      <c r="BL476" s="388"/>
      <c r="BM476" s="404">
        <f>'Portefeuille SP2'!L501</f>
        <v>0</v>
      </c>
    </row>
    <row r="477" spans="1:65" ht="15" customHeight="1">
      <c r="A477" s="383">
        <f>'Portefeuille SP2'!B502</f>
        <v>0</v>
      </c>
      <c r="B477" s="390">
        <f>'Portefeuille SP2'!Q502</f>
        <v>0</v>
      </c>
      <c r="C477" s="384"/>
      <c r="D477" s="382">
        <f>'Portefeuille SP2'!E502</f>
        <v>0</v>
      </c>
      <c r="E477" s="382" t="str">
        <f t="shared" si="35"/>
        <v>0</v>
      </c>
      <c r="F477" s="382" t="str">
        <f t="shared" si="36"/>
        <v/>
      </c>
      <c r="G477" s="382">
        <f>'Portefeuille SP2'!C502</f>
        <v>0</v>
      </c>
      <c r="H477" s="382">
        <f>'Portefeuille SP2'!F502</f>
        <v>0</v>
      </c>
      <c r="I477" s="382"/>
      <c r="J477" s="382">
        <f>'Portefeuille SP2'!D502</f>
        <v>0</v>
      </c>
      <c r="K477" s="385">
        <f>'Portefeuille SP2'!H502</f>
        <v>0</v>
      </c>
      <c r="L477" s="157">
        <f>'Portefeuille SP2'!U502</f>
        <v>0</v>
      </c>
      <c r="M477" s="386"/>
      <c r="N477" s="386"/>
      <c r="O477" s="386"/>
      <c r="P477" s="387">
        <f>'Portefeuille SP2'!M502</f>
        <v>0</v>
      </c>
      <c r="Q477" s="387"/>
      <c r="R477" s="387">
        <f>'Portefeuille SP2'!N502</f>
        <v>0</v>
      </c>
      <c r="S477" s="387"/>
      <c r="T477" s="382">
        <f>'Portefeuille SP2'!R502</f>
        <v>0</v>
      </c>
      <c r="U477" s="387">
        <f>'Portefeuille SP2'!K502</f>
        <v>0</v>
      </c>
      <c r="V477" s="399">
        <f>'Portefeuille SP2'!S502</f>
        <v>0</v>
      </c>
      <c r="W477" s="387"/>
      <c r="X477" s="387"/>
      <c r="Y477" s="387"/>
      <c r="Z477" s="387"/>
      <c r="AA477" s="387"/>
      <c r="AB477" s="387"/>
      <c r="AC477" s="387"/>
      <c r="AD477" s="387"/>
      <c r="AE477" s="400">
        <f>'Portefeuille SP2'!J502</f>
        <v>0</v>
      </c>
      <c r="AF477" s="387"/>
      <c r="AG477" s="387"/>
      <c r="AH477" s="389"/>
      <c r="AI477" s="389"/>
      <c r="AJ477" s="403">
        <f>'Portefeuille SP2'!V502</f>
        <v>0</v>
      </c>
      <c r="AK477" s="403">
        <f>'Portefeuille SP2'!W502</f>
        <v>0</v>
      </c>
      <c r="AL477" s="403">
        <f>'Portefeuille SP2'!X502</f>
        <v>0</v>
      </c>
      <c r="AM477" s="403">
        <f>'Portefeuille SP2'!Y502</f>
        <v>0</v>
      </c>
      <c r="AN477" s="403">
        <f>'Portefeuille SP2'!Z502</f>
        <v>0</v>
      </c>
      <c r="AO477" s="403">
        <f>'Portefeuille SP2'!AA502</f>
        <v>0</v>
      </c>
      <c r="AP477" s="403">
        <f>'Portefeuille SP2'!AB502</f>
        <v>0</v>
      </c>
      <c r="AQ477" s="403">
        <f>'Portefeuille SP2'!AC502</f>
        <v>0</v>
      </c>
      <c r="AR477" s="403">
        <f>'Portefeuille SP2'!AD502</f>
        <v>0</v>
      </c>
      <c r="AS477" s="403">
        <f>'Portefeuille SP2'!AE502</f>
        <v>0</v>
      </c>
      <c r="AT477" s="403">
        <f>'Portefeuille SP2'!AF502</f>
        <v>0</v>
      </c>
      <c r="AU477" s="403">
        <f>'Portefeuille SP2'!AG502</f>
        <v>0</v>
      </c>
      <c r="AV477" s="403">
        <f>'Portefeuille SP2'!AH502</f>
        <v>0</v>
      </c>
      <c r="AW477" s="403">
        <f>'Portefeuille SP2'!AI502</f>
        <v>0</v>
      </c>
      <c r="AX477" s="403">
        <f>'Portefeuille SP2'!AJ502</f>
        <v>0</v>
      </c>
      <c r="AY477" s="403">
        <f>'Portefeuille SP2'!AK502</f>
        <v>0</v>
      </c>
      <c r="AZ477" s="403">
        <f>'Portefeuille SP2'!AL502</f>
        <v>0</v>
      </c>
      <c r="BA477" s="403">
        <f>'Portefeuille SP2'!AM502</f>
        <v>0</v>
      </c>
      <c r="BB477" s="403">
        <f>'Portefeuille SP2'!AN502</f>
        <v>0</v>
      </c>
      <c r="BC477" s="403">
        <f>'Portefeuille SP2'!AO502</f>
        <v>0</v>
      </c>
      <c r="BD477" s="403">
        <f>'Portefeuille SP2'!AP502</f>
        <v>0</v>
      </c>
      <c r="BE477" s="403">
        <f>'Portefeuille SP2'!AQ502</f>
        <v>0</v>
      </c>
      <c r="BF477" s="403">
        <f>'Portefeuille SP2'!AR502</f>
        <v>0</v>
      </c>
      <c r="BG477" s="403" t="e">
        <f>'Portefeuille SP2'!#REF!</f>
        <v>#REF!</v>
      </c>
      <c r="BH477" s="403" t="e">
        <f>'Portefeuille SP2'!#REF!</f>
        <v>#REF!</v>
      </c>
      <c r="BI477" s="403" t="e">
        <f>'Portefeuille SP2'!#REF!</f>
        <v>#REF!</v>
      </c>
      <c r="BJ477" s="403" t="e">
        <f>'Portefeuille SP2'!#REF!</f>
        <v>#REF!</v>
      </c>
      <c r="BK477" s="403" t="e">
        <f>'Portefeuille SP2'!#REF!</f>
        <v>#REF!</v>
      </c>
      <c r="BL477" s="388"/>
      <c r="BM477" s="404">
        <f>'Portefeuille SP2'!L502</f>
        <v>0</v>
      </c>
    </row>
    <row r="478" spans="1:65" ht="15" customHeight="1">
      <c r="A478" s="383">
        <f>'Portefeuille SP2'!B503</f>
        <v>0</v>
      </c>
      <c r="B478" s="390">
        <f>'Portefeuille SP2'!Q503</f>
        <v>0</v>
      </c>
      <c r="C478" s="384"/>
      <c r="D478" s="382">
        <f>'Portefeuille SP2'!E503</f>
        <v>0</v>
      </c>
      <c r="E478" s="382" t="str">
        <f t="shared" si="35"/>
        <v>0</v>
      </c>
      <c r="F478" s="382" t="str">
        <f t="shared" si="36"/>
        <v/>
      </c>
      <c r="G478" s="382">
        <f>'Portefeuille SP2'!C503</f>
        <v>0</v>
      </c>
      <c r="H478" s="382">
        <f>'Portefeuille SP2'!F503</f>
        <v>0</v>
      </c>
      <c r="I478" s="382"/>
      <c r="J478" s="382">
        <f>'Portefeuille SP2'!D503</f>
        <v>0</v>
      </c>
      <c r="K478" s="385">
        <f>'Portefeuille SP2'!H503</f>
        <v>0</v>
      </c>
      <c r="L478" s="157">
        <f>'Portefeuille SP2'!U503</f>
        <v>0</v>
      </c>
      <c r="M478" s="386"/>
      <c r="N478" s="386"/>
      <c r="O478" s="386"/>
      <c r="P478" s="387">
        <f>'Portefeuille SP2'!M503</f>
        <v>0</v>
      </c>
      <c r="Q478" s="387"/>
      <c r="R478" s="387">
        <f>'Portefeuille SP2'!N503</f>
        <v>0</v>
      </c>
      <c r="S478" s="387"/>
      <c r="T478" s="382">
        <f>'Portefeuille SP2'!R503</f>
        <v>0</v>
      </c>
      <c r="U478" s="387">
        <f>'Portefeuille SP2'!K503</f>
        <v>0</v>
      </c>
      <c r="V478" s="399">
        <f>'Portefeuille SP2'!S503</f>
        <v>0</v>
      </c>
      <c r="W478" s="387"/>
      <c r="X478" s="387"/>
      <c r="Y478" s="387"/>
      <c r="Z478" s="387"/>
      <c r="AA478" s="387"/>
      <c r="AB478" s="387"/>
      <c r="AC478" s="387"/>
      <c r="AD478" s="387"/>
      <c r="AE478" s="400">
        <f>'Portefeuille SP2'!J503</f>
        <v>0</v>
      </c>
      <c r="AF478" s="387"/>
      <c r="AG478" s="387"/>
      <c r="AH478" s="389"/>
      <c r="AI478" s="389"/>
      <c r="AJ478" s="403">
        <f>'Portefeuille SP2'!V503</f>
        <v>0</v>
      </c>
      <c r="AK478" s="403">
        <f>'Portefeuille SP2'!W503</f>
        <v>0</v>
      </c>
      <c r="AL478" s="403">
        <f>'Portefeuille SP2'!X503</f>
        <v>0</v>
      </c>
      <c r="AM478" s="403">
        <f>'Portefeuille SP2'!Y503</f>
        <v>0</v>
      </c>
      <c r="AN478" s="403">
        <f>'Portefeuille SP2'!Z503</f>
        <v>0</v>
      </c>
      <c r="AO478" s="403">
        <f>'Portefeuille SP2'!AA503</f>
        <v>0</v>
      </c>
      <c r="AP478" s="403">
        <f>'Portefeuille SP2'!AB503</f>
        <v>0</v>
      </c>
      <c r="AQ478" s="403">
        <f>'Portefeuille SP2'!AC503</f>
        <v>0</v>
      </c>
      <c r="AR478" s="403">
        <f>'Portefeuille SP2'!AD503</f>
        <v>0</v>
      </c>
      <c r="AS478" s="403">
        <f>'Portefeuille SP2'!AE503</f>
        <v>0</v>
      </c>
      <c r="AT478" s="403">
        <f>'Portefeuille SP2'!AF503</f>
        <v>0</v>
      </c>
      <c r="AU478" s="403">
        <f>'Portefeuille SP2'!AG503</f>
        <v>0</v>
      </c>
      <c r="AV478" s="403">
        <f>'Portefeuille SP2'!AH503</f>
        <v>0</v>
      </c>
      <c r="AW478" s="403">
        <f>'Portefeuille SP2'!AI503</f>
        <v>0</v>
      </c>
      <c r="AX478" s="403">
        <f>'Portefeuille SP2'!AJ503</f>
        <v>0</v>
      </c>
      <c r="AY478" s="403">
        <f>'Portefeuille SP2'!AK503</f>
        <v>0</v>
      </c>
      <c r="AZ478" s="403">
        <f>'Portefeuille SP2'!AL503</f>
        <v>0</v>
      </c>
      <c r="BA478" s="403">
        <f>'Portefeuille SP2'!AM503</f>
        <v>0</v>
      </c>
      <c r="BB478" s="403">
        <f>'Portefeuille SP2'!AN503</f>
        <v>0</v>
      </c>
      <c r="BC478" s="403">
        <f>'Portefeuille SP2'!AO503</f>
        <v>0</v>
      </c>
      <c r="BD478" s="403">
        <f>'Portefeuille SP2'!AP503</f>
        <v>0</v>
      </c>
      <c r="BE478" s="403">
        <f>'Portefeuille SP2'!AQ503</f>
        <v>0</v>
      </c>
      <c r="BF478" s="403">
        <f>'Portefeuille SP2'!AR503</f>
        <v>0</v>
      </c>
      <c r="BG478" s="403" t="e">
        <f>'Portefeuille SP2'!#REF!</f>
        <v>#REF!</v>
      </c>
      <c r="BH478" s="403" t="e">
        <f>'Portefeuille SP2'!#REF!</f>
        <v>#REF!</v>
      </c>
      <c r="BI478" s="403" t="e">
        <f>'Portefeuille SP2'!#REF!</f>
        <v>#REF!</v>
      </c>
      <c r="BJ478" s="403" t="e">
        <f>'Portefeuille SP2'!#REF!</f>
        <v>#REF!</v>
      </c>
      <c r="BK478" s="403" t="e">
        <f>'Portefeuille SP2'!#REF!</f>
        <v>#REF!</v>
      </c>
      <c r="BL478" s="388"/>
      <c r="BM478" s="404">
        <f>'Portefeuille SP2'!L503</f>
        <v>0</v>
      </c>
    </row>
    <row r="479" spans="1:65" ht="15" customHeight="1">
      <c r="A479" s="383">
        <f>'Portefeuille SP2'!B504</f>
        <v>0</v>
      </c>
      <c r="B479" s="390">
        <f>'Portefeuille SP2'!Q504</f>
        <v>0</v>
      </c>
      <c r="C479" s="384"/>
      <c r="D479" s="382">
        <f>'Portefeuille SP2'!E504</f>
        <v>0</v>
      </c>
      <c r="E479" s="382" t="str">
        <f t="shared" si="35"/>
        <v>0</v>
      </c>
      <c r="F479" s="382" t="str">
        <f t="shared" si="36"/>
        <v/>
      </c>
      <c r="G479" s="382">
        <f>'Portefeuille SP2'!C504</f>
        <v>0</v>
      </c>
      <c r="H479" s="382">
        <f>'Portefeuille SP2'!F504</f>
        <v>0</v>
      </c>
      <c r="I479" s="382"/>
      <c r="J479" s="382">
        <f>'Portefeuille SP2'!D504</f>
        <v>0</v>
      </c>
      <c r="K479" s="385">
        <f>'Portefeuille SP2'!H504</f>
        <v>0</v>
      </c>
      <c r="L479" s="157">
        <f>'Portefeuille SP2'!U504</f>
        <v>0</v>
      </c>
      <c r="M479" s="386"/>
      <c r="N479" s="386"/>
      <c r="O479" s="386"/>
      <c r="P479" s="387">
        <f>'Portefeuille SP2'!M504</f>
        <v>0</v>
      </c>
      <c r="Q479" s="387"/>
      <c r="R479" s="387">
        <f>'Portefeuille SP2'!N504</f>
        <v>0</v>
      </c>
      <c r="S479" s="387"/>
      <c r="T479" s="382">
        <f>'Portefeuille SP2'!R504</f>
        <v>0</v>
      </c>
      <c r="U479" s="387">
        <f>'Portefeuille SP2'!K504</f>
        <v>0</v>
      </c>
      <c r="V479" s="399">
        <f>'Portefeuille SP2'!S504</f>
        <v>0</v>
      </c>
      <c r="W479" s="387"/>
      <c r="X479" s="387"/>
      <c r="Y479" s="387"/>
      <c r="Z479" s="387"/>
      <c r="AA479" s="387"/>
      <c r="AB479" s="387"/>
      <c r="AC479" s="387"/>
      <c r="AD479" s="387"/>
      <c r="AE479" s="400">
        <f>'Portefeuille SP2'!J504</f>
        <v>0</v>
      </c>
      <c r="AF479" s="387"/>
      <c r="AG479" s="387"/>
      <c r="AH479" s="389"/>
      <c r="AI479" s="389"/>
      <c r="AJ479" s="403">
        <f>'Portefeuille SP2'!V504</f>
        <v>0</v>
      </c>
      <c r="AK479" s="403">
        <f>'Portefeuille SP2'!W504</f>
        <v>0</v>
      </c>
      <c r="AL479" s="403">
        <f>'Portefeuille SP2'!X504</f>
        <v>0</v>
      </c>
      <c r="AM479" s="403">
        <f>'Portefeuille SP2'!Y504</f>
        <v>0</v>
      </c>
      <c r="AN479" s="403">
        <f>'Portefeuille SP2'!Z504</f>
        <v>0</v>
      </c>
      <c r="AO479" s="403">
        <f>'Portefeuille SP2'!AA504</f>
        <v>0</v>
      </c>
      <c r="AP479" s="403">
        <f>'Portefeuille SP2'!AB504</f>
        <v>0</v>
      </c>
      <c r="AQ479" s="403">
        <f>'Portefeuille SP2'!AC504</f>
        <v>0</v>
      </c>
      <c r="AR479" s="403">
        <f>'Portefeuille SP2'!AD504</f>
        <v>0</v>
      </c>
      <c r="AS479" s="403">
        <f>'Portefeuille SP2'!AE504</f>
        <v>0</v>
      </c>
      <c r="AT479" s="403">
        <f>'Portefeuille SP2'!AF504</f>
        <v>0</v>
      </c>
      <c r="AU479" s="403">
        <f>'Portefeuille SP2'!AG504</f>
        <v>0</v>
      </c>
      <c r="AV479" s="403">
        <f>'Portefeuille SP2'!AH504</f>
        <v>0</v>
      </c>
      <c r="AW479" s="403">
        <f>'Portefeuille SP2'!AI504</f>
        <v>0</v>
      </c>
      <c r="AX479" s="403">
        <f>'Portefeuille SP2'!AJ504</f>
        <v>0</v>
      </c>
      <c r="AY479" s="403">
        <f>'Portefeuille SP2'!AK504</f>
        <v>0</v>
      </c>
      <c r="AZ479" s="403">
        <f>'Portefeuille SP2'!AL504</f>
        <v>0</v>
      </c>
      <c r="BA479" s="403">
        <f>'Portefeuille SP2'!AM504</f>
        <v>0</v>
      </c>
      <c r="BB479" s="403">
        <f>'Portefeuille SP2'!AN504</f>
        <v>0</v>
      </c>
      <c r="BC479" s="403">
        <f>'Portefeuille SP2'!AO504</f>
        <v>0</v>
      </c>
      <c r="BD479" s="403">
        <f>'Portefeuille SP2'!AP504</f>
        <v>0</v>
      </c>
      <c r="BE479" s="403">
        <f>'Portefeuille SP2'!AQ504</f>
        <v>0</v>
      </c>
      <c r="BF479" s="403">
        <f>'Portefeuille SP2'!AR504</f>
        <v>0</v>
      </c>
      <c r="BG479" s="403" t="e">
        <f>'Portefeuille SP2'!#REF!</f>
        <v>#REF!</v>
      </c>
      <c r="BH479" s="403" t="e">
        <f>'Portefeuille SP2'!#REF!</f>
        <v>#REF!</v>
      </c>
      <c r="BI479" s="403" t="e">
        <f>'Portefeuille SP2'!#REF!</f>
        <v>#REF!</v>
      </c>
      <c r="BJ479" s="403" t="e">
        <f>'Portefeuille SP2'!#REF!</f>
        <v>#REF!</v>
      </c>
      <c r="BK479" s="403" t="e">
        <f>'Portefeuille SP2'!#REF!</f>
        <v>#REF!</v>
      </c>
      <c r="BL479" s="388"/>
      <c r="BM479" s="404">
        <f>'Portefeuille SP2'!L504</f>
        <v>0</v>
      </c>
    </row>
    <row r="480" spans="1:65" ht="15" customHeight="1">
      <c r="A480" s="383">
        <f>'Portefeuille SP2'!B505</f>
        <v>0</v>
      </c>
      <c r="B480" s="390">
        <f>'Portefeuille SP2'!Q505</f>
        <v>0</v>
      </c>
      <c r="C480" s="384"/>
      <c r="D480" s="382">
        <f>'Portefeuille SP2'!E505</f>
        <v>0</v>
      </c>
      <c r="E480" s="382" t="str">
        <f t="shared" si="35"/>
        <v>0</v>
      </c>
      <c r="F480" s="382" t="str">
        <f t="shared" si="36"/>
        <v/>
      </c>
      <c r="G480" s="382">
        <f>'Portefeuille SP2'!C505</f>
        <v>0</v>
      </c>
      <c r="H480" s="382">
        <f>'Portefeuille SP2'!F505</f>
        <v>0</v>
      </c>
      <c r="I480" s="382"/>
      <c r="J480" s="382">
        <f>'Portefeuille SP2'!D505</f>
        <v>0</v>
      </c>
      <c r="K480" s="385">
        <f>'Portefeuille SP2'!H505</f>
        <v>0</v>
      </c>
      <c r="L480" s="157">
        <f>'Portefeuille SP2'!U505</f>
        <v>0</v>
      </c>
      <c r="M480" s="386"/>
      <c r="N480" s="386"/>
      <c r="O480" s="386"/>
      <c r="P480" s="387">
        <f>'Portefeuille SP2'!M505</f>
        <v>0</v>
      </c>
      <c r="Q480" s="387"/>
      <c r="R480" s="387">
        <f>'Portefeuille SP2'!N505</f>
        <v>0</v>
      </c>
      <c r="S480" s="387"/>
      <c r="T480" s="382">
        <f>'Portefeuille SP2'!R505</f>
        <v>0</v>
      </c>
      <c r="U480" s="387">
        <f>'Portefeuille SP2'!K505</f>
        <v>0</v>
      </c>
      <c r="V480" s="399">
        <f>'Portefeuille SP2'!S505</f>
        <v>0</v>
      </c>
      <c r="W480" s="387"/>
      <c r="X480" s="387"/>
      <c r="Y480" s="387"/>
      <c r="Z480" s="387"/>
      <c r="AA480" s="387"/>
      <c r="AB480" s="387"/>
      <c r="AC480" s="387"/>
      <c r="AD480" s="387"/>
      <c r="AE480" s="400">
        <f>'Portefeuille SP2'!J505</f>
        <v>0</v>
      </c>
      <c r="AF480" s="387"/>
      <c r="AG480" s="387"/>
      <c r="AH480" s="389"/>
      <c r="AI480" s="389"/>
      <c r="AJ480" s="403">
        <f>'Portefeuille SP2'!V505</f>
        <v>0</v>
      </c>
      <c r="AK480" s="403">
        <f>'Portefeuille SP2'!W505</f>
        <v>0</v>
      </c>
      <c r="AL480" s="403">
        <f>'Portefeuille SP2'!X505</f>
        <v>0</v>
      </c>
      <c r="AM480" s="403">
        <f>'Portefeuille SP2'!Y505</f>
        <v>0</v>
      </c>
      <c r="AN480" s="403">
        <f>'Portefeuille SP2'!Z505</f>
        <v>0</v>
      </c>
      <c r="AO480" s="403">
        <f>'Portefeuille SP2'!AA505</f>
        <v>0</v>
      </c>
      <c r="AP480" s="403">
        <f>'Portefeuille SP2'!AB505</f>
        <v>0</v>
      </c>
      <c r="AQ480" s="403">
        <f>'Portefeuille SP2'!AC505</f>
        <v>0</v>
      </c>
      <c r="AR480" s="403">
        <f>'Portefeuille SP2'!AD505</f>
        <v>0</v>
      </c>
      <c r="AS480" s="403">
        <f>'Portefeuille SP2'!AE505</f>
        <v>0</v>
      </c>
      <c r="AT480" s="403">
        <f>'Portefeuille SP2'!AF505</f>
        <v>0</v>
      </c>
      <c r="AU480" s="403">
        <f>'Portefeuille SP2'!AG505</f>
        <v>0</v>
      </c>
      <c r="AV480" s="403">
        <f>'Portefeuille SP2'!AH505</f>
        <v>0</v>
      </c>
      <c r="AW480" s="403">
        <f>'Portefeuille SP2'!AI505</f>
        <v>0</v>
      </c>
      <c r="AX480" s="403">
        <f>'Portefeuille SP2'!AJ505</f>
        <v>0</v>
      </c>
      <c r="AY480" s="403">
        <f>'Portefeuille SP2'!AK505</f>
        <v>0</v>
      </c>
      <c r="AZ480" s="403">
        <f>'Portefeuille SP2'!AL505</f>
        <v>0</v>
      </c>
      <c r="BA480" s="403">
        <f>'Portefeuille SP2'!AM505</f>
        <v>0</v>
      </c>
      <c r="BB480" s="403">
        <f>'Portefeuille SP2'!AN505</f>
        <v>0</v>
      </c>
      <c r="BC480" s="403">
        <f>'Portefeuille SP2'!AO505</f>
        <v>0</v>
      </c>
      <c r="BD480" s="403">
        <f>'Portefeuille SP2'!AP505</f>
        <v>0</v>
      </c>
      <c r="BE480" s="403">
        <f>'Portefeuille SP2'!AQ505</f>
        <v>0</v>
      </c>
      <c r="BF480" s="403">
        <f>'Portefeuille SP2'!AR505</f>
        <v>0</v>
      </c>
      <c r="BG480" s="403" t="e">
        <f>'Portefeuille SP2'!#REF!</f>
        <v>#REF!</v>
      </c>
      <c r="BH480" s="403" t="e">
        <f>'Portefeuille SP2'!#REF!</f>
        <v>#REF!</v>
      </c>
      <c r="BI480" s="403" t="e">
        <f>'Portefeuille SP2'!#REF!</f>
        <v>#REF!</v>
      </c>
      <c r="BJ480" s="403" t="e">
        <f>'Portefeuille SP2'!#REF!</f>
        <v>#REF!</v>
      </c>
      <c r="BK480" s="403" t="e">
        <f>'Portefeuille SP2'!#REF!</f>
        <v>#REF!</v>
      </c>
      <c r="BL480" s="388"/>
      <c r="BM480" s="404">
        <f>'Portefeuille SP2'!L505</f>
        <v>0</v>
      </c>
    </row>
    <row r="481" spans="1:65" ht="15" customHeight="1">
      <c r="A481" s="383">
        <f>'Portefeuille SP2'!B506</f>
        <v>0</v>
      </c>
      <c r="B481" s="390">
        <f>'Portefeuille SP2'!Q506</f>
        <v>0</v>
      </c>
      <c r="C481" s="384"/>
      <c r="D481" s="382">
        <f>'Portefeuille SP2'!E506</f>
        <v>0</v>
      </c>
      <c r="E481" s="382" t="str">
        <f t="shared" si="35"/>
        <v>0</v>
      </c>
      <c r="F481" s="382" t="str">
        <f t="shared" si="36"/>
        <v/>
      </c>
      <c r="G481" s="382">
        <f>'Portefeuille SP2'!C506</f>
        <v>0</v>
      </c>
      <c r="H481" s="382">
        <f>'Portefeuille SP2'!F506</f>
        <v>0</v>
      </c>
      <c r="I481" s="382"/>
      <c r="J481" s="382">
        <f>'Portefeuille SP2'!D506</f>
        <v>0</v>
      </c>
      <c r="K481" s="385">
        <f>'Portefeuille SP2'!H506</f>
        <v>0</v>
      </c>
      <c r="L481" s="157">
        <f>'Portefeuille SP2'!U506</f>
        <v>0</v>
      </c>
      <c r="M481" s="386"/>
      <c r="N481" s="386"/>
      <c r="O481" s="386"/>
      <c r="P481" s="387">
        <f>'Portefeuille SP2'!M506</f>
        <v>0</v>
      </c>
      <c r="Q481" s="387"/>
      <c r="R481" s="387">
        <f>'Portefeuille SP2'!N506</f>
        <v>0</v>
      </c>
      <c r="S481" s="387"/>
      <c r="T481" s="382">
        <f>'Portefeuille SP2'!R506</f>
        <v>0</v>
      </c>
      <c r="U481" s="387">
        <f>'Portefeuille SP2'!K506</f>
        <v>0</v>
      </c>
      <c r="V481" s="399">
        <f>'Portefeuille SP2'!S506</f>
        <v>0</v>
      </c>
      <c r="W481" s="387"/>
      <c r="X481" s="387"/>
      <c r="Y481" s="387"/>
      <c r="Z481" s="387"/>
      <c r="AA481" s="387"/>
      <c r="AB481" s="387"/>
      <c r="AC481" s="387"/>
      <c r="AD481" s="387"/>
      <c r="AE481" s="400">
        <f>'Portefeuille SP2'!J506</f>
        <v>0</v>
      </c>
      <c r="AF481" s="387"/>
      <c r="AG481" s="387"/>
      <c r="AH481" s="389"/>
      <c r="AI481" s="389"/>
      <c r="AJ481" s="403">
        <f>'Portefeuille SP2'!V506</f>
        <v>0</v>
      </c>
      <c r="AK481" s="403">
        <f>'Portefeuille SP2'!W506</f>
        <v>0</v>
      </c>
      <c r="AL481" s="403">
        <f>'Portefeuille SP2'!X506</f>
        <v>0</v>
      </c>
      <c r="AM481" s="403">
        <f>'Portefeuille SP2'!Y506</f>
        <v>0</v>
      </c>
      <c r="AN481" s="403">
        <f>'Portefeuille SP2'!Z506</f>
        <v>0</v>
      </c>
      <c r="AO481" s="403">
        <f>'Portefeuille SP2'!AA506</f>
        <v>0</v>
      </c>
      <c r="AP481" s="403">
        <f>'Portefeuille SP2'!AB506</f>
        <v>0</v>
      </c>
      <c r="AQ481" s="403">
        <f>'Portefeuille SP2'!AC506</f>
        <v>0</v>
      </c>
      <c r="AR481" s="403">
        <f>'Portefeuille SP2'!AD506</f>
        <v>0</v>
      </c>
      <c r="AS481" s="403">
        <f>'Portefeuille SP2'!AE506</f>
        <v>0</v>
      </c>
      <c r="AT481" s="403">
        <f>'Portefeuille SP2'!AF506</f>
        <v>0</v>
      </c>
      <c r="AU481" s="403">
        <f>'Portefeuille SP2'!AG506</f>
        <v>0</v>
      </c>
      <c r="AV481" s="403">
        <f>'Portefeuille SP2'!AH506</f>
        <v>0</v>
      </c>
      <c r="AW481" s="403">
        <f>'Portefeuille SP2'!AI506</f>
        <v>0</v>
      </c>
      <c r="AX481" s="403">
        <f>'Portefeuille SP2'!AJ506</f>
        <v>0</v>
      </c>
      <c r="AY481" s="403">
        <f>'Portefeuille SP2'!AK506</f>
        <v>0</v>
      </c>
      <c r="AZ481" s="403">
        <f>'Portefeuille SP2'!AL506</f>
        <v>0</v>
      </c>
      <c r="BA481" s="403">
        <f>'Portefeuille SP2'!AM506</f>
        <v>0</v>
      </c>
      <c r="BB481" s="403">
        <f>'Portefeuille SP2'!AN506</f>
        <v>0</v>
      </c>
      <c r="BC481" s="403">
        <f>'Portefeuille SP2'!AO506</f>
        <v>0</v>
      </c>
      <c r="BD481" s="403">
        <f>'Portefeuille SP2'!AP506</f>
        <v>0</v>
      </c>
      <c r="BE481" s="403">
        <f>'Portefeuille SP2'!AQ506</f>
        <v>0</v>
      </c>
      <c r="BF481" s="403">
        <f>'Portefeuille SP2'!AR506</f>
        <v>0</v>
      </c>
      <c r="BG481" s="403" t="e">
        <f>'Portefeuille SP2'!#REF!</f>
        <v>#REF!</v>
      </c>
      <c r="BH481" s="403" t="e">
        <f>'Portefeuille SP2'!#REF!</f>
        <v>#REF!</v>
      </c>
      <c r="BI481" s="403" t="e">
        <f>'Portefeuille SP2'!#REF!</f>
        <v>#REF!</v>
      </c>
      <c r="BJ481" s="403" t="e">
        <f>'Portefeuille SP2'!#REF!</f>
        <v>#REF!</v>
      </c>
      <c r="BK481" s="403" t="e">
        <f>'Portefeuille SP2'!#REF!</f>
        <v>#REF!</v>
      </c>
      <c r="BL481" s="388"/>
      <c r="BM481" s="404">
        <f>'Portefeuille SP2'!L506</f>
        <v>0</v>
      </c>
    </row>
    <row r="482" spans="1:65" ht="15" customHeight="1">
      <c r="A482" s="383">
        <f>'Portefeuille SP2'!B507</f>
        <v>0</v>
      </c>
      <c r="B482" s="390">
        <f>'Portefeuille SP2'!Q507</f>
        <v>0</v>
      </c>
      <c r="C482" s="384"/>
      <c r="D482" s="382">
        <f>'Portefeuille SP2'!E507</f>
        <v>0</v>
      </c>
      <c r="E482" s="382" t="str">
        <f t="shared" si="35"/>
        <v>0</v>
      </c>
      <c r="F482" s="382" t="str">
        <f t="shared" si="36"/>
        <v/>
      </c>
      <c r="G482" s="382">
        <f>'Portefeuille SP2'!C507</f>
        <v>0</v>
      </c>
      <c r="H482" s="382">
        <f>'Portefeuille SP2'!F507</f>
        <v>0</v>
      </c>
      <c r="I482" s="382"/>
      <c r="J482" s="382">
        <f>'Portefeuille SP2'!D507</f>
        <v>0</v>
      </c>
      <c r="K482" s="385">
        <f>'Portefeuille SP2'!H507</f>
        <v>0</v>
      </c>
      <c r="L482" s="157">
        <f>'Portefeuille SP2'!U507</f>
        <v>0</v>
      </c>
      <c r="M482" s="386"/>
      <c r="N482" s="386"/>
      <c r="O482" s="386"/>
      <c r="P482" s="387">
        <f>'Portefeuille SP2'!M507</f>
        <v>0</v>
      </c>
      <c r="Q482" s="387"/>
      <c r="R482" s="387">
        <f>'Portefeuille SP2'!N507</f>
        <v>0</v>
      </c>
      <c r="S482" s="387"/>
      <c r="T482" s="382">
        <f>'Portefeuille SP2'!R507</f>
        <v>0</v>
      </c>
      <c r="U482" s="387">
        <f>'Portefeuille SP2'!K507</f>
        <v>0</v>
      </c>
      <c r="V482" s="399">
        <f>'Portefeuille SP2'!S507</f>
        <v>0</v>
      </c>
      <c r="W482" s="387"/>
      <c r="X482" s="387"/>
      <c r="Y482" s="387"/>
      <c r="Z482" s="387"/>
      <c r="AA482" s="387"/>
      <c r="AB482" s="387"/>
      <c r="AC482" s="387"/>
      <c r="AD482" s="387"/>
      <c r="AE482" s="400">
        <f>'Portefeuille SP2'!J507</f>
        <v>0</v>
      </c>
      <c r="AF482" s="387"/>
      <c r="AG482" s="387"/>
      <c r="AH482" s="389"/>
      <c r="AI482" s="389"/>
      <c r="AJ482" s="403">
        <f>'Portefeuille SP2'!V507</f>
        <v>0</v>
      </c>
      <c r="AK482" s="403">
        <f>'Portefeuille SP2'!W507</f>
        <v>0</v>
      </c>
      <c r="AL482" s="403">
        <f>'Portefeuille SP2'!X507</f>
        <v>0</v>
      </c>
      <c r="AM482" s="403">
        <f>'Portefeuille SP2'!Y507</f>
        <v>0</v>
      </c>
      <c r="AN482" s="403">
        <f>'Portefeuille SP2'!Z507</f>
        <v>0</v>
      </c>
      <c r="AO482" s="403">
        <f>'Portefeuille SP2'!AA507</f>
        <v>0</v>
      </c>
      <c r="AP482" s="403">
        <f>'Portefeuille SP2'!AB507</f>
        <v>0</v>
      </c>
      <c r="AQ482" s="403">
        <f>'Portefeuille SP2'!AC507</f>
        <v>0</v>
      </c>
      <c r="AR482" s="403">
        <f>'Portefeuille SP2'!AD507</f>
        <v>0</v>
      </c>
      <c r="AS482" s="403">
        <f>'Portefeuille SP2'!AE507</f>
        <v>0</v>
      </c>
      <c r="AT482" s="403">
        <f>'Portefeuille SP2'!AF507</f>
        <v>0</v>
      </c>
      <c r="AU482" s="403">
        <f>'Portefeuille SP2'!AG507</f>
        <v>0</v>
      </c>
      <c r="AV482" s="403">
        <f>'Portefeuille SP2'!AH507</f>
        <v>0</v>
      </c>
      <c r="AW482" s="403">
        <f>'Portefeuille SP2'!AI507</f>
        <v>0</v>
      </c>
      <c r="AX482" s="403">
        <f>'Portefeuille SP2'!AJ507</f>
        <v>0</v>
      </c>
      <c r="AY482" s="403">
        <f>'Portefeuille SP2'!AK507</f>
        <v>0</v>
      </c>
      <c r="AZ482" s="403">
        <f>'Portefeuille SP2'!AL507</f>
        <v>0</v>
      </c>
      <c r="BA482" s="403">
        <f>'Portefeuille SP2'!AM507</f>
        <v>0</v>
      </c>
      <c r="BB482" s="403">
        <f>'Portefeuille SP2'!AN507</f>
        <v>0</v>
      </c>
      <c r="BC482" s="403">
        <f>'Portefeuille SP2'!AO507</f>
        <v>0</v>
      </c>
      <c r="BD482" s="403">
        <f>'Portefeuille SP2'!AP507</f>
        <v>0</v>
      </c>
      <c r="BE482" s="403">
        <f>'Portefeuille SP2'!AQ507</f>
        <v>0</v>
      </c>
      <c r="BF482" s="403">
        <f>'Portefeuille SP2'!AR507</f>
        <v>0</v>
      </c>
      <c r="BG482" s="403" t="e">
        <f>'Portefeuille SP2'!#REF!</f>
        <v>#REF!</v>
      </c>
      <c r="BH482" s="403" t="e">
        <f>'Portefeuille SP2'!#REF!</f>
        <v>#REF!</v>
      </c>
      <c r="BI482" s="403" t="e">
        <f>'Portefeuille SP2'!#REF!</f>
        <v>#REF!</v>
      </c>
      <c r="BJ482" s="403" t="e">
        <f>'Portefeuille SP2'!#REF!</f>
        <v>#REF!</v>
      </c>
      <c r="BK482" s="403" t="e">
        <f>'Portefeuille SP2'!#REF!</f>
        <v>#REF!</v>
      </c>
      <c r="BL482" s="388"/>
      <c r="BM482" s="404">
        <f>'Portefeuille SP2'!L507</f>
        <v>0</v>
      </c>
    </row>
    <row r="483" spans="1:65" ht="15" customHeight="1">
      <c r="A483" s="383">
        <f>'Portefeuille SP2'!B508</f>
        <v>0</v>
      </c>
      <c r="B483" s="390">
        <f>'Portefeuille SP2'!Q508</f>
        <v>0</v>
      </c>
      <c r="C483" s="384"/>
      <c r="D483" s="382">
        <f>'Portefeuille SP2'!E508</f>
        <v>0</v>
      </c>
      <c r="E483" s="382" t="str">
        <f t="shared" si="35"/>
        <v>0</v>
      </c>
      <c r="F483" s="382" t="str">
        <f t="shared" si="36"/>
        <v/>
      </c>
      <c r="G483" s="382">
        <f>'Portefeuille SP2'!C508</f>
        <v>0</v>
      </c>
      <c r="H483" s="382">
        <f>'Portefeuille SP2'!F508</f>
        <v>0</v>
      </c>
      <c r="I483" s="382"/>
      <c r="J483" s="382">
        <f>'Portefeuille SP2'!D508</f>
        <v>0</v>
      </c>
      <c r="K483" s="385">
        <f>'Portefeuille SP2'!H508</f>
        <v>0</v>
      </c>
      <c r="L483" s="157">
        <f>'Portefeuille SP2'!U508</f>
        <v>0</v>
      </c>
      <c r="M483" s="386"/>
      <c r="N483" s="386"/>
      <c r="O483" s="386"/>
      <c r="P483" s="387">
        <f>'Portefeuille SP2'!M508</f>
        <v>0</v>
      </c>
      <c r="Q483" s="387"/>
      <c r="R483" s="387">
        <f>'Portefeuille SP2'!N508</f>
        <v>0</v>
      </c>
      <c r="S483" s="387"/>
      <c r="T483" s="382">
        <f>'Portefeuille SP2'!R508</f>
        <v>0</v>
      </c>
      <c r="U483" s="387">
        <f>'Portefeuille SP2'!K508</f>
        <v>0</v>
      </c>
      <c r="V483" s="399">
        <f>'Portefeuille SP2'!S508</f>
        <v>0</v>
      </c>
      <c r="W483" s="387"/>
      <c r="X483" s="387"/>
      <c r="Y483" s="387"/>
      <c r="Z483" s="387"/>
      <c r="AA483" s="387"/>
      <c r="AB483" s="387"/>
      <c r="AC483" s="387"/>
      <c r="AD483" s="387"/>
      <c r="AE483" s="400">
        <f>'Portefeuille SP2'!J508</f>
        <v>0</v>
      </c>
      <c r="AF483" s="387"/>
      <c r="AG483" s="387"/>
      <c r="AH483" s="389"/>
      <c r="AI483" s="389"/>
      <c r="AJ483" s="403">
        <f>'Portefeuille SP2'!V508</f>
        <v>0</v>
      </c>
      <c r="AK483" s="403">
        <f>'Portefeuille SP2'!W508</f>
        <v>0</v>
      </c>
      <c r="AL483" s="403">
        <f>'Portefeuille SP2'!X508</f>
        <v>0</v>
      </c>
      <c r="AM483" s="403">
        <f>'Portefeuille SP2'!Y508</f>
        <v>0</v>
      </c>
      <c r="AN483" s="403">
        <f>'Portefeuille SP2'!Z508</f>
        <v>0</v>
      </c>
      <c r="AO483" s="403">
        <f>'Portefeuille SP2'!AA508</f>
        <v>0</v>
      </c>
      <c r="AP483" s="403">
        <f>'Portefeuille SP2'!AB508</f>
        <v>0</v>
      </c>
      <c r="AQ483" s="403">
        <f>'Portefeuille SP2'!AC508</f>
        <v>0</v>
      </c>
      <c r="AR483" s="403">
        <f>'Portefeuille SP2'!AD508</f>
        <v>0</v>
      </c>
      <c r="AS483" s="403">
        <f>'Portefeuille SP2'!AE508</f>
        <v>0</v>
      </c>
      <c r="AT483" s="403">
        <f>'Portefeuille SP2'!AF508</f>
        <v>0</v>
      </c>
      <c r="AU483" s="403">
        <f>'Portefeuille SP2'!AG508</f>
        <v>0</v>
      </c>
      <c r="AV483" s="403">
        <f>'Portefeuille SP2'!AH508</f>
        <v>0</v>
      </c>
      <c r="AW483" s="403">
        <f>'Portefeuille SP2'!AI508</f>
        <v>0</v>
      </c>
      <c r="AX483" s="403">
        <f>'Portefeuille SP2'!AJ508</f>
        <v>0</v>
      </c>
      <c r="AY483" s="403">
        <f>'Portefeuille SP2'!AK508</f>
        <v>0</v>
      </c>
      <c r="AZ483" s="403">
        <f>'Portefeuille SP2'!AL508</f>
        <v>0</v>
      </c>
      <c r="BA483" s="403">
        <f>'Portefeuille SP2'!AM508</f>
        <v>0</v>
      </c>
      <c r="BB483" s="403">
        <f>'Portefeuille SP2'!AN508</f>
        <v>0</v>
      </c>
      <c r="BC483" s="403">
        <f>'Portefeuille SP2'!AO508</f>
        <v>0</v>
      </c>
      <c r="BD483" s="403">
        <f>'Portefeuille SP2'!AP508</f>
        <v>0</v>
      </c>
      <c r="BE483" s="403">
        <f>'Portefeuille SP2'!AQ508</f>
        <v>0</v>
      </c>
      <c r="BF483" s="403">
        <f>'Portefeuille SP2'!AR508</f>
        <v>0</v>
      </c>
      <c r="BG483" s="403" t="e">
        <f>'Portefeuille SP2'!#REF!</f>
        <v>#REF!</v>
      </c>
      <c r="BH483" s="403" t="e">
        <f>'Portefeuille SP2'!#REF!</f>
        <v>#REF!</v>
      </c>
      <c r="BI483" s="403" t="e">
        <f>'Portefeuille SP2'!#REF!</f>
        <v>#REF!</v>
      </c>
      <c r="BJ483" s="403" t="e">
        <f>'Portefeuille SP2'!#REF!</f>
        <v>#REF!</v>
      </c>
      <c r="BK483" s="403" t="e">
        <f>'Portefeuille SP2'!#REF!</f>
        <v>#REF!</v>
      </c>
      <c r="BL483" s="388"/>
      <c r="BM483" s="404">
        <f>'Portefeuille SP2'!L508</f>
        <v>0</v>
      </c>
    </row>
    <row r="484" spans="1:65" ht="15" customHeight="1">
      <c r="A484" s="383">
        <f>'Portefeuille SP2'!B509</f>
        <v>0</v>
      </c>
      <c r="B484" s="390">
        <f>'Portefeuille SP2'!Q509</f>
        <v>0</v>
      </c>
      <c r="C484" s="384"/>
      <c r="D484" s="382">
        <f>'Portefeuille SP2'!E509</f>
        <v>0</v>
      </c>
      <c r="E484" s="382" t="str">
        <f t="shared" si="35"/>
        <v>0</v>
      </c>
      <c r="F484" s="382" t="str">
        <f t="shared" si="36"/>
        <v/>
      </c>
      <c r="G484" s="382">
        <f>'Portefeuille SP2'!C509</f>
        <v>0</v>
      </c>
      <c r="H484" s="382">
        <f>'Portefeuille SP2'!F509</f>
        <v>0</v>
      </c>
      <c r="I484" s="382"/>
      <c r="J484" s="382">
        <f>'Portefeuille SP2'!D509</f>
        <v>0</v>
      </c>
      <c r="K484" s="385">
        <f>'Portefeuille SP2'!H509</f>
        <v>0</v>
      </c>
      <c r="L484" s="157">
        <f>'Portefeuille SP2'!U509</f>
        <v>0</v>
      </c>
      <c r="M484" s="386"/>
      <c r="N484" s="386"/>
      <c r="O484" s="386"/>
      <c r="P484" s="387">
        <f>'Portefeuille SP2'!M509</f>
        <v>0</v>
      </c>
      <c r="Q484" s="387"/>
      <c r="R484" s="387">
        <f>'Portefeuille SP2'!N509</f>
        <v>0</v>
      </c>
      <c r="S484" s="387"/>
      <c r="T484" s="382">
        <f>'Portefeuille SP2'!R509</f>
        <v>0</v>
      </c>
      <c r="U484" s="387">
        <f>'Portefeuille SP2'!K509</f>
        <v>0</v>
      </c>
      <c r="V484" s="399">
        <f>'Portefeuille SP2'!S509</f>
        <v>0</v>
      </c>
      <c r="W484" s="387"/>
      <c r="X484" s="387"/>
      <c r="Y484" s="387"/>
      <c r="Z484" s="387"/>
      <c r="AA484" s="387"/>
      <c r="AB484" s="387"/>
      <c r="AC484" s="387"/>
      <c r="AD484" s="387"/>
      <c r="AE484" s="400">
        <f>'Portefeuille SP2'!J509</f>
        <v>0</v>
      </c>
      <c r="AF484" s="387"/>
      <c r="AG484" s="387"/>
      <c r="AH484" s="389"/>
      <c r="AI484" s="389"/>
      <c r="AJ484" s="403">
        <f>'Portefeuille SP2'!V509</f>
        <v>0</v>
      </c>
      <c r="AK484" s="403">
        <f>'Portefeuille SP2'!W509</f>
        <v>0</v>
      </c>
      <c r="AL484" s="403">
        <f>'Portefeuille SP2'!X509</f>
        <v>0</v>
      </c>
      <c r="AM484" s="403">
        <f>'Portefeuille SP2'!Y509</f>
        <v>0</v>
      </c>
      <c r="AN484" s="403">
        <f>'Portefeuille SP2'!Z509</f>
        <v>0</v>
      </c>
      <c r="AO484" s="403">
        <f>'Portefeuille SP2'!AA509</f>
        <v>0</v>
      </c>
      <c r="AP484" s="403">
        <f>'Portefeuille SP2'!AB509</f>
        <v>0</v>
      </c>
      <c r="AQ484" s="403">
        <f>'Portefeuille SP2'!AC509</f>
        <v>0</v>
      </c>
      <c r="AR484" s="403">
        <f>'Portefeuille SP2'!AD509</f>
        <v>0</v>
      </c>
      <c r="AS484" s="403">
        <f>'Portefeuille SP2'!AE509</f>
        <v>0</v>
      </c>
      <c r="AT484" s="403">
        <f>'Portefeuille SP2'!AF509</f>
        <v>0</v>
      </c>
      <c r="AU484" s="403">
        <f>'Portefeuille SP2'!AG509</f>
        <v>0</v>
      </c>
      <c r="AV484" s="403">
        <f>'Portefeuille SP2'!AH509</f>
        <v>0</v>
      </c>
      <c r="AW484" s="403">
        <f>'Portefeuille SP2'!AI509</f>
        <v>0</v>
      </c>
      <c r="AX484" s="403">
        <f>'Portefeuille SP2'!AJ509</f>
        <v>0</v>
      </c>
      <c r="AY484" s="403">
        <f>'Portefeuille SP2'!AK509</f>
        <v>0</v>
      </c>
      <c r="AZ484" s="403">
        <f>'Portefeuille SP2'!AL509</f>
        <v>0</v>
      </c>
      <c r="BA484" s="403">
        <f>'Portefeuille SP2'!AM509</f>
        <v>0</v>
      </c>
      <c r="BB484" s="403">
        <f>'Portefeuille SP2'!AN509</f>
        <v>0</v>
      </c>
      <c r="BC484" s="403">
        <f>'Portefeuille SP2'!AO509</f>
        <v>0</v>
      </c>
      <c r="BD484" s="403">
        <f>'Portefeuille SP2'!AP509</f>
        <v>0</v>
      </c>
      <c r="BE484" s="403">
        <f>'Portefeuille SP2'!AQ509</f>
        <v>0</v>
      </c>
      <c r="BF484" s="403">
        <f>'Portefeuille SP2'!AR509</f>
        <v>0</v>
      </c>
      <c r="BG484" s="403" t="e">
        <f>'Portefeuille SP2'!#REF!</f>
        <v>#REF!</v>
      </c>
      <c r="BH484" s="403" t="e">
        <f>'Portefeuille SP2'!#REF!</f>
        <v>#REF!</v>
      </c>
      <c r="BI484" s="403" t="e">
        <f>'Portefeuille SP2'!#REF!</f>
        <v>#REF!</v>
      </c>
      <c r="BJ484" s="403" t="e">
        <f>'Portefeuille SP2'!#REF!</f>
        <v>#REF!</v>
      </c>
      <c r="BK484" s="403" t="e">
        <f>'Portefeuille SP2'!#REF!</f>
        <v>#REF!</v>
      </c>
      <c r="BL484" s="388"/>
      <c r="BM484" s="404">
        <f>'Portefeuille SP2'!L509</f>
        <v>0</v>
      </c>
    </row>
    <row r="485" spans="1:65" ht="15" customHeight="1">
      <c r="A485" s="383">
        <f>'Portefeuille SP2'!B510</f>
        <v>0</v>
      </c>
      <c r="B485" s="390">
        <f>'Portefeuille SP2'!Q510</f>
        <v>0</v>
      </c>
      <c r="C485" s="384"/>
      <c r="D485" s="382">
        <f>'Portefeuille SP2'!E510</f>
        <v>0</v>
      </c>
      <c r="E485" s="382" t="str">
        <f t="shared" si="35"/>
        <v>0</v>
      </c>
      <c r="F485" s="382" t="str">
        <f t="shared" si="36"/>
        <v/>
      </c>
      <c r="G485" s="382">
        <f>'Portefeuille SP2'!C510</f>
        <v>0</v>
      </c>
      <c r="H485" s="382">
        <f>'Portefeuille SP2'!F510</f>
        <v>0</v>
      </c>
      <c r="I485" s="382"/>
      <c r="J485" s="382">
        <f>'Portefeuille SP2'!D510</f>
        <v>0</v>
      </c>
      <c r="K485" s="385">
        <f>'Portefeuille SP2'!H510</f>
        <v>0</v>
      </c>
      <c r="L485" s="157">
        <f>'Portefeuille SP2'!U510</f>
        <v>0</v>
      </c>
      <c r="M485" s="386"/>
      <c r="N485" s="386"/>
      <c r="O485" s="386"/>
      <c r="P485" s="387">
        <f>'Portefeuille SP2'!M510</f>
        <v>0</v>
      </c>
      <c r="Q485" s="387"/>
      <c r="R485" s="387">
        <f>'Portefeuille SP2'!N510</f>
        <v>0</v>
      </c>
      <c r="S485" s="387"/>
      <c r="T485" s="382">
        <f>'Portefeuille SP2'!R510</f>
        <v>0</v>
      </c>
      <c r="U485" s="387">
        <f>'Portefeuille SP2'!K510</f>
        <v>0</v>
      </c>
      <c r="V485" s="399">
        <f>'Portefeuille SP2'!S510</f>
        <v>0</v>
      </c>
      <c r="W485" s="387"/>
      <c r="X485" s="387"/>
      <c r="Y485" s="387"/>
      <c r="Z485" s="387"/>
      <c r="AA485" s="387"/>
      <c r="AB485" s="387"/>
      <c r="AC485" s="387"/>
      <c r="AD485" s="387"/>
      <c r="AE485" s="400">
        <f>'Portefeuille SP2'!J510</f>
        <v>0</v>
      </c>
      <c r="AF485" s="387"/>
      <c r="AG485" s="387"/>
      <c r="AH485" s="389"/>
      <c r="AI485" s="389"/>
      <c r="AJ485" s="403">
        <f>'Portefeuille SP2'!V510</f>
        <v>0</v>
      </c>
      <c r="AK485" s="403">
        <f>'Portefeuille SP2'!W510</f>
        <v>0</v>
      </c>
      <c r="AL485" s="403">
        <f>'Portefeuille SP2'!X510</f>
        <v>0</v>
      </c>
      <c r="AM485" s="403">
        <f>'Portefeuille SP2'!Y510</f>
        <v>0</v>
      </c>
      <c r="AN485" s="403">
        <f>'Portefeuille SP2'!Z510</f>
        <v>0</v>
      </c>
      <c r="AO485" s="403">
        <f>'Portefeuille SP2'!AA510</f>
        <v>0</v>
      </c>
      <c r="AP485" s="403">
        <f>'Portefeuille SP2'!AB510</f>
        <v>0</v>
      </c>
      <c r="AQ485" s="403">
        <f>'Portefeuille SP2'!AC510</f>
        <v>0</v>
      </c>
      <c r="AR485" s="403">
        <f>'Portefeuille SP2'!AD510</f>
        <v>0</v>
      </c>
      <c r="AS485" s="403">
        <f>'Portefeuille SP2'!AE510</f>
        <v>0</v>
      </c>
      <c r="AT485" s="403">
        <f>'Portefeuille SP2'!AF510</f>
        <v>0</v>
      </c>
      <c r="AU485" s="403">
        <f>'Portefeuille SP2'!AG510</f>
        <v>0</v>
      </c>
      <c r="AV485" s="403">
        <f>'Portefeuille SP2'!AH510</f>
        <v>0</v>
      </c>
      <c r="AW485" s="403">
        <f>'Portefeuille SP2'!AI510</f>
        <v>0</v>
      </c>
      <c r="AX485" s="403">
        <f>'Portefeuille SP2'!AJ510</f>
        <v>0</v>
      </c>
      <c r="AY485" s="403">
        <f>'Portefeuille SP2'!AK510</f>
        <v>0</v>
      </c>
      <c r="AZ485" s="403">
        <f>'Portefeuille SP2'!AL510</f>
        <v>0</v>
      </c>
      <c r="BA485" s="403">
        <f>'Portefeuille SP2'!AM510</f>
        <v>0</v>
      </c>
      <c r="BB485" s="403">
        <f>'Portefeuille SP2'!AN510</f>
        <v>0</v>
      </c>
      <c r="BC485" s="403">
        <f>'Portefeuille SP2'!AO510</f>
        <v>0</v>
      </c>
      <c r="BD485" s="403">
        <f>'Portefeuille SP2'!AP510</f>
        <v>0</v>
      </c>
      <c r="BE485" s="403">
        <f>'Portefeuille SP2'!AQ510</f>
        <v>0</v>
      </c>
      <c r="BF485" s="403">
        <f>'Portefeuille SP2'!AR510</f>
        <v>0</v>
      </c>
      <c r="BG485" s="403" t="e">
        <f>'Portefeuille SP2'!#REF!</f>
        <v>#REF!</v>
      </c>
      <c r="BH485" s="403" t="e">
        <f>'Portefeuille SP2'!#REF!</f>
        <v>#REF!</v>
      </c>
      <c r="BI485" s="403" t="e">
        <f>'Portefeuille SP2'!#REF!</f>
        <v>#REF!</v>
      </c>
      <c r="BJ485" s="403" t="e">
        <f>'Portefeuille SP2'!#REF!</f>
        <v>#REF!</v>
      </c>
      <c r="BK485" s="403" t="e">
        <f>'Portefeuille SP2'!#REF!</f>
        <v>#REF!</v>
      </c>
      <c r="BL485" s="388"/>
      <c r="BM485" s="404">
        <f>'Portefeuille SP2'!L510</f>
        <v>0</v>
      </c>
    </row>
    <row r="486" spans="1:65" ht="15" customHeight="1">
      <c r="A486" s="383">
        <f>'Portefeuille SP2'!B511</f>
        <v>0</v>
      </c>
      <c r="B486" s="390">
        <f>'Portefeuille SP2'!Q511</f>
        <v>0</v>
      </c>
      <c r="C486" s="384"/>
      <c r="D486" s="382">
        <f>'Portefeuille SP2'!E511</f>
        <v>0</v>
      </c>
      <c r="E486" s="382" t="str">
        <f t="shared" si="35"/>
        <v>0</v>
      </c>
      <c r="F486" s="382" t="str">
        <f t="shared" si="36"/>
        <v/>
      </c>
      <c r="G486" s="382">
        <f>'Portefeuille SP2'!C511</f>
        <v>0</v>
      </c>
      <c r="H486" s="382">
        <f>'Portefeuille SP2'!F511</f>
        <v>0</v>
      </c>
      <c r="I486" s="382"/>
      <c r="J486" s="382">
        <f>'Portefeuille SP2'!D511</f>
        <v>0</v>
      </c>
      <c r="K486" s="385">
        <f>'Portefeuille SP2'!H511</f>
        <v>0</v>
      </c>
      <c r="L486" s="157">
        <f>'Portefeuille SP2'!U511</f>
        <v>0</v>
      </c>
      <c r="M486" s="386"/>
      <c r="N486" s="386"/>
      <c r="O486" s="386"/>
      <c r="P486" s="387">
        <f>'Portefeuille SP2'!M511</f>
        <v>0</v>
      </c>
      <c r="Q486" s="387"/>
      <c r="R486" s="387">
        <f>'Portefeuille SP2'!N511</f>
        <v>0</v>
      </c>
      <c r="S486" s="387"/>
      <c r="T486" s="382">
        <f>'Portefeuille SP2'!R511</f>
        <v>0</v>
      </c>
      <c r="U486" s="387">
        <f>'Portefeuille SP2'!K511</f>
        <v>0</v>
      </c>
      <c r="V486" s="399">
        <f>'Portefeuille SP2'!S511</f>
        <v>0</v>
      </c>
      <c r="W486" s="387"/>
      <c r="X486" s="387"/>
      <c r="Y486" s="387"/>
      <c r="Z486" s="387"/>
      <c r="AA486" s="387"/>
      <c r="AB486" s="387"/>
      <c r="AC486" s="387"/>
      <c r="AD486" s="387"/>
      <c r="AE486" s="400">
        <f>'Portefeuille SP2'!J511</f>
        <v>0</v>
      </c>
      <c r="AF486" s="387"/>
      <c r="AG486" s="387"/>
      <c r="AH486" s="389"/>
      <c r="AI486" s="389"/>
      <c r="AJ486" s="403">
        <f>'Portefeuille SP2'!V511</f>
        <v>0</v>
      </c>
      <c r="AK486" s="403">
        <f>'Portefeuille SP2'!W511</f>
        <v>0</v>
      </c>
      <c r="AL486" s="403">
        <f>'Portefeuille SP2'!X511</f>
        <v>0</v>
      </c>
      <c r="AM486" s="403">
        <f>'Portefeuille SP2'!Y511</f>
        <v>0</v>
      </c>
      <c r="AN486" s="403">
        <f>'Portefeuille SP2'!Z511</f>
        <v>0</v>
      </c>
      <c r="AO486" s="403">
        <f>'Portefeuille SP2'!AA511</f>
        <v>0</v>
      </c>
      <c r="AP486" s="403">
        <f>'Portefeuille SP2'!AB511</f>
        <v>0</v>
      </c>
      <c r="AQ486" s="403">
        <f>'Portefeuille SP2'!AC511</f>
        <v>0</v>
      </c>
      <c r="AR486" s="403">
        <f>'Portefeuille SP2'!AD511</f>
        <v>0</v>
      </c>
      <c r="AS486" s="403">
        <f>'Portefeuille SP2'!AE511</f>
        <v>0</v>
      </c>
      <c r="AT486" s="403">
        <f>'Portefeuille SP2'!AF511</f>
        <v>0</v>
      </c>
      <c r="AU486" s="403">
        <f>'Portefeuille SP2'!AG511</f>
        <v>0</v>
      </c>
      <c r="AV486" s="403">
        <f>'Portefeuille SP2'!AH511</f>
        <v>0</v>
      </c>
      <c r="AW486" s="403">
        <f>'Portefeuille SP2'!AI511</f>
        <v>0</v>
      </c>
      <c r="AX486" s="403">
        <f>'Portefeuille SP2'!AJ511</f>
        <v>0</v>
      </c>
      <c r="AY486" s="403">
        <f>'Portefeuille SP2'!AK511</f>
        <v>0</v>
      </c>
      <c r="AZ486" s="403">
        <f>'Portefeuille SP2'!AL511</f>
        <v>0</v>
      </c>
      <c r="BA486" s="403">
        <f>'Portefeuille SP2'!AM511</f>
        <v>0</v>
      </c>
      <c r="BB486" s="403">
        <f>'Portefeuille SP2'!AN511</f>
        <v>0</v>
      </c>
      <c r="BC486" s="403">
        <f>'Portefeuille SP2'!AO511</f>
        <v>0</v>
      </c>
      <c r="BD486" s="403">
        <f>'Portefeuille SP2'!AP511</f>
        <v>0</v>
      </c>
      <c r="BE486" s="403">
        <f>'Portefeuille SP2'!AQ511</f>
        <v>0</v>
      </c>
      <c r="BF486" s="403">
        <f>'Portefeuille SP2'!AR511</f>
        <v>0</v>
      </c>
      <c r="BG486" s="403" t="e">
        <f>'Portefeuille SP2'!#REF!</f>
        <v>#REF!</v>
      </c>
      <c r="BH486" s="403" t="e">
        <f>'Portefeuille SP2'!#REF!</f>
        <v>#REF!</v>
      </c>
      <c r="BI486" s="403" t="e">
        <f>'Portefeuille SP2'!#REF!</f>
        <v>#REF!</v>
      </c>
      <c r="BJ486" s="403" t="e">
        <f>'Portefeuille SP2'!#REF!</f>
        <v>#REF!</v>
      </c>
      <c r="BK486" s="403" t="e">
        <f>'Portefeuille SP2'!#REF!</f>
        <v>#REF!</v>
      </c>
      <c r="BL486" s="388"/>
      <c r="BM486" s="404">
        <f>'Portefeuille SP2'!L511</f>
        <v>0</v>
      </c>
    </row>
    <row r="487" spans="1:65" ht="15" customHeight="1">
      <c r="A487" s="383">
        <f>'Portefeuille SP2'!B512</f>
        <v>0</v>
      </c>
      <c r="B487" s="390">
        <f>'Portefeuille SP2'!Q512</f>
        <v>0</v>
      </c>
      <c r="C487" s="384"/>
      <c r="D487" s="382">
        <f>'Portefeuille SP2'!E512</f>
        <v>0</v>
      </c>
      <c r="E487" s="382" t="str">
        <f t="shared" si="35"/>
        <v>0</v>
      </c>
      <c r="F487" s="382" t="str">
        <f t="shared" si="36"/>
        <v/>
      </c>
      <c r="G487" s="382">
        <f>'Portefeuille SP2'!C512</f>
        <v>0</v>
      </c>
      <c r="H487" s="382">
        <f>'Portefeuille SP2'!F512</f>
        <v>0</v>
      </c>
      <c r="I487" s="382"/>
      <c r="J487" s="382">
        <f>'Portefeuille SP2'!D512</f>
        <v>0</v>
      </c>
      <c r="K487" s="385">
        <f>'Portefeuille SP2'!H512</f>
        <v>0</v>
      </c>
      <c r="L487" s="157">
        <f>'Portefeuille SP2'!U512</f>
        <v>0</v>
      </c>
      <c r="M487" s="386"/>
      <c r="N487" s="386"/>
      <c r="O487" s="386"/>
      <c r="P487" s="387">
        <f>'Portefeuille SP2'!M512</f>
        <v>0</v>
      </c>
      <c r="Q487" s="387"/>
      <c r="R487" s="387">
        <f>'Portefeuille SP2'!N512</f>
        <v>0</v>
      </c>
      <c r="S487" s="387"/>
      <c r="T487" s="382">
        <f>'Portefeuille SP2'!R512</f>
        <v>0</v>
      </c>
      <c r="U487" s="387">
        <f>'Portefeuille SP2'!K512</f>
        <v>0</v>
      </c>
      <c r="V487" s="399">
        <f>'Portefeuille SP2'!S512</f>
        <v>0</v>
      </c>
      <c r="W487" s="387"/>
      <c r="X487" s="387"/>
      <c r="Y487" s="387"/>
      <c r="Z487" s="387"/>
      <c r="AA487" s="387"/>
      <c r="AB487" s="387"/>
      <c r="AC487" s="387"/>
      <c r="AD487" s="387"/>
      <c r="AE487" s="400">
        <f>'Portefeuille SP2'!J512</f>
        <v>0</v>
      </c>
      <c r="AF487" s="387"/>
      <c r="AG487" s="387"/>
      <c r="AH487" s="389"/>
      <c r="AI487" s="389"/>
      <c r="AJ487" s="403">
        <f>'Portefeuille SP2'!V512</f>
        <v>0</v>
      </c>
      <c r="AK487" s="403">
        <f>'Portefeuille SP2'!W512</f>
        <v>0</v>
      </c>
      <c r="AL487" s="403">
        <f>'Portefeuille SP2'!X512</f>
        <v>0</v>
      </c>
      <c r="AM487" s="403">
        <f>'Portefeuille SP2'!Y512</f>
        <v>0</v>
      </c>
      <c r="AN487" s="403">
        <f>'Portefeuille SP2'!Z512</f>
        <v>0</v>
      </c>
      <c r="AO487" s="403">
        <f>'Portefeuille SP2'!AA512</f>
        <v>0</v>
      </c>
      <c r="AP487" s="403">
        <f>'Portefeuille SP2'!AB512</f>
        <v>0</v>
      </c>
      <c r="AQ487" s="403">
        <f>'Portefeuille SP2'!AC512</f>
        <v>0</v>
      </c>
      <c r="AR487" s="403">
        <f>'Portefeuille SP2'!AD512</f>
        <v>0</v>
      </c>
      <c r="AS487" s="403">
        <f>'Portefeuille SP2'!AE512</f>
        <v>0</v>
      </c>
      <c r="AT487" s="403">
        <f>'Portefeuille SP2'!AF512</f>
        <v>0</v>
      </c>
      <c r="AU487" s="403">
        <f>'Portefeuille SP2'!AG512</f>
        <v>0</v>
      </c>
      <c r="AV487" s="403">
        <f>'Portefeuille SP2'!AH512</f>
        <v>0</v>
      </c>
      <c r="AW487" s="403">
        <f>'Portefeuille SP2'!AI512</f>
        <v>0</v>
      </c>
      <c r="AX487" s="403">
        <f>'Portefeuille SP2'!AJ512</f>
        <v>0</v>
      </c>
      <c r="AY487" s="403">
        <f>'Portefeuille SP2'!AK512</f>
        <v>0</v>
      </c>
      <c r="AZ487" s="403">
        <f>'Portefeuille SP2'!AL512</f>
        <v>0</v>
      </c>
      <c r="BA487" s="403">
        <f>'Portefeuille SP2'!AM512</f>
        <v>0</v>
      </c>
      <c r="BB487" s="403">
        <f>'Portefeuille SP2'!AN512</f>
        <v>0</v>
      </c>
      <c r="BC487" s="403">
        <f>'Portefeuille SP2'!AO512</f>
        <v>0</v>
      </c>
      <c r="BD487" s="403">
        <f>'Portefeuille SP2'!AP512</f>
        <v>0</v>
      </c>
      <c r="BE487" s="403">
        <f>'Portefeuille SP2'!AQ512</f>
        <v>0</v>
      </c>
      <c r="BF487" s="403">
        <f>'Portefeuille SP2'!AR512</f>
        <v>0</v>
      </c>
      <c r="BG487" s="403" t="e">
        <f>'Portefeuille SP2'!#REF!</f>
        <v>#REF!</v>
      </c>
      <c r="BH487" s="403" t="e">
        <f>'Portefeuille SP2'!#REF!</f>
        <v>#REF!</v>
      </c>
      <c r="BI487" s="403" t="e">
        <f>'Portefeuille SP2'!#REF!</f>
        <v>#REF!</v>
      </c>
      <c r="BJ487" s="403" t="e">
        <f>'Portefeuille SP2'!#REF!</f>
        <v>#REF!</v>
      </c>
      <c r="BK487" s="403" t="e">
        <f>'Portefeuille SP2'!#REF!</f>
        <v>#REF!</v>
      </c>
      <c r="BL487" s="388"/>
      <c r="BM487" s="404">
        <f>'Portefeuille SP2'!L512</f>
        <v>0</v>
      </c>
    </row>
    <row r="488" spans="1:65" ht="15" customHeight="1">
      <c r="A488" s="383">
        <f>'Portefeuille SP2'!B513</f>
        <v>0</v>
      </c>
      <c r="B488" s="390">
        <f>'Portefeuille SP2'!Q513</f>
        <v>0</v>
      </c>
      <c r="C488" s="384"/>
      <c r="D488" s="382">
        <f>'Portefeuille SP2'!E513</f>
        <v>0</v>
      </c>
      <c r="E488" s="382" t="str">
        <f t="shared" si="35"/>
        <v>0</v>
      </c>
      <c r="F488" s="382" t="str">
        <f t="shared" si="36"/>
        <v/>
      </c>
      <c r="G488" s="382">
        <f>'Portefeuille SP2'!C513</f>
        <v>0</v>
      </c>
      <c r="H488" s="382">
        <f>'Portefeuille SP2'!F513</f>
        <v>0</v>
      </c>
      <c r="I488" s="382"/>
      <c r="J488" s="382">
        <f>'Portefeuille SP2'!D513</f>
        <v>0</v>
      </c>
      <c r="K488" s="385">
        <f>'Portefeuille SP2'!H513</f>
        <v>0</v>
      </c>
      <c r="L488" s="157">
        <f>'Portefeuille SP2'!U513</f>
        <v>0</v>
      </c>
      <c r="M488" s="386"/>
      <c r="N488" s="386"/>
      <c r="O488" s="386"/>
      <c r="P488" s="387">
        <f>'Portefeuille SP2'!M513</f>
        <v>0</v>
      </c>
      <c r="Q488" s="387"/>
      <c r="R488" s="387">
        <f>'Portefeuille SP2'!N513</f>
        <v>0</v>
      </c>
      <c r="S488" s="387"/>
      <c r="T488" s="382">
        <f>'Portefeuille SP2'!R513</f>
        <v>0</v>
      </c>
      <c r="U488" s="387">
        <f>'Portefeuille SP2'!K513</f>
        <v>0</v>
      </c>
      <c r="V488" s="399">
        <f>'Portefeuille SP2'!S513</f>
        <v>0</v>
      </c>
      <c r="W488" s="387"/>
      <c r="X488" s="387"/>
      <c r="Y488" s="387"/>
      <c r="Z488" s="387"/>
      <c r="AA488" s="387"/>
      <c r="AB488" s="387"/>
      <c r="AC488" s="387"/>
      <c r="AD488" s="387"/>
      <c r="AE488" s="400">
        <f>'Portefeuille SP2'!J513</f>
        <v>0</v>
      </c>
      <c r="AF488" s="387"/>
      <c r="AG488" s="387"/>
      <c r="AH488" s="389"/>
      <c r="AI488" s="389"/>
      <c r="AJ488" s="403">
        <f>'Portefeuille SP2'!V513</f>
        <v>0</v>
      </c>
      <c r="AK488" s="403">
        <f>'Portefeuille SP2'!W513</f>
        <v>0</v>
      </c>
      <c r="AL488" s="403">
        <f>'Portefeuille SP2'!X513</f>
        <v>0</v>
      </c>
      <c r="AM488" s="403">
        <f>'Portefeuille SP2'!Y513</f>
        <v>0</v>
      </c>
      <c r="AN488" s="403">
        <f>'Portefeuille SP2'!Z513</f>
        <v>0</v>
      </c>
      <c r="AO488" s="403">
        <f>'Portefeuille SP2'!AA513</f>
        <v>0</v>
      </c>
      <c r="AP488" s="403">
        <f>'Portefeuille SP2'!AB513</f>
        <v>0</v>
      </c>
      <c r="AQ488" s="403">
        <f>'Portefeuille SP2'!AC513</f>
        <v>0</v>
      </c>
      <c r="AR488" s="403">
        <f>'Portefeuille SP2'!AD513</f>
        <v>0</v>
      </c>
      <c r="AS488" s="403">
        <f>'Portefeuille SP2'!AE513</f>
        <v>0</v>
      </c>
      <c r="AT488" s="403">
        <f>'Portefeuille SP2'!AF513</f>
        <v>0</v>
      </c>
      <c r="AU488" s="403">
        <f>'Portefeuille SP2'!AG513</f>
        <v>0</v>
      </c>
      <c r="AV488" s="403">
        <f>'Portefeuille SP2'!AH513</f>
        <v>0</v>
      </c>
      <c r="AW488" s="403">
        <f>'Portefeuille SP2'!AI513</f>
        <v>0</v>
      </c>
      <c r="AX488" s="403">
        <f>'Portefeuille SP2'!AJ513</f>
        <v>0</v>
      </c>
      <c r="AY488" s="403">
        <f>'Portefeuille SP2'!AK513</f>
        <v>0</v>
      </c>
      <c r="AZ488" s="403">
        <f>'Portefeuille SP2'!AL513</f>
        <v>0</v>
      </c>
      <c r="BA488" s="403">
        <f>'Portefeuille SP2'!AM513</f>
        <v>0</v>
      </c>
      <c r="BB488" s="403">
        <f>'Portefeuille SP2'!AN513</f>
        <v>0</v>
      </c>
      <c r="BC488" s="403">
        <f>'Portefeuille SP2'!AO513</f>
        <v>0</v>
      </c>
      <c r="BD488" s="403">
        <f>'Portefeuille SP2'!AP513</f>
        <v>0</v>
      </c>
      <c r="BE488" s="403">
        <f>'Portefeuille SP2'!AQ513</f>
        <v>0</v>
      </c>
      <c r="BF488" s="403">
        <f>'Portefeuille SP2'!AR513</f>
        <v>0</v>
      </c>
      <c r="BG488" s="403" t="e">
        <f>'Portefeuille SP2'!#REF!</f>
        <v>#REF!</v>
      </c>
      <c r="BH488" s="403" t="e">
        <f>'Portefeuille SP2'!#REF!</f>
        <v>#REF!</v>
      </c>
      <c r="BI488" s="403" t="e">
        <f>'Portefeuille SP2'!#REF!</f>
        <v>#REF!</v>
      </c>
      <c r="BJ488" s="403" t="e">
        <f>'Portefeuille SP2'!#REF!</f>
        <v>#REF!</v>
      </c>
      <c r="BK488" s="403" t="e">
        <f>'Portefeuille SP2'!#REF!</f>
        <v>#REF!</v>
      </c>
      <c r="BL488" s="388"/>
      <c r="BM488" s="404">
        <f>'Portefeuille SP2'!L513</f>
        <v>0</v>
      </c>
    </row>
    <row r="489" spans="1:65" ht="15" customHeight="1">
      <c r="A489" s="383">
        <f>'Portefeuille SP2'!B514</f>
        <v>0</v>
      </c>
      <c r="B489" s="390">
        <f>'Portefeuille SP2'!Q514</f>
        <v>0</v>
      </c>
      <c r="C489" s="384"/>
      <c r="D489" s="382">
        <f>'Portefeuille SP2'!E514</f>
        <v>0</v>
      </c>
      <c r="E489" s="382" t="str">
        <f t="shared" si="35"/>
        <v>0</v>
      </c>
      <c r="F489" s="382" t="str">
        <f t="shared" si="36"/>
        <v/>
      </c>
      <c r="G489" s="382">
        <f>'Portefeuille SP2'!C514</f>
        <v>0</v>
      </c>
      <c r="H489" s="382">
        <f>'Portefeuille SP2'!F514</f>
        <v>0</v>
      </c>
      <c r="I489" s="382"/>
      <c r="J489" s="382">
        <f>'Portefeuille SP2'!D514</f>
        <v>0</v>
      </c>
      <c r="K489" s="385">
        <f>'Portefeuille SP2'!H514</f>
        <v>0</v>
      </c>
      <c r="L489" s="157">
        <f>'Portefeuille SP2'!U514</f>
        <v>0</v>
      </c>
      <c r="M489" s="386"/>
      <c r="N489" s="386"/>
      <c r="O489" s="386"/>
      <c r="P489" s="387">
        <f>'Portefeuille SP2'!M514</f>
        <v>0</v>
      </c>
      <c r="Q489" s="387"/>
      <c r="R489" s="387">
        <f>'Portefeuille SP2'!N514</f>
        <v>0</v>
      </c>
      <c r="S489" s="387"/>
      <c r="T489" s="382">
        <f>'Portefeuille SP2'!R514</f>
        <v>0</v>
      </c>
      <c r="U489" s="387">
        <f>'Portefeuille SP2'!K514</f>
        <v>0</v>
      </c>
      <c r="V489" s="399">
        <f>'Portefeuille SP2'!S514</f>
        <v>0</v>
      </c>
      <c r="W489" s="387"/>
      <c r="X489" s="387"/>
      <c r="Y489" s="387"/>
      <c r="Z489" s="387"/>
      <c r="AA489" s="387"/>
      <c r="AB489" s="387"/>
      <c r="AC489" s="387"/>
      <c r="AD489" s="387"/>
      <c r="AE489" s="400">
        <f>'Portefeuille SP2'!J514</f>
        <v>0</v>
      </c>
      <c r="AF489" s="387"/>
      <c r="AG489" s="387"/>
      <c r="AH489" s="389"/>
      <c r="AI489" s="389"/>
      <c r="AJ489" s="403">
        <f>'Portefeuille SP2'!V514</f>
        <v>0</v>
      </c>
      <c r="AK489" s="403">
        <f>'Portefeuille SP2'!W514</f>
        <v>0</v>
      </c>
      <c r="AL489" s="403">
        <f>'Portefeuille SP2'!X514</f>
        <v>0</v>
      </c>
      <c r="AM489" s="403">
        <f>'Portefeuille SP2'!Y514</f>
        <v>0</v>
      </c>
      <c r="AN489" s="403">
        <f>'Portefeuille SP2'!Z514</f>
        <v>0</v>
      </c>
      <c r="AO489" s="403">
        <f>'Portefeuille SP2'!AA514</f>
        <v>0</v>
      </c>
      <c r="AP489" s="403">
        <f>'Portefeuille SP2'!AB514</f>
        <v>0</v>
      </c>
      <c r="AQ489" s="403">
        <f>'Portefeuille SP2'!AC514</f>
        <v>0</v>
      </c>
      <c r="AR489" s="403">
        <f>'Portefeuille SP2'!AD514</f>
        <v>0</v>
      </c>
      <c r="AS489" s="403">
        <f>'Portefeuille SP2'!AE514</f>
        <v>0</v>
      </c>
      <c r="AT489" s="403">
        <f>'Portefeuille SP2'!AF514</f>
        <v>0</v>
      </c>
      <c r="AU489" s="403">
        <f>'Portefeuille SP2'!AG514</f>
        <v>0</v>
      </c>
      <c r="AV489" s="403">
        <f>'Portefeuille SP2'!AH514</f>
        <v>0</v>
      </c>
      <c r="AW489" s="403">
        <f>'Portefeuille SP2'!AI514</f>
        <v>0</v>
      </c>
      <c r="AX489" s="403">
        <f>'Portefeuille SP2'!AJ514</f>
        <v>0</v>
      </c>
      <c r="AY489" s="403">
        <f>'Portefeuille SP2'!AK514</f>
        <v>0</v>
      </c>
      <c r="AZ489" s="403">
        <f>'Portefeuille SP2'!AL514</f>
        <v>0</v>
      </c>
      <c r="BA489" s="403">
        <f>'Portefeuille SP2'!AM514</f>
        <v>0</v>
      </c>
      <c r="BB489" s="403">
        <f>'Portefeuille SP2'!AN514</f>
        <v>0</v>
      </c>
      <c r="BC489" s="403">
        <f>'Portefeuille SP2'!AO514</f>
        <v>0</v>
      </c>
      <c r="BD489" s="403">
        <f>'Portefeuille SP2'!AP514</f>
        <v>0</v>
      </c>
      <c r="BE489" s="403">
        <f>'Portefeuille SP2'!AQ514</f>
        <v>0</v>
      </c>
      <c r="BF489" s="403">
        <f>'Portefeuille SP2'!AR514</f>
        <v>0</v>
      </c>
      <c r="BG489" s="403" t="e">
        <f>'Portefeuille SP2'!#REF!</f>
        <v>#REF!</v>
      </c>
      <c r="BH489" s="403" t="e">
        <f>'Portefeuille SP2'!#REF!</f>
        <v>#REF!</v>
      </c>
      <c r="BI489" s="403" t="e">
        <f>'Portefeuille SP2'!#REF!</f>
        <v>#REF!</v>
      </c>
      <c r="BJ489" s="403" t="e">
        <f>'Portefeuille SP2'!#REF!</f>
        <v>#REF!</v>
      </c>
      <c r="BK489" s="403" t="e">
        <f>'Portefeuille SP2'!#REF!</f>
        <v>#REF!</v>
      </c>
      <c r="BL489" s="388"/>
      <c r="BM489" s="404">
        <f>'Portefeuille SP2'!L514</f>
        <v>0</v>
      </c>
    </row>
    <row r="490" spans="1:65" ht="15" customHeight="1">
      <c r="A490" s="383">
        <f>'Portefeuille SP2'!B515</f>
        <v>0</v>
      </c>
      <c r="B490" s="390">
        <f>'Portefeuille SP2'!Q515</f>
        <v>0</v>
      </c>
      <c r="C490" s="384"/>
      <c r="D490" s="382">
        <f>'Portefeuille SP2'!E515</f>
        <v>0</v>
      </c>
      <c r="E490" s="382" t="str">
        <f t="shared" si="35"/>
        <v>0</v>
      </c>
      <c r="F490" s="382" t="str">
        <f t="shared" si="36"/>
        <v/>
      </c>
      <c r="G490" s="382">
        <f>'Portefeuille SP2'!C515</f>
        <v>0</v>
      </c>
      <c r="H490" s="382">
        <f>'Portefeuille SP2'!F515</f>
        <v>0</v>
      </c>
      <c r="I490" s="382"/>
      <c r="J490" s="382">
        <f>'Portefeuille SP2'!D515</f>
        <v>0</v>
      </c>
      <c r="K490" s="385">
        <f>'Portefeuille SP2'!H515</f>
        <v>0</v>
      </c>
      <c r="L490" s="157">
        <f>'Portefeuille SP2'!U515</f>
        <v>0</v>
      </c>
      <c r="M490" s="386"/>
      <c r="N490" s="386"/>
      <c r="O490" s="386"/>
      <c r="P490" s="387">
        <f>'Portefeuille SP2'!M515</f>
        <v>0</v>
      </c>
      <c r="Q490" s="387"/>
      <c r="R490" s="387">
        <f>'Portefeuille SP2'!N515</f>
        <v>0</v>
      </c>
      <c r="S490" s="387"/>
      <c r="T490" s="382">
        <f>'Portefeuille SP2'!R515</f>
        <v>0</v>
      </c>
      <c r="U490" s="387">
        <f>'Portefeuille SP2'!K515</f>
        <v>0</v>
      </c>
      <c r="V490" s="399">
        <f>'Portefeuille SP2'!S515</f>
        <v>0</v>
      </c>
      <c r="W490" s="387"/>
      <c r="X490" s="387"/>
      <c r="Y490" s="387"/>
      <c r="Z490" s="387"/>
      <c r="AA490" s="387"/>
      <c r="AB490" s="387"/>
      <c r="AC490" s="387"/>
      <c r="AD490" s="387"/>
      <c r="AE490" s="400">
        <f>'Portefeuille SP2'!J515</f>
        <v>0</v>
      </c>
      <c r="AF490" s="387"/>
      <c r="AG490" s="387"/>
      <c r="AH490" s="389"/>
      <c r="AI490" s="389"/>
      <c r="AJ490" s="403">
        <f>'Portefeuille SP2'!V515</f>
        <v>0</v>
      </c>
      <c r="AK490" s="403">
        <f>'Portefeuille SP2'!W515</f>
        <v>0</v>
      </c>
      <c r="AL490" s="403">
        <f>'Portefeuille SP2'!X515</f>
        <v>0</v>
      </c>
      <c r="AM490" s="403">
        <f>'Portefeuille SP2'!Y515</f>
        <v>0</v>
      </c>
      <c r="AN490" s="403">
        <f>'Portefeuille SP2'!Z515</f>
        <v>0</v>
      </c>
      <c r="AO490" s="403">
        <f>'Portefeuille SP2'!AA515</f>
        <v>0</v>
      </c>
      <c r="AP490" s="403">
        <f>'Portefeuille SP2'!AB515</f>
        <v>0</v>
      </c>
      <c r="AQ490" s="403">
        <f>'Portefeuille SP2'!AC515</f>
        <v>0</v>
      </c>
      <c r="AR490" s="403">
        <f>'Portefeuille SP2'!AD515</f>
        <v>0</v>
      </c>
      <c r="AS490" s="403">
        <f>'Portefeuille SP2'!AE515</f>
        <v>0</v>
      </c>
      <c r="AT490" s="403">
        <f>'Portefeuille SP2'!AF515</f>
        <v>0</v>
      </c>
      <c r="AU490" s="403">
        <f>'Portefeuille SP2'!AG515</f>
        <v>0</v>
      </c>
      <c r="AV490" s="403">
        <f>'Portefeuille SP2'!AH515</f>
        <v>0</v>
      </c>
      <c r="AW490" s="403">
        <f>'Portefeuille SP2'!AI515</f>
        <v>0</v>
      </c>
      <c r="AX490" s="403">
        <f>'Portefeuille SP2'!AJ515</f>
        <v>0</v>
      </c>
      <c r="AY490" s="403">
        <f>'Portefeuille SP2'!AK515</f>
        <v>0</v>
      </c>
      <c r="AZ490" s="403">
        <f>'Portefeuille SP2'!AL515</f>
        <v>0</v>
      </c>
      <c r="BA490" s="403">
        <f>'Portefeuille SP2'!AM515</f>
        <v>0</v>
      </c>
      <c r="BB490" s="403">
        <f>'Portefeuille SP2'!AN515</f>
        <v>0</v>
      </c>
      <c r="BC490" s="403">
        <f>'Portefeuille SP2'!AO515</f>
        <v>0</v>
      </c>
      <c r="BD490" s="403">
        <f>'Portefeuille SP2'!AP515</f>
        <v>0</v>
      </c>
      <c r="BE490" s="403">
        <f>'Portefeuille SP2'!AQ515</f>
        <v>0</v>
      </c>
      <c r="BF490" s="403">
        <f>'Portefeuille SP2'!AR515</f>
        <v>0</v>
      </c>
      <c r="BG490" s="403" t="e">
        <f>'Portefeuille SP2'!#REF!</f>
        <v>#REF!</v>
      </c>
      <c r="BH490" s="403" t="e">
        <f>'Portefeuille SP2'!#REF!</f>
        <v>#REF!</v>
      </c>
      <c r="BI490" s="403" t="e">
        <f>'Portefeuille SP2'!#REF!</f>
        <v>#REF!</v>
      </c>
      <c r="BJ490" s="403" t="e">
        <f>'Portefeuille SP2'!#REF!</f>
        <v>#REF!</v>
      </c>
      <c r="BK490" s="403" t="e">
        <f>'Portefeuille SP2'!#REF!</f>
        <v>#REF!</v>
      </c>
      <c r="BL490" s="388"/>
      <c r="BM490" s="404">
        <f>'Portefeuille SP2'!L515</f>
        <v>0</v>
      </c>
    </row>
    <row r="491" spans="1:65" ht="15" customHeight="1">
      <c r="A491" s="383">
        <f>'Portefeuille SP2'!B516</f>
        <v>0</v>
      </c>
      <c r="B491" s="390">
        <f>'Portefeuille SP2'!Q516</f>
        <v>0</v>
      </c>
      <c r="C491" s="384"/>
      <c r="D491" s="382">
        <f>'Portefeuille SP2'!E516</f>
        <v>0</v>
      </c>
      <c r="E491" s="382" t="str">
        <f t="shared" si="35"/>
        <v>0</v>
      </c>
      <c r="F491" s="382" t="str">
        <f t="shared" si="36"/>
        <v/>
      </c>
      <c r="G491" s="382">
        <f>'Portefeuille SP2'!C516</f>
        <v>0</v>
      </c>
      <c r="H491" s="382">
        <f>'Portefeuille SP2'!F516</f>
        <v>0</v>
      </c>
      <c r="I491" s="382"/>
      <c r="J491" s="382">
        <f>'Portefeuille SP2'!D516</f>
        <v>0</v>
      </c>
      <c r="K491" s="385">
        <f>'Portefeuille SP2'!H516</f>
        <v>0</v>
      </c>
      <c r="L491" s="157">
        <f>'Portefeuille SP2'!U516</f>
        <v>0</v>
      </c>
      <c r="M491" s="386"/>
      <c r="N491" s="386"/>
      <c r="O491" s="386"/>
      <c r="P491" s="387">
        <f>'Portefeuille SP2'!M516</f>
        <v>0</v>
      </c>
      <c r="Q491" s="387"/>
      <c r="R491" s="387">
        <f>'Portefeuille SP2'!N516</f>
        <v>0</v>
      </c>
      <c r="S491" s="387"/>
      <c r="T491" s="382">
        <f>'Portefeuille SP2'!R516</f>
        <v>0</v>
      </c>
      <c r="U491" s="387">
        <f>'Portefeuille SP2'!K516</f>
        <v>0</v>
      </c>
      <c r="V491" s="399">
        <f>'Portefeuille SP2'!S516</f>
        <v>0</v>
      </c>
      <c r="W491" s="387"/>
      <c r="X491" s="387"/>
      <c r="Y491" s="387"/>
      <c r="Z491" s="387"/>
      <c r="AA491" s="387"/>
      <c r="AB491" s="387"/>
      <c r="AC491" s="387"/>
      <c r="AD491" s="387"/>
      <c r="AE491" s="400">
        <f>'Portefeuille SP2'!J516</f>
        <v>0</v>
      </c>
      <c r="AF491" s="387"/>
      <c r="AG491" s="387"/>
      <c r="AH491" s="389"/>
      <c r="AI491" s="389"/>
      <c r="AJ491" s="403">
        <f>'Portefeuille SP2'!V516</f>
        <v>0</v>
      </c>
      <c r="AK491" s="403">
        <f>'Portefeuille SP2'!W516</f>
        <v>0</v>
      </c>
      <c r="AL491" s="403">
        <f>'Portefeuille SP2'!X516</f>
        <v>0</v>
      </c>
      <c r="AM491" s="403">
        <f>'Portefeuille SP2'!Y516</f>
        <v>0</v>
      </c>
      <c r="AN491" s="403">
        <f>'Portefeuille SP2'!Z516</f>
        <v>0</v>
      </c>
      <c r="AO491" s="403">
        <f>'Portefeuille SP2'!AA516</f>
        <v>0</v>
      </c>
      <c r="AP491" s="403">
        <f>'Portefeuille SP2'!AB516</f>
        <v>0</v>
      </c>
      <c r="AQ491" s="403">
        <f>'Portefeuille SP2'!AC516</f>
        <v>0</v>
      </c>
      <c r="AR491" s="403">
        <f>'Portefeuille SP2'!AD516</f>
        <v>0</v>
      </c>
      <c r="AS491" s="403">
        <f>'Portefeuille SP2'!AE516</f>
        <v>0</v>
      </c>
      <c r="AT491" s="403">
        <f>'Portefeuille SP2'!AF516</f>
        <v>0</v>
      </c>
      <c r="AU491" s="403">
        <f>'Portefeuille SP2'!AG516</f>
        <v>0</v>
      </c>
      <c r="AV491" s="403">
        <f>'Portefeuille SP2'!AH516</f>
        <v>0</v>
      </c>
      <c r="AW491" s="403">
        <f>'Portefeuille SP2'!AI516</f>
        <v>0</v>
      </c>
      <c r="AX491" s="403">
        <f>'Portefeuille SP2'!AJ516</f>
        <v>0</v>
      </c>
      <c r="AY491" s="403">
        <f>'Portefeuille SP2'!AK516</f>
        <v>0</v>
      </c>
      <c r="AZ491" s="403">
        <f>'Portefeuille SP2'!AL516</f>
        <v>0</v>
      </c>
      <c r="BA491" s="403">
        <f>'Portefeuille SP2'!AM516</f>
        <v>0</v>
      </c>
      <c r="BB491" s="403">
        <f>'Portefeuille SP2'!AN516</f>
        <v>0</v>
      </c>
      <c r="BC491" s="403">
        <f>'Portefeuille SP2'!AO516</f>
        <v>0</v>
      </c>
      <c r="BD491" s="403">
        <f>'Portefeuille SP2'!AP516</f>
        <v>0</v>
      </c>
      <c r="BE491" s="403">
        <f>'Portefeuille SP2'!AQ516</f>
        <v>0</v>
      </c>
      <c r="BF491" s="403">
        <f>'Portefeuille SP2'!AR516</f>
        <v>0</v>
      </c>
      <c r="BG491" s="403" t="e">
        <f>'Portefeuille SP2'!#REF!</f>
        <v>#REF!</v>
      </c>
      <c r="BH491" s="403" t="e">
        <f>'Portefeuille SP2'!#REF!</f>
        <v>#REF!</v>
      </c>
      <c r="BI491" s="403" t="e">
        <f>'Portefeuille SP2'!#REF!</f>
        <v>#REF!</v>
      </c>
      <c r="BJ491" s="403" t="e">
        <f>'Portefeuille SP2'!#REF!</f>
        <v>#REF!</v>
      </c>
      <c r="BK491" s="403" t="e">
        <f>'Portefeuille SP2'!#REF!</f>
        <v>#REF!</v>
      </c>
      <c r="BL491" s="388"/>
      <c r="BM491" s="404">
        <f>'Portefeuille SP2'!L516</f>
        <v>0</v>
      </c>
    </row>
    <row r="492" spans="1:65" ht="15" customHeight="1">
      <c r="A492" s="383">
        <f>'Portefeuille SP2'!B517</f>
        <v>0</v>
      </c>
      <c r="B492" s="390">
        <f>'Portefeuille SP2'!Q517</f>
        <v>0</v>
      </c>
      <c r="C492" s="384"/>
      <c r="D492" s="382">
        <f>'Portefeuille SP2'!E517</f>
        <v>0</v>
      </c>
      <c r="E492" s="382" t="str">
        <f t="shared" si="35"/>
        <v>0</v>
      </c>
      <c r="F492" s="382" t="str">
        <f t="shared" si="36"/>
        <v/>
      </c>
      <c r="G492" s="382">
        <f>'Portefeuille SP2'!C517</f>
        <v>0</v>
      </c>
      <c r="H492" s="382">
        <f>'Portefeuille SP2'!F517</f>
        <v>0</v>
      </c>
      <c r="I492" s="382"/>
      <c r="J492" s="382">
        <f>'Portefeuille SP2'!D517</f>
        <v>0</v>
      </c>
      <c r="K492" s="385">
        <f>'Portefeuille SP2'!H517</f>
        <v>0</v>
      </c>
      <c r="L492" s="157">
        <f>'Portefeuille SP2'!U517</f>
        <v>0</v>
      </c>
      <c r="M492" s="386"/>
      <c r="N492" s="386"/>
      <c r="O492" s="386"/>
      <c r="P492" s="387">
        <f>'Portefeuille SP2'!M517</f>
        <v>0</v>
      </c>
      <c r="Q492" s="387"/>
      <c r="R492" s="387">
        <f>'Portefeuille SP2'!N517</f>
        <v>0</v>
      </c>
      <c r="S492" s="387"/>
      <c r="T492" s="382">
        <f>'Portefeuille SP2'!R517</f>
        <v>0</v>
      </c>
      <c r="U492" s="387">
        <f>'Portefeuille SP2'!K517</f>
        <v>0</v>
      </c>
      <c r="V492" s="399">
        <f>'Portefeuille SP2'!S517</f>
        <v>0</v>
      </c>
      <c r="W492" s="387"/>
      <c r="X492" s="387"/>
      <c r="Y492" s="387"/>
      <c r="Z492" s="387"/>
      <c r="AA492" s="387"/>
      <c r="AB492" s="387"/>
      <c r="AC492" s="387"/>
      <c r="AD492" s="387"/>
      <c r="AE492" s="400">
        <f>'Portefeuille SP2'!J517</f>
        <v>0</v>
      </c>
      <c r="AF492" s="387"/>
      <c r="AG492" s="387"/>
      <c r="AH492" s="389"/>
      <c r="AI492" s="389"/>
      <c r="AJ492" s="403">
        <f>'Portefeuille SP2'!V517</f>
        <v>0</v>
      </c>
      <c r="AK492" s="403">
        <f>'Portefeuille SP2'!W517</f>
        <v>0</v>
      </c>
      <c r="AL492" s="403">
        <f>'Portefeuille SP2'!X517</f>
        <v>0</v>
      </c>
      <c r="AM492" s="403">
        <f>'Portefeuille SP2'!Y517</f>
        <v>0</v>
      </c>
      <c r="AN492" s="403">
        <f>'Portefeuille SP2'!Z517</f>
        <v>0</v>
      </c>
      <c r="AO492" s="403">
        <f>'Portefeuille SP2'!AA517</f>
        <v>0</v>
      </c>
      <c r="AP492" s="403">
        <f>'Portefeuille SP2'!AB517</f>
        <v>0</v>
      </c>
      <c r="AQ492" s="403">
        <f>'Portefeuille SP2'!AC517</f>
        <v>0</v>
      </c>
      <c r="AR492" s="403">
        <f>'Portefeuille SP2'!AD517</f>
        <v>0</v>
      </c>
      <c r="AS492" s="403">
        <f>'Portefeuille SP2'!AE517</f>
        <v>0</v>
      </c>
      <c r="AT492" s="403">
        <f>'Portefeuille SP2'!AF517</f>
        <v>0</v>
      </c>
      <c r="AU492" s="403">
        <f>'Portefeuille SP2'!AG517</f>
        <v>0</v>
      </c>
      <c r="AV492" s="403">
        <f>'Portefeuille SP2'!AH517</f>
        <v>0</v>
      </c>
      <c r="AW492" s="403">
        <f>'Portefeuille SP2'!AI517</f>
        <v>0</v>
      </c>
      <c r="AX492" s="403">
        <f>'Portefeuille SP2'!AJ517</f>
        <v>0</v>
      </c>
      <c r="AY492" s="403">
        <f>'Portefeuille SP2'!AK517</f>
        <v>0</v>
      </c>
      <c r="AZ492" s="403">
        <f>'Portefeuille SP2'!AL517</f>
        <v>0</v>
      </c>
      <c r="BA492" s="403">
        <f>'Portefeuille SP2'!AM517</f>
        <v>0</v>
      </c>
      <c r="BB492" s="403">
        <f>'Portefeuille SP2'!AN517</f>
        <v>0</v>
      </c>
      <c r="BC492" s="403">
        <f>'Portefeuille SP2'!AO517</f>
        <v>0</v>
      </c>
      <c r="BD492" s="403">
        <f>'Portefeuille SP2'!AP517</f>
        <v>0</v>
      </c>
      <c r="BE492" s="403">
        <f>'Portefeuille SP2'!AQ517</f>
        <v>0</v>
      </c>
      <c r="BF492" s="403">
        <f>'Portefeuille SP2'!AR517</f>
        <v>0</v>
      </c>
      <c r="BG492" s="403" t="e">
        <f>'Portefeuille SP2'!#REF!</f>
        <v>#REF!</v>
      </c>
      <c r="BH492" s="403" t="e">
        <f>'Portefeuille SP2'!#REF!</f>
        <v>#REF!</v>
      </c>
      <c r="BI492" s="403" t="e">
        <f>'Portefeuille SP2'!#REF!</f>
        <v>#REF!</v>
      </c>
      <c r="BJ492" s="403" t="e">
        <f>'Portefeuille SP2'!#REF!</f>
        <v>#REF!</v>
      </c>
      <c r="BK492" s="403" t="e">
        <f>'Portefeuille SP2'!#REF!</f>
        <v>#REF!</v>
      </c>
      <c r="BL492" s="388"/>
      <c r="BM492" s="404">
        <f>'Portefeuille SP2'!L517</f>
        <v>0</v>
      </c>
    </row>
    <row r="493" spans="1:65" ht="15" customHeight="1">
      <c r="A493" s="383">
        <f>'Portefeuille SP2'!B518</f>
        <v>0</v>
      </c>
      <c r="B493" s="390">
        <f>'Portefeuille SP2'!Q518</f>
        <v>0</v>
      </c>
      <c r="C493" s="384"/>
      <c r="D493" s="382">
        <f>'Portefeuille SP2'!E518</f>
        <v>0</v>
      </c>
      <c r="E493" s="382" t="str">
        <f t="shared" si="35"/>
        <v>0</v>
      </c>
      <c r="F493" s="382" t="str">
        <f t="shared" si="36"/>
        <v/>
      </c>
      <c r="G493" s="382">
        <f>'Portefeuille SP2'!C518</f>
        <v>0</v>
      </c>
      <c r="H493" s="382">
        <f>'Portefeuille SP2'!F518</f>
        <v>0</v>
      </c>
      <c r="I493" s="382"/>
      <c r="J493" s="382">
        <f>'Portefeuille SP2'!D518</f>
        <v>0</v>
      </c>
      <c r="K493" s="385">
        <f>'Portefeuille SP2'!H518</f>
        <v>0</v>
      </c>
      <c r="L493" s="157">
        <f>'Portefeuille SP2'!U518</f>
        <v>0</v>
      </c>
      <c r="M493" s="386"/>
      <c r="N493" s="386"/>
      <c r="O493" s="386"/>
      <c r="P493" s="387">
        <f>'Portefeuille SP2'!M518</f>
        <v>0</v>
      </c>
      <c r="Q493" s="387"/>
      <c r="R493" s="387">
        <f>'Portefeuille SP2'!N518</f>
        <v>0</v>
      </c>
      <c r="S493" s="387"/>
      <c r="T493" s="382">
        <f>'Portefeuille SP2'!R518</f>
        <v>0</v>
      </c>
      <c r="U493" s="387">
        <f>'Portefeuille SP2'!K518</f>
        <v>0</v>
      </c>
      <c r="V493" s="399">
        <f>'Portefeuille SP2'!S518</f>
        <v>0</v>
      </c>
      <c r="W493" s="387"/>
      <c r="X493" s="387"/>
      <c r="Y493" s="387"/>
      <c r="Z493" s="387"/>
      <c r="AA493" s="387"/>
      <c r="AB493" s="387"/>
      <c r="AC493" s="387"/>
      <c r="AD493" s="387"/>
      <c r="AE493" s="400">
        <f>'Portefeuille SP2'!J518</f>
        <v>0</v>
      </c>
      <c r="AF493" s="387"/>
      <c r="AG493" s="387"/>
      <c r="AH493" s="389"/>
      <c r="AI493" s="389"/>
      <c r="AJ493" s="403">
        <f>'Portefeuille SP2'!V518</f>
        <v>0</v>
      </c>
      <c r="AK493" s="403">
        <f>'Portefeuille SP2'!W518</f>
        <v>0</v>
      </c>
      <c r="AL493" s="403">
        <f>'Portefeuille SP2'!X518</f>
        <v>0</v>
      </c>
      <c r="AM493" s="403">
        <f>'Portefeuille SP2'!Y518</f>
        <v>0</v>
      </c>
      <c r="AN493" s="403">
        <f>'Portefeuille SP2'!Z518</f>
        <v>0</v>
      </c>
      <c r="AO493" s="403">
        <f>'Portefeuille SP2'!AA518</f>
        <v>0</v>
      </c>
      <c r="AP493" s="403">
        <f>'Portefeuille SP2'!AB518</f>
        <v>0</v>
      </c>
      <c r="AQ493" s="403">
        <f>'Portefeuille SP2'!AC518</f>
        <v>0</v>
      </c>
      <c r="AR493" s="403">
        <f>'Portefeuille SP2'!AD518</f>
        <v>0</v>
      </c>
      <c r="AS493" s="403">
        <f>'Portefeuille SP2'!AE518</f>
        <v>0</v>
      </c>
      <c r="AT493" s="403">
        <f>'Portefeuille SP2'!AF518</f>
        <v>0</v>
      </c>
      <c r="AU493" s="403">
        <f>'Portefeuille SP2'!AG518</f>
        <v>0</v>
      </c>
      <c r="AV493" s="403">
        <f>'Portefeuille SP2'!AH518</f>
        <v>0</v>
      </c>
      <c r="AW493" s="403">
        <f>'Portefeuille SP2'!AI518</f>
        <v>0</v>
      </c>
      <c r="AX493" s="403">
        <f>'Portefeuille SP2'!AJ518</f>
        <v>0</v>
      </c>
      <c r="AY493" s="403">
        <f>'Portefeuille SP2'!AK518</f>
        <v>0</v>
      </c>
      <c r="AZ493" s="403">
        <f>'Portefeuille SP2'!AL518</f>
        <v>0</v>
      </c>
      <c r="BA493" s="403">
        <f>'Portefeuille SP2'!AM518</f>
        <v>0</v>
      </c>
      <c r="BB493" s="403">
        <f>'Portefeuille SP2'!AN518</f>
        <v>0</v>
      </c>
      <c r="BC493" s="403">
        <f>'Portefeuille SP2'!AO518</f>
        <v>0</v>
      </c>
      <c r="BD493" s="403">
        <f>'Portefeuille SP2'!AP518</f>
        <v>0</v>
      </c>
      <c r="BE493" s="403">
        <f>'Portefeuille SP2'!AQ518</f>
        <v>0</v>
      </c>
      <c r="BF493" s="403">
        <f>'Portefeuille SP2'!AR518</f>
        <v>0</v>
      </c>
      <c r="BG493" s="403" t="e">
        <f>'Portefeuille SP2'!#REF!</f>
        <v>#REF!</v>
      </c>
      <c r="BH493" s="403" t="e">
        <f>'Portefeuille SP2'!#REF!</f>
        <v>#REF!</v>
      </c>
      <c r="BI493" s="403" t="e">
        <f>'Portefeuille SP2'!#REF!</f>
        <v>#REF!</v>
      </c>
      <c r="BJ493" s="403" t="e">
        <f>'Portefeuille SP2'!#REF!</f>
        <v>#REF!</v>
      </c>
      <c r="BK493" s="403" t="e">
        <f>'Portefeuille SP2'!#REF!</f>
        <v>#REF!</v>
      </c>
      <c r="BL493" s="388"/>
      <c r="BM493" s="404">
        <f>'Portefeuille SP2'!L518</f>
        <v>0</v>
      </c>
    </row>
    <row r="494" spans="1:65" ht="15" customHeight="1">
      <c r="A494" s="383">
        <f>'Portefeuille SP2'!B519</f>
        <v>0</v>
      </c>
      <c r="B494" s="390">
        <f>'Portefeuille SP2'!Q519</f>
        <v>0</v>
      </c>
      <c r="C494" s="384"/>
      <c r="D494" s="382">
        <f>'Portefeuille SP2'!E519</f>
        <v>0</v>
      </c>
      <c r="E494" s="382" t="str">
        <f t="shared" si="35"/>
        <v>0</v>
      </c>
      <c r="F494" s="382" t="str">
        <f t="shared" si="36"/>
        <v/>
      </c>
      <c r="G494" s="382">
        <f>'Portefeuille SP2'!C519</f>
        <v>0</v>
      </c>
      <c r="H494" s="382">
        <f>'Portefeuille SP2'!F519</f>
        <v>0</v>
      </c>
      <c r="I494" s="382"/>
      <c r="J494" s="382">
        <f>'Portefeuille SP2'!D519</f>
        <v>0</v>
      </c>
      <c r="K494" s="385">
        <f>'Portefeuille SP2'!H519</f>
        <v>0</v>
      </c>
      <c r="L494" s="157">
        <f>'Portefeuille SP2'!U519</f>
        <v>0</v>
      </c>
      <c r="M494" s="386"/>
      <c r="N494" s="386"/>
      <c r="O494" s="386"/>
      <c r="P494" s="387">
        <f>'Portefeuille SP2'!M519</f>
        <v>0</v>
      </c>
      <c r="Q494" s="387"/>
      <c r="R494" s="387">
        <f>'Portefeuille SP2'!N519</f>
        <v>0</v>
      </c>
      <c r="S494" s="387"/>
      <c r="T494" s="382">
        <f>'Portefeuille SP2'!R519</f>
        <v>0</v>
      </c>
      <c r="U494" s="387">
        <f>'Portefeuille SP2'!K519</f>
        <v>0</v>
      </c>
      <c r="V494" s="399">
        <f>'Portefeuille SP2'!S519</f>
        <v>0</v>
      </c>
      <c r="W494" s="387"/>
      <c r="X494" s="387"/>
      <c r="Y494" s="387"/>
      <c r="Z494" s="387"/>
      <c r="AA494" s="387"/>
      <c r="AB494" s="387"/>
      <c r="AC494" s="387"/>
      <c r="AD494" s="387"/>
      <c r="AE494" s="400">
        <f>'Portefeuille SP2'!J519</f>
        <v>0</v>
      </c>
      <c r="AF494" s="387"/>
      <c r="AG494" s="387"/>
      <c r="AH494" s="389"/>
      <c r="AI494" s="389"/>
      <c r="AJ494" s="403">
        <f>'Portefeuille SP2'!V519</f>
        <v>0</v>
      </c>
      <c r="AK494" s="403">
        <f>'Portefeuille SP2'!W519</f>
        <v>0</v>
      </c>
      <c r="AL494" s="403">
        <f>'Portefeuille SP2'!X519</f>
        <v>0</v>
      </c>
      <c r="AM494" s="403">
        <f>'Portefeuille SP2'!Y519</f>
        <v>0</v>
      </c>
      <c r="AN494" s="403">
        <f>'Portefeuille SP2'!Z519</f>
        <v>0</v>
      </c>
      <c r="AO494" s="403">
        <f>'Portefeuille SP2'!AA519</f>
        <v>0</v>
      </c>
      <c r="AP494" s="403">
        <f>'Portefeuille SP2'!AB519</f>
        <v>0</v>
      </c>
      <c r="AQ494" s="403">
        <f>'Portefeuille SP2'!AC519</f>
        <v>0</v>
      </c>
      <c r="AR494" s="403">
        <f>'Portefeuille SP2'!AD519</f>
        <v>0</v>
      </c>
      <c r="AS494" s="403">
        <f>'Portefeuille SP2'!AE519</f>
        <v>0</v>
      </c>
      <c r="AT494" s="403">
        <f>'Portefeuille SP2'!AF519</f>
        <v>0</v>
      </c>
      <c r="AU494" s="403">
        <f>'Portefeuille SP2'!AG519</f>
        <v>0</v>
      </c>
      <c r="AV494" s="403">
        <f>'Portefeuille SP2'!AH519</f>
        <v>0</v>
      </c>
      <c r="AW494" s="403">
        <f>'Portefeuille SP2'!AI519</f>
        <v>0</v>
      </c>
      <c r="AX494" s="403">
        <f>'Portefeuille SP2'!AJ519</f>
        <v>0</v>
      </c>
      <c r="AY494" s="403">
        <f>'Portefeuille SP2'!AK519</f>
        <v>0</v>
      </c>
      <c r="AZ494" s="403">
        <f>'Portefeuille SP2'!AL519</f>
        <v>0</v>
      </c>
      <c r="BA494" s="403">
        <f>'Portefeuille SP2'!AM519</f>
        <v>0</v>
      </c>
      <c r="BB494" s="403">
        <f>'Portefeuille SP2'!AN519</f>
        <v>0</v>
      </c>
      <c r="BC494" s="403">
        <f>'Portefeuille SP2'!AO519</f>
        <v>0</v>
      </c>
      <c r="BD494" s="403">
        <f>'Portefeuille SP2'!AP519</f>
        <v>0</v>
      </c>
      <c r="BE494" s="403">
        <f>'Portefeuille SP2'!AQ519</f>
        <v>0</v>
      </c>
      <c r="BF494" s="403">
        <f>'Portefeuille SP2'!AR519</f>
        <v>0</v>
      </c>
      <c r="BG494" s="403" t="e">
        <f>'Portefeuille SP2'!#REF!</f>
        <v>#REF!</v>
      </c>
      <c r="BH494" s="403" t="e">
        <f>'Portefeuille SP2'!#REF!</f>
        <v>#REF!</v>
      </c>
      <c r="BI494" s="403" t="e">
        <f>'Portefeuille SP2'!#REF!</f>
        <v>#REF!</v>
      </c>
      <c r="BJ494" s="403" t="e">
        <f>'Portefeuille SP2'!#REF!</f>
        <v>#REF!</v>
      </c>
      <c r="BK494" s="403" t="e">
        <f>'Portefeuille SP2'!#REF!</f>
        <v>#REF!</v>
      </c>
      <c r="BL494" s="388"/>
      <c r="BM494" s="404">
        <f>'Portefeuille SP2'!L519</f>
        <v>0</v>
      </c>
    </row>
    <row r="495" spans="1:65" ht="15" customHeight="1">
      <c r="A495" s="383">
        <f>'Portefeuille SP2'!B520</f>
        <v>0</v>
      </c>
      <c r="B495" s="390">
        <f>'Portefeuille SP2'!Q520</f>
        <v>0</v>
      </c>
      <c r="C495" s="384"/>
      <c r="D495" s="382">
        <f>'Portefeuille SP2'!E520</f>
        <v>0</v>
      </c>
      <c r="E495" s="382" t="str">
        <f t="shared" si="35"/>
        <v>0</v>
      </c>
      <c r="F495" s="382" t="str">
        <f t="shared" si="36"/>
        <v/>
      </c>
      <c r="G495" s="382">
        <f>'Portefeuille SP2'!C520</f>
        <v>0</v>
      </c>
      <c r="H495" s="382">
        <f>'Portefeuille SP2'!F520</f>
        <v>0</v>
      </c>
      <c r="I495" s="382"/>
      <c r="J495" s="382">
        <f>'Portefeuille SP2'!D520</f>
        <v>0</v>
      </c>
      <c r="K495" s="385">
        <f>'Portefeuille SP2'!H520</f>
        <v>0</v>
      </c>
      <c r="L495" s="157">
        <f>'Portefeuille SP2'!U520</f>
        <v>0</v>
      </c>
      <c r="M495" s="386"/>
      <c r="N495" s="386"/>
      <c r="O495" s="386"/>
      <c r="P495" s="387">
        <f>'Portefeuille SP2'!M520</f>
        <v>0</v>
      </c>
      <c r="Q495" s="387"/>
      <c r="R495" s="387">
        <f>'Portefeuille SP2'!N520</f>
        <v>0</v>
      </c>
      <c r="S495" s="387"/>
      <c r="T495" s="382">
        <f>'Portefeuille SP2'!R520</f>
        <v>0</v>
      </c>
      <c r="U495" s="387">
        <f>'Portefeuille SP2'!K520</f>
        <v>0</v>
      </c>
      <c r="V495" s="399">
        <f>'Portefeuille SP2'!S520</f>
        <v>0</v>
      </c>
      <c r="W495" s="387"/>
      <c r="X495" s="387"/>
      <c r="Y495" s="387"/>
      <c r="Z495" s="387"/>
      <c r="AA495" s="387"/>
      <c r="AB495" s="387"/>
      <c r="AC495" s="387"/>
      <c r="AD495" s="387"/>
      <c r="AE495" s="400">
        <f>'Portefeuille SP2'!J520</f>
        <v>0</v>
      </c>
      <c r="AF495" s="387"/>
      <c r="AG495" s="387"/>
      <c r="AH495" s="389"/>
      <c r="AI495" s="389"/>
      <c r="AJ495" s="403">
        <f>'Portefeuille SP2'!V520</f>
        <v>0</v>
      </c>
      <c r="AK495" s="403">
        <f>'Portefeuille SP2'!W520</f>
        <v>0</v>
      </c>
      <c r="AL495" s="403">
        <f>'Portefeuille SP2'!X520</f>
        <v>0</v>
      </c>
      <c r="AM495" s="403">
        <f>'Portefeuille SP2'!Y520</f>
        <v>0</v>
      </c>
      <c r="AN495" s="403">
        <f>'Portefeuille SP2'!Z520</f>
        <v>0</v>
      </c>
      <c r="AO495" s="403">
        <f>'Portefeuille SP2'!AA520</f>
        <v>0</v>
      </c>
      <c r="AP495" s="403">
        <f>'Portefeuille SP2'!AB520</f>
        <v>0</v>
      </c>
      <c r="AQ495" s="403">
        <f>'Portefeuille SP2'!AC520</f>
        <v>0</v>
      </c>
      <c r="AR495" s="403">
        <f>'Portefeuille SP2'!AD520</f>
        <v>0</v>
      </c>
      <c r="AS495" s="403">
        <f>'Portefeuille SP2'!AE520</f>
        <v>0</v>
      </c>
      <c r="AT495" s="403">
        <f>'Portefeuille SP2'!AF520</f>
        <v>0</v>
      </c>
      <c r="AU495" s="403">
        <f>'Portefeuille SP2'!AG520</f>
        <v>0</v>
      </c>
      <c r="AV495" s="403">
        <f>'Portefeuille SP2'!AH520</f>
        <v>0</v>
      </c>
      <c r="AW495" s="403">
        <f>'Portefeuille SP2'!AI520</f>
        <v>0</v>
      </c>
      <c r="AX495" s="403">
        <f>'Portefeuille SP2'!AJ520</f>
        <v>0</v>
      </c>
      <c r="AY495" s="403">
        <f>'Portefeuille SP2'!AK520</f>
        <v>0</v>
      </c>
      <c r="AZ495" s="403">
        <f>'Portefeuille SP2'!AL520</f>
        <v>0</v>
      </c>
      <c r="BA495" s="403">
        <f>'Portefeuille SP2'!AM520</f>
        <v>0</v>
      </c>
      <c r="BB495" s="403">
        <f>'Portefeuille SP2'!AN520</f>
        <v>0</v>
      </c>
      <c r="BC495" s="403">
        <f>'Portefeuille SP2'!AO520</f>
        <v>0</v>
      </c>
      <c r="BD495" s="403">
        <f>'Portefeuille SP2'!AP520</f>
        <v>0</v>
      </c>
      <c r="BE495" s="403">
        <f>'Portefeuille SP2'!AQ520</f>
        <v>0</v>
      </c>
      <c r="BF495" s="403">
        <f>'Portefeuille SP2'!AR520</f>
        <v>0</v>
      </c>
      <c r="BG495" s="403" t="e">
        <f>'Portefeuille SP2'!#REF!</f>
        <v>#REF!</v>
      </c>
      <c r="BH495" s="403" t="e">
        <f>'Portefeuille SP2'!#REF!</f>
        <v>#REF!</v>
      </c>
      <c r="BI495" s="403" t="e">
        <f>'Portefeuille SP2'!#REF!</f>
        <v>#REF!</v>
      </c>
      <c r="BJ495" s="403" t="e">
        <f>'Portefeuille SP2'!#REF!</f>
        <v>#REF!</v>
      </c>
      <c r="BK495" s="403" t="e">
        <f>'Portefeuille SP2'!#REF!</f>
        <v>#REF!</v>
      </c>
      <c r="BL495" s="388"/>
      <c r="BM495" s="404">
        <f>'Portefeuille SP2'!L520</f>
        <v>0</v>
      </c>
    </row>
    <row r="496" spans="1:65" ht="15" customHeight="1">
      <c r="A496" s="383">
        <f>'Portefeuille SP2'!B521</f>
        <v>0</v>
      </c>
      <c r="B496" s="390">
        <f>'Portefeuille SP2'!Q521</f>
        <v>0</v>
      </c>
      <c r="C496" s="384"/>
      <c r="D496" s="382">
        <f>'Portefeuille SP2'!E521</f>
        <v>0</v>
      </c>
      <c r="E496" s="382" t="str">
        <f t="shared" si="35"/>
        <v>0</v>
      </c>
      <c r="F496" s="382" t="str">
        <f t="shared" si="36"/>
        <v/>
      </c>
      <c r="G496" s="382">
        <f>'Portefeuille SP2'!C521</f>
        <v>0</v>
      </c>
      <c r="H496" s="382">
        <f>'Portefeuille SP2'!F521</f>
        <v>0</v>
      </c>
      <c r="I496" s="382"/>
      <c r="J496" s="382">
        <f>'Portefeuille SP2'!D521</f>
        <v>0</v>
      </c>
      <c r="K496" s="385">
        <f>'Portefeuille SP2'!H521</f>
        <v>0</v>
      </c>
      <c r="L496" s="157">
        <f>'Portefeuille SP2'!U521</f>
        <v>0</v>
      </c>
      <c r="M496" s="386"/>
      <c r="N496" s="386"/>
      <c r="O496" s="386"/>
      <c r="P496" s="387">
        <f>'Portefeuille SP2'!M521</f>
        <v>0</v>
      </c>
      <c r="Q496" s="387"/>
      <c r="R496" s="387">
        <f>'Portefeuille SP2'!N521</f>
        <v>0</v>
      </c>
      <c r="S496" s="387"/>
      <c r="T496" s="382">
        <f>'Portefeuille SP2'!R521</f>
        <v>0</v>
      </c>
      <c r="U496" s="387">
        <f>'Portefeuille SP2'!K521</f>
        <v>0</v>
      </c>
      <c r="V496" s="399">
        <f>'Portefeuille SP2'!S521</f>
        <v>0</v>
      </c>
      <c r="W496" s="387"/>
      <c r="X496" s="387"/>
      <c r="Y496" s="387"/>
      <c r="Z496" s="387"/>
      <c r="AA496" s="387"/>
      <c r="AB496" s="387"/>
      <c r="AC496" s="387"/>
      <c r="AD496" s="387"/>
      <c r="AE496" s="400">
        <f>'Portefeuille SP2'!J521</f>
        <v>0</v>
      </c>
      <c r="AF496" s="387"/>
      <c r="AG496" s="387"/>
      <c r="AH496" s="389"/>
      <c r="AI496" s="389"/>
      <c r="AJ496" s="403">
        <f>'Portefeuille SP2'!V521</f>
        <v>0</v>
      </c>
      <c r="AK496" s="403">
        <f>'Portefeuille SP2'!W521</f>
        <v>0</v>
      </c>
      <c r="AL496" s="403">
        <f>'Portefeuille SP2'!X521</f>
        <v>0</v>
      </c>
      <c r="AM496" s="403">
        <f>'Portefeuille SP2'!Y521</f>
        <v>0</v>
      </c>
      <c r="AN496" s="403">
        <f>'Portefeuille SP2'!Z521</f>
        <v>0</v>
      </c>
      <c r="AO496" s="403">
        <f>'Portefeuille SP2'!AA521</f>
        <v>0</v>
      </c>
      <c r="AP496" s="403">
        <f>'Portefeuille SP2'!AB521</f>
        <v>0</v>
      </c>
      <c r="AQ496" s="403">
        <f>'Portefeuille SP2'!AC521</f>
        <v>0</v>
      </c>
      <c r="AR496" s="403">
        <f>'Portefeuille SP2'!AD521</f>
        <v>0</v>
      </c>
      <c r="AS496" s="403">
        <f>'Portefeuille SP2'!AE521</f>
        <v>0</v>
      </c>
      <c r="AT496" s="403">
        <f>'Portefeuille SP2'!AF521</f>
        <v>0</v>
      </c>
      <c r="AU496" s="403">
        <f>'Portefeuille SP2'!AG521</f>
        <v>0</v>
      </c>
      <c r="AV496" s="403">
        <f>'Portefeuille SP2'!AH521</f>
        <v>0</v>
      </c>
      <c r="AW496" s="403">
        <f>'Portefeuille SP2'!AI521</f>
        <v>0</v>
      </c>
      <c r="AX496" s="403">
        <f>'Portefeuille SP2'!AJ521</f>
        <v>0</v>
      </c>
      <c r="AY496" s="403">
        <f>'Portefeuille SP2'!AK521</f>
        <v>0</v>
      </c>
      <c r="AZ496" s="403">
        <f>'Portefeuille SP2'!AL521</f>
        <v>0</v>
      </c>
      <c r="BA496" s="403">
        <f>'Portefeuille SP2'!AM521</f>
        <v>0</v>
      </c>
      <c r="BB496" s="403">
        <f>'Portefeuille SP2'!AN521</f>
        <v>0</v>
      </c>
      <c r="BC496" s="403">
        <f>'Portefeuille SP2'!AO521</f>
        <v>0</v>
      </c>
      <c r="BD496" s="403">
        <f>'Portefeuille SP2'!AP521</f>
        <v>0</v>
      </c>
      <c r="BE496" s="403">
        <f>'Portefeuille SP2'!AQ521</f>
        <v>0</v>
      </c>
      <c r="BF496" s="403">
        <f>'Portefeuille SP2'!AR521</f>
        <v>0</v>
      </c>
      <c r="BG496" s="403" t="e">
        <f>'Portefeuille SP2'!#REF!</f>
        <v>#REF!</v>
      </c>
      <c r="BH496" s="403" t="e">
        <f>'Portefeuille SP2'!#REF!</f>
        <v>#REF!</v>
      </c>
      <c r="BI496" s="403" t="e">
        <f>'Portefeuille SP2'!#REF!</f>
        <v>#REF!</v>
      </c>
      <c r="BJ496" s="403" t="e">
        <f>'Portefeuille SP2'!#REF!</f>
        <v>#REF!</v>
      </c>
      <c r="BK496" s="403" t="e">
        <f>'Portefeuille SP2'!#REF!</f>
        <v>#REF!</v>
      </c>
      <c r="BL496" s="388"/>
      <c r="BM496" s="404">
        <f>'Portefeuille SP2'!L521</f>
        <v>0</v>
      </c>
    </row>
    <row r="497" spans="1:65" ht="15" customHeight="1">
      <c r="A497" s="383">
        <f>'Portefeuille SP2'!B522</f>
        <v>0</v>
      </c>
      <c r="B497" s="390">
        <f>'Portefeuille SP2'!Q522</f>
        <v>0</v>
      </c>
      <c r="C497" s="384"/>
      <c r="D497" s="382">
        <f>'Portefeuille SP2'!E522</f>
        <v>0</v>
      </c>
      <c r="E497" s="382" t="str">
        <f t="shared" si="35"/>
        <v>0</v>
      </c>
      <c r="F497" s="382" t="str">
        <f t="shared" si="36"/>
        <v/>
      </c>
      <c r="G497" s="382">
        <f>'Portefeuille SP2'!C522</f>
        <v>0</v>
      </c>
      <c r="H497" s="382">
        <f>'Portefeuille SP2'!F522</f>
        <v>0</v>
      </c>
      <c r="I497" s="382"/>
      <c r="J497" s="382">
        <f>'Portefeuille SP2'!D522</f>
        <v>0</v>
      </c>
      <c r="K497" s="385">
        <f>'Portefeuille SP2'!H522</f>
        <v>0</v>
      </c>
      <c r="L497" s="157">
        <f>'Portefeuille SP2'!U522</f>
        <v>0</v>
      </c>
      <c r="M497" s="386"/>
      <c r="N497" s="386"/>
      <c r="O497" s="386"/>
      <c r="P497" s="387">
        <f>'Portefeuille SP2'!M522</f>
        <v>0</v>
      </c>
      <c r="Q497" s="387"/>
      <c r="R497" s="387">
        <f>'Portefeuille SP2'!N522</f>
        <v>0</v>
      </c>
      <c r="S497" s="387"/>
      <c r="T497" s="382">
        <f>'Portefeuille SP2'!R522</f>
        <v>0</v>
      </c>
      <c r="U497" s="387">
        <f>'Portefeuille SP2'!K522</f>
        <v>0</v>
      </c>
      <c r="V497" s="399">
        <f>'Portefeuille SP2'!S522</f>
        <v>0</v>
      </c>
      <c r="W497" s="387"/>
      <c r="X497" s="387"/>
      <c r="Y497" s="387"/>
      <c r="Z497" s="387"/>
      <c r="AA497" s="387"/>
      <c r="AB497" s="387"/>
      <c r="AC497" s="387"/>
      <c r="AD497" s="387"/>
      <c r="AE497" s="400">
        <f>'Portefeuille SP2'!J522</f>
        <v>0</v>
      </c>
      <c r="AF497" s="387"/>
      <c r="AG497" s="387"/>
      <c r="AH497" s="389"/>
      <c r="AI497" s="389"/>
      <c r="AJ497" s="403">
        <f>'Portefeuille SP2'!V522</f>
        <v>0</v>
      </c>
      <c r="AK497" s="403">
        <f>'Portefeuille SP2'!W522</f>
        <v>0</v>
      </c>
      <c r="AL497" s="403">
        <f>'Portefeuille SP2'!X522</f>
        <v>0</v>
      </c>
      <c r="AM497" s="403">
        <f>'Portefeuille SP2'!Y522</f>
        <v>0</v>
      </c>
      <c r="AN497" s="403">
        <f>'Portefeuille SP2'!Z522</f>
        <v>0</v>
      </c>
      <c r="AO497" s="403">
        <f>'Portefeuille SP2'!AA522</f>
        <v>0</v>
      </c>
      <c r="AP497" s="403">
        <f>'Portefeuille SP2'!AB522</f>
        <v>0</v>
      </c>
      <c r="AQ497" s="403">
        <f>'Portefeuille SP2'!AC522</f>
        <v>0</v>
      </c>
      <c r="AR497" s="403">
        <f>'Portefeuille SP2'!AD522</f>
        <v>0</v>
      </c>
      <c r="AS497" s="403">
        <f>'Portefeuille SP2'!AE522</f>
        <v>0</v>
      </c>
      <c r="AT497" s="403">
        <f>'Portefeuille SP2'!AF522</f>
        <v>0</v>
      </c>
      <c r="AU497" s="403">
        <f>'Portefeuille SP2'!AG522</f>
        <v>0</v>
      </c>
      <c r="AV497" s="403">
        <f>'Portefeuille SP2'!AH522</f>
        <v>0</v>
      </c>
      <c r="AW497" s="403">
        <f>'Portefeuille SP2'!AI522</f>
        <v>0</v>
      </c>
      <c r="AX497" s="403">
        <f>'Portefeuille SP2'!AJ522</f>
        <v>0</v>
      </c>
      <c r="AY497" s="403">
        <f>'Portefeuille SP2'!AK522</f>
        <v>0</v>
      </c>
      <c r="AZ497" s="403">
        <f>'Portefeuille SP2'!AL522</f>
        <v>0</v>
      </c>
      <c r="BA497" s="403">
        <f>'Portefeuille SP2'!AM522</f>
        <v>0</v>
      </c>
      <c r="BB497" s="403">
        <f>'Portefeuille SP2'!AN522</f>
        <v>0</v>
      </c>
      <c r="BC497" s="403">
        <f>'Portefeuille SP2'!AO522</f>
        <v>0</v>
      </c>
      <c r="BD497" s="403">
        <f>'Portefeuille SP2'!AP522</f>
        <v>0</v>
      </c>
      <c r="BE497" s="403">
        <f>'Portefeuille SP2'!AQ522</f>
        <v>0</v>
      </c>
      <c r="BF497" s="403">
        <f>'Portefeuille SP2'!AR522</f>
        <v>0</v>
      </c>
      <c r="BG497" s="403" t="e">
        <f>'Portefeuille SP2'!#REF!</f>
        <v>#REF!</v>
      </c>
      <c r="BH497" s="403" t="e">
        <f>'Portefeuille SP2'!#REF!</f>
        <v>#REF!</v>
      </c>
      <c r="BI497" s="403" t="e">
        <f>'Portefeuille SP2'!#REF!</f>
        <v>#REF!</v>
      </c>
      <c r="BJ497" s="403" t="e">
        <f>'Portefeuille SP2'!#REF!</f>
        <v>#REF!</v>
      </c>
      <c r="BK497" s="403" t="e">
        <f>'Portefeuille SP2'!#REF!</f>
        <v>#REF!</v>
      </c>
      <c r="BL497" s="388"/>
      <c r="BM497" s="404">
        <f>'Portefeuille SP2'!L522</f>
        <v>0</v>
      </c>
    </row>
    <row r="498" spans="1:65" ht="15" customHeight="1">
      <c r="A498" s="383">
        <f>'Portefeuille SP2'!B523</f>
        <v>0</v>
      </c>
      <c r="B498" s="390">
        <f>'Portefeuille SP2'!Q523</f>
        <v>0</v>
      </c>
      <c r="C498" s="384"/>
      <c r="D498" s="382">
        <f>'Portefeuille SP2'!E523</f>
        <v>0</v>
      </c>
      <c r="E498" s="382" t="str">
        <f t="shared" si="35"/>
        <v>0</v>
      </c>
      <c r="F498" s="382" t="str">
        <f t="shared" si="36"/>
        <v/>
      </c>
      <c r="G498" s="382">
        <f>'Portefeuille SP2'!C523</f>
        <v>0</v>
      </c>
      <c r="H498" s="382">
        <f>'Portefeuille SP2'!F523</f>
        <v>0</v>
      </c>
      <c r="I498" s="382"/>
      <c r="J498" s="382">
        <f>'Portefeuille SP2'!D523</f>
        <v>0</v>
      </c>
      <c r="K498" s="385">
        <f>'Portefeuille SP2'!H523</f>
        <v>0</v>
      </c>
      <c r="L498" s="157">
        <f>'Portefeuille SP2'!U523</f>
        <v>0</v>
      </c>
      <c r="M498" s="386"/>
      <c r="N498" s="386"/>
      <c r="O498" s="386"/>
      <c r="P498" s="387">
        <f>'Portefeuille SP2'!M523</f>
        <v>0</v>
      </c>
      <c r="Q498" s="387"/>
      <c r="R498" s="387">
        <f>'Portefeuille SP2'!N523</f>
        <v>0</v>
      </c>
      <c r="S498" s="387"/>
      <c r="T498" s="382">
        <f>'Portefeuille SP2'!R523</f>
        <v>0</v>
      </c>
      <c r="U498" s="387">
        <f>'Portefeuille SP2'!K523</f>
        <v>0</v>
      </c>
      <c r="V498" s="399">
        <f>'Portefeuille SP2'!S523</f>
        <v>0</v>
      </c>
      <c r="W498" s="387"/>
      <c r="X498" s="387"/>
      <c r="Y498" s="387"/>
      <c r="Z498" s="387"/>
      <c r="AA498" s="387"/>
      <c r="AB498" s="387"/>
      <c r="AC498" s="387"/>
      <c r="AD498" s="387"/>
      <c r="AE498" s="400">
        <f>'Portefeuille SP2'!J523</f>
        <v>0</v>
      </c>
      <c r="AF498" s="387"/>
      <c r="AG498" s="387"/>
      <c r="AH498" s="389"/>
      <c r="AI498" s="389"/>
      <c r="AJ498" s="403">
        <f>'Portefeuille SP2'!V523</f>
        <v>0</v>
      </c>
      <c r="AK498" s="403">
        <f>'Portefeuille SP2'!W523</f>
        <v>0</v>
      </c>
      <c r="AL498" s="403">
        <f>'Portefeuille SP2'!X523</f>
        <v>0</v>
      </c>
      <c r="AM498" s="403">
        <f>'Portefeuille SP2'!Y523</f>
        <v>0</v>
      </c>
      <c r="AN498" s="403">
        <f>'Portefeuille SP2'!Z523</f>
        <v>0</v>
      </c>
      <c r="AO498" s="403">
        <f>'Portefeuille SP2'!AA523</f>
        <v>0</v>
      </c>
      <c r="AP498" s="403">
        <f>'Portefeuille SP2'!AB523</f>
        <v>0</v>
      </c>
      <c r="AQ498" s="403">
        <f>'Portefeuille SP2'!AC523</f>
        <v>0</v>
      </c>
      <c r="AR498" s="403">
        <f>'Portefeuille SP2'!AD523</f>
        <v>0</v>
      </c>
      <c r="AS498" s="403">
        <f>'Portefeuille SP2'!AE523</f>
        <v>0</v>
      </c>
      <c r="AT498" s="403">
        <f>'Portefeuille SP2'!AF523</f>
        <v>0</v>
      </c>
      <c r="AU498" s="403">
        <f>'Portefeuille SP2'!AG523</f>
        <v>0</v>
      </c>
      <c r="AV498" s="403">
        <f>'Portefeuille SP2'!AH523</f>
        <v>0</v>
      </c>
      <c r="AW498" s="403">
        <f>'Portefeuille SP2'!AI523</f>
        <v>0</v>
      </c>
      <c r="AX498" s="403">
        <f>'Portefeuille SP2'!AJ523</f>
        <v>0</v>
      </c>
      <c r="AY498" s="403">
        <f>'Portefeuille SP2'!AK523</f>
        <v>0</v>
      </c>
      <c r="AZ498" s="403">
        <f>'Portefeuille SP2'!AL523</f>
        <v>0</v>
      </c>
      <c r="BA498" s="403">
        <f>'Portefeuille SP2'!AM523</f>
        <v>0</v>
      </c>
      <c r="BB498" s="403">
        <f>'Portefeuille SP2'!AN523</f>
        <v>0</v>
      </c>
      <c r="BC498" s="403">
        <f>'Portefeuille SP2'!AO523</f>
        <v>0</v>
      </c>
      <c r="BD498" s="403">
        <f>'Portefeuille SP2'!AP523</f>
        <v>0</v>
      </c>
      <c r="BE498" s="403">
        <f>'Portefeuille SP2'!AQ523</f>
        <v>0</v>
      </c>
      <c r="BF498" s="403">
        <f>'Portefeuille SP2'!AR523</f>
        <v>0</v>
      </c>
      <c r="BG498" s="403" t="e">
        <f>'Portefeuille SP2'!#REF!</f>
        <v>#REF!</v>
      </c>
      <c r="BH498" s="403" t="e">
        <f>'Portefeuille SP2'!#REF!</f>
        <v>#REF!</v>
      </c>
      <c r="BI498" s="403" t="e">
        <f>'Portefeuille SP2'!#REF!</f>
        <v>#REF!</v>
      </c>
      <c r="BJ498" s="403" t="e">
        <f>'Portefeuille SP2'!#REF!</f>
        <v>#REF!</v>
      </c>
      <c r="BK498" s="403" t="e">
        <f>'Portefeuille SP2'!#REF!</f>
        <v>#REF!</v>
      </c>
      <c r="BL498" s="388"/>
      <c r="BM498" s="404">
        <f>'Portefeuille SP2'!L523</f>
        <v>0</v>
      </c>
    </row>
    <row r="499" spans="1:65" ht="15" customHeight="1">
      <c r="A499" s="383">
        <f>'Portefeuille SP2'!B524</f>
        <v>0</v>
      </c>
      <c r="B499" s="390">
        <f>'Portefeuille SP2'!Q524</f>
        <v>0</v>
      </c>
      <c r="C499" s="384"/>
      <c r="D499" s="382">
        <f>'Portefeuille SP2'!E524</f>
        <v>0</v>
      </c>
      <c r="E499" s="382" t="str">
        <f t="shared" si="35"/>
        <v>0</v>
      </c>
      <c r="F499" s="382" t="str">
        <f t="shared" si="36"/>
        <v/>
      </c>
      <c r="G499" s="382">
        <f>'Portefeuille SP2'!C524</f>
        <v>0</v>
      </c>
      <c r="H499" s="382">
        <f>'Portefeuille SP2'!F524</f>
        <v>0</v>
      </c>
      <c r="I499" s="382"/>
      <c r="J499" s="382">
        <f>'Portefeuille SP2'!D524</f>
        <v>0</v>
      </c>
      <c r="K499" s="385">
        <f>'Portefeuille SP2'!H524</f>
        <v>0</v>
      </c>
      <c r="L499" s="157">
        <f>'Portefeuille SP2'!U524</f>
        <v>0</v>
      </c>
      <c r="M499" s="386"/>
      <c r="N499" s="386"/>
      <c r="O499" s="386"/>
      <c r="P499" s="387">
        <f>'Portefeuille SP2'!M524</f>
        <v>0</v>
      </c>
      <c r="Q499" s="387"/>
      <c r="R499" s="387">
        <f>'Portefeuille SP2'!N524</f>
        <v>0</v>
      </c>
      <c r="S499" s="387"/>
      <c r="T499" s="382">
        <f>'Portefeuille SP2'!R524</f>
        <v>0</v>
      </c>
      <c r="U499" s="387">
        <f>'Portefeuille SP2'!K524</f>
        <v>0</v>
      </c>
      <c r="V499" s="399">
        <f>'Portefeuille SP2'!S524</f>
        <v>0</v>
      </c>
      <c r="W499" s="387"/>
      <c r="X499" s="387"/>
      <c r="Y499" s="387"/>
      <c r="Z499" s="387"/>
      <c r="AA499" s="387"/>
      <c r="AB499" s="387"/>
      <c r="AC499" s="387"/>
      <c r="AD499" s="387"/>
      <c r="AE499" s="400">
        <f>'Portefeuille SP2'!J524</f>
        <v>0</v>
      </c>
      <c r="AF499" s="387"/>
      <c r="AG499" s="387"/>
      <c r="AH499" s="389"/>
      <c r="AI499" s="389"/>
      <c r="AJ499" s="403">
        <f>'Portefeuille SP2'!V524</f>
        <v>0</v>
      </c>
      <c r="AK499" s="403">
        <f>'Portefeuille SP2'!W524</f>
        <v>0</v>
      </c>
      <c r="AL499" s="403">
        <f>'Portefeuille SP2'!X524</f>
        <v>0</v>
      </c>
      <c r="AM499" s="403">
        <f>'Portefeuille SP2'!Y524</f>
        <v>0</v>
      </c>
      <c r="AN499" s="403">
        <f>'Portefeuille SP2'!Z524</f>
        <v>0</v>
      </c>
      <c r="AO499" s="403">
        <f>'Portefeuille SP2'!AA524</f>
        <v>0</v>
      </c>
      <c r="AP499" s="403">
        <f>'Portefeuille SP2'!AB524</f>
        <v>0</v>
      </c>
      <c r="AQ499" s="403">
        <f>'Portefeuille SP2'!AC524</f>
        <v>0</v>
      </c>
      <c r="AR499" s="403">
        <f>'Portefeuille SP2'!AD524</f>
        <v>0</v>
      </c>
      <c r="AS499" s="403">
        <f>'Portefeuille SP2'!AE524</f>
        <v>0</v>
      </c>
      <c r="AT499" s="403">
        <f>'Portefeuille SP2'!AF524</f>
        <v>0</v>
      </c>
      <c r="AU499" s="403">
        <f>'Portefeuille SP2'!AG524</f>
        <v>0</v>
      </c>
      <c r="AV499" s="403">
        <f>'Portefeuille SP2'!AH524</f>
        <v>0</v>
      </c>
      <c r="AW499" s="403">
        <f>'Portefeuille SP2'!AI524</f>
        <v>0</v>
      </c>
      <c r="AX499" s="403">
        <f>'Portefeuille SP2'!AJ524</f>
        <v>0</v>
      </c>
      <c r="AY499" s="403">
        <f>'Portefeuille SP2'!AK524</f>
        <v>0</v>
      </c>
      <c r="AZ499" s="403">
        <f>'Portefeuille SP2'!AL524</f>
        <v>0</v>
      </c>
      <c r="BA499" s="403">
        <f>'Portefeuille SP2'!AM524</f>
        <v>0</v>
      </c>
      <c r="BB499" s="403">
        <f>'Portefeuille SP2'!AN524</f>
        <v>0</v>
      </c>
      <c r="BC499" s="403">
        <f>'Portefeuille SP2'!AO524</f>
        <v>0</v>
      </c>
      <c r="BD499" s="403">
        <f>'Portefeuille SP2'!AP524</f>
        <v>0</v>
      </c>
      <c r="BE499" s="403">
        <f>'Portefeuille SP2'!AQ524</f>
        <v>0</v>
      </c>
      <c r="BF499" s="403">
        <f>'Portefeuille SP2'!AR524</f>
        <v>0</v>
      </c>
      <c r="BG499" s="403" t="e">
        <f>'Portefeuille SP2'!#REF!</f>
        <v>#REF!</v>
      </c>
      <c r="BH499" s="403" t="e">
        <f>'Portefeuille SP2'!#REF!</f>
        <v>#REF!</v>
      </c>
      <c r="BI499" s="403" t="e">
        <f>'Portefeuille SP2'!#REF!</f>
        <v>#REF!</v>
      </c>
      <c r="BJ499" s="403" t="e">
        <f>'Portefeuille SP2'!#REF!</f>
        <v>#REF!</v>
      </c>
      <c r="BK499" s="403" t="e">
        <f>'Portefeuille SP2'!#REF!</f>
        <v>#REF!</v>
      </c>
      <c r="BL499" s="388"/>
      <c r="BM499" s="404">
        <f>'Portefeuille SP2'!L524</f>
        <v>0</v>
      </c>
    </row>
    <row r="500" spans="1:65" ht="15" customHeight="1">
      <c r="A500" s="383">
        <f>'Portefeuille SP2'!B525</f>
        <v>0</v>
      </c>
      <c r="B500" s="390">
        <f>'Portefeuille SP2'!Q525</f>
        <v>0</v>
      </c>
      <c r="C500" s="384"/>
      <c r="D500" s="382">
        <f>'Portefeuille SP2'!E525</f>
        <v>0</v>
      </c>
      <c r="E500" s="382" t="str">
        <f t="shared" si="35"/>
        <v>0</v>
      </c>
      <c r="F500" s="382" t="str">
        <f t="shared" si="36"/>
        <v/>
      </c>
      <c r="G500" s="382">
        <f>'Portefeuille SP2'!C525</f>
        <v>0</v>
      </c>
      <c r="H500" s="382">
        <f>'Portefeuille SP2'!F525</f>
        <v>0</v>
      </c>
      <c r="I500" s="382"/>
      <c r="J500" s="382">
        <f>'Portefeuille SP2'!D525</f>
        <v>0</v>
      </c>
      <c r="K500" s="385">
        <f>'Portefeuille SP2'!H525</f>
        <v>0</v>
      </c>
      <c r="L500" s="157">
        <f>'Portefeuille SP2'!U525</f>
        <v>0</v>
      </c>
      <c r="M500" s="386"/>
      <c r="N500" s="386"/>
      <c r="O500" s="386"/>
      <c r="P500" s="387">
        <f>'Portefeuille SP2'!M525</f>
        <v>0</v>
      </c>
      <c r="Q500" s="387"/>
      <c r="R500" s="387">
        <f>'Portefeuille SP2'!N525</f>
        <v>0</v>
      </c>
      <c r="S500" s="387"/>
      <c r="T500" s="382">
        <f>'Portefeuille SP2'!R525</f>
        <v>0</v>
      </c>
      <c r="U500" s="387">
        <f>'Portefeuille SP2'!K525</f>
        <v>0</v>
      </c>
      <c r="V500" s="399">
        <f>'Portefeuille SP2'!S525</f>
        <v>0</v>
      </c>
      <c r="W500" s="387"/>
      <c r="X500" s="387"/>
      <c r="Y500" s="387"/>
      <c r="Z500" s="387"/>
      <c r="AA500" s="387"/>
      <c r="AB500" s="387"/>
      <c r="AC500" s="387"/>
      <c r="AD500" s="387"/>
      <c r="AE500" s="400">
        <f>'Portefeuille SP2'!J525</f>
        <v>0</v>
      </c>
      <c r="AF500" s="387"/>
      <c r="AG500" s="387"/>
      <c r="AH500" s="389"/>
      <c r="AI500" s="389"/>
      <c r="AJ500" s="403">
        <f>'Portefeuille SP2'!V525</f>
        <v>0</v>
      </c>
      <c r="AK500" s="403">
        <f>'Portefeuille SP2'!W525</f>
        <v>0</v>
      </c>
      <c r="AL500" s="403">
        <f>'Portefeuille SP2'!X525</f>
        <v>0</v>
      </c>
      <c r="AM500" s="403">
        <f>'Portefeuille SP2'!Y525</f>
        <v>0</v>
      </c>
      <c r="AN500" s="403">
        <f>'Portefeuille SP2'!Z525</f>
        <v>0</v>
      </c>
      <c r="AO500" s="403">
        <f>'Portefeuille SP2'!AA525</f>
        <v>0</v>
      </c>
      <c r="AP500" s="403">
        <f>'Portefeuille SP2'!AB525</f>
        <v>0</v>
      </c>
      <c r="AQ500" s="403">
        <f>'Portefeuille SP2'!AC525</f>
        <v>0</v>
      </c>
      <c r="AR500" s="403">
        <f>'Portefeuille SP2'!AD525</f>
        <v>0</v>
      </c>
      <c r="AS500" s="403">
        <f>'Portefeuille SP2'!AE525</f>
        <v>0</v>
      </c>
      <c r="AT500" s="403">
        <f>'Portefeuille SP2'!AF525</f>
        <v>0</v>
      </c>
      <c r="AU500" s="403">
        <f>'Portefeuille SP2'!AG525</f>
        <v>0</v>
      </c>
      <c r="AV500" s="403">
        <f>'Portefeuille SP2'!AH525</f>
        <v>0</v>
      </c>
      <c r="AW500" s="403">
        <f>'Portefeuille SP2'!AI525</f>
        <v>0</v>
      </c>
      <c r="AX500" s="403">
        <f>'Portefeuille SP2'!AJ525</f>
        <v>0</v>
      </c>
      <c r="AY500" s="403">
        <f>'Portefeuille SP2'!AK525</f>
        <v>0</v>
      </c>
      <c r="AZ500" s="403">
        <f>'Portefeuille SP2'!AL525</f>
        <v>0</v>
      </c>
      <c r="BA500" s="403">
        <f>'Portefeuille SP2'!AM525</f>
        <v>0</v>
      </c>
      <c r="BB500" s="403">
        <f>'Portefeuille SP2'!AN525</f>
        <v>0</v>
      </c>
      <c r="BC500" s="403">
        <f>'Portefeuille SP2'!AO525</f>
        <v>0</v>
      </c>
      <c r="BD500" s="403">
        <f>'Portefeuille SP2'!AP525</f>
        <v>0</v>
      </c>
      <c r="BE500" s="403">
        <f>'Portefeuille SP2'!AQ525</f>
        <v>0</v>
      </c>
      <c r="BF500" s="403">
        <f>'Portefeuille SP2'!AR525</f>
        <v>0</v>
      </c>
      <c r="BG500" s="403" t="e">
        <f>'Portefeuille SP2'!#REF!</f>
        <v>#REF!</v>
      </c>
      <c r="BH500" s="403" t="e">
        <f>'Portefeuille SP2'!#REF!</f>
        <v>#REF!</v>
      </c>
      <c r="BI500" s="403" t="e">
        <f>'Portefeuille SP2'!#REF!</f>
        <v>#REF!</v>
      </c>
      <c r="BJ500" s="403" t="e">
        <f>'Portefeuille SP2'!#REF!</f>
        <v>#REF!</v>
      </c>
      <c r="BK500" s="403" t="e">
        <f>'Portefeuille SP2'!#REF!</f>
        <v>#REF!</v>
      </c>
      <c r="BL500" s="388"/>
      <c r="BM500" s="404">
        <f>'Portefeuille SP2'!L525</f>
        <v>0</v>
      </c>
    </row>
    <row r="501" spans="1:65" ht="15" customHeight="1">
      <c r="A501" s="383">
        <f>'Portefeuille SP2'!B526</f>
        <v>0</v>
      </c>
      <c r="B501" s="390">
        <f>'Portefeuille SP2'!Q526</f>
        <v>0</v>
      </c>
      <c r="C501" s="384"/>
      <c r="D501" s="382">
        <f>'Portefeuille SP2'!E526</f>
        <v>0</v>
      </c>
      <c r="E501" s="382" t="str">
        <f t="shared" si="35"/>
        <v>0</v>
      </c>
      <c r="F501" s="382" t="str">
        <f t="shared" si="36"/>
        <v/>
      </c>
      <c r="G501" s="382">
        <f>'Portefeuille SP2'!C526</f>
        <v>0</v>
      </c>
      <c r="H501" s="382">
        <f>'Portefeuille SP2'!F526</f>
        <v>0</v>
      </c>
      <c r="I501" s="382"/>
      <c r="J501" s="382">
        <f>'Portefeuille SP2'!D526</f>
        <v>0</v>
      </c>
      <c r="K501" s="385">
        <f>'Portefeuille SP2'!H526</f>
        <v>0</v>
      </c>
      <c r="L501" s="157">
        <f>'Portefeuille SP2'!U526</f>
        <v>0</v>
      </c>
      <c r="M501" s="386"/>
      <c r="N501" s="386"/>
      <c r="O501" s="386"/>
      <c r="P501" s="387">
        <f>'Portefeuille SP2'!M526</f>
        <v>0</v>
      </c>
      <c r="Q501" s="387"/>
      <c r="R501" s="387">
        <f>'Portefeuille SP2'!N526</f>
        <v>0</v>
      </c>
      <c r="S501" s="387"/>
      <c r="T501" s="382">
        <f>'Portefeuille SP2'!R526</f>
        <v>0</v>
      </c>
      <c r="U501" s="387">
        <f>'Portefeuille SP2'!K526</f>
        <v>0</v>
      </c>
      <c r="V501" s="399">
        <f>'Portefeuille SP2'!S526</f>
        <v>0</v>
      </c>
      <c r="W501" s="387"/>
      <c r="X501" s="387"/>
      <c r="Y501" s="387"/>
      <c r="Z501" s="387"/>
      <c r="AA501" s="387"/>
      <c r="AB501" s="387"/>
      <c r="AC501" s="387"/>
      <c r="AD501" s="387"/>
      <c r="AE501" s="400">
        <f>'Portefeuille SP2'!J526</f>
        <v>0</v>
      </c>
      <c r="AF501" s="387"/>
      <c r="AG501" s="387"/>
      <c r="AH501" s="389"/>
      <c r="AI501" s="389"/>
      <c r="AJ501" s="403">
        <f>'Portefeuille SP2'!V526</f>
        <v>0</v>
      </c>
      <c r="AK501" s="403">
        <f>'Portefeuille SP2'!W526</f>
        <v>0</v>
      </c>
      <c r="AL501" s="403">
        <f>'Portefeuille SP2'!X526</f>
        <v>0</v>
      </c>
      <c r="AM501" s="403">
        <f>'Portefeuille SP2'!Y526</f>
        <v>0</v>
      </c>
      <c r="AN501" s="403">
        <f>'Portefeuille SP2'!Z526</f>
        <v>0</v>
      </c>
      <c r="AO501" s="403">
        <f>'Portefeuille SP2'!AA526</f>
        <v>0</v>
      </c>
      <c r="AP501" s="403">
        <f>'Portefeuille SP2'!AB526</f>
        <v>0</v>
      </c>
      <c r="AQ501" s="403">
        <f>'Portefeuille SP2'!AC526</f>
        <v>0</v>
      </c>
      <c r="AR501" s="403">
        <f>'Portefeuille SP2'!AD526</f>
        <v>0</v>
      </c>
      <c r="AS501" s="403">
        <f>'Portefeuille SP2'!AE526</f>
        <v>0</v>
      </c>
      <c r="AT501" s="403">
        <f>'Portefeuille SP2'!AF526</f>
        <v>0</v>
      </c>
      <c r="AU501" s="403">
        <f>'Portefeuille SP2'!AG526</f>
        <v>0</v>
      </c>
      <c r="AV501" s="403">
        <f>'Portefeuille SP2'!AH526</f>
        <v>0</v>
      </c>
      <c r="AW501" s="403">
        <f>'Portefeuille SP2'!AI526</f>
        <v>0</v>
      </c>
      <c r="AX501" s="403">
        <f>'Portefeuille SP2'!AJ526</f>
        <v>0</v>
      </c>
      <c r="AY501" s="403">
        <f>'Portefeuille SP2'!AK526</f>
        <v>0</v>
      </c>
      <c r="AZ501" s="403">
        <f>'Portefeuille SP2'!AL526</f>
        <v>0</v>
      </c>
      <c r="BA501" s="403">
        <f>'Portefeuille SP2'!AM526</f>
        <v>0</v>
      </c>
      <c r="BB501" s="403">
        <f>'Portefeuille SP2'!AN526</f>
        <v>0</v>
      </c>
      <c r="BC501" s="403">
        <f>'Portefeuille SP2'!AO526</f>
        <v>0</v>
      </c>
      <c r="BD501" s="403">
        <f>'Portefeuille SP2'!AP526</f>
        <v>0</v>
      </c>
      <c r="BE501" s="403">
        <f>'Portefeuille SP2'!AQ526</f>
        <v>0</v>
      </c>
      <c r="BF501" s="403">
        <f>'Portefeuille SP2'!AR526</f>
        <v>0</v>
      </c>
      <c r="BG501" s="403" t="e">
        <f>'Portefeuille SP2'!#REF!</f>
        <v>#REF!</v>
      </c>
      <c r="BH501" s="403" t="e">
        <f>'Portefeuille SP2'!#REF!</f>
        <v>#REF!</v>
      </c>
      <c r="BI501" s="403" t="e">
        <f>'Portefeuille SP2'!#REF!</f>
        <v>#REF!</v>
      </c>
      <c r="BJ501" s="403" t="e">
        <f>'Portefeuille SP2'!#REF!</f>
        <v>#REF!</v>
      </c>
      <c r="BK501" s="403" t="e">
        <f>'Portefeuille SP2'!#REF!</f>
        <v>#REF!</v>
      </c>
      <c r="BL501" s="388"/>
      <c r="BM501" s="404">
        <f>'Portefeuille SP2'!L526</f>
        <v>0</v>
      </c>
    </row>
    <row r="502" spans="1:65" ht="15" customHeight="1">
      <c r="A502" s="383">
        <f>'Portefeuille SP2'!B527</f>
        <v>0</v>
      </c>
      <c r="B502" s="390">
        <f>'Portefeuille SP2'!Q527</f>
        <v>0</v>
      </c>
      <c r="C502" s="384"/>
      <c r="D502" s="382">
        <f>'Portefeuille SP2'!E527</f>
        <v>0</v>
      </c>
      <c r="E502" s="382" t="str">
        <f t="shared" si="35"/>
        <v>0</v>
      </c>
      <c r="F502" s="382" t="str">
        <f t="shared" si="36"/>
        <v/>
      </c>
      <c r="G502" s="382">
        <f>'Portefeuille SP2'!C527</f>
        <v>0</v>
      </c>
      <c r="H502" s="382">
        <f>'Portefeuille SP2'!F527</f>
        <v>0</v>
      </c>
      <c r="I502" s="382"/>
      <c r="J502" s="382">
        <f>'Portefeuille SP2'!D527</f>
        <v>0</v>
      </c>
      <c r="K502" s="385">
        <f>'Portefeuille SP2'!H527</f>
        <v>0</v>
      </c>
      <c r="L502" s="157">
        <f>'Portefeuille SP2'!U527</f>
        <v>0</v>
      </c>
      <c r="M502" s="386"/>
      <c r="N502" s="386"/>
      <c r="O502" s="386"/>
      <c r="P502" s="387">
        <f>'Portefeuille SP2'!M527</f>
        <v>0</v>
      </c>
      <c r="Q502" s="387"/>
      <c r="R502" s="387">
        <f>'Portefeuille SP2'!N527</f>
        <v>0</v>
      </c>
      <c r="S502" s="387"/>
      <c r="T502" s="382">
        <f>'Portefeuille SP2'!R527</f>
        <v>0</v>
      </c>
      <c r="U502" s="387">
        <f>'Portefeuille SP2'!K527</f>
        <v>0</v>
      </c>
      <c r="V502" s="399">
        <f>'Portefeuille SP2'!S527</f>
        <v>0</v>
      </c>
      <c r="W502" s="387"/>
      <c r="X502" s="387"/>
      <c r="Y502" s="387"/>
      <c r="Z502" s="387"/>
      <c r="AA502" s="387"/>
      <c r="AB502" s="387"/>
      <c r="AC502" s="387"/>
      <c r="AD502" s="387"/>
      <c r="AE502" s="400">
        <f>'Portefeuille SP2'!J527</f>
        <v>0</v>
      </c>
      <c r="AF502" s="387"/>
      <c r="AG502" s="387"/>
      <c r="AH502" s="389"/>
      <c r="AI502" s="389"/>
      <c r="AJ502" s="403">
        <f>'Portefeuille SP2'!V527</f>
        <v>0</v>
      </c>
      <c r="AK502" s="403">
        <f>'Portefeuille SP2'!W527</f>
        <v>0</v>
      </c>
      <c r="AL502" s="403">
        <f>'Portefeuille SP2'!X527</f>
        <v>0</v>
      </c>
      <c r="AM502" s="403">
        <f>'Portefeuille SP2'!Y527</f>
        <v>0</v>
      </c>
      <c r="AN502" s="403">
        <f>'Portefeuille SP2'!Z527</f>
        <v>0</v>
      </c>
      <c r="AO502" s="403">
        <f>'Portefeuille SP2'!AA527</f>
        <v>0</v>
      </c>
      <c r="AP502" s="403">
        <f>'Portefeuille SP2'!AB527</f>
        <v>0</v>
      </c>
      <c r="AQ502" s="403">
        <f>'Portefeuille SP2'!AC527</f>
        <v>0</v>
      </c>
      <c r="AR502" s="403">
        <f>'Portefeuille SP2'!AD527</f>
        <v>0</v>
      </c>
      <c r="AS502" s="403">
        <f>'Portefeuille SP2'!AE527</f>
        <v>0</v>
      </c>
      <c r="AT502" s="403">
        <f>'Portefeuille SP2'!AF527</f>
        <v>0</v>
      </c>
      <c r="AU502" s="403">
        <f>'Portefeuille SP2'!AG527</f>
        <v>0</v>
      </c>
      <c r="AV502" s="403">
        <f>'Portefeuille SP2'!AH527</f>
        <v>0</v>
      </c>
      <c r="AW502" s="403">
        <f>'Portefeuille SP2'!AI527</f>
        <v>0</v>
      </c>
      <c r="AX502" s="403">
        <f>'Portefeuille SP2'!AJ527</f>
        <v>0</v>
      </c>
      <c r="AY502" s="403">
        <f>'Portefeuille SP2'!AK527</f>
        <v>0</v>
      </c>
      <c r="AZ502" s="403">
        <f>'Portefeuille SP2'!AL527</f>
        <v>0</v>
      </c>
      <c r="BA502" s="403">
        <f>'Portefeuille SP2'!AM527</f>
        <v>0</v>
      </c>
      <c r="BB502" s="403">
        <f>'Portefeuille SP2'!AN527</f>
        <v>0</v>
      </c>
      <c r="BC502" s="403">
        <f>'Portefeuille SP2'!AO527</f>
        <v>0</v>
      </c>
      <c r="BD502" s="403">
        <f>'Portefeuille SP2'!AP527</f>
        <v>0</v>
      </c>
      <c r="BE502" s="403">
        <f>'Portefeuille SP2'!AQ527</f>
        <v>0</v>
      </c>
      <c r="BF502" s="403">
        <f>'Portefeuille SP2'!AR527</f>
        <v>0</v>
      </c>
      <c r="BG502" s="403" t="e">
        <f>'Portefeuille SP2'!#REF!</f>
        <v>#REF!</v>
      </c>
      <c r="BH502" s="403" t="e">
        <f>'Portefeuille SP2'!#REF!</f>
        <v>#REF!</v>
      </c>
      <c r="BI502" s="403" t="e">
        <f>'Portefeuille SP2'!#REF!</f>
        <v>#REF!</v>
      </c>
      <c r="BJ502" s="403" t="e">
        <f>'Portefeuille SP2'!#REF!</f>
        <v>#REF!</v>
      </c>
      <c r="BK502" s="403" t="e">
        <f>'Portefeuille SP2'!#REF!</f>
        <v>#REF!</v>
      </c>
      <c r="BL502" s="388"/>
      <c r="BM502" s="404">
        <f>'Portefeuille SP2'!L527</f>
        <v>0</v>
      </c>
    </row>
    <row r="503" spans="1:65" ht="15" customHeight="1">
      <c r="A503" s="383">
        <f>'Portefeuille SP2'!B528</f>
        <v>0</v>
      </c>
      <c r="B503" s="390">
        <f>'Portefeuille SP2'!Q528</f>
        <v>0</v>
      </c>
      <c r="C503" s="384"/>
      <c r="D503" s="382">
        <f>'Portefeuille SP2'!E528</f>
        <v>0</v>
      </c>
      <c r="E503" s="382" t="str">
        <f t="shared" si="35"/>
        <v>0</v>
      </c>
      <c r="F503" s="382" t="str">
        <f t="shared" si="36"/>
        <v/>
      </c>
      <c r="G503" s="382">
        <f>'Portefeuille SP2'!C528</f>
        <v>0</v>
      </c>
      <c r="H503" s="382">
        <f>'Portefeuille SP2'!F528</f>
        <v>0</v>
      </c>
      <c r="I503" s="382"/>
      <c r="J503" s="382">
        <f>'Portefeuille SP2'!D528</f>
        <v>0</v>
      </c>
      <c r="K503" s="385">
        <f>'Portefeuille SP2'!H528</f>
        <v>0</v>
      </c>
      <c r="L503" s="157">
        <f>'Portefeuille SP2'!U528</f>
        <v>0</v>
      </c>
      <c r="M503" s="386"/>
      <c r="N503" s="386"/>
      <c r="O503" s="386"/>
      <c r="P503" s="387">
        <f>'Portefeuille SP2'!M528</f>
        <v>0</v>
      </c>
      <c r="Q503" s="387"/>
      <c r="R503" s="387">
        <f>'Portefeuille SP2'!N528</f>
        <v>0</v>
      </c>
      <c r="S503" s="387"/>
      <c r="T503" s="382">
        <f>'Portefeuille SP2'!R528</f>
        <v>0</v>
      </c>
      <c r="U503" s="387">
        <f>'Portefeuille SP2'!K528</f>
        <v>0</v>
      </c>
      <c r="V503" s="399">
        <f>'Portefeuille SP2'!S528</f>
        <v>0</v>
      </c>
      <c r="W503" s="387"/>
      <c r="X503" s="387"/>
      <c r="Y503" s="387"/>
      <c r="Z503" s="387"/>
      <c r="AA503" s="387"/>
      <c r="AB503" s="387"/>
      <c r="AC503" s="387"/>
      <c r="AD503" s="387"/>
      <c r="AE503" s="400">
        <f>'Portefeuille SP2'!J528</f>
        <v>0</v>
      </c>
      <c r="AF503" s="387"/>
      <c r="AG503" s="387"/>
      <c r="AH503" s="389"/>
      <c r="AI503" s="389"/>
      <c r="AJ503" s="403">
        <f>'Portefeuille SP2'!V528</f>
        <v>0</v>
      </c>
      <c r="AK503" s="403">
        <f>'Portefeuille SP2'!W528</f>
        <v>0</v>
      </c>
      <c r="AL503" s="403">
        <f>'Portefeuille SP2'!X528</f>
        <v>0</v>
      </c>
      <c r="AM503" s="403">
        <f>'Portefeuille SP2'!Y528</f>
        <v>0</v>
      </c>
      <c r="AN503" s="403">
        <f>'Portefeuille SP2'!Z528</f>
        <v>0</v>
      </c>
      <c r="AO503" s="403">
        <f>'Portefeuille SP2'!AA528</f>
        <v>0</v>
      </c>
      <c r="AP503" s="403">
        <f>'Portefeuille SP2'!AB528</f>
        <v>0</v>
      </c>
      <c r="AQ503" s="403">
        <f>'Portefeuille SP2'!AC528</f>
        <v>0</v>
      </c>
      <c r="AR503" s="403">
        <f>'Portefeuille SP2'!AD528</f>
        <v>0</v>
      </c>
      <c r="AS503" s="403">
        <f>'Portefeuille SP2'!AE528</f>
        <v>0</v>
      </c>
      <c r="AT503" s="403">
        <f>'Portefeuille SP2'!AF528</f>
        <v>0</v>
      </c>
      <c r="AU503" s="403">
        <f>'Portefeuille SP2'!AG528</f>
        <v>0</v>
      </c>
      <c r="AV503" s="403">
        <f>'Portefeuille SP2'!AH528</f>
        <v>0</v>
      </c>
      <c r="AW503" s="403">
        <f>'Portefeuille SP2'!AI528</f>
        <v>0</v>
      </c>
      <c r="AX503" s="403">
        <f>'Portefeuille SP2'!AJ528</f>
        <v>0</v>
      </c>
      <c r="AY503" s="403">
        <f>'Portefeuille SP2'!AK528</f>
        <v>0</v>
      </c>
      <c r="AZ503" s="403">
        <f>'Portefeuille SP2'!AL528</f>
        <v>0</v>
      </c>
      <c r="BA503" s="403">
        <f>'Portefeuille SP2'!AM528</f>
        <v>0</v>
      </c>
      <c r="BB503" s="403">
        <f>'Portefeuille SP2'!AN528</f>
        <v>0</v>
      </c>
      <c r="BC503" s="403">
        <f>'Portefeuille SP2'!AO528</f>
        <v>0</v>
      </c>
      <c r="BD503" s="403">
        <f>'Portefeuille SP2'!AP528</f>
        <v>0</v>
      </c>
      <c r="BE503" s="403">
        <f>'Portefeuille SP2'!AQ528</f>
        <v>0</v>
      </c>
      <c r="BF503" s="403">
        <f>'Portefeuille SP2'!AR528</f>
        <v>0</v>
      </c>
      <c r="BG503" s="403" t="e">
        <f>'Portefeuille SP2'!#REF!</f>
        <v>#REF!</v>
      </c>
      <c r="BH503" s="403" t="e">
        <f>'Portefeuille SP2'!#REF!</f>
        <v>#REF!</v>
      </c>
      <c r="BI503" s="403" t="e">
        <f>'Portefeuille SP2'!#REF!</f>
        <v>#REF!</v>
      </c>
      <c r="BJ503" s="403" t="e">
        <f>'Portefeuille SP2'!#REF!</f>
        <v>#REF!</v>
      </c>
      <c r="BK503" s="403" t="e">
        <f>'Portefeuille SP2'!#REF!</f>
        <v>#REF!</v>
      </c>
      <c r="BL503" s="388"/>
      <c r="BM503" s="404">
        <f>'Portefeuille SP2'!L528</f>
        <v>0</v>
      </c>
    </row>
    <row r="504" spans="1:65" ht="15" customHeight="1">
      <c r="A504" s="383">
        <f>'Portefeuille SP2'!B529</f>
        <v>0</v>
      </c>
      <c r="B504" s="390">
        <f>'Portefeuille SP2'!Q529</f>
        <v>0</v>
      </c>
      <c r="C504" s="384"/>
      <c r="D504" s="382">
        <f>'Portefeuille SP2'!E529</f>
        <v>0</v>
      </c>
      <c r="E504" s="382" t="str">
        <f t="shared" si="35"/>
        <v>0</v>
      </c>
      <c r="F504" s="382" t="str">
        <f t="shared" si="36"/>
        <v/>
      </c>
      <c r="G504" s="382">
        <f>'Portefeuille SP2'!C529</f>
        <v>0</v>
      </c>
      <c r="H504" s="382">
        <f>'Portefeuille SP2'!F529</f>
        <v>0</v>
      </c>
      <c r="I504" s="382"/>
      <c r="J504" s="382">
        <f>'Portefeuille SP2'!D529</f>
        <v>0</v>
      </c>
      <c r="K504" s="385">
        <f>'Portefeuille SP2'!H529</f>
        <v>0</v>
      </c>
      <c r="L504" s="157">
        <f>'Portefeuille SP2'!U529</f>
        <v>0</v>
      </c>
      <c r="M504" s="386"/>
      <c r="N504" s="386"/>
      <c r="O504" s="386"/>
      <c r="P504" s="387">
        <f>'Portefeuille SP2'!M529</f>
        <v>0</v>
      </c>
      <c r="Q504" s="387"/>
      <c r="R504" s="387">
        <f>'Portefeuille SP2'!N529</f>
        <v>0</v>
      </c>
      <c r="S504" s="387"/>
      <c r="T504" s="382">
        <f>'Portefeuille SP2'!R529</f>
        <v>0</v>
      </c>
      <c r="U504" s="387">
        <f>'Portefeuille SP2'!K529</f>
        <v>0</v>
      </c>
      <c r="V504" s="399">
        <f>'Portefeuille SP2'!S529</f>
        <v>0</v>
      </c>
      <c r="W504" s="387"/>
      <c r="X504" s="387"/>
      <c r="Y504" s="387"/>
      <c r="Z504" s="387"/>
      <c r="AA504" s="387"/>
      <c r="AB504" s="387"/>
      <c r="AC504" s="387"/>
      <c r="AD504" s="387"/>
      <c r="AE504" s="400">
        <f>'Portefeuille SP2'!J529</f>
        <v>0</v>
      </c>
      <c r="AF504" s="387"/>
      <c r="AG504" s="387"/>
      <c r="AH504" s="389"/>
      <c r="AI504" s="389"/>
      <c r="AJ504" s="403">
        <f>'Portefeuille SP2'!V529</f>
        <v>0</v>
      </c>
      <c r="AK504" s="403">
        <f>'Portefeuille SP2'!W529</f>
        <v>0</v>
      </c>
      <c r="AL504" s="403">
        <f>'Portefeuille SP2'!X529</f>
        <v>0</v>
      </c>
      <c r="AM504" s="403">
        <f>'Portefeuille SP2'!Y529</f>
        <v>0</v>
      </c>
      <c r="AN504" s="403">
        <f>'Portefeuille SP2'!Z529</f>
        <v>0</v>
      </c>
      <c r="AO504" s="403">
        <f>'Portefeuille SP2'!AA529</f>
        <v>0</v>
      </c>
      <c r="AP504" s="403">
        <f>'Portefeuille SP2'!AB529</f>
        <v>0</v>
      </c>
      <c r="AQ504" s="403">
        <f>'Portefeuille SP2'!AC529</f>
        <v>0</v>
      </c>
      <c r="AR504" s="403">
        <f>'Portefeuille SP2'!AD529</f>
        <v>0</v>
      </c>
      <c r="AS504" s="403">
        <f>'Portefeuille SP2'!AE529</f>
        <v>0</v>
      </c>
      <c r="AT504" s="403">
        <f>'Portefeuille SP2'!AF529</f>
        <v>0</v>
      </c>
      <c r="AU504" s="403">
        <f>'Portefeuille SP2'!AG529</f>
        <v>0</v>
      </c>
      <c r="AV504" s="403">
        <f>'Portefeuille SP2'!AH529</f>
        <v>0</v>
      </c>
      <c r="AW504" s="403">
        <f>'Portefeuille SP2'!AI529</f>
        <v>0</v>
      </c>
      <c r="AX504" s="403">
        <f>'Portefeuille SP2'!AJ529</f>
        <v>0</v>
      </c>
      <c r="AY504" s="403">
        <f>'Portefeuille SP2'!AK529</f>
        <v>0</v>
      </c>
      <c r="AZ504" s="403">
        <f>'Portefeuille SP2'!AL529</f>
        <v>0</v>
      </c>
      <c r="BA504" s="403">
        <f>'Portefeuille SP2'!AM529</f>
        <v>0</v>
      </c>
      <c r="BB504" s="403">
        <f>'Portefeuille SP2'!AN529</f>
        <v>0</v>
      </c>
      <c r="BC504" s="403">
        <f>'Portefeuille SP2'!AO529</f>
        <v>0</v>
      </c>
      <c r="BD504" s="403">
        <f>'Portefeuille SP2'!AP529</f>
        <v>0</v>
      </c>
      <c r="BE504" s="403">
        <f>'Portefeuille SP2'!AQ529</f>
        <v>0</v>
      </c>
      <c r="BF504" s="403">
        <f>'Portefeuille SP2'!AR529</f>
        <v>0</v>
      </c>
      <c r="BG504" s="403" t="e">
        <f>'Portefeuille SP2'!#REF!</f>
        <v>#REF!</v>
      </c>
      <c r="BH504" s="403" t="e">
        <f>'Portefeuille SP2'!#REF!</f>
        <v>#REF!</v>
      </c>
      <c r="BI504" s="403" t="e">
        <f>'Portefeuille SP2'!#REF!</f>
        <v>#REF!</v>
      </c>
      <c r="BJ504" s="403" t="e">
        <f>'Portefeuille SP2'!#REF!</f>
        <v>#REF!</v>
      </c>
      <c r="BK504" s="403" t="e">
        <f>'Portefeuille SP2'!#REF!</f>
        <v>#REF!</v>
      </c>
      <c r="BL504" s="388"/>
      <c r="BM504" s="404">
        <f>'Portefeuille SP2'!L529</f>
        <v>0</v>
      </c>
    </row>
    <row r="505" spans="1:65" ht="15" customHeight="1">
      <c r="A505" s="383">
        <f>'Portefeuille SP2'!B530</f>
        <v>0</v>
      </c>
      <c r="B505" s="390">
        <f>'Portefeuille SP2'!Q530</f>
        <v>0</v>
      </c>
      <c r="C505" s="384"/>
      <c r="D505" s="382">
        <f>'Portefeuille SP2'!E530</f>
        <v>0</v>
      </c>
      <c r="E505" s="382" t="str">
        <f t="shared" si="35"/>
        <v>0</v>
      </c>
      <c r="F505" s="382" t="str">
        <f t="shared" si="36"/>
        <v/>
      </c>
      <c r="G505" s="382">
        <f>'Portefeuille SP2'!C530</f>
        <v>0</v>
      </c>
      <c r="H505" s="382">
        <f>'Portefeuille SP2'!F530</f>
        <v>0</v>
      </c>
      <c r="I505" s="382"/>
      <c r="J505" s="382">
        <f>'Portefeuille SP2'!D530</f>
        <v>0</v>
      </c>
      <c r="K505" s="385">
        <f>'Portefeuille SP2'!H530</f>
        <v>0</v>
      </c>
      <c r="L505" s="157">
        <f>'Portefeuille SP2'!U530</f>
        <v>0</v>
      </c>
      <c r="M505" s="386"/>
      <c r="N505" s="386"/>
      <c r="O505" s="386"/>
      <c r="P505" s="387">
        <f>'Portefeuille SP2'!M530</f>
        <v>0</v>
      </c>
      <c r="Q505" s="387"/>
      <c r="R505" s="387">
        <f>'Portefeuille SP2'!N530</f>
        <v>0</v>
      </c>
      <c r="S505" s="387"/>
      <c r="T505" s="382">
        <f>'Portefeuille SP2'!R530</f>
        <v>0</v>
      </c>
      <c r="U505" s="387">
        <f>'Portefeuille SP2'!K530</f>
        <v>0</v>
      </c>
      <c r="V505" s="399">
        <f>'Portefeuille SP2'!S530</f>
        <v>0</v>
      </c>
      <c r="W505" s="387"/>
      <c r="X505" s="387"/>
      <c r="Y505" s="387"/>
      <c r="Z505" s="387"/>
      <c r="AA505" s="387"/>
      <c r="AB505" s="387"/>
      <c r="AC505" s="387"/>
      <c r="AD505" s="387"/>
      <c r="AE505" s="400">
        <f>'Portefeuille SP2'!J530</f>
        <v>0</v>
      </c>
      <c r="AF505" s="387"/>
      <c r="AG505" s="387"/>
      <c r="AH505" s="389"/>
      <c r="AI505" s="389"/>
      <c r="AJ505" s="403">
        <f>'Portefeuille SP2'!V530</f>
        <v>0</v>
      </c>
      <c r="AK505" s="403">
        <f>'Portefeuille SP2'!W530</f>
        <v>0</v>
      </c>
      <c r="AL505" s="403">
        <f>'Portefeuille SP2'!X530</f>
        <v>0</v>
      </c>
      <c r="AM505" s="403">
        <f>'Portefeuille SP2'!Y530</f>
        <v>0</v>
      </c>
      <c r="AN505" s="403">
        <f>'Portefeuille SP2'!Z530</f>
        <v>0</v>
      </c>
      <c r="AO505" s="403">
        <f>'Portefeuille SP2'!AA530</f>
        <v>0</v>
      </c>
      <c r="AP505" s="403">
        <f>'Portefeuille SP2'!AB530</f>
        <v>0</v>
      </c>
      <c r="AQ505" s="403">
        <f>'Portefeuille SP2'!AC530</f>
        <v>0</v>
      </c>
      <c r="AR505" s="403">
        <f>'Portefeuille SP2'!AD530</f>
        <v>0</v>
      </c>
      <c r="AS505" s="403">
        <f>'Portefeuille SP2'!AE530</f>
        <v>0</v>
      </c>
      <c r="AT505" s="403">
        <f>'Portefeuille SP2'!AF530</f>
        <v>0</v>
      </c>
      <c r="AU505" s="403">
        <f>'Portefeuille SP2'!AG530</f>
        <v>0</v>
      </c>
      <c r="AV505" s="403">
        <f>'Portefeuille SP2'!AH530</f>
        <v>0</v>
      </c>
      <c r="AW505" s="403">
        <f>'Portefeuille SP2'!AI530</f>
        <v>0</v>
      </c>
      <c r="AX505" s="403">
        <f>'Portefeuille SP2'!AJ530</f>
        <v>0</v>
      </c>
      <c r="AY505" s="403">
        <f>'Portefeuille SP2'!AK530</f>
        <v>0</v>
      </c>
      <c r="AZ505" s="403">
        <f>'Portefeuille SP2'!AL530</f>
        <v>0</v>
      </c>
      <c r="BA505" s="403">
        <f>'Portefeuille SP2'!AM530</f>
        <v>0</v>
      </c>
      <c r="BB505" s="403">
        <f>'Portefeuille SP2'!AN530</f>
        <v>0</v>
      </c>
      <c r="BC505" s="403">
        <f>'Portefeuille SP2'!AO530</f>
        <v>0</v>
      </c>
      <c r="BD505" s="403">
        <f>'Portefeuille SP2'!AP530</f>
        <v>0</v>
      </c>
      <c r="BE505" s="403">
        <f>'Portefeuille SP2'!AQ530</f>
        <v>0</v>
      </c>
      <c r="BF505" s="403">
        <f>'Portefeuille SP2'!AR530</f>
        <v>0</v>
      </c>
      <c r="BG505" s="403" t="e">
        <f>'Portefeuille SP2'!#REF!</f>
        <v>#REF!</v>
      </c>
      <c r="BH505" s="403" t="e">
        <f>'Portefeuille SP2'!#REF!</f>
        <v>#REF!</v>
      </c>
      <c r="BI505" s="403" t="e">
        <f>'Portefeuille SP2'!#REF!</f>
        <v>#REF!</v>
      </c>
      <c r="BJ505" s="403" t="e">
        <f>'Portefeuille SP2'!#REF!</f>
        <v>#REF!</v>
      </c>
      <c r="BK505" s="403" t="e">
        <f>'Portefeuille SP2'!#REF!</f>
        <v>#REF!</v>
      </c>
      <c r="BL505" s="388"/>
      <c r="BM505" s="404">
        <f>'Portefeuille SP2'!L530</f>
        <v>0</v>
      </c>
    </row>
    <row r="506" spans="1:65" ht="15" customHeight="1">
      <c r="A506" s="383">
        <f>'Portefeuille SP2'!B531</f>
        <v>0</v>
      </c>
      <c r="B506" s="390">
        <f>'Portefeuille SP2'!Q531</f>
        <v>0</v>
      </c>
      <c r="C506" s="384"/>
      <c r="D506" s="382">
        <f>'Portefeuille SP2'!E531</f>
        <v>0</v>
      </c>
      <c r="E506" s="382" t="str">
        <f t="shared" si="35"/>
        <v>0</v>
      </c>
      <c r="F506" s="382" t="str">
        <f t="shared" si="36"/>
        <v/>
      </c>
      <c r="G506" s="382">
        <f>'Portefeuille SP2'!C531</f>
        <v>0</v>
      </c>
      <c r="H506" s="382">
        <f>'Portefeuille SP2'!F531</f>
        <v>0</v>
      </c>
      <c r="I506" s="382"/>
      <c r="J506" s="382">
        <f>'Portefeuille SP2'!D531</f>
        <v>0</v>
      </c>
      <c r="K506" s="385">
        <f>'Portefeuille SP2'!H531</f>
        <v>0</v>
      </c>
      <c r="L506" s="157">
        <f>'Portefeuille SP2'!U531</f>
        <v>0</v>
      </c>
      <c r="M506" s="386"/>
      <c r="N506" s="386"/>
      <c r="O506" s="386"/>
      <c r="P506" s="387">
        <f>'Portefeuille SP2'!M531</f>
        <v>0</v>
      </c>
      <c r="Q506" s="387"/>
      <c r="R506" s="387">
        <f>'Portefeuille SP2'!N531</f>
        <v>0</v>
      </c>
      <c r="S506" s="387"/>
      <c r="T506" s="382">
        <f>'Portefeuille SP2'!R531</f>
        <v>0</v>
      </c>
      <c r="U506" s="387">
        <f>'Portefeuille SP2'!K531</f>
        <v>0</v>
      </c>
      <c r="V506" s="399">
        <f>'Portefeuille SP2'!S531</f>
        <v>0</v>
      </c>
      <c r="W506" s="387"/>
      <c r="X506" s="387"/>
      <c r="Y506" s="387"/>
      <c r="Z506" s="387"/>
      <c r="AA506" s="387"/>
      <c r="AB506" s="387"/>
      <c r="AC506" s="387"/>
      <c r="AD506" s="387"/>
      <c r="AE506" s="400">
        <f>'Portefeuille SP2'!J531</f>
        <v>0</v>
      </c>
      <c r="AF506" s="387"/>
      <c r="AG506" s="387"/>
      <c r="AH506" s="389"/>
      <c r="AI506" s="389"/>
      <c r="AJ506" s="403">
        <f>'Portefeuille SP2'!V531</f>
        <v>0</v>
      </c>
      <c r="AK506" s="403">
        <f>'Portefeuille SP2'!W531</f>
        <v>0</v>
      </c>
      <c r="AL506" s="403">
        <f>'Portefeuille SP2'!X531</f>
        <v>0</v>
      </c>
      <c r="AM506" s="403">
        <f>'Portefeuille SP2'!Y531</f>
        <v>0</v>
      </c>
      <c r="AN506" s="403">
        <f>'Portefeuille SP2'!Z531</f>
        <v>0</v>
      </c>
      <c r="AO506" s="403">
        <f>'Portefeuille SP2'!AA531</f>
        <v>0</v>
      </c>
      <c r="AP506" s="403">
        <f>'Portefeuille SP2'!AB531</f>
        <v>0</v>
      </c>
      <c r="AQ506" s="403">
        <f>'Portefeuille SP2'!AC531</f>
        <v>0</v>
      </c>
      <c r="AR506" s="403">
        <f>'Portefeuille SP2'!AD531</f>
        <v>0</v>
      </c>
      <c r="AS506" s="403">
        <f>'Portefeuille SP2'!AE531</f>
        <v>0</v>
      </c>
      <c r="AT506" s="403">
        <f>'Portefeuille SP2'!AF531</f>
        <v>0</v>
      </c>
      <c r="AU506" s="403">
        <f>'Portefeuille SP2'!AG531</f>
        <v>0</v>
      </c>
      <c r="AV506" s="403">
        <f>'Portefeuille SP2'!AH531</f>
        <v>0</v>
      </c>
      <c r="AW506" s="403">
        <f>'Portefeuille SP2'!AI531</f>
        <v>0</v>
      </c>
      <c r="AX506" s="403">
        <f>'Portefeuille SP2'!AJ531</f>
        <v>0</v>
      </c>
      <c r="AY506" s="403">
        <f>'Portefeuille SP2'!AK531</f>
        <v>0</v>
      </c>
      <c r="AZ506" s="403">
        <f>'Portefeuille SP2'!AL531</f>
        <v>0</v>
      </c>
      <c r="BA506" s="403">
        <f>'Portefeuille SP2'!AM531</f>
        <v>0</v>
      </c>
      <c r="BB506" s="403">
        <f>'Portefeuille SP2'!AN531</f>
        <v>0</v>
      </c>
      <c r="BC506" s="403">
        <f>'Portefeuille SP2'!AO531</f>
        <v>0</v>
      </c>
      <c r="BD506" s="403">
        <f>'Portefeuille SP2'!AP531</f>
        <v>0</v>
      </c>
      <c r="BE506" s="403">
        <f>'Portefeuille SP2'!AQ531</f>
        <v>0</v>
      </c>
      <c r="BF506" s="403">
        <f>'Portefeuille SP2'!AR531</f>
        <v>0</v>
      </c>
      <c r="BG506" s="403" t="e">
        <f>'Portefeuille SP2'!#REF!</f>
        <v>#REF!</v>
      </c>
      <c r="BH506" s="403" t="e">
        <f>'Portefeuille SP2'!#REF!</f>
        <v>#REF!</v>
      </c>
      <c r="BI506" s="403" t="e">
        <f>'Portefeuille SP2'!#REF!</f>
        <v>#REF!</v>
      </c>
      <c r="BJ506" s="403" t="e">
        <f>'Portefeuille SP2'!#REF!</f>
        <v>#REF!</v>
      </c>
      <c r="BK506" s="403" t="e">
        <f>'Portefeuille SP2'!#REF!</f>
        <v>#REF!</v>
      </c>
      <c r="BL506" s="388"/>
      <c r="BM506" s="404">
        <f>'Portefeuille SP2'!L531</f>
        <v>0</v>
      </c>
    </row>
    <row r="507" spans="1:65" ht="15" customHeight="1">
      <c r="A507" s="383">
        <f>'Portefeuille SP2'!B532</f>
        <v>0</v>
      </c>
      <c r="B507" s="390">
        <f>'Portefeuille SP2'!Q532</f>
        <v>0</v>
      </c>
      <c r="C507" s="384"/>
      <c r="D507" s="382">
        <f>'Portefeuille SP2'!E532</f>
        <v>0</v>
      </c>
      <c r="E507" s="382" t="str">
        <f t="shared" si="35"/>
        <v>0</v>
      </c>
      <c r="F507" s="382" t="str">
        <f t="shared" si="36"/>
        <v/>
      </c>
      <c r="G507" s="382">
        <f>'Portefeuille SP2'!C532</f>
        <v>0</v>
      </c>
      <c r="H507" s="382">
        <f>'Portefeuille SP2'!F532</f>
        <v>0</v>
      </c>
      <c r="I507" s="382"/>
      <c r="J507" s="382">
        <f>'Portefeuille SP2'!D532</f>
        <v>0</v>
      </c>
      <c r="K507" s="385">
        <f>'Portefeuille SP2'!H532</f>
        <v>0</v>
      </c>
      <c r="L507" s="157">
        <f>'Portefeuille SP2'!U532</f>
        <v>0</v>
      </c>
      <c r="M507" s="386"/>
      <c r="N507" s="386"/>
      <c r="O507" s="386"/>
      <c r="P507" s="387">
        <f>'Portefeuille SP2'!M532</f>
        <v>0</v>
      </c>
      <c r="Q507" s="387"/>
      <c r="R507" s="387">
        <f>'Portefeuille SP2'!N532</f>
        <v>0</v>
      </c>
      <c r="S507" s="387"/>
      <c r="T507" s="382">
        <f>'Portefeuille SP2'!R532</f>
        <v>0</v>
      </c>
      <c r="U507" s="387">
        <f>'Portefeuille SP2'!K532</f>
        <v>0</v>
      </c>
      <c r="V507" s="399">
        <f>'Portefeuille SP2'!S532</f>
        <v>0</v>
      </c>
      <c r="W507" s="387"/>
      <c r="X507" s="387"/>
      <c r="Y507" s="387"/>
      <c r="Z507" s="387"/>
      <c r="AA507" s="387"/>
      <c r="AB507" s="387"/>
      <c r="AC507" s="387"/>
      <c r="AD507" s="387"/>
      <c r="AE507" s="400">
        <f>'Portefeuille SP2'!J532</f>
        <v>0</v>
      </c>
      <c r="AF507" s="387"/>
      <c r="AG507" s="387"/>
      <c r="AH507" s="389"/>
      <c r="AI507" s="389"/>
      <c r="AJ507" s="403">
        <f>'Portefeuille SP2'!V532</f>
        <v>0</v>
      </c>
      <c r="AK507" s="403">
        <f>'Portefeuille SP2'!W532</f>
        <v>0</v>
      </c>
      <c r="AL507" s="403">
        <f>'Portefeuille SP2'!X532</f>
        <v>0</v>
      </c>
      <c r="AM507" s="403">
        <f>'Portefeuille SP2'!Y532</f>
        <v>0</v>
      </c>
      <c r="AN507" s="403">
        <f>'Portefeuille SP2'!Z532</f>
        <v>0</v>
      </c>
      <c r="AO507" s="403">
        <f>'Portefeuille SP2'!AA532</f>
        <v>0</v>
      </c>
      <c r="AP507" s="403">
        <f>'Portefeuille SP2'!AB532</f>
        <v>0</v>
      </c>
      <c r="AQ507" s="403">
        <f>'Portefeuille SP2'!AC532</f>
        <v>0</v>
      </c>
      <c r="AR507" s="403">
        <f>'Portefeuille SP2'!AD532</f>
        <v>0</v>
      </c>
      <c r="AS507" s="403">
        <f>'Portefeuille SP2'!AE532</f>
        <v>0</v>
      </c>
      <c r="AT507" s="403">
        <f>'Portefeuille SP2'!AF532</f>
        <v>0</v>
      </c>
      <c r="AU507" s="403">
        <f>'Portefeuille SP2'!AG532</f>
        <v>0</v>
      </c>
      <c r="AV507" s="403">
        <f>'Portefeuille SP2'!AH532</f>
        <v>0</v>
      </c>
      <c r="AW507" s="403">
        <f>'Portefeuille SP2'!AI532</f>
        <v>0</v>
      </c>
      <c r="AX507" s="403">
        <f>'Portefeuille SP2'!AJ532</f>
        <v>0</v>
      </c>
      <c r="AY507" s="403">
        <f>'Portefeuille SP2'!AK532</f>
        <v>0</v>
      </c>
      <c r="AZ507" s="403">
        <f>'Portefeuille SP2'!AL532</f>
        <v>0</v>
      </c>
      <c r="BA507" s="403">
        <f>'Portefeuille SP2'!AM532</f>
        <v>0</v>
      </c>
      <c r="BB507" s="403">
        <f>'Portefeuille SP2'!AN532</f>
        <v>0</v>
      </c>
      <c r="BC507" s="403">
        <f>'Portefeuille SP2'!AO532</f>
        <v>0</v>
      </c>
      <c r="BD507" s="403">
        <f>'Portefeuille SP2'!AP532</f>
        <v>0</v>
      </c>
      <c r="BE507" s="403">
        <f>'Portefeuille SP2'!AQ532</f>
        <v>0</v>
      </c>
      <c r="BF507" s="403">
        <f>'Portefeuille SP2'!AR532</f>
        <v>0</v>
      </c>
      <c r="BG507" s="403" t="e">
        <f>'Portefeuille SP2'!#REF!</f>
        <v>#REF!</v>
      </c>
      <c r="BH507" s="403" t="e">
        <f>'Portefeuille SP2'!#REF!</f>
        <v>#REF!</v>
      </c>
      <c r="BI507" s="403" t="e">
        <f>'Portefeuille SP2'!#REF!</f>
        <v>#REF!</v>
      </c>
      <c r="BJ507" s="403" t="e">
        <f>'Portefeuille SP2'!#REF!</f>
        <v>#REF!</v>
      </c>
      <c r="BK507" s="403" t="e">
        <f>'Portefeuille SP2'!#REF!</f>
        <v>#REF!</v>
      </c>
      <c r="BL507" s="388"/>
      <c r="BM507" s="404">
        <f>'Portefeuille SP2'!L532</f>
        <v>0</v>
      </c>
    </row>
    <row r="508" spans="1:65" ht="15" customHeight="1">
      <c r="A508" s="383">
        <f>'Portefeuille SP2'!B533</f>
        <v>0</v>
      </c>
      <c r="B508" s="390">
        <f>'Portefeuille SP2'!Q533</f>
        <v>0</v>
      </c>
      <c r="C508" s="384"/>
      <c r="D508" s="382">
        <f>'Portefeuille SP2'!E533</f>
        <v>0</v>
      </c>
      <c r="E508" s="382" t="str">
        <f t="shared" si="35"/>
        <v>0</v>
      </c>
      <c r="F508" s="382" t="str">
        <f t="shared" si="36"/>
        <v/>
      </c>
      <c r="G508" s="382">
        <f>'Portefeuille SP2'!C533</f>
        <v>0</v>
      </c>
      <c r="H508" s="382">
        <f>'Portefeuille SP2'!F533</f>
        <v>0</v>
      </c>
      <c r="I508" s="382"/>
      <c r="J508" s="382">
        <f>'Portefeuille SP2'!D533</f>
        <v>0</v>
      </c>
      <c r="K508" s="385">
        <f>'Portefeuille SP2'!H533</f>
        <v>0</v>
      </c>
      <c r="L508" s="157">
        <f>'Portefeuille SP2'!U533</f>
        <v>0</v>
      </c>
      <c r="M508" s="386"/>
      <c r="N508" s="386"/>
      <c r="O508" s="386"/>
      <c r="P508" s="387">
        <f>'Portefeuille SP2'!M533</f>
        <v>0</v>
      </c>
      <c r="Q508" s="387"/>
      <c r="R508" s="387">
        <f>'Portefeuille SP2'!N533</f>
        <v>0</v>
      </c>
      <c r="S508" s="387"/>
      <c r="T508" s="382">
        <f>'Portefeuille SP2'!R533</f>
        <v>0</v>
      </c>
      <c r="U508" s="387">
        <f>'Portefeuille SP2'!K533</f>
        <v>0</v>
      </c>
      <c r="V508" s="399">
        <f>'Portefeuille SP2'!S533</f>
        <v>0</v>
      </c>
      <c r="W508" s="387"/>
      <c r="X508" s="387"/>
      <c r="Y508" s="387"/>
      <c r="Z508" s="387"/>
      <c r="AA508" s="387"/>
      <c r="AB508" s="387"/>
      <c r="AC508" s="387"/>
      <c r="AD508" s="387"/>
      <c r="AE508" s="400">
        <f>'Portefeuille SP2'!J533</f>
        <v>0</v>
      </c>
      <c r="AF508" s="387"/>
      <c r="AG508" s="387"/>
      <c r="AH508" s="389"/>
      <c r="AI508" s="389"/>
      <c r="AJ508" s="403">
        <f>'Portefeuille SP2'!V533</f>
        <v>0</v>
      </c>
      <c r="AK508" s="403">
        <f>'Portefeuille SP2'!W533</f>
        <v>0</v>
      </c>
      <c r="AL508" s="403">
        <f>'Portefeuille SP2'!X533</f>
        <v>0</v>
      </c>
      <c r="AM508" s="403">
        <f>'Portefeuille SP2'!Y533</f>
        <v>0</v>
      </c>
      <c r="AN508" s="403">
        <f>'Portefeuille SP2'!Z533</f>
        <v>0</v>
      </c>
      <c r="AO508" s="403">
        <f>'Portefeuille SP2'!AA533</f>
        <v>0</v>
      </c>
      <c r="AP508" s="403">
        <f>'Portefeuille SP2'!AB533</f>
        <v>0</v>
      </c>
      <c r="AQ508" s="403">
        <f>'Portefeuille SP2'!AC533</f>
        <v>0</v>
      </c>
      <c r="AR508" s="403">
        <f>'Portefeuille SP2'!AD533</f>
        <v>0</v>
      </c>
      <c r="AS508" s="403">
        <f>'Portefeuille SP2'!AE533</f>
        <v>0</v>
      </c>
      <c r="AT508" s="403">
        <f>'Portefeuille SP2'!AF533</f>
        <v>0</v>
      </c>
      <c r="AU508" s="403">
        <f>'Portefeuille SP2'!AG533</f>
        <v>0</v>
      </c>
      <c r="AV508" s="403">
        <f>'Portefeuille SP2'!AH533</f>
        <v>0</v>
      </c>
      <c r="AW508" s="403">
        <f>'Portefeuille SP2'!AI533</f>
        <v>0</v>
      </c>
      <c r="AX508" s="403">
        <f>'Portefeuille SP2'!AJ533</f>
        <v>0</v>
      </c>
      <c r="AY508" s="403">
        <f>'Portefeuille SP2'!AK533</f>
        <v>0</v>
      </c>
      <c r="AZ508" s="403">
        <f>'Portefeuille SP2'!AL533</f>
        <v>0</v>
      </c>
      <c r="BA508" s="403">
        <f>'Portefeuille SP2'!AM533</f>
        <v>0</v>
      </c>
      <c r="BB508" s="403">
        <f>'Portefeuille SP2'!AN533</f>
        <v>0</v>
      </c>
      <c r="BC508" s="403">
        <f>'Portefeuille SP2'!AO533</f>
        <v>0</v>
      </c>
      <c r="BD508" s="403">
        <f>'Portefeuille SP2'!AP533</f>
        <v>0</v>
      </c>
      <c r="BE508" s="403">
        <f>'Portefeuille SP2'!AQ533</f>
        <v>0</v>
      </c>
      <c r="BF508" s="403">
        <f>'Portefeuille SP2'!AR533</f>
        <v>0</v>
      </c>
      <c r="BG508" s="403" t="e">
        <f>'Portefeuille SP2'!#REF!</f>
        <v>#REF!</v>
      </c>
      <c r="BH508" s="403" t="e">
        <f>'Portefeuille SP2'!#REF!</f>
        <v>#REF!</v>
      </c>
      <c r="BI508" s="403" t="e">
        <f>'Portefeuille SP2'!#REF!</f>
        <v>#REF!</v>
      </c>
      <c r="BJ508" s="403" t="e">
        <f>'Portefeuille SP2'!#REF!</f>
        <v>#REF!</v>
      </c>
      <c r="BK508" s="403" t="e">
        <f>'Portefeuille SP2'!#REF!</f>
        <v>#REF!</v>
      </c>
      <c r="BL508" s="388"/>
      <c r="BM508" s="404">
        <f>'Portefeuille SP2'!L533</f>
        <v>0</v>
      </c>
    </row>
    <row r="509" spans="1:65" ht="15" customHeight="1">
      <c r="A509" s="383">
        <f>'Portefeuille SP2'!B534</f>
        <v>0</v>
      </c>
      <c r="B509" s="390">
        <f>'Portefeuille SP2'!Q534</f>
        <v>0</v>
      </c>
      <c r="C509" s="384"/>
      <c r="D509" s="382">
        <f>'Portefeuille SP2'!E534</f>
        <v>0</v>
      </c>
      <c r="E509" s="382" t="str">
        <f t="shared" si="35"/>
        <v>0</v>
      </c>
      <c r="F509" s="382" t="str">
        <f t="shared" si="36"/>
        <v/>
      </c>
      <c r="G509" s="382">
        <f>'Portefeuille SP2'!C534</f>
        <v>0</v>
      </c>
      <c r="H509" s="382">
        <f>'Portefeuille SP2'!F534</f>
        <v>0</v>
      </c>
      <c r="I509" s="382"/>
      <c r="J509" s="382">
        <f>'Portefeuille SP2'!D534</f>
        <v>0</v>
      </c>
      <c r="K509" s="385">
        <f>'Portefeuille SP2'!H534</f>
        <v>0</v>
      </c>
      <c r="L509" s="157">
        <f>'Portefeuille SP2'!U534</f>
        <v>0</v>
      </c>
      <c r="M509" s="386"/>
      <c r="N509" s="386"/>
      <c r="O509" s="386"/>
      <c r="P509" s="387">
        <f>'Portefeuille SP2'!M534</f>
        <v>0</v>
      </c>
      <c r="Q509" s="387"/>
      <c r="R509" s="387">
        <f>'Portefeuille SP2'!N534</f>
        <v>0</v>
      </c>
      <c r="S509" s="387"/>
      <c r="T509" s="382">
        <f>'Portefeuille SP2'!R534</f>
        <v>0</v>
      </c>
      <c r="U509" s="387">
        <f>'Portefeuille SP2'!K534</f>
        <v>0</v>
      </c>
      <c r="V509" s="399">
        <f>'Portefeuille SP2'!S534</f>
        <v>0</v>
      </c>
      <c r="W509" s="387"/>
      <c r="X509" s="387"/>
      <c r="Y509" s="387"/>
      <c r="Z509" s="387"/>
      <c r="AA509" s="387"/>
      <c r="AB509" s="387"/>
      <c r="AC509" s="387"/>
      <c r="AD509" s="387"/>
      <c r="AE509" s="400">
        <f>'Portefeuille SP2'!J534</f>
        <v>0</v>
      </c>
      <c r="AF509" s="387"/>
      <c r="AG509" s="387"/>
      <c r="AH509" s="389"/>
      <c r="AI509" s="389"/>
      <c r="AJ509" s="403">
        <f>'Portefeuille SP2'!V534</f>
        <v>0</v>
      </c>
      <c r="AK509" s="403">
        <f>'Portefeuille SP2'!W534</f>
        <v>0</v>
      </c>
      <c r="AL509" s="403">
        <f>'Portefeuille SP2'!X534</f>
        <v>0</v>
      </c>
      <c r="AM509" s="403">
        <f>'Portefeuille SP2'!Y534</f>
        <v>0</v>
      </c>
      <c r="AN509" s="403">
        <f>'Portefeuille SP2'!Z534</f>
        <v>0</v>
      </c>
      <c r="AO509" s="403">
        <f>'Portefeuille SP2'!AA534</f>
        <v>0</v>
      </c>
      <c r="AP509" s="403">
        <f>'Portefeuille SP2'!AB534</f>
        <v>0</v>
      </c>
      <c r="AQ509" s="403">
        <f>'Portefeuille SP2'!AC534</f>
        <v>0</v>
      </c>
      <c r="AR509" s="403">
        <f>'Portefeuille SP2'!AD534</f>
        <v>0</v>
      </c>
      <c r="AS509" s="403">
        <f>'Portefeuille SP2'!AE534</f>
        <v>0</v>
      </c>
      <c r="AT509" s="403">
        <f>'Portefeuille SP2'!AF534</f>
        <v>0</v>
      </c>
      <c r="AU509" s="403">
        <f>'Portefeuille SP2'!AG534</f>
        <v>0</v>
      </c>
      <c r="AV509" s="403">
        <f>'Portefeuille SP2'!AH534</f>
        <v>0</v>
      </c>
      <c r="AW509" s="403">
        <f>'Portefeuille SP2'!AI534</f>
        <v>0</v>
      </c>
      <c r="AX509" s="403">
        <f>'Portefeuille SP2'!AJ534</f>
        <v>0</v>
      </c>
      <c r="AY509" s="403">
        <f>'Portefeuille SP2'!AK534</f>
        <v>0</v>
      </c>
      <c r="AZ509" s="403">
        <f>'Portefeuille SP2'!AL534</f>
        <v>0</v>
      </c>
      <c r="BA509" s="403">
        <f>'Portefeuille SP2'!AM534</f>
        <v>0</v>
      </c>
      <c r="BB509" s="403">
        <f>'Portefeuille SP2'!AN534</f>
        <v>0</v>
      </c>
      <c r="BC509" s="403">
        <f>'Portefeuille SP2'!AO534</f>
        <v>0</v>
      </c>
      <c r="BD509" s="403">
        <f>'Portefeuille SP2'!AP534</f>
        <v>0</v>
      </c>
      <c r="BE509" s="403">
        <f>'Portefeuille SP2'!AQ534</f>
        <v>0</v>
      </c>
      <c r="BF509" s="403">
        <f>'Portefeuille SP2'!AR534</f>
        <v>0</v>
      </c>
      <c r="BG509" s="403" t="e">
        <f>'Portefeuille SP2'!#REF!</f>
        <v>#REF!</v>
      </c>
      <c r="BH509" s="403" t="e">
        <f>'Portefeuille SP2'!#REF!</f>
        <v>#REF!</v>
      </c>
      <c r="BI509" s="403" t="e">
        <f>'Portefeuille SP2'!#REF!</f>
        <v>#REF!</v>
      </c>
      <c r="BJ509" s="403" t="e">
        <f>'Portefeuille SP2'!#REF!</f>
        <v>#REF!</v>
      </c>
      <c r="BK509" s="403" t="e">
        <f>'Portefeuille SP2'!#REF!</f>
        <v>#REF!</v>
      </c>
      <c r="BL509" s="388"/>
      <c r="BM509" s="404">
        <f>'Portefeuille SP2'!L534</f>
        <v>0</v>
      </c>
    </row>
    <row r="510" spans="1:65" ht="15" customHeight="1">
      <c r="A510" s="383">
        <f>'Portefeuille SP2'!B535</f>
        <v>0</v>
      </c>
      <c r="B510" s="390">
        <f>'Portefeuille SP2'!Q535</f>
        <v>0</v>
      </c>
      <c r="C510" s="384"/>
      <c r="D510" s="382">
        <f>'Portefeuille SP2'!E535</f>
        <v>0</v>
      </c>
      <c r="E510" s="382" t="str">
        <f t="shared" si="35"/>
        <v>0</v>
      </c>
      <c r="F510" s="382" t="str">
        <f t="shared" si="36"/>
        <v/>
      </c>
      <c r="G510" s="382">
        <f>'Portefeuille SP2'!C535</f>
        <v>0</v>
      </c>
      <c r="H510" s="382">
        <f>'Portefeuille SP2'!F535</f>
        <v>0</v>
      </c>
      <c r="I510" s="382"/>
      <c r="J510" s="382">
        <f>'Portefeuille SP2'!D535</f>
        <v>0</v>
      </c>
      <c r="K510" s="385">
        <f>'Portefeuille SP2'!H535</f>
        <v>0</v>
      </c>
      <c r="L510" s="157">
        <f>'Portefeuille SP2'!U535</f>
        <v>0</v>
      </c>
      <c r="M510" s="386"/>
      <c r="N510" s="386"/>
      <c r="O510" s="386"/>
      <c r="P510" s="387">
        <f>'Portefeuille SP2'!M535</f>
        <v>0</v>
      </c>
      <c r="Q510" s="387"/>
      <c r="R510" s="387">
        <f>'Portefeuille SP2'!N535</f>
        <v>0</v>
      </c>
      <c r="S510" s="387"/>
      <c r="T510" s="382">
        <f>'Portefeuille SP2'!R535</f>
        <v>0</v>
      </c>
      <c r="U510" s="387">
        <f>'Portefeuille SP2'!K535</f>
        <v>0</v>
      </c>
      <c r="V510" s="399">
        <f>'Portefeuille SP2'!S535</f>
        <v>0</v>
      </c>
      <c r="W510" s="387"/>
      <c r="X510" s="387"/>
      <c r="Y510" s="387"/>
      <c r="Z510" s="387"/>
      <c r="AA510" s="387"/>
      <c r="AB510" s="387"/>
      <c r="AC510" s="387"/>
      <c r="AD510" s="387"/>
      <c r="AE510" s="400">
        <f>'Portefeuille SP2'!J535</f>
        <v>0</v>
      </c>
      <c r="AF510" s="387"/>
      <c r="AG510" s="387"/>
      <c r="AH510" s="389"/>
      <c r="AI510" s="389"/>
      <c r="AJ510" s="403">
        <f>'Portefeuille SP2'!V535</f>
        <v>0</v>
      </c>
      <c r="AK510" s="403">
        <f>'Portefeuille SP2'!W535</f>
        <v>0</v>
      </c>
      <c r="AL510" s="403">
        <f>'Portefeuille SP2'!X535</f>
        <v>0</v>
      </c>
      <c r="AM510" s="403">
        <f>'Portefeuille SP2'!Y535</f>
        <v>0</v>
      </c>
      <c r="AN510" s="403">
        <f>'Portefeuille SP2'!Z535</f>
        <v>0</v>
      </c>
      <c r="AO510" s="403">
        <f>'Portefeuille SP2'!AA535</f>
        <v>0</v>
      </c>
      <c r="AP510" s="403">
        <f>'Portefeuille SP2'!AB535</f>
        <v>0</v>
      </c>
      <c r="AQ510" s="403">
        <f>'Portefeuille SP2'!AC535</f>
        <v>0</v>
      </c>
      <c r="AR510" s="403">
        <f>'Portefeuille SP2'!AD535</f>
        <v>0</v>
      </c>
      <c r="AS510" s="403">
        <f>'Portefeuille SP2'!AE535</f>
        <v>0</v>
      </c>
      <c r="AT510" s="403">
        <f>'Portefeuille SP2'!AF535</f>
        <v>0</v>
      </c>
      <c r="AU510" s="403">
        <f>'Portefeuille SP2'!AG535</f>
        <v>0</v>
      </c>
      <c r="AV510" s="403">
        <f>'Portefeuille SP2'!AH535</f>
        <v>0</v>
      </c>
      <c r="AW510" s="403">
        <f>'Portefeuille SP2'!AI535</f>
        <v>0</v>
      </c>
      <c r="AX510" s="403">
        <f>'Portefeuille SP2'!AJ535</f>
        <v>0</v>
      </c>
      <c r="AY510" s="403">
        <f>'Portefeuille SP2'!AK535</f>
        <v>0</v>
      </c>
      <c r="AZ510" s="403">
        <f>'Portefeuille SP2'!AL535</f>
        <v>0</v>
      </c>
      <c r="BA510" s="403">
        <f>'Portefeuille SP2'!AM535</f>
        <v>0</v>
      </c>
      <c r="BB510" s="403">
        <f>'Portefeuille SP2'!AN535</f>
        <v>0</v>
      </c>
      <c r="BC510" s="403">
        <f>'Portefeuille SP2'!AO535</f>
        <v>0</v>
      </c>
      <c r="BD510" s="403">
        <f>'Portefeuille SP2'!AP535</f>
        <v>0</v>
      </c>
      <c r="BE510" s="403">
        <f>'Portefeuille SP2'!AQ535</f>
        <v>0</v>
      </c>
      <c r="BF510" s="403">
        <f>'Portefeuille SP2'!AR535</f>
        <v>0</v>
      </c>
      <c r="BG510" s="403" t="e">
        <f>'Portefeuille SP2'!#REF!</f>
        <v>#REF!</v>
      </c>
      <c r="BH510" s="403" t="e">
        <f>'Portefeuille SP2'!#REF!</f>
        <v>#REF!</v>
      </c>
      <c r="BI510" s="403" t="e">
        <f>'Portefeuille SP2'!#REF!</f>
        <v>#REF!</v>
      </c>
      <c r="BJ510" s="403" t="e">
        <f>'Portefeuille SP2'!#REF!</f>
        <v>#REF!</v>
      </c>
      <c r="BK510" s="403" t="e">
        <f>'Portefeuille SP2'!#REF!</f>
        <v>#REF!</v>
      </c>
      <c r="BL510" s="388"/>
      <c r="BM510" s="404">
        <f>'Portefeuille SP2'!L535</f>
        <v>0</v>
      </c>
    </row>
    <row r="511" spans="1:65" ht="15" customHeight="1">
      <c r="A511" s="383">
        <f>'Portefeuille SP2'!B536</f>
        <v>0</v>
      </c>
      <c r="B511" s="390">
        <f>'Portefeuille SP2'!Q536</f>
        <v>0</v>
      </c>
      <c r="C511" s="384"/>
      <c r="D511" s="382">
        <f>'Portefeuille SP2'!E536</f>
        <v>0</v>
      </c>
      <c r="E511" s="382" t="str">
        <f t="shared" si="35"/>
        <v>0</v>
      </c>
      <c r="F511" s="382" t="str">
        <f t="shared" si="36"/>
        <v/>
      </c>
      <c r="G511" s="382">
        <f>'Portefeuille SP2'!C536</f>
        <v>0</v>
      </c>
      <c r="H511" s="382">
        <f>'Portefeuille SP2'!F536</f>
        <v>0</v>
      </c>
      <c r="I511" s="382"/>
      <c r="J511" s="382">
        <f>'Portefeuille SP2'!D536</f>
        <v>0</v>
      </c>
      <c r="K511" s="385">
        <f>'Portefeuille SP2'!H536</f>
        <v>0</v>
      </c>
      <c r="L511" s="157">
        <f>'Portefeuille SP2'!U536</f>
        <v>0</v>
      </c>
      <c r="M511" s="386"/>
      <c r="N511" s="386"/>
      <c r="O511" s="386"/>
      <c r="P511" s="387">
        <f>'Portefeuille SP2'!M536</f>
        <v>0</v>
      </c>
      <c r="Q511" s="387"/>
      <c r="R511" s="387">
        <f>'Portefeuille SP2'!N536</f>
        <v>0</v>
      </c>
      <c r="S511" s="387"/>
      <c r="T511" s="382">
        <f>'Portefeuille SP2'!R536</f>
        <v>0</v>
      </c>
      <c r="U511" s="387">
        <f>'Portefeuille SP2'!K536</f>
        <v>0</v>
      </c>
      <c r="V511" s="399">
        <f>'Portefeuille SP2'!S536</f>
        <v>0</v>
      </c>
      <c r="W511" s="387"/>
      <c r="X511" s="387"/>
      <c r="Y511" s="387"/>
      <c r="Z511" s="387"/>
      <c r="AA511" s="387"/>
      <c r="AB511" s="387"/>
      <c r="AC511" s="387"/>
      <c r="AD511" s="387"/>
      <c r="AE511" s="400">
        <f>'Portefeuille SP2'!J536</f>
        <v>0</v>
      </c>
      <c r="AF511" s="387"/>
      <c r="AG511" s="387"/>
      <c r="AH511" s="389"/>
      <c r="AI511" s="389"/>
      <c r="AJ511" s="403">
        <f>'Portefeuille SP2'!V536</f>
        <v>0</v>
      </c>
      <c r="AK511" s="403">
        <f>'Portefeuille SP2'!W536</f>
        <v>0</v>
      </c>
      <c r="AL511" s="403">
        <f>'Portefeuille SP2'!X536</f>
        <v>0</v>
      </c>
      <c r="AM511" s="403">
        <f>'Portefeuille SP2'!Y536</f>
        <v>0</v>
      </c>
      <c r="AN511" s="403">
        <f>'Portefeuille SP2'!Z536</f>
        <v>0</v>
      </c>
      <c r="AO511" s="403">
        <f>'Portefeuille SP2'!AA536</f>
        <v>0</v>
      </c>
      <c r="AP511" s="403">
        <f>'Portefeuille SP2'!AB536</f>
        <v>0</v>
      </c>
      <c r="AQ511" s="403">
        <f>'Portefeuille SP2'!AC536</f>
        <v>0</v>
      </c>
      <c r="AR511" s="403">
        <f>'Portefeuille SP2'!AD536</f>
        <v>0</v>
      </c>
      <c r="AS511" s="403">
        <f>'Portefeuille SP2'!AE536</f>
        <v>0</v>
      </c>
      <c r="AT511" s="403">
        <f>'Portefeuille SP2'!AF536</f>
        <v>0</v>
      </c>
      <c r="AU511" s="403">
        <f>'Portefeuille SP2'!AG536</f>
        <v>0</v>
      </c>
      <c r="AV511" s="403">
        <f>'Portefeuille SP2'!AH536</f>
        <v>0</v>
      </c>
      <c r="AW511" s="403">
        <f>'Portefeuille SP2'!AI536</f>
        <v>0</v>
      </c>
      <c r="AX511" s="403">
        <f>'Portefeuille SP2'!AJ536</f>
        <v>0</v>
      </c>
      <c r="AY511" s="403">
        <f>'Portefeuille SP2'!AK536</f>
        <v>0</v>
      </c>
      <c r="AZ511" s="403">
        <f>'Portefeuille SP2'!AL536</f>
        <v>0</v>
      </c>
      <c r="BA511" s="403">
        <f>'Portefeuille SP2'!AM536</f>
        <v>0</v>
      </c>
      <c r="BB511" s="403">
        <f>'Portefeuille SP2'!AN536</f>
        <v>0</v>
      </c>
      <c r="BC511" s="403">
        <f>'Portefeuille SP2'!AO536</f>
        <v>0</v>
      </c>
      <c r="BD511" s="403">
        <f>'Portefeuille SP2'!AP536</f>
        <v>0</v>
      </c>
      <c r="BE511" s="403">
        <f>'Portefeuille SP2'!AQ536</f>
        <v>0</v>
      </c>
      <c r="BF511" s="403">
        <f>'Portefeuille SP2'!AR536</f>
        <v>0</v>
      </c>
      <c r="BG511" s="403" t="e">
        <f>'Portefeuille SP2'!#REF!</f>
        <v>#REF!</v>
      </c>
      <c r="BH511" s="403" t="e">
        <f>'Portefeuille SP2'!#REF!</f>
        <v>#REF!</v>
      </c>
      <c r="BI511" s="403" t="e">
        <f>'Portefeuille SP2'!#REF!</f>
        <v>#REF!</v>
      </c>
      <c r="BJ511" s="403" t="e">
        <f>'Portefeuille SP2'!#REF!</f>
        <v>#REF!</v>
      </c>
      <c r="BK511" s="403" t="e">
        <f>'Portefeuille SP2'!#REF!</f>
        <v>#REF!</v>
      </c>
      <c r="BL511" s="388"/>
      <c r="BM511" s="404">
        <f>'Portefeuille SP2'!L536</f>
        <v>0</v>
      </c>
    </row>
    <row r="512" spans="1:65" ht="15" customHeight="1">
      <c r="A512" s="383">
        <f>'Portefeuille SP2'!B537</f>
        <v>0</v>
      </c>
      <c r="B512" s="390">
        <f>'Portefeuille SP2'!Q537</f>
        <v>0</v>
      </c>
      <c r="C512" s="384"/>
      <c r="D512" s="382">
        <f>'Portefeuille SP2'!E537</f>
        <v>0</v>
      </c>
      <c r="E512" s="382" t="str">
        <f t="shared" si="35"/>
        <v>0</v>
      </c>
      <c r="F512" s="382" t="str">
        <f t="shared" si="36"/>
        <v/>
      </c>
      <c r="G512" s="382">
        <f>'Portefeuille SP2'!C537</f>
        <v>0</v>
      </c>
      <c r="H512" s="382">
        <f>'Portefeuille SP2'!F537</f>
        <v>0</v>
      </c>
      <c r="I512" s="382"/>
      <c r="J512" s="382">
        <f>'Portefeuille SP2'!D537</f>
        <v>0</v>
      </c>
      <c r="K512" s="385">
        <f>'Portefeuille SP2'!H537</f>
        <v>0</v>
      </c>
      <c r="L512" s="157">
        <f>'Portefeuille SP2'!U537</f>
        <v>0</v>
      </c>
      <c r="M512" s="386"/>
      <c r="N512" s="386"/>
      <c r="O512" s="386"/>
      <c r="P512" s="387">
        <f>'Portefeuille SP2'!M537</f>
        <v>0</v>
      </c>
      <c r="Q512" s="387"/>
      <c r="R512" s="387">
        <f>'Portefeuille SP2'!N537</f>
        <v>0</v>
      </c>
      <c r="S512" s="387"/>
      <c r="T512" s="382">
        <f>'Portefeuille SP2'!R537</f>
        <v>0</v>
      </c>
      <c r="U512" s="387">
        <f>'Portefeuille SP2'!K537</f>
        <v>0</v>
      </c>
      <c r="V512" s="399">
        <f>'Portefeuille SP2'!S537</f>
        <v>0</v>
      </c>
      <c r="W512" s="387"/>
      <c r="X512" s="387"/>
      <c r="Y512" s="387"/>
      <c r="Z512" s="387"/>
      <c r="AA512" s="387"/>
      <c r="AB512" s="387"/>
      <c r="AC512" s="387"/>
      <c r="AD512" s="387"/>
      <c r="AE512" s="400">
        <f>'Portefeuille SP2'!J537</f>
        <v>0</v>
      </c>
      <c r="AF512" s="387"/>
      <c r="AG512" s="387"/>
      <c r="AH512" s="389"/>
      <c r="AI512" s="389"/>
      <c r="AJ512" s="403">
        <f>'Portefeuille SP2'!V537</f>
        <v>0</v>
      </c>
      <c r="AK512" s="403">
        <f>'Portefeuille SP2'!W537</f>
        <v>0</v>
      </c>
      <c r="AL512" s="403">
        <f>'Portefeuille SP2'!X537</f>
        <v>0</v>
      </c>
      <c r="AM512" s="403">
        <f>'Portefeuille SP2'!Y537</f>
        <v>0</v>
      </c>
      <c r="AN512" s="403">
        <f>'Portefeuille SP2'!Z537</f>
        <v>0</v>
      </c>
      <c r="AO512" s="403">
        <f>'Portefeuille SP2'!AA537</f>
        <v>0</v>
      </c>
      <c r="AP512" s="403">
        <f>'Portefeuille SP2'!AB537</f>
        <v>0</v>
      </c>
      <c r="AQ512" s="403">
        <f>'Portefeuille SP2'!AC537</f>
        <v>0</v>
      </c>
      <c r="AR512" s="403">
        <f>'Portefeuille SP2'!AD537</f>
        <v>0</v>
      </c>
      <c r="AS512" s="403">
        <f>'Portefeuille SP2'!AE537</f>
        <v>0</v>
      </c>
      <c r="AT512" s="403">
        <f>'Portefeuille SP2'!AF537</f>
        <v>0</v>
      </c>
      <c r="AU512" s="403">
        <f>'Portefeuille SP2'!AG537</f>
        <v>0</v>
      </c>
      <c r="AV512" s="403">
        <f>'Portefeuille SP2'!AH537</f>
        <v>0</v>
      </c>
      <c r="AW512" s="403">
        <f>'Portefeuille SP2'!AI537</f>
        <v>0</v>
      </c>
      <c r="AX512" s="403">
        <f>'Portefeuille SP2'!AJ537</f>
        <v>0</v>
      </c>
      <c r="AY512" s="403">
        <f>'Portefeuille SP2'!AK537</f>
        <v>0</v>
      </c>
      <c r="AZ512" s="403">
        <f>'Portefeuille SP2'!AL537</f>
        <v>0</v>
      </c>
      <c r="BA512" s="403">
        <f>'Portefeuille SP2'!AM537</f>
        <v>0</v>
      </c>
      <c r="BB512" s="403">
        <f>'Portefeuille SP2'!AN537</f>
        <v>0</v>
      </c>
      <c r="BC512" s="403">
        <f>'Portefeuille SP2'!AO537</f>
        <v>0</v>
      </c>
      <c r="BD512" s="403">
        <f>'Portefeuille SP2'!AP537</f>
        <v>0</v>
      </c>
      <c r="BE512" s="403">
        <f>'Portefeuille SP2'!AQ537</f>
        <v>0</v>
      </c>
      <c r="BF512" s="403">
        <f>'Portefeuille SP2'!AR537</f>
        <v>0</v>
      </c>
      <c r="BG512" s="403" t="e">
        <f>'Portefeuille SP2'!#REF!</f>
        <v>#REF!</v>
      </c>
      <c r="BH512" s="403" t="e">
        <f>'Portefeuille SP2'!#REF!</f>
        <v>#REF!</v>
      </c>
      <c r="BI512" s="403" t="e">
        <f>'Portefeuille SP2'!#REF!</f>
        <v>#REF!</v>
      </c>
      <c r="BJ512" s="403" t="e">
        <f>'Portefeuille SP2'!#REF!</f>
        <v>#REF!</v>
      </c>
      <c r="BK512" s="403" t="e">
        <f>'Portefeuille SP2'!#REF!</f>
        <v>#REF!</v>
      </c>
      <c r="BL512" s="388"/>
      <c r="BM512" s="404">
        <f>'Portefeuille SP2'!L537</f>
        <v>0</v>
      </c>
    </row>
    <row r="513" spans="1:65" ht="15" customHeight="1">
      <c r="A513" s="383">
        <f>'Portefeuille SP2'!B538</f>
        <v>0</v>
      </c>
      <c r="B513" s="390">
        <f>'Portefeuille SP2'!Q538</f>
        <v>0</v>
      </c>
      <c r="C513" s="384"/>
      <c r="D513" s="382">
        <f>'Portefeuille SP2'!E538</f>
        <v>0</v>
      </c>
      <c r="E513" s="382" t="str">
        <f t="shared" si="35"/>
        <v>0</v>
      </c>
      <c r="F513" s="382" t="str">
        <f t="shared" si="36"/>
        <v/>
      </c>
      <c r="G513" s="382">
        <f>'Portefeuille SP2'!C538</f>
        <v>0</v>
      </c>
      <c r="H513" s="382">
        <f>'Portefeuille SP2'!F538</f>
        <v>0</v>
      </c>
      <c r="I513" s="382"/>
      <c r="J513" s="382">
        <f>'Portefeuille SP2'!D538</f>
        <v>0</v>
      </c>
      <c r="K513" s="385">
        <f>'Portefeuille SP2'!H538</f>
        <v>0</v>
      </c>
      <c r="L513" s="157">
        <f>'Portefeuille SP2'!U538</f>
        <v>0</v>
      </c>
      <c r="M513" s="386"/>
      <c r="N513" s="386"/>
      <c r="O513" s="386"/>
      <c r="P513" s="387">
        <f>'Portefeuille SP2'!M538</f>
        <v>0</v>
      </c>
      <c r="Q513" s="387"/>
      <c r="R513" s="387">
        <f>'Portefeuille SP2'!N538</f>
        <v>0</v>
      </c>
      <c r="S513" s="387"/>
      <c r="T513" s="382">
        <f>'Portefeuille SP2'!R538</f>
        <v>0</v>
      </c>
      <c r="U513" s="387">
        <f>'Portefeuille SP2'!K538</f>
        <v>0</v>
      </c>
      <c r="V513" s="399">
        <f>'Portefeuille SP2'!S538</f>
        <v>0</v>
      </c>
      <c r="W513" s="387"/>
      <c r="X513" s="387"/>
      <c r="Y513" s="387"/>
      <c r="Z513" s="387"/>
      <c r="AA513" s="387"/>
      <c r="AB513" s="387"/>
      <c r="AC513" s="387"/>
      <c r="AD513" s="387"/>
      <c r="AE513" s="400">
        <f>'Portefeuille SP2'!J538</f>
        <v>0</v>
      </c>
      <c r="AF513" s="387"/>
      <c r="AG513" s="387"/>
      <c r="AH513" s="389"/>
      <c r="AI513" s="389"/>
      <c r="AJ513" s="403">
        <f>'Portefeuille SP2'!V538</f>
        <v>0</v>
      </c>
      <c r="AK513" s="403">
        <f>'Portefeuille SP2'!W538</f>
        <v>0</v>
      </c>
      <c r="AL513" s="403">
        <f>'Portefeuille SP2'!X538</f>
        <v>0</v>
      </c>
      <c r="AM513" s="403">
        <f>'Portefeuille SP2'!Y538</f>
        <v>0</v>
      </c>
      <c r="AN513" s="403">
        <f>'Portefeuille SP2'!Z538</f>
        <v>0</v>
      </c>
      <c r="AO513" s="403">
        <f>'Portefeuille SP2'!AA538</f>
        <v>0</v>
      </c>
      <c r="AP513" s="403">
        <f>'Portefeuille SP2'!AB538</f>
        <v>0</v>
      </c>
      <c r="AQ513" s="403">
        <f>'Portefeuille SP2'!AC538</f>
        <v>0</v>
      </c>
      <c r="AR513" s="403">
        <f>'Portefeuille SP2'!AD538</f>
        <v>0</v>
      </c>
      <c r="AS513" s="403">
        <f>'Portefeuille SP2'!AE538</f>
        <v>0</v>
      </c>
      <c r="AT513" s="403">
        <f>'Portefeuille SP2'!AF538</f>
        <v>0</v>
      </c>
      <c r="AU513" s="403">
        <f>'Portefeuille SP2'!AG538</f>
        <v>0</v>
      </c>
      <c r="AV513" s="403">
        <f>'Portefeuille SP2'!AH538</f>
        <v>0</v>
      </c>
      <c r="AW513" s="403">
        <f>'Portefeuille SP2'!AI538</f>
        <v>0</v>
      </c>
      <c r="AX513" s="403">
        <f>'Portefeuille SP2'!AJ538</f>
        <v>0</v>
      </c>
      <c r="AY513" s="403">
        <f>'Portefeuille SP2'!AK538</f>
        <v>0</v>
      </c>
      <c r="AZ513" s="403">
        <f>'Portefeuille SP2'!AL538</f>
        <v>0</v>
      </c>
      <c r="BA513" s="403">
        <f>'Portefeuille SP2'!AM538</f>
        <v>0</v>
      </c>
      <c r="BB513" s="403">
        <f>'Portefeuille SP2'!AN538</f>
        <v>0</v>
      </c>
      <c r="BC513" s="403">
        <f>'Portefeuille SP2'!AO538</f>
        <v>0</v>
      </c>
      <c r="BD513" s="403">
        <f>'Portefeuille SP2'!AP538</f>
        <v>0</v>
      </c>
      <c r="BE513" s="403">
        <f>'Portefeuille SP2'!AQ538</f>
        <v>0</v>
      </c>
      <c r="BF513" s="403">
        <f>'Portefeuille SP2'!AR538</f>
        <v>0</v>
      </c>
      <c r="BG513" s="403" t="e">
        <f>'Portefeuille SP2'!#REF!</f>
        <v>#REF!</v>
      </c>
      <c r="BH513" s="403" t="e">
        <f>'Portefeuille SP2'!#REF!</f>
        <v>#REF!</v>
      </c>
      <c r="BI513" s="403" t="e">
        <f>'Portefeuille SP2'!#REF!</f>
        <v>#REF!</v>
      </c>
      <c r="BJ513" s="403" t="e">
        <f>'Portefeuille SP2'!#REF!</f>
        <v>#REF!</v>
      </c>
      <c r="BK513" s="403" t="e">
        <f>'Portefeuille SP2'!#REF!</f>
        <v>#REF!</v>
      </c>
      <c r="BL513" s="388"/>
      <c r="BM513" s="404">
        <f>'Portefeuille SP2'!L538</f>
        <v>0</v>
      </c>
    </row>
    <row r="514" spans="1:65" ht="15" customHeight="1">
      <c r="A514" s="383">
        <f>'Portefeuille SP2'!B539</f>
        <v>0</v>
      </c>
      <c r="B514" s="390">
        <f>'Portefeuille SP2'!Q539</f>
        <v>0</v>
      </c>
      <c r="C514" s="384"/>
      <c r="D514" s="382">
        <f>'Portefeuille SP2'!E539</f>
        <v>0</v>
      </c>
      <c r="E514" s="382" t="str">
        <f t="shared" si="35"/>
        <v>0</v>
      </c>
      <c r="F514" s="382" t="str">
        <f t="shared" si="36"/>
        <v/>
      </c>
      <c r="G514" s="382">
        <f>'Portefeuille SP2'!C539</f>
        <v>0</v>
      </c>
      <c r="H514" s="382">
        <f>'Portefeuille SP2'!F539</f>
        <v>0</v>
      </c>
      <c r="I514" s="382"/>
      <c r="J514" s="382">
        <f>'Portefeuille SP2'!D539</f>
        <v>0</v>
      </c>
      <c r="K514" s="385">
        <f>'Portefeuille SP2'!H539</f>
        <v>0</v>
      </c>
      <c r="L514" s="157">
        <f>'Portefeuille SP2'!U539</f>
        <v>0</v>
      </c>
      <c r="M514" s="386"/>
      <c r="N514" s="386"/>
      <c r="O514" s="386"/>
      <c r="P514" s="387">
        <f>'Portefeuille SP2'!M539</f>
        <v>0</v>
      </c>
      <c r="Q514" s="387"/>
      <c r="R514" s="387">
        <f>'Portefeuille SP2'!N539</f>
        <v>0</v>
      </c>
      <c r="S514" s="387"/>
      <c r="T514" s="382">
        <f>'Portefeuille SP2'!R539</f>
        <v>0</v>
      </c>
      <c r="U514" s="387">
        <f>'Portefeuille SP2'!K539</f>
        <v>0</v>
      </c>
      <c r="V514" s="399">
        <f>'Portefeuille SP2'!S539</f>
        <v>0</v>
      </c>
      <c r="W514" s="387"/>
      <c r="X514" s="387"/>
      <c r="Y514" s="387"/>
      <c r="Z514" s="387"/>
      <c r="AA514" s="387"/>
      <c r="AB514" s="387"/>
      <c r="AC514" s="387"/>
      <c r="AD514" s="387"/>
      <c r="AE514" s="400">
        <f>'Portefeuille SP2'!J539</f>
        <v>0</v>
      </c>
      <c r="AF514" s="387"/>
      <c r="AG514" s="387"/>
      <c r="AH514" s="389"/>
      <c r="AI514" s="389"/>
      <c r="AJ514" s="403">
        <f>'Portefeuille SP2'!V539</f>
        <v>0</v>
      </c>
      <c r="AK514" s="403">
        <f>'Portefeuille SP2'!W539</f>
        <v>0</v>
      </c>
      <c r="AL514" s="403">
        <f>'Portefeuille SP2'!X539</f>
        <v>0</v>
      </c>
      <c r="AM514" s="403">
        <f>'Portefeuille SP2'!Y539</f>
        <v>0</v>
      </c>
      <c r="AN514" s="403">
        <f>'Portefeuille SP2'!Z539</f>
        <v>0</v>
      </c>
      <c r="AO514" s="403">
        <f>'Portefeuille SP2'!AA539</f>
        <v>0</v>
      </c>
      <c r="AP514" s="403">
        <f>'Portefeuille SP2'!AB539</f>
        <v>0</v>
      </c>
      <c r="AQ514" s="403">
        <f>'Portefeuille SP2'!AC539</f>
        <v>0</v>
      </c>
      <c r="AR514" s="403">
        <f>'Portefeuille SP2'!AD539</f>
        <v>0</v>
      </c>
      <c r="AS514" s="403">
        <f>'Portefeuille SP2'!AE539</f>
        <v>0</v>
      </c>
      <c r="AT514" s="403">
        <f>'Portefeuille SP2'!AF539</f>
        <v>0</v>
      </c>
      <c r="AU514" s="403">
        <f>'Portefeuille SP2'!AG539</f>
        <v>0</v>
      </c>
      <c r="AV514" s="403">
        <f>'Portefeuille SP2'!AH539</f>
        <v>0</v>
      </c>
      <c r="AW514" s="403">
        <f>'Portefeuille SP2'!AI539</f>
        <v>0</v>
      </c>
      <c r="AX514" s="403">
        <f>'Portefeuille SP2'!AJ539</f>
        <v>0</v>
      </c>
      <c r="AY514" s="403">
        <f>'Portefeuille SP2'!AK539</f>
        <v>0</v>
      </c>
      <c r="AZ514" s="403">
        <f>'Portefeuille SP2'!AL539</f>
        <v>0</v>
      </c>
      <c r="BA514" s="403">
        <f>'Portefeuille SP2'!AM539</f>
        <v>0</v>
      </c>
      <c r="BB514" s="403">
        <f>'Portefeuille SP2'!AN539</f>
        <v>0</v>
      </c>
      <c r="BC514" s="403">
        <f>'Portefeuille SP2'!AO539</f>
        <v>0</v>
      </c>
      <c r="BD514" s="403">
        <f>'Portefeuille SP2'!AP539</f>
        <v>0</v>
      </c>
      <c r="BE514" s="403">
        <f>'Portefeuille SP2'!AQ539</f>
        <v>0</v>
      </c>
      <c r="BF514" s="403">
        <f>'Portefeuille SP2'!AR539</f>
        <v>0</v>
      </c>
      <c r="BG514" s="403" t="e">
        <f>'Portefeuille SP2'!#REF!</f>
        <v>#REF!</v>
      </c>
      <c r="BH514" s="403" t="e">
        <f>'Portefeuille SP2'!#REF!</f>
        <v>#REF!</v>
      </c>
      <c r="BI514" s="403" t="e">
        <f>'Portefeuille SP2'!#REF!</f>
        <v>#REF!</v>
      </c>
      <c r="BJ514" s="403" t="e">
        <f>'Portefeuille SP2'!#REF!</f>
        <v>#REF!</v>
      </c>
      <c r="BK514" s="403" t="e">
        <f>'Portefeuille SP2'!#REF!</f>
        <v>#REF!</v>
      </c>
      <c r="BL514" s="388"/>
      <c r="BM514" s="404">
        <f>'Portefeuille SP2'!L539</f>
        <v>0</v>
      </c>
    </row>
    <row r="515" spans="1:65" ht="15" customHeight="1">
      <c r="A515" s="383">
        <f>'Portefeuille SP2'!B540</f>
        <v>0</v>
      </c>
      <c r="B515" s="390">
        <f>'Portefeuille SP2'!Q540</f>
        <v>0</v>
      </c>
      <c r="C515" s="384"/>
      <c r="D515" s="382">
        <f>'Portefeuille SP2'!E540</f>
        <v>0</v>
      </c>
      <c r="E515" s="382" t="str">
        <f t="shared" si="35"/>
        <v>0</v>
      </c>
      <c r="F515" s="382" t="str">
        <f t="shared" si="36"/>
        <v/>
      </c>
      <c r="G515" s="382">
        <f>'Portefeuille SP2'!C540</f>
        <v>0</v>
      </c>
      <c r="H515" s="382">
        <f>'Portefeuille SP2'!F540</f>
        <v>0</v>
      </c>
      <c r="I515" s="382"/>
      <c r="J515" s="382">
        <f>'Portefeuille SP2'!D540</f>
        <v>0</v>
      </c>
      <c r="K515" s="385">
        <f>'Portefeuille SP2'!H540</f>
        <v>0</v>
      </c>
      <c r="L515" s="157">
        <f>'Portefeuille SP2'!U540</f>
        <v>0</v>
      </c>
      <c r="M515" s="386"/>
      <c r="N515" s="386"/>
      <c r="O515" s="386"/>
      <c r="P515" s="387">
        <f>'Portefeuille SP2'!M540</f>
        <v>0</v>
      </c>
      <c r="Q515" s="387"/>
      <c r="R515" s="387">
        <f>'Portefeuille SP2'!N540</f>
        <v>0</v>
      </c>
      <c r="S515" s="387"/>
      <c r="T515" s="382">
        <f>'Portefeuille SP2'!R540</f>
        <v>0</v>
      </c>
      <c r="U515" s="387">
        <f>'Portefeuille SP2'!K540</f>
        <v>0</v>
      </c>
      <c r="V515" s="399">
        <f>'Portefeuille SP2'!S540</f>
        <v>0</v>
      </c>
      <c r="W515" s="387"/>
      <c r="X515" s="387"/>
      <c r="Y515" s="387"/>
      <c r="Z515" s="387"/>
      <c r="AA515" s="387"/>
      <c r="AB515" s="387"/>
      <c r="AC515" s="387"/>
      <c r="AD515" s="387"/>
      <c r="AE515" s="400">
        <f>'Portefeuille SP2'!J540</f>
        <v>0</v>
      </c>
      <c r="AF515" s="387"/>
      <c r="AG515" s="387"/>
      <c r="AH515" s="389"/>
      <c r="AI515" s="389"/>
      <c r="AJ515" s="403">
        <f>'Portefeuille SP2'!V540</f>
        <v>0</v>
      </c>
      <c r="AK515" s="403">
        <f>'Portefeuille SP2'!W540</f>
        <v>0</v>
      </c>
      <c r="AL515" s="403">
        <f>'Portefeuille SP2'!X540</f>
        <v>0</v>
      </c>
      <c r="AM515" s="403">
        <f>'Portefeuille SP2'!Y540</f>
        <v>0</v>
      </c>
      <c r="AN515" s="403">
        <f>'Portefeuille SP2'!Z540</f>
        <v>0</v>
      </c>
      <c r="AO515" s="403">
        <f>'Portefeuille SP2'!AA540</f>
        <v>0</v>
      </c>
      <c r="AP515" s="403">
        <f>'Portefeuille SP2'!AB540</f>
        <v>0</v>
      </c>
      <c r="AQ515" s="403">
        <f>'Portefeuille SP2'!AC540</f>
        <v>0</v>
      </c>
      <c r="AR515" s="403">
        <f>'Portefeuille SP2'!AD540</f>
        <v>0</v>
      </c>
      <c r="AS515" s="403">
        <f>'Portefeuille SP2'!AE540</f>
        <v>0</v>
      </c>
      <c r="AT515" s="403">
        <f>'Portefeuille SP2'!AF540</f>
        <v>0</v>
      </c>
      <c r="AU515" s="403">
        <f>'Portefeuille SP2'!AG540</f>
        <v>0</v>
      </c>
      <c r="AV515" s="403">
        <f>'Portefeuille SP2'!AH540</f>
        <v>0</v>
      </c>
      <c r="AW515" s="403">
        <f>'Portefeuille SP2'!AI540</f>
        <v>0</v>
      </c>
      <c r="AX515" s="403">
        <f>'Portefeuille SP2'!AJ540</f>
        <v>0</v>
      </c>
      <c r="AY515" s="403">
        <f>'Portefeuille SP2'!AK540</f>
        <v>0</v>
      </c>
      <c r="AZ515" s="403">
        <f>'Portefeuille SP2'!AL540</f>
        <v>0</v>
      </c>
      <c r="BA515" s="403">
        <f>'Portefeuille SP2'!AM540</f>
        <v>0</v>
      </c>
      <c r="BB515" s="403">
        <f>'Portefeuille SP2'!AN540</f>
        <v>0</v>
      </c>
      <c r="BC515" s="403">
        <f>'Portefeuille SP2'!AO540</f>
        <v>0</v>
      </c>
      <c r="BD515" s="403">
        <f>'Portefeuille SP2'!AP540</f>
        <v>0</v>
      </c>
      <c r="BE515" s="403">
        <f>'Portefeuille SP2'!AQ540</f>
        <v>0</v>
      </c>
      <c r="BF515" s="403">
        <f>'Portefeuille SP2'!AR540</f>
        <v>0</v>
      </c>
      <c r="BG515" s="403" t="e">
        <f>'Portefeuille SP2'!#REF!</f>
        <v>#REF!</v>
      </c>
      <c r="BH515" s="403" t="e">
        <f>'Portefeuille SP2'!#REF!</f>
        <v>#REF!</v>
      </c>
      <c r="BI515" s="403" t="e">
        <f>'Portefeuille SP2'!#REF!</f>
        <v>#REF!</v>
      </c>
      <c r="BJ515" s="403" t="e">
        <f>'Portefeuille SP2'!#REF!</f>
        <v>#REF!</v>
      </c>
      <c r="BK515" s="403" t="e">
        <f>'Portefeuille SP2'!#REF!</f>
        <v>#REF!</v>
      </c>
      <c r="BL515" s="388"/>
      <c r="BM515" s="404">
        <f>'Portefeuille SP2'!L540</f>
        <v>0</v>
      </c>
    </row>
    <row r="516" spans="1:65" ht="15" customHeight="1">
      <c r="A516" s="383">
        <f>'Portefeuille SP2'!B541</f>
        <v>0</v>
      </c>
      <c r="B516" s="390">
        <f>'Portefeuille SP2'!Q541</f>
        <v>0</v>
      </c>
      <c r="C516" s="384"/>
      <c r="D516" s="382">
        <f>'Portefeuille SP2'!E541</f>
        <v>0</v>
      </c>
      <c r="E516" s="382" t="str">
        <f t="shared" si="35"/>
        <v>0</v>
      </c>
      <c r="F516" s="382" t="str">
        <f t="shared" si="36"/>
        <v/>
      </c>
      <c r="G516" s="382">
        <f>'Portefeuille SP2'!C541</f>
        <v>0</v>
      </c>
      <c r="H516" s="382">
        <f>'Portefeuille SP2'!F541</f>
        <v>0</v>
      </c>
      <c r="I516" s="382"/>
      <c r="J516" s="382">
        <f>'Portefeuille SP2'!D541</f>
        <v>0</v>
      </c>
      <c r="K516" s="385">
        <f>'Portefeuille SP2'!H541</f>
        <v>0</v>
      </c>
      <c r="L516" s="157">
        <f>'Portefeuille SP2'!U541</f>
        <v>0</v>
      </c>
      <c r="M516" s="386"/>
      <c r="N516" s="386"/>
      <c r="O516" s="386"/>
      <c r="P516" s="387">
        <f>'Portefeuille SP2'!M541</f>
        <v>0</v>
      </c>
      <c r="Q516" s="387"/>
      <c r="R516" s="387">
        <f>'Portefeuille SP2'!N541</f>
        <v>0</v>
      </c>
      <c r="S516" s="387"/>
      <c r="T516" s="382">
        <f>'Portefeuille SP2'!R541</f>
        <v>0</v>
      </c>
      <c r="U516" s="387">
        <f>'Portefeuille SP2'!K541</f>
        <v>0</v>
      </c>
      <c r="V516" s="399">
        <f>'Portefeuille SP2'!S541</f>
        <v>0</v>
      </c>
      <c r="W516" s="387"/>
      <c r="X516" s="387"/>
      <c r="Y516" s="387"/>
      <c r="Z516" s="387"/>
      <c r="AA516" s="387"/>
      <c r="AB516" s="387"/>
      <c r="AC516" s="387"/>
      <c r="AD516" s="387"/>
      <c r="AE516" s="400">
        <f>'Portefeuille SP2'!J541</f>
        <v>0</v>
      </c>
      <c r="AF516" s="387"/>
      <c r="AG516" s="387"/>
      <c r="AH516" s="389"/>
      <c r="AI516" s="389"/>
      <c r="AJ516" s="403">
        <f>'Portefeuille SP2'!V541</f>
        <v>0</v>
      </c>
      <c r="AK516" s="403">
        <f>'Portefeuille SP2'!W541</f>
        <v>0</v>
      </c>
      <c r="AL516" s="403">
        <f>'Portefeuille SP2'!X541</f>
        <v>0</v>
      </c>
      <c r="AM516" s="403">
        <f>'Portefeuille SP2'!Y541</f>
        <v>0</v>
      </c>
      <c r="AN516" s="403">
        <f>'Portefeuille SP2'!Z541</f>
        <v>0</v>
      </c>
      <c r="AO516" s="403">
        <f>'Portefeuille SP2'!AA541</f>
        <v>0</v>
      </c>
      <c r="AP516" s="403">
        <f>'Portefeuille SP2'!AB541</f>
        <v>0</v>
      </c>
      <c r="AQ516" s="403">
        <f>'Portefeuille SP2'!AC541</f>
        <v>0</v>
      </c>
      <c r="AR516" s="403">
        <f>'Portefeuille SP2'!AD541</f>
        <v>0</v>
      </c>
      <c r="AS516" s="403">
        <f>'Portefeuille SP2'!AE541</f>
        <v>0</v>
      </c>
      <c r="AT516" s="403">
        <f>'Portefeuille SP2'!AF541</f>
        <v>0</v>
      </c>
      <c r="AU516" s="403">
        <f>'Portefeuille SP2'!AG541</f>
        <v>0</v>
      </c>
      <c r="AV516" s="403">
        <f>'Portefeuille SP2'!AH541</f>
        <v>0</v>
      </c>
      <c r="AW516" s="403">
        <f>'Portefeuille SP2'!AI541</f>
        <v>0</v>
      </c>
      <c r="AX516" s="403">
        <f>'Portefeuille SP2'!AJ541</f>
        <v>0</v>
      </c>
      <c r="AY516" s="403">
        <f>'Portefeuille SP2'!AK541</f>
        <v>0</v>
      </c>
      <c r="AZ516" s="403">
        <f>'Portefeuille SP2'!AL541</f>
        <v>0</v>
      </c>
      <c r="BA516" s="403">
        <f>'Portefeuille SP2'!AM541</f>
        <v>0</v>
      </c>
      <c r="BB516" s="403">
        <f>'Portefeuille SP2'!AN541</f>
        <v>0</v>
      </c>
      <c r="BC516" s="403">
        <f>'Portefeuille SP2'!AO541</f>
        <v>0</v>
      </c>
      <c r="BD516" s="403">
        <f>'Portefeuille SP2'!AP541</f>
        <v>0</v>
      </c>
      <c r="BE516" s="403">
        <f>'Portefeuille SP2'!AQ541</f>
        <v>0</v>
      </c>
      <c r="BF516" s="403">
        <f>'Portefeuille SP2'!AR541</f>
        <v>0</v>
      </c>
      <c r="BG516" s="403" t="e">
        <f>'Portefeuille SP2'!#REF!</f>
        <v>#REF!</v>
      </c>
      <c r="BH516" s="403" t="e">
        <f>'Portefeuille SP2'!#REF!</f>
        <v>#REF!</v>
      </c>
      <c r="BI516" s="403" t="e">
        <f>'Portefeuille SP2'!#REF!</f>
        <v>#REF!</v>
      </c>
      <c r="BJ516" s="403" t="e">
        <f>'Portefeuille SP2'!#REF!</f>
        <v>#REF!</v>
      </c>
      <c r="BK516" s="403" t="e">
        <f>'Portefeuille SP2'!#REF!</f>
        <v>#REF!</v>
      </c>
      <c r="BL516" s="388"/>
      <c r="BM516" s="404">
        <f>'Portefeuille SP2'!L541</f>
        <v>0</v>
      </c>
    </row>
    <row r="517" spans="1:65" ht="15" customHeight="1">
      <c r="A517" s="383">
        <f>'Portefeuille SP2'!B542</f>
        <v>0</v>
      </c>
      <c r="B517" s="390">
        <f>'Portefeuille SP2'!Q542</f>
        <v>0</v>
      </c>
      <c r="C517" s="384"/>
      <c r="D517" s="382">
        <f>'Portefeuille SP2'!E542</f>
        <v>0</v>
      </c>
      <c r="E517" s="382" t="str">
        <f t="shared" si="35"/>
        <v>0</v>
      </c>
      <c r="F517" s="382" t="str">
        <f t="shared" si="36"/>
        <v/>
      </c>
      <c r="G517" s="382">
        <f>'Portefeuille SP2'!C542</f>
        <v>0</v>
      </c>
      <c r="H517" s="382">
        <f>'Portefeuille SP2'!F542</f>
        <v>0</v>
      </c>
      <c r="I517" s="382"/>
      <c r="J517" s="382">
        <f>'Portefeuille SP2'!D542</f>
        <v>0</v>
      </c>
      <c r="K517" s="385">
        <f>'Portefeuille SP2'!H542</f>
        <v>0</v>
      </c>
      <c r="L517" s="157">
        <f>'Portefeuille SP2'!U542</f>
        <v>0</v>
      </c>
      <c r="M517" s="386"/>
      <c r="N517" s="386"/>
      <c r="O517" s="386"/>
      <c r="P517" s="387">
        <f>'Portefeuille SP2'!M542</f>
        <v>0</v>
      </c>
      <c r="Q517" s="387"/>
      <c r="R517" s="387">
        <f>'Portefeuille SP2'!N542</f>
        <v>0</v>
      </c>
      <c r="S517" s="387"/>
      <c r="T517" s="382">
        <f>'Portefeuille SP2'!R542</f>
        <v>0</v>
      </c>
      <c r="U517" s="387">
        <f>'Portefeuille SP2'!K542</f>
        <v>0</v>
      </c>
      <c r="V517" s="399">
        <f>'Portefeuille SP2'!S542</f>
        <v>0</v>
      </c>
      <c r="W517" s="387"/>
      <c r="X517" s="387"/>
      <c r="Y517" s="387"/>
      <c r="Z517" s="387"/>
      <c r="AA517" s="387"/>
      <c r="AB517" s="387"/>
      <c r="AC517" s="387"/>
      <c r="AD517" s="387"/>
      <c r="AE517" s="400">
        <f>'Portefeuille SP2'!J542</f>
        <v>0</v>
      </c>
      <c r="AF517" s="387"/>
      <c r="AG517" s="387"/>
      <c r="AH517" s="389"/>
      <c r="AI517" s="389"/>
      <c r="AJ517" s="403">
        <f>'Portefeuille SP2'!V542</f>
        <v>0</v>
      </c>
      <c r="AK517" s="403">
        <f>'Portefeuille SP2'!W542</f>
        <v>0</v>
      </c>
      <c r="AL517" s="403">
        <f>'Portefeuille SP2'!X542</f>
        <v>0</v>
      </c>
      <c r="AM517" s="403">
        <f>'Portefeuille SP2'!Y542</f>
        <v>0</v>
      </c>
      <c r="AN517" s="403">
        <f>'Portefeuille SP2'!Z542</f>
        <v>0</v>
      </c>
      <c r="AO517" s="403">
        <f>'Portefeuille SP2'!AA542</f>
        <v>0</v>
      </c>
      <c r="AP517" s="403">
        <f>'Portefeuille SP2'!AB542</f>
        <v>0</v>
      </c>
      <c r="AQ517" s="403">
        <f>'Portefeuille SP2'!AC542</f>
        <v>0</v>
      </c>
      <c r="AR517" s="403">
        <f>'Portefeuille SP2'!AD542</f>
        <v>0</v>
      </c>
      <c r="AS517" s="403">
        <f>'Portefeuille SP2'!AE542</f>
        <v>0</v>
      </c>
      <c r="AT517" s="403">
        <f>'Portefeuille SP2'!AF542</f>
        <v>0</v>
      </c>
      <c r="AU517" s="403">
        <f>'Portefeuille SP2'!AG542</f>
        <v>0</v>
      </c>
      <c r="AV517" s="403">
        <f>'Portefeuille SP2'!AH542</f>
        <v>0</v>
      </c>
      <c r="AW517" s="403">
        <f>'Portefeuille SP2'!AI542</f>
        <v>0</v>
      </c>
      <c r="AX517" s="403">
        <f>'Portefeuille SP2'!AJ542</f>
        <v>0</v>
      </c>
      <c r="AY517" s="403">
        <f>'Portefeuille SP2'!AK542</f>
        <v>0</v>
      </c>
      <c r="AZ517" s="403">
        <f>'Portefeuille SP2'!AL542</f>
        <v>0</v>
      </c>
      <c r="BA517" s="403">
        <f>'Portefeuille SP2'!AM542</f>
        <v>0</v>
      </c>
      <c r="BB517" s="403">
        <f>'Portefeuille SP2'!AN542</f>
        <v>0</v>
      </c>
      <c r="BC517" s="403">
        <f>'Portefeuille SP2'!AO542</f>
        <v>0</v>
      </c>
      <c r="BD517" s="403">
        <f>'Portefeuille SP2'!AP542</f>
        <v>0</v>
      </c>
      <c r="BE517" s="403">
        <f>'Portefeuille SP2'!AQ542</f>
        <v>0</v>
      </c>
      <c r="BF517" s="403">
        <f>'Portefeuille SP2'!AR542</f>
        <v>0</v>
      </c>
      <c r="BG517" s="403" t="e">
        <f>'Portefeuille SP2'!#REF!</f>
        <v>#REF!</v>
      </c>
      <c r="BH517" s="403" t="e">
        <f>'Portefeuille SP2'!#REF!</f>
        <v>#REF!</v>
      </c>
      <c r="BI517" s="403" t="e">
        <f>'Portefeuille SP2'!#REF!</f>
        <v>#REF!</v>
      </c>
      <c r="BJ517" s="403" t="e">
        <f>'Portefeuille SP2'!#REF!</f>
        <v>#REF!</v>
      </c>
      <c r="BK517" s="403" t="e">
        <f>'Portefeuille SP2'!#REF!</f>
        <v>#REF!</v>
      </c>
      <c r="BL517" s="388"/>
      <c r="BM517" s="404">
        <f>'Portefeuille SP2'!L542</f>
        <v>0</v>
      </c>
    </row>
    <row r="518" spans="1:65" ht="15" customHeight="1">
      <c r="A518" s="383">
        <f>'Portefeuille SP2'!B543</f>
        <v>0</v>
      </c>
      <c r="B518" s="390">
        <f>'Portefeuille SP2'!Q543</f>
        <v>0</v>
      </c>
      <c r="C518" s="384"/>
      <c r="D518" s="382">
        <f>'Portefeuille SP2'!E543</f>
        <v>0</v>
      </c>
      <c r="E518" s="382" t="str">
        <f t="shared" si="35"/>
        <v>0</v>
      </c>
      <c r="F518" s="382" t="str">
        <f t="shared" si="36"/>
        <v/>
      </c>
      <c r="G518" s="382">
        <f>'Portefeuille SP2'!C543</f>
        <v>0</v>
      </c>
      <c r="H518" s="382">
        <f>'Portefeuille SP2'!F543</f>
        <v>0</v>
      </c>
      <c r="I518" s="382"/>
      <c r="J518" s="382">
        <f>'Portefeuille SP2'!D543</f>
        <v>0</v>
      </c>
      <c r="K518" s="385">
        <f>'Portefeuille SP2'!H543</f>
        <v>0</v>
      </c>
      <c r="L518" s="157">
        <f>'Portefeuille SP2'!U543</f>
        <v>0</v>
      </c>
      <c r="M518" s="386"/>
      <c r="N518" s="386"/>
      <c r="O518" s="386"/>
      <c r="P518" s="387">
        <f>'Portefeuille SP2'!M543</f>
        <v>0</v>
      </c>
      <c r="Q518" s="387"/>
      <c r="R518" s="387">
        <f>'Portefeuille SP2'!N543</f>
        <v>0</v>
      </c>
      <c r="S518" s="387"/>
      <c r="T518" s="382">
        <f>'Portefeuille SP2'!R543</f>
        <v>0</v>
      </c>
      <c r="U518" s="387">
        <f>'Portefeuille SP2'!K543</f>
        <v>0</v>
      </c>
      <c r="V518" s="399">
        <f>'Portefeuille SP2'!S543</f>
        <v>0</v>
      </c>
      <c r="W518" s="387"/>
      <c r="X518" s="387"/>
      <c r="Y518" s="387"/>
      <c r="Z518" s="387"/>
      <c r="AA518" s="387"/>
      <c r="AB518" s="387"/>
      <c r="AC518" s="387"/>
      <c r="AD518" s="387"/>
      <c r="AE518" s="400">
        <f>'Portefeuille SP2'!J543</f>
        <v>0</v>
      </c>
      <c r="AF518" s="387"/>
      <c r="AG518" s="387"/>
      <c r="AH518" s="389"/>
      <c r="AI518" s="389"/>
      <c r="AJ518" s="403">
        <f>'Portefeuille SP2'!V543</f>
        <v>0</v>
      </c>
      <c r="AK518" s="403">
        <f>'Portefeuille SP2'!W543</f>
        <v>0</v>
      </c>
      <c r="AL518" s="403">
        <f>'Portefeuille SP2'!X543</f>
        <v>0</v>
      </c>
      <c r="AM518" s="403">
        <f>'Portefeuille SP2'!Y543</f>
        <v>0</v>
      </c>
      <c r="AN518" s="403">
        <f>'Portefeuille SP2'!Z543</f>
        <v>0</v>
      </c>
      <c r="AO518" s="403">
        <f>'Portefeuille SP2'!AA543</f>
        <v>0</v>
      </c>
      <c r="AP518" s="403">
        <f>'Portefeuille SP2'!AB543</f>
        <v>0</v>
      </c>
      <c r="AQ518" s="403">
        <f>'Portefeuille SP2'!AC543</f>
        <v>0</v>
      </c>
      <c r="AR518" s="403">
        <f>'Portefeuille SP2'!AD543</f>
        <v>0</v>
      </c>
      <c r="AS518" s="403">
        <f>'Portefeuille SP2'!AE543</f>
        <v>0</v>
      </c>
      <c r="AT518" s="403">
        <f>'Portefeuille SP2'!AF543</f>
        <v>0</v>
      </c>
      <c r="AU518" s="403">
        <f>'Portefeuille SP2'!AG543</f>
        <v>0</v>
      </c>
      <c r="AV518" s="403">
        <f>'Portefeuille SP2'!AH543</f>
        <v>0</v>
      </c>
      <c r="AW518" s="403">
        <f>'Portefeuille SP2'!AI543</f>
        <v>0</v>
      </c>
      <c r="AX518" s="403">
        <f>'Portefeuille SP2'!AJ543</f>
        <v>0</v>
      </c>
      <c r="AY518" s="403">
        <f>'Portefeuille SP2'!AK543</f>
        <v>0</v>
      </c>
      <c r="AZ518" s="403">
        <f>'Portefeuille SP2'!AL543</f>
        <v>0</v>
      </c>
      <c r="BA518" s="403">
        <f>'Portefeuille SP2'!AM543</f>
        <v>0</v>
      </c>
      <c r="BB518" s="403">
        <f>'Portefeuille SP2'!AN543</f>
        <v>0</v>
      </c>
      <c r="BC518" s="403">
        <f>'Portefeuille SP2'!AO543</f>
        <v>0</v>
      </c>
      <c r="BD518" s="403">
        <f>'Portefeuille SP2'!AP543</f>
        <v>0</v>
      </c>
      <c r="BE518" s="403">
        <f>'Portefeuille SP2'!AQ543</f>
        <v>0</v>
      </c>
      <c r="BF518" s="403">
        <f>'Portefeuille SP2'!AR543</f>
        <v>0</v>
      </c>
      <c r="BG518" s="403" t="e">
        <f>'Portefeuille SP2'!#REF!</f>
        <v>#REF!</v>
      </c>
      <c r="BH518" s="403" t="e">
        <f>'Portefeuille SP2'!#REF!</f>
        <v>#REF!</v>
      </c>
      <c r="BI518" s="403" t="e">
        <f>'Portefeuille SP2'!#REF!</f>
        <v>#REF!</v>
      </c>
      <c r="BJ518" s="403" t="e">
        <f>'Portefeuille SP2'!#REF!</f>
        <v>#REF!</v>
      </c>
      <c r="BK518" s="403" t="e">
        <f>'Portefeuille SP2'!#REF!</f>
        <v>#REF!</v>
      </c>
      <c r="BL518" s="388"/>
      <c r="BM518" s="404">
        <f>'Portefeuille SP2'!L543</f>
        <v>0</v>
      </c>
    </row>
    <row r="519" spans="1:65" ht="15" customHeight="1">
      <c r="A519" s="383">
        <f>'Portefeuille SP2'!B544</f>
        <v>0</v>
      </c>
      <c r="B519" s="390">
        <f>'Portefeuille SP2'!Q544</f>
        <v>0</v>
      </c>
      <c r="C519" s="384"/>
      <c r="D519" s="382">
        <f>'Portefeuille SP2'!E544</f>
        <v>0</v>
      </c>
      <c r="E519" s="382" t="str">
        <f t="shared" si="35"/>
        <v>0</v>
      </c>
      <c r="F519" s="382" t="str">
        <f t="shared" si="36"/>
        <v/>
      </c>
      <c r="G519" s="382">
        <f>'Portefeuille SP2'!C544</f>
        <v>0</v>
      </c>
      <c r="H519" s="382">
        <f>'Portefeuille SP2'!F544</f>
        <v>0</v>
      </c>
      <c r="I519" s="382"/>
      <c r="J519" s="382">
        <f>'Portefeuille SP2'!D544</f>
        <v>0</v>
      </c>
      <c r="K519" s="385">
        <f>'Portefeuille SP2'!H544</f>
        <v>0</v>
      </c>
      <c r="L519" s="157">
        <f>'Portefeuille SP2'!U544</f>
        <v>0</v>
      </c>
      <c r="M519" s="386"/>
      <c r="N519" s="386"/>
      <c r="O519" s="386"/>
      <c r="P519" s="387">
        <f>'Portefeuille SP2'!M544</f>
        <v>0</v>
      </c>
      <c r="Q519" s="387"/>
      <c r="R519" s="387">
        <f>'Portefeuille SP2'!N544</f>
        <v>0</v>
      </c>
      <c r="S519" s="387"/>
      <c r="T519" s="382">
        <f>'Portefeuille SP2'!R544</f>
        <v>0</v>
      </c>
      <c r="U519" s="387">
        <f>'Portefeuille SP2'!K544</f>
        <v>0</v>
      </c>
      <c r="V519" s="399">
        <f>'Portefeuille SP2'!S544</f>
        <v>0</v>
      </c>
      <c r="W519" s="387"/>
      <c r="X519" s="387"/>
      <c r="Y519" s="387"/>
      <c r="Z519" s="387"/>
      <c r="AA519" s="387"/>
      <c r="AB519" s="387"/>
      <c r="AC519" s="387"/>
      <c r="AD519" s="387"/>
      <c r="AE519" s="400">
        <f>'Portefeuille SP2'!J544</f>
        <v>0</v>
      </c>
      <c r="AF519" s="387"/>
      <c r="AG519" s="387"/>
      <c r="AH519" s="389"/>
      <c r="AI519" s="389"/>
      <c r="AJ519" s="403">
        <f>'Portefeuille SP2'!V544</f>
        <v>0</v>
      </c>
      <c r="AK519" s="403">
        <f>'Portefeuille SP2'!W544</f>
        <v>0</v>
      </c>
      <c r="AL519" s="403">
        <f>'Portefeuille SP2'!X544</f>
        <v>0</v>
      </c>
      <c r="AM519" s="403">
        <f>'Portefeuille SP2'!Y544</f>
        <v>0</v>
      </c>
      <c r="AN519" s="403">
        <f>'Portefeuille SP2'!Z544</f>
        <v>0</v>
      </c>
      <c r="AO519" s="403">
        <f>'Portefeuille SP2'!AA544</f>
        <v>0</v>
      </c>
      <c r="AP519" s="403">
        <f>'Portefeuille SP2'!AB544</f>
        <v>0</v>
      </c>
      <c r="AQ519" s="403">
        <f>'Portefeuille SP2'!AC544</f>
        <v>0</v>
      </c>
      <c r="AR519" s="403">
        <f>'Portefeuille SP2'!AD544</f>
        <v>0</v>
      </c>
      <c r="AS519" s="403">
        <f>'Portefeuille SP2'!AE544</f>
        <v>0</v>
      </c>
      <c r="AT519" s="403">
        <f>'Portefeuille SP2'!AF544</f>
        <v>0</v>
      </c>
      <c r="AU519" s="403">
        <f>'Portefeuille SP2'!AG544</f>
        <v>0</v>
      </c>
      <c r="AV519" s="403">
        <f>'Portefeuille SP2'!AH544</f>
        <v>0</v>
      </c>
      <c r="AW519" s="403">
        <f>'Portefeuille SP2'!AI544</f>
        <v>0</v>
      </c>
      <c r="AX519" s="403">
        <f>'Portefeuille SP2'!AJ544</f>
        <v>0</v>
      </c>
      <c r="AY519" s="403">
        <f>'Portefeuille SP2'!AK544</f>
        <v>0</v>
      </c>
      <c r="AZ519" s="403">
        <f>'Portefeuille SP2'!AL544</f>
        <v>0</v>
      </c>
      <c r="BA519" s="403">
        <f>'Portefeuille SP2'!AM544</f>
        <v>0</v>
      </c>
      <c r="BB519" s="403">
        <f>'Portefeuille SP2'!AN544</f>
        <v>0</v>
      </c>
      <c r="BC519" s="403">
        <f>'Portefeuille SP2'!AO544</f>
        <v>0</v>
      </c>
      <c r="BD519" s="403">
        <f>'Portefeuille SP2'!AP544</f>
        <v>0</v>
      </c>
      <c r="BE519" s="403">
        <f>'Portefeuille SP2'!AQ544</f>
        <v>0</v>
      </c>
      <c r="BF519" s="403">
        <f>'Portefeuille SP2'!AR544</f>
        <v>0</v>
      </c>
      <c r="BG519" s="403" t="e">
        <f>'Portefeuille SP2'!#REF!</f>
        <v>#REF!</v>
      </c>
      <c r="BH519" s="403" t="e">
        <f>'Portefeuille SP2'!#REF!</f>
        <v>#REF!</v>
      </c>
      <c r="BI519" s="403" t="e">
        <f>'Portefeuille SP2'!#REF!</f>
        <v>#REF!</v>
      </c>
      <c r="BJ519" s="403" t="e">
        <f>'Portefeuille SP2'!#REF!</f>
        <v>#REF!</v>
      </c>
      <c r="BK519" s="403" t="e">
        <f>'Portefeuille SP2'!#REF!</f>
        <v>#REF!</v>
      </c>
      <c r="BL519" s="388"/>
      <c r="BM519" s="404">
        <f>'Portefeuille SP2'!L544</f>
        <v>0</v>
      </c>
    </row>
    <row r="520" spans="1:65" ht="15" customHeight="1">
      <c r="A520" s="383">
        <f>'Portefeuille SP2'!B545</f>
        <v>0</v>
      </c>
      <c r="B520" s="390">
        <f>'Portefeuille SP2'!Q545</f>
        <v>0</v>
      </c>
      <c r="C520" s="384"/>
      <c r="D520" s="382">
        <f>'Portefeuille SP2'!E545</f>
        <v>0</v>
      </c>
      <c r="E520" s="382" t="str">
        <f t="shared" si="35"/>
        <v>0</v>
      </c>
      <c r="F520" s="382" t="str">
        <f t="shared" si="36"/>
        <v/>
      </c>
      <c r="G520" s="382">
        <f>'Portefeuille SP2'!C545</f>
        <v>0</v>
      </c>
      <c r="H520" s="382">
        <f>'Portefeuille SP2'!F545</f>
        <v>0</v>
      </c>
      <c r="I520" s="382"/>
      <c r="J520" s="382">
        <f>'Portefeuille SP2'!D545</f>
        <v>0</v>
      </c>
      <c r="K520" s="385">
        <f>'Portefeuille SP2'!H545</f>
        <v>0</v>
      </c>
      <c r="L520" s="157">
        <f>'Portefeuille SP2'!U545</f>
        <v>0</v>
      </c>
      <c r="M520" s="386"/>
      <c r="N520" s="386"/>
      <c r="O520" s="386"/>
      <c r="P520" s="387">
        <f>'Portefeuille SP2'!M545</f>
        <v>0</v>
      </c>
      <c r="Q520" s="387"/>
      <c r="R520" s="387">
        <f>'Portefeuille SP2'!N545</f>
        <v>0</v>
      </c>
      <c r="S520" s="387"/>
      <c r="T520" s="382">
        <f>'Portefeuille SP2'!R545</f>
        <v>0</v>
      </c>
      <c r="U520" s="387">
        <f>'Portefeuille SP2'!K545</f>
        <v>0</v>
      </c>
      <c r="V520" s="399">
        <f>'Portefeuille SP2'!S545</f>
        <v>0</v>
      </c>
      <c r="W520" s="387"/>
      <c r="X520" s="387"/>
      <c r="Y520" s="387"/>
      <c r="Z520" s="387"/>
      <c r="AA520" s="387"/>
      <c r="AB520" s="387"/>
      <c r="AC520" s="387"/>
      <c r="AD520" s="387"/>
      <c r="AE520" s="400">
        <f>'Portefeuille SP2'!J545</f>
        <v>0</v>
      </c>
      <c r="AF520" s="387"/>
      <c r="AG520" s="387"/>
      <c r="AH520" s="389"/>
      <c r="AI520" s="389"/>
      <c r="AJ520" s="403">
        <f>'Portefeuille SP2'!V545</f>
        <v>0</v>
      </c>
      <c r="AK520" s="403">
        <f>'Portefeuille SP2'!W545</f>
        <v>0</v>
      </c>
      <c r="AL520" s="403">
        <f>'Portefeuille SP2'!X545</f>
        <v>0</v>
      </c>
      <c r="AM520" s="403">
        <f>'Portefeuille SP2'!Y545</f>
        <v>0</v>
      </c>
      <c r="AN520" s="403">
        <f>'Portefeuille SP2'!Z545</f>
        <v>0</v>
      </c>
      <c r="AO520" s="403">
        <f>'Portefeuille SP2'!AA545</f>
        <v>0</v>
      </c>
      <c r="AP520" s="403">
        <f>'Portefeuille SP2'!AB545</f>
        <v>0</v>
      </c>
      <c r="AQ520" s="403">
        <f>'Portefeuille SP2'!AC545</f>
        <v>0</v>
      </c>
      <c r="AR520" s="403">
        <f>'Portefeuille SP2'!AD545</f>
        <v>0</v>
      </c>
      <c r="AS520" s="403">
        <f>'Portefeuille SP2'!AE545</f>
        <v>0</v>
      </c>
      <c r="AT520" s="403">
        <f>'Portefeuille SP2'!AF545</f>
        <v>0</v>
      </c>
      <c r="AU520" s="403">
        <f>'Portefeuille SP2'!AG545</f>
        <v>0</v>
      </c>
      <c r="AV520" s="403">
        <f>'Portefeuille SP2'!AH545</f>
        <v>0</v>
      </c>
      <c r="AW520" s="403">
        <f>'Portefeuille SP2'!AI545</f>
        <v>0</v>
      </c>
      <c r="AX520" s="403">
        <f>'Portefeuille SP2'!AJ545</f>
        <v>0</v>
      </c>
      <c r="AY520" s="403">
        <f>'Portefeuille SP2'!AK545</f>
        <v>0</v>
      </c>
      <c r="AZ520" s="403">
        <f>'Portefeuille SP2'!AL545</f>
        <v>0</v>
      </c>
      <c r="BA520" s="403">
        <f>'Portefeuille SP2'!AM545</f>
        <v>0</v>
      </c>
      <c r="BB520" s="403">
        <f>'Portefeuille SP2'!AN545</f>
        <v>0</v>
      </c>
      <c r="BC520" s="403">
        <f>'Portefeuille SP2'!AO545</f>
        <v>0</v>
      </c>
      <c r="BD520" s="403">
        <f>'Portefeuille SP2'!AP545</f>
        <v>0</v>
      </c>
      <c r="BE520" s="403">
        <f>'Portefeuille SP2'!AQ545</f>
        <v>0</v>
      </c>
      <c r="BF520" s="403">
        <f>'Portefeuille SP2'!AR545</f>
        <v>0</v>
      </c>
      <c r="BG520" s="403" t="e">
        <f>'Portefeuille SP2'!#REF!</f>
        <v>#REF!</v>
      </c>
      <c r="BH520" s="403" t="e">
        <f>'Portefeuille SP2'!#REF!</f>
        <v>#REF!</v>
      </c>
      <c r="BI520" s="403" t="e">
        <f>'Portefeuille SP2'!#REF!</f>
        <v>#REF!</v>
      </c>
      <c r="BJ520" s="403" t="e">
        <f>'Portefeuille SP2'!#REF!</f>
        <v>#REF!</v>
      </c>
      <c r="BK520" s="403" t="e">
        <f>'Portefeuille SP2'!#REF!</f>
        <v>#REF!</v>
      </c>
      <c r="BL520" s="388"/>
      <c r="BM520" s="404">
        <f>'Portefeuille SP2'!L545</f>
        <v>0</v>
      </c>
    </row>
    <row r="521" spans="1:65" ht="15" customHeight="1">
      <c r="A521" s="383">
        <f>'Portefeuille SP2'!B546</f>
        <v>0</v>
      </c>
      <c r="B521" s="390">
        <f>'Portefeuille SP2'!Q546</f>
        <v>0</v>
      </c>
      <c r="C521" s="384"/>
      <c r="D521" s="382">
        <f>'Portefeuille SP2'!E546</f>
        <v>0</v>
      </c>
      <c r="E521" s="382" t="str">
        <f t="shared" ref="E521:E584" si="37">LEFT(J521,3)</f>
        <v>0</v>
      </c>
      <c r="F521" s="382" t="str">
        <f t="shared" ref="F521:F584" si="38">MID(J521, 6, 20)</f>
        <v/>
      </c>
      <c r="G521" s="382">
        <f>'Portefeuille SP2'!C546</f>
        <v>0</v>
      </c>
      <c r="H521" s="382">
        <f>'Portefeuille SP2'!F546</f>
        <v>0</v>
      </c>
      <c r="I521" s="382"/>
      <c r="J521" s="382">
        <f>'Portefeuille SP2'!D546</f>
        <v>0</v>
      </c>
      <c r="K521" s="385">
        <f>'Portefeuille SP2'!H546</f>
        <v>0</v>
      </c>
      <c r="L521" s="157">
        <f>'Portefeuille SP2'!U546</f>
        <v>0</v>
      </c>
      <c r="M521" s="386"/>
      <c r="N521" s="386"/>
      <c r="O521" s="386"/>
      <c r="P521" s="387">
        <f>'Portefeuille SP2'!M546</f>
        <v>0</v>
      </c>
      <c r="Q521" s="387"/>
      <c r="R521" s="387">
        <f>'Portefeuille SP2'!N546</f>
        <v>0</v>
      </c>
      <c r="S521" s="387"/>
      <c r="T521" s="382">
        <f>'Portefeuille SP2'!R546</f>
        <v>0</v>
      </c>
      <c r="U521" s="387">
        <f>'Portefeuille SP2'!K546</f>
        <v>0</v>
      </c>
      <c r="V521" s="399">
        <f>'Portefeuille SP2'!S546</f>
        <v>0</v>
      </c>
      <c r="W521" s="387"/>
      <c r="X521" s="387"/>
      <c r="Y521" s="387"/>
      <c r="Z521" s="387"/>
      <c r="AA521" s="387"/>
      <c r="AB521" s="387"/>
      <c r="AC521" s="387"/>
      <c r="AD521" s="387"/>
      <c r="AE521" s="400">
        <f>'Portefeuille SP2'!J546</f>
        <v>0</v>
      </c>
      <c r="AF521" s="387"/>
      <c r="AG521" s="387"/>
      <c r="AH521" s="389"/>
      <c r="AI521" s="389"/>
      <c r="AJ521" s="403">
        <f>'Portefeuille SP2'!V546</f>
        <v>0</v>
      </c>
      <c r="AK521" s="403">
        <f>'Portefeuille SP2'!W546</f>
        <v>0</v>
      </c>
      <c r="AL521" s="403">
        <f>'Portefeuille SP2'!X546</f>
        <v>0</v>
      </c>
      <c r="AM521" s="403">
        <f>'Portefeuille SP2'!Y546</f>
        <v>0</v>
      </c>
      <c r="AN521" s="403">
        <f>'Portefeuille SP2'!Z546</f>
        <v>0</v>
      </c>
      <c r="AO521" s="403">
        <f>'Portefeuille SP2'!AA546</f>
        <v>0</v>
      </c>
      <c r="AP521" s="403">
        <f>'Portefeuille SP2'!AB546</f>
        <v>0</v>
      </c>
      <c r="AQ521" s="403">
        <f>'Portefeuille SP2'!AC546</f>
        <v>0</v>
      </c>
      <c r="AR521" s="403">
        <f>'Portefeuille SP2'!AD546</f>
        <v>0</v>
      </c>
      <c r="AS521" s="403">
        <f>'Portefeuille SP2'!AE546</f>
        <v>0</v>
      </c>
      <c r="AT521" s="403">
        <f>'Portefeuille SP2'!AF546</f>
        <v>0</v>
      </c>
      <c r="AU521" s="403">
        <f>'Portefeuille SP2'!AG546</f>
        <v>0</v>
      </c>
      <c r="AV521" s="403">
        <f>'Portefeuille SP2'!AH546</f>
        <v>0</v>
      </c>
      <c r="AW521" s="403">
        <f>'Portefeuille SP2'!AI546</f>
        <v>0</v>
      </c>
      <c r="AX521" s="403">
        <f>'Portefeuille SP2'!AJ546</f>
        <v>0</v>
      </c>
      <c r="AY521" s="403">
        <f>'Portefeuille SP2'!AK546</f>
        <v>0</v>
      </c>
      <c r="AZ521" s="403">
        <f>'Portefeuille SP2'!AL546</f>
        <v>0</v>
      </c>
      <c r="BA521" s="403">
        <f>'Portefeuille SP2'!AM546</f>
        <v>0</v>
      </c>
      <c r="BB521" s="403">
        <f>'Portefeuille SP2'!AN546</f>
        <v>0</v>
      </c>
      <c r="BC521" s="403">
        <f>'Portefeuille SP2'!AO546</f>
        <v>0</v>
      </c>
      <c r="BD521" s="403">
        <f>'Portefeuille SP2'!AP546</f>
        <v>0</v>
      </c>
      <c r="BE521" s="403">
        <f>'Portefeuille SP2'!AQ546</f>
        <v>0</v>
      </c>
      <c r="BF521" s="403">
        <f>'Portefeuille SP2'!AR546</f>
        <v>0</v>
      </c>
      <c r="BG521" s="403" t="e">
        <f>'Portefeuille SP2'!#REF!</f>
        <v>#REF!</v>
      </c>
      <c r="BH521" s="403" t="e">
        <f>'Portefeuille SP2'!#REF!</f>
        <v>#REF!</v>
      </c>
      <c r="BI521" s="403" t="e">
        <f>'Portefeuille SP2'!#REF!</f>
        <v>#REF!</v>
      </c>
      <c r="BJ521" s="403" t="e">
        <f>'Portefeuille SP2'!#REF!</f>
        <v>#REF!</v>
      </c>
      <c r="BK521" s="403" t="e">
        <f>'Portefeuille SP2'!#REF!</f>
        <v>#REF!</v>
      </c>
      <c r="BL521" s="388"/>
      <c r="BM521" s="404">
        <f>'Portefeuille SP2'!L546</f>
        <v>0</v>
      </c>
    </row>
    <row r="522" spans="1:65" ht="15" customHeight="1">
      <c r="A522" s="383">
        <f>'Portefeuille SP2'!B547</f>
        <v>0</v>
      </c>
      <c r="B522" s="390">
        <f>'Portefeuille SP2'!Q547</f>
        <v>0</v>
      </c>
      <c r="C522" s="384"/>
      <c r="D522" s="382">
        <f>'Portefeuille SP2'!E547</f>
        <v>0</v>
      </c>
      <c r="E522" s="382" t="str">
        <f t="shared" si="37"/>
        <v>0</v>
      </c>
      <c r="F522" s="382" t="str">
        <f t="shared" si="38"/>
        <v/>
      </c>
      <c r="G522" s="382">
        <f>'Portefeuille SP2'!C547</f>
        <v>0</v>
      </c>
      <c r="H522" s="382">
        <f>'Portefeuille SP2'!F547</f>
        <v>0</v>
      </c>
      <c r="I522" s="382"/>
      <c r="J522" s="382">
        <f>'Portefeuille SP2'!D547</f>
        <v>0</v>
      </c>
      <c r="K522" s="385">
        <f>'Portefeuille SP2'!H547</f>
        <v>0</v>
      </c>
      <c r="L522" s="157">
        <f>'Portefeuille SP2'!U547</f>
        <v>0</v>
      </c>
      <c r="M522" s="386"/>
      <c r="N522" s="386"/>
      <c r="O522" s="386"/>
      <c r="P522" s="387">
        <f>'Portefeuille SP2'!M547</f>
        <v>0</v>
      </c>
      <c r="Q522" s="387"/>
      <c r="R522" s="387">
        <f>'Portefeuille SP2'!N547</f>
        <v>0</v>
      </c>
      <c r="S522" s="387"/>
      <c r="T522" s="382">
        <f>'Portefeuille SP2'!R547</f>
        <v>0</v>
      </c>
      <c r="U522" s="387">
        <f>'Portefeuille SP2'!K547</f>
        <v>0</v>
      </c>
      <c r="V522" s="399">
        <f>'Portefeuille SP2'!S547</f>
        <v>0</v>
      </c>
      <c r="W522" s="387"/>
      <c r="X522" s="387"/>
      <c r="Y522" s="387"/>
      <c r="Z522" s="387"/>
      <c r="AA522" s="387"/>
      <c r="AB522" s="387"/>
      <c r="AC522" s="387"/>
      <c r="AD522" s="387"/>
      <c r="AE522" s="400">
        <f>'Portefeuille SP2'!J547</f>
        <v>0</v>
      </c>
      <c r="AF522" s="387"/>
      <c r="AG522" s="387"/>
      <c r="AH522" s="389"/>
      <c r="AI522" s="389"/>
      <c r="AJ522" s="403">
        <f>'Portefeuille SP2'!V547</f>
        <v>0</v>
      </c>
      <c r="AK522" s="403">
        <f>'Portefeuille SP2'!W547</f>
        <v>0</v>
      </c>
      <c r="AL522" s="403">
        <f>'Portefeuille SP2'!X547</f>
        <v>0</v>
      </c>
      <c r="AM522" s="403">
        <f>'Portefeuille SP2'!Y547</f>
        <v>0</v>
      </c>
      <c r="AN522" s="403">
        <f>'Portefeuille SP2'!Z547</f>
        <v>0</v>
      </c>
      <c r="AO522" s="403">
        <f>'Portefeuille SP2'!AA547</f>
        <v>0</v>
      </c>
      <c r="AP522" s="403">
        <f>'Portefeuille SP2'!AB547</f>
        <v>0</v>
      </c>
      <c r="AQ522" s="403">
        <f>'Portefeuille SP2'!AC547</f>
        <v>0</v>
      </c>
      <c r="AR522" s="403">
        <f>'Portefeuille SP2'!AD547</f>
        <v>0</v>
      </c>
      <c r="AS522" s="403">
        <f>'Portefeuille SP2'!AE547</f>
        <v>0</v>
      </c>
      <c r="AT522" s="403">
        <f>'Portefeuille SP2'!AF547</f>
        <v>0</v>
      </c>
      <c r="AU522" s="403">
        <f>'Portefeuille SP2'!AG547</f>
        <v>0</v>
      </c>
      <c r="AV522" s="403">
        <f>'Portefeuille SP2'!AH547</f>
        <v>0</v>
      </c>
      <c r="AW522" s="403">
        <f>'Portefeuille SP2'!AI547</f>
        <v>0</v>
      </c>
      <c r="AX522" s="403">
        <f>'Portefeuille SP2'!AJ547</f>
        <v>0</v>
      </c>
      <c r="AY522" s="403">
        <f>'Portefeuille SP2'!AK547</f>
        <v>0</v>
      </c>
      <c r="AZ522" s="403">
        <f>'Portefeuille SP2'!AL547</f>
        <v>0</v>
      </c>
      <c r="BA522" s="403">
        <f>'Portefeuille SP2'!AM547</f>
        <v>0</v>
      </c>
      <c r="BB522" s="403">
        <f>'Portefeuille SP2'!AN547</f>
        <v>0</v>
      </c>
      <c r="BC522" s="403">
        <f>'Portefeuille SP2'!AO547</f>
        <v>0</v>
      </c>
      <c r="BD522" s="403">
        <f>'Portefeuille SP2'!AP547</f>
        <v>0</v>
      </c>
      <c r="BE522" s="403">
        <f>'Portefeuille SP2'!AQ547</f>
        <v>0</v>
      </c>
      <c r="BF522" s="403">
        <f>'Portefeuille SP2'!AR547</f>
        <v>0</v>
      </c>
      <c r="BG522" s="403" t="e">
        <f>'Portefeuille SP2'!#REF!</f>
        <v>#REF!</v>
      </c>
      <c r="BH522" s="403" t="e">
        <f>'Portefeuille SP2'!#REF!</f>
        <v>#REF!</v>
      </c>
      <c r="BI522" s="403" t="e">
        <f>'Portefeuille SP2'!#REF!</f>
        <v>#REF!</v>
      </c>
      <c r="BJ522" s="403" t="e">
        <f>'Portefeuille SP2'!#REF!</f>
        <v>#REF!</v>
      </c>
      <c r="BK522" s="403" t="e">
        <f>'Portefeuille SP2'!#REF!</f>
        <v>#REF!</v>
      </c>
      <c r="BL522" s="388"/>
      <c r="BM522" s="404">
        <f>'Portefeuille SP2'!L547</f>
        <v>0</v>
      </c>
    </row>
    <row r="523" spans="1:65" ht="15" customHeight="1">
      <c r="A523" s="383">
        <f>'Portefeuille SP2'!B548</f>
        <v>0</v>
      </c>
      <c r="B523" s="390">
        <f>'Portefeuille SP2'!Q548</f>
        <v>0</v>
      </c>
      <c r="C523" s="384"/>
      <c r="D523" s="382">
        <f>'Portefeuille SP2'!E548</f>
        <v>0</v>
      </c>
      <c r="E523" s="382" t="str">
        <f t="shared" si="37"/>
        <v>0</v>
      </c>
      <c r="F523" s="382" t="str">
        <f t="shared" si="38"/>
        <v/>
      </c>
      <c r="G523" s="382">
        <f>'Portefeuille SP2'!C548</f>
        <v>0</v>
      </c>
      <c r="H523" s="382">
        <f>'Portefeuille SP2'!F548</f>
        <v>0</v>
      </c>
      <c r="I523" s="382"/>
      <c r="J523" s="382">
        <f>'Portefeuille SP2'!D548</f>
        <v>0</v>
      </c>
      <c r="K523" s="385">
        <f>'Portefeuille SP2'!H548</f>
        <v>0</v>
      </c>
      <c r="L523" s="157">
        <f>'Portefeuille SP2'!U548</f>
        <v>0</v>
      </c>
      <c r="M523" s="386"/>
      <c r="N523" s="386"/>
      <c r="O523" s="386"/>
      <c r="P523" s="387">
        <f>'Portefeuille SP2'!M548</f>
        <v>0</v>
      </c>
      <c r="Q523" s="387"/>
      <c r="R523" s="387">
        <f>'Portefeuille SP2'!N548</f>
        <v>0</v>
      </c>
      <c r="S523" s="387"/>
      <c r="T523" s="382">
        <f>'Portefeuille SP2'!R548</f>
        <v>0</v>
      </c>
      <c r="U523" s="387">
        <f>'Portefeuille SP2'!K548</f>
        <v>0</v>
      </c>
      <c r="V523" s="399">
        <f>'Portefeuille SP2'!S548</f>
        <v>0</v>
      </c>
      <c r="W523" s="387"/>
      <c r="X523" s="387"/>
      <c r="Y523" s="387"/>
      <c r="Z523" s="387"/>
      <c r="AA523" s="387"/>
      <c r="AB523" s="387"/>
      <c r="AC523" s="387"/>
      <c r="AD523" s="387"/>
      <c r="AE523" s="400">
        <f>'Portefeuille SP2'!J548</f>
        <v>0</v>
      </c>
      <c r="AF523" s="387"/>
      <c r="AG523" s="387"/>
      <c r="AH523" s="389"/>
      <c r="AI523" s="389"/>
      <c r="AJ523" s="403">
        <f>'Portefeuille SP2'!V548</f>
        <v>0</v>
      </c>
      <c r="AK523" s="403">
        <f>'Portefeuille SP2'!W548</f>
        <v>0</v>
      </c>
      <c r="AL523" s="403">
        <f>'Portefeuille SP2'!X548</f>
        <v>0</v>
      </c>
      <c r="AM523" s="403">
        <f>'Portefeuille SP2'!Y548</f>
        <v>0</v>
      </c>
      <c r="AN523" s="403">
        <f>'Portefeuille SP2'!Z548</f>
        <v>0</v>
      </c>
      <c r="AO523" s="403">
        <f>'Portefeuille SP2'!AA548</f>
        <v>0</v>
      </c>
      <c r="AP523" s="403">
        <f>'Portefeuille SP2'!AB548</f>
        <v>0</v>
      </c>
      <c r="AQ523" s="403">
        <f>'Portefeuille SP2'!AC548</f>
        <v>0</v>
      </c>
      <c r="AR523" s="403">
        <f>'Portefeuille SP2'!AD548</f>
        <v>0</v>
      </c>
      <c r="AS523" s="403">
        <f>'Portefeuille SP2'!AE548</f>
        <v>0</v>
      </c>
      <c r="AT523" s="403">
        <f>'Portefeuille SP2'!AF548</f>
        <v>0</v>
      </c>
      <c r="AU523" s="403">
        <f>'Portefeuille SP2'!AG548</f>
        <v>0</v>
      </c>
      <c r="AV523" s="403">
        <f>'Portefeuille SP2'!AH548</f>
        <v>0</v>
      </c>
      <c r="AW523" s="403">
        <f>'Portefeuille SP2'!AI548</f>
        <v>0</v>
      </c>
      <c r="AX523" s="403">
        <f>'Portefeuille SP2'!AJ548</f>
        <v>0</v>
      </c>
      <c r="AY523" s="403">
        <f>'Portefeuille SP2'!AK548</f>
        <v>0</v>
      </c>
      <c r="AZ523" s="403">
        <f>'Portefeuille SP2'!AL548</f>
        <v>0</v>
      </c>
      <c r="BA523" s="403">
        <f>'Portefeuille SP2'!AM548</f>
        <v>0</v>
      </c>
      <c r="BB523" s="403">
        <f>'Portefeuille SP2'!AN548</f>
        <v>0</v>
      </c>
      <c r="BC523" s="403">
        <f>'Portefeuille SP2'!AO548</f>
        <v>0</v>
      </c>
      <c r="BD523" s="403">
        <f>'Portefeuille SP2'!AP548</f>
        <v>0</v>
      </c>
      <c r="BE523" s="403">
        <f>'Portefeuille SP2'!AQ548</f>
        <v>0</v>
      </c>
      <c r="BF523" s="403">
        <f>'Portefeuille SP2'!AR548</f>
        <v>0</v>
      </c>
      <c r="BG523" s="403" t="e">
        <f>'Portefeuille SP2'!#REF!</f>
        <v>#REF!</v>
      </c>
      <c r="BH523" s="403" t="e">
        <f>'Portefeuille SP2'!#REF!</f>
        <v>#REF!</v>
      </c>
      <c r="BI523" s="403" t="e">
        <f>'Portefeuille SP2'!#REF!</f>
        <v>#REF!</v>
      </c>
      <c r="BJ523" s="403" t="e">
        <f>'Portefeuille SP2'!#REF!</f>
        <v>#REF!</v>
      </c>
      <c r="BK523" s="403" t="e">
        <f>'Portefeuille SP2'!#REF!</f>
        <v>#REF!</v>
      </c>
      <c r="BL523" s="388"/>
      <c r="BM523" s="404">
        <f>'Portefeuille SP2'!L548</f>
        <v>0</v>
      </c>
    </row>
    <row r="524" spans="1:65" ht="15" customHeight="1">
      <c r="A524" s="383">
        <f>'Portefeuille SP2'!B549</f>
        <v>0</v>
      </c>
      <c r="B524" s="390">
        <f>'Portefeuille SP2'!Q549</f>
        <v>0</v>
      </c>
      <c r="C524" s="384"/>
      <c r="D524" s="382">
        <f>'Portefeuille SP2'!E549</f>
        <v>0</v>
      </c>
      <c r="E524" s="382" t="str">
        <f t="shared" si="37"/>
        <v>0</v>
      </c>
      <c r="F524" s="382" t="str">
        <f t="shared" si="38"/>
        <v/>
      </c>
      <c r="G524" s="382">
        <f>'Portefeuille SP2'!C549</f>
        <v>0</v>
      </c>
      <c r="H524" s="382">
        <f>'Portefeuille SP2'!F549</f>
        <v>0</v>
      </c>
      <c r="I524" s="382"/>
      <c r="J524" s="382">
        <f>'Portefeuille SP2'!D549</f>
        <v>0</v>
      </c>
      <c r="K524" s="385">
        <f>'Portefeuille SP2'!H549</f>
        <v>0</v>
      </c>
      <c r="L524" s="157">
        <f>'Portefeuille SP2'!U549</f>
        <v>0</v>
      </c>
      <c r="M524" s="386"/>
      <c r="N524" s="386"/>
      <c r="O524" s="386"/>
      <c r="P524" s="387">
        <f>'Portefeuille SP2'!M549</f>
        <v>0</v>
      </c>
      <c r="Q524" s="387"/>
      <c r="R524" s="387">
        <f>'Portefeuille SP2'!N549</f>
        <v>0</v>
      </c>
      <c r="S524" s="387"/>
      <c r="T524" s="382">
        <f>'Portefeuille SP2'!R549</f>
        <v>0</v>
      </c>
      <c r="U524" s="387">
        <f>'Portefeuille SP2'!K549</f>
        <v>0</v>
      </c>
      <c r="V524" s="399">
        <f>'Portefeuille SP2'!S549</f>
        <v>0</v>
      </c>
      <c r="W524" s="387"/>
      <c r="X524" s="387"/>
      <c r="Y524" s="387"/>
      <c r="Z524" s="387"/>
      <c r="AA524" s="387"/>
      <c r="AB524" s="387"/>
      <c r="AC524" s="387"/>
      <c r="AD524" s="387"/>
      <c r="AE524" s="400">
        <f>'Portefeuille SP2'!J549</f>
        <v>0</v>
      </c>
      <c r="AF524" s="387"/>
      <c r="AG524" s="387"/>
      <c r="AH524" s="389"/>
      <c r="AI524" s="389"/>
      <c r="AJ524" s="403">
        <f>'Portefeuille SP2'!V549</f>
        <v>0</v>
      </c>
      <c r="AK524" s="403">
        <f>'Portefeuille SP2'!W549</f>
        <v>0</v>
      </c>
      <c r="AL524" s="403">
        <f>'Portefeuille SP2'!X549</f>
        <v>0</v>
      </c>
      <c r="AM524" s="403">
        <f>'Portefeuille SP2'!Y549</f>
        <v>0</v>
      </c>
      <c r="AN524" s="403">
        <f>'Portefeuille SP2'!Z549</f>
        <v>0</v>
      </c>
      <c r="AO524" s="403">
        <f>'Portefeuille SP2'!AA549</f>
        <v>0</v>
      </c>
      <c r="AP524" s="403">
        <f>'Portefeuille SP2'!AB549</f>
        <v>0</v>
      </c>
      <c r="AQ524" s="403">
        <f>'Portefeuille SP2'!AC549</f>
        <v>0</v>
      </c>
      <c r="AR524" s="403">
        <f>'Portefeuille SP2'!AD549</f>
        <v>0</v>
      </c>
      <c r="AS524" s="403">
        <f>'Portefeuille SP2'!AE549</f>
        <v>0</v>
      </c>
      <c r="AT524" s="403">
        <f>'Portefeuille SP2'!AF549</f>
        <v>0</v>
      </c>
      <c r="AU524" s="403">
        <f>'Portefeuille SP2'!AG549</f>
        <v>0</v>
      </c>
      <c r="AV524" s="403">
        <f>'Portefeuille SP2'!AH549</f>
        <v>0</v>
      </c>
      <c r="AW524" s="403">
        <f>'Portefeuille SP2'!AI549</f>
        <v>0</v>
      </c>
      <c r="AX524" s="403">
        <f>'Portefeuille SP2'!AJ549</f>
        <v>0</v>
      </c>
      <c r="AY524" s="403">
        <f>'Portefeuille SP2'!AK549</f>
        <v>0</v>
      </c>
      <c r="AZ524" s="403">
        <f>'Portefeuille SP2'!AL549</f>
        <v>0</v>
      </c>
      <c r="BA524" s="403">
        <f>'Portefeuille SP2'!AM549</f>
        <v>0</v>
      </c>
      <c r="BB524" s="403">
        <f>'Portefeuille SP2'!AN549</f>
        <v>0</v>
      </c>
      <c r="BC524" s="403">
        <f>'Portefeuille SP2'!AO549</f>
        <v>0</v>
      </c>
      <c r="BD524" s="403">
        <f>'Portefeuille SP2'!AP549</f>
        <v>0</v>
      </c>
      <c r="BE524" s="403">
        <f>'Portefeuille SP2'!AQ549</f>
        <v>0</v>
      </c>
      <c r="BF524" s="403">
        <f>'Portefeuille SP2'!AR549</f>
        <v>0</v>
      </c>
      <c r="BG524" s="403" t="e">
        <f>'Portefeuille SP2'!#REF!</f>
        <v>#REF!</v>
      </c>
      <c r="BH524" s="403" t="e">
        <f>'Portefeuille SP2'!#REF!</f>
        <v>#REF!</v>
      </c>
      <c r="BI524" s="403" t="e">
        <f>'Portefeuille SP2'!#REF!</f>
        <v>#REF!</v>
      </c>
      <c r="BJ524" s="403" t="e">
        <f>'Portefeuille SP2'!#REF!</f>
        <v>#REF!</v>
      </c>
      <c r="BK524" s="403" t="e">
        <f>'Portefeuille SP2'!#REF!</f>
        <v>#REF!</v>
      </c>
      <c r="BL524" s="388"/>
      <c r="BM524" s="404">
        <f>'Portefeuille SP2'!L549</f>
        <v>0</v>
      </c>
    </row>
    <row r="525" spans="1:65" ht="15" customHeight="1">
      <c r="A525" s="383">
        <f>'Portefeuille SP2'!B550</f>
        <v>0</v>
      </c>
      <c r="B525" s="390">
        <f>'Portefeuille SP2'!Q550</f>
        <v>0</v>
      </c>
      <c r="C525" s="384"/>
      <c r="D525" s="382">
        <f>'Portefeuille SP2'!E550</f>
        <v>0</v>
      </c>
      <c r="E525" s="382" t="str">
        <f t="shared" si="37"/>
        <v>0</v>
      </c>
      <c r="F525" s="382" t="str">
        <f t="shared" si="38"/>
        <v/>
      </c>
      <c r="G525" s="382">
        <f>'Portefeuille SP2'!C550</f>
        <v>0</v>
      </c>
      <c r="H525" s="382">
        <f>'Portefeuille SP2'!F550</f>
        <v>0</v>
      </c>
      <c r="I525" s="382"/>
      <c r="J525" s="382">
        <f>'Portefeuille SP2'!D550</f>
        <v>0</v>
      </c>
      <c r="K525" s="385">
        <f>'Portefeuille SP2'!H550</f>
        <v>0</v>
      </c>
      <c r="L525" s="157">
        <f>'Portefeuille SP2'!U550</f>
        <v>0</v>
      </c>
      <c r="M525" s="386"/>
      <c r="N525" s="386"/>
      <c r="O525" s="386"/>
      <c r="P525" s="387">
        <f>'Portefeuille SP2'!M550</f>
        <v>0</v>
      </c>
      <c r="Q525" s="387"/>
      <c r="R525" s="387">
        <f>'Portefeuille SP2'!N550</f>
        <v>0</v>
      </c>
      <c r="S525" s="387"/>
      <c r="T525" s="382">
        <f>'Portefeuille SP2'!R550</f>
        <v>0</v>
      </c>
      <c r="U525" s="387">
        <f>'Portefeuille SP2'!K550</f>
        <v>0</v>
      </c>
      <c r="V525" s="399">
        <f>'Portefeuille SP2'!S550</f>
        <v>0</v>
      </c>
      <c r="W525" s="387"/>
      <c r="X525" s="387"/>
      <c r="Y525" s="387"/>
      <c r="Z525" s="387"/>
      <c r="AA525" s="387"/>
      <c r="AB525" s="387"/>
      <c r="AC525" s="387"/>
      <c r="AD525" s="387"/>
      <c r="AE525" s="400">
        <f>'Portefeuille SP2'!J550</f>
        <v>0</v>
      </c>
      <c r="AF525" s="387"/>
      <c r="AG525" s="387"/>
      <c r="AH525" s="389"/>
      <c r="AI525" s="389"/>
      <c r="AJ525" s="403">
        <f>'Portefeuille SP2'!V550</f>
        <v>0</v>
      </c>
      <c r="AK525" s="403">
        <f>'Portefeuille SP2'!W550</f>
        <v>0</v>
      </c>
      <c r="AL525" s="403">
        <f>'Portefeuille SP2'!X550</f>
        <v>0</v>
      </c>
      <c r="AM525" s="403">
        <f>'Portefeuille SP2'!Y550</f>
        <v>0</v>
      </c>
      <c r="AN525" s="403">
        <f>'Portefeuille SP2'!Z550</f>
        <v>0</v>
      </c>
      <c r="AO525" s="403">
        <f>'Portefeuille SP2'!AA550</f>
        <v>0</v>
      </c>
      <c r="AP525" s="403">
        <f>'Portefeuille SP2'!AB550</f>
        <v>0</v>
      </c>
      <c r="AQ525" s="403">
        <f>'Portefeuille SP2'!AC550</f>
        <v>0</v>
      </c>
      <c r="AR525" s="403">
        <f>'Portefeuille SP2'!AD550</f>
        <v>0</v>
      </c>
      <c r="AS525" s="403">
        <f>'Portefeuille SP2'!AE550</f>
        <v>0</v>
      </c>
      <c r="AT525" s="403">
        <f>'Portefeuille SP2'!AF550</f>
        <v>0</v>
      </c>
      <c r="AU525" s="403">
        <f>'Portefeuille SP2'!AG550</f>
        <v>0</v>
      </c>
      <c r="AV525" s="403">
        <f>'Portefeuille SP2'!AH550</f>
        <v>0</v>
      </c>
      <c r="AW525" s="403">
        <f>'Portefeuille SP2'!AI550</f>
        <v>0</v>
      </c>
      <c r="AX525" s="403">
        <f>'Portefeuille SP2'!AJ550</f>
        <v>0</v>
      </c>
      <c r="AY525" s="403">
        <f>'Portefeuille SP2'!AK550</f>
        <v>0</v>
      </c>
      <c r="AZ525" s="403">
        <f>'Portefeuille SP2'!AL550</f>
        <v>0</v>
      </c>
      <c r="BA525" s="403">
        <f>'Portefeuille SP2'!AM550</f>
        <v>0</v>
      </c>
      <c r="BB525" s="403">
        <f>'Portefeuille SP2'!AN550</f>
        <v>0</v>
      </c>
      <c r="BC525" s="403">
        <f>'Portefeuille SP2'!AO550</f>
        <v>0</v>
      </c>
      <c r="BD525" s="403">
        <f>'Portefeuille SP2'!AP550</f>
        <v>0</v>
      </c>
      <c r="BE525" s="403">
        <f>'Portefeuille SP2'!AQ550</f>
        <v>0</v>
      </c>
      <c r="BF525" s="403">
        <f>'Portefeuille SP2'!AR550</f>
        <v>0</v>
      </c>
      <c r="BG525" s="403" t="e">
        <f>'Portefeuille SP2'!#REF!</f>
        <v>#REF!</v>
      </c>
      <c r="BH525" s="403" t="e">
        <f>'Portefeuille SP2'!#REF!</f>
        <v>#REF!</v>
      </c>
      <c r="BI525" s="403" t="e">
        <f>'Portefeuille SP2'!#REF!</f>
        <v>#REF!</v>
      </c>
      <c r="BJ525" s="403" t="e">
        <f>'Portefeuille SP2'!#REF!</f>
        <v>#REF!</v>
      </c>
      <c r="BK525" s="403" t="e">
        <f>'Portefeuille SP2'!#REF!</f>
        <v>#REF!</v>
      </c>
      <c r="BL525" s="388"/>
      <c r="BM525" s="404">
        <f>'Portefeuille SP2'!L550</f>
        <v>0</v>
      </c>
    </row>
    <row r="526" spans="1:65" ht="15" customHeight="1">
      <c r="A526" s="383">
        <f>'Portefeuille SP2'!B551</f>
        <v>0</v>
      </c>
      <c r="B526" s="390">
        <f>'Portefeuille SP2'!Q551</f>
        <v>0</v>
      </c>
      <c r="C526" s="384"/>
      <c r="D526" s="382">
        <f>'Portefeuille SP2'!E551</f>
        <v>0</v>
      </c>
      <c r="E526" s="382" t="str">
        <f t="shared" si="37"/>
        <v>0</v>
      </c>
      <c r="F526" s="382" t="str">
        <f t="shared" si="38"/>
        <v/>
      </c>
      <c r="G526" s="382">
        <f>'Portefeuille SP2'!C551</f>
        <v>0</v>
      </c>
      <c r="H526" s="382">
        <f>'Portefeuille SP2'!F551</f>
        <v>0</v>
      </c>
      <c r="I526" s="382"/>
      <c r="J526" s="382">
        <f>'Portefeuille SP2'!D551</f>
        <v>0</v>
      </c>
      <c r="K526" s="385">
        <f>'Portefeuille SP2'!H551</f>
        <v>0</v>
      </c>
      <c r="L526" s="157">
        <f>'Portefeuille SP2'!U551</f>
        <v>0</v>
      </c>
      <c r="M526" s="386"/>
      <c r="N526" s="386"/>
      <c r="O526" s="386"/>
      <c r="P526" s="387">
        <f>'Portefeuille SP2'!M551</f>
        <v>0</v>
      </c>
      <c r="Q526" s="387"/>
      <c r="R526" s="387">
        <f>'Portefeuille SP2'!N551</f>
        <v>0</v>
      </c>
      <c r="S526" s="387"/>
      <c r="T526" s="382">
        <f>'Portefeuille SP2'!R551</f>
        <v>0</v>
      </c>
      <c r="U526" s="387">
        <f>'Portefeuille SP2'!K551</f>
        <v>0</v>
      </c>
      <c r="V526" s="399">
        <f>'Portefeuille SP2'!S551</f>
        <v>0</v>
      </c>
      <c r="W526" s="387"/>
      <c r="X526" s="387"/>
      <c r="Y526" s="387"/>
      <c r="Z526" s="387"/>
      <c r="AA526" s="387"/>
      <c r="AB526" s="387"/>
      <c r="AC526" s="387"/>
      <c r="AD526" s="387"/>
      <c r="AE526" s="400">
        <f>'Portefeuille SP2'!J551</f>
        <v>0</v>
      </c>
      <c r="AF526" s="387"/>
      <c r="AG526" s="387"/>
      <c r="AH526" s="389"/>
      <c r="AI526" s="389"/>
      <c r="AJ526" s="403">
        <f>'Portefeuille SP2'!V551</f>
        <v>0</v>
      </c>
      <c r="AK526" s="403">
        <f>'Portefeuille SP2'!W551</f>
        <v>0</v>
      </c>
      <c r="AL526" s="403">
        <f>'Portefeuille SP2'!X551</f>
        <v>0</v>
      </c>
      <c r="AM526" s="403">
        <f>'Portefeuille SP2'!Y551</f>
        <v>0</v>
      </c>
      <c r="AN526" s="403">
        <f>'Portefeuille SP2'!Z551</f>
        <v>0</v>
      </c>
      <c r="AO526" s="403">
        <f>'Portefeuille SP2'!AA551</f>
        <v>0</v>
      </c>
      <c r="AP526" s="403">
        <f>'Portefeuille SP2'!AB551</f>
        <v>0</v>
      </c>
      <c r="AQ526" s="403">
        <f>'Portefeuille SP2'!AC551</f>
        <v>0</v>
      </c>
      <c r="AR526" s="403">
        <f>'Portefeuille SP2'!AD551</f>
        <v>0</v>
      </c>
      <c r="AS526" s="403">
        <f>'Portefeuille SP2'!AE551</f>
        <v>0</v>
      </c>
      <c r="AT526" s="403">
        <f>'Portefeuille SP2'!AF551</f>
        <v>0</v>
      </c>
      <c r="AU526" s="403">
        <f>'Portefeuille SP2'!AG551</f>
        <v>0</v>
      </c>
      <c r="AV526" s="403">
        <f>'Portefeuille SP2'!AH551</f>
        <v>0</v>
      </c>
      <c r="AW526" s="403">
        <f>'Portefeuille SP2'!AI551</f>
        <v>0</v>
      </c>
      <c r="AX526" s="403">
        <f>'Portefeuille SP2'!AJ551</f>
        <v>0</v>
      </c>
      <c r="AY526" s="403">
        <f>'Portefeuille SP2'!AK551</f>
        <v>0</v>
      </c>
      <c r="AZ526" s="403">
        <f>'Portefeuille SP2'!AL551</f>
        <v>0</v>
      </c>
      <c r="BA526" s="403">
        <f>'Portefeuille SP2'!AM551</f>
        <v>0</v>
      </c>
      <c r="BB526" s="403">
        <f>'Portefeuille SP2'!AN551</f>
        <v>0</v>
      </c>
      <c r="BC526" s="403">
        <f>'Portefeuille SP2'!AO551</f>
        <v>0</v>
      </c>
      <c r="BD526" s="403">
        <f>'Portefeuille SP2'!AP551</f>
        <v>0</v>
      </c>
      <c r="BE526" s="403">
        <f>'Portefeuille SP2'!AQ551</f>
        <v>0</v>
      </c>
      <c r="BF526" s="403">
        <f>'Portefeuille SP2'!AR551</f>
        <v>0</v>
      </c>
      <c r="BG526" s="403" t="e">
        <f>'Portefeuille SP2'!#REF!</f>
        <v>#REF!</v>
      </c>
      <c r="BH526" s="403" t="e">
        <f>'Portefeuille SP2'!#REF!</f>
        <v>#REF!</v>
      </c>
      <c r="BI526" s="403" t="e">
        <f>'Portefeuille SP2'!#REF!</f>
        <v>#REF!</v>
      </c>
      <c r="BJ526" s="403" t="e">
        <f>'Portefeuille SP2'!#REF!</f>
        <v>#REF!</v>
      </c>
      <c r="BK526" s="403" t="e">
        <f>'Portefeuille SP2'!#REF!</f>
        <v>#REF!</v>
      </c>
      <c r="BL526" s="388"/>
      <c r="BM526" s="404">
        <f>'Portefeuille SP2'!L551</f>
        <v>0</v>
      </c>
    </row>
    <row r="527" spans="1:65" ht="15" customHeight="1">
      <c r="A527" s="383">
        <f>'Portefeuille SP2'!B552</f>
        <v>0</v>
      </c>
      <c r="B527" s="390">
        <f>'Portefeuille SP2'!Q552</f>
        <v>0</v>
      </c>
      <c r="C527" s="384"/>
      <c r="D527" s="382">
        <f>'Portefeuille SP2'!E552</f>
        <v>0</v>
      </c>
      <c r="E527" s="382" t="str">
        <f t="shared" si="37"/>
        <v>0</v>
      </c>
      <c r="F527" s="382" t="str">
        <f t="shared" si="38"/>
        <v/>
      </c>
      <c r="G527" s="382">
        <f>'Portefeuille SP2'!C552</f>
        <v>0</v>
      </c>
      <c r="H527" s="382">
        <f>'Portefeuille SP2'!F552</f>
        <v>0</v>
      </c>
      <c r="I527" s="382"/>
      <c r="J527" s="382">
        <f>'Portefeuille SP2'!D552</f>
        <v>0</v>
      </c>
      <c r="K527" s="385">
        <f>'Portefeuille SP2'!H552</f>
        <v>0</v>
      </c>
      <c r="L527" s="157">
        <f>'Portefeuille SP2'!U552</f>
        <v>0</v>
      </c>
      <c r="M527" s="386"/>
      <c r="N527" s="386"/>
      <c r="O527" s="386"/>
      <c r="P527" s="387">
        <f>'Portefeuille SP2'!M552</f>
        <v>0</v>
      </c>
      <c r="Q527" s="387"/>
      <c r="R527" s="387">
        <f>'Portefeuille SP2'!N552</f>
        <v>0</v>
      </c>
      <c r="S527" s="387"/>
      <c r="T527" s="382">
        <f>'Portefeuille SP2'!R552</f>
        <v>0</v>
      </c>
      <c r="U527" s="387">
        <f>'Portefeuille SP2'!K552</f>
        <v>0</v>
      </c>
      <c r="V527" s="399">
        <f>'Portefeuille SP2'!S552</f>
        <v>0</v>
      </c>
      <c r="W527" s="387"/>
      <c r="X527" s="387"/>
      <c r="Y527" s="387"/>
      <c r="Z527" s="387"/>
      <c r="AA527" s="387"/>
      <c r="AB527" s="387"/>
      <c r="AC527" s="387"/>
      <c r="AD527" s="387"/>
      <c r="AE527" s="400">
        <f>'Portefeuille SP2'!J552</f>
        <v>0</v>
      </c>
      <c r="AF527" s="387"/>
      <c r="AG527" s="387"/>
      <c r="AH527" s="389"/>
      <c r="AI527" s="389"/>
      <c r="AJ527" s="403">
        <f>'Portefeuille SP2'!V552</f>
        <v>0</v>
      </c>
      <c r="AK527" s="403">
        <f>'Portefeuille SP2'!W552</f>
        <v>0</v>
      </c>
      <c r="AL527" s="403">
        <f>'Portefeuille SP2'!X552</f>
        <v>0</v>
      </c>
      <c r="AM527" s="403">
        <f>'Portefeuille SP2'!Y552</f>
        <v>0</v>
      </c>
      <c r="AN527" s="403">
        <f>'Portefeuille SP2'!Z552</f>
        <v>0</v>
      </c>
      <c r="AO527" s="403">
        <f>'Portefeuille SP2'!AA552</f>
        <v>0</v>
      </c>
      <c r="AP527" s="403">
        <f>'Portefeuille SP2'!AB552</f>
        <v>0</v>
      </c>
      <c r="AQ527" s="403">
        <f>'Portefeuille SP2'!AC552</f>
        <v>0</v>
      </c>
      <c r="AR527" s="403">
        <f>'Portefeuille SP2'!AD552</f>
        <v>0</v>
      </c>
      <c r="AS527" s="403">
        <f>'Portefeuille SP2'!AE552</f>
        <v>0</v>
      </c>
      <c r="AT527" s="403">
        <f>'Portefeuille SP2'!AF552</f>
        <v>0</v>
      </c>
      <c r="AU527" s="403">
        <f>'Portefeuille SP2'!AG552</f>
        <v>0</v>
      </c>
      <c r="AV527" s="403">
        <f>'Portefeuille SP2'!AH552</f>
        <v>0</v>
      </c>
      <c r="AW527" s="403">
        <f>'Portefeuille SP2'!AI552</f>
        <v>0</v>
      </c>
      <c r="AX527" s="403">
        <f>'Portefeuille SP2'!AJ552</f>
        <v>0</v>
      </c>
      <c r="AY527" s="403">
        <f>'Portefeuille SP2'!AK552</f>
        <v>0</v>
      </c>
      <c r="AZ527" s="403">
        <f>'Portefeuille SP2'!AL552</f>
        <v>0</v>
      </c>
      <c r="BA527" s="403">
        <f>'Portefeuille SP2'!AM552</f>
        <v>0</v>
      </c>
      <c r="BB527" s="403">
        <f>'Portefeuille SP2'!AN552</f>
        <v>0</v>
      </c>
      <c r="BC527" s="403">
        <f>'Portefeuille SP2'!AO552</f>
        <v>0</v>
      </c>
      <c r="BD527" s="403">
        <f>'Portefeuille SP2'!AP552</f>
        <v>0</v>
      </c>
      <c r="BE527" s="403">
        <f>'Portefeuille SP2'!AQ552</f>
        <v>0</v>
      </c>
      <c r="BF527" s="403">
        <f>'Portefeuille SP2'!AR552</f>
        <v>0</v>
      </c>
      <c r="BG527" s="403" t="e">
        <f>'Portefeuille SP2'!#REF!</f>
        <v>#REF!</v>
      </c>
      <c r="BH527" s="403" t="e">
        <f>'Portefeuille SP2'!#REF!</f>
        <v>#REF!</v>
      </c>
      <c r="BI527" s="403" t="e">
        <f>'Portefeuille SP2'!#REF!</f>
        <v>#REF!</v>
      </c>
      <c r="BJ527" s="403" t="e">
        <f>'Portefeuille SP2'!#REF!</f>
        <v>#REF!</v>
      </c>
      <c r="BK527" s="403" t="e">
        <f>'Portefeuille SP2'!#REF!</f>
        <v>#REF!</v>
      </c>
      <c r="BL527" s="388"/>
      <c r="BM527" s="404">
        <f>'Portefeuille SP2'!L552</f>
        <v>0</v>
      </c>
    </row>
    <row r="528" spans="1:65" ht="15" customHeight="1">
      <c r="A528" s="383">
        <f>'Portefeuille SP2'!B553</f>
        <v>0</v>
      </c>
      <c r="B528" s="390">
        <f>'Portefeuille SP2'!Q553</f>
        <v>0</v>
      </c>
      <c r="C528" s="384"/>
      <c r="D528" s="382">
        <f>'Portefeuille SP2'!E553</f>
        <v>0</v>
      </c>
      <c r="E528" s="382" t="str">
        <f t="shared" si="37"/>
        <v>0</v>
      </c>
      <c r="F528" s="382" t="str">
        <f t="shared" si="38"/>
        <v/>
      </c>
      <c r="G528" s="382">
        <f>'Portefeuille SP2'!C553</f>
        <v>0</v>
      </c>
      <c r="H528" s="382">
        <f>'Portefeuille SP2'!F553</f>
        <v>0</v>
      </c>
      <c r="I528" s="382"/>
      <c r="J528" s="382">
        <f>'Portefeuille SP2'!D553</f>
        <v>0</v>
      </c>
      <c r="K528" s="385">
        <f>'Portefeuille SP2'!H553</f>
        <v>0</v>
      </c>
      <c r="L528" s="157">
        <f>'Portefeuille SP2'!U553</f>
        <v>0</v>
      </c>
      <c r="M528" s="386"/>
      <c r="N528" s="386"/>
      <c r="O528" s="386"/>
      <c r="P528" s="387">
        <f>'Portefeuille SP2'!M553</f>
        <v>0</v>
      </c>
      <c r="Q528" s="387"/>
      <c r="R528" s="387">
        <f>'Portefeuille SP2'!N553</f>
        <v>0</v>
      </c>
      <c r="S528" s="387"/>
      <c r="T528" s="382">
        <f>'Portefeuille SP2'!R553</f>
        <v>0</v>
      </c>
      <c r="U528" s="387">
        <f>'Portefeuille SP2'!K553</f>
        <v>0</v>
      </c>
      <c r="V528" s="399">
        <f>'Portefeuille SP2'!S553</f>
        <v>0</v>
      </c>
      <c r="W528" s="387"/>
      <c r="X528" s="387"/>
      <c r="Y528" s="387"/>
      <c r="Z528" s="387"/>
      <c r="AA528" s="387"/>
      <c r="AB528" s="387"/>
      <c r="AC528" s="387"/>
      <c r="AD528" s="387"/>
      <c r="AE528" s="400">
        <f>'Portefeuille SP2'!J553</f>
        <v>0</v>
      </c>
      <c r="AF528" s="387"/>
      <c r="AG528" s="387"/>
      <c r="AH528" s="389"/>
      <c r="AI528" s="389"/>
      <c r="AJ528" s="403">
        <f>'Portefeuille SP2'!V553</f>
        <v>0</v>
      </c>
      <c r="AK528" s="403">
        <f>'Portefeuille SP2'!W553</f>
        <v>0</v>
      </c>
      <c r="AL528" s="403">
        <f>'Portefeuille SP2'!X553</f>
        <v>0</v>
      </c>
      <c r="AM528" s="403">
        <f>'Portefeuille SP2'!Y553</f>
        <v>0</v>
      </c>
      <c r="AN528" s="403">
        <f>'Portefeuille SP2'!Z553</f>
        <v>0</v>
      </c>
      <c r="AO528" s="403">
        <f>'Portefeuille SP2'!AA553</f>
        <v>0</v>
      </c>
      <c r="AP528" s="403">
        <f>'Portefeuille SP2'!AB553</f>
        <v>0</v>
      </c>
      <c r="AQ528" s="403">
        <f>'Portefeuille SP2'!AC553</f>
        <v>0</v>
      </c>
      <c r="AR528" s="403">
        <f>'Portefeuille SP2'!AD553</f>
        <v>0</v>
      </c>
      <c r="AS528" s="403">
        <f>'Portefeuille SP2'!AE553</f>
        <v>0</v>
      </c>
      <c r="AT528" s="403">
        <f>'Portefeuille SP2'!AF553</f>
        <v>0</v>
      </c>
      <c r="AU528" s="403">
        <f>'Portefeuille SP2'!AG553</f>
        <v>0</v>
      </c>
      <c r="AV528" s="403">
        <f>'Portefeuille SP2'!AH553</f>
        <v>0</v>
      </c>
      <c r="AW528" s="403">
        <f>'Portefeuille SP2'!AI553</f>
        <v>0</v>
      </c>
      <c r="AX528" s="403">
        <f>'Portefeuille SP2'!AJ553</f>
        <v>0</v>
      </c>
      <c r="AY528" s="403">
        <f>'Portefeuille SP2'!AK553</f>
        <v>0</v>
      </c>
      <c r="AZ528" s="403">
        <f>'Portefeuille SP2'!AL553</f>
        <v>0</v>
      </c>
      <c r="BA528" s="403">
        <f>'Portefeuille SP2'!AM553</f>
        <v>0</v>
      </c>
      <c r="BB528" s="403">
        <f>'Portefeuille SP2'!AN553</f>
        <v>0</v>
      </c>
      <c r="BC528" s="403">
        <f>'Portefeuille SP2'!AO553</f>
        <v>0</v>
      </c>
      <c r="BD528" s="403">
        <f>'Portefeuille SP2'!AP553</f>
        <v>0</v>
      </c>
      <c r="BE528" s="403">
        <f>'Portefeuille SP2'!AQ553</f>
        <v>0</v>
      </c>
      <c r="BF528" s="403">
        <f>'Portefeuille SP2'!AR553</f>
        <v>0</v>
      </c>
      <c r="BG528" s="403" t="e">
        <f>'Portefeuille SP2'!#REF!</f>
        <v>#REF!</v>
      </c>
      <c r="BH528" s="403" t="e">
        <f>'Portefeuille SP2'!#REF!</f>
        <v>#REF!</v>
      </c>
      <c r="BI528" s="403" t="e">
        <f>'Portefeuille SP2'!#REF!</f>
        <v>#REF!</v>
      </c>
      <c r="BJ528" s="403" t="e">
        <f>'Portefeuille SP2'!#REF!</f>
        <v>#REF!</v>
      </c>
      <c r="BK528" s="403" t="e">
        <f>'Portefeuille SP2'!#REF!</f>
        <v>#REF!</v>
      </c>
      <c r="BL528" s="388"/>
      <c r="BM528" s="404">
        <f>'Portefeuille SP2'!L553</f>
        <v>0</v>
      </c>
    </row>
    <row r="529" spans="1:65" ht="15" customHeight="1">
      <c r="A529" s="383">
        <f>'Portefeuille SP2'!B554</f>
        <v>0</v>
      </c>
      <c r="B529" s="390">
        <f>'Portefeuille SP2'!Q554</f>
        <v>0</v>
      </c>
      <c r="C529" s="384"/>
      <c r="D529" s="382">
        <f>'Portefeuille SP2'!E554</f>
        <v>0</v>
      </c>
      <c r="E529" s="382" t="str">
        <f t="shared" si="37"/>
        <v>0</v>
      </c>
      <c r="F529" s="382" t="str">
        <f t="shared" si="38"/>
        <v/>
      </c>
      <c r="G529" s="382">
        <f>'Portefeuille SP2'!C554</f>
        <v>0</v>
      </c>
      <c r="H529" s="382">
        <f>'Portefeuille SP2'!F554</f>
        <v>0</v>
      </c>
      <c r="I529" s="382"/>
      <c r="J529" s="382">
        <f>'Portefeuille SP2'!D554</f>
        <v>0</v>
      </c>
      <c r="K529" s="385">
        <f>'Portefeuille SP2'!H554</f>
        <v>0</v>
      </c>
      <c r="L529" s="157">
        <f>'Portefeuille SP2'!U554</f>
        <v>0</v>
      </c>
      <c r="M529" s="386"/>
      <c r="N529" s="386"/>
      <c r="O529" s="386"/>
      <c r="P529" s="387">
        <f>'Portefeuille SP2'!M554</f>
        <v>0</v>
      </c>
      <c r="Q529" s="387"/>
      <c r="R529" s="387">
        <f>'Portefeuille SP2'!N554</f>
        <v>0</v>
      </c>
      <c r="S529" s="387"/>
      <c r="T529" s="382">
        <f>'Portefeuille SP2'!R554</f>
        <v>0</v>
      </c>
      <c r="U529" s="387">
        <f>'Portefeuille SP2'!K554</f>
        <v>0</v>
      </c>
      <c r="V529" s="399">
        <f>'Portefeuille SP2'!S554</f>
        <v>0</v>
      </c>
      <c r="W529" s="387"/>
      <c r="X529" s="387"/>
      <c r="Y529" s="387"/>
      <c r="Z529" s="387"/>
      <c r="AA529" s="387"/>
      <c r="AB529" s="387"/>
      <c r="AC529" s="387"/>
      <c r="AD529" s="387"/>
      <c r="AE529" s="400">
        <f>'Portefeuille SP2'!J554</f>
        <v>0</v>
      </c>
      <c r="AF529" s="387"/>
      <c r="AG529" s="387"/>
      <c r="AH529" s="389"/>
      <c r="AI529" s="389"/>
      <c r="AJ529" s="403">
        <f>'Portefeuille SP2'!V554</f>
        <v>0</v>
      </c>
      <c r="AK529" s="403">
        <f>'Portefeuille SP2'!W554</f>
        <v>0</v>
      </c>
      <c r="AL529" s="403">
        <f>'Portefeuille SP2'!X554</f>
        <v>0</v>
      </c>
      <c r="AM529" s="403">
        <f>'Portefeuille SP2'!Y554</f>
        <v>0</v>
      </c>
      <c r="AN529" s="403">
        <f>'Portefeuille SP2'!Z554</f>
        <v>0</v>
      </c>
      <c r="AO529" s="403">
        <f>'Portefeuille SP2'!AA554</f>
        <v>0</v>
      </c>
      <c r="AP529" s="403">
        <f>'Portefeuille SP2'!AB554</f>
        <v>0</v>
      </c>
      <c r="AQ529" s="403">
        <f>'Portefeuille SP2'!AC554</f>
        <v>0</v>
      </c>
      <c r="AR529" s="403">
        <f>'Portefeuille SP2'!AD554</f>
        <v>0</v>
      </c>
      <c r="AS529" s="403">
        <f>'Portefeuille SP2'!AE554</f>
        <v>0</v>
      </c>
      <c r="AT529" s="403">
        <f>'Portefeuille SP2'!AF554</f>
        <v>0</v>
      </c>
      <c r="AU529" s="403">
        <f>'Portefeuille SP2'!AG554</f>
        <v>0</v>
      </c>
      <c r="AV529" s="403">
        <f>'Portefeuille SP2'!AH554</f>
        <v>0</v>
      </c>
      <c r="AW529" s="403">
        <f>'Portefeuille SP2'!AI554</f>
        <v>0</v>
      </c>
      <c r="AX529" s="403">
        <f>'Portefeuille SP2'!AJ554</f>
        <v>0</v>
      </c>
      <c r="AY529" s="403">
        <f>'Portefeuille SP2'!AK554</f>
        <v>0</v>
      </c>
      <c r="AZ529" s="403">
        <f>'Portefeuille SP2'!AL554</f>
        <v>0</v>
      </c>
      <c r="BA529" s="403">
        <f>'Portefeuille SP2'!AM554</f>
        <v>0</v>
      </c>
      <c r="BB529" s="403">
        <f>'Portefeuille SP2'!AN554</f>
        <v>0</v>
      </c>
      <c r="BC529" s="403">
        <f>'Portefeuille SP2'!AO554</f>
        <v>0</v>
      </c>
      <c r="BD529" s="403">
        <f>'Portefeuille SP2'!AP554</f>
        <v>0</v>
      </c>
      <c r="BE529" s="403">
        <f>'Portefeuille SP2'!AQ554</f>
        <v>0</v>
      </c>
      <c r="BF529" s="403">
        <f>'Portefeuille SP2'!AR554</f>
        <v>0</v>
      </c>
      <c r="BG529" s="403" t="e">
        <f>'Portefeuille SP2'!#REF!</f>
        <v>#REF!</v>
      </c>
      <c r="BH529" s="403" t="e">
        <f>'Portefeuille SP2'!#REF!</f>
        <v>#REF!</v>
      </c>
      <c r="BI529" s="403" t="e">
        <f>'Portefeuille SP2'!#REF!</f>
        <v>#REF!</v>
      </c>
      <c r="BJ529" s="403" t="e">
        <f>'Portefeuille SP2'!#REF!</f>
        <v>#REF!</v>
      </c>
      <c r="BK529" s="403" t="e">
        <f>'Portefeuille SP2'!#REF!</f>
        <v>#REF!</v>
      </c>
      <c r="BL529" s="388"/>
      <c r="BM529" s="404">
        <f>'Portefeuille SP2'!L554</f>
        <v>0</v>
      </c>
    </row>
    <row r="530" spans="1:65" ht="15" customHeight="1">
      <c r="A530" s="383">
        <f>'Portefeuille SP2'!B555</f>
        <v>0</v>
      </c>
      <c r="B530" s="390">
        <f>'Portefeuille SP2'!Q555</f>
        <v>0</v>
      </c>
      <c r="C530" s="384"/>
      <c r="D530" s="382">
        <f>'Portefeuille SP2'!E555</f>
        <v>0</v>
      </c>
      <c r="E530" s="382" t="str">
        <f t="shared" si="37"/>
        <v>0</v>
      </c>
      <c r="F530" s="382" t="str">
        <f t="shared" si="38"/>
        <v/>
      </c>
      <c r="G530" s="382">
        <f>'Portefeuille SP2'!C555</f>
        <v>0</v>
      </c>
      <c r="H530" s="382">
        <f>'Portefeuille SP2'!F555</f>
        <v>0</v>
      </c>
      <c r="I530" s="382"/>
      <c r="J530" s="382">
        <f>'Portefeuille SP2'!D555</f>
        <v>0</v>
      </c>
      <c r="K530" s="385">
        <f>'Portefeuille SP2'!H555</f>
        <v>0</v>
      </c>
      <c r="L530" s="157">
        <f>'Portefeuille SP2'!U555</f>
        <v>0</v>
      </c>
      <c r="M530" s="386"/>
      <c r="N530" s="386"/>
      <c r="O530" s="386"/>
      <c r="P530" s="387">
        <f>'Portefeuille SP2'!M555</f>
        <v>0</v>
      </c>
      <c r="Q530" s="387"/>
      <c r="R530" s="387">
        <f>'Portefeuille SP2'!N555</f>
        <v>0</v>
      </c>
      <c r="S530" s="387"/>
      <c r="T530" s="382">
        <f>'Portefeuille SP2'!R555</f>
        <v>0</v>
      </c>
      <c r="U530" s="387">
        <f>'Portefeuille SP2'!K555</f>
        <v>0</v>
      </c>
      <c r="V530" s="399">
        <f>'Portefeuille SP2'!S555</f>
        <v>0</v>
      </c>
      <c r="W530" s="387"/>
      <c r="X530" s="387"/>
      <c r="Y530" s="387"/>
      <c r="Z530" s="387"/>
      <c r="AA530" s="387"/>
      <c r="AB530" s="387"/>
      <c r="AC530" s="387"/>
      <c r="AD530" s="387"/>
      <c r="AE530" s="400">
        <f>'Portefeuille SP2'!J555</f>
        <v>0</v>
      </c>
      <c r="AF530" s="387"/>
      <c r="AG530" s="387"/>
      <c r="AH530" s="389"/>
      <c r="AI530" s="389"/>
      <c r="AJ530" s="403">
        <f>'Portefeuille SP2'!V555</f>
        <v>0</v>
      </c>
      <c r="AK530" s="403">
        <f>'Portefeuille SP2'!W555</f>
        <v>0</v>
      </c>
      <c r="AL530" s="403">
        <f>'Portefeuille SP2'!X555</f>
        <v>0</v>
      </c>
      <c r="AM530" s="403">
        <f>'Portefeuille SP2'!Y555</f>
        <v>0</v>
      </c>
      <c r="AN530" s="403">
        <f>'Portefeuille SP2'!Z555</f>
        <v>0</v>
      </c>
      <c r="AO530" s="403">
        <f>'Portefeuille SP2'!AA555</f>
        <v>0</v>
      </c>
      <c r="AP530" s="403">
        <f>'Portefeuille SP2'!AB555</f>
        <v>0</v>
      </c>
      <c r="AQ530" s="403">
        <f>'Portefeuille SP2'!AC555</f>
        <v>0</v>
      </c>
      <c r="AR530" s="403">
        <f>'Portefeuille SP2'!AD555</f>
        <v>0</v>
      </c>
      <c r="AS530" s="403">
        <f>'Portefeuille SP2'!AE555</f>
        <v>0</v>
      </c>
      <c r="AT530" s="403">
        <f>'Portefeuille SP2'!AF555</f>
        <v>0</v>
      </c>
      <c r="AU530" s="403">
        <f>'Portefeuille SP2'!AG555</f>
        <v>0</v>
      </c>
      <c r="AV530" s="403">
        <f>'Portefeuille SP2'!AH555</f>
        <v>0</v>
      </c>
      <c r="AW530" s="403">
        <f>'Portefeuille SP2'!AI555</f>
        <v>0</v>
      </c>
      <c r="AX530" s="403">
        <f>'Portefeuille SP2'!AJ555</f>
        <v>0</v>
      </c>
      <c r="AY530" s="403">
        <f>'Portefeuille SP2'!AK555</f>
        <v>0</v>
      </c>
      <c r="AZ530" s="403">
        <f>'Portefeuille SP2'!AL555</f>
        <v>0</v>
      </c>
      <c r="BA530" s="403">
        <f>'Portefeuille SP2'!AM555</f>
        <v>0</v>
      </c>
      <c r="BB530" s="403">
        <f>'Portefeuille SP2'!AN555</f>
        <v>0</v>
      </c>
      <c r="BC530" s="403">
        <f>'Portefeuille SP2'!AO555</f>
        <v>0</v>
      </c>
      <c r="BD530" s="403">
        <f>'Portefeuille SP2'!AP555</f>
        <v>0</v>
      </c>
      <c r="BE530" s="403">
        <f>'Portefeuille SP2'!AQ555</f>
        <v>0</v>
      </c>
      <c r="BF530" s="403">
        <f>'Portefeuille SP2'!AR555</f>
        <v>0</v>
      </c>
      <c r="BG530" s="403" t="e">
        <f>'Portefeuille SP2'!#REF!</f>
        <v>#REF!</v>
      </c>
      <c r="BH530" s="403" t="e">
        <f>'Portefeuille SP2'!#REF!</f>
        <v>#REF!</v>
      </c>
      <c r="BI530" s="403" t="e">
        <f>'Portefeuille SP2'!#REF!</f>
        <v>#REF!</v>
      </c>
      <c r="BJ530" s="403" t="e">
        <f>'Portefeuille SP2'!#REF!</f>
        <v>#REF!</v>
      </c>
      <c r="BK530" s="403" t="e">
        <f>'Portefeuille SP2'!#REF!</f>
        <v>#REF!</v>
      </c>
      <c r="BL530" s="388"/>
      <c r="BM530" s="404">
        <f>'Portefeuille SP2'!L555</f>
        <v>0</v>
      </c>
    </row>
    <row r="531" spans="1:65" ht="15" customHeight="1">
      <c r="A531" s="383">
        <f>'Portefeuille SP2'!B556</f>
        <v>0</v>
      </c>
      <c r="B531" s="390">
        <f>'Portefeuille SP2'!Q556</f>
        <v>0</v>
      </c>
      <c r="C531" s="384"/>
      <c r="D531" s="382">
        <f>'Portefeuille SP2'!E556</f>
        <v>0</v>
      </c>
      <c r="E531" s="382" t="str">
        <f t="shared" si="37"/>
        <v>0</v>
      </c>
      <c r="F531" s="382" t="str">
        <f t="shared" si="38"/>
        <v/>
      </c>
      <c r="G531" s="382">
        <f>'Portefeuille SP2'!C556</f>
        <v>0</v>
      </c>
      <c r="H531" s="382">
        <f>'Portefeuille SP2'!F556</f>
        <v>0</v>
      </c>
      <c r="I531" s="382"/>
      <c r="J531" s="382">
        <f>'Portefeuille SP2'!D556</f>
        <v>0</v>
      </c>
      <c r="K531" s="385">
        <f>'Portefeuille SP2'!H556</f>
        <v>0</v>
      </c>
      <c r="L531" s="157">
        <f>'Portefeuille SP2'!U556</f>
        <v>0</v>
      </c>
      <c r="M531" s="386"/>
      <c r="N531" s="386"/>
      <c r="O531" s="386"/>
      <c r="P531" s="387">
        <f>'Portefeuille SP2'!M556</f>
        <v>0</v>
      </c>
      <c r="Q531" s="387"/>
      <c r="R531" s="387">
        <f>'Portefeuille SP2'!N556</f>
        <v>0</v>
      </c>
      <c r="S531" s="387"/>
      <c r="T531" s="382">
        <f>'Portefeuille SP2'!R556</f>
        <v>0</v>
      </c>
      <c r="U531" s="387">
        <f>'Portefeuille SP2'!K556</f>
        <v>0</v>
      </c>
      <c r="V531" s="399">
        <f>'Portefeuille SP2'!S556</f>
        <v>0</v>
      </c>
      <c r="W531" s="387"/>
      <c r="X531" s="387"/>
      <c r="Y531" s="387"/>
      <c r="Z531" s="387"/>
      <c r="AA531" s="387"/>
      <c r="AB531" s="387"/>
      <c r="AC531" s="387"/>
      <c r="AD531" s="387"/>
      <c r="AE531" s="400">
        <f>'Portefeuille SP2'!J556</f>
        <v>0</v>
      </c>
      <c r="AF531" s="387"/>
      <c r="AG531" s="387"/>
      <c r="AH531" s="389"/>
      <c r="AI531" s="389"/>
      <c r="AJ531" s="403">
        <f>'Portefeuille SP2'!V556</f>
        <v>0</v>
      </c>
      <c r="AK531" s="403">
        <f>'Portefeuille SP2'!W556</f>
        <v>0</v>
      </c>
      <c r="AL531" s="403">
        <f>'Portefeuille SP2'!X556</f>
        <v>0</v>
      </c>
      <c r="AM531" s="403">
        <f>'Portefeuille SP2'!Y556</f>
        <v>0</v>
      </c>
      <c r="AN531" s="403">
        <f>'Portefeuille SP2'!Z556</f>
        <v>0</v>
      </c>
      <c r="AO531" s="403">
        <f>'Portefeuille SP2'!AA556</f>
        <v>0</v>
      </c>
      <c r="AP531" s="403">
        <f>'Portefeuille SP2'!AB556</f>
        <v>0</v>
      </c>
      <c r="AQ531" s="403">
        <f>'Portefeuille SP2'!AC556</f>
        <v>0</v>
      </c>
      <c r="AR531" s="403">
        <f>'Portefeuille SP2'!AD556</f>
        <v>0</v>
      </c>
      <c r="AS531" s="403">
        <f>'Portefeuille SP2'!AE556</f>
        <v>0</v>
      </c>
      <c r="AT531" s="403">
        <f>'Portefeuille SP2'!AF556</f>
        <v>0</v>
      </c>
      <c r="AU531" s="403">
        <f>'Portefeuille SP2'!AG556</f>
        <v>0</v>
      </c>
      <c r="AV531" s="403">
        <f>'Portefeuille SP2'!AH556</f>
        <v>0</v>
      </c>
      <c r="AW531" s="403">
        <f>'Portefeuille SP2'!AI556</f>
        <v>0</v>
      </c>
      <c r="AX531" s="403">
        <f>'Portefeuille SP2'!AJ556</f>
        <v>0</v>
      </c>
      <c r="AY531" s="403">
        <f>'Portefeuille SP2'!AK556</f>
        <v>0</v>
      </c>
      <c r="AZ531" s="403">
        <f>'Portefeuille SP2'!AL556</f>
        <v>0</v>
      </c>
      <c r="BA531" s="403">
        <f>'Portefeuille SP2'!AM556</f>
        <v>0</v>
      </c>
      <c r="BB531" s="403">
        <f>'Portefeuille SP2'!AN556</f>
        <v>0</v>
      </c>
      <c r="BC531" s="403">
        <f>'Portefeuille SP2'!AO556</f>
        <v>0</v>
      </c>
      <c r="BD531" s="403">
        <f>'Portefeuille SP2'!AP556</f>
        <v>0</v>
      </c>
      <c r="BE531" s="403">
        <f>'Portefeuille SP2'!AQ556</f>
        <v>0</v>
      </c>
      <c r="BF531" s="403">
        <f>'Portefeuille SP2'!AR556</f>
        <v>0</v>
      </c>
      <c r="BG531" s="403" t="e">
        <f>'Portefeuille SP2'!#REF!</f>
        <v>#REF!</v>
      </c>
      <c r="BH531" s="403" t="e">
        <f>'Portefeuille SP2'!#REF!</f>
        <v>#REF!</v>
      </c>
      <c r="BI531" s="403" t="e">
        <f>'Portefeuille SP2'!#REF!</f>
        <v>#REF!</v>
      </c>
      <c r="BJ531" s="403" t="e">
        <f>'Portefeuille SP2'!#REF!</f>
        <v>#REF!</v>
      </c>
      <c r="BK531" s="403" t="e">
        <f>'Portefeuille SP2'!#REF!</f>
        <v>#REF!</v>
      </c>
      <c r="BL531" s="388"/>
      <c r="BM531" s="404">
        <f>'Portefeuille SP2'!L556</f>
        <v>0</v>
      </c>
    </row>
    <row r="532" spans="1:65" ht="15" customHeight="1">
      <c r="A532" s="383">
        <f>'Portefeuille SP2'!B557</f>
        <v>0</v>
      </c>
      <c r="B532" s="390">
        <f>'Portefeuille SP2'!Q557</f>
        <v>0</v>
      </c>
      <c r="C532" s="384"/>
      <c r="D532" s="382">
        <f>'Portefeuille SP2'!E557</f>
        <v>0</v>
      </c>
      <c r="E532" s="382" t="str">
        <f t="shared" si="37"/>
        <v>0</v>
      </c>
      <c r="F532" s="382" t="str">
        <f t="shared" si="38"/>
        <v/>
      </c>
      <c r="G532" s="382">
        <f>'Portefeuille SP2'!C557</f>
        <v>0</v>
      </c>
      <c r="H532" s="382">
        <f>'Portefeuille SP2'!F557</f>
        <v>0</v>
      </c>
      <c r="I532" s="382"/>
      <c r="J532" s="382">
        <f>'Portefeuille SP2'!D557</f>
        <v>0</v>
      </c>
      <c r="K532" s="385">
        <f>'Portefeuille SP2'!H557</f>
        <v>0</v>
      </c>
      <c r="L532" s="157">
        <f>'Portefeuille SP2'!U557</f>
        <v>0</v>
      </c>
      <c r="M532" s="386"/>
      <c r="N532" s="386"/>
      <c r="O532" s="386"/>
      <c r="P532" s="387">
        <f>'Portefeuille SP2'!M557</f>
        <v>0</v>
      </c>
      <c r="Q532" s="387"/>
      <c r="R532" s="387">
        <f>'Portefeuille SP2'!N557</f>
        <v>0</v>
      </c>
      <c r="S532" s="387"/>
      <c r="T532" s="382">
        <f>'Portefeuille SP2'!R557</f>
        <v>0</v>
      </c>
      <c r="U532" s="387">
        <f>'Portefeuille SP2'!K557</f>
        <v>0</v>
      </c>
      <c r="V532" s="399">
        <f>'Portefeuille SP2'!S557</f>
        <v>0</v>
      </c>
      <c r="W532" s="387"/>
      <c r="X532" s="387"/>
      <c r="Y532" s="387"/>
      <c r="Z532" s="387"/>
      <c r="AA532" s="387"/>
      <c r="AB532" s="387"/>
      <c r="AC532" s="387"/>
      <c r="AD532" s="387"/>
      <c r="AE532" s="400">
        <f>'Portefeuille SP2'!J557</f>
        <v>0</v>
      </c>
      <c r="AF532" s="387"/>
      <c r="AG532" s="387"/>
      <c r="AH532" s="389"/>
      <c r="AI532" s="389"/>
      <c r="AJ532" s="403">
        <f>'Portefeuille SP2'!V557</f>
        <v>0</v>
      </c>
      <c r="AK532" s="403">
        <f>'Portefeuille SP2'!W557</f>
        <v>0</v>
      </c>
      <c r="AL532" s="403">
        <f>'Portefeuille SP2'!X557</f>
        <v>0</v>
      </c>
      <c r="AM532" s="403">
        <f>'Portefeuille SP2'!Y557</f>
        <v>0</v>
      </c>
      <c r="AN532" s="403">
        <f>'Portefeuille SP2'!Z557</f>
        <v>0</v>
      </c>
      <c r="AO532" s="403">
        <f>'Portefeuille SP2'!AA557</f>
        <v>0</v>
      </c>
      <c r="AP532" s="403">
        <f>'Portefeuille SP2'!AB557</f>
        <v>0</v>
      </c>
      <c r="AQ532" s="403">
        <f>'Portefeuille SP2'!AC557</f>
        <v>0</v>
      </c>
      <c r="AR532" s="403">
        <f>'Portefeuille SP2'!AD557</f>
        <v>0</v>
      </c>
      <c r="AS532" s="403">
        <f>'Portefeuille SP2'!AE557</f>
        <v>0</v>
      </c>
      <c r="AT532" s="403">
        <f>'Portefeuille SP2'!AF557</f>
        <v>0</v>
      </c>
      <c r="AU532" s="403">
        <f>'Portefeuille SP2'!AG557</f>
        <v>0</v>
      </c>
      <c r="AV532" s="403">
        <f>'Portefeuille SP2'!AH557</f>
        <v>0</v>
      </c>
      <c r="AW532" s="403">
        <f>'Portefeuille SP2'!AI557</f>
        <v>0</v>
      </c>
      <c r="AX532" s="403">
        <f>'Portefeuille SP2'!AJ557</f>
        <v>0</v>
      </c>
      <c r="AY532" s="403">
        <f>'Portefeuille SP2'!AK557</f>
        <v>0</v>
      </c>
      <c r="AZ532" s="403">
        <f>'Portefeuille SP2'!AL557</f>
        <v>0</v>
      </c>
      <c r="BA532" s="403">
        <f>'Portefeuille SP2'!AM557</f>
        <v>0</v>
      </c>
      <c r="BB532" s="403">
        <f>'Portefeuille SP2'!AN557</f>
        <v>0</v>
      </c>
      <c r="BC532" s="403">
        <f>'Portefeuille SP2'!AO557</f>
        <v>0</v>
      </c>
      <c r="BD532" s="403">
        <f>'Portefeuille SP2'!AP557</f>
        <v>0</v>
      </c>
      <c r="BE532" s="403">
        <f>'Portefeuille SP2'!AQ557</f>
        <v>0</v>
      </c>
      <c r="BF532" s="403">
        <f>'Portefeuille SP2'!AR557</f>
        <v>0</v>
      </c>
      <c r="BG532" s="403" t="e">
        <f>'Portefeuille SP2'!#REF!</f>
        <v>#REF!</v>
      </c>
      <c r="BH532" s="403" t="e">
        <f>'Portefeuille SP2'!#REF!</f>
        <v>#REF!</v>
      </c>
      <c r="BI532" s="403" t="e">
        <f>'Portefeuille SP2'!#REF!</f>
        <v>#REF!</v>
      </c>
      <c r="BJ532" s="403" t="e">
        <f>'Portefeuille SP2'!#REF!</f>
        <v>#REF!</v>
      </c>
      <c r="BK532" s="403" t="e">
        <f>'Portefeuille SP2'!#REF!</f>
        <v>#REF!</v>
      </c>
      <c r="BL532" s="388"/>
      <c r="BM532" s="404">
        <f>'Portefeuille SP2'!L557</f>
        <v>0</v>
      </c>
    </row>
    <row r="533" spans="1:65" ht="15" customHeight="1">
      <c r="A533" s="383">
        <f>'Portefeuille SP2'!B558</f>
        <v>0</v>
      </c>
      <c r="B533" s="390">
        <f>'Portefeuille SP2'!Q558</f>
        <v>0</v>
      </c>
      <c r="C533" s="384"/>
      <c r="D533" s="382">
        <f>'Portefeuille SP2'!E558</f>
        <v>0</v>
      </c>
      <c r="E533" s="382" t="str">
        <f t="shared" si="37"/>
        <v>0</v>
      </c>
      <c r="F533" s="382" t="str">
        <f t="shared" si="38"/>
        <v/>
      </c>
      <c r="G533" s="382">
        <f>'Portefeuille SP2'!C558</f>
        <v>0</v>
      </c>
      <c r="H533" s="382">
        <f>'Portefeuille SP2'!F558</f>
        <v>0</v>
      </c>
      <c r="I533" s="382"/>
      <c r="J533" s="382">
        <f>'Portefeuille SP2'!D558</f>
        <v>0</v>
      </c>
      <c r="K533" s="385">
        <f>'Portefeuille SP2'!H558</f>
        <v>0</v>
      </c>
      <c r="L533" s="157">
        <f>'Portefeuille SP2'!U558</f>
        <v>0</v>
      </c>
      <c r="M533" s="386"/>
      <c r="N533" s="386"/>
      <c r="O533" s="386"/>
      <c r="P533" s="387">
        <f>'Portefeuille SP2'!M558</f>
        <v>0</v>
      </c>
      <c r="Q533" s="387"/>
      <c r="R533" s="387">
        <f>'Portefeuille SP2'!N558</f>
        <v>0</v>
      </c>
      <c r="S533" s="387"/>
      <c r="T533" s="382">
        <f>'Portefeuille SP2'!R558</f>
        <v>0</v>
      </c>
      <c r="U533" s="387">
        <f>'Portefeuille SP2'!K558</f>
        <v>0</v>
      </c>
      <c r="V533" s="399">
        <f>'Portefeuille SP2'!S558</f>
        <v>0</v>
      </c>
      <c r="W533" s="387"/>
      <c r="X533" s="387"/>
      <c r="Y533" s="387"/>
      <c r="Z533" s="387"/>
      <c r="AA533" s="387"/>
      <c r="AB533" s="387"/>
      <c r="AC533" s="387"/>
      <c r="AD533" s="387"/>
      <c r="AE533" s="400">
        <f>'Portefeuille SP2'!J558</f>
        <v>0</v>
      </c>
      <c r="AF533" s="387"/>
      <c r="AG533" s="387"/>
      <c r="AH533" s="389"/>
      <c r="AI533" s="389"/>
      <c r="AJ533" s="403">
        <f>'Portefeuille SP2'!V558</f>
        <v>0</v>
      </c>
      <c r="AK533" s="403">
        <f>'Portefeuille SP2'!W558</f>
        <v>0</v>
      </c>
      <c r="AL533" s="403">
        <f>'Portefeuille SP2'!X558</f>
        <v>0</v>
      </c>
      <c r="AM533" s="403">
        <f>'Portefeuille SP2'!Y558</f>
        <v>0</v>
      </c>
      <c r="AN533" s="403">
        <f>'Portefeuille SP2'!Z558</f>
        <v>0</v>
      </c>
      <c r="AO533" s="403">
        <f>'Portefeuille SP2'!AA558</f>
        <v>0</v>
      </c>
      <c r="AP533" s="403">
        <f>'Portefeuille SP2'!AB558</f>
        <v>0</v>
      </c>
      <c r="AQ533" s="403">
        <f>'Portefeuille SP2'!AC558</f>
        <v>0</v>
      </c>
      <c r="AR533" s="403">
        <f>'Portefeuille SP2'!AD558</f>
        <v>0</v>
      </c>
      <c r="AS533" s="403">
        <f>'Portefeuille SP2'!AE558</f>
        <v>0</v>
      </c>
      <c r="AT533" s="403">
        <f>'Portefeuille SP2'!AF558</f>
        <v>0</v>
      </c>
      <c r="AU533" s="403">
        <f>'Portefeuille SP2'!AG558</f>
        <v>0</v>
      </c>
      <c r="AV533" s="403">
        <f>'Portefeuille SP2'!AH558</f>
        <v>0</v>
      </c>
      <c r="AW533" s="403">
        <f>'Portefeuille SP2'!AI558</f>
        <v>0</v>
      </c>
      <c r="AX533" s="403">
        <f>'Portefeuille SP2'!AJ558</f>
        <v>0</v>
      </c>
      <c r="AY533" s="403">
        <f>'Portefeuille SP2'!AK558</f>
        <v>0</v>
      </c>
      <c r="AZ533" s="403">
        <f>'Portefeuille SP2'!AL558</f>
        <v>0</v>
      </c>
      <c r="BA533" s="403">
        <f>'Portefeuille SP2'!AM558</f>
        <v>0</v>
      </c>
      <c r="BB533" s="403">
        <f>'Portefeuille SP2'!AN558</f>
        <v>0</v>
      </c>
      <c r="BC533" s="403">
        <f>'Portefeuille SP2'!AO558</f>
        <v>0</v>
      </c>
      <c r="BD533" s="403">
        <f>'Portefeuille SP2'!AP558</f>
        <v>0</v>
      </c>
      <c r="BE533" s="403">
        <f>'Portefeuille SP2'!AQ558</f>
        <v>0</v>
      </c>
      <c r="BF533" s="403">
        <f>'Portefeuille SP2'!AR558</f>
        <v>0</v>
      </c>
      <c r="BG533" s="403" t="e">
        <f>'Portefeuille SP2'!#REF!</f>
        <v>#REF!</v>
      </c>
      <c r="BH533" s="403" t="e">
        <f>'Portefeuille SP2'!#REF!</f>
        <v>#REF!</v>
      </c>
      <c r="BI533" s="403" t="e">
        <f>'Portefeuille SP2'!#REF!</f>
        <v>#REF!</v>
      </c>
      <c r="BJ533" s="403" t="e">
        <f>'Portefeuille SP2'!#REF!</f>
        <v>#REF!</v>
      </c>
      <c r="BK533" s="403" t="e">
        <f>'Portefeuille SP2'!#REF!</f>
        <v>#REF!</v>
      </c>
      <c r="BL533" s="388"/>
      <c r="BM533" s="404">
        <f>'Portefeuille SP2'!L558</f>
        <v>0</v>
      </c>
    </row>
    <row r="534" spans="1:65" ht="15" customHeight="1">
      <c r="A534" s="383">
        <f>'Portefeuille SP2'!B559</f>
        <v>0</v>
      </c>
      <c r="B534" s="390">
        <f>'Portefeuille SP2'!Q559</f>
        <v>0</v>
      </c>
      <c r="C534" s="384"/>
      <c r="D534" s="382">
        <f>'Portefeuille SP2'!E559</f>
        <v>0</v>
      </c>
      <c r="E534" s="382" t="str">
        <f t="shared" si="37"/>
        <v>0</v>
      </c>
      <c r="F534" s="382" t="str">
        <f t="shared" si="38"/>
        <v/>
      </c>
      <c r="G534" s="382">
        <f>'Portefeuille SP2'!C559</f>
        <v>0</v>
      </c>
      <c r="H534" s="382">
        <f>'Portefeuille SP2'!F559</f>
        <v>0</v>
      </c>
      <c r="I534" s="382"/>
      <c r="J534" s="382">
        <f>'Portefeuille SP2'!D559</f>
        <v>0</v>
      </c>
      <c r="K534" s="385">
        <f>'Portefeuille SP2'!H559</f>
        <v>0</v>
      </c>
      <c r="L534" s="157">
        <f>'Portefeuille SP2'!U559</f>
        <v>0</v>
      </c>
      <c r="M534" s="386"/>
      <c r="N534" s="386"/>
      <c r="O534" s="386"/>
      <c r="P534" s="387">
        <f>'Portefeuille SP2'!M559</f>
        <v>0</v>
      </c>
      <c r="Q534" s="387"/>
      <c r="R534" s="387">
        <f>'Portefeuille SP2'!N559</f>
        <v>0</v>
      </c>
      <c r="S534" s="387"/>
      <c r="T534" s="382">
        <f>'Portefeuille SP2'!R559</f>
        <v>0</v>
      </c>
      <c r="U534" s="387">
        <f>'Portefeuille SP2'!K559</f>
        <v>0</v>
      </c>
      <c r="V534" s="399">
        <f>'Portefeuille SP2'!S559</f>
        <v>0</v>
      </c>
      <c r="W534" s="387"/>
      <c r="X534" s="387"/>
      <c r="Y534" s="387"/>
      <c r="Z534" s="387"/>
      <c r="AA534" s="387"/>
      <c r="AB534" s="387"/>
      <c r="AC534" s="387"/>
      <c r="AD534" s="387"/>
      <c r="AE534" s="400">
        <f>'Portefeuille SP2'!J559</f>
        <v>0</v>
      </c>
      <c r="AF534" s="387"/>
      <c r="AG534" s="387"/>
      <c r="AH534" s="389"/>
      <c r="AI534" s="389"/>
      <c r="AJ534" s="403">
        <f>'Portefeuille SP2'!V559</f>
        <v>0</v>
      </c>
      <c r="AK534" s="403">
        <f>'Portefeuille SP2'!W559</f>
        <v>0</v>
      </c>
      <c r="AL534" s="403">
        <f>'Portefeuille SP2'!X559</f>
        <v>0</v>
      </c>
      <c r="AM534" s="403">
        <f>'Portefeuille SP2'!Y559</f>
        <v>0</v>
      </c>
      <c r="AN534" s="403">
        <f>'Portefeuille SP2'!Z559</f>
        <v>0</v>
      </c>
      <c r="AO534" s="403">
        <f>'Portefeuille SP2'!AA559</f>
        <v>0</v>
      </c>
      <c r="AP534" s="403">
        <f>'Portefeuille SP2'!AB559</f>
        <v>0</v>
      </c>
      <c r="AQ534" s="403">
        <f>'Portefeuille SP2'!AC559</f>
        <v>0</v>
      </c>
      <c r="AR534" s="403">
        <f>'Portefeuille SP2'!AD559</f>
        <v>0</v>
      </c>
      <c r="AS534" s="403">
        <f>'Portefeuille SP2'!AE559</f>
        <v>0</v>
      </c>
      <c r="AT534" s="403">
        <f>'Portefeuille SP2'!AF559</f>
        <v>0</v>
      </c>
      <c r="AU534" s="403">
        <f>'Portefeuille SP2'!AG559</f>
        <v>0</v>
      </c>
      <c r="AV534" s="403">
        <f>'Portefeuille SP2'!AH559</f>
        <v>0</v>
      </c>
      <c r="AW534" s="403">
        <f>'Portefeuille SP2'!AI559</f>
        <v>0</v>
      </c>
      <c r="AX534" s="403">
        <f>'Portefeuille SP2'!AJ559</f>
        <v>0</v>
      </c>
      <c r="AY534" s="403">
        <f>'Portefeuille SP2'!AK559</f>
        <v>0</v>
      </c>
      <c r="AZ534" s="403">
        <f>'Portefeuille SP2'!AL559</f>
        <v>0</v>
      </c>
      <c r="BA534" s="403">
        <f>'Portefeuille SP2'!AM559</f>
        <v>0</v>
      </c>
      <c r="BB534" s="403">
        <f>'Portefeuille SP2'!AN559</f>
        <v>0</v>
      </c>
      <c r="BC534" s="403">
        <f>'Portefeuille SP2'!AO559</f>
        <v>0</v>
      </c>
      <c r="BD534" s="403">
        <f>'Portefeuille SP2'!AP559</f>
        <v>0</v>
      </c>
      <c r="BE534" s="403">
        <f>'Portefeuille SP2'!AQ559</f>
        <v>0</v>
      </c>
      <c r="BF534" s="403">
        <f>'Portefeuille SP2'!AR559</f>
        <v>0</v>
      </c>
      <c r="BG534" s="403" t="e">
        <f>'Portefeuille SP2'!#REF!</f>
        <v>#REF!</v>
      </c>
      <c r="BH534" s="403" t="e">
        <f>'Portefeuille SP2'!#REF!</f>
        <v>#REF!</v>
      </c>
      <c r="BI534" s="403" t="e">
        <f>'Portefeuille SP2'!#REF!</f>
        <v>#REF!</v>
      </c>
      <c r="BJ534" s="403" t="e">
        <f>'Portefeuille SP2'!#REF!</f>
        <v>#REF!</v>
      </c>
      <c r="BK534" s="403" t="e">
        <f>'Portefeuille SP2'!#REF!</f>
        <v>#REF!</v>
      </c>
      <c r="BL534" s="388"/>
      <c r="BM534" s="404">
        <f>'Portefeuille SP2'!L559</f>
        <v>0</v>
      </c>
    </row>
    <row r="535" spans="1:65" ht="15" customHeight="1">
      <c r="A535" s="383">
        <f>'Portefeuille SP2'!B560</f>
        <v>0</v>
      </c>
      <c r="B535" s="390">
        <f>'Portefeuille SP2'!Q560</f>
        <v>0</v>
      </c>
      <c r="C535" s="384"/>
      <c r="D535" s="382">
        <f>'Portefeuille SP2'!E560</f>
        <v>0</v>
      </c>
      <c r="E535" s="382" t="str">
        <f t="shared" si="37"/>
        <v>0</v>
      </c>
      <c r="F535" s="382" t="str">
        <f t="shared" si="38"/>
        <v/>
      </c>
      <c r="G535" s="382">
        <f>'Portefeuille SP2'!C560</f>
        <v>0</v>
      </c>
      <c r="H535" s="382">
        <f>'Portefeuille SP2'!F560</f>
        <v>0</v>
      </c>
      <c r="I535" s="382"/>
      <c r="J535" s="382">
        <f>'Portefeuille SP2'!D560</f>
        <v>0</v>
      </c>
      <c r="K535" s="385">
        <f>'Portefeuille SP2'!H560</f>
        <v>0</v>
      </c>
      <c r="L535" s="157">
        <f>'Portefeuille SP2'!U560</f>
        <v>0</v>
      </c>
      <c r="M535" s="386"/>
      <c r="N535" s="386"/>
      <c r="O535" s="386"/>
      <c r="P535" s="387">
        <f>'Portefeuille SP2'!M560</f>
        <v>0</v>
      </c>
      <c r="Q535" s="387"/>
      <c r="R535" s="387">
        <f>'Portefeuille SP2'!N560</f>
        <v>0</v>
      </c>
      <c r="S535" s="387"/>
      <c r="T535" s="382">
        <f>'Portefeuille SP2'!R560</f>
        <v>0</v>
      </c>
      <c r="U535" s="387">
        <f>'Portefeuille SP2'!K560</f>
        <v>0</v>
      </c>
      <c r="V535" s="399">
        <f>'Portefeuille SP2'!S560</f>
        <v>0</v>
      </c>
      <c r="W535" s="387"/>
      <c r="X535" s="387"/>
      <c r="Y535" s="387"/>
      <c r="Z535" s="387"/>
      <c r="AA535" s="387"/>
      <c r="AB535" s="387"/>
      <c r="AC535" s="387"/>
      <c r="AD535" s="387"/>
      <c r="AE535" s="400">
        <f>'Portefeuille SP2'!J560</f>
        <v>0</v>
      </c>
      <c r="AF535" s="387"/>
      <c r="AG535" s="387"/>
      <c r="AH535" s="389"/>
      <c r="AI535" s="389"/>
      <c r="AJ535" s="403">
        <f>'Portefeuille SP2'!V560</f>
        <v>0</v>
      </c>
      <c r="AK535" s="403">
        <f>'Portefeuille SP2'!W560</f>
        <v>0</v>
      </c>
      <c r="AL535" s="403">
        <f>'Portefeuille SP2'!X560</f>
        <v>0</v>
      </c>
      <c r="AM535" s="403">
        <f>'Portefeuille SP2'!Y560</f>
        <v>0</v>
      </c>
      <c r="AN535" s="403">
        <f>'Portefeuille SP2'!Z560</f>
        <v>0</v>
      </c>
      <c r="AO535" s="403">
        <f>'Portefeuille SP2'!AA560</f>
        <v>0</v>
      </c>
      <c r="AP535" s="403">
        <f>'Portefeuille SP2'!AB560</f>
        <v>0</v>
      </c>
      <c r="AQ535" s="403">
        <f>'Portefeuille SP2'!AC560</f>
        <v>0</v>
      </c>
      <c r="AR535" s="403">
        <f>'Portefeuille SP2'!AD560</f>
        <v>0</v>
      </c>
      <c r="AS535" s="403">
        <f>'Portefeuille SP2'!AE560</f>
        <v>0</v>
      </c>
      <c r="AT535" s="403">
        <f>'Portefeuille SP2'!AF560</f>
        <v>0</v>
      </c>
      <c r="AU535" s="403">
        <f>'Portefeuille SP2'!AG560</f>
        <v>0</v>
      </c>
      <c r="AV535" s="403">
        <f>'Portefeuille SP2'!AH560</f>
        <v>0</v>
      </c>
      <c r="AW535" s="403">
        <f>'Portefeuille SP2'!AI560</f>
        <v>0</v>
      </c>
      <c r="AX535" s="403">
        <f>'Portefeuille SP2'!AJ560</f>
        <v>0</v>
      </c>
      <c r="AY535" s="403">
        <f>'Portefeuille SP2'!AK560</f>
        <v>0</v>
      </c>
      <c r="AZ535" s="403">
        <f>'Portefeuille SP2'!AL560</f>
        <v>0</v>
      </c>
      <c r="BA535" s="403">
        <f>'Portefeuille SP2'!AM560</f>
        <v>0</v>
      </c>
      <c r="BB535" s="403">
        <f>'Portefeuille SP2'!AN560</f>
        <v>0</v>
      </c>
      <c r="BC535" s="403">
        <f>'Portefeuille SP2'!AO560</f>
        <v>0</v>
      </c>
      <c r="BD535" s="403">
        <f>'Portefeuille SP2'!AP560</f>
        <v>0</v>
      </c>
      <c r="BE535" s="403">
        <f>'Portefeuille SP2'!AQ560</f>
        <v>0</v>
      </c>
      <c r="BF535" s="403">
        <f>'Portefeuille SP2'!AR560</f>
        <v>0</v>
      </c>
      <c r="BG535" s="403" t="e">
        <f>'Portefeuille SP2'!#REF!</f>
        <v>#REF!</v>
      </c>
      <c r="BH535" s="403" t="e">
        <f>'Portefeuille SP2'!#REF!</f>
        <v>#REF!</v>
      </c>
      <c r="BI535" s="403" t="e">
        <f>'Portefeuille SP2'!#REF!</f>
        <v>#REF!</v>
      </c>
      <c r="BJ535" s="403" t="e">
        <f>'Portefeuille SP2'!#REF!</f>
        <v>#REF!</v>
      </c>
      <c r="BK535" s="403" t="e">
        <f>'Portefeuille SP2'!#REF!</f>
        <v>#REF!</v>
      </c>
      <c r="BL535" s="388"/>
      <c r="BM535" s="404">
        <f>'Portefeuille SP2'!L560</f>
        <v>0</v>
      </c>
    </row>
    <row r="536" spans="1:65" ht="15" customHeight="1">
      <c r="A536" s="383">
        <f>'Portefeuille SP2'!B561</f>
        <v>0</v>
      </c>
      <c r="B536" s="390">
        <f>'Portefeuille SP2'!Q561</f>
        <v>0</v>
      </c>
      <c r="C536" s="384"/>
      <c r="D536" s="382">
        <f>'Portefeuille SP2'!E561</f>
        <v>0</v>
      </c>
      <c r="E536" s="382" t="str">
        <f t="shared" si="37"/>
        <v>0</v>
      </c>
      <c r="F536" s="382" t="str">
        <f t="shared" si="38"/>
        <v/>
      </c>
      <c r="G536" s="382">
        <f>'Portefeuille SP2'!C561</f>
        <v>0</v>
      </c>
      <c r="H536" s="382">
        <f>'Portefeuille SP2'!F561</f>
        <v>0</v>
      </c>
      <c r="I536" s="382"/>
      <c r="J536" s="382">
        <f>'Portefeuille SP2'!D561</f>
        <v>0</v>
      </c>
      <c r="K536" s="385">
        <f>'Portefeuille SP2'!H561</f>
        <v>0</v>
      </c>
      <c r="L536" s="157">
        <f>'Portefeuille SP2'!U561</f>
        <v>0</v>
      </c>
      <c r="M536" s="386"/>
      <c r="N536" s="386"/>
      <c r="O536" s="386"/>
      <c r="P536" s="387">
        <f>'Portefeuille SP2'!M561</f>
        <v>0</v>
      </c>
      <c r="Q536" s="387"/>
      <c r="R536" s="387">
        <f>'Portefeuille SP2'!N561</f>
        <v>0</v>
      </c>
      <c r="S536" s="387"/>
      <c r="T536" s="382">
        <f>'Portefeuille SP2'!R561</f>
        <v>0</v>
      </c>
      <c r="U536" s="387">
        <f>'Portefeuille SP2'!K561</f>
        <v>0</v>
      </c>
      <c r="V536" s="399">
        <f>'Portefeuille SP2'!S561</f>
        <v>0</v>
      </c>
      <c r="W536" s="387"/>
      <c r="X536" s="387"/>
      <c r="Y536" s="387"/>
      <c r="Z536" s="387"/>
      <c r="AA536" s="387"/>
      <c r="AB536" s="387"/>
      <c r="AC536" s="387"/>
      <c r="AD536" s="387"/>
      <c r="AE536" s="400">
        <f>'Portefeuille SP2'!J561</f>
        <v>0</v>
      </c>
      <c r="AF536" s="387"/>
      <c r="AG536" s="387"/>
      <c r="AH536" s="389"/>
      <c r="AI536" s="389"/>
      <c r="AJ536" s="403">
        <f>'Portefeuille SP2'!V561</f>
        <v>0</v>
      </c>
      <c r="AK536" s="403">
        <f>'Portefeuille SP2'!W561</f>
        <v>0</v>
      </c>
      <c r="AL536" s="403">
        <f>'Portefeuille SP2'!X561</f>
        <v>0</v>
      </c>
      <c r="AM536" s="403">
        <f>'Portefeuille SP2'!Y561</f>
        <v>0</v>
      </c>
      <c r="AN536" s="403">
        <f>'Portefeuille SP2'!Z561</f>
        <v>0</v>
      </c>
      <c r="AO536" s="403">
        <f>'Portefeuille SP2'!AA561</f>
        <v>0</v>
      </c>
      <c r="AP536" s="403">
        <f>'Portefeuille SP2'!AB561</f>
        <v>0</v>
      </c>
      <c r="AQ536" s="403">
        <f>'Portefeuille SP2'!AC561</f>
        <v>0</v>
      </c>
      <c r="AR536" s="403">
        <f>'Portefeuille SP2'!AD561</f>
        <v>0</v>
      </c>
      <c r="AS536" s="403">
        <f>'Portefeuille SP2'!AE561</f>
        <v>0</v>
      </c>
      <c r="AT536" s="403">
        <f>'Portefeuille SP2'!AF561</f>
        <v>0</v>
      </c>
      <c r="AU536" s="403">
        <f>'Portefeuille SP2'!AG561</f>
        <v>0</v>
      </c>
      <c r="AV536" s="403">
        <f>'Portefeuille SP2'!AH561</f>
        <v>0</v>
      </c>
      <c r="AW536" s="403">
        <f>'Portefeuille SP2'!AI561</f>
        <v>0</v>
      </c>
      <c r="AX536" s="403">
        <f>'Portefeuille SP2'!AJ561</f>
        <v>0</v>
      </c>
      <c r="AY536" s="403">
        <f>'Portefeuille SP2'!AK561</f>
        <v>0</v>
      </c>
      <c r="AZ536" s="403">
        <f>'Portefeuille SP2'!AL561</f>
        <v>0</v>
      </c>
      <c r="BA536" s="403">
        <f>'Portefeuille SP2'!AM561</f>
        <v>0</v>
      </c>
      <c r="BB536" s="403">
        <f>'Portefeuille SP2'!AN561</f>
        <v>0</v>
      </c>
      <c r="BC536" s="403">
        <f>'Portefeuille SP2'!AO561</f>
        <v>0</v>
      </c>
      <c r="BD536" s="403">
        <f>'Portefeuille SP2'!AP561</f>
        <v>0</v>
      </c>
      <c r="BE536" s="403">
        <f>'Portefeuille SP2'!AQ561</f>
        <v>0</v>
      </c>
      <c r="BF536" s="403">
        <f>'Portefeuille SP2'!AR561</f>
        <v>0</v>
      </c>
      <c r="BG536" s="403" t="e">
        <f>'Portefeuille SP2'!#REF!</f>
        <v>#REF!</v>
      </c>
      <c r="BH536" s="403" t="e">
        <f>'Portefeuille SP2'!#REF!</f>
        <v>#REF!</v>
      </c>
      <c r="BI536" s="403" t="e">
        <f>'Portefeuille SP2'!#REF!</f>
        <v>#REF!</v>
      </c>
      <c r="BJ536" s="403" t="e">
        <f>'Portefeuille SP2'!#REF!</f>
        <v>#REF!</v>
      </c>
      <c r="BK536" s="403" t="e">
        <f>'Portefeuille SP2'!#REF!</f>
        <v>#REF!</v>
      </c>
      <c r="BL536" s="388"/>
      <c r="BM536" s="404">
        <f>'Portefeuille SP2'!L561</f>
        <v>0</v>
      </c>
    </row>
    <row r="537" spans="1:65" ht="15" customHeight="1">
      <c r="A537" s="383">
        <f>'Portefeuille SP2'!B562</f>
        <v>0</v>
      </c>
      <c r="B537" s="390">
        <f>'Portefeuille SP2'!Q562</f>
        <v>0</v>
      </c>
      <c r="C537" s="384"/>
      <c r="D537" s="382">
        <f>'Portefeuille SP2'!E562</f>
        <v>0</v>
      </c>
      <c r="E537" s="382" t="str">
        <f t="shared" si="37"/>
        <v>0</v>
      </c>
      <c r="F537" s="382" t="str">
        <f t="shared" si="38"/>
        <v/>
      </c>
      <c r="G537" s="382">
        <f>'Portefeuille SP2'!C562</f>
        <v>0</v>
      </c>
      <c r="H537" s="382">
        <f>'Portefeuille SP2'!F562</f>
        <v>0</v>
      </c>
      <c r="I537" s="382"/>
      <c r="J537" s="382">
        <f>'Portefeuille SP2'!D562</f>
        <v>0</v>
      </c>
      <c r="K537" s="385">
        <f>'Portefeuille SP2'!H562</f>
        <v>0</v>
      </c>
      <c r="L537" s="157">
        <f>'Portefeuille SP2'!U562</f>
        <v>0</v>
      </c>
      <c r="M537" s="386"/>
      <c r="N537" s="386"/>
      <c r="O537" s="386"/>
      <c r="P537" s="387">
        <f>'Portefeuille SP2'!M562</f>
        <v>0</v>
      </c>
      <c r="Q537" s="387"/>
      <c r="R537" s="387">
        <f>'Portefeuille SP2'!N562</f>
        <v>0</v>
      </c>
      <c r="S537" s="387"/>
      <c r="T537" s="382">
        <f>'Portefeuille SP2'!R562</f>
        <v>0</v>
      </c>
      <c r="U537" s="387">
        <f>'Portefeuille SP2'!K562</f>
        <v>0</v>
      </c>
      <c r="V537" s="399">
        <f>'Portefeuille SP2'!S562</f>
        <v>0</v>
      </c>
      <c r="W537" s="387"/>
      <c r="X537" s="387"/>
      <c r="Y537" s="387"/>
      <c r="Z537" s="387"/>
      <c r="AA537" s="387"/>
      <c r="AB537" s="387"/>
      <c r="AC537" s="387"/>
      <c r="AD537" s="387"/>
      <c r="AE537" s="400">
        <f>'Portefeuille SP2'!J562</f>
        <v>0</v>
      </c>
      <c r="AF537" s="387"/>
      <c r="AG537" s="387"/>
      <c r="AH537" s="389"/>
      <c r="AI537" s="389"/>
      <c r="AJ537" s="403">
        <f>'Portefeuille SP2'!V562</f>
        <v>0</v>
      </c>
      <c r="AK537" s="403">
        <f>'Portefeuille SP2'!W562</f>
        <v>0</v>
      </c>
      <c r="AL537" s="403">
        <f>'Portefeuille SP2'!X562</f>
        <v>0</v>
      </c>
      <c r="AM537" s="403">
        <f>'Portefeuille SP2'!Y562</f>
        <v>0</v>
      </c>
      <c r="AN537" s="403">
        <f>'Portefeuille SP2'!Z562</f>
        <v>0</v>
      </c>
      <c r="AO537" s="403">
        <f>'Portefeuille SP2'!AA562</f>
        <v>0</v>
      </c>
      <c r="AP537" s="403">
        <f>'Portefeuille SP2'!AB562</f>
        <v>0</v>
      </c>
      <c r="AQ537" s="403">
        <f>'Portefeuille SP2'!AC562</f>
        <v>0</v>
      </c>
      <c r="AR537" s="403">
        <f>'Portefeuille SP2'!AD562</f>
        <v>0</v>
      </c>
      <c r="AS537" s="403">
        <f>'Portefeuille SP2'!AE562</f>
        <v>0</v>
      </c>
      <c r="AT537" s="403">
        <f>'Portefeuille SP2'!AF562</f>
        <v>0</v>
      </c>
      <c r="AU537" s="403">
        <f>'Portefeuille SP2'!AG562</f>
        <v>0</v>
      </c>
      <c r="AV537" s="403">
        <f>'Portefeuille SP2'!AH562</f>
        <v>0</v>
      </c>
      <c r="AW537" s="403">
        <f>'Portefeuille SP2'!AI562</f>
        <v>0</v>
      </c>
      <c r="AX537" s="403">
        <f>'Portefeuille SP2'!AJ562</f>
        <v>0</v>
      </c>
      <c r="AY537" s="403">
        <f>'Portefeuille SP2'!AK562</f>
        <v>0</v>
      </c>
      <c r="AZ537" s="403">
        <f>'Portefeuille SP2'!AL562</f>
        <v>0</v>
      </c>
      <c r="BA537" s="403">
        <f>'Portefeuille SP2'!AM562</f>
        <v>0</v>
      </c>
      <c r="BB537" s="403">
        <f>'Portefeuille SP2'!AN562</f>
        <v>0</v>
      </c>
      <c r="BC537" s="403">
        <f>'Portefeuille SP2'!AO562</f>
        <v>0</v>
      </c>
      <c r="BD537" s="403">
        <f>'Portefeuille SP2'!AP562</f>
        <v>0</v>
      </c>
      <c r="BE537" s="403">
        <f>'Portefeuille SP2'!AQ562</f>
        <v>0</v>
      </c>
      <c r="BF537" s="403">
        <f>'Portefeuille SP2'!AR562</f>
        <v>0</v>
      </c>
      <c r="BG537" s="403" t="e">
        <f>'Portefeuille SP2'!#REF!</f>
        <v>#REF!</v>
      </c>
      <c r="BH537" s="403" t="e">
        <f>'Portefeuille SP2'!#REF!</f>
        <v>#REF!</v>
      </c>
      <c r="BI537" s="403" t="e">
        <f>'Portefeuille SP2'!#REF!</f>
        <v>#REF!</v>
      </c>
      <c r="BJ537" s="403" t="e">
        <f>'Portefeuille SP2'!#REF!</f>
        <v>#REF!</v>
      </c>
      <c r="BK537" s="403" t="e">
        <f>'Portefeuille SP2'!#REF!</f>
        <v>#REF!</v>
      </c>
      <c r="BL537" s="388"/>
      <c r="BM537" s="404">
        <f>'Portefeuille SP2'!L562</f>
        <v>0</v>
      </c>
    </row>
    <row r="538" spans="1:65" ht="15" customHeight="1">
      <c r="A538" s="383">
        <f>'Portefeuille SP2'!B563</f>
        <v>0</v>
      </c>
      <c r="B538" s="390">
        <f>'Portefeuille SP2'!Q563</f>
        <v>0</v>
      </c>
      <c r="C538" s="384"/>
      <c r="D538" s="382">
        <f>'Portefeuille SP2'!E563</f>
        <v>0</v>
      </c>
      <c r="E538" s="382" t="str">
        <f t="shared" si="37"/>
        <v>0</v>
      </c>
      <c r="F538" s="382" t="str">
        <f t="shared" si="38"/>
        <v/>
      </c>
      <c r="G538" s="382">
        <f>'Portefeuille SP2'!C563</f>
        <v>0</v>
      </c>
      <c r="H538" s="382">
        <f>'Portefeuille SP2'!F563</f>
        <v>0</v>
      </c>
      <c r="I538" s="382"/>
      <c r="J538" s="382">
        <f>'Portefeuille SP2'!D563</f>
        <v>0</v>
      </c>
      <c r="K538" s="385">
        <f>'Portefeuille SP2'!H563</f>
        <v>0</v>
      </c>
      <c r="L538" s="157">
        <f>'Portefeuille SP2'!U563</f>
        <v>0</v>
      </c>
      <c r="M538" s="386"/>
      <c r="N538" s="386"/>
      <c r="O538" s="386"/>
      <c r="P538" s="387">
        <f>'Portefeuille SP2'!M563</f>
        <v>0</v>
      </c>
      <c r="Q538" s="387"/>
      <c r="R538" s="387">
        <f>'Portefeuille SP2'!N563</f>
        <v>0</v>
      </c>
      <c r="S538" s="387"/>
      <c r="T538" s="382">
        <f>'Portefeuille SP2'!R563</f>
        <v>0</v>
      </c>
      <c r="U538" s="387">
        <f>'Portefeuille SP2'!K563</f>
        <v>0</v>
      </c>
      <c r="V538" s="399">
        <f>'Portefeuille SP2'!S563</f>
        <v>0</v>
      </c>
      <c r="W538" s="387"/>
      <c r="X538" s="387"/>
      <c r="Y538" s="387"/>
      <c r="Z538" s="387"/>
      <c r="AA538" s="387"/>
      <c r="AB538" s="387"/>
      <c r="AC538" s="387"/>
      <c r="AD538" s="387"/>
      <c r="AE538" s="400">
        <f>'Portefeuille SP2'!J563</f>
        <v>0</v>
      </c>
      <c r="AF538" s="387"/>
      <c r="AG538" s="387"/>
      <c r="AH538" s="389"/>
      <c r="AI538" s="389"/>
      <c r="AJ538" s="403">
        <f>'Portefeuille SP2'!V563</f>
        <v>0</v>
      </c>
      <c r="AK538" s="403">
        <f>'Portefeuille SP2'!W563</f>
        <v>0</v>
      </c>
      <c r="AL538" s="403">
        <f>'Portefeuille SP2'!X563</f>
        <v>0</v>
      </c>
      <c r="AM538" s="403">
        <f>'Portefeuille SP2'!Y563</f>
        <v>0</v>
      </c>
      <c r="AN538" s="403">
        <f>'Portefeuille SP2'!Z563</f>
        <v>0</v>
      </c>
      <c r="AO538" s="403">
        <f>'Portefeuille SP2'!AA563</f>
        <v>0</v>
      </c>
      <c r="AP538" s="403">
        <f>'Portefeuille SP2'!AB563</f>
        <v>0</v>
      </c>
      <c r="AQ538" s="403">
        <f>'Portefeuille SP2'!AC563</f>
        <v>0</v>
      </c>
      <c r="AR538" s="403">
        <f>'Portefeuille SP2'!AD563</f>
        <v>0</v>
      </c>
      <c r="AS538" s="403">
        <f>'Portefeuille SP2'!AE563</f>
        <v>0</v>
      </c>
      <c r="AT538" s="403">
        <f>'Portefeuille SP2'!AF563</f>
        <v>0</v>
      </c>
      <c r="AU538" s="403">
        <f>'Portefeuille SP2'!AG563</f>
        <v>0</v>
      </c>
      <c r="AV538" s="403">
        <f>'Portefeuille SP2'!AH563</f>
        <v>0</v>
      </c>
      <c r="AW538" s="403">
        <f>'Portefeuille SP2'!AI563</f>
        <v>0</v>
      </c>
      <c r="AX538" s="403">
        <f>'Portefeuille SP2'!AJ563</f>
        <v>0</v>
      </c>
      <c r="AY538" s="403">
        <f>'Portefeuille SP2'!AK563</f>
        <v>0</v>
      </c>
      <c r="AZ538" s="403">
        <f>'Portefeuille SP2'!AL563</f>
        <v>0</v>
      </c>
      <c r="BA538" s="403">
        <f>'Portefeuille SP2'!AM563</f>
        <v>0</v>
      </c>
      <c r="BB538" s="403">
        <f>'Portefeuille SP2'!AN563</f>
        <v>0</v>
      </c>
      <c r="BC538" s="403">
        <f>'Portefeuille SP2'!AO563</f>
        <v>0</v>
      </c>
      <c r="BD538" s="403">
        <f>'Portefeuille SP2'!AP563</f>
        <v>0</v>
      </c>
      <c r="BE538" s="403">
        <f>'Portefeuille SP2'!AQ563</f>
        <v>0</v>
      </c>
      <c r="BF538" s="403">
        <f>'Portefeuille SP2'!AR563</f>
        <v>0</v>
      </c>
      <c r="BG538" s="403" t="e">
        <f>'Portefeuille SP2'!#REF!</f>
        <v>#REF!</v>
      </c>
      <c r="BH538" s="403" t="e">
        <f>'Portefeuille SP2'!#REF!</f>
        <v>#REF!</v>
      </c>
      <c r="BI538" s="403" t="e">
        <f>'Portefeuille SP2'!#REF!</f>
        <v>#REF!</v>
      </c>
      <c r="BJ538" s="403" t="e">
        <f>'Portefeuille SP2'!#REF!</f>
        <v>#REF!</v>
      </c>
      <c r="BK538" s="403" t="e">
        <f>'Portefeuille SP2'!#REF!</f>
        <v>#REF!</v>
      </c>
      <c r="BL538" s="388"/>
      <c r="BM538" s="404">
        <f>'Portefeuille SP2'!L563</f>
        <v>0</v>
      </c>
    </row>
    <row r="539" spans="1:65" ht="15" customHeight="1">
      <c r="A539" s="383">
        <f>'Portefeuille SP2'!B564</f>
        <v>0</v>
      </c>
      <c r="B539" s="390">
        <f>'Portefeuille SP2'!Q564</f>
        <v>0</v>
      </c>
      <c r="C539" s="384"/>
      <c r="D539" s="382">
        <f>'Portefeuille SP2'!E564</f>
        <v>0</v>
      </c>
      <c r="E539" s="382" t="str">
        <f t="shared" si="37"/>
        <v>0</v>
      </c>
      <c r="F539" s="382" t="str">
        <f t="shared" si="38"/>
        <v/>
      </c>
      <c r="G539" s="382">
        <f>'Portefeuille SP2'!C564</f>
        <v>0</v>
      </c>
      <c r="H539" s="382">
        <f>'Portefeuille SP2'!F564</f>
        <v>0</v>
      </c>
      <c r="I539" s="382"/>
      <c r="J539" s="382">
        <f>'Portefeuille SP2'!D564</f>
        <v>0</v>
      </c>
      <c r="K539" s="385">
        <f>'Portefeuille SP2'!H564</f>
        <v>0</v>
      </c>
      <c r="L539" s="157">
        <f>'Portefeuille SP2'!U564</f>
        <v>0</v>
      </c>
      <c r="M539" s="386"/>
      <c r="N539" s="386"/>
      <c r="O539" s="386"/>
      <c r="P539" s="387">
        <f>'Portefeuille SP2'!M564</f>
        <v>0</v>
      </c>
      <c r="Q539" s="387"/>
      <c r="R539" s="387">
        <f>'Portefeuille SP2'!N564</f>
        <v>0</v>
      </c>
      <c r="S539" s="387"/>
      <c r="T539" s="382">
        <f>'Portefeuille SP2'!R564</f>
        <v>0</v>
      </c>
      <c r="U539" s="387">
        <f>'Portefeuille SP2'!K564</f>
        <v>0</v>
      </c>
      <c r="V539" s="399">
        <f>'Portefeuille SP2'!S564</f>
        <v>0</v>
      </c>
      <c r="W539" s="387"/>
      <c r="X539" s="387"/>
      <c r="Y539" s="387"/>
      <c r="Z539" s="387"/>
      <c r="AA539" s="387"/>
      <c r="AB539" s="387"/>
      <c r="AC539" s="387"/>
      <c r="AD539" s="387"/>
      <c r="AE539" s="400">
        <f>'Portefeuille SP2'!J564</f>
        <v>0</v>
      </c>
      <c r="AF539" s="387"/>
      <c r="AG539" s="387"/>
      <c r="AH539" s="389"/>
      <c r="AI539" s="389"/>
      <c r="AJ539" s="403">
        <f>'Portefeuille SP2'!V564</f>
        <v>0</v>
      </c>
      <c r="AK539" s="403">
        <f>'Portefeuille SP2'!W564</f>
        <v>0</v>
      </c>
      <c r="AL539" s="403">
        <f>'Portefeuille SP2'!X564</f>
        <v>0</v>
      </c>
      <c r="AM539" s="403">
        <f>'Portefeuille SP2'!Y564</f>
        <v>0</v>
      </c>
      <c r="AN539" s="403">
        <f>'Portefeuille SP2'!Z564</f>
        <v>0</v>
      </c>
      <c r="AO539" s="403">
        <f>'Portefeuille SP2'!AA564</f>
        <v>0</v>
      </c>
      <c r="AP539" s="403">
        <f>'Portefeuille SP2'!AB564</f>
        <v>0</v>
      </c>
      <c r="AQ539" s="403">
        <f>'Portefeuille SP2'!AC564</f>
        <v>0</v>
      </c>
      <c r="AR539" s="403">
        <f>'Portefeuille SP2'!AD564</f>
        <v>0</v>
      </c>
      <c r="AS539" s="403">
        <f>'Portefeuille SP2'!AE564</f>
        <v>0</v>
      </c>
      <c r="AT539" s="403">
        <f>'Portefeuille SP2'!AF564</f>
        <v>0</v>
      </c>
      <c r="AU539" s="403">
        <f>'Portefeuille SP2'!AG564</f>
        <v>0</v>
      </c>
      <c r="AV539" s="403">
        <f>'Portefeuille SP2'!AH564</f>
        <v>0</v>
      </c>
      <c r="AW539" s="403">
        <f>'Portefeuille SP2'!AI564</f>
        <v>0</v>
      </c>
      <c r="AX539" s="403">
        <f>'Portefeuille SP2'!AJ564</f>
        <v>0</v>
      </c>
      <c r="AY539" s="403">
        <f>'Portefeuille SP2'!AK564</f>
        <v>0</v>
      </c>
      <c r="AZ539" s="403">
        <f>'Portefeuille SP2'!AL564</f>
        <v>0</v>
      </c>
      <c r="BA539" s="403">
        <f>'Portefeuille SP2'!AM564</f>
        <v>0</v>
      </c>
      <c r="BB539" s="403">
        <f>'Portefeuille SP2'!AN564</f>
        <v>0</v>
      </c>
      <c r="BC539" s="403">
        <f>'Portefeuille SP2'!AO564</f>
        <v>0</v>
      </c>
      <c r="BD539" s="403">
        <f>'Portefeuille SP2'!AP564</f>
        <v>0</v>
      </c>
      <c r="BE539" s="403">
        <f>'Portefeuille SP2'!AQ564</f>
        <v>0</v>
      </c>
      <c r="BF539" s="403">
        <f>'Portefeuille SP2'!AR564</f>
        <v>0</v>
      </c>
      <c r="BG539" s="403" t="e">
        <f>'Portefeuille SP2'!#REF!</f>
        <v>#REF!</v>
      </c>
      <c r="BH539" s="403" t="e">
        <f>'Portefeuille SP2'!#REF!</f>
        <v>#REF!</v>
      </c>
      <c r="BI539" s="403" t="e">
        <f>'Portefeuille SP2'!#REF!</f>
        <v>#REF!</v>
      </c>
      <c r="BJ539" s="403" t="e">
        <f>'Portefeuille SP2'!#REF!</f>
        <v>#REF!</v>
      </c>
      <c r="BK539" s="403" t="e">
        <f>'Portefeuille SP2'!#REF!</f>
        <v>#REF!</v>
      </c>
      <c r="BL539" s="388"/>
      <c r="BM539" s="404">
        <f>'Portefeuille SP2'!L564</f>
        <v>0</v>
      </c>
    </row>
    <row r="540" spans="1:65" ht="15" customHeight="1">
      <c r="A540" s="383">
        <f>'Portefeuille SP2'!B565</f>
        <v>0</v>
      </c>
      <c r="B540" s="390">
        <f>'Portefeuille SP2'!Q565</f>
        <v>0</v>
      </c>
      <c r="C540" s="384"/>
      <c r="D540" s="382">
        <f>'Portefeuille SP2'!E565</f>
        <v>0</v>
      </c>
      <c r="E540" s="382" t="str">
        <f t="shared" si="37"/>
        <v>0</v>
      </c>
      <c r="F540" s="382" t="str">
        <f t="shared" si="38"/>
        <v/>
      </c>
      <c r="G540" s="382">
        <f>'Portefeuille SP2'!C565</f>
        <v>0</v>
      </c>
      <c r="H540" s="382">
        <f>'Portefeuille SP2'!F565</f>
        <v>0</v>
      </c>
      <c r="I540" s="382"/>
      <c r="J540" s="382">
        <f>'Portefeuille SP2'!D565</f>
        <v>0</v>
      </c>
      <c r="K540" s="385">
        <f>'Portefeuille SP2'!H565</f>
        <v>0</v>
      </c>
      <c r="L540" s="157">
        <f>'Portefeuille SP2'!U565</f>
        <v>0</v>
      </c>
      <c r="M540" s="386"/>
      <c r="N540" s="386"/>
      <c r="O540" s="386"/>
      <c r="P540" s="387">
        <f>'Portefeuille SP2'!M565</f>
        <v>0</v>
      </c>
      <c r="Q540" s="387"/>
      <c r="R540" s="387">
        <f>'Portefeuille SP2'!N565</f>
        <v>0</v>
      </c>
      <c r="S540" s="387"/>
      <c r="T540" s="382">
        <f>'Portefeuille SP2'!R565</f>
        <v>0</v>
      </c>
      <c r="U540" s="387">
        <f>'Portefeuille SP2'!K565</f>
        <v>0</v>
      </c>
      <c r="V540" s="399">
        <f>'Portefeuille SP2'!S565</f>
        <v>0</v>
      </c>
      <c r="W540" s="387"/>
      <c r="X540" s="387"/>
      <c r="Y540" s="387"/>
      <c r="Z540" s="387"/>
      <c r="AA540" s="387"/>
      <c r="AB540" s="387"/>
      <c r="AC540" s="387"/>
      <c r="AD540" s="387"/>
      <c r="AE540" s="400">
        <f>'Portefeuille SP2'!J565</f>
        <v>0</v>
      </c>
      <c r="AF540" s="387"/>
      <c r="AG540" s="387"/>
      <c r="AH540" s="389"/>
      <c r="AI540" s="389"/>
      <c r="AJ540" s="403">
        <f>'Portefeuille SP2'!V565</f>
        <v>0</v>
      </c>
      <c r="AK540" s="403">
        <f>'Portefeuille SP2'!W565</f>
        <v>0</v>
      </c>
      <c r="AL540" s="403">
        <f>'Portefeuille SP2'!X565</f>
        <v>0</v>
      </c>
      <c r="AM540" s="403">
        <f>'Portefeuille SP2'!Y565</f>
        <v>0</v>
      </c>
      <c r="AN540" s="403">
        <f>'Portefeuille SP2'!Z565</f>
        <v>0</v>
      </c>
      <c r="AO540" s="403">
        <f>'Portefeuille SP2'!AA565</f>
        <v>0</v>
      </c>
      <c r="AP540" s="403">
        <f>'Portefeuille SP2'!AB565</f>
        <v>0</v>
      </c>
      <c r="AQ540" s="403">
        <f>'Portefeuille SP2'!AC565</f>
        <v>0</v>
      </c>
      <c r="AR540" s="403">
        <f>'Portefeuille SP2'!AD565</f>
        <v>0</v>
      </c>
      <c r="AS540" s="403">
        <f>'Portefeuille SP2'!AE565</f>
        <v>0</v>
      </c>
      <c r="AT540" s="403">
        <f>'Portefeuille SP2'!AF565</f>
        <v>0</v>
      </c>
      <c r="AU540" s="403">
        <f>'Portefeuille SP2'!AG565</f>
        <v>0</v>
      </c>
      <c r="AV540" s="403">
        <f>'Portefeuille SP2'!AH565</f>
        <v>0</v>
      </c>
      <c r="AW540" s="403">
        <f>'Portefeuille SP2'!AI565</f>
        <v>0</v>
      </c>
      <c r="AX540" s="403">
        <f>'Portefeuille SP2'!AJ565</f>
        <v>0</v>
      </c>
      <c r="AY540" s="403">
        <f>'Portefeuille SP2'!AK565</f>
        <v>0</v>
      </c>
      <c r="AZ540" s="403">
        <f>'Portefeuille SP2'!AL565</f>
        <v>0</v>
      </c>
      <c r="BA540" s="403">
        <f>'Portefeuille SP2'!AM565</f>
        <v>0</v>
      </c>
      <c r="BB540" s="403">
        <f>'Portefeuille SP2'!AN565</f>
        <v>0</v>
      </c>
      <c r="BC540" s="403">
        <f>'Portefeuille SP2'!AO565</f>
        <v>0</v>
      </c>
      <c r="BD540" s="403">
        <f>'Portefeuille SP2'!AP565</f>
        <v>0</v>
      </c>
      <c r="BE540" s="403">
        <f>'Portefeuille SP2'!AQ565</f>
        <v>0</v>
      </c>
      <c r="BF540" s="403">
        <f>'Portefeuille SP2'!AR565</f>
        <v>0</v>
      </c>
      <c r="BG540" s="403" t="e">
        <f>'Portefeuille SP2'!#REF!</f>
        <v>#REF!</v>
      </c>
      <c r="BH540" s="403" t="e">
        <f>'Portefeuille SP2'!#REF!</f>
        <v>#REF!</v>
      </c>
      <c r="BI540" s="403" t="e">
        <f>'Portefeuille SP2'!#REF!</f>
        <v>#REF!</v>
      </c>
      <c r="BJ540" s="403" t="e">
        <f>'Portefeuille SP2'!#REF!</f>
        <v>#REF!</v>
      </c>
      <c r="BK540" s="403" t="e">
        <f>'Portefeuille SP2'!#REF!</f>
        <v>#REF!</v>
      </c>
      <c r="BL540" s="388"/>
      <c r="BM540" s="404">
        <f>'Portefeuille SP2'!L565</f>
        <v>0</v>
      </c>
    </row>
    <row r="541" spans="1:65" ht="15" customHeight="1">
      <c r="A541" s="383">
        <f>'Portefeuille SP2'!B566</f>
        <v>0</v>
      </c>
      <c r="B541" s="390">
        <f>'Portefeuille SP2'!Q566</f>
        <v>0</v>
      </c>
      <c r="C541" s="384"/>
      <c r="D541" s="382">
        <f>'Portefeuille SP2'!E566</f>
        <v>0</v>
      </c>
      <c r="E541" s="382" t="str">
        <f t="shared" si="37"/>
        <v>0</v>
      </c>
      <c r="F541" s="382" t="str">
        <f t="shared" si="38"/>
        <v/>
      </c>
      <c r="G541" s="382">
        <f>'Portefeuille SP2'!C566</f>
        <v>0</v>
      </c>
      <c r="H541" s="382">
        <f>'Portefeuille SP2'!F566</f>
        <v>0</v>
      </c>
      <c r="I541" s="382"/>
      <c r="J541" s="382">
        <f>'Portefeuille SP2'!D566</f>
        <v>0</v>
      </c>
      <c r="K541" s="385">
        <f>'Portefeuille SP2'!H566</f>
        <v>0</v>
      </c>
      <c r="L541" s="157">
        <f>'Portefeuille SP2'!U566</f>
        <v>0</v>
      </c>
      <c r="M541" s="386"/>
      <c r="N541" s="386"/>
      <c r="O541" s="386"/>
      <c r="P541" s="387">
        <f>'Portefeuille SP2'!M566</f>
        <v>0</v>
      </c>
      <c r="Q541" s="387"/>
      <c r="R541" s="387">
        <f>'Portefeuille SP2'!N566</f>
        <v>0</v>
      </c>
      <c r="S541" s="387"/>
      <c r="T541" s="382">
        <f>'Portefeuille SP2'!R566</f>
        <v>0</v>
      </c>
      <c r="U541" s="387">
        <f>'Portefeuille SP2'!K566</f>
        <v>0</v>
      </c>
      <c r="V541" s="399">
        <f>'Portefeuille SP2'!S566</f>
        <v>0</v>
      </c>
      <c r="W541" s="387"/>
      <c r="X541" s="387"/>
      <c r="Y541" s="387"/>
      <c r="Z541" s="387"/>
      <c r="AA541" s="387"/>
      <c r="AB541" s="387"/>
      <c r="AC541" s="387"/>
      <c r="AD541" s="387"/>
      <c r="AE541" s="400">
        <f>'Portefeuille SP2'!J566</f>
        <v>0</v>
      </c>
      <c r="AF541" s="387"/>
      <c r="AG541" s="387"/>
      <c r="AH541" s="389"/>
      <c r="AI541" s="389"/>
      <c r="AJ541" s="403">
        <f>'Portefeuille SP2'!V566</f>
        <v>0</v>
      </c>
      <c r="AK541" s="403">
        <f>'Portefeuille SP2'!W566</f>
        <v>0</v>
      </c>
      <c r="AL541" s="403">
        <f>'Portefeuille SP2'!X566</f>
        <v>0</v>
      </c>
      <c r="AM541" s="403">
        <f>'Portefeuille SP2'!Y566</f>
        <v>0</v>
      </c>
      <c r="AN541" s="403">
        <f>'Portefeuille SP2'!Z566</f>
        <v>0</v>
      </c>
      <c r="AO541" s="403">
        <f>'Portefeuille SP2'!AA566</f>
        <v>0</v>
      </c>
      <c r="AP541" s="403">
        <f>'Portefeuille SP2'!AB566</f>
        <v>0</v>
      </c>
      <c r="AQ541" s="403">
        <f>'Portefeuille SP2'!AC566</f>
        <v>0</v>
      </c>
      <c r="AR541" s="403">
        <f>'Portefeuille SP2'!AD566</f>
        <v>0</v>
      </c>
      <c r="AS541" s="403">
        <f>'Portefeuille SP2'!AE566</f>
        <v>0</v>
      </c>
      <c r="AT541" s="403">
        <f>'Portefeuille SP2'!AF566</f>
        <v>0</v>
      </c>
      <c r="AU541" s="403">
        <f>'Portefeuille SP2'!AG566</f>
        <v>0</v>
      </c>
      <c r="AV541" s="403">
        <f>'Portefeuille SP2'!AH566</f>
        <v>0</v>
      </c>
      <c r="AW541" s="403">
        <f>'Portefeuille SP2'!AI566</f>
        <v>0</v>
      </c>
      <c r="AX541" s="403">
        <f>'Portefeuille SP2'!AJ566</f>
        <v>0</v>
      </c>
      <c r="AY541" s="403">
        <f>'Portefeuille SP2'!AK566</f>
        <v>0</v>
      </c>
      <c r="AZ541" s="403">
        <f>'Portefeuille SP2'!AL566</f>
        <v>0</v>
      </c>
      <c r="BA541" s="403">
        <f>'Portefeuille SP2'!AM566</f>
        <v>0</v>
      </c>
      <c r="BB541" s="403">
        <f>'Portefeuille SP2'!AN566</f>
        <v>0</v>
      </c>
      <c r="BC541" s="403">
        <f>'Portefeuille SP2'!AO566</f>
        <v>0</v>
      </c>
      <c r="BD541" s="403">
        <f>'Portefeuille SP2'!AP566</f>
        <v>0</v>
      </c>
      <c r="BE541" s="403">
        <f>'Portefeuille SP2'!AQ566</f>
        <v>0</v>
      </c>
      <c r="BF541" s="403">
        <f>'Portefeuille SP2'!AR566</f>
        <v>0</v>
      </c>
      <c r="BG541" s="403" t="e">
        <f>'Portefeuille SP2'!#REF!</f>
        <v>#REF!</v>
      </c>
      <c r="BH541" s="403" t="e">
        <f>'Portefeuille SP2'!#REF!</f>
        <v>#REF!</v>
      </c>
      <c r="BI541" s="403" t="e">
        <f>'Portefeuille SP2'!#REF!</f>
        <v>#REF!</v>
      </c>
      <c r="BJ541" s="403" t="e">
        <f>'Portefeuille SP2'!#REF!</f>
        <v>#REF!</v>
      </c>
      <c r="BK541" s="403" t="e">
        <f>'Portefeuille SP2'!#REF!</f>
        <v>#REF!</v>
      </c>
      <c r="BL541" s="388"/>
      <c r="BM541" s="404">
        <f>'Portefeuille SP2'!L566</f>
        <v>0</v>
      </c>
    </row>
    <row r="542" spans="1:65" ht="15" customHeight="1">
      <c r="A542" s="383">
        <f>'Portefeuille SP2'!B567</f>
        <v>0</v>
      </c>
      <c r="B542" s="390">
        <f>'Portefeuille SP2'!Q567</f>
        <v>0</v>
      </c>
      <c r="C542" s="384"/>
      <c r="D542" s="382">
        <f>'Portefeuille SP2'!E567</f>
        <v>0</v>
      </c>
      <c r="E542" s="382" t="str">
        <f t="shared" si="37"/>
        <v>0</v>
      </c>
      <c r="F542" s="382" t="str">
        <f t="shared" si="38"/>
        <v/>
      </c>
      <c r="G542" s="382">
        <f>'Portefeuille SP2'!C567</f>
        <v>0</v>
      </c>
      <c r="H542" s="382">
        <f>'Portefeuille SP2'!F567</f>
        <v>0</v>
      </c>
      <c r="I542" s="382"/>
      <c r="J542" s="382">
        <f>'Portefeuille SP2'!D567</f>
        <v>0</v>
      </c>
      <c r="K542" s="385">
        <f>'Portefeuille SP2'!H567</f>
        <v>0</v>
      </c>
      <c r="L542" s="157">
        <f>'Portefeuille SP2'!U567</f>
        <v>0</v>
      </c>
      <c r="M542" s="386"/>
      <c r="N542" s="386"/>
      <c r="O542" s="386"/>
      <c r="P542" s="387">
        <f>'Portefeuille SP2'!M567</f>
        <v>0</v>
      </c>
      <c r="Q542" s="387"/>
      <c r="R542" s="387">
        <f>'Portefeuille SP2'!N567</f>
        <v>0</v>
      </c>
      <c r="S542" s="387"/>
      <c r="T542" s="382">
        <f>'Portefeuille SP2'!R567</f>
        <v>0</v>
      </c>
      <c r="U542" s="387">
        <f>'Portefeuille SP2'!K567</f>
        <v>0</v>
      </c>
      <c r="V542" s="399">
        <f>'Portefeuille SP2'!S567</f>
        <v>0</v>
      </c>
      <c r="W542" s="387"/>
      <c r="X542" s="387"/>
      <c r="Y542" s="387"/>
      <c r="Z542" s="387"/>
      <c r="AA542" s="387"/>
      <c r="AB542" s="387"/>
      <c r="AC542" s="387"/>
      <c r="AD542" s="387"/>
      <c r="AE542" s="400">
        <f>'Portefeuille SP2'!J567</f>
        <v>0</v>
      </c>
      <c r="AF542" s="387"/>
      <c r="AG542" s="387"/>
      <c r="AH542" s="389"/>
      <c r="AI542" s="389"/>
      <c r="AJ542" s="403">
        <f>'Portefeuille SP2'!V567</f>
        <v>0</v>
      </c>
      <c r="AK542" s="403">
        <f>'Portefeuille SP2'!W567</f>
        <v>0</v>
      </c>
      <c r="AL542" s="403">
        <f>'Portefeuille SP2'!X567</f>
        <v>0</v>
      </c>
      <c r="AM542" s="403">
        <f>'Portefeuille SP2'!Y567</f>
        <v>0</v>
      </c>
      <c r="AN542" s="403">
        <f>'Portefeuille SP2'!Z567</f>
        <v>0</v>
      </c>
      <c r="AO542" s="403">
        <f>'Portefeuille SP2'!AA567</f>
        <v>0</v>
      </c>
      <c r="AP542" s="403">
        <f>'Portefeuille SP2'!AB567</f>
        <v>0</v>
      </c>
      <c r="AQ542" s="403">
        <f>'Portefeuille SP2'!AC567</f>
        <v>0</v>
      </c>
      <c r="AR542" s="403">
        <f>'Portefeuille SP2'!AD567</f>
        <v>0</v>
      </c>
      <c r="AS542" s="403">
        <f>'Portefeuille SP2'!AE567</f>
        <v>0</v>
      </c>
      <c r="AT542" s="403">
        <f>'Portefeuille SP2'!AF567</f>
        <v>0</v>
      </c>
      <c r="AU542" s="403">
        <f>'Portefeuille SP2'!AG567</f>
        <v>0</v>
      </c>
      <c r="AV542" s="403">
        <f>'Portefeuille SP2'!AH567</f>
        <v>0</v>
      </c>
      <c r="AW542" s="403">
        <f>'Portefeuille SP2'!AI567</f>
        <v>0</v>
      </c>
      <c r="AX542" s="403">
        <f>'Portefeuille SP2'!AJ567</f>
        <v>0</v>
      </c>
      <c r="AY542" s="403">
        <f>'Portefeuille SP2'!AK567</f>
        <v>0</v>
      </c>
      <c r="AZ542" s="403">
        <f>'Portefeuille SP2'!AL567</f>
        <v>0</v>
      </c>
      <c r="BA542" s="403">
        <f>'Portefeuille SP2'!AM567</f>
        <v>0</v>
      </c>
      <c r="BB542" s="403">
        <f>'Portefeuille SP2'!AN567</f>
        <v>0</v>
      </c>
      <c r="BC542" s="403">
        <f>'Portefeuille SP2'!AO567</f>
        <v>0</v>
      </c>
      <c r="BD542" s="403">
        <f>'Portefeuille SP2'!AP567</f>
        <v>0</v>
      </c>
      <c r="BE542" s="403">
        <f>'Portefeuille SP2'!AQ567</f>
        <v>0</v>
      </c>
      <c r="BF542" s="403">
        <f>'Portefeuille SP2'!AR567</f>
        <v>0</v>
      </c>
      <c r="BG542" s="403" t="e">
        <f>'Portefeuille SP2'!#REF!</f>
        <v>#REF!</v>
      </c>
      <c r="BH542" s="403" t="e">
        <f>'Portefeuille SP2'!#REF!</f>
        <v>#REF!</v>
      </c>
      <c r="BI542" s="403" t="e">
        <f>'Portefeuille SP2'!#REF!</f>
        <v>#REF!</v>
      </c>
      <c r="BJ542" s="403" t="e">
        <f>'Portefeuille SP2'!#REF!</f>
        <v>#REF!</v>
      </c>
      <c r="BK542" s="403" t="e">
        <f>'Portefeuille SP2'!#REF!</f>
        <v>#REF!</v>
      </c>
      <c r="BL542" s="388"/>
      <c r="BM542" s="404">
        <f>'Portefeuille SP2'!L567</f>
        <v>0</v>
      </c>
    </row>
    <row r="543" spans="1:65" ht="15" customHeight="1">
      <c r="A543" s="383">
        <f>'Portefeuille SP2'!B568</f>
        <v>0</v>
      </c>
      <c r="B543" s="390">
        <f>'Portefeuille SP2'!Q568</f>
        <v>0</v>
      </c>
      <c r="C543" s="384"/>
      <c r="D543" s="382">
        <f>'Portefeuille SP2'!E568</f>
        <v>0</v>
      </c>
      <c r="E543" s="382" t="str">
        <f t="shared" si="37"/>
        <v>0</v>
      </c>
      <c r="F543" s="382" t="str">
        <f t="shared" si="38"/>
        <v/>
      </c>
      <c r="G543" s="382">
        <f>'Portefeuille SP2'!C568</f>
        <v>0</v>
      </c>
      <c r="H543" s="382">
        <f>'Portefeuille SP2'!F568</f>
        <v>0</v>
      </c>
      <c r="I543" s="382"/>
      <c r="J543" s="382">
        <f>'Portefeuille SP2'!D568</f>
        <v>0</v>
      </c>
      <c r="K543" s="385">
        <f>'Portefeuille SP2'!H568</f>
        <v>0</v>
      </c>
      <c r="L543" s="157">
        <f>'Portefeuille SP2'!U568</f>
        <v>0</v>
      </c>
      <c r="M543" s="386"/>
      <c r="N543" s="386"/>
      <c r="O543" s="386"/>
      <c r="P543" s="387">
        <f>'Portefeuille SP2'!M568</f>
        <v>0</v>
      </c>
      <c r="Q543" s="387"/>
      <c r="R543" s="387">
        <f>'Portefeuille SP2'!N568</f>
        <v>0</v>
      </c>
      <c r="S543" s="387"/>
      <c r="T543" s="382">
        <f>'Portefeuille SP2'!R568</f>
        <v>0</v>
      </c>
      <c r="U543" s="387">
        <f>'Portefeuille SP2'!K568</f>
        <v>0</v>
      </c>
      <c r="V543" s="399">
        <f>'Portefeuille SP2'!S568</f>
        <v>0</v>
      </c>
      <c r="W543" s="387"/>
      <c r="X543" s="387"/>
      <c r="Y543" s="387"/>
      <c r="Z543" s="387"/>
      <c r="AA543" s="387"/>
      <c r="AB543" s="387"/>
      <c r="AC543" s="387"/>
      <c r="AD543" s="387"/>
      <c r="AE543" s="400">
        <f>'Portefeuille SP2'!J568</f>
        <v>0</v>
      </c>
      <c r="AF543" s="387"/>
      <c r="AG543" s="387"/>
      <c r="AH543" s="389"/>
      <c r="AI543" s="389"/>
      <c r="AJ543" s="403">
        <f>'Portefeuille SP2'!V568</f>
        <v>0</v>
      </c>
      <c r="AK543" s="403">
        <f>'Portefeuille SP2'!W568</f>
        <v>0</v>
      </c>
      <c r="AL543" s="403">
        <f>'Portefeuille SP2'!X568</f>
        <v>0</v>
      </c>
      <c r="AM543" s="403">
        <f>'Portefeuille SP2'!Y568</f>
        <v>0</v>
      </c>
      <c r="AN543" s="403">
        <f>'Portefeuille SP2'!Z568</f>
        <v>0</v>
      </c>
      <c r="AO543" s="403">
        <f>'Portefeuille SP2'!AA568</f>
        <v>0</v>
      </c>
      <c r="AP543" s="403">
        <f>'Portefeuille SP2'!AB568</f>
        <v>0</v>
      </c>
      <c r="AQ543" s="403">
        <f>'Portefeuille SP2'!AC568</f>
        <v>0</v>
      </c>
      <c r="AR543" s="403">
        <f>'Portefeuille SP2'!AD568</f>
        <v>0</v>
      </c>
      <c r="AS543" s="403">
        <f>'Portefeuille SP2'!AE568</f>
        <v>0</v>
      </c>
      <c r="AT543" s="403">
        <f>'Portefeuille SP2'!AF568</f>
        <v>0</v>
      </c>
      <c r="AU543" s="403">
        <f>'Portefeuille SP2'!AG568</f>
        <v>0</v>
      </c>
      <c r="AV543" s="403">
        <f>'Portefeuille SP2'!AH568</f>
        <v>0</v>
      </c>
      <c r="AW543" s="403">
        <f>'Portefeuille SP2'!AI568</f>
        <v>0</v>
      </c>
      <c r="AX543" s="403">
        <f>'Portefeuille SP2'!AJ568</f>
        <v>0</v>
      </c>
      <c r="AY543" s="403">
        <f>'Portefeuille SP2'!AK568</f>
        <v>0</v>
      </c>
      <c r="AZ543" s="403">
        <f>'Portefeuille SP2'!AL568</f>
        <v>0</v>
      </c>
      <c r="BA543" s="403">
        <f>'Portefeuille SP2'!AM568</f>
        <v>0</v>
      </c>
      <c r="BB543" s="403">
        <f>'Portefeuille SP2'!AN568</f>
        <v>0</v>
      </c>
      <c r="BC543" s="403">
        <f>'Portefeuille SP2'!AO568</f>
        <v>0</v>
      </c>
      <c r="BD543" s="403">
        <f>'Portefeuille SP2'!AP568</f>
        <v>0</v>
      </c>
      <c r="BE543" s="403">
        <f>'Portefeuille SP2'!AQ568</f>
        <v>0</v>
      </c>
      <c r="BF543" s="403">
        <f>'Portefeuille SP2'!AR568</f>
        <v>0</v>
      </c>
      <c r="BG543" s="403" t="e">
        <f>'Portefeuille SP2'!#REF!</f>
        <v>#REF!</v>
      </c>
      <c r="BH543" s="403" t="e">
        <f>'Portefeuille SP2'!#REF!</f>
        <v>#REF!</v>
      </c>
      <c r="BI543" s="403" t="e">
        <f>'Portefeuille SP2'!#REF!</f>
        <v>#REF!</v>
      </c>
      <c r="BJ543" s="403" t="e">
        <f>'Portefeuille SP2'!#REF!</f>
        <v>#REF!</v>
      </c>
      <c r="BK543" s="403" t="e">
        <f>'Portefeuille SP2'!#REF!</f>
        <v>#REF!</v>
      </c>
      <c r="BL543" s="388"/>
      <c r="BM543" s="404">
        <f>'Portefeuille SP2'!L568</f>
        <v>0</v>
      </c>
    </row>
    <row r="544" spans="1:65" ht="15" customHeight="1">
      <c r="A544" s="383">
        <f>'Portefeuille SP2'!B569</f>
        <v>0</v>
      </c>
      <c r="B544" s="390">
        <f>'Portefeuille SP2'!Q569</f>
        <v>0</v>
      </c>
      <c r="C544" s="384"/>
      <c r="D544" s="382">
        <f>'Portefeuille SP2'!E569</f>
        <v>0</v>
      </c>
      <c r="E544" s="382" t="str">
        <f t="shared" si="37"/>
        <v>0</v>
      </c>
      <c r="F544" s="382" t="str">
        <f t="shared" si="38"/>
        <v/>
      </c>
      <c r="G544" s="382">
        <f>'Portefeuille SP2'!C569</f>
        <v>0</v>
      </c>
      <c r="H544" s="382">
        <f>'Portefeuille SP2'!F569</f>
        <v>0</v>
      </c>
      <c r="I544" s="382"/>
      <c r="J544" s="382">
        <f>'Portefeuille SP2'!D569</f>
        <v>0</v>
      </c>
      <c r="K544" s="385">
        <f>'Portefeuille SP2'!H569</f>
        <v>0</v>
      </c>
      <c r="L544" s="157">
        <f>'Portefeuille SP2'!U569</f>
        <v>0</v>
      </c>
      <c r="M544" s="386"/>
      <c r="N544" s="386"/>
      <c r="O544" s="386"/>
      <c r="P544" s="387">
        <f>'Portefeuille SP2'!M569</f>
        <v>0</v>
      </c>
      <c r="Q544" s="387"/>
      <c r="R544" s="387">
        <f>'Portefeuille SP2'!N569</f>
        <v>0</v>
      </c>
      <c r="S544" s="387"/>
      <c r="T544" s="382">
        <f>'Portefeuille SP2'!R569</f>
        <v>0</v>
      </c>
      <c r="U544" s="387">
        <f>'Portefeuille SP2'!K569</f>
        <v>0</v>
      </c>
      <c r="V544" s="399">
        <f>'Portefeuille SP2'!S569</f>
        <v>0</v>
      </c>
      <c r="W544" s="387"/>
      <c r="X544" s="387"/>
      <c r="Y544" s="387"/>
      <c r="Z544" s="387"/>
      <c r="AA544" s="387"/>
      <c r="AB544" s="387"/>
      <c r="AC544" s="387"/>
      <c r="AD544" s="387"/>
      <c r="AE544" s="400">
        <f>'Portefeuille SP2'!J569</f>
        <v>0</v>
      </c>
      <c r="AF544" s="387"/>
      <c r="AG544" s="387"/>
      <c r="AH544" s="389"/>
      <c r="AI544" s="389"/>
      <c r="AJ544" s="403">
        <f>'Portefeuille SP2'!V569</f>
        <v>0</v>
      </c>
      <c r="AK544" s="403">
        <f>'Portefeuille SP2'!W569</f>
        <v>0</v>
      </c>
      <c r="AL544" s="403">
        <f>'Portefeuille SP2'!X569</f>
        <v>0</v>
      </c>
      <c r="AM544" s="403">
        <f>'Portefeuille SP2'!Y569</f>
        <v>0</v>
      </c>
      <c r="AN544" s="403">
        <f>'Portefeuille SP2'!Z569</f>
        <v>0</v>
      </c>
      <c r="AO544" s="403">
        <f>'Portefeuille SP2'!AA569</f>
        <v>0</v>
      </c>
      <c r="AP544" s="403">
        <f>'Portefeuille SP2'!AB569</f>
        <v>0</v>
      </c>
      <c r="AQ544" s="403">
        <f>'Portefeuille SP2'!AC569</f>
        <v>0</v>
      </c>
      <c r="AR544" s="403">
        <f>'Portefeuille SP2'!AD569</f>
        <v>0</v>
      </c>
      <c r="AS544" s="403">
        <f>'Portefeuille SP2'!AE569</f>
        <v>0</v>
      </c>
      <c r="AT544" s="403">
        <f>'Portefeuille SP2'!AF569</f>
        <v>0</v>
      </c>
      <c r="AU544" s="403">
        <f>'Portefeuille SP2'!AG569</f>
        <v>0</v>
      </c>
      <c r="AV544" s="403">
        <f>'Portefeuille SP2'!AH569</f>
        <v>0</v>
      </c>
      <c r="AW544" s="403">
        <f>'Portefeuille SP2'!AI569</f>
        <v>0</v>
      </c>
      <c r="AX544" s="403">
        <f>'Portefeuille SP2'!AJ569</f>
        <v>0</v>
      </c>
      <c r="AY544" s="403">
        <f>'Portefeuille SP2'!AK569</f>
        <v>0</v>
      </c>
      <c r="AZ544" s="403">
        <f>'Portefeuille SP2'!AL569</f>
        <v>0</v>
      </c>
      <c r="BA544" s="403">
        <f>'Portefeuille SP2'!AM569</f>
        <v>0</v>
      </c>
      <c r="BB544" s="403">
        <f>'Portefeuille SP2'!AN569</f>
        <v>0</v>
      </c>
      <c r="BC544" s="403">
        <f>'Portefeuille SP2'!AO569</f>
        <v>0</v>
      </c>
      <c r="BD544" s="403">
        <f>'Portefeuille SP2'!AP569</f>
        <v>0</v>
      </c>
      <c r="BE544" s="403">
        <f>'Portefeuille SP2'!AQ569</f>
        <v>0</v>
      </c>
      <c r="BF544" s="403">
        <f>'Portefeuille SP2'!AR569</f>
        <v>0</v>
      </c>
      <c r="BG544" s="403" t="e">
        <f>'Portefeuille SP2'!#REF!</f>
        <v>#REF!</v>
      </c>
      <c r="BH544" s="403" t="e">
        <f>'Portefeuille SP2'!#REF!</f>
        <v>#REF!</v>
      </c>
      <c r="BI544" s="403" t="e">
        <f>'Portefeuille SP2'!#REF!</f>
        <v>#REF!</v>
      </c>
      <c r="BJ544" s="403" t="e">
        <f>'Portefeuille SP2'!#REF!</f>
        <v>#REF!</v>
      </c>
      <c r="BK544" s="403" t="e">
        <f>'Portefeuille SP2'!#REF!</f>
        <v>#REF!</v>
      </c>
      <c r="BL544" s="388"/>
      <c r="BM544" s="404">
        <f>'Portefeuille SP2'!L569</f>
        <v>0</v>
      </c>
    </row>
    <row r="545" spans="1:65" ht="15" customHeight="1">
      <c r="A545" s="383">
        <f>'Portefeuille SP2'!B570</f>
        <v>0</v>
      </c>
      <c r="B545" s="390">
        <f>'Portefeuille SP2'!Q570</f>
        <v>0</v>
      </c>
      <c r="C545" s="384"/>
      <c r="D545" s="382">
        <f>'Portefeuille SP2'!E570</f>
        <v>0</v>
      </c>
      <c r="E545" s="382" t="str">
        <f t="shared" si="37"/>
        <v>0</v>
      </c>
      <c r="F545" s="382" t="str">
        <f t="shared" si="38"/>
        <v/>
      </c>
      <c r="G545" s="382">
        <f>'Portefeuille SP2'!C570</f>
        <v>0</v>
      </c>
      <c r="H545" s="382">
        <f>'Portefeuille SP2'!F570</f>
        <v>0</v>
      </c>
      <c r="I545" s="382"/>
      <c r="J545" s="382">
        <f>'Portefeuille SP2'!D570</f>
        <v>0</v>
      </c>
      <c r="K545" s="385">
        <f>'Portefeuille SP2'!H570</f>
        <v>0</v>
      </c>
      <c r="L545" s="157">
        <f>'Portefeuille SP2'!U570</f>
        <v>0</v>
      </c>
      <c r="M545" s="386"/>
      <c r="N545" s="386"/>
      <c r="O545" s="386"/>
      <c r="P545" s="387">
        <f>'Portefeuille SP2'!M570</f>
        <v>0</v>
      </c>
      <c r="Q545" s="387"/>
      <c r="R545" s="387">
        <f>'Portefeuille SP2'!N570</f>
        <v>0</v>
      </c>
      <c r="S545" s="387"/>
      <c r="T545" s="382">
        <f>'Portefeuille SP2'!R570</f>
        <v>0</v>
      </c>
      <c r="U545" s="387">
        <f>'Portefeuille SP2'!K570</f>
        <v>0</v>
      </c>
      <c r="V545" s="399">
        <f>'Portefeuille SP2'!S570</f>
        <v>0</v>
      </c>
      <c r="W545" s="387"/>
      <c r="X545" s="387"/>
      <c r="Y545" s="387"/>
      <c r="Z545" s="387"/>
      <c r="AA545" s="387"/>
      <c r="AB545" s="387"/>
      <c r="AC545" s="387"/>
      <c r="AD545" s="387"/>
      <c r="AE545" s="400">
        <f>'Portefeuille SP2'!J570</f>
        <v>0</v>
      </c>
      <c r="AF545" s="387"/>
      <c r="AG545" s="387"/>
      <c r="AH545" s="389"/>
      <c r="AI545" s="389"/>
      <c r="AJ545" s="403">
        <f>'Portefeuille SP2'!V570</f>
        <v>0</v>
      </c>
      <c r="AK545" s="403">
        <f>'Portefeuille SP2'!W570</f>
        <v>0</v>
      </c>
      <c r="AL545" s="403">
        <f>'Portefeuille SP2'!X570</f>
        <v>0</v>
      </c>
      <c r="AM545" s="403">
        <f>'Portefeuille SP2'!Y570</f>
        <v>0</v>
      </c>
      <c r="AN545" s="403">
        <f>'Portefeuille SP2'!Z570</f>
        <v>0</v>
      </c>
      <c r="AO545" s="403">
        <f>'Portefeuille SP2'!AA570</f>
        <v>0</v>
      </c>
      <c r="AP545" s="403">
        <f>'Portefeuille SP2'!AB570</f>
        <v>0</v>
      </c>
      <c r="AQ545" s="403">
        <f>'Portefeuille SP2'!AC570</f>
        <v>0</v>
      </c>
      <c r="AR545" s="403">
        <f>'Portefeuille SP2'!AD570</f>
        <v>0</v>
      </c>
      <c r="AS545" s="403">
        <f>'Portefeuille SP2'!AE570</f>
        <v>0</v>
      </c>
      <c r="AT545" s="403">
        <f>'Portefeuille SP2'!AF570</f>
        <v>0</v>
      </c>
      <c r="AU545" s="403">
        <f>'Portefeuille SP2'!AG570</f>
        <v>0</v>
      </c>
      <c r="AV545" s="403">
        <f>'Portefeuille SP2'!AH570</f>
        <v>0</v>
      </c>
      <c r="AW545" s="403">
        <f>'Portefeuille SP2'!AI570</f>
        <v>0</v>
      </c>
      <c r="AX545" s="403">
        <f>'Portefeuille SP2'!AJ570</f>
        <v>0</v>
      </c>
      <c r="AY545" s="403">
        <f>'Portefeuille SP2'!AK570</f>
        <v>0</v>
      </c>
      <c r="AZ545" s="403">
        <f>'Portefeuille SP2'!AL570</f>
        <v>0</v>
      </c>
      <c r="BA545" s="403">
        <f>'Portefeuille SP2'!AM570</f>
        <v>0</v>
      </c>
      <c r="BB545" s="403">
        <f>'Portefeuille SP2'!AN570</f>
        <v>0</v>
      </c>
      <c r="BC545" s="403">
        <f>'Portefeuille SP2'!AO570</f>
        <v>0</v>
      </c>
      <c r="BD545" s="403">
        <f>'Portefeuille SP2'!AP570</f>
        <v>0</v>
      </c>
      <c r="BE545" s="403">
        <f>'Portefeuille SP2'!AQ570</f>
        <v>0</v>
      </c>
      <c r="BF545" s="403">
        <f>'Portefeuille SP2'!AR570</f>
        <v>0</v>
      </c>
      <c r="BG545" s="403" t="e">
        <f>'Portefeuille SP2'!#REF!</f>
        <v>#REF!</v>
      </c>
      <c r="BH545" s="403" t="e">
        <f>'Portefeuille SP2'!#REF!</f>
        <v>#REF!</v>
      </c>
      <c r="BI545" s="403" t="e">
        <f>'Portefeuille SP2'!#REF!</f>
        <v>#REF!</v>
      </c>
      <c r="BJ545" s="403" t="e">
        <f>'Portefeuille SP2'!#REF!</f>
        <v>#REF!</v>
      </c>
      <c r="BK545" s="403" t="e">
        <f>'Portefeuille SP2'!#REF!</f>
        <v>#REF!</v>
      </c>
      <c r="BL545" s="388"/>
      <c r="BM545" s="404">
        <f>'Portefeuille SP2'!L570</f>
        <v>0</v>
      </c>
    </row>
    <row r="546" spans="1:65" ht="15" customHeight="1">
      <c r="A546" s="383">
        <f>'Portefeuille SP2'!B571</f>
        <v>0</v>
      </c>
      <c r="B546" s="390">
        <f>'Portefeuille SP2'!Q571</f>
        <v>0</v>
      </c>
      <c r="C546" s="384"/>
      <c r="D546" s="382">
        <f>'Portefeuille SP2'!E571</f>
        <v>0</v>
      </c>
      <c r="E546" s="382" t="str">
        <f t="shared" si="37"/>
        <v>0</v>
      </c>
      <c r="F546" s="382" t="str">
        <f t="shared" si="38"/>
        <v/>
      </c>
      <c r="G546" s="382">
        <f>'Portefeuille SP2'!C571</f>
        <v>0</v>
      </c>
      <c r="H546" s="382">
        <f>'Portefeuille SP2'!F571</f>
        <v>0</v>
      </c>
      <c r="I546" s="382"/>
      <c r="J546" s="382">
        <f>'Portefeuille SP2'!D571</f>
        <v>0</v>
      </c>
      <c r="K546" s="385">
        <f>'Portefeuille SP2'!H571</f>
        <v>0</v>
      </c>
      <c r="L546" s="157">
        <f>'Portefeuille SP2'!U571</f>
        <v>0</v>
      </c>
      <c r="M546" s="386"/>
      <c r="N546" s="386"/>
      <c r="O546" s="386"/>
      <c r="P546" s="387">
        <f>'Portefeuille SP2'!M571</f>
        <v>0</v>
      </c>
      <c r="Q546" s="387"/>
      <c r="R546" s="387">
        <f>'Portefeuille SP2'!N571</f>
        <v>0</v>
      </c>
      <c r="S546" s="387"/>
      <c r="T546" s="382">
        <f>'Portefeuille SP2'!R571</f>
        <v>0</v>
      </c>
      <c r="U546" s="387">
        <f>'Portefeuille SP2'!K571</f>
        <v>0</v>
      </c>
      <c r="V546" s="399">
        <f>'Portefeuille SP2'!S571</f>
        <v>0</v>
      </c>
      <c r="W546" s="387"/>
      <c r="X546" s="387"/>
      <c r="Y546" s="387"/>
      <c r="Z546" s="387"/>
      <c r="AA546" s="387"/>
      <c r="AB546" s="387"/>
      <c r="AC546" s="387"/>
      <c r="AD546" s="387"/>
      <c r="AE546" s="400">
        <f>'Portefeuille SP2'!J571</f>
        <v>0</v>
      </c>
      <c r="AF546" s="387"/>
      <c r="AG546" s="387"/>
      <c r="AH546" s="389"/>
      <c r="AI546" s="389"/>
      <c r="AJ546" s="403">
        <f>'Portefeuille SP2'!V571</f>
        <v>0</v>
      </c>
      <c r="AK546" s="403">
        <f>'Portefeuille SP2'!W571</f>
        <v>0</v>
      </c>
      <c r="AL546" s="403">
        <f>'Portefeuille SP2'!X571</f>
        <v>0</v>
      </c>
      <c r="AM546" s="403">
        <f>'Portefeuille SP2'!Y571</f>
        <v>0</v>
      </c>
      <c r="AN546" s="403">
        <f>'Portefeuille SP2'!Z571</f>
        <v>0</v>
      </c>
      <c r="AO546" s="403">
        <f>'Portefeuille SP2'!AA571</f>
        <v>0</v>
      </c>
      <c r="AP546" s="403">
        <f>'Portefeuille SP2'!AB571</f>
        <v>0</v>
      </c>
      <c r="AQ546" s="403">
        <f>'Portefeuille SP2'!AC571</f>
        <v>0</v>
      </c>
      <c r="AR546" s="403">
        <f>'Portefeuille SP2'!AD571</f>
        <v>0</v>
      </c>
      <c r="AS546" s="403">
        <f>'Portefeuille SP2'!AE571</f>
        <v>0</v>
      </c>
      <c r="AT546" s="403">
        <f>'Portefeuille SP2'!AF571</f>
        <v>0</v>
      </c>
      <c r="AU546" s="403">
        <f>'Portefeuille SP2'!AG571</f>
        <v>0</v>
      </c>
      <c r="AV546" s="403">
        <f>'Portefeuille SP2'!AH571</f>
        <v>0</v>
      </c>
      <c r="AW546" s="403">
        <f>'Portefeuille SP2'!AI571</f>
        <v>0</v>
      </c>
      <c r="AX546" s="403">
        <f>'Portefeuille SP2'!AJ571</f>
        <v>0</v>
      </c>
      <c r="AY546" s="403">
        <f>'Portefeuille SP2'!AK571</f>
        <v>0</v>
      </c>
      <c r="AZ546" s="403">
        <f>'Portefeuille SP2'!AL571</f>
        <v>0</v>
      </c>
      <c r="BA546" s="403">
        <f>'Portefeuille SP2'!AM571</f>
        <v>0</v>
      </c>
      <c r="BB546" s="403">
        <f>'Portefeuille SP2'!AN571</f>
        <v>0</v>
      </c>
      <c r="BC546" s="403">
        <f>'Portefeuille SP2'!AO571</f>
        <v>0</v>
      </c>
      <c r="BD546" s="403">
        <f>'Portefeuille SP2'!AP571</f>
        <v>0</v>
      </c>
      <c r="BE546" s="403">
        <f>'Portefeuille SP2'!AQ571</f>
        <v>0</v>
      </c>
      <c r="BF546" s="403">
        <f>'Portefeuille SP2'!AR571</f>
        <v>0</v>
      </c>
      <c r="BG546" s="403" t="e">
        <f>'Portefeuille SP2'!#REF!</f>
        <v>#REF!</v>
      </c>
      <c r="BH546" s="403" t="e">
        <f>'Portefeuille SP2'!#REF!</f>
        <v>#REF!</v>
      </c>
      <c r="BI546" s="403" t="e">
        <f>'Portefeuille SP2'!#REF!</f>
        <v>#REF!</v>
      </c>
      <c r="BJ546" s="403" t="e">
        <f>'Portefeuille SP2'!#REF!</f>
        <v>#REF!</v>
      </c>
      <c r="BK546" s="403" t="e">
        <f>'Portefeuille SP2'!#REF!</f>
        <v>#REF!</v>
      </c>
      <c r="BL546" s="388"/>
      <c r="BM546" s="404">
        <f>'Portefeuille SP2'!L571</f>
        <v>0</v>
      </c>
    </row>
    <row r="547" spans="1:65" ht="15" customHeight="1">
      <c r="A547" s="383">
        <f>'Portefeuille SP2'!B572</f>
        <v>0</v>
      </c>
      <c r="B547" s="390">
        <f>'Portefeuille SP2'!Q572</f>
        <v>0</v>
      </c>
      <c r="C547" s="384"/>
      <c r="D547" s="382">
        <f>'Portefeuille SP2'!E572</f>
        <v>0</v>
      </c>
      <c r="E547" s="382" t="str">
        <f t="shared" si="37"/>
        <v>0</v>
      </c>
      <c r="F547" s="382" t="str">
        <f t="shared" si="38"/>
        <v/>
      </c>
      <c r="G547" s="382">
        <f>'Portefeuille SP2'!C572</f>
        <v>0</v>
      </c>
      <c r="H547" s="382">
        <f>'Portefeuille SP2'!F572</f>
        <v>0</v>
      </c>
      <c r="I547" s="382"/>
      <c r="J547" s="382">
        <f>'Portefeuille SP2'!D572</f>
        <v>0</v>
      </c>
      <c r="K547" s="385">
        <f>'Portefeuille SP2'!H572</f>
        <v>0</v>
      </c>
      <c r="L547" s="157">
        <f>'Portefeuille SP2'!U572</f>
        <v>0</v>
      </c>
      <c r="M547" s="386"/>
      <c r="N547" s="386"/>
      <c r="O547" s="386"/>
      <c r="P547" s="387">
        <f>'Portefeuille SP2'!M572</f>
        <v>0</v>
      </c>
      <c r="Q547" s="387"/>
      <c r="R547" s="387">
        <f>'Portefeuille SP2'!N572</f>
        <v>0</v>
      </c>
      <c r="S547" s="387"/>
      <c r="T547" s="382">
        <f>'Portefeuille SP2'!R572</f>
        <v>0</v>
      </c>
      <c r="U547" s="387">
        <f>'Portefeuille SP2'!K572</f>
        <v>0</v>
      </c>
      <c r="V547" s="399">
        <f>'Portefeuille SP2'!S572</f>
        <v>0</v>
      </c>
      <c r="W547" s="387"/>
      <c r="X547" s="387"/>
      <c r="Y547" s="387"/>
      <c r="Z547" s="387"/>
      <c r="AA547" s="387"/>
      <c r="AB547" s="387"/>
      <c r="AC547" s="387"/>
      <c r="AD547" s="387"/>
      <c r="AE547" s="400">
        <f>'Portefeuille SP2'!J572</f>
        <v>0</v>
      </c>
      <c r="AF547" s="387"/>
      <c r="AG547" s="387"/>
      <c r="AH547" s="389"/>
      <c r="AI547" s="389"/>
      <c r="AJ547" s="403">
        <f>'Portefeuille SP2'!V572</f>
        <v>0</v>
      </c>
      <c r="AK547" s="403">
        <f>'Portefeuille SP2'!W572</f>
        <v>0</v>
      </c>
      <c r="AL547" s="403">
        <f>'Portefeuille SP2'!X572</f>
        <v>0</v>
      </c>
      <c r="AM547" s="403">
        <f>'Portefeuille SP2'!Y572</f>
        <v>0</v>
      </c>
      <c r="AN547" s="403">
        <f>'Portefeuille SP2'!Z572</f>
        <v>0</v>
      </c>
      <c r="AO547" s="403">
        <f>'Portefeuille SP2'!AA572</f>
        <v>0</v>
      </c>
      <c r="AP547" s="403">
        <f>'Portefeuille SP2'!AB572</f>
        <v>0</v>
      </c>
      <c r="AQ547" s="403">
        <f>'Portefeuille SP2'!AC572</f>
        <v>0</v>
      </c>
      <c r="AR547" s="403">
        <f>'Portefeuille SP2'!AD572</f>
        <v>0</v>
      </c>
      <c r="AS547" s="403">
        <f>'Portefeuille SP2'!AE572</f>
        <v>0</v>
      </c>
      <c r="AT547" s="403">
        <f>'Portefeuille SP2'!AF572</f>
        <v>0</v>
      </c>
      <c r="AU547" s="403">
        <f>'Portefeuille SP2'!AG572</f>
        <v>0</v>
      </c>
      <c r="AV547" s="403">
        <f>'Portefeuille SP2'!AH572</f>
        <v>0</v>
      </c>
      <c r="AW547" s="403">
        <f>'Portefeuille SP2'!AI572</f>
        <v>0</v>
      </c>
      <c r="AX547" s="403">
        <f>'Portefeuille SP2'!AJ572</f>
        <v>0</v>
      </c>
      <c r="AY547" s="403">
        <f>'Portefeuille SP2'!AK572</f>
        <v>0</v>
      </c>
      <c r="AZ547" s="403">
        <f>'Portefeuille SP2'!AL572</f>
        <v>0</v>
      </c>
      <c r="BA547" s="403">
        <f>'Portefeuille SP2'!AM572</f>
        <v>0</v>
      </c>
      <c r="BB547" s="403">
        <f>'Portefeuille SP2'!AN572</f>
        <v>0</v>
      </c>
      <c r="BC547" s="403">
        <f>'Portefeuille SP2'!AO572</f>
        <v>0</v>
      </c>
      <c r="BD547" s="403">
        <f>'Portefeuille SP2'!AP572</f>
        <v>0</v>
      </c>
      <c r="BE547" s="403">
        <f>'Portefeuille SP2'!AQ572</f>
        <v>0</v>
      </c>
      <c r="BF547" s="403">
        <f>'Portefeuille SP2'!AR572</f>
        <v>0</v>
      </c>
      <c r="BG547" s="403" t="e">
        <f>'Portefeuille SP2'!#REF!</f>
        <v>#REF!</v>
      </c>
      <c r="BH547" s="403" t="e">
        <f>'Portefeuille SP2'!#REF!</f>
        <v>#REF!</v>
      </c>
      <c r="BI547" s="403" t="e">
        <f>'Portefeuille SP2'!#REF!</f>
        <v>#REF!</v>
      </c>
      <c r="BJ547" s="403" t="e">
        <f>'Portefeuille SP2'!#REF!</f>
        <v>#REF!</v>
      </c>
      <c r="BK547" s="403" t="e">
        <f>'Portefeuille SP2'!#REF!</f>
        <v>#REF!</v>
      </c>
      <c r="BL547" s="388"/>
      <c r="BM547" s="404">
        <f>'Portefeuille SP2'!L572</f>
        <v>0</v>
      </c>
    </row>
    <row r="548" spans="1:65" ht="15" customHeight="1">
      <c r="A548" s="383">
        <f>'Portefeuille SP2'!B573</f>
        <v>0</v>
      </c>
      <c r="B548" s="390">
        <f>'Portefeuille SP2'!Q573</f>
        <v>0</v>
      </c>
      <c r="C548" s="384"/>
      <c r="D548" s="382">
        <f>'Portefeuille SP2'!E573</f>
        <v>0</v>
      </c>
      <c r="E548" s="382" t="str">
        <f t="shared" si="37"/>
        <v>0</v>
      </c>
      <c r="F548" s="382" t="str">
        <f t="shared" si="38"/>
        <v/>
      </c>
      <c r="G548" s="382">
        <f>'Portefeuille SP2'!C573</f>
        <v>0</v>
      </c>
      <c r="H548" s="382">
        <f>'Portefeuille SP2'!F573</f>
        <v>0</v>
      </c>
      <c r="I548" s="382"/>
      <c r="J548" s="382">
        <f>'Portefeuille SP2'!D573</f>
        <v>0</v>
      </c>
      <c r="K548" s="385">
        <f>'Portefeuille SP2'!H573</f>
        <v>0</v>
      </c>
      <c r="L548" s="157">
        <f>'Portefeuille SP2'!U573</f>
        <v>0</v>
      </c>
      <c r="M548" s="386"/>
      <c r="N548" s="386"/>
      <c r="O548" s="386"/>
      <c r="P548" s="387">
        <f>'Portefeuille SP2'!M573</f>
        <v>0</v>
      </c>
      <c r="Q548" s="387"/>
      <c r="R548" s="387">
        <f>'Portefeuille SP2'!N573</f>
        <v>0</v>
      </c>
      <c r="S548" s="387"/>
      <c r="T548" s="382">
        <f>'Portefeuille SP2'!R573</f>
        <v>0</v>
      </c>
      <c r="U548" s="387">
        <f>'Portefeuille SP2'!K573</f>
        <v>0</v>
      </c>
      <c r="V548" s="399">
        <f>'Portefeuille SP2'!S573</f>
        <v>0</v>
      </c>
      <c r="W548" s="387"/>
      <c r="X548" s="387"/>
      <c r="Y548" s="387"/>
      <c r="Z548" s="387"/>
      <c r="AA548" s="387"/>
      <c r="AB548" s="387"/>
      <c r="AC548" s="387"/>
      <c r="AD548" s="387"/>
      <c r="AE548" s="400">
        <f>'Portefeuille SP2'!J573</f>
        <v>0</v>
      </c>
      <c r="AF548" s="387"/>
      <c r="AG548" s="387"/>
      <c r="AH548" s="389"/>
      <c r="AI548" s="389"/>
      <c r="AJ548" s="403">
        <f>'Portefeuille SP2'!V573</f>
        <v>0</v>
      </c>
      <c r="AK548" s="403">
        <f>'Portefeuille SP2'!W573</f>
        <v>0</v>
      </c>
      <c r="AL548" s="403">
        <f>'Portefeuille SP2'!X573</f>
        <v>0</v>
      </c>
      <c r="AM548" s="403">
        <f>'Portefeuille SP2'!Y573</f>
        <v>0</v>
      </c>
      <c r="AN548" s="403">
        <f>'Portefeuille SP2'!Z573</f>
        <v>0</v>
      </c>
      <c r="AO548" s="403">
        <f>'Portefeuille SP2'!AA573</f>
        <v>0</v>
      </c>
      <c r="AP548" s="403">
        <f>'Portefeuille SP2'!AB573</f>
        <v>0</v>
      </c>
      <c r="AQ548" s="403">
        <f>'Portefeuille SP2'!AC573</f>
        <v>0</v>
      </c>
      <c r="AR548" s="403">
        <f>'Portefeuille SP2'!AD573</f>
        <v>0</v>
      </c>
      <c r="AS548" s="403">
        <f>'Portefeuille SP2'!AE573</f>
        <v>0</v>
      </c>
      <c r="AT548" s="403">
        <f>'Portefeuille SP2'!AF573</f>
        <v>0</v>
      </c>
      <c r="AU548" s="403">
        <f>'Portefeuille SP2'!AG573</f>
        <v>0</v>
      </c>
      <c r="AV548" s="403">
        <f>'Portefeuille SP2'!AH573</f>
        <v>0</v>
      </c>
      <c r="AW548" s="403">
        <f>'Portefeuille SP2'!AI573</f>
        <v>0</v>
      </c>
      <c r="AX548" s="403">
        <f>'Portefeuille SP2'!AJ573</f>
        <v>0</v>
      </c>
      <c r="AY548" s="403">
        <f>'Portefeuille SP2'!AK573</f>
        <v>0</v>
      </c>
      <c r="AZ548" s="403">
        <f>'Portefeuille SP2'!AL573</f>
        <v>0</v>
      </c>
      <c r="BA548" s="403">
        <f>'Portefeuille SP2'!AM573</f>
        <v>0</v>
      </c>
      <c r="BB548" s="403">
        <f>'Portefeuille SP2'!AN573</f>
        <v>0</v>
      </c>
      <c r="BC548" s="403">
        <f>'Portefeuille SP2'!AO573</f>
        <v>0</v>
      </c>
      <c r="BD548" s="403">
        <f>'Portefeuille SP2'!AP573</f>
        <v>0</v>
      </c>
      <c r="BE548" s="403">
        <f>'Portefeuille SP2'!AQ573</f>
        <v>0</v>
      </c>
      <c r="BF548" s="403">
        <f>'Portefeuille SP2'!AR573</f>
        <v>0</v>
      </c>
      <c r="BG548" s="403" t="e">
        <f>'Portefeuille SP2'!#REF!</f>
        <v>#REF!</v>
      </c>
      <c r="BH548" s="403" t="e">
        <f>'Portefeuille SP2'!#REF!</f>
        <v>#REF!</v>
      </c>
      <c r="BI548" s="403" t="e">
        <f>'Portefeuille SP2'!#REF!</f>
        <v>#REF!</v>
      </c>
      <c r="BJ548" s="403" t="e">
        <f>'Portefeuille SP2'!#REF!</f>
        <v>#REF!</v>
      </c>
      <c r="BK548" s="403" t="e">
        <f>'Portefeuille SP2'!#REF!</f>
        <v>#REF!</v>
      </c>
      <c r="BL548" s="388"/>
      <c r="BM548" s="404">
        <f>'Portefeuille SP2'!L573</f>
        <v>0</v>
      </c>
    </row>
    <row r="549" spans="1:65" ht="15" customHeight="1">
      <c r="A549" s="383">
        <f>'Portefeuille SP2'!B574</f>
        <v>0</v>
      </c>
      <c r="B549" s="390">
        <f>'Portefeuille SP2'!Q574</f>
        <v>0</v>
      </c>
      <c r="C549" s="384"/>
      <c r="D549" s="382">
        <f>'Portefeuille SP2'!E574</f>
        <v>0</v>
      </c>
      <c r="E549" s="382" t="str">
        <f t="shared" si="37"/>
        <v>0</v>
      </c>
      <c r="F549" s="382" t="str">
        <f t="shared" si="38"/>
        <v/>
      </c>
      <c r="G549" s="382">
        <f>'Portefeuille SP2'!C574</f>
        <v>0</v>
      </c>
      <c r="H549" s="382">
        <f>'Portefeuille SP2'!F574</f>
        <v>0</v>
      </c>
      <c r="I549" s="382"/>
      <c r="J549" s="382">
        <f>'Portefeuille SP2'!D574</f>
        <v>0</v>
      </c>
      <c r="K549" s="385">
        <f>'Portefeuille SP2'!H574</f>
        <v>0</v>
      </c>
      <c r="L549" s="157">
        <f>'Portefeuille SP2'!U574</f>
        <v>0</v>
      </c>
      <c r="M549" s="386"/>
      <c r="N549" s="386"/>
      <c r="O549" s="386"/>
      <c r="P549" s="387">
        <f>'Portefeuille SP2'!M574</f>
        <v>0</v>
      </c>
      <c r="Q549" s="387"/>
      <c r="R549" s="387">
        <f>'Portefeuille SP2'!N574</f>
        <v>0</v>
      </c>
      <c r="S549" s="387"/>
      <c r="T549" s="382">
        <f>'Portefeuille SP2'!R574</f>
        <v>0</v>
      </c>
      <c r="U549" s="387">
        <f>'Portefeuille SP2'!K574</f>
        <v>0</v>
      </c>
      <c r="V549" s="399">
        <f>'Portefeuille SP2'!S574</f>
        <v>0</v>
      </c>
      <c r="W549" s="387"/>
      <c r="X549" s="387"/>
      <c r="Y549" s="387"/>
      <c r="Z549" s="387"/>
      <c r="AA549" s="387"/>
      <c r="AB549" s="387"/>
      <c r="AC549" s="387"/>
      <c r="AD549" s="387"/>
      <c r="AE549" s="400">
        <f>'Portefeuille SP2'!J574</f>
        <v>0</v>
      </c>
      <c r="AF549" s="387"/>
      <c r="AG549" s="387"/>
      <c r="AH549" s="389"/>
      <c r="AI549" s="389"/>
      <c r="AJ549" s="403">
        <f>'Portefeuille SP2'!V574</f>
        <v>0</v>
      </c>
      <c r="AK549" s="403">
        <f>'Portefeuille SP2'!W574</f>
        <v>0</v>
      </c>
      <c r="AL549" s="403">
        <f>'Portefeuille SP2'!X574</f>
        <v>0</v>
      </c>
      <c r="AM549" s="403">
        <f>'Portefeuille SP2'!Y574</f>
        <v>0</v>
      </c>
      <c r="AN549" s="403">
        <f>'Portefeuille SP2'!Z574</f>
        <v>0</v>
      </c>
      <c r="AO549" s="403">
        <f>'Portefeuille SP2'!AA574</f>
        <v>0</v>
      </c>
      <c r="AP549" s="403">
        <f>'Portefeuille SP2'!AB574</f>
        <v>0</v>
      </c>
      <c r="AQ549" s="403">
        <f>'Portefeuille SP2'!AC574</f>
        <v>0</v>
      </c>
      <c r="AR549" s="403">
        <f>'Portefeuille SP2'!AD574</f>
        <v>0</v>
      </c>
      <c r="AS549" s="403">
        <f>'Portefeuille SP2'!AE574</f>
        <v>0</v>
      </c>
      <c r="AT549" s="403">
        <f>'Portefeuille SP2'!AF574</f>
        <v>0</v>
      </c>
      <c r="AU549" s="403">
        <f>'Portefeuille SP2'!AG574</f>
        <v>0</v>
      </c>
      <c r="AV549" s="403">
        <f>'Portefeuille SP2'!AH574</f>
        <v>0</v>
      </c>
      <c r="AW549" s="403">
        <f>'Portefeuille SP2'!AI574</f>
        <v>0</v>
      </c>
      <c r="AX549" s="403">
        <f>'Portefeuille SP2'!AJ574</f>
        <v>0</v>
      </c>
      <c r="AY549" s="403">
        <f>'Portefeuille SP2'!AK574</f>
        <v>0</v>
      </c>
      <c r="AZ549" s="403">
        <f>'Portefeuille SP2'!AL574</f>
        <v>0</v>
      </c>
      <c r="BA549" s="403">
        <f>'Portefeuille SP2'!AM574</f>
        <v>0</v>
      </c>
      <c r="BB549" s="403">
        <f>'Portefeuille SP2'!AN574</f>
        <v>0</v>
      </c>
      <c r="BC549" s="403">
        <f>'Portefeuille SP2'!AO574</f>
        <v>0</v>
      </c>
      <c r="BD549" s="403">
        <f>'Portefeuille SP2'!AP574</f>
        <v>0</v>
      </c>
      <c r="BE549" s="403">
        <f>'Portefeuille SP2'!AQ574</f>
        <v>0</v>
      </c>
      <c r="BF549" s="403">
        <f>'Portefeuille SP2'!AR574</f>
        <v>0</v>
      </c>
      <c r="BG549" s="403" t="e">
        <f>'Portefeuille SP2'!#REF!</f>
        <v>#REF!</v>
      </c>
      <c r="BH549" s="403" t="e">
        <f>'Portefeuille SP2'!#REF!</f>
        <v>#REF!</v>
      </c>
      <c r="BI549" s="403" t="e">
        <f>'Portefeuille SP2'!#REF!</f>
        <v>#REF!</v>
      </c>
      <c r="BJ549" s="403" t="e">
        <f>'Portefeuille SP2'!#REF!</f>
        <v>#REF!</v>
      </c>
      <c r="BK549" s="403" t="e">
        <f>'Portefeuille SP2'!#REF!</f>
        <v>#REF!</v>
      </c>
      <c r="BL549" s="388"/>
      <c r="BM549" s="404">
        <f>'Portefeuille SP2'!L574</f>
        <v>0</v>
      </c>
    </row>
    <row r="550" spans="1:65" ht="15" customHeight="1">
      <c r="A550" s="383">
        <f>'Portefeuille SP2'!B575</f>
        <v>0</v>
      </c>
      <c r="B550" s="390">
        <f>'Portefeuille SP2'!Q575</f>
        <v>0</v>
      </c>
      <c r="C550" s="384"/>
      <c r="D550" s="382">
        <f>'Portefeuille SP2'!E575</f>
        <v>0</v>
      </c>
      <c r="E550" s="382" t="str">
        <f t="shared" si="37"/>
        <v>0</v>
      </c>
      <c r="F550" s="382" t="str">
        <f t="shared" si="38"/>
        <v/>
      </c>
      <c r="G550" s="382">
        <f>'Portefeuille SP2'!C575</f>
        <v>0</v>
      </c>
      <c r="H550" s="382">
        <f>'Portefeuille SP2'!F575</f>
        <v>0</v>
      </c>
      <c r="I550" s="382"/>
      <c r="J550" s="382">
        <f>'Portefeuille SP2'!D575</f>
        <v>0</v>
      </c>
      <c r="K550" s="385">
        <f>'Portefeuille SP2'!H575</f>
        <v>0</v>
      </c>
      <c r="L550" s="157">
        <f>'Portefeuille SP2'!U575</f>
        <v>0</v>
      </c>
      <c r="M550" s="386"/>
      <c r="N550" s="386"/>
      <c r="O550" s="386"/>
      <c r="P550" s="387">
        <f>'Portefeuille SP2'!M575</f>
        <v>0</v>
      </c>
      <c r="Q550" s="387"/>
      <c r="R550" s="387">
        <f>'Portefeuille SP2'!N575</f>
        <v>0</v>
      </c>
      <c r="S550" s="387"/>
      <c r="T550" s="382">
        <f>'Portefeuille SP2'!R575</f>
        <v>0</v>
      </c>
      <c r="U550" s="387">
        <f>'Portefeuille SP2'!K575</f>
        <v>0</v>
      </c>
      <c r="V550" s="399">
        <f>'Portefeuille SP2'!S575</f>
        <v>0</v>
      </c>
      <c r="W550" s="387"/>
      <c r="X550" s="387"/>
      <c r="Y550" s="387"/>
      <c r="Z550" s="387"/>
      <c r="AA550" s="387"/>
      <c r="AB550" s="387"/>
      <c r="AC550" s="387"/>
      <c r="AD550" s="387"/>
      <c r="AE550" s="400">
        <f>'Portefeuille SP2'!J575</f>
        <v>0</v>
      </c>
      <c r="AF550" s="387"/>
      <c r="AG550" s="387"/>
      <c r="AH550" s="389"/>
      <c r="AI550" s="389"/>
      <c r="AJ550" s="403">
        <f>'Portefeuille SP2'!V575</f>
        <v>0</v>
      </c>
      <c r="AK550" s="403">
        <f>'Portefeuille SP2'!W575</f>
        <v>0</v>
      </c>
      <c r="AL550" s="403">
        <f>'Portefeuille SP2'!X575</f>
        <v>0</v>
      </c>
      <c r="AM550" s="403">
        <f>'Portefeuille SP2'!Y575</f>
        <v>0</v>
      </c>
      <c r="AN550" s="403">
        <f>'Portefeuille SP2'!Z575</f>
        <v>0</v>
      </c>
      <c r="AO550" s="403">
        <f>'Portefeuille SP2'!AA575</f>
        <v>0</v>
      </c>
      <c r="AP550" s="403">
        <f>'Portefeuille SP2'!AB575</f>
        <v>0</v>
      </c>
      <c r="AQ550" s="403">
        <f>'Portefeuille SP2'!AC575</f>
        <v>0</v>
      </c>
      <c r="AR550" s="403">
        <f>'Portefeuille SP2'!AD575</f>
        <v>0</v>
      </c>
      <c r="AS550" s="403">
        <f>'Portefeuille SP2'!AE575</f>
        <v>0</v>
      </c>
      <c r="AT550" s="403">
        <f>'Portefeuille SP2'!AF575</f>
        <v>0</v>
      </c>
      <c r="AU550" s="403">
        <f>'Portefeuille SP2'!AG575</f>
        <v>0</v>
      </c>
      <c r="AV550" s="403">
        <f>'Portefeuille SP2'!AH575</f>
        <v>0</v>
      </c>
      <c r="AW550" s="403">
        <f>'Portefeuille SP2'!AI575</f>
        <v>0</v>
      </c>
      <c r="AX550" s="403">
        <f>'Portefeuille SP2'!AJ575</f>
        <v>0</v>
      </c>
      <c r="AY550" s="403">
        <f>'Portefeuille SP2'!AK575</f>
        <v>0</v>
      </c>
      <c r="AZ550" s="403">
        <f>'Portefeuille SP2'!AL575</f>
        <v>0</v>
      </c>
      <c r="BA550" s="403">
        <f>'Portefeuille SP2'!AM575</f>
        <v>0</v>
      </c>
      <c r="BB550" s="403">
        <f>'Portefeuille SP2'!AN575</f>
        <v>0</v>
      </c>
      <c r="BC550" s="403">
        <f>'Portefeuille SP2'!AO575</f>
        <v>0</v>
      </c>
      <c r="BD550" s="403">
        <f>'Portefeuille SP2'!AP575</f>
        <v>0</v>
      </c>
      <c r="BE550" s="403">
        <f>'Portefeuille SP2'!AQ575</f>
        <v>0</v>
      </c>
      <c r="BF550" s="403">
        <f>'Portefeuille SP2'!AR575</f>
        <v>0</v>
      </c>
      <c r="BG550" s="403" t="e">
        <f>'Portefeuille SP2'!#REF!</f>
        <v>#REF!</v>
      </c>
      <c r="BH550" s="403" t="e">
        <f>'Portefeuille SP2'!#REF!</f>
        <v>#REF!</v>
      </c>
      <c r="BI550" s="403" t="e">
        <f>'Portefeuille SP2'!#REF!</f>
        <v>#REF!</v>
      </c>
      <c r="BJ550" s="403" t="e">
        <f>'Portefeuille SP2'!#REF!</f>
        <v>#REF!</v>
      </c>
      <c r="BK550" s="403" t="e">
        <f>'Portefeuille SP2'!#REF!</f>
        <v>#REF!</v>
      </c>
      <c r="BL550" s="388"/>
      <c r="BM550" s="404">
        <f>'Portefeuille SP2'!L575</f>
        <v>0</v>
      </c>
    </row>
    <row r="551" spans="1:65" ht="15" customHeight="1">
      <c r="A551" s="383">
        <f>'Portefeuille SP2'!B576</f>
        <v>0</v>
      </c>
      <c r="B551" s="390">
        <f>'Portefeuille SP2'!Q576</f>
        <v>0</v>
      </c>
      <c r="C551" s="384"/>
      <c r="D551" s="382">
        <f>'Portefeuille SP2'!E576</f>
        <v>0</v>
      </c>
      <c r="E551" s="382" t="str">
        <f t="shared" si="37"/>
        <v>0</v>
      </c>
      <c r="F551" s="382" t="str">
        <f t="shared" si="38"/>
        <v/>
      </c>
      <c r="G551" s="382">
        <f>'Portefeuille SP2'!C576</f>
        <v>0</v>
      </c>
      <c r="H551" s="382">
        <f>'Portefeuille SP2'!F576</f>
        <v>0</v>
      </c>
      <c r="I551" s="382"/>
      <c r="J551" s="382">
        <f>'Portefeuille SP2'!D576</f>
        <v>0</v>
      </c>
      <c r="K551" s="385">
        <f>'Portefeuille SP2'!H576</f>
        <v>0</v>
      </c>
      <c r="L551" s="157">
        <f>'Portefeuille SP2'!U576</f>
        <v>0</v>
      </c>
      <c r="M551" s="386"/>
      <c r="N551" s="386"/>
      <c r="O551" s="386"/>
      <c r="P551" s="387">
        <f>'Portefeuille SP2'!M576</f>
        <v>0</v>
      </c>
      <c r="Q551" s="387"/>
      <c r="R551" s="387">
        <f>'Portefeuille SP2'!N576</f>
        <v>0</v>
      </c>
      <c r="S551" s="387"/>
      <c r="T551" s="382">
        <f>'Portefeuille SP2'!R576</f>
        <v>0</v>
      </c>
      <c r="U551" s="387">
        <f>'Portefeuille SP2'!K576</f>
        <v>0</v>
      </c>
      <c r="V551" s="399">
        <f>'Portefeuille SP2'!S576</f>
        <v>0</v>
      </c>
      <c r="W551" s="387"/>
      <c r="X551" s="387"/>
      <c r="Y551" s="387"/>
      <c r="Z551" s="387"/>
      <c r="AA551" s="387"/>
      <c r="AB551" s="387"/>
      <c r="AC551" s="387"/>
      <c r="AD551" s="387"/>
      <c r="AE551" s="400">
        <f>'Portefeuille SP2'!J576</f>
        <v>0</v>
      </c>
      <c r="AF551" s="387"/>
      <c r="AG551" s="387"/>
      <c r="AH551" s="389"/>
      <c r="AI551" s="389"/>
      <c r="AJ551" s="403">
        <f>'Portefeuille SP2'!V576</f>
        <v>0</v>
      </c>
      <c r="AK551" s="403">
        <f>'Portefeuille SP2'!W576</f>
        <v>0</v>
      </c>
      <c r="AL551" s="403">
        <f>'Portefeuille SP2'!X576</f>
        <v>0</v>
      </c>
      <c r="AM551" s="403">
        <f>'Portefeuille SP2'!Y576</f>
        <v>0</v>
      </c>
      <c r="AN551" s="403">
        <f>'Portefeuille SP2'!Z576</f>
        <v>0</v>
      </c>
      <c r="AO551" s="403">
        <f>'Portefeuille SP2'!AA576</f>
        <v>0</v>
      </c>
      <c r="AP551" s="403">
        <f>'Portefeuille SP2'!AB576</f>
        <v>0</v>
      </c>
      <c r="AQ551" s="403">
        <f>'Portefeuille SP2'!AC576</f>
        <v>0</v>
      </c>
      <c r="AR551" s="403">
        <f>'Portefeuille SP2'!AD576</f>
        <v>0</v>
      </c>
      <c r="AS551" s="403">
        <f>'Portefeuille SP2'!AE576</f>
        <v>0</v>
      </c>
      <c r="AT551" s="403">
        <f>'Portefeuille SP2'!AF576</f>
        <v>0</v>
      </c>
      <c r="AU551" s="403">
        <f>'Portefeuille SP2'!AG576</f>
        <v>0</v>
      </c>
      <c r="AV551" s="403">
        <f>'Portefeuille SP2'!AH576</f>
        <v>0</v>
      </c>
      <c r="AW551" s="403">
        <f>'Portefeuille SP2'!AI576</f>
        <v>0</v>
      </c>
      <c r="AX551" s="403">
        <f>'Portefeuille SP2'!AJ576</f>
        <v>0</v>
      </c>
      <c r="AY551" s="403">
        <f>'Portefeuille SP2'!AK576</f>
        <v>0</v>
      </c>
      <c r="AZ551" s="403">
        <f>'Portefeuille SP2'!AL576</f>
        <v>0</v>
      </c>
      <c r="BA551" s="403">
        <f>'Portefeuille SP2'!AM576</f>
        <v>0</v>
      </c>
      <c r="BB551" s="403">
        <f>'Portefeuille SP2'!AN576</f>
        <v>0</v>
      </c>
      <c r="BC551" s="403">
        <f>'Portefeuille SP2'!AO576</f>
        <v>0</v>
      </c>
      <c r="BD551" s="403">
        <f>'Portefeuille SP2'!AP576</f>
        <v>0</v>
      </c>
      <c r="BE551" s="403">
        <f>'Portefeuille SP2'!AQ576</f>
        <v>0</v>
      </c>
      <c r="BF551" s="403">
        <f>'Portefeuille SP2'!AR576</f>
        <v>0</v>
      </c>
      <c r="BG551" s="403" t="e">
        <f>'Portefeuille SP2'!#REF!</f>
        <v>#REF!</v>
      </c>
      <c r="BH551" s="403" t="e">
        <f>'Portefeuille SP2'!#REF!</f>
        <v>#REF!</v>
      </c>
      <c r="BI551" s="403" t="e">
        <f>'Portefeuille SP2'!#REF!</f>
        <v>#REF!</v>
      </c>
      <c r="BJ551" s="403" t="e">
        <f>'Portefeuille SP2'!#REF!</f>
        <v>#REF!</v>
      </c>
      <c r="BK551" s="403" t="e">
        <f>'Portefeuille SP2'!#REF!</f>
        <v>#REF!</v>
      </c>
      <c r="BL551" s="388"/>
      <c r="BM551" s="404">
        <f>'Portefeuille SP2'!L576</f>
        <v>0</v>
      </c>
    </row>
    <row r="552" spans="1:65" ht="15" customHeight="1">
      <c r="A552" s="383">
        <f>'Portefeuille SP2'!B577</f>
        <v>0</v>
      </c>
      <c r="B552" s="390">
        <f>'Portefeuille SP2'!Q577</f>
        <v>0</v>
      </c>
      <c r="C552" s="384"/>
      <c r="D552" s="382">
        <f>'Portefeuille SP2'!E577</f>
        <v>0</v>
      </c>
      <c r="E552" s="382" t="str">
        <f t="shared" si="37"/>
        <v>0</v>
      </c>
      <c r="F552" s="382" t="str">
        <f t="shared" si="38"/>
        <v/>
      </c>
      <c r="G552" s="382">
        <f>'Portefeuille SP2'!C577</f>
        <v>0</v>
      </c>
      <c r="H552" s="382">
        <f>'Portefeuille SP2'!F577</f>
        <v>0</v>
      </c>
      <c r="I552" s="382"/>
      <c r="J552" s="382">
        <f>'Portefeuille SP2'!D577</f>
        <v>0</v>
      </c>
      <c r="K552" s="385">
        <f>'Portefeuille SP2'!H577</f>
        <v>0</v>
      </c>
      <c r="L552" s="157">
        <f>'Portefeuille SP2'!U577</f>
        <v>0</v>
      </c>
      <c r="M552" s="386"/>
      <c r="N552" s="386"/>
      <c r="O552" s="386"/>
      <c r="P552" s="387">
        <f>'Portefeuille SP2'!M577</f>
        <v>0</v>
      </c>
      <c r="Q552" s="387"/>
      <c r="R552" s="387">
        <f>'Portefeuille SP2'!N577</f>
        <v>0</v>
      </c>
      <c r="S552" s="387"/>
      <c r="T552" s="382">
        <f>'Portefeuille SP2'!R577</f>
        <v>0</v>
      </c>
      <c r="U552" s="387">
        <f>'Portefeuille SP2'!K577</f>
        <v>0</v>
      </c>
      <c r="V552" s="399">
        <f>'Portefeuille SP2'!S577</f>
        <v>0</v>
      </c>
      <c r="W552" s="387"/>
      <c r="X552" s="387"/>
      <c r="Y552" s="387"/>
      <c r="Z552" s="387"/>
      <c r="AA552" s="387"/>
      <c r="AB552" s="387"/>
      <c r="AC552" s="387"/>
      <c r="AD552" s="387"/>
      <c r="AE552" s="400">
        <f>'Portefeuille SP2'!J577</f>
        <v>0</v>
      </c>
      <c r="AF552" s="387"/>
      <c r="AG552" s="387"/>
      <c r="AH552" s="389"/>
      <c r="AI552" s="389"/>
      <c r="AJ552" s="403">
        <f>'Portefeuille SP2'!V577</f>
        <v>0</v>
      </c>
      <c r="AK552" s="403">
        <f>'Portefeuille SP2'!W577</f>
        <v>0</v>
      </c>
      <c r="AL552" s="403">
        <f>'Portefeuille SP2'!X577</f>
        <v>0</v>
      </c>
      <c r="AM552" s="403">
        <f>'Portefeuille SP2'!Y577</f>
        <v>0</v>
      </c>
      <c r="AN552" s="403">
        <f>'Portefeuille SP2'!Z577</f>
        <v>0</v>
      </c>
      <c r="AO552" s="403">
        <f>'Portefeuille SP2'!AA577</f>
        <v>0</v>
      </c>
      <c r="AP552" s="403">
        <f>'Portefeuille SP2'!AB577</f>
        <v>0</v>
      </c>
      <c r="AQ552" s="403">
        <f>'Portefeuille SP2'!AC577</f>
        <v>0</v>
      </c>
      <c r="AR552" s="403">
        <f>'Portefeuille SP2'!AD577</f>
        <v>0</v>
      </c>
      <c r="AS552" s="403">
        <f>'Portefeuille SP2'!AE577</f>
        <v>0</v>
      </c>
      <c r="AT552" s="403">
        <f>'Portefeuille SP2'!AF577</f>
        <v>0</v>
      </c>
      <c r="AU552" s="403">
        <f>'Portefeuille SP2'!AG577</f>
        <v>0</v>
      </c>
      <c r="AV552" s="403">
        <f>'Portefeuille SP2'!AH577</f>
        <v>0</v>
      </c>
      <c r="AW552" s="403">
        <f>'Portefeuille SP2'!AI577</f>
        <v>0</v>
      </c>
      <c r="AX552" s="403">
        <f>'Portefeuille SP2'!AJ577</f>
        <v>0</v>
      </c>
      <c r="AY552" s="403">
        <f>'Portefeuille SP2'!AK577</f>
        <v>0</v>
      </c>
      <c r="AZ552" s="403">
        <f>'Portefeuille SP2'!AL577</f>
        <v>0</v>
      </c>
      <c r="BA552" s="403">
        <f>'Portefeuille SP2'!AM577</f>
        <v>0</v>
      </c>
      <c r="BB552" s="403">
        <f>'Portefeuille SP2'!AN577</f>
        <v>0</v>
      </c>
      <c r="BC552" s="403">
        <f>'Portefeuille SP2'!AO577</f>
        <v>0</v>
      </c>
      <c r="BD552" s="403">
        <f>'Portefeuille SP2'!AP577</f>
        <v>0</v>
      </c>
      <c r="BE552" s="403">
        <f>'Portefeuille SP2'!AQ577</f>
        <v>0</v>
      </c>
      <c r="BF552" s="403">
        <f>'Portefeuille SP2'!AR577</f>
        <v>0</v>
      </c>
      <c r="BG552" s="403" t="e">
        <f>'Portefeuille SP2'!#REF!</f>
        <v>#REF!</v>
      </c>
      <c r="BH552" s="403" t="e">
        <f>'Portefeuille SP2'!#REF!</f>
        <v>#REF!</v>
      </c>
      <c r="BI552" s="403" t="e">
        <f>'Portefeuille SP2'!#REF!</f>
        <v>#REF!</v>
      </c>
      <c r="BJ552" s="403" t="e">
        <f>'Portefeuille SP2'!#REF!</f>
        <v>#REF!</v>
      </c>
      <c r="BK552" s="403" t="e">
        <f>'Portefeuille SP2'!#REF!</f>
        <v>#REF!</v>
      </c>
      <c r="BL552" s="388"/>
      <c r="BM552" s="404">
        <f>'Portefeuille SP2'!L577</f>
        <v>0</v>
      </c>
    </row>
    <row r="553" spans="1:65" ht="15" customHeight="1">
      <c r="A553" s="383">
        <f>'Portefeuille SP2'!B578</f>
        <v>0</v>
      </c>
      <c r="B553" s="390">
        <f>'Portefeuille SP2'!Q578</f>
        <v>0</v>
      </c>
      <c r="C553" s="384"/>
      <c r="D553" s="382">
        <f>'Portefeuille SP2'!E578</f>
        <v>0</v>
      </c>
      <c r="E553" s="382" t="str">
        <f t="shared" si="37"/>
        <v>0</v>
      </c>
      <c r="F553" s="382" t="str">
        <f t="shared" si="38"/>
        <v/>
      </c>
      <c r="G553" s="382">
        <f>'Portefeuille SP2'!C578</f>
        <v>0</v>
      </c>
      <c r="H553" s="382">
        <f>'Portefeuille SP2'!F578</f>
        <v>0</v>
      </c>
      <c r="I553" s="382"/>
      <c r="J553" s="382">
        <f>'Portefeuille SP2'!D578</f>
        <v>0</v>
      </c>
      <c r="K553" s="385">
        <f>'Portefeuille SP2'!H578</f>
        <v>0</v>
      </c>
      <c r="L553" s="157">
        <f>'Portefeuille SP2'!U578</f>
        <v>0</v>
      </c>
      <c r="M553" s="386"/>
      <c r="N553" s="386"/>
      <c r="O553" s="386"/>
      <c r="P553" s="387">
        <f>'Portefeuille SP2'!M578</f>
        <v>0</v>
      </c>
      <c r="Q553" s="387"/>
      <c r="R553" s="387">
        <f>'Portefeuille SP2'!N578</f>
        <v>0</v>
      </c>
      <c r="S553" s="387"/>
      <c r="T553" s="382">
        <f>'Portefeuille SP2'!R578</f>
        <v>0</v>
      </c>
      <c r="U553" s="387">
        <f>'Portefeuille SP2'!K578</f>
        <v>0</v>
      </c>
      <c r="V553" s="399">
        <f>'Portefeuille SP2'!S578</f>
        <v>0</v>
      </c>
      <c r="W553" s="387"/>
      <c r="X553" s="387"/>
      <c r="Y553" s="387"/>
      <c r="Z553" s="387"/>
      <c r="AA553" s="387"/>
      <c r="AB553" s="387"/>
      <c r="AC553" s="387"/>
      <c r="AD553" s="387"/>
      <c r="AE553" s="400">
        <f>'Portefeuille SP2'!J578</f>
        <v>0</v>
      </c>
      <c r="AF553" s="387"/>
      <c r="AG553" s="387"/>
      <c r="AH553" s="389"/>
      <c r="AI553" s="389"/>
      <c r="AJ553" s="403">
        <f>'Portefeuille SP2'!V578</f>
        <v>0</v>
      </c>
      <c r="AK553" s="403">
        <f>'Portefeuille SP2'!W578</f>
        <v>0</v>
      </c>
      <c r="AL553" s="403">
        <f>'Portefeuille SP2'!X578</f>
        <v>0</v>
      </c>
      <c r="AM553" s="403">
        <f>'Portefeuille SP2'!Y578</f>
        <v>0</v>
      </c>
      <c r="AN553" s="403">
        <f>'Portefeuille SP2'!Z578</f>
        <v>0</v>
      </c>
      <c r="AO553" s="403">
        <f>'Portefeuille SP2'!AA578</f>
        <v>0</v>
      </c>
      <c r="AP553" s="403">
        <f>'Portefeuille SP2'!AB578</f>
        <v>0</v>
      </c>
      <c r="AQ553" s="403">
        <f>'Portefeuille SP2'!AC578</f>
        <v>0</v>
      </c>
      <c r="AR553" s="403">
        <f>'Portefeuille SP2'!AD578</f>
        <v>0</v>
      </c>
      <c r="AS553" s="403">
        <f>'Portefeuille SP2'!AE578</f>
        <v>0</v>
      </c>
      <c r="AT553" s="403">
        <f>'Portefeuille SP2'!AF578</f>
        <v>0</v>
      </c>
      <c r="AU553" s="403">
        <f>'Portefeuille SP2'!AG578</f>
        <v>0</v>
      </c>
      <c r="AV553" s="403">
        <f>'Portefeuille SP2'!AH578</f>
        <v>0</v>
      </c>
      <c r="AW553" s="403">
        <f>'Portefeuille SP2'!AI578</f>
        <v>0</v>
      </c>
      <c r="AX553" s="403">
        <f>'Portefeuille SP2'!AJ578</f>
        <v>0</v>
      </c>
      <c r="AY553" s="403">
        <f>'Portefeuille SP2'!AK578</f>
        <v>0</v>
      </c>
      <c r="AZ553" s="403">
        <f>'Portefeuille SP2'!AL578</f>
        <v>0</v>
      </c>
      <c r="BA553" s="403">
        <f>'Portefeuille SP2'!AM578</f>
        <v>0</v>
      </c>
      <c r="BB553" s="403">
        <f>'Portefeuille SP2'!AN578</f>
        <v>0</v>
      </c>
      <c r="BC553" s="403">
        <f>'Portefeuille SP2'!AO578</f>
        <v>0</v>
      </c>
      <c r="BD553" s="403">
        <f>'Portefeuille SP2'!AP578</f>
        <v>0</v>
      </c>
      <c r="BE553" s="403">
        <f>'Portefeuille SP2'!AQ578</f>
        <v>0</v>
      </c>
      <c r="BF553" s="403">
        <f>'Portefeuille SP2'!AR578</f>
        <v>0</v>
      </c>
      <c r="BG553" s="403" t="e">
        <f>'Portefeuille SP2'!#REF!</f>
        <v>#REF!</v>
      </c>
      <c r="BH553" s="403" t="e">
        <f>'Portefeuille SP2'!#REF!</f>
        <v>#REF!</v>
      </c>
      <c r="BI553" s="403" t="e">
        <f>'Portefeuille SP2'!#REF!</f>
        <v>#REF!</v>
      </c>
      <c r="BJ553" s="403" t="e">
        <f>'Portefeuille SP2'!#REF!</f>
        <v>#REF!</v>
      </c>
      <c r="BK553" s="403" t="e">
        <f>'Portefeuille SP2'!#REF!</f>
        <v>#REF!</v>
      </c>
      <c r="BL553" s="388"/>
      <c r="BM553" s="404">
        <f>'Portefeuille SP2'!L578</f>
        <v>0</v>
      </c>
    </row>
    <row r="554" spans="1:65" ht="15" customHeight="1">
      <c r="A554" s="383">
        <f>'Portefeuille SP2'!B579</f>
        <v>0</v>
      </c>
      <c r="B554" s="390">
        <f>'Portefeuille SP2'!Q579</f>
        <v>0</v>
      </c>
      <c r="C554" s="384"/>
      <c r="D554" s="382">
        <f>'Portefeuille SP2'!E579</f>
        <v>0</v>
      </c>
      <c r="E554" s="382" t="str">
        <f t="shared" si="37"/>
        <v>0</v>
      </c>
      <c r="F554" s="382" t="str">
        <f t="shared" si="38"/>
        <v/>
      </c>
      <c r="G554" s="382">
        <f>'Portefeuille SP2'!C579</f>
        <v>0</v>
      </c>
      <c r="H554" s="382">
        <f>'Portefeuille SP2'!F579</f>
        <v>0</v>
      </c>
      <c r="I554" s="382"/>
      <c r="J554" s="382">
        <f>'Portefeuille SP2'!D579</f>
        <v>0</v>
      </c>
      <c r="K554" s="385">
        <f>'Portefeuille SP2'!H579</f>
        <v>0</v>
      </c>
      <c r="L554" s="157">
        <f>'Portefeuille SP2'!U579</f>
        <v>0</v>
      </c>
      <c r="M554" s="386"/>
      <c r="N554" s="386"/>
      <c r="O554" s="386"/>
      <c r="P554" s="387">
        <f>'Portefeuille SP2'!M579</f>
        <v>0</v>
      </c>
      <c r="Q554" s="387"/>
      <c r="R554" s="387">
        <f>'Portefeuille SP2'!N579</f>
        <v>0</v>
      </c>
      <c r="S554" s="387"/>
      <c r="T554" s="382">
        <f>'Portefeuille SP2'!R579</f>
        <v>0</v>
      </c>
      <c r="U554" s="387">
        <f>'Portefeuille SP2'!K579</f>
        <v>0</v>
      </c>
      <c r="V554" s="399">
        <f>'Portefeuille SP2'!S579</f>
        <v>0</v>
      </c>
      <c r="W554" s="387"/>
      <c r="X554" s="387"/>
      <c r="Y554" s="387"/>
      <c r="Z554" s="387"/>
      <c r="AA554" s="387"/>
      <c r="AB554" s="387"/>
      <c r="AC554" s="387"/>
      <c r="AD554" s="387"/>
      <c r="AE554" s="400">
        <f>'Portefeuille SP2'!J579</f>
        <v>0</v>
      </c>
      <c r="AF554" s="387"/>
      <c r="AG554" s="387"/>
      <c r="AH554" s="389"/>
      <c r="AI554" s="389"/>
      <c r="AJ554" s="403">
        <f>'Portefeuille SP2'!V579</f>
        <v>0</v>
      </c>
      <c r="AK554" s="403">
        <f>'Portefeuille SP2'!W579</f>
        <v>0</v>
      </c>
      <c r="AL554" s="403">
        <f>'Portefeuille SP2'!X579</f>
        <v>0</v>
      </c>
      <c r="AM554" s="403">
        <f>'Portefeuille SP2'!Y579</f>
        <v>0</v>
      </c>
      <c r="AN554" s="403">
        <f>'Portefeuille SP2'!Z579</f>
        <v>0</v>
      </c>
      <c r="AO554" s="403">
        <f>'Portefeuille SP2'!AA579</f>
        <v>0</v>
      </c>
      <c r="AP554" s="403">
        <f>'Portefeuille SP2'!AB579</f>
        <v>0</v>
      </c>
      <c r="AQ554" s="403">
        <f>'Portefeuille SP2'!AC579</f>
        <v>0</v>
      </c>
      <c r="AR554" s="403">
        <f>'Portefeuille SP2'!AD579</f>
        <v>0</v>
      </c>
      <c r="AS554" s="403">
        <f>'Portefeuille SP2'!AE579</f>
        <v>0</v>
      </c>
      <c r="AT554" s="403">
        <f>'Portefeuille SP2'!AF579</f>
        <v>0</v>
      </c>
      <c r="AU554" s="403">
        <f>'Portefeuille SP2'!AG579</f>
        <v>0</v>
      </c>
      <c r="AV554" s="403">
        <f>'Portefeuille SP2'!AH579</f>
        <v>0</v>
      </c>
      <c r="AW554" s="403">
        <f>'Portefeuille SP2'!AI579</f>
        <v>0</v>
      </c>
      <c r="AX554" s="403">
        <f>'Portefeuille SP2'!AJ579</f>
        <v>0</v>
      </c>
      <c r="AY554" s="403">
        <f>'Portefeuille SP2'!AK579</f>
        <v>0</v>
      </c>
      <c r="AZ554" s="403">
        <f>'Portefeuille SP2'!AL579</f>
        <v>0</v>
      </c>
      <c r="BA554" s="403">
        <f>'Portefeuille SP2'!AM579</f>
        <v>0</v>
      </c>
      <c r="BB554" s="403">
        <f>'Portefeuille SP2'!AN579</f>
        <v>0</v>
      </c>
      <c r="BC554" s="403">
        <f>'Portefeuille SP2'!AO579</f>
        <v>0</v>
      </c>
      <c r="BD554" s="403">
        <f>'Portefeuille SP2'!AP579</f>
        <v>0</v>
      </c>
      <c r="BE554" s="403">
        <f>'Portefeuille SP2'!AQ579</f>
        <v>0</v>
      </c>
      <c r="BF554" s="403">
        <f>'Portefeuille SP2'!AR579</f>
        <v>0</v>
      </c>
      <c r="BG554" s="403" t="e">
        <f>'Portefeuille SP2'!#REF!</f>
        <v>#REF!</v>
      </c>
      <c r="BH554" s="403" t="e">
        <f>'Portefeuille SP2'!#REF!</f>
        <v>#REF!</v>
      </c>
      <c r="BI554" s="403" t="e">
        <f>'Portefeuille SP2'!#REF!</f>
        <v>#REF!</v>
      </c>
      <c r="BJ554" s="403" t="e">
        <f>'Portefeuille SP2'!#REF!</f>
        <v>#REF!</v>
      </c>
      <c r="BK554" s="403" t="e">
        <f>'Portefeuille SP2'!#REF!</f>
        <v>#REF!</v>
      </c>
      <c r="BL554" s="388"/>
      <c r="BM554" s="404">
        <f>'Portefeuille SP2'!L579</f>
        <v>0</v>
      </c>
    </row>
    <row r="555" spans="1:65" ht="15" customHeight="1">
      <c r="A555" s="383">
        <f>'Portefeuille SP2'!B580</f>
        <v>0</v>
      </c>
      <c r="B555" s="390">
        <f>'Portefeuille SP2'!Q580</f>
        <v>0</v>
      </c>
      <c r="C555" s="384"/>
      <c r="D555" s="382">
        <f>'Portefeuille SP2'!E580</f>
        <v>0</v>
      </c>
      <c r="E555" s="382" t="str">
        <f t="shared" si="37"/>
        <v>0</v>
      </c>
      <c r="F555" s="382" t="str">
        <f t="shared" si="38"/>
        <v/>
      </c>
      <c r="G555" s="382">
        <f>'Portefeuille SP2'!C580</f>
        <v>0</v>
      </c>
      <c r="H555" s="382">
        <f>'Portefeuille SP2'!F580</f>
        <v>0</v>
      </c>
      <c r="I555" s="382"/>
      <c r="J555" s="382">
        <f>'Portefeuille SP2'!D580</f>
        <v>0</v>
      </c>
      <c r="K555" s="385">
        <f>'Portefeuille SP2'!H580</f>
        <v>0</v>
      </c>
      <c r="L555" s="157">
        <f>'Portefeuille SP2'!U580</f>
        <v>0</v>
      </c>
      <c r="M555" s="386"/>
      <c r="N555" s="386"/>
      <c r="O555" s="386"/>
      <c r="P555" s="387">
        <f>'Portefeuille SP2'!M580</f>
        <v>0</v>
      </c>
      <c r="Q555" s="387"/>
      <c r="R555" s="387">
        <f>'Portefeuille SP2'!N580</f>
        <v>0</v>
      </c>
      <c r="S555" s="387"/>
      <c r="T555" s="382">
        <f>'Portefeuille SP2'!R580</f>
        <v>0</v>
      </c>
      <c r="U555" s="387">
        <f>'Portefeuille SP2'!K580</f>
        <v>0</v>
      </c>
      <c r="V555" s="399">
        <f>'Portefeuille SP2'!S580</f>
        <v>0</v>
      </c>
      <c r="W555" s="387"/>
      <c r="X555" s="387"/>
      <c r="Y555" s="387"/>
      <c r="Z555" s="387"/>
      <c r="AA555" s="387"/>
      <c r="AB555" s="387"/>
      <c r="AC555" s="387"/>
      <c r="AD555" s="387"/>
      <c r="AE555" s="400">
        <f>'Portefeuille SP2'!J580</f>
        <v>0</v>
      </c>
      <c r="AF555" s="387"/>
      <c r="AG555" s="387"/>
      <c r="AH555" s="389"/>
      <c r="AI555" s="389"/>
      <c r="AJ555" s="403">
        <f>'Portefeuille SP2'!V580</f>
        <v>0</v>
      </c>
      <c r="AK555" s="403">
        <f>'Portefeuille SP2'!W580</f>
        <v>0</v>
      </c>
      <c r="AL555" s="403">
        <f>'Portefeuille SP2'!X580</f>
        <v>0</v>
      </c>
      <c r="AM555" s="403">
        <f>'Portefeuille SP2'!Y580</f>
        <v>0</v>
      </c>
      <c r="AN555" s="403">
        <f>'Portefeuille SP2'!Z580</f>
        <v>0</v>
      </c>
      <c r="AO555" s="403">
        <f>'Portefeuille SP2'!AA580</f>
        <v>0</v>
      </c>
      <c r="AP555" s="403">
        <f>'Portefeuille SP2'!AB580</f>
        <v>0</v>
      </c>
      <c r="AQ555" s="403">
        <f>'Portefeuille SP2'!AC580</f>
        <v>0</v>
      </c>
      <c r="AR555" s="403">
        <f>'Portefeuille SP2'!AD580</f>
        <v>0</v>
      </c>
      <c r="AS555" s="403">
        <f>'Portefeuille SP2'!AE580</f>
        <v>0</v>
      </c>
      <c r="AT555" s="403">
        <f>'Portefeuille SP2'!AF580</f>
        <v>0</v>
      </c>
      <c r="AU555" s="403">
        <f>'Portefeuille SP2'!AG580</f>
        <v>0</v>
      </c>
      <c r="AV555" s="403">
        <f>'Portefeuille SP2'!AH580</f>
        <v>0</v>
      </c>
      <c r="AW555" s="403">
        <f>'Portefeuille SP2'!AI580</f>
        <v>0</v>
      </c>
      <c r="AX555" s="403">
        <f>'Portefeuille SP2'!AJ580</f>
        <v>0</v>
      </c>
      <c r="AY555" s="403">
        <f>'Portefeuille SP2'!AK580</f>
        <v>0</v>
      </c>
      <c r="AZ555" s="403">
        <f>'Portefeuille SP2'!AL580</f>
        <v>0</v>
      </c>
      <c r="BA555" s="403">
        <f>'Portefeuille SP2'!AM580</f>
        <v>0</v>
      </c>
      <c r="BB555" s="403">
        <f>'Portefeuille SP2'!AN580</f>
        <v>0</v>
      </c>
      <c r="BC555" s="403">
        <f>'Portefeuille SP2'!AO580</f>
        <v>0</v>
      </c>
      <c r="BD555" s="403">
        <f>'Portefeuille SP2'!AP580</f>
        <v>0</v>
      </c>
      <c r="BE555" s="403">
        <f>'Portefeuille SP2'!AQ580</f>
        <v>0</v>
      </c>
      <c r="BF555" s="403">
        <f>'Portefeuille SP2'!AR580</f>
        <v>0</v>
      </c>
      <c r="BG555" s="403" t="e">
        <f>'Portefeuille SP2'!#REF!</f>
        <v>#REF!</v>
      </c>
      <c r="BH555" s="403" t="e">
        <f>'Portefeuille SP2'!#REF!</f>
        <v>#REF!</v>
      </c>
      <c r="BI555" s="403" t="e">
        <f>'Portefeuille SP2'!#REF!</f>
        <v>#REF!</v>
      </c>
      <c r="BJ555" s="403" t="e">
        <f>'Portefeuille SP2'!#REF!</f>
        <v>#REF!</v>
      </c>
      <c r="BK555" s="403" t="e">
        <f>'Portefeuille SP2'!#REF!</f>
        <v>#REF!</v>
      </c>
      <c r="BL555" s="388"/>
      <c r="BM555" s="404">
        <f>'Portefeuille SP2'!L580</f>
        <v>0</v>
      </c>
    </row>
    <row r="556" spans="1:65" ht="15" customHeight="1">
      <c r="A556" s="383">
        <f>'Portefeuille SP2'!B581</f>
        <v>0</v>
      </c>
      <c r="B556" s="390">
        <f>'Portefeuille SP2'!Q581</f>
        <v>0</v>
      </c>
      <c r="C556" s="384"/>
      <c r="D556" s="382">
        <f>'Portefeuille SP2'!E581</f>
        <v>0</v>
      </c>
      <c r="E556" s="382" t="str">
        <f t="shared" si="37"/>
        <v>0</v>
      </c>
      <c r="F556" s="382" t="str">
        <f t="shared" si="38"/>
        <v/>
      </c>
      <c r="G556" s="382">
        <f>'Portefeuille SP2'!C581</f>
        <v>0</v>
      </c>
      <c r="H556" s="382">
        <f>'Portefeuille SP2'!F581</f>
        <v>0</v>
      </c>
      <c r="I556" s="382"/>
      <c r="J556" s="382">
        <f>'Portefeuille SP2'!D581</f>
        <v>0</v>
      </c>
      <c r="K556" s="385">
        <f>'Portefeuille SP2'!H581</f>
        <v>0</v>
      </c>
      <c r="L556" s="157">
        <f>'Portefeuille SP2'!U581</f>
        <v>0</v>
      </c>
      <c r="M556" s="386"/>
      <c r="N556" s="386"/>
      <c r="O556" s="386"/>
      <c r="P556" s="387">
        <f>'Portefeuille SP2'!M581</f>
        <v>0</v>
      </c>
      <c r="Q556" s="387"/>
      <c r="R556" s="387">
        <f>'Portefeuille SP2'!N581</f>
        <v>0</v>
      </c>
      <c r="S556" s="387"/>
      <c r="T556" s="382">
        <f>'Portefeuille SP2'!R581</f>
        <v>0</v>
      </c>
      <c r="U556" s="387">
        <f>'Portefeuille SP2'!K581</f>
        <v>0</v>
      </c>
      <c r="V556" s="399">
        <f>'Portefeuille SP2'!S581</f>
        <v>0</v>
      </c>
      <c r="W556" s="387"/>
      <c r="X556" s="387"/>
      <c r="Y556" s="387"/>
      <c r="Z556" s="387"/>
      <c r="AA556" s="387"/>
      <c r="AB556" s="387"/>
      <c r="AC556" s="387"/>
      <c r="AD556" s="387"/>
      <c r="AE556" s="400">
        <f>'Portefeuille SP2'!J581</f>
        <v>0</v>
      </c>
      <c r="AF556" s="387"/>
      <c r="AG556" s="387"/>
      <c r="AH556" s="389"/>
      <c r="AI556" s="389"/>
      <c r="AJ556" s="403">
        <f>'Portefeuille SP2'!V581</f>
        <v>0</v>
      </c>
      <c r="AK556" s="403">
        <f>'Portefeuille SP2'!W581</f>
        <v>0</v>
      </c>
      <c r="AL556" s="403">
        <f>'Portefeuille SP2'!X581</f>
        <v>0</v>
      </c>
      <c r="AM556" s="403">
        <f>'Portefeuille SP2'!Y581</f>
        <v>0</v>
      </c>
      <c r="AN556" s="403">
        <f>'Portefeuille SP2'!Z581</f>
        <v>0</v>
      </c>
      <c r="AO556" s="403">
        <f>'Portefeuille SP2'!AA581</f>
        <v>0</v>
      </c>
      <c r="AP556" s="403">
        <f>'Portefeuille SP2'!AB581</f>
        <v>0</v>
      </c>
      <c r="AQ556" s="403">
        <f>'Portefeuille SP2'!AC581</f>
        <v>0</v>
      </c>
      <c r="AR556" s="403">
        <f>'Portefeuille SP2'!AD581</f>
        <v>0</v>
      </c>
      <c r="AS556" s="403">
        <f>'Portefeuille SP2'!AE581</f>
        <v>0</v>
      </c>
      <c r="AT556" s="403">
        <f>'Portefeuille SP2'!AF581</f>
        <v>0</v>
      </c>
      <c r="AU556" s="403">
        <f>'Portefeuille SP2'!AG581</f>
        <v>0</v>
      </c>
      <c r="AV556" s="403">
        <f>'Portefeuille SP2'!AH581</f>
        <v>0</v>
      </c>
      <c r="AW556" s="403">
        <f>'Portefeuille SP2'!AI581</f>
        <v>0</v>
      </c>
      <c r="AX556" s="403">
        <f>'Portefeuille SP2'!AJ581</f>
        <v>0</v>
      </c>
      <c r="AY556" s="403">
        <f>'Portefeuille SP2'!AK581</f>
        <v>0</v>
      </c>
      <c r="AZ556" s="403">
        <f>'Portefeuille SP2'!AL581</f>
        <v>0</v>
      </c>
      <c r="BA556" s="403">
        <f>'Portefeuille SP2'!AM581</f>
        <v>0</v>
      </c>
      <c r="BB556" s="403">
        <f>'Portefeuille SP2'!AN581</f>
        <v>0</v>
      </c>
      <c r="BC556" s="403">
        <f>'Portefeuille SP2'!AO581</f>
        <v>0</v>
      </c>
      <c r="BD556" s="403">
        <f>'Portefeuille SP2'!AP581</f>
        <v>0</v>
      </c>
      <c r="BE556" s="403">
        <f>'Portefeuille SP2'!AQ581</f>
        <v>0</v>
      </c>
      <c r="BF556" s="403">
        <f>'Portefeuille SP2'!AR581</f>
        <v>0</v>
      </c>
      <c r="BG556" s="403" t="e">
        <f>'Portefeuille SP2'!#REF!</f>
        <v>#REF!</v>
      </c>
      <c r="BH556" s="403" t="e">
        <f>'Portefeuille SP2'!#REF!</f>
        <v>#REF!</v>
      </c>
      <c r="BI556" s="403" t="e">
        <f>'Portefeuille SP2'!#REF!</f>
        <v>#REF!</v>
      </c>
      <c r="BJ556" s="403" t="e">
        <f>'Portefeuille SP2'!#REF!</f>
        <v>#REF!</v>
      </c>
      <c r="BK556" s="403" t="e">
        <f>'Portefeuille SP2'!#REF!</f>
        <v>#REF!</v>
      </c>
      <c r="BL556" s="388"/>
      <c r="BM556" s="404">
        <f>'Portefeuille SP2'!L581</f>
        <v>0</v>
      </c>
    </row>
    <row r="557" spans="1:65" ht="15" customHeight="1">
      <c r="A557" s="383">
        <f>'Portefeuille SP2'!B582</f>
        <v>0</v>
      </c>
      <c r="B557" s="390">
        <f>'Portefeuille SP2'!Q582</f>
        <v>0</v>
      </c>
      <c r="C557" s="384"/>
      <c r="D557" s="382">
        <f>'Portefeuille SP2'!E582</f>
        <v>0</v>
      </c>
      <c r="E557" s="382" t="str">
        <f t="shared" si="37"/>
        <v>0</v>
      </c>
      <c r="F557" s="382" t="str">
        <f t="shared" si="38"/>
        <v/>
      </c>
      <c r="G557" s="382">
        <f>'Portefeuille SP2'!C582</f>
        <v>0</v>
      </c>
      <c r="H557" s="382">
        <f>'Portefeuille SP2'!F582</f>
        <v>0</v>
      </c>
      <c r="I557" s="382"/>
      <c r="J557" s="382">
        <f>'Portefeuille SP2'!D582</f>
        <v>0</v>
      </c>
      <c r="K557" s="385">
        <f>'Portefeuille SP2'!H582</f>
        <v>0</v>
      </c>
      <c r="L557" s="157">
        <f>'Portefeuille SP2'!U582</f>
        <v>0</v>
      </c>
      <c r="M557" s="386"/>
      <c r="N557" s="386"/>
      <c r="O557" s="386"/>
      <c r="P557" s="387">
        <f>'Portefeuille SP2'!M582</f>
        <v>0</v>
      </c>
      <c r="Q557" s="387"/>
      <c r="R557" s="387">
        <f>'Portefeuille SP2'!N582</f>
        <v>0</v>
      </c>
      <c r="S557" s="387"/>
      <c r="T557" s="382">
        <f>'Portefeuille SP2'!R582</f>
        <v>0</v>
      </c>
      <c r="U557" s="387">
        <f>'Portefeuille SP2'!K582</f>
        <v>0</v>
      </c>
      <c r="V557" s="399">
        <f>'Portefeuille SP2'!S582</f>
        <v>0</v>
      </c>
      <c r="W557" s="387"/>
      <c r="X557" s="387"/>
      <c r="Y557" s="387"/>
      <c r="Z557" s="387"/>
      <c r="AA557" s="387"/>
      <c r="AB557" s="387"/>
      <c r="AC557" s="387"/>
      <c r="AD557" s="387"/>
      <c r="AE557" s="400">
        <f>'Portefeuille SP2'!J582</f>
        <v>0</v>
      </c>
      <c r="AF557" s="387"/>
      <c r="AG557" s="387"/>
      <c r="AH557" s="389"/>
      <c r="AI557" s="389"/>
      <c r="AJ557" s="403">
        <f>'Portefeuille SP2'!V582</f>
        <v>0</v>
      </c>
      <c r="AK557" s="403">
        <f>'Portefeuille SP2'!W582</f>
        <v>0</v>
      </c>
      <c r="AL557" s="403">
        <f>'Portefeuille SP2'!X582</f>
        <v>0</v>
      </c>
      <c r="AM557" s="403">
        <f>'Portefeuille SP2'!Y582</f>
        <v>0</v>
      </c>
      <c r="AN557" s="403">
        <f>'Portefeuille SP2'!Z582</f>
        <v>0</v>
      </c>
      <c r="AO557" s="403">
        <f>'Portefeuille SP2'!AA582</f>
        <v>0</v>
      </c>
      <c r="AP557" s="403">
        <f>'Portefeuille SP2'!AB582</f>
        <v>0</v>
      </c>
      <c r="AQ557" s="403">
        <f>'Portefeuille SP2'!AC582</f>
        <v>0</v>
      </c>
      <c r="AR557" s="403">
        <f>'Portefeuille SP2'!AD582</f>
        <v>0</v>
      </c>
      <c r="AS557" s="403">
        <f>'Portefeuille SP2'!AE582</f>
        <v>0</v>
      </c>
      <c r="AT557" s="403">
        <f>'Portefeuille SP2'!AF582</f>
        <v>0</v>
      </c>
      <c r="AU557" s="403">
        <f>'Portefeuille SP2'!AG582</f>
        <v>0</v>
      </c>
      <c r="AV557" s="403">
        <f>'Portefeuille SP2'!AH582</f>
        <v>0</v>
      </c>
      <c r="AW557" s="403">
        <f>'Portefeuille SP2'!AI582</f>
        <v>0</v>
      </c>
      <c r="AX557" s="403">
        <f>'Portefeuille SP2'!AJ582</f>
        <v>0</v>
      </c>
      <c r="AY557" s="403">
        <f>'Portefeuille SP2'!AK582</f>
        <v>0</v>
      </c>
      <c r="AZ557" s="403">
        <f>'Portefeuille SP2'!AL582</f>
        <v>0</v>
      </c>
      <c r="BA557" s="403">
        <f>'Portefeuille SP2'!AM582</f>
        <v>0</v>
      </c>
      <c r="BB557" s="403">
        <f>'Portefeuille SP2'!AN582</f>
        <v>0</v>
      </c>
      <c r="BC557" s="403">
        <f>'Portefeuille SP2'!AO582</f>
        <v>0</v>
      </c>
      <c r="BD557" s="403">
        <f>'Portefeuille SP2'!AP582</f>
        <v>0</v>
      </c>
      <c r="BE557" s="403">
        <f>'Portefeuille SP2'!AQ582</f>
        <v>0</v>
      </c>
      <c r="BF557" s="403">
        <f>'Portefeuille SP2'!AR582</f>
        <v>0</v>
      </c>
      <c r="BG557" s="403" t="e">
        <f>'Portefeuille SP2'!#REF!</f>
        <v>#REF!</v>
      </c>
      <c r="BH557" s="403" t="e">
        <f>'Portefeuille SP2'!#REF!</f>
        <v>#REF!</v>
      </c>
      <c r="BI557" s="403" t="e">
        <f>'Portefeuille SP2'!#REF!</f>
        <v>#REF!</v>
      </c>
      <c r="BJ557" s="403" t="e">
        <f>'Portefeuille SP2'!#REF!</f>
        <v>#REF!</v>
      </c>
      <c r="BK557" s="403" t="e">
        <f>'Portefeuille SP2'!#REF!</f>
        <v>#REF!</v>
      </c>
      <c r="BL557" s="388"/>
      <c r="BM557" s="404">
        <f>'Portefeuille SP2'!L582</f>
        <v>0</v>
      </c>
    </row>
    <row r="558" spans="1:65" ht="15" customHeight="1">
      <c r="A558" s="383">
        <f>'Portefeuille SP2'!B583</f>
        <v>0</v>
      </c>
      <c r="B558" s="390">
        <f>'Portefeuille SP2'!Q583</f>
        <v>0</v>
      </c>
      <c r="C558" s="384"/>
      <c r="D558" s="382">
        <f>'Portefeuille SP2'!E583</f>
        <v>0</v>
      </c>
      <c r="E558" s="382" t="str">
        <f t="shared" si="37"/>
        <v>0</v>
      </c>
      <c r="F558" s="382" t="str">
        <f t="shared" si="38"/>
        <v/>
      </c>
      <c r="G558" s="382">
        <f>'Portefeuille SP2'!C583</f>
        <v>0</v>
      </c>
      <c r="H558" s="382">
        <f>'Portefeuille SP2'!F583</f>
        <v>0</v>
      </c>
      <c r="I558" s="382"/>
      <c r="J558" s="382">
        <f>'Portefeuille SP2'!D583</f>
        <v>0</v>
      </c>
      <c r="K558" s="385">
        <f>'Portefeuille SP2'!H583</f>
        <v>0</v>
      </c>
      <c r="L558" s="157">
        <f>'Portefeuille SP2'!U583</f>
        <v>0</v>
      </c>
      <c r="M558" s="386"/>
      <c r="N558" s="386"/>
      <c r="O558" s="386"/>
      <c r="P558" s="387">
        <f>'Portefeuille SP2'!M583</f>
        <v>0</v>
      </c>
      <c r="Q558" s="387"/>
      <c r="R558" s="387">
        <f>'Portefeuille SP2'!N583</f>
        <v>0</v>
      </c>
      <c r="S558" s="387"/>
      <c r="T558" s="382">
        <f>'Portefeuille SP2'!R583</f>
        <v>0</v>
      </c>
      <c r="U558" s="387">
        <f>'Portefeuille SP2'!K583</f>
        <v>0</v>
      </c>
      <c r="V558" s="399">
        <f>'Portefeuille SP2'!S583</f>
        <v>0</v>
      </c>
      <c r="W558" s="387"/>
      <c r="X558" s="387"/>
      <c r="Y558" s="387"/>
      <c r="Z558" s="387"/>
      <c r="AA558" s="387"/>
      <c r="AB558" s="387"/>
      <c r="AC558" s="387"/>
      <c r="AD558" s="387"/>
      <c r="AE558" s="400">
        <f>'Portefeuille SP2'!J583</f>
        <v>0</v>
      </c>
      <c r="AF558" s="387"/>
      <c r="AG558" s="387"/>
      <c r="AH558" s="389"/>
      <c r="AI558" s="389"/>
      <c r="AJ558" s="403">
        <f>'Portefeuille SP2'!V583</f>
        <v>0</v>
      </c>
      <c r="AK558" s="403">
        <f>'Portefeuille SP2'!W583</f>
        <v>0</v>
      </c>
      <c r="AL558" s="403">
        <f>'Portefeuille SP2'!X583</f>
        <v>0</v>
      </c>
      <c r="AM558" s="403">
        <f>'Portefeuille SP2'!Y583</f>
        <v>0</v>
      </c>
      <c r="AN558" s="403">
        <f>'Portefeuille SP2'!Z583</f>
        <v>0</v>
      </c>
      <c r="AO558" s="403">
        <f>'Portefeuille SP2'!AA583</f>
        <v>0</v>
      </c>
      <c r="AP558" s="403">
        <f>'Portefeuille SP2'!AB583</f>
        <v>0</v>
      </c>
      <c r="AQ558" s="403">
        <f>'Portefeuille SP2'!AC583</f>
        <v>0</v>
      </c>
      <c r="AR558" s="403">
        <f>'Portefeuille SP2'!AD583</f>
        <v>0</v>
      </c>
      <c r="AS558" s="403">
        <f>'Portefeuille SP2'!AE583</f>
        <v>0</v>
      </c>
      <c r="AT558" s="403">
        <f>'Portefeuille SP2'!AF583</f>
        <v>0</v>
      </c>
      <c r="AU558" s="403">
        <f>'Portefeuille SP2'!AG583</f>
        <v>0</v>
      </c>
      <c r="AV558" s="403">
        <f>'Portefeuille SP2'!AH583</f>
        <v>0</v>
      </c>
      <c r="AW558" s="403">
        <f>'Portefeuille SP2'!AI583</f>
        <v>0</v>
      </c>
      <c r="AX558" s="403">
        <f>'Portefeuille SP2'!AJ583</f>
        <v>0</v>
      </c>
      <c r="AY558" s="403">
        <f>'Portefeuille SP2'!AK583</f>
        <v>0</v>
      </c>
      <c r="AZ558" s="403">
        <f>'Portefeuille SP2'!AL583</f>
        <v>0</v>
      </c>
      <c r="BA558" s="403">
        <f>'Portefeuille SP2'!AM583</f>
        <v>0</v>
      </c>
      <c r="BB558" s="403">
        <f>'Portefeuille SP2'!AN583</f>
        <v>0</v>
      </c>
      <c r="BC558" s="403">
        <f>'Portefeuille SP2'!AO583</f>
        <v>0</v>
      </c>
      <c r="BD558" s="403">
        <f>'Portefeuille SP2'!AP583</f>
        <v>0</v>
      </c>
      <c r="BE558" s="403">
        <f>'Portefeuille SP2'!AQ583</f>
        <v>0</v>
      </c>
      <c r="BF558" s="403">
        <f>'Portefeuille SP2'!AR583</f>
        <v>0</v>
      </c>
      <c r="BG558" s="403" t="e">
        <f>'Portefeuille SP2'!#REF!</f>
        <v>#REF!</v>
      </c>
      <c r="BH558" s="403" t="e">
        <f>'Portefeuille SP2'!#REF!</f>
        <v>#REF!</v>
      </c>
      <c r="BI558" s="403" t="e">
        <f>'Portefeuille SP2'!#REF!</f>
        <v>#REF!</v>
      </c>
      <c r="BJ558" s="403" t="e">
        <f>'Portefeuille SP2'!#REF!</f>
        <v>#REF!</v>
      </c>
      <c r="BK558" s="403" t="e">
        <f>'Portefeuille SP2'!#REF!</f>
        <v>#REF!</v>
      </c>
      <c r="BL558" s="388"/>
      <c r="BM558" s="404">
        <f>'Portefeuille SP2'!L583</f>
        <v>0</v>
      </c>
    </row>
    <row r="559" spans="1:65" ht="15" customHeight="1">
      <c r="A559" s="383">
        <f>'Portefeuille SP2'!B584</f>
        <v>0</v>
      </c>
      <c r="B559" s="390">
        <f>'Portefeuille SP2'!Q584</f>
        <v>0</v>
      </c>
      <c r="C559" s="384"/>
      <c r="D559" s="382">
        <f>'Portefeuille SP2'!E584</f>
        <v>0</v>
      </c>
      <c r="E559" s="382" t="str">
        <f t="shared" si="37"/>
        <v>0</v>
      </c>
      <c r="F559" s="382" t="str">
        <f t="shared" si="38"/>
        <v/>
      </c>
      <c r="G559" s="382">
        <f>'Portefeuille SP2'!C584</f>
        <v>0</v>
      </c>
      <c r="H559" s="382">
        <f>'Portefeuille SP2'!F584</f>
        <v>0</v>
      </c>
      <c r="I559" s="382"/>
      <c r="J559" s="382">
        <f>'Portefeuille SP2'!D584</f>
        <v>0</v>
      </c>
      <c r="K559" s="385">
        <f>'Portefeuille SP2'!H584</f>
        <v>0</v>
      </c>
      <c r="L559" s="157">
        <f>'Portefeuille SP2'!U584</f>
        <v>0</v>
      </c>
      <c r="M559" s="386"/>
      <c r="N559" s="386"/>
      <c r="O559" s="386"/>
      <c r="P559" s="387">
        <f>'Portefeuille SP2'!M584</f>
        <v>0</v>
      </c>
      <c r="Q559" s="387"/>
      <c r="R559" s="387">
        <f>'Portefeuille SP2'!N584</f>
        <v>0</v>
      </c>
      <c r="S559" s="387"/>
      <c r="T559" s="382">
        <f>'Portefeuille SP2'!R584</f>
        <v>0</v>
      </c>
      <c r="U559" s="387">
        <f>'Portefeuille SP2'!K584</f>
        <v>0</v>
      </c>
      <c r="V559" s="399">
        <f>'Portefeuille SP2'!S584</f>
        <v>0</v>
      </c>
      <c r="W559" s="387"/>
      <c r="X559" s="387"/>
      <c r="Y559" s="387"/>
      <c r="Z559" s="387"/>
      <c r="AA559" s="387"/>
      <c r="AB559" s="387"/>
      <c r="AC559" s="387"/>
      <c r="AD559" s="387"/>
      <c r="AE559" s="400">
        <f>'Portefeuille SP2'!J584</f>
        <v>0</v>
      </c>
      <c r="AF559" s="387"/>
      <c r="AG559" s="387"/>
      <c r="AH559" s="389"/>
      <c r="AI559" s="389"/>
      <c r="AJ559" s="403">
        <f>'Portefeuille SP2'!V584</f>
        <v>0</v>
      </c>
      <c r="AK559" s="403">
        <f>'Portefeuille SP2'!W584</f>
        <v>0</v>
      </c>
      <c r="AL559" s="403">
        <f>'Portefeuille SP2'!X584</f>
        <v>0</v>
      </c>
      <c r="AM559" s="403">
        <f>'Portefeuille SP2'!Y584</f>
        <v>0</v>
      </c>
      <c r="AN559" s="403">
        <f>'Portefeuille SP2'!Z584</f>
        <v>0</v>
      </c>
      <c r="AO559" s="403">
        <f>'Portefeuille SP2'!AA584</f>
        <v>0</v>
      </c>
      <c r="AP559" s="403">
        <f>'Portefeuille SP2'!AB584</f>
        <v>0</v>
      </c>
      <c r="AQ559" s="403">
        <f>'Portefeuille SP2'!AC584</f>
        <v>0</v>
      </c>
      <c r="AR559" s="403">
        <f>'Portefeuille SP2'!AD584</f>
        <v>0</v>
      </c>
      <c r="AS559" s="403">
        <f>'Portefeuille SP2'!AE584</f>
        <v>0</v>
      </c>
      <c r="AT559" s="403">
        <f>'Portefeuille SP2'!AF584</f>
        <v>0</v>
      </c>
      <c r="AU559" s="403">
        <f>'Portefeuille SP2'!AG584</f>
        <v>0</v>
      </c>
      <c r="AV559" s="403">
        <f>'Portefeuille SP2'!AH584</f>
        <v>0</v>
      </c>
      <c r="AW559" s="403">
        <f>'Portefeuille SP2'!AI584</f>
        <v>0</v>
      </c>
      <c r="AX559" s="403">
        <f>'Portefeuille SP2'!AJ584</f>
        <v>0</v>
      </c>
      <c r="AY559" s="403">
        <f>'Portefeuille SP2'!AK584</f>
        <v>0</v>
      </c>
      <c r="AZ559" s="403">
        <f>'Portefeuille SP2'!AL584</f>
        <v>0</v>
      </c>
      <c r="BA559" s="403">
        <f>'Portefeuille SP2'!AM584</f>
        <v>0</v>
      </c>
      <c r="BB559" s="403">
        <f>'Portefeuille SP2'!AN584</f>
        <v>0</v>
      </c>
      <c r="BC559" s="403">
        <f>'Portefeuille SP2'!AO584</f>
        <v>0</v>
      </c>
      <c r="BD559" s="403">
        <f>'Portefeuille SP2'!AP584</f>
        <v>0</v>
      </c>
      <c r="BE559" s="403">
        <f>'Portefeuille SP2'!AQ584</f>
        <v>0</v>
      </c>
      <c r="BF559" s="403">
        <f>'Portefeuille SP2'!AR584</f>
        <v>0</v>
      </c>
      <c r="BG559" s="403" t="e">
        <f>'Portefeuille SP2'!#REF!</f>
        <v>#REF!</v>
      </c>
      <c r="BH559" s="403" t="e">
        <f>'Portefeuille SP2'!#REF!</f>
        <v>#REF!</v>
      </c>
      <c r="BI559" s="403" t="e">
        <f>'Portefeuille SP2'!#REF!</f>
        <v>#REF!</v>
      </c>
      <c r="BJ559" s="403" t="e">
        <f>'Portefeuille SP2'!#REF!</f>
        <v>#REF!</v>
      </c>
      <c r="BK559" s="403" t="e">
        <f>'Portefeuille SP2'!#REF!</f>
        <v>#REF!</v>
      </c>
      <c r="BL559" s="388"/>
      <c r="BM559" s="404">
        <f>'Portefeuille SP2'!L584</f>
        <v>0</v>
      </c>
    </row>
    <row r="560" spans="1:65" ht="15" customHeight="1">
      <c r="A560" s="383">
        <f>'Portefeuille SP2'!B585</f>
        <v>0</v>
      </c>
      <c r="B560" s="390">
        <f>'Portefeuille SP2'!Q585</f>
        <v>0</v>
      </c>
      <c r="C560" s="384"/>
      <c r="D560" s="382">
        <f>'Portefeuille SP2'!E585</f>
        <v>0</v>
      </c>
      <c r="E560" s="382" t="str">
        <f t="shared" si="37"/>
        <v>0</v>
      </c>
      <c r="F560" s="382" t="str">
        <f t="shared" si="38"/>
        <v/>
      </c>
      <c r="G560" s="382">
        <f>'Portefeuille SP2'!C585</f>
        <v>0</v>
      </c>
      <c r="H560" s="382">
        <f>'Portefeuille SP2'!F585</f>
        <v>0</v>
      </c>
      <c r="I560" s="382"/>
      <c r="J560" s="382">
        <f>'Portefeuille SP2'!D585</f>
        <v>0</v>
      </c>
      <c r="K560" s="385">
        <f>'Portefeuille SP2'!H585</f>
        <v>0</v>
      </c>
      <c r="L560" s="157">
        <f>'Portefeuille SP2'!U585</f>
        <v>0</v>
      </c>
      <c r="M560" s="386"/>
      <c r="N560" s="386"/>
      <c r="O560" s="386"/>
      <c r="P560" s="387">
        <f>'Portefeuille SP2'!M585</f>
        <v>0</v>
      </c>
      <c r="Q560" s="387"/>
      <c r="R560" s="387">
        <f>'Portefeuille SP2'!N585</f>
        <v>0</v>
      </c>
      <c r="S560" s="387"/>
      <c r="T560" s="382">
        <f>'Portefeuille SP2'!R585</f>
        <v>0</v>
      </c>
      <c r="U560" s="387">
        <f>'Portefeuille SP2'!K585</f>
        <v>0</v>
      </c>
      <c r="V560" s="399">
        <f>'Portefeuille SP2'!S585</f>
        <v>0</v>
      </c>
      <c r="W560" s="387"/>
      <c r="X560" s="387"/>
      <c r="Y560" s="387"/>
      <c r="Z560" s="387"/>
      <c r="AA560" s="387"/>
      <c r="AB560" s="387"/>
      <c r="AC560" s="387"/>
      <c r="AD560" s="387"/>
      <c r="AE560" s="400">
        <f>'Portefeuille SP2'!J585</f>
        <v>0</v>
      </c>
      <c r="AF560" s="387"/>
      <c r="AG560" s="387"/>
      <c r="AH560" s="389"/>
      <c r="AI560" s="389"/>
      <c r="AJ560" s="403">
        <f>'Portefeuille SP2'!V585</f>
        <v>0</v>
      </c>
      <c r="AK560" s="403">
        <f>'Portefeuille SP2'!W585</f>
        <v>0</v>
      </c>
      <c r="AL560" s="403">
        <f>'Portefeuille SP2'!X585</f>
        <v>0</v>
      </c>
      <c r="AM560" s="403">
        <f>'Portefeuille SP2'!Y585</f>
        <v>0</v>
      </c>
      <c r="AN560" s="403">
        <f>'Portefeuille SP2'!Z585</f>
        <v>0</v>
      </c>
      <c r="AO560" s="403">
        <f>'Portefeuille SP2'!AA585</f>
        <v>0</v>
      </c>
      <c r="AP560" s="403">
        <f>'Portefeuille SP2'!AB585</f>
        <v>0</v>
      </c>
      <c r="AQ560" s="403">
        <f>'Portefeuille SP2'!AC585</f>
        <v>0</v>
      </c>
      <c r="AR560" s="403">
        <f>'Portefeuille SP2'!AD585</f>
        <v>0</v>
      </c>
      <c r="AS560" s="403">
        <f>'Portefeuille SP2'!AE585</f>
        <v>0</v>
      </c>
      <c r="AT560" s="403">
        <f>'Portefeuille SP2'!AF585</f>
        <v>0</v>
      </c>
      <c r="AU560" s="403">
        <f>'Portefeuille SP2'!AG585</f>
        <v>0</v>
      </c>
      <c r="AV560" s="403">
        <f>'Portefeuille SP2'!AH585</f>
        <v>0</v>
      </c>
      <c r="AW560" s="403">
        <f>'Portefeuille SP2'!AI585</f>
        <v>0</v>
      </c>
      <c r="AX560" s="403">
        <f>'Portefeuille SP2'!AJ585</f>
        <v>0</v>
      </c>
      <c r="AY560" s="403">
        <f>'Portefeuille SP2'!AK585</f>
        <v>0</v>
      </c>
      <c r="AZ560" s="403">
        <f>'Portefeuille SP2'!AL585</f>
        <v>0</v>
      </c>
      <c r="BA560" s="403">
        <f>'Portefeuille SP2'!AM585</f>
        <v>0</v>
      </c>
      <c r="BB560" s="403">
        <f>'Portefeuille SP2'!AN585</f>
        <v>0</v>
      </c>
      <c r="BC560" s="403">
        <f>'Portefeuille SP2'!AO585</f>
        <v>0</v>
      </c>
      <c r="BD560" s="403">
        <f>'Portefeuille SP2'!AP585</f>
        <v>0</v>
      </c>
      <c r="BE560" s="403">
        <f>'Portefeuille SP2'!AQ585</f>
        <v>0</v>
      </c>
      <c r="BF560" s="403">
        <f>'Portefeuille SP2'!AR585</f>
        <v>0</v>
      </c>
      <c r="BG560" s="403" t="e">
        <f>'Portefeuille SP2'!#REF!</f>
        <v>#REF!</v>
      </c>
      <c r="BH560" s="403" t="e">
        <f>'Portefeuille SP2'!#REF!</f>
        <v>#REF!</v>
      </c>
      <c r="BI560" s="403" t="e">
        <f>'Portefeuille SP2'!#REF!</f>
        <v>#REF!</v>
      </c>
      <c r="BJ560" s="403" t="e">
        <f>'Portefeuille SP2'!#REF!</f>
        <v>#REF!</v>
      </c>
      <c r="BK560" s="403" t="e">
        <f>'Portefeuille SP2'!#REF!</f>
        <v>#REF!</v>
      </c>
      <c r="BL560" s="388"/>
      <c r="BM560" s="404">
        <f>'Portefeuille SP2'!L585</f>
        <v>0</v>
      </c>
    </row>
    <row r="561" spans="1:65" ht="15" customHeight="1">
      <c r="A561" s="383">
        <f>'Portefeuille SP2'!B586</f>
        <v>0</v>
      </c>
      <c r="B561" s="390">
        <f>'Portefeuille SP2'!Q586</f>
        <v>0</v>
      </c>
      <c r="C561" s="384"/>
      <c r="D561" s="382">
        <f>'Portefeuille SP2'!E586</f>
        <v>0</v>
      </c>
      <c r="E561" s="382" t="str">
        <f t="shared" si="37"/>
        <v>0</v>
      </c>
      <c r="F561" s="382" t="str">
        <f t="shared" si="38"/>
        <v/>
      </c>
      <c r="G561" s="382">
        <f>'Portefeuille SP2'!C586</f>
        <v>0</v>
      </c>
      <c r="H561" s="382">
        <f>'Portefeuille SP2'!F586</f>
        <v>0</v>
      </c>
      <c r="I561" s="382"/>
      <c r="J561" s="382">
        <f>'Portefeuille SP2'!D586</f>
        <v>0</v>
      </c>
      <c r="K561" s="385">
        <f>'Portefeuille SP2'!H586</f>
        <v>0</v>
      </c>
      <c r="L561" s="157">
        <f>'Portefeuille SP2'!U586</f>
        <v>0</v>
      </c>
      <c r="M561" s="386"/>
      <c r="N561" s="386"/>
      <c r="O561" s="386"/>
      <c r="P561" s="387">
        <f>'Portefeuille SP2'!M586</f>
        <v>0</v>
      </c>
      <c r="Q561" s="387"/>
      <c r="R561" s="387">
        <f>'Portefeuille SP2'!N586</f>
        <v>0</v>
      </c>
      <c r="S561" s="387"/>
      <c r="T561" s="382">
        <f>'Portefeuille SP2'!R586</f>
        <v>0</v>
      </c>
      <c r="U561" s="387">
        <f>'Portefeuille SP2'!K586</f>
        <v>0</v>
      </c>
      <c r="V561" s="399">
        <f>'Portefeuille SP2'!S586</f>
        <v>0</v>
      </c>
      <c r="W561" s="387"/>
      <c r="X561" s="387"/>
      <c r="Y561" s="387"/>
      <c r="Z561" s="387"/>
      <c r="AA561" s="387"/>
      <c r="AB561" s="387"/>
      <c r="AC561" s="387"/>
      <c r="AD561" s="387"/>
      <c r="AE561" s="400">
        <f>'Portefeuille SP2'!J586</f>
        <v>0</v>
      </c>
      <c r="AF561" s="387"/>
      <c r="AG561" s="387"/>
      <c r="AH561" s="389"/>
      <c r="AI561" s="389"/>
      <c r="AJ561" s="403">
        <f>'Portefeuille SP2'!V586</f>
        <v>0</v>
      </c>
      <c r="AK561" s="403">
        <f>'Portefeuille SP2'!W586</f>
        <v>0</v>
      </c>
      <c r="AL561" s="403">
        <f>'Portefeuille SP2'!X586</f>
        <v>0</v>
      </c>
      <c r="AM561" s="403">
        <f>'Portefeuille SP2'!Y586</f>
        <v>0</v>
      </c>
      <c r="AN561" s="403">
        <f>'Portefeuille SP2'!Z586</f>
        <v>0</v>
      </c>
      <c r="AO561" s="403">
        <f>'Portefeuille SP2'!AA586</f>
        <v>0</v>
      </c>
      <c r="AP561" s="403">
        <f>'Portefeuille SP2'!AB586</f>
        <v>0</v>
      </c>
      <c r="AQ561" s="403">
        <f>'Portefeuille SP2'!AC586</f>
        <v>0</v>
      </c>
      <c r="AR561" s="403">
        <f>'Portefeuille SP2'!AD586</f>
        <v>0</v>
      </c>
      <c r="AS561" s="403">
        <f>'Portefeuille SP2'!AE586</f>
        <v>0</v>
      </c>
      <c r="AT561" s="403">
        <f>'Portefeuille SP2'!AF586</f>
        <v>0</v>
      </c>
      <c r="AU561" s="403">
        <f>'Portefeuille SP2'!AG586</f>
        <v>0</v>
      </c>
      <c r="AV561" s="403">
        <f>'Portefeuille SP2'!AH586</f>
        <v>0</v>
      </c>
      <c r="AW561" s="403">
        <f>'Portefeuille SP2'!AI586</f>
        <v>0</v>
      </c>
      <c r="AX561" s="403">
        <f>'Portefeuille SP2'!AJ586</f>
        <v>0</v>
      </c>
      <c r="AY561" s="403">
        <f>'Portefeuille SP2'!AK586</f>
        <v>0</v>
      </c>
      <c r="AZ561" s="403">
        <f>'Portefeuille SP2'!AL586</f>
        <v>0</v>
      </c>
      <c r="BA561" s="403">
        <f>'Portefeuille SP2'!AM586</f>
        <v>0</v>
      </c>
      <c r="BB561" s="403">
        <f>'Portefeuille SP2'!AN586</f>
        <v>0</v>
      </c>
      <c r="BC561" s="403">
        <f>'Portefeuille SP2'!AO586</f>
        <v>0</v>
      </c>
      <c r="BD561" s="403">
        <f>'Portefeuille SP2'!AP586</f>
        <v>0</v>
      </c>
      <c r="BE561" s="403">
        <f>'Portefeuille SP2'!AQ586</f>
        <v>0</v>
      </c>
      <c r="BF561" s="403">
        <f>'Portefeuille SP2'!AR586</f>
        <v>0</v>
      </c>
      <c r="BG561" s="403" t="e">
        <f>'Portefeuille SP2'!#REF!</f>
        <v>#REF!</v>
      </c>
      <c r="BH561" s="403" t="e">
        <f>'Portefeuille SP2'!#REF!</f>
        <v>#REF!</v>
      </c>
      <c r="BI561" s="403" t="e">
        <f>'Portefeuille SP2'!#REF!</f>
        <v>#REF!</v>
      </c>
      <c r="BJ561" s="403" t="e">
        <f>'Portefeuille SP2'!#REF!</f>
        <v>#REF!</v>
      </c>
      <c r="BK561" s="403" t="e">
        <f>'Portefeuille SP2'!#REF!</f>
        <v>#REF!</v>
      </c>
      <c r="BL561" s="388"/>
      <c r="BM561" s="404">
        <f>'Portefeuille SP2'!L586</f>
        <v>0</v>
      </c>
    </row>
    <row r="562" spans="1:65" ht="15" customHeight="1">
      <c r="A562" s="383">
        <f>'Portefeuille SP2'!B587</f>
        <v>0</v>
      </c>
      <c r="B562" s="390">
        <f>'Portefeuille SP2'!Q587</f>
        <v>0</v>
      </c>
      <c r="C562" s="384"/>
      <c r="D562" s="382">
        <f>'Portefeuille SP2'!E587</f>
        <v>0</v>
      </c>
      <c r="E562" s="382" t="str">
        <f t="shared" si="37"/>
        <v>0</v>
      </c>
      <c r="F562" s="382" t="str">
        <f t="shared" si="38"/>
        <v/>
      </c>
      <c r="G562" s="382">
        <f>'Portefeuille SP2'!C587</f>
        <v>0</v>
      </c>
      <c r="H562" s="382">
        <f>'Portefeuille SP2'!F587</f>
        <v>0</v>
      </c>
      <c r="I562" s="382"/>
      <c r="J562" s="382">
        <f>'Portefeuille SP2'!D587</f>
        <v>0</v>
      </c>
      <c r="K562" s="385">
        <f>'Portefeuille SP2'!H587</f>
        <v>0</v>
      </c>
      <c r="L562" s="157">
        <f>'Portefeuille SP2'!U587</f>
        <v>0</v>
      </c>
      <c r="M562" s="386"/>
      <c r="N562" s="386"/>
      <c r="O562" s="386"/>
      <c r="P562" s="387">
        <f>'Portefeuille SP2'!M587</f>
        <v>0</v>
      </c>
      <c r="Q562" s="387"/>
      <c r="R562" s="387">
        <f>'Portefeuille SP2'!N587</f>
        <v>0</v>
      </c>
      <c r="S562" s="387"/>
      <c r="T562" s="382">
        <f>'Portefeuille SP2'!R587</f>
        <v>0</v>
      </c>
      <c r="U562" s="387">
        <f>'Portefeuille SP2'!K587</f>
        <v>0</v>
      </c>
      <c r="V562" s="399">
        <f>'Portefeuille SP2'!S587</f>
        <v>0</v>
      </c>
      <c r="W562" s="387"/>
      <c r="X562" s="387"/>
      <c r="Y562" s="387"/>
      <c r="Z562" s="387"/>
      <c r="AA562" s="387"/>
      <c r="AB562" s="387"/>
      <c r="AC562" s="387"/>
      <c r="AD562" s="387"/>
      <c r="AE562" s="400">
        <f>'Portefeuille SP2'!J587</f>
        <v>0</v>
      </c>
      <c r="AF562" s="387"/>
      <c r="AG562" s="387"/>
      <c r="AH562" s="389"/>
      <c r="AI562" s="389"/>
      <c r="AJ562" s="403">
        <f>'Portefeuille SP2'!V587</f>
        <v>0</v>
      </c>
      <c r="AK562" s="403">
        <f>'Portefeuille SP2'!W587</f>
        <v>0</v>
      </c>
      <c r="AL562" s="403">
        <f>'Portefeuille SP2'!X587</f>
        <v>0</v>
      </c>
      <c r="AM562" s="403">
        <f>'Portefeuille SP2'!Y587</f>
        <v>0</v>
      </c>
      <c r="AN562" s="403">
        <f>'Portefeuille SP2'!Z587</f>
        <v>0</v>
      </c>
      <c r="AO562" s="403">
        <f>'Portefeuille SP2'!AA587</f>
        <v>0</v>
      </c>
      <c r="AP562" s="403">
        <f>'Portefeuille SP2'!AB587</f>
        <v>0</v>
      </c>
      <c r="AQ562" s="403">
        <f>'Portefeuille SP2'!AC587</f>
        <v>0</v>
      </c>
      <c r="AR562" s="403">
        <f>'Portefeuille SP2'!AD587</f>
        <v>0</v>
      </c>
      <c r="AS562" s="403">
        <f>'Portefeuille SP2'!AE587</f>
        <v>0</v>
      </c>
      <c r="AT562" s="403">
        <f>'Portefeuille SP2'!AF587</f>
        <v>0</v>
      </c>
      <c r="AU562" s="403">
        <f>'Portefeuille SP2'!AG587</f>
        <v>0</v>
      </c>
      <c r="AV562" s="403">
        <f>'Portefeuille SP2'!AH587</f>
        <v>0</v>
      </c>
      <c r="AW562" s="403">
        <f>'Portefeuille SP2'!AI587</f>
        <v>0</v>
      </c>
      <c r="AX562" s="403">
        <f>'Portefeuille SP2'!AJ587</f>
        <v>0</v>
      </c>
      <c r="AY562" s="403">
        <f>'Portefeuille SP2'!AK587</f>
        <v>0</v>
      </c>
      <c r="AZ562" s="403">
        <f>'Portefeuille SP2'!AL587</f>
        <v>0</v>
      </c>
      <c r="BA562" s="403">
        <f>'Portefeuille SP2'!AM587</f>
        <v>0</v>
      </c>
      <c r="BB562" s="403">
        <f>'Portefeuille SP2'!AN587</f>
        <v>0</v>
      </c>
      <c r="BC562" s="403">
        <f>'Portefeuille SP2'!AO587</f>
        <v>0</v>
      </c>
      <c r="BD562" s="403">
        <f>'Portefeuille SP2'!AP587</f>
        <v>0</v>
      </c>
      <c r="BE562" s="403">
        <f>'Portefeuille SP2'!AQ587</f>
        <v>0</v>
      </c>
      <c r="BF562" s="403">
        <f>'Portefeuille SP2'!AR587</f>
        <v>0</v>
      </c>
      <c r="BG562" s="403" t="e">
        <f>'Portefeuille SP2'!#REF!</f>
        <v>#REF!</v>
      </c>
      <c r="BH562" s="403" t="e">
        <f>'Portefeuille SP2'!#REF!</f>
        <v>#REF!</v>
      </c>
      <c r="BI562" s="403" t="e">
        <f>'Portefeuille SP2'!#REF!</f>
        <v>#REF!</v>
      </c>
      <c r="BJ562" s="403" t="e">
        <f>'Portefeuille SP2'!#REF!</f>
        <v>#REF!</v>
      </c>
      <c r="BK562" s="403" t="e">
        <f>'Portefeuille SP2'!#REF!</f>
        <v>#REF!</v>
      </c>
      <c r="BL562" s="388"/>
      <c r="BM562" s="404">
        <f>'Portefeuille SP2'!L587</f>
        <v>0</v>
      </c>
    </row>
    <row r="563" spans="1:65" ht="15" customHeight="1">
      <c r="A563" s="383">
        <f>'Portefeuille SP2'!B588</f>
        <v>0</v>
      </c>
      <c r="B563" s="390">
        <f>'Portefeuille SP2'!Q588</f>
        <v>0</v>
      </c>
      <c r="C563" s="384"/>
      <c r="D563" s="382">
        <f>'Portefeuille SP2'!E588</f>
        <v>0</v>
      </c>
      <c r="E563" s="382" t="str">
        <f t="shared" si="37"/>
        <v>0</v>
      </c>
      <c r="F563" s="382" t="str">
        <f t="shared" si="38"/>
        <v/>
      </c>
      <c r="G563" s="382">
        <f>'Portefeuille SP2'!C588</f>
        <v>0</v>
      </c>
      <c r="H563" s="382">
        <f>'Portefeuille SP2'!F588</f>
        <v>0</v>
      </c>
      <c r="I563" s="382"/>
      <c r="J563" s="382">
        <f>'Portefeuille SP2'!D588</f>
        <v>0</v>
      </c>
      <c r="K563" s="385">
        <f>'Portefeuille SP2'!H588</f>
        <v>0</v>
      </c>
      <c r="L563" s="157">
        <f>'Portefeuille SP2'!U588</f>
        <v>0</v>
      </c>
      <c r="M563" s="386"/>
      <c r="N563" s="386"/>
      <c r="O563" s="386"/>
      <c r="P563" s="387">
        <f>'Portefeuille SP2'!M588</f>
        <v>0</v>
      </c>
      <c r="Q563" s="387"/>
      <c r="R563" s="387">
        <f>'Portefeuille SP2'!N588</f>
        <v>0</v>
      </c>
      <c r="S563" s="387"/>
      <c r="T563" s="382">
        <f>'Portefeuille SP2'!R588</f>
        <v>0</v>
      </c>
      <c r="U563" s="387">
        <f>'Portefeuille SP2'!K588</f>
        <v>0</v>
      </c>
      <c r="V563" s="399">
        <f>'Portefeuille SP2'!S588</f>
        <v>0</v>
      </c>
      <c r="W563" s="387"/>
      <c r="X563" s="387"/>
      <c r="Y563" s="387"/>
      <c r="Z563" s="387"/>
      <c r="AA563" s="387"/>
      <c r="AB563" s="387"/>
      <c r="AC563" s="387"/>
      <c r="AD563" s="387"/>
      <c r="AE563" s="400">
        <f>'Portefeuille SP2'!J588</f>
        <v>0</v>
      </c>
      <c r="AF563" s="387"/>
      <c r="AG563" s="387"/>
      <c r="AH563" s="389"/>
      <c r="AI563" s="389"/>
      <c r="AJ563" s="403">
        <f>'Portefeuille SP2'!V588</f>
        <v>0</v>
      </c>
      <c r="AK563" s="403">
        <f>'Portefeuille SP2'!W588</f>
        <v>0</v>
      </c>
      <c r="AL563" s="403">
        <f>'Portefeuille SP2'!X588</f>
        <v>0</v>
      </c>
      <c r="AM563" s="403">
        <f>'Portefeuille SP2'!Y588</f>
        <v>0</v>
      </c>
      <c r="AN563" s="403">
        <f>'Portefeuille SP2'!Z588</f>
        <v>0</v>
      </c>
      <c r="AO563" s="403">
        <f>'Portefeuille SP2'!AA588</f>
        <v>0</v>
      </c>
      <c r="AP563" s="403">
        <f>'Portefeuille SP2'!AB588</f>
        <v>0</v>
      </c>
      <c r="AQ563" s="403">
        <f>'Portefeuille SP2'!AC588</f>
        <v>0</v>
      </c>
      <c r="AR563" s="403">
        <f>'Portefeuille SP2'!AD588</f>
        <v>0</v>
      </c>
      <c r="AS563" s="403">
        <f>'Portefeuille SP2'!AE588</f>
        <v>0</v>
      </c>
      <c r="AT563" s="403">
        <f>'Portefeuille SP2'!AF588</f>
        <v>0</v>
      </c>
      <c r="AU563" s="403">
        <f>'Portefeuille SP2'!AG588</f>
        <v>0</v>
      </c>
      <c r="AV563" s="403">
        <f>'Portefeuille SP2'!AH588</f>
        <v>0</v>
      </c>
      <c r="AW563" s="403">
        <f>'Portefeuille SP2'!AI588</f>
        <v>0</v>
      </c>
      <c r="AX563" s="403">
        <f>'Portefeuille SP2'!AJ588</f>
        <v>0</v>
      </c>
      <c r="AY563" s="403">
        <f>'Portefeuille SP2'!AK588</f>
        <v>0</v>
      </c>
      <c r="AZ563" s="403">
        <f>'Portefeuille SP2'!AL588</f>
        <v>0</v>
      </c>
      <c r="BA563" s="403">
        <f>'Portefeuille SP2'!AM588</f>
        <v>0</v>
      </c>
      <c r="BB563" s="403">
        <f>'Portefeuille SP2'!AN588</f>
        <v>0</v>
      </c>
      <c r="BC563" s="403">
        <f>'Portefeuille SP2'!AO588</f>
        <v>0</v>
      </c>
      <c r="BD563" s="403">
        <f>'Portefeuille SP2'!AP588</f>
        <v>0</v>
      </c>
      <c r="BE563" s="403">
        <f>'Portefeuille SP2'!AQ588</f>
        <v>0</v>
      </c>
      <c r="BF563" s="403">
        <f>'Portefeuille SP2'!AR588</f>
        <v>0</v>
      </c>
      <c r="BG563" s="403" t="e">
        <f>'Portefeuille SP2'!#REF!</f>
        <v>#REF!</v>
      </c>
      <c r="BH563" s="403" t="e">
        <f>'Portefeuille SP2'!#REF!</f>
        <v>#REF!</v>
      </c>
      <c r="BI563" s="403" t="e">
        <f>'Portefeuille SP2'!#REF!</f>
        <v>#REF!</v>
      </c>
      <c r="BJ563" s="403" t="e">
        <f>'Portefeuille SP2'!#REF!</f>
        <v>#REF!</v>
      </c>
      <c r="BK563" s="403" t="e">
        <f>'Portefeuille SP2'!#REF!</f>
        <v>#REF!</v>
      </c>
      <c r="BL563" s="388"/>
      <c r="BM563" s="404">
        <f>'Portefeuille SP2'!L588</f>
        <v>0</v>
      </c>
    </row>
    <row r="564" spans="1:65" ht="15" customHeight="1">
      <c r="A564" s="383">
        <f>'Portefeuille SP2'!B589</f>
        <v>0</v>
      </c>
      <c r="B564" s="390">
        <f>'Portefeuille SP2'!Q589</f>
        <v>0</v>
      </c>
      <c r="C564" s="384"/>
      <c r="D564" s="382">
        <f>'Portefeuille SP2'!E589</f>
        <v>0</v>
      </c>
      <c r="E564" s="382" t="str">
        <f t="shared" si="37"/>
        <v>0</v>
      </c>
      <c r="F564" s="382" t="str">
        <f t="shared" si="38"/>
        <v/>
      </c>
      <c r="G564" s="382">
        <f>'Portefeuille SP2'!C589</f>
        <v>0</v>
      </c>
      <c r="H564" s="382">
        <f>'Portefeuille SP2'!F589</f>
        <v>0</v>
      </c>
      <c r="I564" s="382"/>
      <c r="J564" s="382">
        <f>'Portefeuille SP2'!D589</f>
        <v>0</v>
      </c>
      <c r="K564" s="385">
        <f>'Portefeuille SP2'!H589</f>
        <v>0</v>
      </c>
      <c r="L564" s="157">
        <f>'Portefeuille SP2'!U589</f>
        <v>0</v>
      </c>
      <c r="M564" s="386"/>
      <c r="N564" s="386"/>
      <c r="O564" s="386"/>
      <c r="P564" s="387">
        <f>'Portefeuille SP2'!M589</f>
        <v>0</v>
      </c>
      <c r="Q564" s="387"/>
      <c r="R564" s="387">
        <f>'Portefeuille SP2'!N589</f>
        <v>0</v>
      </c>
      <c r="S564" s="387"/>
      <c r="T564" s="382">
        <f>'Portefeuille SP2'!R589</f>
        <v>0</v>
      </c>
      <c r="U564" s="387">
        <f>'Portefeuille SP2'!K589</f>
        <v>0</v>
      </c>
      <c r="V564" s="399">
        <f>'Portefeuille SP2'!S589</f>
        <v>0</v>
      </c>
      <c r="W564" s="387"/>
      <c r="X564" s="387"/>
      <c r="Y564" s="387"/>
      <c r="Z564" s="387"/>
      <c r="AA564" s="387"/>
      <c r="AB564" s="387"/>
      <c r="AC564" s="387"/>
      <c r="AD564" s="387"/>
      <c r="AE564" s="400">
        <f>'Portefeuille SP2'!J589</f>
        <v>0</v>
      </c>
      <c r="AF564" s="387"/>
      <c r="AG564" s="387"/>
      <c r="AH564" s="389"/>
      <c r="AI564" s="389"/>
      <c r="AJ564" s="403">
        <f>'Portefeuille SP2'!V589</f>
        <v>0</v>
      </c>
      <c r="AK564" s="403">
        <f>'Portefeuille SP2'!W589</f>
        <v>0</v>
      </c>
      <c r="AL564" s="403">
        <f>'Portefeuille SP2'!X589</f>
        <v>0</v>
      </c>
      <c r="AM564" s="403">
        <f>'Portefeuille SP2'!Y589</f>
        <v>0</v>
      </c>
      <c r="AN564" s="403">
        <f>'Portefeuille SP2'!Z589</f>
        <v>0</v>
      </c>
      <c r="AO564" s="403">
        <f>'Portefeuille SP2'!AA589</f>
        <v>0</v>
      </c>
      <c r="AP564" s="403">
        <f>'Portefeuille SP2'!AB589</f>
        <v>0</v>
      </c>
      <c r="AQ564" s="403">
        <f>'Portefeuille SP2'!AC589</f>
        <v>0</v>
      </c>
      <c r="AR564" s="403">
        <f>'Portefeuille SP2'!AD589</f>
        <v>0</v>
      </c>
      <c r="AS564" s="403">
        <f>'Portefeuille SP2'!AE589</f>
        <v>0</v>
      </c>
      <c r="AT564" s="403">
        <f>'Portefeuille SP2'!AF589</f>
        <v>0</v>
      </c>
      <c r="AU564" s="403">
        <f>'Portefeuille SP2'!AG589</f>
        <v>0</v>
      </c>
      <c r="AV564" s="403">
        <f>'Portefeuille SP2'!AH589</f>
        <v>0</v>
      </c>
      <c r="AW564" s="403">
        <f>'Portefeuille SP2'!AI589</f>
        <v>0</v>
      </c>
      <c r="AX564" s="403">
        <f>'Portefeuille SP2'!AJ589</f>
        <v>0</v>
      </c>
      <c r="AY564" s="403">
        <f>'Portefeuille SP2'!AK589</f>
        <v>0</v>
      </c>
      <c r="AZ564" s="403">
        <f>'Portefeuille SP2'!AL589</f>
        <v>0</v>
      </c>
      <c r="BA564" s="403">
        <f>'Portefeuille SP2'!AM589</f>
        <v>0</v>
      </c>
      <c r="BB564" s="403">
        <f>'Portefeuille SP2'!AN589</f>
        <v>0</v>
      </c>
      <c r="BC564" s="403">
        <f>'Portefeuille SP2'!AO589</f>
        <v>0</v>
      </c>
      <c r="BD564" s="403">
        <f>'Portefeuille SP2'!AP589</f>
        <v>0</v>
      </c>
      <c r="BE564" s="403">
        <f>'Portefeuille SP2'!AQ589</f>
        <v>0</v>
      </c>
      <c r="BF564" s="403">
        <f>'Portefeuille SP2'!AR589</f>
        <v>0</v>
      </c>
      <c r="BG564" s="403" t="e">
        <f>'Portefeuille SP2'!#REF!</f>
        <v>#REF!</v>
      </c>
      <c r="BH564" s="403" t="e">
        <f>'Portefeuille SP2'!#REF!</f>
        <v>#REF!</v>
      </c>
      <c r="BI564" s="403" t="e">
        <f>'Portefeuille SP2'!#REF!</f>
        <v>#REF!</v>
      </c>
      <c r="BJ564" s="403" t="e">
        <f>'Portefeuille SP2'!#REF!</f>
        <v>#REF!</v>
      </c>
      <c r="BK564" s="403" t="e">
        <f>'Portefeuille SP2'!#REF!</f>
        <v>#REF!</v>
      </c>
      <c r="BL564" s="388"/>
      <c r="BM564" s="404">
        <f>'Portefeuille SP2'!L589</f>
        <v>0</v>
      </c>
    </row>
    <row r="565" spans="1:65" ht="15" customHeight="1">
      <c r="A565" s="383">
        <f>'Portefeuille SP2'!B590</f>
        <v>0</v>
      </c>
      <c r="B565" s="390">
        <f>'Portefeuille SP2'!Q590</f>
        <v>0</v>
      </c>
      <c r="C565" s="384"/>
      <c r="D565" s="382">
        <f>'Portefeuille SP2'!E590</f>
        <v>0</v>
      </c>
      <c r="E565" s="382" t="str">
        <f t="shared" si="37"/>
        <v>0</v>
      </c>
      <c r="F565" s="382" t="str">
        <f t="shared" si="38"/>
        <v/>
      </c>
      <c r="G565" s="382">
        <f>'Portefeuille SP2'!C590</f>
        <v>0</v>
      </c>
      <c r="H565" s="382">
        <f>'Portefeuille SP2'!F590</f>
        <v>0</v>
      </c>
      <c r="I565" s="382"/>
      <c r="J565" s="382">
        <f>'Portefeuille SP2'!D590</f>
        <v>0</v>
      </c>
      <c r="K565" s="385">
        <f>'Portefeuille SP2'!H590</f>
        <v>0</v>
      </c>
      <c r="L565" s="157">
        <f>'Portefeuille SP2'!U590</f>
        <v>0</v>
      </c>
      <c r="M565" s="386"/>
      <c r="N565" s="386"/>
      <c r="O565" s="386"/>
      <c r="P565" s="387">
        <f>'Portefeuille SP2'!M590</f>
        <v>0</v>
      </c>
      <c r="Q565" s="387"/>
      <c r="R565" s="387">
        <f>'Portefeuille SP2'!N590</f>
        <v>0</v>
      </c>
      <c r="S565" s="387"/>
      <c r="T565" s="382">
        <f>'Portefeuille SP2'!R590</f>
        <v>0</v>
      </c>
      <c r="U565" s="387">
        <f>'Portefeuille SP2'!K590</f>
        <v>0</v>
      </c>
      <c r="V565" s="399">
        <f>'Portefeuille SP2'!S590</f>
        <v>0</v>
      </c>
      <c r="W565" s="387"/>
      <c r="X565" s="387"/>
      <c r="Y565" s="387"/>
      <c r="Z565" s="387"/>
      <c r="AA565" s="387"/>
      <c r="AB565" s="387"/>
      <c r="AC565" s="387"/>
      <c r="AD565" s="387"/>
      <c r="AE565" s="400">
        <f>'Portefeuille SP2'!J590</f>
        <v>0</v>
      </c>
      <c r="AF565" s="387"/>
      <c r="AG565" s="387"/>
      <c r="AH565" s="389"/>
      <c r="AI565" s="389"/>
      <c r="AJ565" s="403">
        <f>'Portefeuille SP2'!V590</f>
        <v>0</v>
      </c>
      <c r="AK565" s="403">
        <f>'Portefeuille SP2'!W590</f>
        <v>0</v>
      </c>
      <c r="AL565" s="403">
        <f>'Portefeuille SP2'!X590</f>
        <v>0</v>
      </c>
      <c r="AM565" s="403">
        <f>'Portefeuille SP2'!Y590</f>
        <v>0</v>
      </c>
      <c r="AN565" s="403">
        <f>'Portefeuille SP2'!Z590</f>
        <v>0</v>
      </c>
      <c r="AO565" s="403">
        <f>'Portefeuille SP2'!AA590</f>
        <v>0</v>
      </c>
      <c r="AP565" s="403">
        <f>'Portefeuille SP2'!AB590</f>
        <v>0</v>
      </c>
      <c r="AQ565" s="403">
        <f>'Portefeuille SP2'!AC590</f>
        <v>0</v>
      </c>
      <c r="AR565" s="403">
        <f>'Portefeuille SP2'!AD590</f>
        <v>0</v>
      </c>
      <c r="AS565" s="403">
        <f>'Portefeuille SP2'!AE590</f>
        <v>0</v>
      </c>
      <c r="AT565" s="403">
        <f>'Portefeuille SP2'!AF590</f>
        <v>0</v>
      </c>
      <c r="AU565" s="403">
        <f>'Portefeuille SP2'!AG590</f>
        <v>0</v>
      </c>
      <c r="AV565" s="403">
        <f>'Portefeuille SP2'!AH590</f>
        <v>0</v>
      </c>
      <c r="AW565" s="403">
        <f>'Portefeuille SP2'!AI590</f>
        <v>0</v>
      </c>
      <c r="AX565" s="403">
        <f>'Portefeuille SP2'!AJ590</f>
        <v>0</v>
      </c>
      <c r="AY565" s="403">
        <f>'Portefeuille SP2'!AK590</f>
        <v>0</v>
      </c>
      <c r="AZ565" s="403">
        <f>'Portefeuille SP2'!AL590</f>
        <v>0</v>
      </c>
      <c r="BA565" s="403">
        <f>'Portefeuille SP2'!AM590</f>
        <v>0</v>
      </c>
      <c r="BB565" s="403">
        <f>'Portefeuille SP2'!AN590</f>
        <v>0</v>
      </c>
      <c r="BC565" s="403">
        <f>'Portefeuille SP2'!AO590</f>
        <v>0</v>
      </c>
      <c r="BD565" s="403">
        <f>'Portefeuille SP2'!AP590</f>
        <v>0</v>
      </c>
      <c r="BE565" s="403">
        <f>'Portefeuille SP2'!AQ590</f>
        <v>0</v>
      </c>
      <c r="BF565" s="403">
        <f>'Portefeuille SP2'!AR590</f>
        <v>0</v>
      </c>
      <c r="BG565" s="403" t="e">
        <f>'Portefeuille SP2'!#REF!</f>
        <v>#REF!</v>
      </c>
      <c r="BH565" s="403" t="e">
        <f>'Portefeuille SP2'!#REF!</f>
        <v>#REF!</v>
      </c>
      <c r="BI565" s="403" t="e">
        <f>'Portefeuille SP2'!#REF!</f>
        <v>#REF!</v>
      </c>
      <c r="BJ565" s="403" t="e">
        <f>'Portefeuille SP2'!#REF!</f>
        <v>#REF!</v>
      </c>
      <c r="BK565" s="403" t="e">
        <f>'Portefeuille SP2'!#REF!</f>
        <v>#REF!</v>
      </c>
      <c r="BL565" s="388"/>
      <c r="BM565" s="404">
        <f>'Portefeuille SP2'!L590</f>
        <v>0</v>
      </c>
    </row>
    <row r="566" spans="1:65" ht="15" customHeight="1">
      <c r="A566" s="383">
        <f>'Portefeuille SP2'!B591</f>
        <v>0</v>
      </c>
      <c r="B566" s="390">
        <f>'Portefeuille SP2'!Q591</f>
        <v>0</v>
      </c>
      <c r="C566" s="384"/>
      <c r="D566" s="382">
        <f>'Portefeuille SP2'!E591</f>
        <v>0</v>
      </c>
      <c r="E566" s="382" t="str">
        <f t="shared" si="37"/>
        <v>0</v>
      </c>
      <c r="F566" s="382" t="str">
        <f t="shared" si="38"/>
        <v/>
      </c>
      <c r="G566" s="382">
        <f>'Portefeuille SP2'!C591</f>
        <v>0</v>
      </c>
      <c r="H566" s="382">
        <f>'Portefeuille SP2'!F591</f>
        <v>0</v>
      </c>
      <c r="I566" s="382"/>
      <c r="J566" s="382">
        <f>'Portefeuille SP2'!D591</f>
        <v>0</v>
      </c>
      <c r="K566" s="385">
        <f>'Portefeuille SP2'!H591</f>
        <v>0</v>
      </c>
      <c r="L566" s="157">
        <f>'Portefeuille SP2'!U591</f>
        <v>0</v>
      </c>
      <c r="M566" s="386"/>
      <c r="N566" s="386"/>
      <c r="O566" s="386"/>
      <c r="P566" s="387">
        <f>'Portefeuille SP2'!M591</f>
        <v>0</v>
      </c>
      <c r="Q566" s="387"/>
      <c r="R566" s="387">
        <f>'Portefeuille SP2'!N591</f>
        <v>0</v>
      </c>
      <c r="S566" s="387"/>
      <c r="T566" s="382">
        <f>'Portefeuille SP2'!R591</f>
        <v>0</v>
      </c>
      <c r="U566" s="387">
        <f>'Portefeuille SP2'!K591</f>
        <v>0</v>
      </c>
      <c r="V566" s="399">
        <f>'Portefeuille SP2'!S591</f>
        <v>0</v>
      </c>
      <c r="W566" s="387"/>
      <c r="X566" s="387"/>
      <c r="Y566" s="387"/>
      <c r="Z566" s="387"/>
      <c r="AA566" s="387"/>
      <c r="AB566" s="387"/>
      <c r="AC566" s="387"/>
      <c r="AD566" s="387"/>
      <c r="AE566" s="400">
        <f>'Portefeuille SP2'!J591</f>
        <v>0</v>
      </c>
      <c r="AF566" s="387"/>
      <c r="AG566" s="387"/>
      <c r="AH566" s="389"/>
      <c r="AI566" s="389"/>
      <c r="AJ566" s="403">
        <f>'Portefeuille SP2'!V591</f>
        <v>0</v>
      </c>
      <c r="AK566" s="403">
        <f>'Portefeuille SP2'!W591</f>
        <v>0</v>
      </c>
      <c r="AL566" s="403">
        <f>'Portefeuille SP2'!X591</f>
        <v>0</v>
      </c>
      <c r="AM566" s="403">
        <f>'Portefeuille SP2'!Y591</f>
        <v>0</v>
      </c>
      <c r="AN566" s="403">
        <f>'Portefeuille SP2'!Z591</f>
        <v>0</v>
      </c>
      <c r="AO566" s="403">
        <f>'Portefeuille SP2'!AA591</f>
        <v>0</v>
      </c>
      <c r="AP566" s="403">
        <f>'Portefeuille SP2'!AB591</f>
        <v>0</v>
      </c>
      <c r="AQ566" s="403">
        <f>'Portefeuille SP2'!AC591</f>
        <v>0</v>
      </c>
      <c r="AR566" s="403">
        <f>'Portefeuille SP2'!AD591</f>
        <v>0</v>
      </c>
      <c r="AS566" s="403">
        <f>'Portefeuille SP2'!AE591</f>
        <v>0</v>
      </c>
      <c r="AT566" s="403">
        <f>'Portefeuille SP2'!AF591</f>
        <v>0</v>
      </c>
      <c r="AU566" s="403">
        <f>'Portefeuille SP2'!AG591</f>
        <v>0</v>
      </c>
      <c r="AV566" s="403">
        <f>'Portefeuille SP2'!AH591</f>
        <v>0</v>
      </c>
      <c r="AW566" s="403">
        <f>'Portefeuille SP2'!AI591</f>
        <v>0</v>
      </c>
      <c r="AX566" s="403">
        <f>'Portefeuille SP2'!AJ591</f>
        <v>0</v>
      </c>
      <c r="AY566" s="403">
        <f>'Portefeuille SP2'!AK591</f>
        <v>0</v>
      </c>
      <c r="AZ566" s="403">
        <f>'Portefeuille SP2'!AL591</f>
        <v>0</v>
      </c>
      <c r="BA566" s="403">
        <f>'Portefeuille SP2'!AM591</f>
        <v>0</v>
      </c>
      <c r="BB566" s="403">
        <f>'Portefeuille SP2'!AN591</f>
        <v>0</v>
      </c>
      <c r="BC566" s="403">
        <f>'Portefeuille SP2'!AO591</f>
        <v>0</v>
      </c>
      <c r="BD566" s="403">
        <f>'Portefeuille SP2'!AP591</f>
        <v>0</v>
      </c>
      <c r="BE566" s="403">
        <f>'Portefeuille SP2'!AQ591</f>
        <v>0</v>
      </c>
      <c r="BF566" s="403">
        <f>'Portefeuille SP2'!AR591</f>
        <v>0</v>
      </c>
      <c r="BG566" s="403" t="e">
        <f>'Portefeuille SP2'!#REF!</f>
        <v>#REF!</v>
      </c>
      <c r="BH566" s="403" t="e">
        <f>'Portefeuille SP2'!#REF!</f>
        <v>#REF!</v>
      </c>
      <c r="BI566" s="403" t="e">
        <f>'Portefeuille SP2'!#REF!</f>
        <v>#REF!</v>
      </c>
      <c r="BJ566" s="403" t="e">
        <f>'Portefeuille SP2'!#REF!</f>
        <v>#REF!</v>
      </c>
      <c r="BK566" s="403" t="e">
        <f>'Portefeuille SP2'!#REF!</f>
        <v>#REF!</v>
      </c>
      <c r="BL566" s="388"/>
      <c r="BM566" s="404">
        <f>'Portefeuille SP2'!L591</f>
        <v>0</v>
      </c>
    </row>
    <row r="567" spans="1:65" ht="15" customHeight="1">
      <c r="A567" s="383">
        <f>'Portefeuille SP2'!B592</f>
        <v>0</v>
      </c>
      <c r="B567" s="390">
        <f>'Portefeuille SP2'!Q592</f>
        <v>0</v>
      </c>
      <c r="C567" s="384"/>
      <c r="D567" s="382">
        <f>'Portefeuille SP2'!E592</f>
        <v>0</v>
      </c>
      <c r="E567" s="382" t="str">
        <f t="shared" si="37"/>
        <v>0</v>
      </c>
      <c r="F567" s="382" t="str">
        <f t="shared" si="38"/>
        <v/>
      </c>
      <c r="G567" s="382">
        <f>'Portefeuille SP2'!C592</f>
        <v>0</v>
      </c>
      <c r="H567" s="382">
        <f>'Portefeuille SP2'!F592</f>
        <v>0</v>
      </c>
      <c r="I567" s="382"/>
      <c r="J567" s="382">
        <f>'Portefeuille SP2'!D592</f>
        <v>0</v>
      </c>
      <c r="K567" s="385">
        <f>'Portefeuille SP2'!H592</f>
        <v>0</v>
      </c>
      <c r="L567" s="157">
        <f>'Portefeuille SP2'!U592</f>
        <v>0</v>
      </c>
      <c r="M567" s="386"/>
      <c r="N567" s="386"/>
      <c r="O567" s="386"/>
      <c r="P567" s="387">
        <f>'Portefeuille SP2'!M592</f>
        <v>0</v>
      </c>
      <c r="Q567" s="387"/>
      <c r="R567" s="387">
        <f>'Portefeuille SP2'!N592</f>
        <v>0</v>
      </c>
      <c r="S567" s="387"/>
      <c r="T567" s="382">
        <f>'Portefeuille SP2'!R592</f>
        <v>0</v>
      </c>
      <c r="U567" s="387">
        <f>'Portefeuille SP2'!K592</f>
        <v>0</v>
      </c>
      <c r="V567" s="399">
        <f>'Portefeuille SP2'!S592</f>
        <v>0</v>
      </c>
      <c r="W567" s="387"/>
      <c r="X567" s="387"/>
      <c r="Y567" s="387"/>
      <c r="Z567" s="387"/>
      <c r="AA567" s="387"/>
      <c r="AB567" s="387"/>
      <c r="AC567" s="387"/>
      <c r="AD567" s="387"/>
      <c r="AE567" s="400">
        <f>'Portefeuille SP2'!J592</f>
        <v>0</v>
      </c>
      <c r="AF567" s="387"/>
      <c r="AG567" s="387"/>
      <c r="AH567" s="389"/>
      <c r="AI567" s="389"/>
      <c r="AJ567" s="403">
        <f>'Portefeuille SP2'!V592</f>
        <v>0</v>
      </c>
      <c r="AK567" s="403">
        <f>'Portefeuille SP2'!W592</f>
        <v>0</v>
      </c>
      <c r="AL567" s="403">
        <f>'Portefeuille SP2'!X592</f>
        <v>0</v>
      </c>
      <c r="AM567" s="403">
        <f>'Portefeuille SP2'!Y592</f>
        <v>0</v>
      </c>
      <c r="AN567" s="403">
        <f>'Portefeuille SP2'!Z592</f>
        <v>0</v>
      </c>
      <c r="AO567" s="403">
        <f>'Portefeuille SP2'!AA592</f>
        <v>0</v>
      </c>
      <c r="AP567" s="403">
        <f>'Portefeuille SP2'!AB592</f>
        <v>0</v>
      </c>
      <c r="AQ567" s="403">
        <f>'Portefeuille SP2'!AC592</f>
        <v>0</v>
      </c>
      <c r="AR567" s="403">
        <f>'Portefeuille SP2'!AD592</f>
        <v>0</v>
      </c>
      <c r="AS567" s="403">
        <f>'Portefeuille SP2'!AE592</f>
        <v>0</v>
      </c>
      <c r="AT567" s="403">
        <f>'Portefeuille SP2'!AF592</f>
        <v>0</v>
      </c>
      <c r="AU567" s="403">
        <f>'Portefeuille SP2'!AG592</f>
        <v>0</v>
      </c>
      <c r="AV567" s="403">
        <f>'Portefeuille SP2'!AH592</f>
        <v>0</v>
      </c>
      <c r="AW567" s="403">
        <f>'Portefeuille SP2'!AI592</f>
        <v>0</v>
      </c>
      <c r="AX567" s="403">
        <f>'Portefeuille SP2'!AJ592</f>
        <v>0</v>
      </c>
      <c r="AY567" s="403">
        <f>'Portefeuille SP2'!AK592</f>
        <v>0</v>
      </c>
      <c r="AZ567" s="403">
        <f>'Portefeuille SP2'!AL592</f>
        <v>0</v>
      </c>
      <c r="BA567" s="403">
        <f>'Portefeuille SP2'!AM592</f>
        <v>0</v>
      </c>
      <c r="BB567" s="403">
        <f>'Portefeuille SP2'!AN592</f>
        <v>0</v>
      </c>
      <c r="BC567" s="403">
        <f>'Portefeuille SP2'!AO592</f>
        <v>0</v>
      </c>
      <c r="BD567" s="403">
        <f>'Portefeuille SP2'!AP592</f>
        <v>0</v>
      </c>
      <c r="BE567" s="403">
        <f>'Portefeuille SP2'!AQ592</f>
        <v>0</v>
      </c>
      <c r="BF567" s="403">
        <f>'Portefeuille SP2'!AR592</f>
        <v>0</v>
      </c>
      <c r="BG567" s="403" t="e">
        <f>'Portefeuille SP2'!#REF!</f>
        <v>#REF!</v>
      </c>
      <c r="BH567" s="403" t="e">
        <f>'Portefeuille SP2'!#REF!</f>
        <v>#REF!</v>
      </c>
      <c r="BI567" s="403" t="e">
        <f>'Portefeuille SP2'!#REF!</f>
        <v>#REF!</v>
      </c>
      <c r="BJ567" s="403" t="e">
        <f>'Portefeuille SP2'!#REF!</f>
        <v>#REF!</v>
      </c>
      <c r="BK567" s="403" t="e">
        <f>'Portefeuille SP2'!#REF!</f>
        <v>#REF!</v>
      </c>
      <c r="BL567" s="388"/>
      <c r="BM567" s="404">
        <f>'Portefeuille SP2'!L592</f>
        <v>0</v>
      </c>
    </row>
    <row r="568" spans="1:65" ht="15" customHeight="1">
      <c r="A568" s="383">
        <f>'Portefeuille SP2'!B593</f>
        <v>0</v>
      </c>
      <c r="B568" s="390">
        <f>'Portefeuille SP2'!Q593</f>
        <v>0</v>
      </c>
      <c r="C568" s="384"/>
      <c r="D568" s="382">
        <f>'Portefeuille SP2'!E593</f>
        <v>0</v>
      </c>
      <c r="E568" s="382" t="str">
        <f t="shared" si="37"/>
        <v>0</v>
      </c>
      <c r="F568" s="382" t="str">
        <f t="shared" si="38"/>
        <v/>
      </c>
      <c r="G568" s="382">
        <f>'Portefeuille SP2'!C593</f>
        <v>0</v>
      </c>
      <c r="H568" s="382">
        <f>'Portefeuille SP2'!F593</f>
        <v>0</v>
      </c>
      <c r="I568" s="382"/>
      <c r="J568" s="382">
        <f>'Portefeuille SP2'!D593</f>
        <v>0</v>
      </c>
      <c r="K568" s="385">
        <f>'Portefeuille SP2'!H593</f>
        <v>0</v>
      </c>
      <c r="L568" s="157">
        <f>'Portefeuille SP2'!U593</f>
        <v>0</v>
      </c>
      <c r="M568" s="386"/>
      <c r="N568" s="386"/>
      <c r="O568" s="386"/>
      <c r="P568" s="387">
        <f>'Portefeuille SP2'!M593</f>
        <v>0</v>
      </c>
      <c r="Q568" s="387"/>
      <c r="R568" s="387">
        <f>'Portefeuille SP2'!N593</f>
        <v>0</v>
      </c>
      <c r="S568" s="387"/>
      <c r="T568" s="382">
        <f>'Portefeuille SP2'!R593</f>
        <v>0</v>
      </c>
      <c r="U568" s="387">
        <f>'Portefeuille SP2'!K593</f>
        <v>0</v>
      </c>
      <c r="V568" s="399">
        <f>'Portefeuille SP2'!S593</f>
        <v>0</v>
      </c>
      <c r="W568" s="387"/>
      <c r="X568" s="387"/>
      <c r="Y568" s="387"/>
      <c r="Z568" s="387"/>
      <c r="AA568" s="387"/>
      <c r="AB568" s="387"/>
      <c r="AC568" s="387"/>
      <c r="AD568" s="387"/>
      <c r="AE568" s="400">
        <f>'Portefeuille SP2'!J593</f>
        <v>0</v>
      </c>
      <c r="AF568" s="387"/>
      <c r="AG568" s="387"/>
      <c r="AH568" s="389"/>
      <c r="AI568" s="389"/>
      <c r="AJ568" s="403">
        <f>'Portefeuille SP2'!V593</f>
        <v>0</v>
      </c>
      <c r="AK568" s="403">
        <f>'Portefeuille SP2'!W593</f>
        <v>0</v>
      </c>
      <c r="AL568" s="403">
        <f>'Portefeuille SP2'!X593</f>
        <v>0</v>
      </c>
      <c r="AM568" s="403">
        <f>'Portefeuille SP2'!Y593</f>
        <v>0</v>
      </c>
      <c r="AN568" s="403">
        <f>'Portefeuille SP2'!Z593</f>
        <v>0</v>
      </c>
      <c r="AO568" s="403">
        <f>'Portefeuille SP2'!AA593</f>
        <v>0</v>
      </c>
      <c r="AP568" s="403">
        <f>'Portefeuille SP2'!AB593</f>
        <v>0</v>
      </c>
      <c r="AQ568" s="403">
        <f>'Portefeuille SP2'!AC593</f>
        <v>0</v>
      </c>
      <c r="AR568" s="403">
        <f>'Portefeuille SP2'!AD593</f>
        <v>0</v>
      </c>
      <c r="AS568" s="403">
        <f>'Portefeuille SP2'!AE593</f>
        <v>0</v>
      </c>
      <c r="AT568" s="403">
        <f>'Portefeuille SP2'!AF593</f>
        <v>0</v>
      </c>
      <c r="AU568" s="403">
        <f>'Portefeuille SP2'!AG593</f>
        <v>0</v>
      </c>
      <c r="AV568" s="403">
        <f>'Portefeuille SP2'!AH593</f>
        <v>0</v>
      </c>
      <c r="AW568" s="403">
        <f>'Portefeuille SP2'!AI593</f>
        <v>0</v>
      </c>
      <c r="AX568" s="403">
        <f>'Portefeuille SP2'!AJ593</f>
        <v>0</v>
      </c>
      <c r="AY568" s="403">
        <f>'Portefeuille SP2'!AK593</f>
        <v>0</v>
      </c>
      <c r="AZ568" s="403">
        <f>'Portefeuille SP2'!AL593</f>
        <v>0</v>
      </c>
      <c r="BA568" s="403">
        <f>'Portefeuille SP2'!AM593</f>
        <v>0</v>
      </c>
      <c r="BB568" s="403">
        <f>'Portefeuille SP2'!AN593</f>
        <v>0</v>
      </c>
      <c r="BC568" s="403">
        <f>'Portefeuille SP2'!AO593</f>
        <v>0</v>
      </c>
      <c r="BD568" s="403">
        <f>'Portefeuille SP2'!AP593</f>
        <v>0</v>
      </c>
      <c r="BE568" s="403">
        <f>'Portefeuille SP2'!AQ593</f>
        <v>0</v>
      </c>
      <c r="BF568" s="403">
        <f>'Portefeuille SP2'!AR593</f>
        <v>0</v>
      </c>
      <c r="BG568" s="403" t="e">
        <f>'Portefeuille SP2'!#REF!</f>
        <v>#REF!</v>
      </c>
      <c r="BH568" s="403" t="e">
        <f>'Portefeuille SP2'!#REF!</f>
        <v>#REF!</v>
      </c>
      <c r="BI568" s="403" t="e">
        <f>'Portefeuille SP2'!#REF!</f>
        <v>#REF!</v>
      </c>
      <c r="BJ568" s="403" t="e">
        <f>'Portefeuille SP2'!#REF!</f>
        <v>#REF!</v>
      </c>
      <c r="BK568" s="403" t="e">
        <f>'Portefeuille SP2'!#REF!</f>
        <v>#REF!</v>
      </c>
      <c r="BL568" s="388"/>
      <c r="BM568" s="404">
        <f>'Portefeuille SP2'!L593</f>
        <v>0</v>
      </c>
    </row>
    <row r="569" spans="1:65" ht="15" customHeight="1">
      <c r="A569" s="383">
        <f>'Portefeuille SP2'!B594</f>
        <v>0</v>
      </c>
      <c r="B569" s="390">
        <f>'Portefeuille SP2'!Q594</f>
        <v>0</v>
      </c>
      <c r="C569" s="384"/>
      <c r="D569" s="382">
        <f>'Portefeuille SP2'!E594</f>
        <v>0</v>
      </c>
      <c r="E569" s="382" t="str">
        <f t="shared" si="37"/>
        <v>0</v>
      </c>
      <c r="F569" s="382" t="str">
        <f t="shared" si="38"/>
        <v/>
      </c>
      <c r="G569" s="382">
        <f>'Portefeuille SP2'!C594</f>
        <v>0</v>
      </c>
      <c r="H569" s="382">
        <f>'Portefeuille SP2'!F594</f>
        <v>0</v>
      </c>
      <c r="I569" s="382"/>
      <c r="J569" s="382">
        <f>'Portefeuille SP2'!D594</f>
        <v>0</v>
      </c>
      <c r="K569" s="385">
        <f>'Portefeuille SP2'!H594</f>
        <v>0</v>
      </c>
      <c r="L569" s="157">
        <f>'Portefeuille SP2'!U594</f>
        <v>0</v>
      </c>
      <c r="M569" s="386"/>
      <c r="N569" s="386"/>
      <c r="O569" s="386"/>
      <c r="P569" s="387">
        <f>'Portefeuille SP2'!M594</f>
        <v>0</v>
      </c>
      <c r="Q569" s="387"/>
      <c r="R569" s="387">
        <f>'Portefeuille SP2'!N594</f>
        <v>0</v>
      </c>
      <c r="S569" s="387"/>
      <c r="T569" s="382">
        <f>'Portefeuille SP2'!R594</f>
        <v>0</v>
      </c>
      <c r="U569" s="387">
        <f>'Portefeuille SP2'!K594</f>
        <v>0</v>
      </c>
      <c r="V569" s="399">
        <f>'Portefeuille SP2'!S594</f>
        <v>0</v>
      </c>
      <c r="W569" s="387"/>
      <c r="X569" s="387"/>
      <c r="Y569" s="387"/>
      <c r="Z569" s="387"/>
      <c r="AA569" s="387"/>
      <c r="AB569" s="387"/>
      <c r="AC569" s="387"/>
      <c r="AD569" s="387"/>
      <c r="AE569" s="400">
        <f>'Portefeuille SP2'!J594</f>
        <v>0</v>
      </c>
      <c r="AF569" s="387"/>
      <c r="AG569" s="387"/>
      <c r="AH569" s="389"/>
      <c r="AI569" s="389"/>
      <c r="AJ569" s="403">
        <f>'Portefeuille SP2'!V594</f>
        <v>0</v>
      </c>
      <c r="AK569" s="403">
        <f>'Portefeuille SP2'!W594</f>
        <v>0</v>
      </c>
      <c r="AL569" s="403">
        <f>'Portefeuille SP2'!X594</f>
        <v>0</v>
      </c>
      <c r="AM569" s="403">
        <f>'Portefeuille SP2'!Y594</f>
        <v>0</v>
      </c>
      <c r="AN569" s="403">
        <f>'Portefeuille SP2'!Z594</f>
        <v>0</v>
      </c>
      <c r="AO569" s="403">
        <f>'Portefeuille SP2'!AA594</f>
        <v>0</v>
      </c>
      <c r="AP569" s="403">
        <f>'Portefeuille SP2'!AB594</f>
        <v>0</v>
      </c>
      <c r="AQ569" s="403">
        <f>'Portefeuille SP2'!AC594</f>
        <v>0</v>
      </c>
      <c r="AR569" s="403">
        <f>'Portefeuille SP2'!AD594</f>
        <v>0</v>
      </c>
      <c r="AS569" s="403">
        <f>'Portefeuille SP2'!AE594</f>
        <v>0</v>
      </c>
      <c r="AT569" s="403">
        <f>'Portefeuille SP2'!AF594</f>
        <v>0</v>
      </c>
      <c r="AU569" s="403">
        <f>'Portefeuille SP2'!AG594</f>
        <v>0</v>
      </c>
      <c r="AV569" s="403">
        <f>'Portefeuille SP2'!AH594</f>
        <v>0</v>
      </c>
      <c r="AW569" s="403">
        <f>'Portefeuille SP2'!AI594</f>
        <v>0</v>
      </c>
      <c r="AX569" s="403">
        <f>'Portefeuille SP2'!AJ594</f>
        <v>0</v>
      </c>
      <c r="AY569" s="403">
        <f>'Portefeuille SP2'!AK594</f>
        <v>0</v>
      </c>
      <c r="AZ569" s="403">
        <f>'Portefeuille SP2'!AL594</f>
        <v>0</v>
      </c>
      <c r="BA569" s="403">
        <f>'Portefeuille SP2'!AM594</f>
        <v>0</v>
      </c>
      <c r="BB569" s="403">
        <f>'Portefeuille SP2'!AN594</f>
        <v>0</v>
      </c>
      <c r="BC569" s="403">
        <f>'Portefeuille SP2'!AO594</f>
        <v>0</v>
      </c>
      <c r="BD569" s="403">
        <f>'Portefeuille SP2'!AP594</f>
        <v>0</v>
      </c>
      <c r="BE569" s="403">
        <f>'Portefeuille SP2'!AQ594</f>
        <v>0</v>
      </c>
      <c r="BF569" s="403">
        <f>'Portefeuille SP2'!AR594</f>
        <v>0</v>
      </c>
      <c r="BG569" s="403" t="e">
        <f>'Portefeuille SP2'!#REF!</f>
        <v>#REF!</v>
      </c>
      <c r="BH569" s="403" t="e">
        <f>'Portefeuille SP2'!#REF!</f>
        <v>#REF!</v>
      </c>
      <c r="BI569" s="403" t="e">
        <f>'Portefeuille SP2'!#REF!</f>
        <v>#REF!</v>
      </c>
      <c r="BJ569" s="403" t="e">
        <f>'Portefeuille SP2'!#REF!</f>
        <v>#REF!</v>
      </c>
      <c r="BK569" s="403" t="e">
        <f>'Portefeuille SP2'!#REF!</f>
        <v>#REF!</v>
      </c>
      <c r="BL569" s="388"/>
      <c r="BM569" s="404">
        <f>'Portefeuille SP2'!L594</f>
        <v>0</v>
      </c>
    </row>
    <row r="570" spans="1:65" ht="15" customHeight="1">
      <c r="A570" s="383">
        <f>'Portefeuille SP2'!B595</f>
        <v>0</v>
      </c>
      <c r="B570" s="390">
        <f>'Portefeuille SP2'!Q595</f>
        <v>0</v>
      </c>
      <c r="C570" s="384"/>
      <c r="D570" s="382">
        <f>'Portefeuille SP2'!E595</f>
        <v>0</v>
      </c>
      <c r="E570" s="382" t="str">
        <f t="shared" si="37"/>
        <v>0</v>
      </c>
      <c r="F570" s="382" t="str">
        <f t="shared" si="38"/>
        <v/>
      </c>
      <c r="G570" s="382">
        <f>'Portefeuille SP2'!C595</f>
        <v>0</v>
      </c>
      <c r="H570" s="382">
        <f>'Portefeuille SP2'!F595</f>
        <v>0</v>
      </c>
      <c r="I570" s="382"/>
      <c r="J570" s="382">
        <f>'Portefeuille SP2'!D595</f>
        <v>0</v>
      </c>
      <c r="K570" s="385">
        <f>'Portefeuille SP2'!H595</f>
        <v>0</v>
      </c>
      <c r="L570" s="157">
        <f>'Portefeuille SP2'!U595</f>
        <v>0</v>
      </c>
      <c r="M570" s="386"/>
      <c r="N570" s="386"/>
      <c r="O570" s="386"/>
      <c r="P570" s="387">
        <f>'Portefeuille SP2'!M595</f>
        <v>0</v>
      </c>
      <c r="Q570" s="387"/>
      <c r="R570" s="387">
        <f>'Portefeuille SP2'!N595</f>
        <v>0</v>
      </c>
      <c r="S570" s="387"/>
      <c r="T570" s="382">
        <f>'Portefeuille SP2'!R595</f>
        <v>0</v>
      </c>
      <c r="U570" s="387">
        <f>'Portefeuille SP2'!K595</f>
        <v>0</v>
      </c>
      <c r="V570" s="399">
        <f>'Portefeuille SP2'!S595</f>
        <v>0</v>
      </c>
      <c r="W570" s="387"/>
      <c r="X570" s="387"/>
      <c r="Y570" s="387"/>
      <c r="Z570" s="387"/>
      <c r="AA570" s="387"/>
      <c r="AB570" s="387"/>
      <c r="AC570" s="387"/>
      <c r="AD570" s="387"/>
      <c r="AE570" s="400">
        <f>'Portefeuille SP2'!J595</f>
        <v>0</v>
      </c>
      <c r="AF570" s="387"/>
      <c r="AG570" s="387"/>
      <c r="AH570" s="389"/>
      <c r="AI570" s="389"/>
      <c r="AJ570" s="403">
        <f>'Portefeuille SP2'!V595</f>
        <v>0</v>
      </c>
      <c r="AK570" s="403">
        <f>'Portefeuille SP2'!W595</f>
        <v>0</v>
      </c>
      <c r="AL570" s="403">
        <f>'Portefeuille SP2'!X595</f>
        <v>0</v>
      </c>
      <c r="AM570" s="403">
        <f>'Portefeuille SP2'!Y595</f>
        <v>0</v>
      </c>
      <c r="AN570" s="403">
        <f>'Portefeuille SP2'!Z595</f>
        <v>0</v>
      </c>
      <c r="AO570" s="403">
        <f>'Portefeuille SP2'!AA595</f>
        <v>0</v>
      </c>
      <c r="AP570" s="403">
        <f>'Portefeuille SP2'!AB595</f>
        <v>0</v>
      </c>
      <c r="AQ570" s="403">
        <f>'Portefeuille SP2'!AC595</f>
        <v>0</v>
      </c>
      <c r="AR570" s="403">
        <f>'Portefeuille SP2'!AD595</f>
        <v>0</v>
      </c>
      <c r="AS570" s="403">
        <f>'Portefeuille SP2'!AE595</f>
        <v>0</v>
      </c>
      <c r="AT570" s="403">
        <f>'Portefeuille SP2'!AF595</f>
        <v>0</v>
      </c>
      <c r="AU570" s="403">
        <f>'Portefeuille SP2'!AG595</f>
        <v>0</v>
      </c>
      <c r="AV570" s="403">
        <f>'Portefeuille SP2'!AH595</f>
        <v>0</v>
      </c>
      <c r="AW570" s="403">
        <f>'Portefeuille SP2'!AI595</f>
        <v>0</v>
      </c>
      <c r="AX570" s="403">
        <f>'Portefeuille SP2'!AJ595</f>
        <v>0</v>
      </c>
      <c r="AY570" s="403">
        <f>'Portefeuille SP2'!AK595</f>
        <v>0</v>
      </c>
      <c r="AZ570" s="403">
        <f>'Portefeuille SP2'!AL595</f>
        <v>0</v>
      </c>
      <c r="BA570" s="403">
        <f>'Portefeuille SP2'!AM595</f>
        <v>0</v>
      </c>
      <c r="BB570" s="403">
        <f>'Portefeuille SP2'!AN595</f>
        <v>0</v>
      </c>
      <c r="BC570" s="403">
        <f>'Portefeuille SP2'!AO595</f>
        <v>0</v>
      </c>
      <c r="BD570" s="403">
        <f>'Portefeuille SP2'!AP595</f>
        <v>0</v>
      </c>
      <c r="BE570" s="403">
        <f>'Portefeuille SP2'!AQ595</f>
        <v>0</v>
      </c>
      <c r="BF570" s="403">
        <f>'Portefeuille SP2'!AR595</f>
        <v>0</v>
      </c>
      <c r="BG570" s="403" t="e">
        <f>'Portefeuille SP2'!#REF!</f>
        <v>#REF!</v>
      </c>
      <c r="BH570" s="403" t="e">
        <f>'Portefeuille SP2'!#REF!</f>
        <v>#REF!</v>
      </c>
      <c r="BI570" s="403" t="e">
        <f>'Portefeuille SP2'!#REF!</f>
        <v>#REF!</v>
      </c>
      <c r="BJ570" s="403" t="e">
        <f>'Portefeuille SP2'!#REF!</f>
        <v>#REF!</v>
      </c>
      <c r="BK570" s="403" t="e">
        <f>'Portefeuille SP2'!#REF!</f>
        <v>#REF!</v>
      </c>
      <c r="BL570" s="388"/>
      <c r="BM570" s="404">
        <f>'Portefeuille SP2'!L595</f>
        <v>0</v>
      </c>
    </row>
    <row r="571" spans="1:65" ht="15" customHeight="1">
      <c r="A571" s="383">
        <f>'Portefeuille SP2'!B596</f>
        <v>0</v>
      </c>
      <c r="B571" s="390">
        <f>'Portefeuille SP2'!Q596</f>
        <v>0</v>
      </c>
      <c r="C571" s="384"/>
      <c r="D571" s="382">
        <f>'Portefeuille SP2'!E596</f>
        <v>0</v>
      </c>
      <c r="E571" s="382" t="str">
        <f t="shared" si="37"/>
        <v>0</v>
      </c>
      <c r="F571" s="382" t="str">
        <f t="shared" si="38"/>
        <v/>
      </c>
      <c r="G571" s="382">
        <f>'Portefeuille SP2'!C596</f>
        <v>0</v>
      </c>
      <c r="H571" s="382">
        <f>'Portefeuille SP2'!F596</f>
        <v>0</v>
      </c>
      <c r="I571" s="382"/>
      <c r="J571" s="382">
        <f>'Portefeuille SP2'!D596</f>
        <v>0</v>
      </c>
      <c r="K571" s="385">
        <f>'Portefeuille SP2'!H596</f>
        <v>0</v>
      </c>
      <c r="L571" s="157">
        <f>'Portefeuille SP2'!U596</f>
        <v>0</v>
      </c>
      <c r="M571" s="386"/>
      <c r="N571" s="386"/>
      <c r="O571" s="386"/>
      <c r="P571" s="387">
        <f>'Portefeuille SP2'!M596</f>
        <v>0</v>
      </c>
      <c r="Q571" s="387"/>
      <c r="R571" s="387">
        <f>'Portefeuille SP2'!N596</f>
        <v>0</v>
      </c>
      <c r="S571" s="387"/>
      <c r="T571" s="382">
        <f>'Portefeuille SP2'!R596</f>
        <v>0</v>
      </c>
      <c r="U571" s="387">
        <f>'Portefeuille SP2'!K596</f>
        <v>0</v>
      </c>
      <c r="V571" s="399">
        <f>'Portefeuille SP2'!S596</f>
        <v>0</v>
      </c>
      <c r="W571" s="387"/>
      <c r="X571" s="387"/>
      <c r="Y571" s="387"/>
      <c r="Z571" s="387"/>
      <c r="AA571" s="387"/>
      <c r="AB571" s="387"/>
      <c r="AC571" s="387"/>
      <c r="AD571" s="387"/>
      <c r="AE571" s="400">
        <f>'Portefeuille SP2'!J596</f>
        <v>0</v>
      </c>
      <c r="AF571" s="387"/>
      <c r="AG571" s="387"/>
      <c r="AH571" s="389"/>
      <c r="AI571" s="389"/>
      <c r="AJ571" s="403">
        <f>'Portefeuille SP2'!V596</f>
        <v>0</v>
      </c>
      <c r="AK571" s="403">
        <f>'Portefeuille SP2'!W596</f>
        <v>0</v>
      </c>
      <c r="AL571" s="403">
        <f>'Portefeuille SP2'!X596</f>
        <v>0</v>
      </c>
      <c r="AM571" s="403">
        <f>'Portefeuille SP2'!Y596</f>
        <v>0</v>
      </c>
      <c r="AN571" s="403">
        <f>'Portefeuille SP2'!Z596</f>
        <v>0</v>
      </c>
      <c r="AO571" s="403">
        <f>'Portefeuille SP2'!AA596</f>
        <v>0</v>
      </c>
      <c r="AP571" s="403">
        <f>'Portefeuille SP2'!AB596</f>
        <v>0</v>
      </c>
      <c r="AQ571" s="403">
        <f>'Portefeuille SP2'!AC596</f>
        <v>0</v>
      </c>
      <c r="AR571" s="403">
        <f>'Portefeuille SP2'!AD596</f>
        <v>0</v>
      </c>
      <c r="AS571" s="403">
        <f>'Portefeuille SP2'!AE596</f>
        <v>0</v>
      </c>
      <c r="AT571" s="403">
        <f>'Portefeuille SP2'!AF596</f>
        <v>0</v>
      </c>
      <c r="AU571" s="403">
        <f>'Portefeuille SP2'!AG596</f>
        <v>0</v>
      </c>
      <c r="AV571" s="403">
        <f>'Portefeuille SP2'!AH596</f>
        <v>0</v>
      </c>
      <c r="AW571" s="403">
        <f>'Portefeuille SP2'!AI596</f>
        <v>0</v>
      </c>
      <c r="AX571" s="403">
        <f>'Portefeuille SP2'!AJ596</f>
        <v>0</v>
      </c>
      <c r="AY571" s="403">
        <f>'Portefeuille SP2'!AK596</f>
        <v>0</v>
      </c>
      <c r="AZ571" s="403">
        <f>'Portefeuille SP2'!AL596</f>
        <v>0</v>
      </c>
      <c r="BA571" s="403">
        <f>'Portefeuille SP2'!AM596</f>
        <v>0</v>
      </c>
      <c r="BB571" s="403">
        <f>'Portefeuille SP2'!AN596</f>
        <v>0</v>
      </c>
      <c r="BC571" s="403">
        <f>'Portefeuille SP2'!AO596</f>
        <v>0</v>
      </c>
      <c r="BD571" s="403">
        <f>'Portefeuille SP2'!AP596</f>
        <v>0</v>
      </c>
      <c r="BE571" s="403">
        <f>'Portefeuille SP2'!AQ596</f>
        <v>0</v>
      </c>
      <c r="BF571" s="403">
        <f>'Portefeuille SP2'!AR596</f>
        <v>0</v>
      </c>
      <c r="BG571" s="403" t="e">
        <f>'Portefeuille SP2'!#REF!</f>
        <v>#REF!</v>
      </c>
      <c r="BH571" s="403" t="e">
        <f>'Portefeuille SP2'!#REF!</f>
        <v>#REF!</v>
      </c>
      <c r="BI571" s="403" t="e">
        <f>'Portefeuille SP2'!#REF!</f>
        <v>#REF!</v>
      </c>
      <c r="BJ571" s="403" t="e">
        <f>'Portefeuille SP2'!#REF!</f>
        <v>#REF!</v>
      </c>
      <c r="BK571" s="403" t="e">
        <f>'Portefeuille SP2'!#REF!</f>
        <v>#REF!</v>
      </c>
      <c r="BL571" s="388"/>
      <c r="BM571" s="404">
        <f>'Portefeuille SP2'!L596</f>
        <v>0</v>
      </c>
    </row>
    <row r="572" spans="1:65" ht="15" customHeight="1">
      <c r="A572" s="383">
        <f>'Portefeuille SP2'!B597</f>
        <v>0</v>
      </c>
      <c r="B572" s="390">
        <f>'Portefeuille SP2'!Q597</f>
        <v>0</v>
      </c>
      <c r="C572" s="384"/>
      <c r="D572" s="382">
        <f>'Portefeuille SP2'!E597</f>
        <v>0</v>
      </c>
      <c r="E572" s="382" t="str">
        <f t="shared" si="37"/>
        <v>0</v>
      </c>
      <c r="F572" s="382" t="str">
        <f t="shared" si="38"/>
        <v/>
      </c>
      <c r="G572" s="382">
        <f>'Portefeuille SP2'!C597</f>
        <v>0</v>
      </c>
      <c r="H572" s="382">
        <f>'Portefeuille SP2'!F597</f>
        <v>0</v>
      </c>
      <c r="I572" s="382"/>
      <c r="J572" s="382">
        <f>'Portefeuille SP2'!D597</f>
        <v>0</v>
      </c>
      <c r="K572" s="385">
        <f>'Portefeuille SP2'!H597</f>
        <v>0</v>
      </c>
      <c r="L572" s="157">
        <f>'Portefeuille SP2'!U597</f>
        <v>0</v>
      </c>
      <c r="M572" s="386"/>
      <c r="N572" s="386"/>
      <c r="O572" s="386"/>
      <c r="P572" s="387">
        <f>'Portefeuille SP2'!M597</f>
        <v>0</v>
      </c>
      <c r="Q572" s="387"/>
      <c r="R572" s="387">
        <f>'Portefeuille SP2'!N597</f>
        <v>0</v>
      </c>
      <c r="S572" s="387"/>
      <c r="T572" s="382">
        <f>'Portefeuille SP2'!R597</f>
        <v>0</v>
      </c>
      <c r="U572" s="387">
        <f>'Portefeuille SP2'!K597</f>
        <v>0</v>
      </c>
      <c r="V572" s="399">
        <f>'Portefeuille SP2'!S597</f>
        <v>0</v>
      </c>
      <c r="W572" s="387"/>
      <c r="X572" s="387"/>
      <c r="Y572" s="387"/>
      <c r="Z572" s="387"/>
      <c r="AA572" s="387"/>
      <c r="AB572" s="387"/>
      <c r="AC572" s="387"/>
      <c r="AD572" s="387"/>
      <c r="AE572" s="400">
        <f>'Portefeuille SP2'!J597</f>
        <v>0</v>
      </c>
      <c r="AF572" s="387"/>
      <c r="AG572" s="387"/>
      <c r="AH572" s="389"/>
      <c r="AI572" s="389"/>
      <c r="AJ572" s="403">
        <f>'Portefeuille SP2'!V597</f>
        <v>0</v>
      </c>
      <c r="AK572" s="403">
        <f>'Portefeuille SP2'!W597</f>
        <v>0</v>
      </c>
      <c r="AL572" s="403">
        <f>'Portefeuille SP2'!X597</f>
        <v>0</v>
      </c>
      <c r="AM572" s="403">
        <f>'Portefeuille SP2'!Y597</f>
        <v>0</v>
      </c>
      <c r="AN572" s="403">
        <f>'Portefeuille SP2'!Z597</f>
        <v>0</v>
      </c>
      <c r="AO572" s="403">
        <f>'Portefeuille SP2'!AA597</f>
        <v>0</v>
      </c>
      <c r="AP572" s="403">
        <f>'Portefeuille SP2'!AB597</f>
        <v>0</v>
      </c>
      <c r="AQ572" s="403">
        <f>'Portefeuille SP2'!AC597</f>
        <v>0</v>
      </c>
      <c r="AR572" s="403">
        <f>'Portefeuille SP2'!AD597</f>
        <v>0</v>
      </c>
      <c r="AS572" s="403">
        <f>'Portefeuille SP2'!AE597</f>
        <v>0</v>
      </c>
      <c r="AT572" s="403">
        <f>'Portefeuille SP2'!AF597</f>
        <v>0</v>
      </c>
      <c r="AU572" s="403">
        <f>'Portefeuille SP2'!AG597</f>
        <v>0</v>
      </c>
      <c r="AV572" s="403">
        <f>'Portefeuille SP2'!AH597</f>
        <v>0</v>
      </c>
      <c r="AW572" s="403">
        <f>'Portefeuille SP2'!AI597</f>
        <v>0</v>
      </c>
      <c r="AX572" s="403">
        <f>'Portefeuille SP2'!AJ597</f>
        <v>0</v>
      </c>
      <c r="AY572" s="403">
        <f>'Portefeuille SP2'!AK597</f>
        <v>0</v>
      </c>
      <c r="AZ572" s="403">
        <f>'Portefeuille SP2'!AL597</f>
        <v>0</v>
      </c>
      <c r="BA572" s="403">
        <f>'Portefeuille SP2'!AM597</f>
        <v>0</v>
      </c>
      <c r="BB572" s="403">
        <f>'Portefeuille SP2'!AN597</f>
        <v>0</v>
      </c>
      <c r="BC572" s="403">
        <f>'Portefeuille SP2'!AO597</f>
        <v>0</v>
      </c>
      <c r="BD572" s="403">
        <f>'Portefeuille SP2'!AP597</f>
        <v>0</v>
      </c>
      <c r="BE572" s="403">
        <f>'Portefeuille SP2'!AQ597</f>
        <v>0</v>
      </c>
      <c r="BF572" s="403">
        <f>'Portefeuille SP2'!AR597</f>
        <v>0</v>
      </c>
      <c r="BG572" s="403" t="e">
        <f>'Portefeuille SP2'!#REF!</f>
        <v>#REF!</v>
      </c>
      <c r="BH572" s="403" t="e">
        <f>'Portefeuille SP2'!#REF!</f>
        <v>#REF!</v>
      </c>
      <c r="BI572" s="403" t="e">
        <f>'Portefeuille SP2'!#REF!</f>
        <v>#REF!</v>
      </c>
      <c r="BJ572" s="403" t="e">
        <f>'Portefeuille SP2'!#REF!</f>
        <v>#REF!</v>
      </c>
      <c r="BK572" s="403" t="e">
        <f>'Portefeuille SP2'!#REF!</f>
        <v>#REF!</v>
      </c>
      <c r="BL572" s="388"/>
      <c r="BM572" s="404">
        <f>'Portefeuille SP2'!L597</f>
        <v>0</v>
      </c>
    </row>
    <row r="573" spans="1:65" ht="15" customHeight="1">
      <c r="A573" s="383">
        <f>'Portefeuille SP2'!B598</f>
        <v>0</v>
      </c>
      <c r="B573" s="390">
        <f>'Portefeuille SP2'!Q598</f>
        <v>0</v>
      </c>
      <c r="C573" s="384"/>
      <c r="D573" s="382">
        <f>'Portefeuille SP2'!E598</f>
        <v>0</v>
      </c>
      <c r="E573" s="382" t="str">
        <f t="shared" si="37"/>
        <v>0</v>
      </c>
      <c r="F573" s="382" t="str">
        <f t="shared" si="38"/>
        <v/>
      </c>
      <c r="G573" s="382">
        <f>'Portefeuille SP2'!C598</f>
        <v>0</v>
      </c>
      <c r="H573" s="382">
        <f>'Portefeuille SP2'!F598</f>
        <v>0</v>
      </c>
      <c r="I573" s="382"/>
      <c r="J573" s="382">
        <f>'Portefeuille SP2'!D598</f>
        <v>0</v>
      </c>
      <c r="K573" s="385">
        <f>'Portefeuille SP2'!H598</f>
        <v>0</v>
      </c>
      <c r="L573" s="157">
        <f>'Portefeuille SP2'!U598</f>
        <v>0</v>
      </c>
      <c r="M573" s="386"/>
      <c r="N573" s="386"/>
      <c r="O573" s="386"/>
      <c r="P573" s="387">
        <f>'Portefeuille SP2'!M598</f>
        <v>0</v>
      </c>
      <c r="Q573" s="387"/>
      <c r="R573" s="387">
        <f>'Portefeuille SP2'!N598</f>
        <v>0</v>
      </c>
      <c r="S573" s="387"/>
      <c r="T573" s="382">
        <f>'Portefeuille SP2'!R598</f>
        <v>0</v>
      </c>
      <c r="U573" s="387">
        <f>'Portefeuille SP2'!K598</f>
        <v>0</v>
      </c>
      <c r="V573" s="399">
        <f>'Portefeuille SP2'!S598</f>
        <v>0</v>
      </c>
      <c r="W573" s="387"/>
      <c r="X573" s="387"/>
      <c r="Y573" s="387"/>
      <c r="Z573" s="387"/>
      <c r="AA573" s="387"/>
      <c r="AB573" s="387"/>
      <c r="AC573" s="387"/>
      <c r="AD573" s="387"/>
      <c r="AE573" s="400">
        <f>'Portefeuille SP2'!J598</f>
        <v>0</v>
      </c>
      <c r="AF573" s="387"/>
      <c r="AG573" s="387"/>
      <c r="AH573" s="389"/>
      <c r="AI573" s="389"/>
      <c r="AJ573" s="403">
        <f>'Portefeuille SP2'!V598</f>
        <v>0</v>
      </c>
      <c r="AK573" s="403">
        <f>'Portefeuille SP2'!W598</f>
        <v>0</v>
      </c>
      <c r="AL573" s="403">
        <f>'Portefeuille SP2'!X598</f>
        <v>0</v>
      </c>
      <c r="AM573" s="403">
        <f>'Portefeuille SP2'!Y598</f>
        <v>0</v>
      </c>
      <c r="AN573" s="403">
        <f>'Portefeuille SP2'!Z598</f>
        <v>0</v>
      </c>
      <c r="AO573" s="403">
        <f>'Portefeuille SP2'!AA598</f>
        <v>0</v>
      </c>
      <c r="AP573" s="403">
        <f>'Portefeuille SP2'!AB598</f>
        <v>0</v>
      </c>
      <c r="AQ573" s="403">
        <f>'Portefeuille SP2'!AC598</f>
        <v>0</v>
      </c>
      <c r="AR573" s="403">
        <f>'Portefeuille SP2'!AD598</f>
        <v>0</v>
      </c>
      <c r="AS573" s="403">
        <f>'Portefeuille SP2'!AE598</f>
        <v>0</v>
      </c>
      <c r="AT573" s="403">
        <f>'Portefeuille SP2'!AF598</f>
        <v>0</v>
      </c>
      <c r="AU573" s="403">
        <f>'Portefeuille SP2'!AG598</f>
        <v>0</v>
      </c>
      <c r="AV573" s="403">
        <f>'Portefeuille SP2'!AH598</f>
        <v>0</v>
      </c>
      <c r="AW573" s="403">
        <f>'Portefeuille SP2'!AI598</f>
        <v>0</v>
      </c>
      <c r="AX573" s="403">
        <f>'Portefeuille SP2'!AJ598</f>
        <v>0</v>
      </c>
      <c r="AY573" s="403">
        <f>'Portefeuille SP2'!AK598</f>
        <v>0</v>
      </c>
      <c r="AZ573" s="403">
        <f>'Portefeuille SP2'!AL598</f>
        <v>0</v>
      </c>
      <c r="BA573" s="403">
        <f>'Portefeuille SP2'!AM598</f>
        <v>0</v>
      </c>
      <c r="BB573" s="403">
        <f>'Portefeuille SP2'!AN598</f>
        <v>0</v>
      </c>
      <c r="BC573" s="403">
        <f>'Portefeuille SP2'!AO598</f>
        <v>0</v>
      </c>
      <c r="BD573" s="403">
        <f>'Portefeuille SP2'!AP598</f>
        <v>0</v>
      </c>
      <c r="BE573" s="403">
        <f>'Portefeuille SP2'!AQ598</f>
        <v>0</v>
      </c>
      <c r="BF573" s="403">
        <f>'Portefeuille SP2'!AR598</f>
        <v>0</v>
      </c>
      <c r="BG573" s="403" t="e">
        <f>'Portefeuille SP2'!#REF!</f>
        <v>#REF!</v>
      </c>
      <c r="BH573" s="403" t="e">
        <f>'Portefeuille SP2'!#REF!</f>
        <v>#REF!</v>
      </c>
      <c r="BI573" s="403" t="e">
        <f>'Portefeuille SP2'!#REF!</f>
        <v>#REF!</v>
      </c>
      <c r="BJ573" s="403" t="e">
        <f>'Portefeuille SP2'!#REF!</f>
        <v>#REF!</v>
      </c>
      <c r="BK573" s="403" t="e">
        <f>'Portefeuille SP2'!#REF!</f>
        <v>#REF!</v>
      </c>
      <c r="BL573" s="388"/>
      <c r="BM573" s="404">
        <f>'Portefeuille SP2'!L598</f>
        <v>0</v>
      </c>
    </row>
    <row r="574" spans="1:65" ht="15" customHeight="1">
      <c r="A574" s="383">
        <f>'Portefeuille SP2'!B599</f>
        <v>0</v>
      </c>
      <c r="B574" s="390">
        <f>'Portefeuille SP2'!Q599</f>
        <v>0</v>
      </c>
      <c r="C574" s="384"/>
      <c r="D574" s="382">
        <f>'Portefeuille SP2'!E599</f>
        <v>0</v>
      </c>
      <c r="E574" s="382" t="str">
        <f t="shared" si="37"/>
        <v>0</v>
      </c>
      <c r="F574" s="382" t="str">
        <f t="shared" si="38"/>
        <v/>
      </c>
      <c r="G574" s="382">
        <f>'Portefeuille SP2'!C599</f>
        <v>0</v>
      </c>
      <c r="H574" s="382">
        <f>'Portefeuille SP2'!F599</f>
        <v>0</v>
      </c>
      <c r="I574" s="382"/>
      <c r="J574" s="382">
        <f>'Portefeuille SP2'!D599</f>
        <v>0</v>
      </c>
      <c r="K574" s="385">
        <f>'Portefeuille SP2'!H599</f>
        <v>0</v>
      </c>
      <c r="L574" s="157">
        <f>'Portefeuille SP2'!U599</f>
        <v>0</v>
      </c>
      <c r="M574" s="386"/>
      <c r="N574" s="386"/>
      <c r="O574" s="386"/>
      <c r="P574" s="387">
        <f>'Portefeuille SP2'!M599</f>
        <v>0</v>
      </c>
      <c r="Q574" s="387"/>
      <c r="R574" s="387">
        <f>'Portefeuille SP2'!N599</f>
        <v>0</v>
      </c>
      <c r="S574" s="387"/>
      <c r="T574" s="382">
        <f>'Portefeuille SP2'!R599</f>
        <v>0</v>
      </c>
      <c r="U574" s="387">
        <f>'Portefeuille SP2'!K599</f>
        <v>0</v>
      </c>
      <c r="V574" s="399">
        <f>'Portefeuille SP2'!S599</f>
        <v>0</v>
      </c>
      <c r="W574" s="387"/>
      <c r="X574" s="387"/>
      <c r="Y574" s="387"/>
      <c r="Z574" s="387"/>
      <c r="AA574" s="387"/>
      <c r="AB574" s="387"/>
      <c r="AC574" s="387"/>
      <c r="AD574" s="387"/>
      <c r="AE574" s="400">
        <f>'Portefeuille SP2'!J599</f>
        <v>0</v>
      </c>
      <c r="AF574" s="387"/>
      <c r="AG574" s="387"/>
      <c r="AH574" s="389"/>
      <c r="AI574" s="389"/>
      <c r="AJ574" s="403">
        <f>'Portefeuille SP2'!V599</f>
        <v>0</v>
      </c>
      <c r="AK574" s="403">
        <f>'Portefeuille SP2'!W599</f>
        <v>0</v>
      </c>
      <c r="AL574" s="403">
        <f>'Portefeuille SP2'!X599</f>
        <v>0</v>
      </c>
      <c r="AM574" s="403">
        <f>'Portefeuille SP2'!Y599</f>
        <v>0</v>
      </c>
      <c r="AN574" s="403">
        <f>'Portefeuille SP2'!Z599</f>
        <v>0</v>
      </c>
      <c r="AO574" s="403">
        <f>'Portefeuille SP2'!AA599</f>
        <v>0</v>
      </c>
      <c r="AP574" s="403">
        <f>'Portefeuille SP2'!AB599</f>
        <v>0</v>
      </c>
      <c r="AQ574" s="403">
        <f>'Portefeuille SP2'!AC599</f>
        <v>0</v>
      </c>
      <c r="AR574" s="403">
        <f>'Portefeuille SP2'!AD599</f>
        <v>0</v>
      </c>
      <c r="AS574" s="403">
        <f>'Portefeuille SP2'!AE599</f>
        <v>0</v>
      </c>
      <c r="AT574" s="403">
        <f>'Portefeuille SP2'!AF599</f>
        <v>0</v>
      </c>
      <c r="AU574" s="403">
        <f>'Portefeuille SP2'!AG599</f>
        <v>0</v>
      </c>
      <c r="AV574" s="403">
        <f>'Portefeuille SP2'!AH599</f>
        <v>0</v>
      </c>
      <c r="AW574" s="403">
        <f>'Portefeuille SP2'!AI599</f>
        <v>0</v>
      </c>
      <c r="AX574" s="403">
        <f>'Portefeuille SP2'!AJ599</f>
        <v>0</v>
      </c>
      <c r="AY574" s="403">
        <f>'Portefeuille SP2'!AK599</f>
        <v>0</v>
      </c>
      <c r="AZ574" s="403">
        <f>'Portefeuille SP2'!AL599</f>
        <v>0</v>
      </c>
      <c r="BA574" s="403">
        <f>'Portefeuille SP2'!AM599</f>
        <v>0</v>
      </c>
      <c r="BB574" s="403">
        <f>'Portefeuille SP2'!AN599</f>
        <v>0</v>
      </c>
      <c r="BC574" s="403">
        <f>'Portefeuille SP2'!AO599</f>
        <v>0</v>
      </c>
      <c r="BD574" s="403">
        <f>'Portefeuille SP2'!AP599</f>
        <v>0</v>
      </c>
      <c r="BE574" s="403">
        <f>'Portefeuille SP2'!AQ599</f>
        <v>0</v>
      </c>
      <c r="BF574" s="403">
        <f>'Portefeuille SP2'!AR599</f>
        <v>0</v>
      </c>
      <c r="BG574" s="403" t="e">
        <f>'Portefeuille SP2'!#REF!</f>
        <v>#REF!</v>
      </c>
      <c r="BH574" s="403" t="e">
        <f>'Portefeuille SP2'!#REF!</f>
        <v>#REF!</v>
      </c>
      <c r="BI574" s="403" t="e">
        <f>'Portefeuille SP2'!#REF!</f>
        <v>#REF!</v>
      </c>
      <c r="BJ574" s="403" t="e">
        <f>'Portefeuille SP2'!#REF!</f>
        <v>#REF!</v>
      </c>
      <c r="BK574" s="403" t="e">
        <f>'Portefeuille SP2'!#REF!</f>
        <v>#REF!</v>
      </c>
      <c r="BL574" s="388"/>
      <c r="BM574" s="404">
        <f>'Portefeuille SP2'!L599</f>
        <v>0</v>
      </c>
    </row>
    <row r="575" spans="1:65" ht="15" customHeight="1">
      <c r="A575" s="383">
        <f>'Portefeuille SP2'!B600</f>
        <v>0</v>
      </c>
      <c r="B575" s="390">
        <f>'Portefeuille SP2'!Q600</f>
        <v>0</v>
      </c>
      <c r="C575" s="384"/>
      <c r="D575" s="382">
        <f>'Portefeuille SP2'!E600</f>
        <v>0</v>
      </c>
      <c r="E575" s="382" t="str">
        <f t="shared" si="37"/>
        <v>0</v>
      </c>
      <c r="F575" s="382" t="str">
        <f t="shared" si="38"/>
        <v/>
      </c>
      <c r="G575" s="382">
        <f>'Portefeuille SP2'!C600</f>
        <v>0</v>
      </c>
      <c r="H575" s="382">
        <f>'Portefeuille SP2'!F600</f>
        <v>0</v>
      </c>
      <c r="I575" s="382"/>
      <c r="J575" s="382">
        <f>'Portefeuille SP2'!D600</f>
        <v>0</v>
      </c>
      <c r="K575" s="385">
        <f>'Portefeuille SP2'!H600</f>
        <v>0</v>
      </c>
      <c r="L575" s="157">
        <f>'Portefeuille SP2'!U600</f>
        <v>0</v>
      </c>
      <c r="M575" s="386"/>
      <c r="N575" s="386"/>
      <c r="O575" s="386"/>
      <c r="P575" s="387">
        <f>'Portefeuille SP2'!M600</f>
        <v>0</v>
      </c>
      <c r="Q575" s="387"/>
      <c r="R575" s="387">
        <f>'Portefeuille SP2'!N600</f>
        <v>0</v>
      </c>
      <c r="S575" s="387"/>
      <c r="T575" s="382">
        <f>'Portefeuille SP2'!R600</f>
        <v>0</v>
      </c>
      <c r="U575" s="387">
        <f>'Portefeuille SP2'!K600</f>
        <v>0</v>
      </c>
      <c r="V575" s="399">
        <f>'Portefeuille SP2'!S600</f>
        <v>0</v>
      </c>
      <c r="W575" s="387"/>
      <c r="X575" s="387"/>
      <c r="Y575" s="387"/>
      <c r="Z575" s="387"/>
      <c r="AA575" s="387"/>
      <c r="AB575" s="387"/>
      <c r="AC575" s="387"/>
      <c r="AD575" s="387"/>
      <c r="AE575" s="400">
        <f>'Portefeuille SP2'!J600</f>
        <v>0</v>
      </c>
      <c r="AF575" s="387"/>
      <c r="AG575" s="387"/>
      <c r="AH575" s="389"/>
      <c r="AI575" s="389"/>
      <c r="AJ575" s="403">
        <f>'Portefeuille SP2'!V600</f>
        <v>0</v>
      </c>
      <c r="AK575" s="403">
        <f>'Portefeuille SP2'!W600</f>
        <v>0</v>
      </c>
      <c r="AL575" s="403">
        <f>'Portefeuille SP2'!X600</f>
        <v>0</v>
      </c>
      <c r="AM575" s="403">
        <f>'Portefeuille SP2'!Y600</f>
        <v>0</v>
      </c>
      <c r="AN575" s="403">
        <f>'Portefeuille SP2'!Z600</f>
        <v>0</v>
      </c>
      <c r="AO575" s="403">
        <f>'Portefeuille SP2'!AA600</f>
        <v>0</v>
      </c>
      <c r="AP575" s="403">
        <f>'Portefeuille SP2'!AB600</f>
        <v>0</v>
      </c>
      <c r="AQ575" s="403">
        <f>'Portefeuille SP2'!AC600</f>
        <v>0</v>
      </c>
      <c r="AR575" s="403">
        <f>'Portefeuille SP2'!AD600</f>
        <v>0</v>
      </c>
      <c r="AS575" s="403">
        <f>'Portefeuille SP2'!AE600</f>
        <v>0</v>
      </c>
      <c r="AT575" s="403">
        <f>'Portefeuille SP2'!AF600</f>
        <v>0</v>
      </c>
      <c r="AU575" s="403">
        <f>'Portefeuille SP2'!AG600</f>
        <v>0</v>
      </c>
      <c r="AV575" s="403">
        <f>'Portefeuille SP2'!AH600</f>
        <v>0</v>
      </c>
      <c r="AW575" s="403">
        <f>'Portefeuille SP2'!AI600</f>
        <v>0</v>
      </c>
      <c r="AX575" s="403">
        <f>'Portefeuille SP2'!AJ600</f>
        <v>0</v>
      </c>
      <c r="AY575" s="403">
        <f>'Portefeuille SP2'!AK600</f>
        <v>0</v>
      </c>
      <c r="AZ575" s="403">
        <f>'Portefeuille SP2'!AL600</f>
        <v>0</v>
      </c>
      <c r="BA575" s="403">
        <f>'Portefeuille SP2'!AM600</f>
        <v>0</v>
      </c>
      <c r="BB575" s="403">
        <f>'Portefeuille SP2'!AN600</f>
        <v>0</v>
      </c>
      <c r="BC575" s="403">
        <f>'Portefeuille SP2'!AO600</f>
        <v>0</v>
      </c>
      <c r="BD575" s="403">
        <f>'Portefeuille SP2'!AP600</f>
        <v>0</v>
      </c>
      <c r="BE575" s="403">
        <f>'Portefeuille SP2'!AQ600</f>
        <v>0</v>
      </c>
      <c r="BF575" s="403">
        <f>'Portefeuille SP2'!AR600</f>
        <v>0</v>
      </c>
      <c r="BG575" s="403" t="e">
        <f>'Portefeuille SP2'!#REF!</f>
        <v>#REF!</v>
      </c>
      <c r="BH575" s="403" t="e">
        <f>'Portefeuille SP2'!#REF!</f>
        <v>#REF!</v>
      </c>
      <c r="BI575" s="403" t="e">
        <f>'Portefeuille SP2'!#REF!</f>
        <v>#REF!</v>
      </c>
      <c r="BJ575" s="403" t="e">
        <f>'Portefeuille SP2'!#REF!</f>
        <v>#REF!</v>
      </c>
      <c r="BK575" s="403" t="e">
        <f>'Portefeuille SP2'!#REF!</f>
        <v>#REF!</v>
      </c>
      <c r="BL575" s="388"/>
      <c r="BM575" s="404">
        <f>'Portefeuille SP2'!L600</f>
        <v>0</v>
      </c>
    </row>
    <row r="576" spans="1:65" ht="15" customHeight="1">
      <c r="A576" s="383">
        <f>'Portefeuille SP2'!B601</f>
        <v>0</v>
      </c>
      <c r="B576" s="390">
        <f>'Portefeuille SP2'!Q601</f>
        <v>0</v>
      </c>
      <c r="C576" s="384"/>
      <c r="D576" s="382">
        <f>'Portefeuille SP2'!E601</f>
        <v>0</v>
      </c>
      <c r="E576" s="382" t="str">
        <f t="shared" si="37"/>
        <v>0</v>
      </c>
      <c r="F576" s="382" t="str">
        <f t="shared" si="38"/>
        <v/>
      </c>
      <c r="G576" s="382">
        <f>'Portefeuille SP2'!C601</f>
        <v>0</v>
      </c>
      <c r="H576" s="382">
        <f>'Portefeuille SP2'!F601</f>
        <v>0</v>
      </c>
      <c r="I576" s="382"/>
      <c r="J576" s="382">
        <f>'Portefeuille SP2'!D601</f>
        <v>0</v>
      </c>
      <c r="K576" s="385">
        <f>'Portefeuille SP2'!H601</f>
        <v>0</v>
      </c>
      <c r="L576" s="157">
        <f>'Portefeuille SP2'!U601</f>
        <v>0</v>
      </c>
      <c r="M576" s="386"/>
      <c r="N576" s="386"/>
      <c r="O576" s="386"/>
      <c r="P576" s="387">
        <f>'Portefeuille SP2'!M601</f>
        <v>0</v>
      </c>
      <c r="Q576" s="387"/>
      <c r="R576" s="387">
        <f>'Portefeuille SP2'!N601</f>
        <v>0</v>
      </c>
      <c r="S576" s="387"/>
      <c r="T576" s="382">
        <f>'Portefeuille SP2'!R601</f>
        <v>0</v>
      </c>
      <c r="U576" s="387">
        <f>'Portefeuille SP2'!K601</f>
        <v>0</v>
      </c>
      <c r="V576" s="399">
        <f>'Portefeuille SP2'!S601</f>
        <v>0</v>
      </c>
      <c r="W576" s="387"/>
      <c r="X576" s="387"/>
      <c r="Y576" s="387"/>
      <c r="Z576" s="387"/>
      <c r="AA576" s="387"/>
      <c r="AB576" s="387"/>
      <c r="AC576" s="387"/>
      <c r="AD576" s="387"/>
      <c r="AE576" s="400">
        <f>'Portefeuille SP2'!J601</f>
        <v>0</v>
      </c>
      <c r="AF576" s="387"/>
      <c r="AG576" s="387"/>
      <c r="AH576" s="389"/>
      <c r="AI576" s="389"/>
      <c r="AJ576" s="403">
        <f>'Portefeuille SP2'!V601</f>
        <v>0</v>
      </c>
      <c r="AK576" s="403">
        <f>'Portefeuille SP2'!W601</f>
        <v>0</v>
      </c>
      <c r="AL576" s="403">
        <f>'Portefeuille SP2'!X601</f>
        <v>0</v>
      </c>
      <c r="AM576" s="403">
        <f>'Portefeuille SP2'!Y601</f>
        <v>0</v>
      </c>
      <c r="AN576" s="403">
        <f>'Portefeuille SP2'!Z601</f>
        <v>0</v>
      </c>
      <c r="AO576" s="403">
        <f>'Portefeuille SP2'!AA601</f>
        <v>0</v>
      </c>
      <c r="AP576" s="403">
        <f>'Portefeuille SP2'!AB601</f>
        <v>0</v>
      </c>
      <c r="AQ576" s="403">
        <f>'Portefeuille SP2'!AC601</f>
        <v>0</v>
      </c>
      <c r="AR576" s="403">
        <f>'Portefeuille SP2'!AD601</f>
        <v>0</v>
      </c>
      <c r="AS576" s="403">
        <f>'Portefeuille SP2'!AE601</f>
        <v>0</v>
      </c>
      <c r="AT576" s="403">
        <f>'Portefeuille SP2'!AF601</f>
        <v>0</v>
      </c>
      <c r="AU576" s="403">
        <f>'Portefeuille SP2'!AG601</f>
        <v>0</v>
      </c>
      <c r="AV576" s="403">
        <f>'Portefeuille SP2'!AH601</f>
        <v>0</v>
      </c>
      <c r="AW576" s="403">
        <f>'Portefeuille SP2'!AI601</f>
        <v>0</v>
      </c>
      <c r="AX576" s="403">
        <f>'Portefeuille SP2'!AJ601</f>
        <v>0</v>
      </c>
      <c r="AY576" s="403">
        <f>'Portefeuille SP2'!AK601</f>
        <v>0</v>
      </c>
      <c r="AZ576" s="403">
        <f>'Portefeuille SP2'!AL601</f>
        <v>0</v>
      </c>
      <c r="BA576" s="403">
        <f>'Portefeuille SP2'!AM601</f>
        <v>0</v>
      </c>
      <c r="BB576" s="403">
        <f>'Portefeuille SP2'!AN601</f>
        <v>0</v>
      </c>
      <c r="BC576" s="403">
        <f>'Portefeuille SP2'!AO601</f>
        <v>0</v>
      </c>
      <c r="BD576" s="403">
        <f>'Portefeuille SP2'!AP601</f>
        <v>0</v>
      </c>
      <c r="BE576" s="403">
        <f>'Portefeuille SP2'!AQ601</f>
        <v>0</v>
      </c>
      <c r="BF576" s="403">
        <f>'Portefeuille SP2'!AR601</f>
        <v>0</v>
      </c>
      <c r="BG576" s="403" t="e">
        <f>'Portefeuille SP2'!#REF!</f>
        <v>#REF!</v>
      </c>
      <c r="BH576" s="403" t="e">
        <f>'Portefeuille SP2'!#REF!</f>
        <v>#REF!</v>
      </c>
      <c r="BI576" s="403" t="e">
        <f>'Portefeuille SP2'!#REF!</f>
        <v>#REF!</v>
      </c>
      <c r="BJ576" s="403" t="e">
        <f>'Portefeuille SP2'!#REF!</f>
        <v>#REF!</v>
      </c>
      <c r="BK576" s="403" t="e">
        <f>'Portefeuille SP2'!#REF!</f>
        <v>#REF!</v>
      </c>
      <c r="BL576" s="388"/>
      <c r="BM576" s="404">
        <f>'Portefeuille SP2'!L601</f>
        <v>0</v>
      </c>
    </row>
    <row r="577" spans="1:65" ht="15" customHeight="1">
      <c r="A577" s="383">
        <f>'Portefeuille SP2'!B602</f>
        <v>0</v>
      </c>
      <c r="B577" s="390">
        <f>'Portefeuille SP2'!Q602</f>
        <v>0</v>
      </c>
      <c r="C577" s="384"/>
      <c r="D577" s="382">
        <f>'Portefeuille SP2'!E602</f>
        <v>0</v>
      </c>
      <c r="E577" s="382" t="str">
        <f t="shared" si="37"/>
        <v>0</v>
      </c>
      <c r="F577" s="382" t="str">
        <f t="shared" si="38"/>
        <v/>
      </c>
      <c r="G577" s="382">
        <f>'Portefeuille SP2'!C602</f>
        <v>0</v>
      </c>
      <c r="H577" s="382">
        <f>'Portefeuille SP2'!F602</f>
        <v>0</v>
      </c>
      <c r="I577" s="382"/>
      <c r="J577" s="382">
        <f>'Portefeuille SP2'!D602</f>
        <v>0</v>
      </c>
      <c r="K577" s="385">
        <f>'Portefeuille SP2'!H602</f>
        <v>0</v>
      </c>
      <c r="L577" s="157">
        <f>'Portefeuille SP2'!U602</f>
        <v>0</v>
      </c>
      <c r="M577" s="386"/>
      <c r="N577" s="386"/>
      <c r="O577" s="386"/>
      <c r="P577" s="387">
        <f>'Portefeuille SP2'!M602</f>
        <v>0</v>
      </c>
      <c r="Q577" s="387"/>
      <c r="R577" s="387">
        <f>'Portefeuille SP2'!N602</f>
        <v>0</v>
      </c>
      <c r="S577" s="387"/>
      <c r="T577" s="382">
        <f>'Portefeuille SP2'!R602</f>
        <v>0</v>
      </c>
      <c r="U577" s="387">
        <f>'Portefeuille SP2'!K602</f>
        <v>0</v>
      </c>
      <c r="V577" s="399">
        <f>'Portefeuille SP2'!S602</f>
        <v>0</v>
      </c>
      <c r="W577" s="387"/>
      <c r="X577" s="387"/>
      <c r="Y577" s="387"/>
      <c r="Z577" s="387"/>
      <c r="AA577" s="387"/>
      <c r="AB577" s="387"/>
      <c r="AC577" s="387"/>
      <c r="AD577" s="387"/>
      <c r="AE577" s="400">
        <f>'Portefeuille SP2'!J602</f>
        <v>0</v>
      </c>
      <c r="AF577" s="387"/>
      <c r="AG577" s="387"/>
      <c r="AH577" s="389"/>
      <c r="AI577" s="389"/>
      <c r="AJ577" s="403">
        <f>'Portefeuille SP2'!V602</f>
        <v>0</v>
      </c>
      <c r="AK577" s="403">
        <f>'Portefeuille SP2'!W602</f>
        <v>0</v>
      </c>
      <c r="AL577" s="403">
        <f>'Portefeuille SP2'!X602</f>
        <v>0</v>
      </c>
      <c r="AM577" s="403">
        <f>'Portefeuille SP2'!Y602</f>
        <v>0</v>
      </c>
      <c r="AN577" s="403">
        <f>'Portefeuille SP2'!Z602</f>
        <v>0</v>
      </c>
      <c r="AO577" s="403">
        <f>'Portefeuille SP2'!AA602</f>
        <v>0</v>
      </c>
      <c r="AP577" s="403">
        <f>'Portefeuille SP2'!AB602</f>
        <v>0</v>
      </c>
      <c r="AQ577" s="403">
        <f>'Portefeuille SP2'!AC602</f>
        <v>0</v>
      </c>
      <c r="AR577" s="403">
        <f>'Portefeuille SP2'!AD602</f>
        <v>0</v>
      </c>
      <c r="AS577" s="403">
        <f>'Portefeuille SP2'!AE602</f>
        <v>0</v>
      </c>
      <c r="AT577" s="403">
        <f>'Portefeuille SP2'!AF602</f>
        <v>0</v>
      </c>
      <c r="AU577" s="403">
        <f>'Portefeuille SP2'!AG602</f>
        <v>0</v>
      </c>
      <c r="AV577" s="403">
        <f>'Portefeuille SP2'!AH602</f>
        <v>0</v>
      </c>
      <c r="AW577" s="403">
        <f>'Portefeuille SP2'!AI602</f>
        <v>0</v>
      </c>
      <c r="AX577" s="403">
        <f>'Portefeuille SP2'!AJ602</f>
        <v>0</v>
      </c>
      <c r="AY577" s="403">
        <f>'Portefeuille SP2'!AK602</f>
        <v>0</v>
      </c>
      <c r="AZ577" s="403">
        <f>'Portefeuille SP2'!AL602</f>
        <v>0</v>
      </c>
      <c r="BA577" s="403">
        <f>'Portefeuille SP2'!AM602</f>
        <v>0</v>
      </c>
      <c r="BB577" s="403">
        <f>'Portefeuille SP2'!AN602</f>
        <v>0</v>
      </c>
      <c r="BC577" s="403">
        <f>'Portefeuille SP2'!AO602</f>
        <v>0</v>
      </c>
      <c r="BD577" s="403">
        <f>'Portefeuille SP2'!AP602</f>
        <v>0</v>
      </c>
      <c r="BE577" s="403">
        <f>'Portefeuille SP2'!AQ602</f>
        <v>0</v>
      </c>
      <c r="BF577" s="403">
        <f>'Portefeuille SP2'!AR602</f>
        <v>0</v>
      </c>
      <c r="BG577" s="403" t="e">
        <f>'Portefeuille SP2'!#REF!</f>
        <v>#REF!</v>
      </c>
      <c r="BH577" s="403" t="e">
        <f>'Portefeuille SP2'!#REF!</f>
        <v>#REF!</v>
      </c>
      <c r="BI577" s="403" t="e">
        <f>'Portefeuille SP2'!#REF!</f>
        <v>#REF!</v>
      </c>
      <c r="BJ577" s="403" t="e">
        <f>'Portefeuille SP2'!#REF!</f>
        <v>#REF!</v>
      </c>
      <c r="BK577" s="403" t="e">
        <f>'Portefeuille SP2'!#REF!</f>
        <v>#REF!</v>
      </c>
      <c r="BL577" s="388"/>
      <c r="BM577" s="404">
        <f>'Portefeuille SP2'!L602</f>
        <v>0</v>
      </c>
    </row>
    <row r="578" spans="1:65" ht="15" customHeight="1">
      <c r="A578" s="383">
        <f>'Portefeuille SP2'!B603</f>
        <v>0</v>
      </c>
      <c r="B578" s="390">
        <f>'Portefeuille SP2'!Q603</f>
        <v>0</v>
      </c>
      <c r="C578" s="384"/>
      <c r="D578" s="382">
        <f>'Portefeuille SP2'!E603</f>
        <v>0</v>
      </c>
      <c r="E578" s="382" t="str">
        <f t="shared" si="37"/>
        <v>0</v>
      </c>
      <c r="F578" s="382" t="str">
        <f t="shared" si="38"/>
        <v/>
      </c>
      <c r="G578" s="382">
        <f>'Portefeuille SP2'!C603</f>
        <v>0</v>
      </c>
      <c r="H578" s="382">
        <f>'Portefeuille SP2'!F603</f>
        <v>0</v>
      </c>
      <c r="I578" s="382"/>
      <c r="J578" s="382">
        <f>'Portefeuille SP2'!D603</f>
        <v>0</v>
      </c>
      <c r="K578" s="385">
        <f>'Portefeuille SP2'!H603</f>
        <v>0</v>
      </c>
      <c r="L578" s="157">
        <f>'Portefeuille SP2'!U603</f>
        <v>0</v>
      </c>
      <c r="M578" s="386"/>
      <c r="N578" s="386"/>
      <c r="O578" s="386"/>
      <c r="P578" s="387">
        <f>'Portefeuille SP2'!M603</f>
        <v>0</v>
      </c>
      <c r="Q578" s="387"/>
      <c r="R578" s="387">
        <f>'Portefeuille SP2'!N603</f>
        <v>0</v>
      </c>
      <c r="S578" s="387"/>
      <c r="T578" s="382">
        <f>'Portefeuille SP2'!R603</f>
        <v>0</v>
      </c>
      <c r="U578" s="387">
        <f>'Portefeuille SP2'!K603</f>
        <v>0</v>
      </c>
      <c r="V578" s="399">
        <f>'Portefeuille SP2'!S603</f>
        <v>0</v>
      </c>
      <c r="W578" s="387"/>
      <c r="X578" s="387"/>
      <c r="Y578" s="387"/>
      <c r="Z578" s="387"/>
      <c r="AA578" s="387"/>
      <c r="AB578" s="387"/>
      <c r="AC578" s="387"/>
      <c r="AD578" s="387"/>
      <c r="AE578" s="400">
        <f>'Portefeuille SP2'!J603</f>
        <v>0</v>
      </c>
      <c r="AF578" s="387"/>
      <c r="AG578" s="387"/>
      <c r="AH578" s="389"/>
      <c r="AI578" s="389"/>
      <c r="AJ578" s="403">
        <f>'Portefeuille SP2'!V603</f>
        <v>0</v>
      </c>
      <c r="AK578" s="403">
        <f>'Portefeuille SP2'!W603</f>
        <v>0</v>
      </c>
      <c r="AL578" s="403">
        <f>'Portefeuille SP2'!X603</f>
        <v>0</v>
      </c>
      <c r="AM578" s="403">
        <f>'Portefeuille SP2'!Y603</f>
        <v>0</v>
      </c>
      <c r="AN578" s="403">
        <f>'Portefeuille SP2'!Z603</f>
        <v>0</v>
      </c>
      <c r="AO578" s="403">
        <f>'Portefeuille SP2'!AA603</f>
        <v>0</v>
      </c>
      <c r="AP578" s="403">
        <f>'Portefeuille SP2'!AB603</f>
        <v>0</v>
      </c>
      <c r="AQ578" s="403">
        <f>'Portefeuille SP2'!AC603</f>
        <v>0</v>
      </c>
      <c r="AR578" s="403">
        <f>'Portefeuille SP2'!AD603</f>
        <v>0</v>
      </c>
      <c r="AS578" s="403">
        <f>'Portefeuille SP2'!AE603</f>
        <v>0</v>
      </c>
      <c r="AT578" s="403">
        <f>'Portefeuille SP2'!AF603</f>
        <v>0</v>
      </c>
      <c r="AU578" s="403">
        <f>'Portefeuille SP2'!AG603</f>
        <v>0</v>
      </c>
      <c r="AV578" s="403">
        <f>'Portefeuille SP2'!AH603</f>
        <v>0</v>
      </c>
      <c r="AW578" s="403">
        <f>'Portefeuille SP2'!AI603</f>
        <v>0</v>
      </c>
      <c r="AX578" s="403">
        <f>'Portefeuille SP2'!AJ603</f>
        <v>0</v>
      </c>
      <c r="AY578" s="403">
        <f>'Portefeuille SP2'!AK603</f>
        <v>0</v>
      </c>
      <c r="AZ578" s="403">
        <f>'Portefeuille SP2'!AL603</f>
        <v>0</v>
      </c>
      <c r="BA578" s="403">
        <f>'Portefeuille SP2'!AM603</f>
        <v>0</v>
      </c>
      <c r="BB578" s="403">
        <f>'Portefeuille SP2'!AN603</f>
        <v>0</v>
      </c>
      <c r="BC578" s="403">
        <f>'Portefeuille SP2'!AO603</f>
        <v>0</v>
      </c>
      <c r="BD578" s="403">
        <f>'Portefeuille SP2'!AP603</f>
        <v>0</v>
      </c>
      <c r="BE578" s="403">
        <f>'Portefeuille SP2'!AQ603</f>
        <v>0</v>
      </c>
      <c r="BF578" s="403">
        <f>'Portefeuille SP2'!AR603</f>
        <v>0</v>
      </c>
      <c r="BG578" s="403" t="e">
        <f>'Portefeuille SP2'!#REF!</f>
        <v>#REF!</v>
      </c>
      <c r="BH578" s="403" t="e">
        <f>'Portefeuille SP2'!#REF!</f>
        <v>#REF!</v>
      </c>
      <c r="BI578" s="403" t="e">
        <f>'Portefeuille SP2'!#REF!</f>
        <v>#REF!</v>
      </c>
      <c r="BJ578" s="403" t="e">
        <f>'Portefeuille SP2'!#REF!</f>
        <v>#REF!</v>
      </c>
      <c r="BK578" s="403" t="e">
        <f>'Portefeuille SP2'!#REF!</f>
        <v>#REF!</v>
      </c>
      <c r="BL578" s="388"/>
      <c r="BM578" s="404">
        <f>'Portefeuille SP2'!L603</f>
        <v>0</v>
      </c>
    </row>
    <row r="579" spans="1:65" ht="15" customHeight="1">
      <c r="A579" s="383">
        <f>'Portefeuille SP2'!B604</f>
        <v>0</v>
      </c>
      <c r="B579" s="390">
        <f>'Portefeuille SP2'!Q604</f>
        <v>0</v>
      </c>
      <c r="C579" s="384"/>
      <c r="D579" s="382">
        <f>'Portefeuille SP2'!E604</f>
        <v>0</v>
      </c>
      <c r="E579" s="382" t="str">
        <f t="shared" si="37"/>
        <v>0</v>
      </c>
      <c r="F579" s="382" t="str">
        <f t="shared" si="38"/>
        <v/>
      </c>
      <c r="G579" s="382">
        <f>'Portefeuille SP2'!C604</f>
        <v>0</v>
      </c>
      <c r="H579" s="382">
        <f>'Portefeuille SP2'!F604</f>
        <v>0</v>
      </c>
      <c r="I579" s="382"/>
      <c r="J579" s="382">
        <f>'Portefeuille SP2'!D604</f>
        <v>0</v>
      </c>
      <c r="K579" s="385">
        <f>'Portefeuille SP2'!H604</f>
        <v>0</v>
      </c>
      <c r="L579" s="157">
        <f>'Portefeuille SP2'!U604</f>
        <v>0</v>
      </c>
      <c r="M579" s="386"/>
      <c r="N579" s="386"/>
      <c r="O579" s="386"/>
      <c r="P579" s="387">
        <f>'Portefeuille SP2'!M604</f>
        <v>0</v>
      </c>
      <c r="Q579" s="387"/>
      <c r="R579" s="387">
        <f>'Portefeuille SP2'!N604</f>
        <v>0</v>
      </c>
      <c r="S579" s="387"/>
      <c r="T579" s="382">
        <f>'Portefeuille SP2'!R604</f>
        <v>0</v>
      </c>
      <c r="U579" s="387">
        <f>'Portefeuille SP2'!K604</f>
        <v>0</v>
      </c>
      <c r="V579" s="399">
        <f>'Portefeuille SP2'!S604</f>
        <v>0</v>
      </c>
      <c r="W579" s="387"/>
      <c r="X579" s="387"/>
      <c r="Y579" s="387"/>
      <c r="Z579" s="387"/>
      <c r="AA579" s="387"/>
      <c r="AB579" s="387"/>
      <c r="AC579" s="387"/>
      <c r="AD579" s="387"/>
      <c r="AE579" s="400">
        <f>'Portefeuille SP2'!J604</f>
        <v>0</v>
      </c>
      <c r="AF579" s="387"/>
      <c r="AG579" s="387"/>
      <c r="AH579" s="389"/>
      <c r="AI579" s="389"/>
      <c r="AJ579" s="403">
        <f>'Portefeuille SP2'!V604</f>
        <v>0</v>
      </c>
      <c r="AK579" s="403">
        <f>'Portefeuille SP2'!W604</f>
        <v>0</v>
      </c>
      <c r="AL579" s="403">
        <f>'Portefeuille SP2'!X604</f>
        <v>0</v>
      </c>
      <c r="AM579" s="403">
        <f>'Portefeuille SP2'!Y604</f>
        <v>0</v>
      </c>
      <c r="AN579" s="403">
        <f>'Portefeuille SP2'!Z604</f>
        <v>0</v>
      </c>
      <c r="AO579" s="403">
        <f>'Portefeuille SP2'!AA604</f>
        <v>0</v>
      </c>
      <c r="AP579" s="403">
        <f>'Portefeuille SP2'!AB604</f>
        <v>0</v>
      </c>
      <c r="AQ579" s="403">
        <f>'Portefeuille SP2'!AC604</f>
        <v>0</v>
      </c>
      <c r="AR579" s="403">
        <f>'Portefeuille SP2'!AD604</f>
        <v>0</v>
      </c>
      <c r="AS579" s="403">
        <f>'Portefeuille SP2'!AE604</f>
        <v>0</v>
      </c>
      <c r="AT579" s="403">
        <f>'Portefeuille SP2'!AF604</f>
        <v>0</v>
      </c>
      <c r="AU579" s="403">
        <f>'Portefeuille SP2'!AG604</f>
        <v>0</v>
      </c>
      <c r="AV579" s="403">
        <f>'Portefeuille SP2'!AH604</f>
        <v>0</v>
      </c>
      <c r="AW579" s="403">
        <f>'Portefeuille SP2'!AI604</f>
        <v>0</v>
      </c>
      <c r="AX579" s="403">
        <f>'Portefeuille SP2'!AJ604</f>
        <v>0</v>
      </c>
      <c r="AY579" s="403">
        <f>'Portefeuille SP2'!AK604</f>
        <v>0</v>
      </c>
      <c r="AZ579" s="403">
        <f>'Portefeuille SP2'!AL604</f>
        <v>0</v>
      </c>
      <c r="BA579" s="403">
        <f>'Portefeuille SP2'!AM604</f>
        <v>0</v>
      </c>
      <c r="BB579" s="403">
        <f>'Portefeuille SP2'!AN604</f>
        <v>0</v>
      </c>
      <c r="BC579" s="403">
        <f>'Portefeuille SP2'!AO604</f>
        <v>0</v>
      </c>
      <c r="BD579" s="403">
        <f>'Portefeuille SP2'!AP604</f>
        <v>0</v>
      </c>
      <c r="BE579" s="403">
        <f>'Portefeuille SP2'!AQ604</f>
        <v>0</v>
      </c>
      <c r="BF579" s="403">
        <f>'Portefeuille SP2'!AR604</f>
        <v>0</v>
      </c>
      <c r="BG579" s="403" t="e">
        <f>'Portefeuille SP2'!#REF!</f>
        <v>#REF!</v>
      </c>
      <c r="BH579" s="403" t="e">
        <f>'Portefeuille SP2'!#REF!</f>
        <v>#REF!</v>
      </c>
      <c r="BI579" s="403" t="e">
        <f>'Portefeuille SP2'!#REF!</f>
        <v>#REF!</v>
      </c>
      <c r="BJ579" s="403" t="e">
        <f>'Portefeuille SP2'!#REF!</f>
        <v>#REF!</v>
      </c>
      <c r="BK579" s="403" t="e">
        <f>'Portefeuille SP2'!#REF!</f>
        <v>#REF!</v>
      </c>
      <c r="BL579" s="388"/>
      <c r="BM579" s="404">
        <f>'Portefeuille SP2'!L604</f>
        <v>0</v>
      </c>
    </row>
    <row r="580" spans="1:65" ht="15" customHeight="1">
      <c r="A580" s="383">
        <f>'Portefeuille SP2'!B605</f>
        <v>0</v>
      </c>
      <c r="B580" s="390">
        <f>'Portefeuille SP2'!Q605</f>
        <v>0</v>
      </c>
      <c r="C580" s="384"/>
      <c r="D580" s="382">
        <f>'Portefeuille SP2'!E605</f>
        <v>0</v>
      </c>
      <c r="E580" s="382" t="str">
        <f t="shared" si="37"/>
        <v>0</v>
      </c>
      <c r="F580" s="382" t="str">
        <f t="shared" si="38"/>
        <v/>
      </c>
      <c r="G580" s="382">
        <f>'Portefeuille SP2'!C605</f>
        <v>0</v>
      </c>
      <c r="H580" s="382">
        <f>'Portefeuille SP2'!F605</f>
        <v>0</v>
      </c>
      <c r="I580" s="382"/>
      <c r="J580" s="382">
        <f>'Portefeuille SP2'!D605</f>
        <v>0</v>
      </c>
      <c r="K580" s="385">
        <f>'Portefeuille SP2'!H605</f>
        <v>0</v>
      </c>
      <c r="L580" s="157">
        <f>'Portefeuille SP2'!U605</f>
        <v>0</v>
      </c>
      <c r="M580" s="386"/>
      <c r="N580" s="386"/>
      <c r="O580" s="386"/>
      <c r="P580" s="387">
        <f>'Portefeuille SP2'!M605</f>
        <v>0</v>
      </c>
      <c r="Q580" s="387"/>
      <c r="R580" s="387">
        <f>'Portefeuille SP2'!N605</f>
        <v>0</v>
      </c>
      <c r="S580" s="387"/>
      <c r="T580" s="382">
        <f>'Portefeuille SP2'!R605</f>
        <v>0</v>
      </c>
      <c r="U580" s="387">
        <f>'Portefeuille SP2'!K605</f>
        <v>0</v>
      </c>
      <c r="V580" s="399">
        <f>'Portefeuille SP2'!S605</f>
        <v>0</v>
      </c>
      <c r="W580" s="387"/>
      <c r="X580" s="387"/>
      <c r="Y580" s="387"/>
      <c r="Z580" s="387"/>
      <c r="AA580" s="387"/>
      <c r="AB580" s="387"/>
      <c r="AC580" s="387"/>
      <c r="AD580" s="387"/>
      <c r="AE580" s="400">
        <f>'Portefeuille SP2'!J605</f>
        <v>0</v>
      </c>
      <c r="AF580" s="387"/>
      <c r="AG580" s="387"/>
      <c r="AH580" s="389"/>
      <c r="AI580" s="389"/>
      <c r="AJ580" s="403">
        <f>'Portefeuille SP2'!V605</f>
        <v>0</v>
      </c>
      <c r="AK580" s="403">
        <f>'Portefeuille SP2'!W605</f>
        <v>0</v>
      </c>
      <c r="AL580" s="403">
        <f>'Portefeuille SP2'!X605</f>
        <v>0</v>
      </c>
      <c r="AM580" s="403">
        <f>'Portefeuille SP2'!Y605</f>
        <v>0</v>
      </c>
      <c r="AN580" s="403">
        <f>'Portefeuille SP2'!Z605</f>
        <v>0</v>
      </c>
      <c r="AO580" s="403">
        <f>'Portefeuille SP2'!AA605</f>
        <v>0</v>
      </c>
      <c r="AP580" s="403">
        <f>'Portefeuille SP2'!AB605</f>
        <v>0</v>
      </c>
      <c r="AQ580" s="403">
        <f>'Portefeuille SP2'!AC605</f>
        <v>0</v>
      </c>
      <c r="AR580" s="403">
        <f>'Portefeuille SP2'!AD605</f>
        <v>0</v>
      </c>
      <c r="AS580" s="403">
        <f>'Portefeuille SP2'!AE605</f>
        <v>0</v>
      </c>
      <c r="AT580" s="403">
        <f>'Portefeuille SP2'!AF605</f>
        <v>0</v>
      </c>
      <c r="AU580" s="403">
        <f>'Portefeuille SP2'!AG605</f>
        <v>0</v>
      </c>
      <c r="AV580" s="403">
        <f>'Portefeuille SP2'!AH605</f>
        <v>0</v>
      </c>
      <c r="AW580" s="403">
        <f>'Portefeuille SP2'!AI605</f>
        <v>0</v>
      </c>
      <c r="AX580" s="403">
        <f>'Portefeuille SP2'!AJ605</f>
        <v>0</v>
      </c>
      <c r="AY580" s="403">
        <f>'Portefeuille SP2'!AK605</f>
        <v>0</v>
      </c>
      <c r="AZ580" s="403">
        <f>'Portefeuille SP2'!AL605</f>
        <v>0</v>
      </c>
      <c r="BA580" s="403">
        <f>'Portefeuille SP2'!AM605</f>
        <v>0</v>
      </c>
      <c r="BB580" s="403">
        <f>'Portefeuille SP2'!AN605</f>
        <v>0</v>
      </c>
      <c r="BC580" s="403">
        <f>'Portefeuille SP2'!AO605</f>
        <v>0</v>
      </c>
      <c r="BD580" s="403">
        <f>'Portefeuille SP2'!AP605</f>
        <v>0</v>
      </c>
      <c r="BE580" s="403">
        <f>'Portefeuille SP2'!AQ605</f>
        <v>0</v>
      </c>
      <c r="BF580" s="403">
        <f>'Portefeuille SP2'!AR605</f>
        <v>0</v>
      </c>
      <c r="BG580" s="403" t="e">
        <f>'Portefeuille SP2'!#REF!</f>
        <v>#REF!</v>
      </c>
      <c r="BH580" s="403" t="e">
        <f>'Portefeuille SP2'!#REF!</f>
        <v>#REF!</v>
      </c>
      <c r="BI580" s="403" t="e">
        <f>'Portefeuille SP2'!#REF!</f>
        <v>#REF!</v>
      </c>
      <c r="BJ580" s="403" t="e">
        <f>'Portefeuille SP2'!#REF!</f>
        <v>#REF!</v>
      </c>
      <c r="BK580" s="403" t="e">
        <f>'Portefeuille SP2'!#REF!</f>
        <v>#REF!</v>
      </c>
      <c r="BL580" s="388"/>
      <c r="BM580" s="404">
        <f>'Portefeuille SP2'!L605</f>
        <v>0</v>
      </c>
    </row>
    <row r="581" spans="1:65" ht="15" customHeight="1">
      <c r="A581" s="383">
        <f>'Portefeuille SP2'!B606</f>
        <v>0</v>
      </c>
      <c r="B581" s="390">
        <f>'Portefeuille SP2'!Q606</f>
        <v>0</v>
      </c>
      <c r="C581" s="384"/>
      <c r="D581" s="382">
        <f>'Portefeuille SP2'!E606</f>
        <v>0</v>
      </c>
      <c r="E581" s="382" t="str">
        <f t="shared" si="37"/>
        <v>0</v>
      </c>
      <c r="F581" s="382" t="str">
        <f t="shared" si="38"/>
        <v/>
      </c>
      <c r="G581" s="382">
        <f>'Portefeuille SP2'!C606</f>
        <v>0</v>
      </c>
      <c r="H581" s="382">
        <f>'Portefeuille SP2'!F606</f>
        <v>0</v>
      </c>
      <c r="I581" s="382"/>
      <c r="J581" s="382">
        <f>'Portefeuille SP2'!D606</f>
        <v>0</v>
      </c>
      <c r="K581" s="385">
        <f>'Portefeuille SP2'!H606</f>
        <v>0</v>
      </c>
      <c r="L581" s="157">
        <f>'Portefeuille SP2'!U606</f>
        <v>0</v>
      </c>
      <c r="M581" s="386"/>
      <c r="N581" s="386"/>
      <c r="O581" s="386"/>
      <c r="P581" s="387">
        <f>'Portefeuille SP2'!M606</f>
        <v>0</v>
      </c>
      <c r="Q581" s="387"/>
      <c r="R581" s="387">
        <f>'Portefeuille SP2'!N606</f>
        <v>0</v>
      </c>
      <c r="S581" s="387"/>
      <c r="T581" s="382">
        <f>'Portefeuille SP2'!R606</f>
        <v>0</v>
      </c>
      <c r="U581" s="387">
        <f>'Portefeuille SP2'!K606</f>
        <v>0</v>
      </c>
      <c r="V581" s="399">
        <f>'Portefeuille SP2'!S606</f>
        <v>0</v>
      </c>
      <c r="W581" s="387"/>
      <c r="X581" s="387"/>
      <c r="Y581" s="387"/>
      <c r="Z581" s="387"/>
      <c r="AA581" s="387"/>
      <c r="AB581" s="387"/>
      <c r="AC581" s="387"/>
      <c r="AD581" s="387"/>
      <c r="AE581" s="400">
        <f>'Portefeuille SP2'!J606</f>
        <v>0</v>
      </c>
      <c r="AF581" s="387"/>
      <c r="AG581" s="387"/>
      <c r="AH581" s="389"/>
      <c r="AI581" s="389"/>
      <c r="AJ581" s="403">
        <f>'Portefeuille SP2'!V606</f>
        <v>0</v>
      </c>
      <c r="AK581" s="403">
        <f>'Portefeuille SP2'!W606</f>
        <v>0</v>
      </c>
      <c r="AL581" s="403">
        <f>'Portefeuille SP2'!X606</f>
        <v>0</v>
      </c>
      <c r="AM581" s="403">
        <f>'Portefeuille SP2'!Y606</f>
        <v>0</v>
      </c>
      <c r="AN581" s="403">
        <f>'Portefeuille SP2'!Z606</f>
        <v>0</v>
      </c>
      <c r="AO581" s="403">
        <f>'Portefeuille SP2'!AA606</f>
        <v>0</v>
      </c>
      <c r="AP581" s="403">
        <f>'Portefeuille SP2'!AB606</f>
        <v>0</v>
      </c>
      <c r="AQ581" s="403">
        <f>'Portefeuille SP2'!AC606</f>
        <v>0</v>
      </c>
      <c r="AR581" s="403">
        <f>'Portefeuille SP2'!AD606</f>
        <v>0</v>
      </c>
      <c r="AS581" s="403">
        <f>'Portefeuille SP2'!AE606</f>
        <v>0</v>
      </c>
      <c r="AT581" s="403">
        <f>'Portefeuille SP2'!AF606</f>
        <v>0</v>
      </c>
      <c r="AU581" s="403">
        <f>'Portefeuille SP2'!AG606</f>
        <v>0</v>
      </c>
      <c r="AV581" s="403">
        <f>'Portefeuille SP2'!AH606</f>
        <v>0</v>
      </c>
      <c r="AW581" s="403">
        <f>'Portefeuille SP2'!AI606</f>
        <v>0</v>
      </c>
      <c r="AX581" s="403">
        <f>'Portefeuille SP2'!AJ606</f>
        <v>0</v>
      </c>
      <c r="AY581" s="403">
        <f>'Portefeuille SP2'!AK606</f>
        <v>0</v>
      </c>
      <c r="AZ581" s="403">
        <f>'Portefeuille SP2'!AL606</f>
        <v>0</v>
      </c>
      <c r="BA581" s="403">
        <f>'Portefeuille SP2'!AM606</f>
        <v>0</v>
      </c>
      <c r="BB581" s="403">
        <f>'Portefeuille SP2'!AN606</f>
        <v>0</v>
      </c>
      <c r="BC581" s="403">
        <f>'Portefeuille SP2'!AO606</f>
        <v>0</v>
      </c>
      <c r="BD581" s="403">
        <f>'Portefeuille SP2'!AP606</f>
        <v>0</v>
      </c>
      <c r="BE581" s="403">
        <f>'Portefeuille SP2'!AQ606</f>
        <v>0</v>
      </c>
      <c r="BF581" s="403">
        <f>'Portefeuille SP2'!AR606</f>
        <v>0</v>
      </c>
      <c r="BG581" s="403" t="e">
        <f>'Portefeuille SP2'!#REF!</f>
        <v>#REF!</v>
      </c>
      <c r="BH581" s="403" t="e">
        <f>'Portefeuille SP2'!#REF!</f>
        <v>#REF!</v>
      </c>
      <c r="BI581" s="403" t="e">
        <f>'Portefeuille SP2'!#REF!</f>
        <v>#REF!</v>
      </c>
      <c r="BJ581" s="403" t="e">
        <f>'Portefeuille SP2'!#REF!</f>
        <v>#REF!</v>
      </c>
      <c r="BK581" s="403" t="e">
        <f>'Portefeuille SP2'!#REF!</f>
        <v>#REF!</v>
      </c>
      <c r="BL581" s="388"/>
      <c r="BM581" s="404">
        <f>'Portefeuille SP2'!L606</f>
        <v>0</v>
      </c>
    </row>
    <row r="582" spans="1:65" ht="15" customHeight="1">
      <c r="A582" s="383">
        <f>'Portefeuille SP2'!B607</f>
        <v>0</v>
      </c>
      <c r="B582" s="390">
        <f>'Portefeuille SP2'!Q607</f>
        <v>0</v>
      </c>
      <c r="C582" s="384"/>
      <c r="D582" s="382">
        <f>'Portefeuille SP2'!E607</f>
        <v>0</v>
      </c>
      <c r="E582" s="382" t="str">
        <f t="shared" si="37"/>
        <v>0</v>
      </c>
      <c r="F582" s="382" t="str">
        <f t="shared" si="38"/>
        <v/>
      </c>
      <c r="G582" s="382">
        <f>'Portefeuille SP2'!C607</f>
        <v>0</v>
      </c>
      <c r="H582" s="382">
        <f>'Portefeuille SP2'!F607</f>
        <v>0</v>
      </c>
      <c r="I582" s="382"/>
      <c r="J582" s="382">
        <f>'Portefeuille SP2'!D607</f>
        <v>0</v>
      </c>
      <c r="K582" s="385">
        <f>'Portefeuille SP2'!H607</f>
        <v>0</v>
      </c>
      <c r="L582" s="157">
        <f>'Portefeuille SP2'!U607</f>
        <v>0</v>
      </c>
      <c r="M582" s="386"/>
      <c r="N582" s="386"/>
      <c r="O582" s="386"/>
      <c r="P582" s="387">
        <f>'Portefeuille SP2'!M607</f>
        <v>0</v>
      </c>
      <c r="Q582" s="387"/>
      <c r="R582" s="387">
        <f>'Portefeuille SP2'!N607</f>
        <v>0</v>
      </c>
      <c r="S582" s="387"/>
      <c r="T582" s="382">
        <f>'Portefeuille SP2'!R607</f>
        <v>0</v>
      </c>
      <c r="U582" s="387">
        <f>'Portefeuille SP2'!K607</f>
        <v>0</v>
      </c>
      <c r="V582" s="399">
        <f>'Portefeuille SP2'!S607</f>
        <v>0</v>
      </c>
      <c r="W582" s="387"/>
      <c r="X582" s="387"/>
      <c r="Y582" s="387"/>
      <c r="Z582" s="387"/>
      <c r="AA582" s="387"/>
      <c r="AB582" s="387"/>
      <c r="AC582" s="387"/>
      <c r="AD582" s="387"/>
      <c r="AE582" s="400">
        <f>'Portefeuille SP2'!J607</f>
        <v>0</v>
      </c>
      <c r="AF582" s="387"/>
      <c r="AG582" s="387"/>
      <c r="AH582" s="389"/>
      <c r="AI582" s="389"/>
      <c r="AJ582" s="403">
        <f>'Portefeuille SP2'!V607</f>
        <v>0</v>
      </c>
      <c r="AK582" s="403">
        <f>'Portefeuille SP2'!W607</f>
        <v>0</v>
      </c>
      <c r="AL582" s="403">
        <f>'Portefeuille SP2'!X607</f>
        <v>0</v>
      </c>
      <c r="AM582" s="403">
        <f>'Portefeuille SP2'!Y607</f>
        <v>0</v>
      </c>
      <c r="AN582" s="403">
        <f>'Portefeuille SP2'!Z607</f>
        <v>0</v>
      </c>
      <c r="AO582" s="403">
        <f>'Portefeuille SP2'!AA607</f>
        <v>0</v>
      </c>
      <c r="AP582" s="403">
        <f>'Portefeuille SP2'!AB607</f>
        <v>0</v>
      </c>
      <c r="AQ582" s="403">
        <f>'Portefeuille SP2'!AC607</f>
        <v>0</v>
      </c>
      <c r="AR582" s="403">
        <f>'Portefeuille SP2'!AD607</f>
        <v>0</v>
      </c>
      <c r="AS582" s="403">
        <f>'Portefeuille SP2'!AE607</f>
        <v>0</v>
      </c>
      <c r="AT582" s="403">
        <f>'Portefeuille SP2'!AF607</f>
        <v>0</v>
      </c>
      <c r="AU582" s="403">
        <f>'Portefeuille SP2'!AG607</f>
        <v>0</v>
      </c>
      <c r="AV582" s="403">
        <f>'Portefeuille SP2'!AH607</f>
        <v>0</v>
      </c>
      <c r="AW582" s="403">
        <f>'Portefeuille SP2'!AI607</f>
        <v>0</v>
      </c>
      <c r="AX582" s="403">
        <f>'Portefeuille SP2'!AJ607</f>
        <v>0</v>
      </c>
      <c r="AY582" s="403">
        <f>'Portefeuille SP2'!AK607</f>
        <v>0</v>
      </c>
      <c r="AZ582" s="403">
        <f>'Portefeuille SP2'!AL607</f>
        <v>0</v>
      </c>
      <c r="BA582" s="403">
        <f>'Portefeuille SP2'!AM607</f>
        <v>0</v>
      </c>
      <c r="BB582" s="403">
        <f>'Portefeuille SP2'!AN607</f>
        <v>0</v>
      </c>
      <c r="BC582" s="403">
        <f>'Portefeuille SP2'!AO607</f>
        <v>0</v>
      </c>
      <c r="BD582" s="403">
        <f>'Portefeuille SP2'!AP607</f>
        <v>0</v>
      </c>
      <c r="BE582" s="403">
        <f>'Portefeuille SP2'!AQ607</f>
        <v>0</v>
      </c>
      <c r="BF582" s="403">
        <f>'Portefeuille SP2'!AR607</f>
        <v>0</v>
      </c>
      <c r="BG582" s="403" t="e">
        <f>'Portefeuille SP2'!#REF!</f>
        <v>#REF!</v>
      </c>
      <c r="BH582" s="403" t="e">
        <f>'Portefeuille SP2'!#REF!</f>
        <v>#REF!</v>
      </c>
      <c r="BI582" s="403" t="e">
        <f>'Portefeuille SP2'!#REF!</f>
        <v>#REF!</v>
      </c>
      <c r="BJ582" s="403" t="e">
        <f>'Portefeuille SP2'!#REF!</f>
        <v>#REF!</v>
      </c>
      <c r="BK582" s="403" t="e">
        <f>'Portefeuille SP2'!#REF!</f>
        <v>#REF!</v>
      </c>
      <c r="BL582" s="388"/>
      <c r="BM582" s="404">
        <f>'Portefeuille SP2'!L607</f>
        <v>0</v>
      </c>
    </row>
    <row r="583" spans="1:65" ht="15" customHeight="1">
      <c r="A583" s="383">
        <f>'Portefeuille SP2'!B608</f>
        <v>0</v>
      </c>
      <c r="B583" s="390">
        <f>'Portefeuille SP2'!Q608</f>
        <v>0</v>
      </c>
      <c r="C583" s="384"/>
      <c r="D583" s="382">
        <f>'Portefeuille SP2'!E608</f>
        <v>0</v>
      </c>
      <c r="E583" s="382" t="str">
        <f t="shared" si="37"/>
        <v>0</v>
      </c>
      <c r="F583" s="382" t="str">
        <f t="shared" si="38"/>
        <v/>
      </c>
      <c r="G583" s="382">
        <f>'Portefeuille SP2'!C608</f>
        <v>0</v>
      </c>
      <c r="H583" s="382">
        <f>'Portefeuille SP2'!F608</f>
        <v>0</v>
      </c>
      <c r="I583" s="382"/>
      <c r="J583" s="382">
        <f>'Portefeuille SP2'!D608</f>
        <v>0</v>
      </c>
      <c r="K583" s="385">
        <f>'Portefeuille SP2'!H608</f>
        <v>0</v>
      </c>
      <c r="L583" s="157">
        <f>'Portefeuille SP2'!U608</f>
        <v>0</v>
      </c>
      <c r="M583" s="386"/>
      <c r="N583" s="386"/>
      <c r="O583" s="386"/>
      <c r="P583" s="387">
        <f>'Portefeuille SP2'!M608</f>
        <v>0</v>
      </c>
      <c r="Q583" s="387"/>
      <c r="R583" s="387">
        <f>'Portefeuille SP2'!N608</f>
        <v>0</v>
      </c>
      <c r="S583" s="387"/>
      <c r="T583" s="382">
        <f>'Portefeuille SP2'!R608</f>
        <v>0</v>
      </c>
      <c r="U583" s="387">
        <f>'Portefeuille SP2'!K608</f>
        <v>0</v>
      </c>
      <c r="V583" s="399">
        <f>'Portefeuille SP2'!S608</f>
        <v>0</v>
      </c>
      <c r="W583" s="387"/>
      <c r="X583" s="387"/>
      <c r="Y583" s="387"/>
      <c r="Z583" s="387"/>
      <c r="AA583" s="387"/>
      <c r="AB583" s="387"/>
      <c r="AC583" s="387"/>
      <c r="AD583" s="387"/>
      <c r="AE583" s="400">
        <f>'Portefeuille SP2'!J608</f>
        <v>0</v>
      </c>
      <c r="AF583" s="387"/>
      <c r="AG583" s="387"/>
      <c r="AH583" s="389"/>
      <c r="AI583" s="389"/>
      <c r="AJ583" s="403">
        <f>'Portefeuille SP2'!V608</f>
        <v>0</v>
      </c>
      <c r="AK583" s="403">
        <f>'Portefeuille SP2'!W608</f>
        <v>0</v>
      </c>
      <c r="AL583" s="403">
        <f>'Portefeuille SP2'!X608</f>
        <v>0</v>
      </c>
      <c r="AM583" s="403">
        <f>'Portefeuille SP2'!Y608</f>
        <v>0</v>
      </c>
      <c r="AN583" s="403">
        <f>'Portefeuille SP2'!Z608</f>
        <v>0</v>
      </c>
      <c r="AO583" s="403">
        <f>'Portefeuille SP2'!AA608</f>
        <v>0</v>
      </c>
      <c r="AP583" s="403">
        <f>'Portefeuille SP2'!AB608</f>
        <v>0</v>
      </c>
      <c r="AQ583" s="403">
        <f>'Portefeuille SP2'!AC608</f>
        <v>0</v>
      </c>
      <c r="AR583" s="403">
        <f>'Portefeuille SP2'!AD608</f>
        <v>0</v>
      </c>
      <c r="AS583" s="403">
        <f>'Portefeuille SP2'!AE608</f>
        <v>0</v>
      </c>
      <c r="AT583" s="403">
        <f>'Portefeuille SP2'!AF608</f>
        <v>0</v>
      </c>
      <c r="AU583" s="403">
        <f>'Portefeuille SP2'!AG608</f>
        <v>0</v>
      </c>
      <c r="AV583" s="403">
        <f>'Portefeuille SP2'!AH608</f>
        <v>0</v>
      </c>
      <c r="AW583" s="403">
        <f>'Portefeuille SP2'!AI608</f>
        <v>0</v>
      </c>
      <c r="AX583" s="403">
        <f>'Portefeuille SP2'!AJ608</f>
        <v>0</v>
      </c>
      <c r="AY583" s="403">
        <f>'Portefeuille SP2'!AK608</f>
        <v>0</v>
      </c>
      <c r="AZ583" s="403">
        <f>'Portefeuille SP2'!AL608</f>
        <v>0</v>
      </c>
      <c r="BA583" s="403">
        <f>'Portefeuille SP2'!AM608</f>
        <v>0</v>
      </c>
      <c r="BB583" s="403">
        <f>'Portefeuille SP2'!AN608</f>
        <v>0</v>
      </c>
      <c r="BC583" s="403">
        <f>'Portefeuille SP2'!AO608</f>
        <v>0</v>
      </c>
      <c r="BD583" s="403">
        <f>'Portefeuille SP2'!AP608</f>
        <v>0</v>
      </c>
      <c r="BE583" s="403">
        <f>'Portefeuille SP2'!AQ608</f>
        <v>0</v>
      </c>
      <c r="BF583" s="403">
        <f>'Portefeuille SP2'!AR608</f>
        <v>0</v>
      </c>
      <c r="BG583" s="403" t="e">
        <f>'Portefeuille SP2'!#REF!</f>
        <v>#REF!</v>
      </c>
      <c r="BH583" s="403" t="e">
        <f>'Portefeuille SP2'!#REF!</f>
        <v>#REF!</v>
      </c>
      <c r="BI583" s="403" t="e">
        <f>'Portefeuille SP2'!#REF!</f>
        <v>#REF!</v>
      </c>
      <c r="BJ583" s="403" t="e">
        <f>'Portefeuille SP2'!#REF!</f>
        <v>#REF!</v>
      </c>
      <c r="BK583" s="403" t="e">
        <f>'Portefeuille SP2'!#REF!</f>
        <v>#REF!</v>
      </c>
      <c r="BL583" s="388"/>
      <c r="BM583" s="404">
        <f>'Portefeuille SP2'!L608</f>
        <v>0</v>
      </c>
    </row>
    <row r="584" spans="1:65" ht="15" customHeight="1">
      <c r="A584" s="383">
        <f>'Portefeuille SP2'!B609</f>
        <v>0</v>
      </c>
      <c r="B584" s="390">
        <f>'Portefeuille SP2'!Q609</f>
        <v>0</v>
      </c>
      <c r="C584" s="384"/>
      <c r="D584" s="382">
        <f>'Portefeuille SP2'!E609</f>
        <v>0</v>
      </c>
      <c r="E584" s="382" t="str">
        <f t="shared" si="37"/>
        <v>0</v>
      </c>
      <c r="F584" s="382" t="str">
        <f t="shared" si="38"/>
        <v/>
      </c>
      <c r="G584" s="382">
        <f>'Portefeuille SP2'!C609</f>
        <v>0</v>
      </c>
      <c r="H584" s="382">
        <f>'Portefeuille SP2'!F609</f>
        <v>0</v>
      </c>
      <c r="I584" s="382"/>
      <c r="J584" s="382">
        <f>'Portefeuille SP2'!D609</f>
        <v>0</v>
      </c>
      <c r="K584" s="385">
        <f>'Portefeuille SP2'!H609</f>
        <v>0</v>
      </c>
      <c r="L584" s="157">
        <f>'Portefeuille SP2'!U609</f>
        <v>0</v>
      </c>
      <c r="M584" s="386"/>
      <c r="N584" s="386"/>
      <c r="O584" s="386"/>
      <c r="P584" s="387">
        <f>'Portefeuille SP2'!M609</f>
        <v>0</v>
      </c>
      <c r="Q584" s="387"/>
      <c r="R584" s="387">
        <f>'Portefeuille SP2'!N609</f>
        <v>0</v>
      </c>
      <c r="S584" s="387"/>
      <c r="T584" s="382">
        <f>'Portefeuille SP2'!R609</f>
        <v>0</v>
      </c>
      <c r="U584" s="387">
        <f>'Portefeuille SP2'!K609</f>
        <v>0</v>
      </c>
      <c r="V584" s="399">
        <f>'Portefeuille SP2'!S609</f>
        <v>0</v>
      </c>
      <c r="W584" s="387"/>
      <c r="X584" s="387"/>
      <c r="Y584" s="387"/>
      <c r="Z584" s="387"/>
      <c r="AA584" s="387"/>
      <c r="AB584" s="387"/>
      <c r="AC584" s="387"/>
      <c r="AD584" s="387"/>
      <c r="AE584" s="400">
        <f>'Portefeuille SP2'!J609</f>
        <v>0</v>
      </c>
      <c r="AF584" s="387"/>
      <c r="AG584" s="387"/>
      <c r="AH584" s="389"/>
      <c r="AI584" s="389"/>
      <c r="AJ584" s="403">
        <f>'Portefeuille SP2'!V609</f>
        <v>0</v>
      </c>
      <c r="AK584" s="403">
        <f>'Portefeuille SP2'!W609</f>
        <v>0</v>
      </c>
      <c r="AL584" s="403">
        <f>'Portefeuille SP2'!X609</f>
        <v>0</v>
      </c>
      <c r="AM584" s="403">
        <f>'Portefeuille SP2'!Y609</f>
        <v>0</v>
      </c>
      <c r="AN584" s="403">
        <f>'Portefeuille SP2'!Z609</f>
        <v>0</v>
      </c>
      <c r="AO584" s="403">
        <f>'Portefeuille SP2'!AA609</f>
        <v>0</v>
      </c>
      <c r="AP584" s="403">
        <f>'Portefeuille SP2'!AB609</f>
        <v>0</v>
      </c>
      <c r="AQ584" s="403">
        <f>'Portefeuille SP2'!AC609</f>
        <v>0</v>
      </c>
      <c r="AR584" s="403">
        <f>'Portefeuille SP2'!AD609</f>
        <v>0</v>
      </c>
      <c r="AS584" s="403">
        <f>'Portefeuille SP2'!AE609</f>
        <v>0</v>
      </c>
      <c r="AT584" s="403">
        <f>'Portefeuille SP2'!AF609</f>
        <v>0</v>
      </c>
      <c r="AU584" s="403">
        <f>'Portefeuille SP2'!AG609</f>
        <v>0</v>
      </c>
      <c r="AV584" s="403">
        <f>'Portefeuille SP2'!AH609</f>
        <v>0</v>
      </c>
      <c r="AW584" s="403">
        <f>'Portefeuille SP2'!AI609</f>
        <v>0</v>
      </c>
      <c r="AX584" s="403">
        <f>'Portefeuille SP2'!AJ609</f>
        <v>0</v>
      </c>
      <c r="AY584" s="403">
        <f>'Portefeuille SP2'!AK609</f>
        <v>0</v>
      </c>
      <c r="AZ584" s="403">
        <f>'Portefeuille SP2'!AL609</f>
        <v>0</v>
      </c>
      <c r="BA584" s="403">
        <f>'Portefeuille SP2'!AM609</f>
        <v>0</v>
      </c>
      <c r="BB584" s="403">
        <f>'Portefeuille SP2'!AN609</f>
        <v>0</v>
      </c>
      <c r="BC584" s="403">
        <f>'Portefeuille SP2'!AO609</f>
        <v>0</v>
      </c>
      <c r="BD584" s="403">
        <f>'Portefeuille SP2'!AP609</f>
        <v>0</v>
      </c>
      <c r="BE584" s="403">
        <f>'Portefeuille SP2'!AQ609</f>
        <v>0</v>
      </c>
      <c r="BF584" s="403">
        <f>'Portefeuille SP2'!AR609</f>
        <v>0</v>
      </c>
      <c r="BG584" s="403" t="e">
        <f>'Portefeuille SP2'!#REF!</f>
        <v>#REF!</v>
      </c>
      <c r="BH584" s="403" t="e">
        <f>'Portefeuille SP2'!#REF!</f>
        <v>#REF!</v>
      </c>
      <c r="BI584" s="403" t="e">
        <f>'Portefeuille SP2'!#REF!</f>
        <v>#REF!</v>
      </c>
      <c r="BJ584" s="403" t="e">
        <f>'Portefeuille SP2'!#REF!</f>
        <v>#REF!</v>
      </c>
      <c r="BK584" s="403" t="e">
        <f>'Portefeuille SP2'!#REF!</f>
        <v>#REF!</v>
      </c>
      <c r="BL584" s="388"/>
      <c r="BM584" s="404">
        <f>'Portefeuille SP2'!L609</f>
        <v>0</v>
      </c>
    </row>
    <row r="585" spans="1:65" ht="15" customHeight="1">
      <c r="A585" s="383">
        <f>'Portefeuille SP2'!B610</f>
        <v>0</v>
      </c>
      <c r="B585" s="390">
        <f>'Portefeuille SP2'!Q610</f>
        <v>0</v>
      </c>
      <c r="C585" s="384"/>
      <c r="D585" s="382">
        <f>'Portefeuille SP2'!E610</f>
        <v>0</v>
      </c>
      <c r="E585" s="382" t="str">
        <f t="shared" ref="E585:E648" si="39">LEFT(J585,3)</f>
        <v>0</v>
      </c>
      <c r="F585" s="382" t="str">
        <f t="shared" ref="F585:F648" si="40">MID(J585, 6, 20)</f>
        <v/>
      </c>
      <c r="G585" s="382">
        <f>'Portefeuille SP2'!C610</f>
        <v>0</v>
      </c>
      <c r="H585" s="382">
        <f>'Portefeuille SP2'!F610</f>
        <v>0</v>
      </c>
      <c r="I585" s="382"/>
      <c r="J585" s="382">
        <f>'Portefeuille SP2'!D610</f>
        <v>0</v>
      </c>
      <c r="K585" s="385">
        <f>'Portefeuille SP2'!H610</f>
        <v>0</v>
      </c>
      <c r="L585" s="157">
        <f>'Portefeuille SP2'!U610</f>
        <v>0</v>
      </c>
      <c r="M585" s="386"/>
      <c r="N585" s="386"/>
      <c r="O585" s="386"/>
      <c r="P585" s="387">
        <f>'Portefeuille SP2'!M610</f>
        <v>0</v>
      </c>
      <c r="Q585" s="387"/>
      <c r="R585" s="387">
        <f>'Portefeuille SP2'!N610</f>
        <v>0</v>
      </c>
      <c r="S585" s="387"/>
      <c r="T585" s="382">
        <f>'Portefeuille SP2'!R610</f>
        <v>0</v>
      </c>
      <c r="U585" s="387">
        <f>'Portefeuille SP2'!K610</f>
        <v>0</v>
      </c>
      <c r="V585" s="399">
        <f>'Portefeuille SP2'!S610</f>
        <v>0</v>
      </c>
      <c r="W585" s="387"/>
      <c r="X585" s="387"/>
      <c r="Y585" s="387"/>
      <c r="Z585" s="387"/>
      <c r="AA585" s="387"/>
      <c r="AB585" s="387"/>
      <c r="AC585" s="387"/>
      <c r="AD585" s="387"/>
      <c r="AE585" s="400">
        <f>'Portefeuille SP2'!J610</f>
        <v>0</v>
      </c>
      <c r="AF585" s="387"/>
      <c r="AG585" s="387"/>
      <c r="AH585" s="389"/>
      <c r="AI585" s="389"/>
      <c r="AJ585" s="403">
        <f>'Portefeuille SP2'!V610</f>
        <v>0</v>
      </c>
      <c r="AK585" s="403">
        <f>'Portefeuille SP2'!W610</f>
        <v>0</v>
      </c>
      <c r="AL585" s="403">
        <f>'Portefeuille SP2'!X610</f>
        <v>0</v>
      </c>
      <c r="AM585" s="403">
        <f>'Portefeuille SP2'!Y610</f>
        <v>0</v>
      </c>
      <c r="AN585" s="403">
        <f>'Portefeuille SP2'!Z610</f>
        <v>0</v>
      </c>
      <c r="AO585" s="403">
        <f>'Portefeuille SP2'!AA610</f>
        <v>0</v>
      </c>
      <c r="AP585" s="403">
        <f>'Portefeuille SP2'!AB610</f>
        <v>0</v>
      </c>
      <c r="AQ585" s="403">
        <f>'Portefeuille SP2'!AC610</f>
        <v>0</v>
      </c>
      <c r="AR585" s="403">
        <f>'Portefeuille SP2'!AD610</f>
        <v>0</v>
      </c>
      <c r="AS585" s="403">
        <f>'Portefeuille SP2'!AE610</f>
        <v>0</v>
      </c>
      <c r="AT585" s="403">
        <f>'Portefeuille SP2'!AF610</f>
        <v>0</v>
      </c>
      <c r="AU585" s="403">
        <f>'Portefeuille SP2'!AG610</f>
        <v>0</v>
      </c>
      <c r="AV585" s="403">
        <f>'Portefeuille SP2'!AH610</f>
        <v>0</v>
      </c>
      <c r="AW585" s="403">
        <f>'Portefeuille SP2'!AI610</f>
        <v>0</v>
      </c>
      <c r="AX585" s="403">
        <f>'Portefeuille SP2'!AJ610</f>
        <v>0</v>
      </c>
      <c r="AY585" s="403">
        <f>'Portefeuille SP2'!AK610</f>
        <v>0</v>
      </c>
      <c r="AZ585" s="403">
        <f>'Portefeuille SP2'!AL610</f>
        <v>0</v>
      </c>
      <c r="BA585" s="403">
        <f>'Portefeuille SP2'!AM610</f>
        <v>0</v>
      </c>
      <c r="BB585" s="403">
        <f>'Portefeuille SP2'!AN610</f>
        <v>0</v>
      </c>
      <c r="BC585" s="403">
        <f>'Portefeuille SP2'!AO610</f>
        <v>0</v>
      </c>
      <c r="BD585" s="403">
        <f>'Portefeuille SP2'!AP610</f>
        <v>0</v>
      </c>
      <c r="BE585" s="403">
        <f>'Portefeuille SP2'!AQ610</f>
        <v>0</v>
      </c>
      <c r="BF585" s="403">
        <f>'Portefeuille SP2'!AR610</f>
        <v>0</v>
      </c>
      <c r="BG585" s="403" t="e">
        <f>'Portefeuille SP2'!#REF!</f>
        <v>#REF!</v>
      </c>
      <c r="BH585" s="403" t="e">
        <f>'Portefeuille SP2'!#REF!</f>
        <v>#REF!</v>
      </c>
      <c r="BI585" s="403" t="e">
        <f>'Portefeuille SP2'!#REF!</f>
        <v>#REF!</v>
      </c>
      <c r="BJ585" s="403" t="e">
        <f>'Portefeuille SP2'!#REF!</f>
        <v>#REF!</v>
      </c>
      <c r="BK585" s="403" t="e">
        <f>'Portefeuille SP2'!#REF!</f>
        <v>#REF!</v>
      </c>
      <c r="BL585" s="388"/>
      <c r="BM585" s="404">
        <f>'Portefeuille SP2'!L610</f>
        <v>0</v>
      </c>
    </row>
    <row r="586" spans="1:65" ht="15" customHeight="1">
      <c r="A586" s="383">
        <f>'Portefeuille SP2'!B611</f>
        <v>0</v>
      </c>
      <c r="B586" s="390">
        <f>'Portefeuille SP2'!Q611</f>
        <v>0</v>
      </c>
      <c r="C586" s="384"/>
      <c r="D586" s="382">
        <f>'Portefeuille SP2'!E611</f>
        <v>0</v>
      </c>
      <c r="E586" s="382" t="str">
        <f t="shared" si="39"/>
        <v>0</v>
      </c>
      <c r="F586" s="382" t="str">
        <f t="shared" si="40"/>
        <v/>
      </c>
      <c r="G586" s="382">
        <f>'Portefeuille SP2'!C611</f>
        <v>0</v>
      </c>
      <c r="H586" s="382">
        <f>'Portefeuille SP2'!F611</f>
        <v>0</v>
      </c>
      <c r="I586" s="382"/>
      <c r="J586" s="382">
        <f>'Portefeuille SP2'!D611</f>
        <v>0</v>
      </c>
      <c r="K586" s="385">
        <f>'Portefeuille SP2'!H611</f>
        <v>0</v>
      </c>
      <c r="L586" s="157">
        <f>'Portefeuille SP2'!U611</f>
        <v>0</v>
      </c>
      <c r="M586" s="386"/>
      <c r="N586" s="386"/>
      <c r="O586" s="386"/>
      <c r="P586" s="387">
        <f>'Portefeuille SP2'!M611</f>
        <v>0</v>
      </c>
      <c r="Q586" s="387"/>
      <c r="R586" s="387">
        <f>'Portefeuille SP2'!N611</f>
        <v>0</v>
      </c>
      <c r="S586" s="387"/>
      <c r="T586" s="382">
        <f>'Portefeuille SP2'!R611</f>
        <v>0</v>
      </c>
      <c r="U586" s="387">
        <f>'Portefeuille SP2'!K611</f>
        <v>0</v>
      </c>
      <c r="V586" s="399">
        <f>'Portefeuille SP2'!S611</f>
        <v>0</v>
      </c>
      <c r="W586" s="387"/>
      <c r="X586" s="387"/>
      <c r="Y586" s="387"/>
      <c r="Z586" s="387"/>
      <c r="AA586" s="387"/>
      <c r="AB586" s="387"/>
      <c r="AC586" s="387"/>
      <c r="AD586" s="387"/>
      <c r="AE586" s="400">
        <f>'Portefeuille SP2'!J611</f>
        <v>0</v>
      </c>
      <c r="AF586" s="387"/>
      <c r="AG586" s="387"/>
      <c r="AH586" s="389"/>
      <c r="AI586" s="389"/>
      <c r="AJ586" s="403">
        <f>'Portefeuille SP2'!V611</f>
        <v>0</v>
      </c>
      <c r="AK586" s="403">
        <f>'Portefeuille SP2'!W611</f>
        <v>0</v>
      </c>
      <c r="AL586" s="403">
        <f>'Portefeuille SP2'!X611</f>
        <v>0</v>
      </c>
      <c r="AM586" s="403">
        <f>'Portefeuille SP2'!Y611</f>
        <v>0</v>
      </c>
      <c r="AN586" s="403">
        <f>'Portefeuille SP2'!Z611</f>
        <v>0</v>
      </c>
      <c r="AO586" s="403">
        <f>'Portefeuille SP2'!AA611</f>
        <v>0</v>
      </c>
      <c r="AP586" s="403">
        <f>'Portefeuille SP2'!AB611</f>
        <v>0</v>
      </c>
      <c r="AQ586" s="403">
        <f>'Portefeuille SP2'!AC611</f>
        <v>0</v>
      </c>
      <c r="AR586" s="403">
        <f>'Portefeuille SP2'!AD611</f>
        <v>0</v>
      </c>
      <c r="AS586" s="403">
        <f>'Portefeuille SP2'!AE611</f>
        <v>0</v>
      </c>
      <c r="AT586" s="403">
        <f>'Portefeuille SP2'!AF611</f>
        <v>0</v>
      </c>
      <c r="AU586" s="403">
        <f>'Portefeuille SP2'!AG611</f>
        <v>0</v>
      </c>
      <c r="AV586" s="403">
        <f>'Portefeuille SP2'!AH611</f>
        <v>0</v>
      </c>
      <c r="AW586" s="403">
        <f>'Portefeuille SP2'!AI611</f>
        <v>0</v>
      </c>
      <c r="AX586" s="403">
        <f>'Portefeuille SP2'!AJ611</f>
        <v>0</v>
      </c>
      <c r="AY586" s="403">
        <f>'Portefeuille SP2'!AK611</f>
        <v>0</v>
      </c>
      <c r="AZ586" s="403">
        <f>'Portefeuille SP2'!AL611</f>
        <v>0</v>
      </c>
      <c r="BA586" s="403">
        <f>'Portefeuille SP2'!AM611</f>
        <v>0</v>
      </c>
      <c r="BB586" s="403">
        <f>'Portefeuille SP2'!AN611</f>
        <v>0</v>
      </c>
      <c r="BC586" s="403">
        <f>'Portefeuille SP2'!AO611</f>
        <v>0</v>
      </c>
      <c r="BD586" s="403">
        <f>'Portefeuille SP2'!AP611</f>
        <v>0</v>
      </c>
      <c r="BE586" s="403">
        <f>'Portefeuille SP2'!AQ611</f>
        <v>0</v>
      </c>
      <c r="BF586" s="403">
        <f>'Portefeuille SP2'!AR611</f>
        <v>0</v>
      </c>
      <c r="BG586" s="403" t="e">
        <f>'Portefeuille SP2'!#REF!</f>
        <v>#REF!</v>
      </c>
      <c r="BH586" s="403" t="e">
        <f>'Portefeuille SP2'!#REF!</f>
        <v>#REF!</v>
      </c>
      <c r="BI586" s="403" t="e">
        <f>'Portefeuille SP2'!#REF!</f>
        <v>#REF!</v>
      </c>
      <c r="BJ586" s="403" t="e">
        <f>'Portefeuille SP2'!#REF!</f>
        <v>#REF!</v>
      </c>
      <c r="BK586" s="403" t="e">
        <f>'Portefeuille SP2'!#REF!</f>
        <v>#REF!</v>
      </c>
      <c r="BL586" s="388"/>
      <c r="BM586" s="404">
        <f>'Portefeuille SP2'!L611</f>
        <v>0</v>
      </c>
    </row>
    <row r="587" spans="1:65" ht="15" customHeight="1">
      <c r="A587" s="383">
        <f>'Portefeuille SP2'!B612</f>
        <v>0</v>
      </c>
      <c r="B587" s="390">
        <f>'Portefeuille SP2'!Q612</f>
        <v>0</v>
      </c>
      <c r="C587" s="384"/>
      <c r="D587" s="382">
        <f>'Portefeuille SP2'!E612</f>
        <v>0</v>
      </c>
      <c r="E587" s="382" t="str">
        <f t="shared" si="39"/>
        <v>0</v>
      </c>
      <c r="F587" s="382" t="str">
        <f t="shared" si="40"/>
        <v/>
      </c>
      <c r="G587" s="382">
        <f>'Portefeuille SP2'!C612</f>
        <v>0</v>
      </c>
      <c r="H587" s="382">
        <f>'Portefeuille SP2'!F612</f>
        <v>0</v>
      </c>
      <c r="I587" s="382"/>
      <c r="J587" s="382">
        <f>'Portefeuille SP2'!D612</f>
        <v>0</v>
      </c>
      <c r="K587" s="385">
        <f>'Portefeuille SP2'!H612</f>
        <v>0</v>
      </c>
      <c r="L587" s="157">
        <f>'Portefeuille SP2'!U612</f>
        <v>0</v>
      </c>
      <c r="M587" s="386"/>
      <c r="N587" s="386"/>
      <c r="O587" s="386"/>
      <c r="P587" s="387">
        <f>'Portefeuille SP2'!M612</f>
        <v>0</v>
      </c>
      <c r="Q587" s="387"/>
      <c r="R587" s="387">
        <f>'Portefeuille SP2'!N612</f>
        <v>0</v>
      </c>
      <c r="S587" s="387"/>
      <c r="T587" s="382">
        <f>'Portefeuille SP2'!R612</f>
        <v>0</v>
      </c>
      <c r="U587" s="387">
        <f>'Portefeuille SP2'!K612</f>
        <v>0</v>
      </c>
      <c r="V587" s="399">
        <f>'Portefeuille SP2'!S612</f>
        <v>0</v>
      </c>
      <c r="W587" s="387"/>
      <c r="X587" s="387"/>
      <c r="Y587" s="387"/>
      <c r="Z587" s="387"/>
      <c r="AA587" s="387"/>
      <c r="AB587" s="387"/>
      <c r="AC587" s="387"/>
      <c r="AD587" s="387"/>
      <c r="AE587" s="400">
        <f>'Portefeuille SP2'!J612</f>
        <v>0</v>
      </c>
      <c r="AF587" s="387"/>
      <c r="AG587" s="387"/>
      <c r="AH587" s="389"/>
      <c r="AI587" s="389"/>
      <c r="AJ587" s="403">
        <f>'Portefeuille SP2'!V612</f>
        <v>0</v>
      </c>
      <c r="AK587" s="403">
        <f>'Portefeuille SP2'!W612</f>
        <v>0</v>
      </c>
      <c r="AL587" s="403">
        <f>'Portefeuille SP2'!X612</f>
        <v>0</v>
      </c>
      <c r="AM587" s="403">
        <f>'Portefeuille SP2'!Y612</f>
        <v>0</v>
      </c>
      <c r="AN587" s="403">
        <f>'Portefeuille SP2'!Z612</f>
        <v>0</v>
      </c>
      <c r="AO587" s="403">
        <f>'Portefeuille SP2'!AA612</f>
        <v>0</v>
      </c>
      <c r="AP587" s="403">
        <f>'Portefeuille SP2'!AB612</f>
        <v>0</v>
      </c>
      <c r="AQ587" s="403">
        <f>'Portefeuille SP2'!AC612</f>
        <v>0</v>
      </c>
      <c r="AR587" s="403">
        <f>'Portefeuille SP2'!AD612</f>
        <v>0</v>
      </c>
      <c r="AS587" s="403">
        <f>'Portefeuille SP2'!AE612</f>
        <v>0</v>
      </c>
      <c r="AT587" s="403">
        <f>'Portefeuille SP2'!AF612</f>
        <v>0</v>
      </c>
      <c r="AU587" s="403">
        <f>'Portefeuille SP2'!AG612</f>
        <v>0</v>
      </c>
      <c r="AV587" s="403">
        <f>'Portefeuille SP2'!AH612</f>
        <v>0</v>
      </c>
      <c r="AW587" s="403">
        <f>'Portefeuille SP2'!AI612</f>
        <v>0</v>
      </c>
      <c r="AX587" s="403">
        <f>'Portefeuille SP2'!AJ612</f>
        <v>0</v>
      </c>
      <c r="AY587" s="403">
        <f>'Portefeuille SP2'!AK612</f>
        <v>0</v>
      </c>
      <c r="AZ587" s="403">
        <f>'Portefeuille SP2'!AL612</f>
        <v>0</v>
      </c>
      <c r="BA587" s="403">
        <f>'Portefeuille SP2'!AM612</f>
        <v>0</v>
      </c>
      <c r="BB587" s="403">
        <f>'Portefeuille SP2'!AN612</f>
        <v>0</v>
      </c>
      <c r="BC587" s="403">
        <f>'Portefeuille SP2'!AO612</f>
        <v>0</v>
      </c>
      <c r="BD587" s="403">
        <f>'Portefeuille SP2'!AP612</f>
        <v>0</v>
      </c>
      <c r="BE587" s="403">
        <f>'Portefeuille SP2'!AQ612</f>
        <v>0</v>
      </c>
      <c r="BF587" s="403">
        <f>'Portefeuille SP2'!AR612</f>
        <v>0</v>
      </c>
      <c r="BG587" s="403" t="e">
        <f>'Portefeuille SP2'!#REF!</f>
        <v>#REF!</v>
      </c>
      <c r="BH587" s="403" t="e">
        <f>'Portefeuille SP2'!#REF!</f>
        <v>#REF!</v>
      </c>
      <c r="BI587" s="403" t="e">
        <f>'Portefeuille SP2'!#REF!</f>
        <v>#REF!</v>
      </c>
      <c r="BJ587" s="403" t="e">
        <f>'Portefeuille SP2'!#REF!</f>
        <v>#REF!</v>
      </c>
      <c r="BK587" s="403" t="e">
        <f>'Portefeuille SP2'!#REF!</f>
        <v>#REF!</v>
      </c>
      <c r="BL587" s="388"/>
      <c r="BM587" s="404">
        <f>'Portefeuille SP2'!L612</f>
        <v>0</v>
      </c>
    </row>
    <row r="588" spans="1:65" ht="15" customHeight="1">
      <c r="A588" s="383">
        <f>'Portefeuille SP2'!B613</f>
        <v>0</v>
      </c>
      <c r="B588" s="390">
        <f>'Portefeuille SP2'!Q613</f>
        <v>0</v>
      </c>
      <c r="C588" s="384"/>
      <c r="D588" s="382">
        <f>'Portefeuille SP2'!E613</f>
        <v>0</v>
      </c>
      <c r="E588" s="382" t="str">
        <f t="shared" si="39"/>
        <v>0</v>
      </c>
      <c r="F588" s="382" t="str">
        <f t="shared" si="40"/>
        <v/>
      </c>
      <c r="G588" s="382">
        <f>'Portefeuille SP2'!C613</f>
        <v>0</v>
      </c>
      <c r="H588" s="382">
        <f>'Portefeuille SP2'!F613</f>
        <v>0</v>
      </c>
      <c r="I588" s="382"/>
      <c r="J588" s="382">
        <f>'Portefeuille SP2'!D613</f>
        <v>0</v>
      </c>
      <c r="K588" s="385">
        <f>'Portefeuille SP2'!H613</f>
        <v>0</v>
      </c>
      <c r="L588" s="157">
        <f>'Portefeuille SP2'!U613</f>
        <v>0</v>
      </c>
      <c r="M588" s="386"/>
      <c r="N588" s="386"/>
      <c r="O588" s="386"/>
      <c r="P588" s="387">
        <f>'Portefeuille SP2'!M613</f>
        <v>0</v>
      </c>
      <c r="Q588" s="387"/>
      <c r="R588" s="387">
        <f>'Portefeuille SP2'!N613</f>
        <v>0</v>
      </c>
      <c r="S588" s="387"/>
      <c r="T588" s="382">
        <f>'Portefeuille SP2'!R613</f>
        <v>0</v>
      </c>
      <c r="U588" s="387">
        <f>'Portefeuille SP2'!K613</f>
        <v>0</v>
      </c>
      <c r="V588" s="399">
        <f>'Portefeuille SP2'!S613</f>
        <v>0</v>
      </c>
      <c r="W588" s="387"/>
      <c r="X588" s="387"/>
      <c r="Y588" s="387"/>
      <c r="Z588" s="387"/>
      <c r="AA588" s="387"/>
      <c r="AB588" s="387"/>
      <c r="AC588" s="387"/>
      <c r="AD588" s="387"/>
      <c r="AE588" s="400">
        <f>'Portefeuille SP2'!J613</f>
        <v>0</v>
      </c>
      <c r="AF588" s="387"/>
      <c r="AG588" s="387"/>
      <c r="AH588" s="389"/>
      <c r="AI588" s="389"/>
      <c r="AJ588" s="403">
        <f>'Portefeuille SP2'!V613</f>
        <v>0</v>
      </c>
      <c r="AK588" s="403">
        <f>'Portefeuille SP2'!W613</f>
        <v>0</v>
      </c>
      <c r="AL588" s="403">
        <f>'Portefeuille SP2'!X613</f>
        <v>0</v>
      </c>
      <c r="AM588" s="403">
        <f>'Portefeuille SP2'!Y613</f>
        <v>0</v>
      </c>
      <c r="AN588" s="403">
        <f>'Portefeuille SP2'!Z613</f>
        <v>0</v>
      </c>
      <c r="AO588" s="403">
        <f>'Portefeuille SP2'!AA613</f>
        <v>0</v>
      </c>
      <c r="AP588" s="403">
        <f>'Portefeuille SP2'!AB613</f>
        <v>0</v>
      </c>
      <c r="AQ588" s="403">
        <f>'Portefeuille SP2'!AC613</f>
        <v>0</v>
      </c>
      <c r="AR588" s="403">
        <f>'Portefeuille SP2'!AD613</f>
        <v>0</v>
      </c>
      <c r="AS588" s="403">
        <f>'Portefeuille SP2'!AE613</f>
        <v>0</v>
      </c>
      <c r="AT588" s="403">
        <f>'Portefeuille SP2'!AF613</f>
        <v>0</v>
      </c>
      <c r="AU588" s="403">
        <f>'Portefeuille SP2'!AG613</f>
        <v>0</v>
      </c>
      <c r="AV588" s="403">
        <f>'Portefeuille SP2'!AH613</f>
        <v>0</v>
      </c>
      <c r="AW588" s="403">
        <f>'Portefeuille SP2'!AI613</f>
        <v>0</v>
      </c>
      <c r="AX588" s="403">
        <f>'Portefeuille SP2'!AJ613</f>
        <v>0</v>
      </c>
      <c r="AY588" s="403">
        <f>'Portefeuille SP2'!AK613</f>
        <v>0</v>
      </c>
      <c r="AZ588" s="403">
        <f>'Portefeuille SP2'!AL613</f>
        <v>0</v>
      </c>
      <c r="BA588" s="403">
        <f>'Portefeuille SP2'!AM613</f>
        <v>0</v>
      </c>
      <c r="BB588" s="403">
        <f>'Portefeuille SP2'!AN613</f>
        <v>0</v>
      </c>
      <c r="BC588" s="403">
        <f>'Portefeuille SP2'!AO613</f>
        <v>0</v>
      </c>
      <c r="BD588" s="403">
        <f>'Portefeuille SP2'!AP613</f>
        <v>0</v>
      </c>
      <c r="BE588" s="403">
        <f>'Portefeuille SP2'!AQ613</f>
        <v>0</v>
      </c>
      <c r="BF588" s="403">
        <f>'Portefeuille SP2'!AR613</f>
        <v>0</v>
      </c>
      <c r="BG588" s="403" t="e">
        <f>'Portefeuille SP2'!#REF!</f>
        <v>#REF!</v>
      </c>
      <c r="BH588" s="403" t="e">
        <f>'Portefeuille SP2'!#REF!</f>
        <v>#REF!</v>
      </c>
      <c r="BI588" s="403" t="e">
        <f>'Portefeuille SP2'!#REF!</f>
        <v>#REF!</v>
      </c>
      <c r="BJ588" s="403" t="e">
        <f>'Portefeuille SP2'!#REF!</f>
        <v>#REF!</v>
      </c>
      <c r="BK588" s="403" t="e">
        <f>'Portefeuille SP2'!#REF!</f>
        <v>#REF!</v>
      </c>
      <c r="BL588" s="388"/>
      <c r="BM588" s="404">
        <f>'Portefeuille SP2'!L613</f>
        <v>0</v>
      </c>
    </row>
    <row r="589" spans="1:65" ht="15" customHeight="1">
      <c r="A589" s="383">
        <f>'Portefeuille SP2'!B614</f>
        <v>0</v>
      </c>
      <c r="B589" s="390">
        <f>'Portefeuille SP2'!Q614</f>
        <v>0</v>
      </c>
      <c r="C589" s="384"/>
      <c r="D589" s="382">
        <f>'Portefeuille SP2'!E614</f>
        <v>0</v>
      </c>
      <c r="E589" s="382" t="str">
        <f t="shared" si="39"/>
        <v>0</v>
      </c>
      <c r="F589" s="382" t="str">
        <f t="shared" si="40"/>
        <v/>
      </c>
      <c r="G589" s="382">
        <f>'Portefeuille SP2'!C614</f>
        <v>0</v>
      </c>
      <c r="H589" s="382">
        <f>'Portefeuille SP2'!F614</f>
        <v>0</v>
      </c>
      <c r="I589" s="382"/>
      <c r="J589" s="382">
        <f>'Portefeuille SP2'!D614</f>
        <v>0</v>
      </c>
      <c r="K589" s="385">
        <f>'Portefeuille SP2'!H614</f>
        <v>0</v>
      </c>
      <c r="L589" s="157">
        <f>'Portefeuille SP2'!U614</f>
        <v>0</v>
      </c>
      <c r="M589" s="386"/>
      <c r="N589" s="386"/>
      <c r="O589" s="386"/>
      <c r="P589" s="387">
        <f>'Portefeuille SP2'!M614</f>
        <v>0</v>
      </c>
      <c r="Q589" s="387"/>
      <c r="R589" s="387">
        <f>'Portefeuille SP2'!N614</f>
        <v>0</v>
      </c>
      <c r="S589" s="387"/>
      <c r="T589" s="382">
        <f>'Portefeuille SP2'!R614</f>
        <v>0</v>
      </c>
      <c r="U589" s="387">
        <f>'Portefeuille SP2'!K614</f>
        <v>0</v>
      </c>
      <c r="V589" s="399">
        <f>'Portefeuille SP2'!S614</f>
        <v>0</v>
      </c>
      <c r="W589" s="387"/>
      <c r="X589" s="387"/>
      <c r="Y589" s="387"/>
      <c r="Z589" s="387"/>
      <c r="AA589" s="387"/>
      <c r="AB589" s="387"/>
      <c r="AC589" s="387"/>
      <c r="AD589" s="387"/>
      <c r="AE589" s="400">
        <f>'Portefeuille SP2'!J614</f>
        <v>0</v>
      </c>
      <c r="AF589" s="387"/>
      <c r="AG589" s="387"/>
      <c r="AH589" s="389"/>
      <c r="AI589" s="389"/>
      <c r="AJ589" s="403">
        <f>'Portefeuille SP2'!V614</f>
        <v>0</v>
      </c>
      <c r="AK589" s="403">
        <f>'Portefeuille SP2'!W614</f>
        <v>0</v>
      </c>
      <c r="AL589" s="403">
        <f>'Portefeuille SP2'!X614</f>
        <v>0</v>
      </c>
      <c r="AM589" s="403">
        <f>'Portefeuille SP2'!Y614</f>
        <v>0</v>
      </c>
      <c r="AN589" s="403">
        <f>'Portefeuille SP2'!Z614</f>
        <v>0</v>
      </c>
      <c r="AO589" s="403">
        <f>'Portefeuille SP2'!AA614</f>
        <v>0</v>
      </c>
      <c r="AP589" s="403">
        <f>'Portefeuille SP2'!AB614</f>
        <v>0</v>
      </c>
      <c r="AQ589" s="403">
        <f>'Portefeuille SP2'!AC614</f>
        <v>0</v>
      </c>
      <c r="AR589" s="403">
        <f>'Portefeuille SP2'!AD614</f>
        <v>0</v>
      </c>
      <c r="AS589" s="403">
        <f>'Portefeuille SP2'!AE614</f>
        <v>0</v>
      </c>
      <c r="AT589" s="403">
        <f>'Portefeuille SP2'!AF614</f>
        <v>0</v>
      </c>
      <c r="AU589" s="403">
        <f>'Portefeuille SP2'!AG614</f>
        <v>0</v>
      </c>
      <c r="AV589" s="403">
        <f>'Portefeuille SP2'!AH614</f>
        <v>0</v>
      </c>
      <c r="AW589" s="403">
        <f>'Portefeuille SP2'!AI614</f>
        <v>0</v>
      </c>
      <c r="AX589" s="403">
        <f>'Portefeuille SP2'!AJ614</f>
        <v>0</v>
      </c>
      <c r="AY589" s="403">
        <f>'Portefeuille SP2'!AK614</f>
        <v>0</v>
      </c>
      <c r="AZ589" s="403">
        <f>'Portefeuille SP2'!AL614</f>
        <v>0</v>
      </c>
      <c r="BA589" s="403">
        <f>'Portefeuille SP2'!AM614</f>
        <v>0</v>
      </c>
      <c r="BB589" s="403">
        <f>'Portefeuille SP2'!AN614</f>
        <v>0</v>
      </c>
      <c r="BC589" s="403">
        <f>'Portefeuille SP2'!AO614</f>
        <v>0</v>
      </c>
      <c r="BD589" s="403">
        <f>'Portefeuille SP2'!AP614</f>
        <v>0</v>
      </c>
      <c r="BE589" s="403">
        <f>'Portefeuille SP2'!AQ614</f>
        <v>0</v>
      </c>
      <c r="BF589" s="403">
        <f>'Portefeuille SP2'!AR614</f>
        <v>0</v>
      </c>
      <c r="BG589" s="403" t="e">
        <f>'Portefeuille SP2'!#REF!</f>
        <v>#REF!</v>
      </c>
      <c r="BH589" s="403" t="e">
        <f>'Portefeuille SP2'!#REF!</f>
        <v>#REF!</v>
      </c>
      <c r="BI589" s="403" t="e">
        <f>'Portefeuille SP2'!#REF!</f>
        <v>#REF!</v>
      </c>
      <c r="BJ589" s="403" t="e">
        <f>'Portefeuille SP2'!#REF!</f>
        <v>#REF!</v>
      </c>
      <c r="BK589" s="403" t="e">
        <f>'Portefeuille SP2'!#REF!</f>
        <v>#REF!</v>
      </c>
      <c r="BL589" s="388"/>
      <c r="BM589" s="404">
        <f>'Portefeuille SP2'!L614</f>
        <v>0</v>
      </c>
    </row>
    <row r="590" spans="1:65" ht="15" customHeight="1">
      <c r="A590" s="383">
        <f>'Portefeuille SP2'!B615</f>
        <v>0</v>
      </c>
      <c r="B590" s="390">
        <f>'Portefeuille SP2'!Q615</f>
        <v>0</v>
      </c>
      <c r="C590" s="384"/>
      <c r="D590" s="382">
        <f>'Portefeuille SP2'!E615</f>
        <v>0</v>
      </c>
      <c r="E590" s="382" t="str">
        <f t="shared" si="39"/>
        <v>0</v>
      </c>
      <c r="F590" s="382" t="str">
        <f t="shared" si="40"/>
        <v/>
      </c>
      <c r="G590" s="382">
        <f>'Portefeuille SP2'!C615</f>
        <v>0</v>
      </c>
      <c r="H590" s="382">
        <f>'Portefeuille SP2'!F615</f>
        <v>0</v>
      </c>
      <c r="I590" s="382"/>
      <c r="J590" s="382">
        <f>'Portefeuille SP2'!D615</f>
        <v>0</v>
      </c>
      <c r="K590" s="385">
        <f>'Portefeuille SP2'!H615</f>
        <v>0</v>
      </c>
      <c r="L590" s="157">
        <f>'Portefeuille SP2'!U615</f>
        <v>0</v>
      </c>
      <c r="M590" s="386"/>
      <c r="N590" s="386"/>
      <c r="O590" s="386"/>
      <c r="P590" s="387">
        <f>'Portefeuille SP2'!M615</f>
        <v>0</v>
      </c>
      <c r="Q590" s="387"/>
      <c r="R590" s="387">
        <f>'Portefeuille SP2'!N615</f>
        <v>0</v>
      </c>
      <c r="S590" s="387"/>
      <c r="T590" s="382">
        <f>'Portefeuille SP2'!R615</f>
        <v>0</v>
      </c>
      <c r="U590" s="387">
        <f>'Portefeuille SP2'!K615</f>
        <v>0</v>
      </c>
      <c r="V590" s="399">
        <f>'Portefeuille SP2'!S615</f>
        <v>0</v>
      </c>
      <c r="W590" s="387"/>
      <c r="X590" s="387"/>
      <c r="Y590" s="387"/>
      <c r="Z590" s="387"/>
      <c r="AA590" s="387"/>
      <c r="AB590" s="387"/>
      <c r="AC590" s="387"/>
      <c r="AD590" s="387"/>
      <c r="AE590" s="400">
        <f>'Portefeuille SP2'!J615</f>
        <v>0</v>
      </c>
      <c r="AF590" s="387"/>
      <c r="AG590" s="387"/>
      <c r="AH590" s="389"/>
      <c r="AI590" s="389"/>
      <c r="AJ590" s="403">
        <f>'Portefeuille SP2'!V615</f>
        <v>0</v>
      </c>
      <c r="AK590" s="403">
        <f>'Portefeuille SP2'!W615</f>
        <v>0</v>
      </c>
      <c r="AL590" s="403">
        <f>'Portefeuille SP2'!X615</f>
        <v>0</v>
      </c>
      <c r="AM590" s="403">
        <f>'Portefeuille SP2'!Y615</f>
        <v>0</v>
      </c>
      <c r="AN590" s="403">
        <f>'Portefeuille SP2'!Z615</f>
        <v>0</v>
      </c>
      <c r="AO590" s="403">
        <f>'Portefeuille SP2'!AA615</f>
        <v>0</v>
      </c>
      <c r="AP590" s="403">
        <f>'Portefeuille SP2'!AB615</f>
        <v>0</v>
      </c>
      <c r="AQ590" s="403">
        <f>'Portefeuille SP2'!AC615</f>
        <v>0</v>
      </c>
      <c r="AR590" s="403">
        <f>'Portefeuille SP2'!AD615</f>
        <v>0</v>
      </c>
      <c r="AS590" s="403">
        <f>'Portefeuille SP2'!AE615</f>
        <v>0</v>
      </c>
      <c r="AT590" s="403">
        <f>'Portefeuille SP2'!AF615</f>
        <v>0</v>
      </c>
      <c r="AU590" s="403">
        <f>'Portefeuille SP2'!AG615</f>
        <v>0</v>
      </c>
      <c r="AV590" s="403">
        <f>'Portefeuille SP2'!AH615</f>
        <v>0</v>
      </c>
      <c r="AW590" s="403">
        <f>'Portefeuille SP2'!AI615</f>
        <v>0</v>
      </c>
      <c r="AX590" s="403">
        <f>'Portefeuille SP2'!AJ615</f>
        <v>0</v>
      </c>
      <c r="AY590" s="403">
        <f>'Portefeuille SP2'!AK615</f>
        <v>0</v>
      </c>
      <c r="AZ590" s="403">
        <f>'Portefeuille SP2'!AL615</f>
        <v>0</v>
      </c>
      <c r="BA590" s="403">
        <f>'Portefeuille SP2'!AM615</f>
        <v>0</v>
      </c>
      <c r="BB590" s="403">
        <f>'Portefeuille SP2'!AN615</f>
        <v>0</v>
      </c>
      <c r="BC590" s="403">
        <f>'Portefeuille SP2'!AO615</f>
        <v>0</v>
      </c>
      <c r="BD590" s="403">
        <f>'Portefeuille SP2'!AP615</f>
        <v>0</v>
      </c>
      <c r="BE590" s="403">
        <f>'Portefeuille SP2'!AQ615</f>
        <v>0</v>
      </c>
      <c r="BF590" s="403">
        <f>'Portefeuille SP2'!AR615</f>
        <v>0</v>
      </c>
      <c r="BG590" s="403" t="e">
        <f>'Portefeuille SP2'!#REF!</f>
        <v>#REF!</v>
      </c>
      <c r="BH590" s="403" t="e">
        <f>'Portefeuille SP2'!#REF!</f>
        <v>#REF!</v>
      </c>
      <c r="BI590" s="403" t="e">
        <f>'Portefeuille SP2'!#REF!</f>
        <v>#REF!</v>
      </c>
      <c r="BJ590" s="403" t="e">
        <f>'Portefeuille SP2'!#REF!</f>
        <v>#REF!</v>
      </c>
      <c r="BK590" s="403" t="e">
        <f>'Portefeuille SP2'!#REF!</f>
        <v>#REF!</v>
      </c>
      <c r="BL590" s="388"/>
      <c r="BM590" s="404">
        <f>'Portefeuille SP2'!L615</f>
        <v>0</v>
      </c>
    </row>
    <row r="591" spans="1:65" ht="15" customHeight="1">
      <c r="A591" s="383">
        <f>'Portefeuille SP2'!B616</f>
        <v>0</v>
      </c>
      <c r="B591" s="390">
        <f>'Portefeuille SP2'!Q616</f>
        <v>0</v>
      </c>
      <c r="C591" s="384"/>
      <c r="D591" s="382">
        <f>'Portefeuille SP2'!E616</f>
        <v>0</v>
      </c>
      <c r="E591" s="382" t="str">
        <f t="shared" si="39"/>
        <v>0</v>
      </c>
      <c r="F591" s="382" t="str">
        <f t="shared" si="40"/>
        <v/>
      </c>
      <c r="G591" s="382">
        <f>'Portefeuille SP2'!C616</f>
        <v>0</v>
      </c>
      <c r="H591" s="382">
        <f>'Portefeuille SP2'!F616</f>
        <v>0</v>
      </c>
      <c r="I591" s="382"/>
      <c r="J591" s="382">
        <f>'Portefeuille SP2'!D616</f>
        <v>0</v>
      </c>
      <c r="K591" s="385">
        <f>'Portefeuille SP2'!H616</f>
        <v>0</v>
      </c>
      <c r="L591" s="157">
        <f>'Portefeuille SP2'!U616</f>
        <v>0</v>
      </c>
      <c r="M591" s="386"/>
      <c r="N591" s="386"/>
      <c r="O591" s="386"/>
      <c r="P591" s="387">
        <f>'Portefeuille SP2'!M616</f>
        <v>0</v>
      </c>
      <c r="Q591" s="387"/>
      <c r="R591" s="387">
        <f>'Portefeuille SP2'!N616</f>
        <v>0</v>
      </c>
      <c r="S591" s="387"/>
      <c r="T591" s="382">
        <f>'Portefeuille SP2'!R616</f>
        <v>0</v>
      </c>
      <c r="U591" s="387">
        <f>'Portefeuille SP2'!K616</f>
        <v>0</v>
      </c>
      <c r="V591" s="399">
        <f>'Portefeuille SP2'!S616</f>
        <v>0</v>
      </c>
      <c r="W591" s="387"/>
      <c r="X591" s="387"/>
      <c r="Y591" s="387"/>
      <c r="Z591" s="387"/>
      <c r="AA591" s="387"/>
      <c r="AB591" s="387"/>
      <c r="AC591" s="387"/>
      <c r="AD591" s="387"/>
      <c r="AE591" s="400">
        <f>'Portefeuille SP2'!J616</f>
        <v>0</v>
      </c>
      <c r="AF591" s="387"/>
      <c r="AG591" s="387"/>
      <c r="AH591" s="389"/>
      <c r="AI591" s="389"/>
      <c r="AJ591" s="403">
        <f>'Portefeuille SP2'!V616</f>
        <v>0</v>
      </c>
      <c r="AK591" s="403">
        <f>'Portefeuille SP2'!W616</f>
        <v>0</v>
      </c>
      <c r="AL591" s="403">
        <f>'Portefeuille SP2'!X616</f>
        <v>0</v>
      </c>
      <c r="AM591" s="403">
        <f>'Portefeuille SP2'!Y616</f>
        <v>0</v>
      </c>
      <c r="AN591" s="403">
        <f>'Portefeuille SP2'!Z616</f>
        <v>0</v>
      </c>
      <c r="AO591" s="403">
        <f>'Portefeuille SP2'!AA616</f>
        <v>0</v>
      </c>
      <c r="AP591" s="403">
        <f>'Portefeuille SP2'!AB616</f>
        <v>0</v>
      </c>
      <c r="AQ591" s="403">
        <f>'Portefeuille SP2'!AC616</f>
        <v>0</v>
      </c>
      <c r="AR591" s="403">
        <f>'Portefeuille SP2'!AD616</f>
        <v>0</v>
      </c>
      <c r="AS591" s="403">
        <f>'Portefeuille SP2'!AE616</f>
        <v>0</v>
      </c>
      <c r="AT591" s="403">
        <f>'Portefeuille SP2'!AF616</f>
        <v>0</v>
      </c>
      <c r="AU591" s="403">
        <f>'Portefeuille SP2'!AG616</f>
        <v>0</v>
      </c>
      <c r="AV591" s="403">
        <f>'Portefeuille SP2'!AH616</f>
        <v>0</v>
      </c>
      <c r="AW591" s="403">
        <f>'Portefeuille SP2'!AI616</f>
        <v>0</v>
      </c>
      <c r="AX591" s="403">
        <f>'Portefeuille SP2'!AJ616</f>
        <v>0</v>
      </c>
      <c r="AY591" s="403">
        <f>'Portefeuille SP2'!AK616</f>
        <v>0</v>
      </c>
      <c r="AZ591" s="403">
        <f>'Portefeuille SP2'!AL616</f>
        <v>0</v>
      </c>
      <c r="BA591" s="403">
        <f>'Portefeuille SP2'!AM616</f>
        <v>0</v>
      </c>
      <c r="BB591" s="403">
        <f>'Portefeuille SP2'!AN616</f>
        <v>0</v>
      </c>
      <c r="BC591" s="403">
        <f>'Portefeuille SP2'!AO616</f>
        <v>0</v>
      </c>
      <c r="BD591" s="403">
        <f>'Portefeuille SP2'!AP616</f>
        <v>0</v>
      </c>
      <c r="BE591" s="403">
        <f>'Portefeuille SP2'!AQ616</f>
        <v>0</v>
      </c>
      <c r="BF591" s="403">
        <f>'Portefeuille SP2'!AR616</f>
        <v>0</v>
      </c>
      <c r="BG591" s="403" t="e">
        <f>'Portefeuille SP2'!#REF!</f>
        <v>#REF!</v>
      </c>
      <c r="BH591" s="403" t="e">
        <f>'Portefeuille SP2'!#REF!</f>
        <v>#REF!</v>
      </c>
      <c r="BI591" s="403" t="e">
        <f>'Portefeuille SP2'!#REF!</f>
        <v>#REF!</v>
      </c>
      <c r="BJ591" s="403" t="e">
        <f>'Portefeuille SP2'!#REF!</f>
        <v>#REF!</v>
      </c>
      <c r="BK591" s="403" t="e">
        <f>'Portefeuille SP2'!#REF!</f>
        <v>#REF!</v>
      </c>
      <c r="BL591" s="388"/>
      <c r="BM591" s="404">
        <f>'Portefeuille SP2'!L616</f>
        <v>0</v>
      </c>
    </row>
    <row r="592" spans="1:65" ht="15" customHeight="1">
      <c r="A592" s="383">
        <f>'Portefeuille SP2'!B617</f>
        <v>0</v>
      </c>
      <c r="B592" s="390">
        <f>'Portefeuille SP2'!Q617</f>
        <v>0</v>
      </c>
      <c r="C592" s="384"/>
      <c r="D592" s="382">
        <f>'Portefeuille SP2'!E617</f>
        <v>0</v>
      </c>
      <c r="E592" s="382" t="str">
        <f t="shared" si="39"/>
        <v>0</v>
      </c>
      <c r="F592" s="382" t="str">
        <f t="shared" si="40"/>
        <v/>
      </c>
      <c r="G592" s="382">
        <f>'Portefeuille SP2'!C617</f>
        <v>0</v>
      </c>
      <c r="H592" s="382">
        <f>'Portefeuille SP2'!F617</f>
        <v>0</v>
      </c>
      <c r="I592" s="382"/>
      <c r="J592" s="382">
        <f>'Portefeuille SP2'!D617</f>
        <v>0</v>
      </c>
      <c r="K592" s="385">
        <f>'Portefeuille SP2'!H617</f>
        <v>0</v>
      </c>
      <c r="L592" s="157">
        <f>'Portefeuille SP2'!U617</f>
        <v>0</v>
      </c>
      <c r="M592" s="386"/>
      <c r="N592" s="386"/>
      <c r="O592" s="386"/>
      <c r="P592" s="387">
        <f>'Portefeuille SP2'!M617</f>
        <v>0</v>
      </c>
      <c r="Q592" s="387"/>
      <c r="R592" s="387">
        <f>'Portefeuille SP2'!N617</f>
        <v>0</v>
      </c>
      <c r="S592" s="387"/>
      <c r="T592" s="382">
        <f>'Portefeuille SP2'!R617</f>
        <v>0</v>
      </c>
      <c r="U592" s="387">
        <f>'Portefeuille SP2'!K617</f>
        <v>0</v>
      </c>
      <c r="V592" s="399">
        <f>'Portefeuille SP2'!S617</f>
        <v>0</v>
      </c>
      <c r="W592" s="387"/>
      <c r="X592" s="387"/>
      <c r="Y592" s="387"/>
      <c r="Z592" s="387"/>
      <c r="AA592" s="387"/>
      <c r="AB592" s="387"/>
      <c r="AC592" s="387"/>
      <c r="AD592" s="387"/>
      <c r="AE592" s="400">
        <f>'Portefeuille SP2'!J617</f>
        <v>0</v>
      </c>
      <c r="AF592" s="387"/>
      <c r="AG592" s="387"/>
      <c r="AH592" s="389"/>
      <c r="AI592" s="389"/>
      <c r="AJ592" s="403">
        <f>'Portefeuille SP2'!V617</f>
        <v>0</v>
      </c>
      <c r="AK592" s="403">
        <f>'Portefeuille SP2'!W617</f>
        <v>0</v>
      </c>
      <c r="AL592" s="403">
        <f>'Portefeuille SP2'!X617</f>
        <v>0</v>
      </c>
      <c r="AM592" s="403">
        <f>'Portefeuille SP2'!Y617</f>
        <v>0</v>
      </c>
      <c r="AN592" s="403">
        <f>'Portefeuille SP2'!Z617</f>
        <v>0</v>
      </c>
      <c r="AO592" s="403">
        <f>'Portefeuille SP2'!AA617</f>
        <v>0</v>
      </c>
      <c r="AP592" s="403">
        <f>'Portefeuille SP2'!AB617</f>
        <v>0</v>
      </c>
      <c r="AQ592" s="403">
        <f>'Portefeuille SP2'!AC617</f>
        <v>0</v>
      </c>
      <c r="AR592" s="403">
        <f>'Portefeuille SP2'!AD617</f>
        <v>0</v>
      </c>
      <c r="AS592" s="403">
        <f>'Portefeuille SP2'!AE617</f>
        <v>0</v>
      </c>
      <c r="AT592" s="403">
        <f>'Portefeuille SP2'!AF617</f>
        <v>0</v>
      </c>
      <c r="AU592" s="403">
        <f>'Portefeuille SP2'!AG617</f>
        <v>0</v>
      </c>
      <c r="AV592" s="403">
        <f>'Portefeuille SP2'!AH617</f>
        <v>0</v>
      </c>
      <c r="AW592" s="403">
        <f>'Portefeuille SP2'!AI617</f>
        <v>0</v>
      </c>
      <c r="AX592" s="403">
        <f>'Portefeuille SP2'!AJ617</f>
        <v>0</v>
      </c>
      <c r="AY592" s="403">
        <f>'Portefeuille SP2'!AK617</f>
        <v>0</v>
      </c>
      <c r="AZ592" s="403">
        <f>'Portefeuille SP2'!AL617</f>
        <v>0</v>
      </c>
      <c r="BA592" s="403">
        <f>'Portefeuille SP2'!AM617</f>
        <v>0</v>
      </c>
      <c r="BB592" s="403">
        <f>'Portefeuille SP2'!AN617</f>
        <v>0</v>
      </c>
      <c r="BC592" s="403">
        <f>'Portefeuille SP2'!AO617</f>
        <v>0</v>
      </c>
      <c r="BD592" s="403">
        <f>'Portefeuille SP2'!AP617</f>
        <v>0</v>
      </c>
      <c r="BE592" s="403">
        <f>'Portefeuille SP2'!AQ617</f>
        <v>0</v>
      </c>
      <c r="BF592" s="403">
        <f>'Portefeuille SP2'!AR617</f>
        <v>0</v>
      </c>
      <c r="BG592" s="403" t="e">
        <f>'Portefeuille SP2'!#REF!</f>
        <v>#REF!</v>
      </c>
      <c r="BH592" s="403" t="e">
        <f>'Portefeuille SP2'!#REF!</f>
        <v>#REF!</v>
      </c>
      <c r="BI592" s="403" t="e">
        <f>'Portefeuille SP2'!#REF!</f>
        <v>#REF!</v>
      </c>
      <c r="BJ592" s="403" t="e">
        <f>'Portefeuille SP2'!#REF!</f>
        <v>#REF!</v>
      </c>
      <c r="BK592" s="403" t="e">
        <f>'Portefeuille SP2'!#REF!</f>
        <v>#REF!</v>
      </c>
      <c r="BL592" s="388"/>
      <c r="BM592" s="404">
        <f>'Portefeuille SP2'!L617</f>
        <v>0</v>
      </c>
    </row>
    <row r="593" spans="1:65" ht="15" customHeight="1">
      <c r="A593" s="383">
        <f>'Portefeuille SP2'!B618</f>
        <v>0</v>
      </c>
      <c r="B593" s="390">
        <f>'Portefeuille SP2'!Q618</f>
        <v>0</v>
      </c>
      <c r="C593" s="384"/>
      <c r="D593" s="382">
        <f>'Portefeuille SP2'!E618</f>
        <v>0</v>
      </c>
      <c r="E593" s="382" t="str">
        <f t="shared" si="39"/>
        <v>0</v>
      </c>
      <c r="F593" s="382" t="str">
        <f t="shared" si="40"/>
        <v/>
      </c>
      <c r="G593" s="382">
        <f>'Portefeuille SP2'!C618</f>
        <v>0</v>
      </c>
      <c r="H593" s="382">
        <f>'Portefeuille SP2'!F618</f>
        <v>0</v>
      </c>
      <c r="I593" s="382"/>
      <c r="J593" s="382">
        <f>'Portefeuille SP2'!D618</f>
        <v>0</v>
      </c>
      <c r="K593" s="385">
        <f>'Portefeuille SP2'!H618</f>
        <v>0</v>
      </c>
      <c r="L593" s="157">
        <f>'Portefeuille SP2'!U618</f>
        <v>0</v>
      </c>
      <c r="M593" s="386"/>
      <c r="N593" s="386"/>
      <c r="O593" s="386"/>
      <c r="P593" s="387">
        <f>'Portefeuille SP2'!M618</f>
        <v>0</v>
      </c>
      <c r="Q593" s="387"/>
      <c r="R593" s="387">
        <f>'Portefeuille SP2'!N618</f>
        <v>0</v>
      </c>
      <c r="S593" s="387"/>
      <c r="T593" s="382">
        <f>'Portefeuille SP2'!R618</f>
        <v>0</v>
      </c>
      <c r="U593" s="387">
        <f>'Portefeuille SP2'!K618</f>
        <v>0</v>
      </c>
      <c r="V593" s="399">
        <f>'Portefeuille SP2'!S618</f>
        <v>0</v>
      </c>
      <c r="W593" s="387"/>
      <c r="X593" s="387"/>
      <c r="Y593" s="387"/>
      <c r="Z593" s="387"/>
      <c r="AA593" s="387"/>
      <c r="AB593" s="387"/>
      <c r="AC593" s="387"/>
      <c r="AD593" s="387"/>
      <c r="AE593" s="400">
        <f>'Portefeuille SP2'!J618</f>
        <v>0</v>
      </c>
      <c r="AF593" s="387"/>
      <c r="AG593" s="387"/>
      <c r="AH593" s="389"/>
      <c r="AI593" s="389"/>
      <c r="AJ593" s="403">
        <f>'Portefeuille SP2'!V618</f>
        <v>0</v>
      </c>
      <c r="AK593" s="403">
        <f>'Portefeuille SP2'!W618</f>
        <v>0</v>
      </c>
      <c r="AL593" s="403">
        <f>'Portefeuille SP2'!X618</f>
        <v>0</v>
      </c>
      <c r="AM593" s="403">
        <f>'Portefeuille SP2'!Y618</f>
        <v>0</v>
      </c>
      <c r="AN593" s="403">
        <f>'Portefeuille SP2'!Z618</f>
        <v>0</v>
      </c>
      <c r="AO593" s="403">
        <f>'Portefeuille SP2'!AA618</f>
        <v>0</v>
      </c>
      <c r="AP593" s="403">
        <f>'Portefeuille SP2'!AB618</f>
        <v>0</v>
      </c>
      <c r="AQ593" s="403">
        <f>'Portefeuille SP2'!AC618</f>
        <v>0</v>
      </c>
      <c r="AR593" s="403">
        <f>'Portefeuille SP2'!AD618</f>
        <v>0</v>
      </c>
      <c r="AS593" s="403">
        <f>'Portefeuille SP2'!AE618</f>
        <v>0</v>
      </c>
      <c r="AT593" s="403">
        <f>'Portefeuille SP2'!AF618</f>
        <v>0</v>
      </c>
      <c r="AU593" s="403">
        <f>'Portefeuille SP2'!AG618</f>
        <v>0</v>
      </c>
      <c r="AV593" s="403">
        <f>'Portefeuille SP2'!AH618</f>
        <v>0</v>
      </c>
      <c r="AW593" s="403">
        <f>'Portefeuille SP2'!AI618</f>
        <v>0</v>
      </c>
      <c r="AX593" s="403">
        <f>'Portefeuille SP2'!AJ618</f>
        <v>0</v>
      </c>
      <c r="AY593" s="403">
        <f>'Portefeuille SP2'!AK618</f>
        <v>0</v>
      </c>
      <c r="AZ593" s="403">
        <f>'Portefeuille SP2'!AL618</f>
        <v>0</v>
      </c>
      <c r="BA593" s="403">
        <f>'Portefeuille SP2'!AM618</f>
        <v>0</v>
      </c>
      <c r="BB593" s="403">
        <f>'Portefeuille SP2'!AN618</f>
        <v>0</v>
      </c>
      <c r="BC593" s="403">
        <f>'Portefeuille SP2'!AO618</f>
        <v>0</v>
      </c>
      <c r="BD593" s="403">
        <f>'Portefeuille SP2'!AP618</f>
        <v>0</v>
      </c>
      <c r="BE593" s="403">
        <f>'Portefeuille SP2'!AQ618</f>
        <v>0</v>
      </c>
      <c r="BF593" s="403">
        <f>'Portefeuille SP2'!AR618</f>
        <v>0</v>
      </c>
      <c r="BG593" s="403" t="e">
        <f>'Portefeuille SP2'!#REF!</f>
        <v>#REF!</v>
      </c>
      <c r="BH593" s="403" t="e">
        <f>'Portefeuille SP2'!#REF!</f>
        <v>#REF!</v>
      </c>
      <c r="BI593" s="403" t="e">
        <f>'Portefeuille SP2'!#REF!</f>
        <v>#REF!</v>
      </c>
      <c r="BJ593" s="403" t="e">
        <f>'Portefeuille SP2'!#REF!</f>
        <v>#REF!</v>
      </c>
      <c r="BK593" s="403" t="e">
        <f>'Portefeuille SP2'!#REF!</f>
        <v>#REF!</v>
      </c>
      <c r="BL593" s="388"/>
      <c r="BM593" s="404">
        <f>'Portefeuille SP2'!L618</f>
        <v>0</v>
      </c>
    </row>
    <row r="594" spans="1:65" ht="15" customHeight="1">
      <c r="A594" s="383">
        <f>'Portefeuille SP2'!B619</f>
        <v>0</v>
      </c>
      <c r="B594" s="390">
        <f>'Portefeuille SP2'!Q619</f>
        <v>0</v>
      </c>
      <c r="C594" s="384"/>
      <c r="D594" s="382">
        <f>'Portefeuille SP2'!E619</f>
        <v>0</v>
      </c>
      <c r="E594" s="382" t="str">
        <f t="shared" si="39"/>
        <v>0</v>
      </c>
      <c r="F594" s="382" t="str">
        <f t="shared" si="40"/>
        <v/>
      </c>
      <c r="G594" s="382">
        <f>'Portefeuille SP2'!C619</f>
        <v>0</v>
      </c>
      <c r="H594" s="382">
        <f>'Portefeuille SP2'!F619</f>
        <v>0</v>
      </c>
      <c r="I594" s="382"/>
      <c r="J594" s="382">
        <f>'Portefeuille SP2'!D619</f>
        <v>0</v>
      </c>
      <c r="K594" s="385">
        <f>'Portefeuille SP2'!H619</f>
        <v>0</v>
      </c>
      <c r="L594" s="157">
        <f>'Portefeuille SP2'!U619</f>
        <v>0</v>
      </c>
      <c r="M594" s="386"/>
      <c r="N594" s="386"/>
      <c r="O594" s="386"/>
      <c r="P594" s="387">
        <f>'Portefeuille SP2'!M619</f>
        <v>0</v>
      </c>
      <c r="Q594" s="387"/>
      <c r="R594" s="387">
        <f>'Portefeuille SP2'!N619</f>
        <v>0</v>
      </c>
      <c r="S594" s="387"/>
      <c r="T594" s="382">
        <f>'Portefeuille SP2'!R619</f>
        <v>0</v>
      </c>
      <c r="U594" s="387">
        <f>'Portefeuille SP2'!K619</f>
        <v>0</v>
      </c>
      <c r="V594" s="399">
        <f>'Portefeuille SP2'!S619</f>
        <v>0</v>
      </c>
      <c r="W594" s="387"/>
      <c r="X594" s="387"/>
      <c r="Y594" s="387"/>
      <c r="Z594" s="387"/>
      <c r="AA594" s="387"/>
      <c r="AB594" s="387"/>
      <c r="AC594" s="387"/>
      <c r="AD594" s="387"/>
      <c r="AE594" s="400">
        <f>'Portefeuille SP2'!J619</f>
        <v>0</v>
      </c>
      <c r="AF594" s="387"/>
      <c r="AG594" s="387"/>
      <c r="AH594" s="389"/>
      <c r="AI594" s="389"/>
      <c r="AJ594" s="403">
        <f>'Portefeuille SP2'!V619</f>
        <v>0</v>
      </c>
      <c r="AK594" s="403">
        <f>'Portefeuille SP2'!W619</f>
        <v>0</v>
      </c>
      <c r="AL594" s="403">
        <f>'Portefeuille SP2'!X619</f>
        <v>0</v>
      </c>
      <c r="AM594" s="403">
        <f>'Portefeuille SP2'!Y619</f>
        <v>0</v>
      </c>
      <c r="AN594" s="403">
        <f>'Portefeuille SP2'!Z619</f>
        <v>0</v>
      </c>
      <c r="AO594" s="403">
        <f>'Portefeuille SP2'!AA619</f>
        <v>0</v>
      </c>
      <c r="AP594" s="403">
        <f>'Portefeuille SP2'!AB619</f>
        <v>0</v>
      </c>
      <c r="AQ594" s="403">
        <f>'Portefeuille SP2'!AC619</f>
        <v>0</v>
      </c>
      <c r="AR594" s="403">
        <f>'Portefeuille SP2'!AD619</f>
        <v>0</v>
      </c>
      <c r="AS594" s="403">
        <f>'Portefeuille SP2'!AE619</f>
        <v>0</v>
      </c>
      <c r="AT594" s="403">
        <f>'Portefeuille SP2'!AF619</f>
        <v>0</v>
      </c>
      <c r="AU594" s="403">
        <f>'Portefeuille SP2'!AG619</f>
        <v>0</v>
      </c>
      <c r="AV594" s="403">
        <f>'Portefeuille SP2'!AH619</f>
        <v>0</v>
      </c>
      <c r="AW594" s="403">
        <f>'Portefeuille SP2'!AI619</f>
        <v>0</v>
      </c>
      <c r="AX594" s="403">
        <f>'Portefeuille SP2'!AJ619</f>
        <v>0</v>
      </c>
      <c r="AY594" s="403">
        <f>'Portefeuille SP2'!AK619</f>
        <v>0</v>
      </c>
      <c r="AZ594" s="403">
        <f>'Portefeuille SP2'!AL619</f>
        <v>0</v>
      </c>
      <c r="BA594" s="403">
        <f>'Portefeuille SP2'!AM619</f>
        <v>0</v>
      </c>
      <c r="BB594" s="403">
        <f>'Portefeuille SP2'!AN619</f>
        <v>0</v>
      </c>
      <c r="BC594" s="403">
        <f>'Portefeuille SP2'!AO619</f>
        <v>0</v>
      </c>
      <c r="BD594" s="403">
        <f>'Portefeuille SP2'!AP619</f>
        <v>0</v>
      </c>
      <c r="BE594" s="403">
        <f>'Portefeuille SP2'!AQ619</f>
        <v>0</v>
      </c>
      <c r="BF594" s="403">
        <f>'Portefeuille SP2'!AR619</f>
        <v>0</v>
      </c>
      <c r="BG594" s="403" t="e">
        <f>'Portefeuille SP2'!#REF!</f>
        <v>#REF!</v>
      </c>
      <c r="BH594" s="403" t="e">
        <f>'Portefeuille SP2'!#REF!</f>
        <v>#REF!</v>
      </c>
      <c r="BI594" s="403" t="e">
        <f>'Portefeuille SP2'!#REF!</f>
        <v>#REF!</v>
      </c>
      <c r="BJ594" s="403" t="e">
        <f>'Portefeuille SP2'!#REF!</f>
        <v>#REF!</v>
      </c>
      <c r="BK594" s="403" t="e">
        <f>'Portefeuille SP2'!#REF!</f>
        <v>#REF!</v>
      </c>
      <c r="BL594" s="388"/>
      <c r="BM594" s="404">
        <f>'Portefeuille SP2'!L619</f>
        <v>0</v>
      </c>
    </row>
    <row r="595" spans="1:65" ht="15" customHeight="1">
      <c r="A595" s="383">
        <f>'Portefeuille SP2'!B620</f>
        <v>0</v>
      </c>
      <c r="B595" s="390">
        <f>'Portefeuille SP2'!Q620</f>
        <v>0</v>
      </c>
      <c r="C595" s="384"/>
      <c r="D595" s="382">
        <f>'Portefeuille SP2'!E620</f>
        <v>0</v>
      </c>
      <c r="E595" s="382" t="str">
        <f t="shared" si="39"/>
        <v>0</v>
      </c>
      <c r="F595" s="382" t="str">
        <f t="shared" si="40"/>
        <v/>
      </c>
      <c r="G595" s="382">
        <f>'Portefeuille SP2'!C620</f>
        <v>0</v>
      </c>
      <c r="H595" s="382">
        <f>'Portefeuille SP2'!F620</f>
        <v>0</v>
      </c>
      <c r="I595" s="382"/>
      <c r="J595" s="382">
        <f>'Portefeuille SP2'!D620</f>
        <v>0</v>
      </c>
      <c r="K595" s="385">
        <f>'Portefeuille SP2'!H620</f>
        <v>0</v>
      </c>
      <c r="L595" s="157">
        <f>'Portefeuille SP2'!U620</f>
        <v>0</v>
      </c>
      <c r="M595" s="386"/>
      <c r="N595" s="386"/>
      <c r="O595" s="386"/>
      <c r="P595" s="387">
        <f>'Portefeuille SP2'!M620</f>
        <v>0</v>
      </c>
      <c r="Q595" s="387"/>
      <c r="R595" s="387">
        <f>'Portefeuille SP2'!N620</f>
        <v>0</v>
      </c>
      <c r="S595" s="387"/>
      <c r="T595" s="382">
        <f>'Portefeuille SP2'!R620</f>
        <v>0</v>
      </c>
      <c r="U595" s="387">
        <f>'Portefeuille SP2'!K620</f>
        <v>0</v>
      </c>
      <c r="V595" s="399">
        <f>'Portefeuille SP2'!S620</f>
        <v>0</v>
      </c>
      <c r="W595" s="387"/>
      <c r="X595" s="387"/>
      <c r="Y595" s="387"/>
      <c r="Z595" s="387"/>
      <c r="AA595" s="387"/>
      <c r="AB595" s="387"/>
      <c r="AC595" s="387"/>
      <c r="AD595" s="387"/>
      <c r="AE595" s="400">
        <f>'Portefeuille SP2'!J620</f>
        <v>0</v>
      </c>
      <c r="AF595" s="387"/>
      <c r="AG595" s="387"/>
      <c r="AH595" s="389"/>
      <c r="AI595" s="389"/>
      <c r="AJ595" s="403">
        <f>'Portefeuille SP2'!V620</f>
        <v>0</v>
      </c>
      <c r="AK595" s="403">
        <f>'Portefeuille SP2'!W620</f>
        <v>0</v>
      </c>
      <c r="AL595" s="403">
        <f>'Portefeuille SP2'!X620</f>
        <v>0</v>
      </c>
      <c r="AM595" s="403">
        <f>'Portefeuille SP2'!Y620</f>
        <v>0</v>
      </c>
      <c r="AN595" s="403">
        <f>'Portefeuille SP2'!Z620</f>
        <v>0</v>
      </c>
      <c r="AO595" s="403">
        <f>'Portefeuille SP2'!AA620</f>
        <v>0</v>
      </c>
      <c r="AP595" s="403">
        <f>'Portefeuille SP2'!AB620</f>
        <v>0</v>
      </c>
      <c r="AQ595" s="403">
        <f>'Portefeuille SP2'!AC620</f>
        <v>0</v>
      </c>
      <c r="AR595" s="403">
        <f>'Portefeuille SP2'!AD620</f>
        <v>0</v>
      </c>
      <c r="AS595" s="403">
        <f>'Portefeuille SP2'!AE620</f>
        <v>0</v>
      </c>
      <c r="AT595" s="403">
        <f>'Portefeuille SP2'!AF620</f>
        <v>0</v>
      </c>
      <c r="AU595" s="403">
        <f>'Portefeuille SP2'!AG620</f>
        <v>0</v>
      </c>
      <c r="AV595" s="403">
        <f>'Portefeuille SP2'!AH620</f>
        <v>0</v>
      </c>
      <c r="AW595" s="403">
        <f>'Portefeuille SP2'!AI620</f>
        <v>0</v>
      </c>
      <c r="AX595" s="403">
        <f>'Portefeuille SP2'!AJ620</f>
        <v>0</v>
      </c>
      <c r="AY595" s="403">
        <f>'Portefeuille SP2'!AK620</f>
        <v>0</v>
      </c>
      <c r="AZ595" s="403">
        <f>'Portefeuille SP2'!AL620</f>
        <v>0</v>
      </c>
      <c r="BA595" s="403">
        <f>'Portefeuille SP2'!AM620</f>
        <v>0</v>
      </c>
      <c r="BB595" s="403">
        <f>'Portefeuille SP2'!AN620</f>
        <v>0</v>
      </c>
      <c r="BC595" s="403">
        <f>'Portefeuille SP2'!AO620</f>
        <v>0</v>
      </c>
      <c r="BD595" s="403">
        <f>'Portefeuille SP2'!AP620</f>
        <v>0</v>
      </c>
      <c r="BE595" s="403">
        <f>'Portefeuille SP2'!AQ620</f>
        <v>0</v>
      </c>
      <c r="BF595" s="403">
        <f>'Portefeuille SP2'!AR620</f>
        <v>0</v>
      </c>
      <c r="BG595" s="403" t="e">
        <f>'Portefeuille SP2'!#REF!</f>
        <v>#REF!</v>
      </c>
      <c r="BH595" s="403" t="e">
        <f>'Portefeuille SP2'!#REF!</f>
        <v>#REF!</v>
      </c>
      <c r="BI595" s="403" t="e">
        <f>'Portefeuille SP2'!#REF!</f>
        <v>#REF!</v>
      </c>
      <c r="BJ595" s="403" t="e">
        <f>'Portefeuille SP2'!#REF!</f>
        <v>#REF!</v>
      </c>
      <c r="BK595" s="403" t="e">
        <f>'Portefeuille SP2'!#REF!</f>
        <v>#REF!</v>
      </c>
      <c r="BL595" s="388"/>
      <c r="BM595" s="404">
        <f>'Portefeuille SP2'!L620</f>
        <v>0</v>
      </c>
    </row>
    <row r="596" spans="1:65" ht="15" customHeight="1">
      <c r="A596" s="383">
        <f>'Portefeuille SP2'!B621</f>
        <v>0</v>
      </c>
      <c r="B596" s="390">
        <f>'Portefeuille SP2'!Q621</f>
        <v>0</v>
      </c>
      <c r="C596" s="384"/>
      <c r="D596" s="382">
        <f>'Portefeuille SP2'!E621</f>
        <v>0</v>
      </c>
      <c r="E596" s="382" t="str">
        <f t="shared" si="39"/>
        <v>0</v>
      </c>
      <c r="F596" s="382" t="str">
        <f t="shared" si="40"/>
        <v/>
      </c>
      <c r="G596" s="382">
        <f>'Portefeuille SP2'!C621</f>
        <v>0</v>
      </c>
      <c r="H596" s="382">
        <f>'Portefeuille SP2'!F621</f>
        <v>0</v>
      </c>
      <c r="I596" s="382"/>
      <c r="J596" s="382">
        <f>'Portefeuille SP2'!D621</f>
        <v>0</v>
      </c>
      <c r="K596" s="385">
        <f>'Portefeuille SP2'!H621</f>
        <v>0</v>
      </c>
      <c r="L596" s="157">
        <f>'Portefeuille SP2'!U621</f>
        <v>0</v>
      </c>
      <c r="M596" s="386"/>
      <c r="N596" s="386"/>
      <c r="O596" s="386"/>
      <c r="P596" s="387">
        <f>'Portefeuille SP2'!M621</f>
        <v>0</v>
      </c>
      <c r="Q596" s="387"/>
      <c r="R596" s="387">
        <f>'Portefeuille SP2'!N621</f>
        <v>0</v>
      </c>
      <c r="S596" s="387"/>
      <c r="T596" s="382">
        <f>'Portefeuille SP2'!R621</f>
        <v>0</v>
      </c>
      <c r="U596" s="387">
        <f>'Portefeuille SP2'!K621</f>
        <v>0</v>
      </c>
      <c r="V596" s="399">
        <f>'Portefeuille SP2'!S621</f>
        <v>0</v>
      </c>
      <c r="W596" s="387"/>
      <c r="X596" s="387"/>
      <c r="Y596" s="387"/>
      <c r="Z596" s="387"/>
      <c r="AA596" s="387"/>
      <c r="AB596" s="387"/>
      <c r="AC596" s="387"/>
      <c r="AD596" s="387"/>
      <c r="AE596" s="400">
        <f>'Portefeuille SP2'!J621</f>
        <v>0</v>
      </c>
      <c r="AF596" s="387"/>
      <c r="AG596" s="387"/>
      <c r="AH596" s="389"/>
      <c r="AI596" s="389"/>
      <c r="AJ596" s="403">
        <f>'Portefeuille SP2'!V621</f>
        <v>0</v>
      </c>
      <c r="AK596" s="403">
        <f>'Portefeuille SP2'!W621</f>
        <v>0</v>
      </c>
      <c r="AL596" s="403">
        <f>'Portefeuille SP2'!X621</f>
        <v>0</v>
      </c>
      <c r="AM596" s="403">
        <f>'Portefeuille SP2'!Y621</f>
        <v>0</v>
      </c>
      <c r="AN596" s="403">
        <f>'Portefeuille SP2'!Z621</f>
        <v>0</v>
      </c>
      <c r="AO596" s="403">
        <f>'Portefeuille SP2'!AA621</f>
        <v>0</v>
      </c>
      <c r="AP596" s="403">
        <f>'Portefeuille SP2'!AB621</f>
        <v>0</v>
      </c>
      <c r="AQ596" s="403">
        <f>'Portefeuille SP2'!AC621</f>
        <v>0</v>
      </c>
      <c r="AR596" s="403">
        <f>'Portefeuille SP2'!AD621</f>
        <v>0</v>
      </c>
      <c r="AS596" s="403">
        <f>'Portefeuille SP2'!AE621</f>
        <v>0</v>
      </c>
      <c r="AT596" s="403">
        <f>'Portefeuille SP2'!AF621</f>
        <v>0</v>
      </c>
      <c r="AU596" s="403">
        <f>'Portefeuille SP2'!AG621</f>
        <v>0</v>
      </c>
      <c r="AV596" s="403">
        <f>'Portefeuille SP2'!AH621</f>
        <v>0</v>
      </c>
      <c r="AW596" s="403">
        <f>'Portefeuille SP2'!AI621</f>
        <v>0</v>
      </c>
      <c r="AX596" s="403">
        <f>'Portefeuille SP2'!AJ621</f>
        <v>0</v>
      </c>
      <c r="AY596" s="403">
        <f>'Portefeuille SP2'!AK621</f>
        <v>0</v>
      </c>
      <c r="AZ596" s="403">
        <f>'Portefeuille SP2'!AL621</f>
        <v>0</v>
      </c>
      <c r="BA596" s="403">
        <f>'Portefeuille SP2'!AM621</f>
        <v>0</v>
      </c>
      <c r="BB596" s="403">
        <f>'Portefeuille SP2'!AN621</f>
        <v>0</v>
      </c>
      <c r="BC596" s="403">
        <f>'Portefeuille SP2'!AO621</f>
        <v>0</v>
      </c>
      <c r="BD596" s="403">
        <f>'Portefeuille SP2'!AP621</f>
        <v>0</v>
      </c>
      <c r="BE596" s="403">
        <f>'Portefeuille SP2'!AQ621</f>
        <v>0</v>
      </c>
      <c r="BF596" s="403">
        <f>'Portefeuille SP2'!AR621</f>
        <v>0</v>
      </c>
      <c r="BG596" s="403" t="e">
        <f>'Portefeuille SP2'!#REF!</f>
        <v>#REF!</v>
      </c>
      <c r="BH596" s="403" t="e">
        <f>'Portefeuille SP2'!#REF!</f>
        <v>#REF!</v>
      </c>
      <c r="BI596" s="403" t="e">
        <f>'Portefeuille SP2'!#REF!</f>
        <v>#REF!</v>
      </c>
      <c r="BJ596" s="403" t="e">
        <f>'Portefeuille SP2'!#REF!</f>
        <v>#REF!</v>
      </c>
      <c r="BK596" s="403" t="e">
        <f>'Portefeuille SP2'!#REF!</f>
        <v>#REF!</v>
      </c>
      <c r="BL596" s="388"/>
      <c r="BM596" s="404">
        <f>'Portefeuille SP2'!L621</f>
        <v>0</v>
      </c>
    </row>
    <row r="597" spans="1:65" ht="15" customHeight="1">
      <c r="A597" s="383">
        <f>'Portefeuille SP2'!B622</f>
        <v>0</v>
      </c>
      <c r="B597" s="390">
        <f>'Portefeuille SP2'!Q622</f>
        <v>0</v>
      </c>
      <c r="C597" s="384"/>
      <c r="D597" s="382">
        <f>'Portefeuille SP2'!E622</f>
        <v>0</v>
      </c>
      <c r="E597" s="382" t="str">
        <f t="shared" si="39"/>
        <v>0</v>
      </c>
      <c r="F597" s="382" t="str">
        <f t="shared" si="40"/>
        <v/>
      </c>
      <c r="G597" s="382">
        <f>'Portefeuille SP2'!C622</f>
        <v>0</v>
      </c>
      <c r="H597" s="382">
        <f>'Portefeuille SP2'!F622</f>
        <v>0</v>
      </c>
      <c r="I597" s="382"/>
      <c r="J597" s="382">
        <f>'Portefeuille SP2'!D622</f>
        <v>0</v>
      </c>
      <c r="K597" s="385">
        <f>'Portefeuille SP2'!H622</f>
        <v>0</v>
      </c>
      <c r="L597" s="157">
        <f>'Portefeuille SP2'!U622</f>
        <v>0</v>
      </c>
      <c r="M597" s="386"/>
      <c r="N597" s="386"/>
      <c r="O597" s="386"/>
      <c r="P597" s="387">
        <f>'Portefeuille SP2'!M622</f>
        <v>0</v>
      </c>
      <c r="Q597" s="387"/>
      <c r="R597" s="387">
        <f>'Portefeuille SP2'!N622</f>
        <v>0</v>
      </c>
      <c r="S597" s="387"/>
      <c r="T597" s="382">
        <f>'Portefeuille SP2'!R622</f>
        <v>0</v>
      </c>
      <c r="U597" s="387">
        <f>'Portefeuille SP2'!K622</f>
        <v>0</v>
      </c>
      <c r="V597" s="399">
        <f>'Portefeuille SP2'!S622</f>
        <v>0</v>
      </c>
      <c r="W597" s="387"/>
      <c r="X597" s="387"/>
      <c r="Y597" s="387"/>
      <c r="Z597" s="387"/>
      <c r="AA597" s="387"/>
      <c r="AB597" s="387"/>
      <c r="AC597" s="387"/>
      <c r="AD597" s="387"/>
      <c r="AE597" s="400">
        <f>'Portefeuille SP2'!J622</f>
        <v>0</v>
      </c>
      <c r="AF597" s="387"/>
      <c r="AG597" s="387"/>
      <c r="AH597" s="389"/>
      <c r="AI597" s="389"/>
      <c r="AJ597" s="403">
        <f>'Portefeuille SP2'!V622</f>
        <v>0</v>
      </c>
      <c r="AK597" s="403">
        <f>'Portefeuille SP2'!W622</f>
        <v>0</v>
      </c>
      <c r="AL597" s="403">
        <f>'Portefeuille SP2'!X622</f>
        <v>0</v>
      </c>
      <c r="AM597" s="403">
        <f>'Portefeuille SP2'!Y622</f>
        <v>0</v>
      </c>
      <c r="AN597" s="403">
        <f>'Portefeuille SP2'!Z622</f>
        <v>0</v>
      </c>
      <c r="AO597" s="403">
        <f>'Portefeuille SP2'!AA622</f>
        <v>0</v>
      </c>
      <c r="AP597" s="403">
        <f>'Portefeuille SP2'!AB622</f>
        <v>0</v>
      </c>
      <c r="AQ597" s="403">
        <f>'Portefeuille SP2'!AC622</f>
        <v>0</v>
      </c>
      <c r="AR597" s="403">
        <f>'Portefeuille SP2'!AD622</f>
        <v>0</v>
      </c>
      <c r="AS597" s="403">
        <f>'Portefeuille SP2'!AE622</f>
        <v>0</v>
      </c>
      <c r="AT597" s="403">
        <f>'Portefeuille SP2'!AF622</f>
        <v>0</v>
      </c>
      <c r="AU597" s="403">
        <f>'Portefeuille SP2'!AG622</f>
        <v>0</v>
      </c>
      <c r="AV597" s="403">
        <f>'Portefeuille SP2'!AH622</f>
        <v>0</v>
      </c>
      <c r="AW597" s="403">
        <f>'Portefeuille SP2'!AI622</f>
        <v>0</v>
      </c>
      <c r="AX597" s="403">
        <f>'Portefeuille SP2'!AJ622</f>
        <v>0</v>
      </c>
      <c r="AY597" s="403">
        <f>'Portefeuille SP2'!AK622</f>
        <v>0</v>
      </c>
      <c r="AZ597" s="403">
        <f>'Portefeuille SP2'!AL622</f>
        <v>0</v>
      </c>
      <c r="BA597" s="403">
        <f>'Portefeuille SP2'!AM622</f>
        <v>0</v>
      </c>
      <c r="BB597" s="403">
        <f>'Portefeuille SP2'!AN622</f>
        <v>0</v>
      </c>
      <c r="BC597" s="403">
        <f>'Portefeuille SP2'!AO622</f>
        <v>0</v>
      </c>
      <c r="BD597" s="403">
        <f>'Portefeuille SP2'!AP622</f>
        <v>0</v>
      </c>
      <c r="BE597" s="403">
        <f>'Portefeuille SP2'!AQ622</f>
        <v>0</v>
      </c>
      <c r="BF597" s="403">
        <f>'Portefeuille SP2'!AR622</f>
        <v>0</v>
      </c>
      <c r="BG597" s="403" t="e">
        <f>'Portefeuille SP2'!#REF!</f>
        <v>#REF!</v>
      </c>
      <c r="BH597" s="403" t="e">
        <f>'Portefeuille SP2'!#REF!</f>
        <v>#REF!</v>
      </c>
      <c r="BI597" s="403" t="e">
        <f>'Portefeuille SP2'!#REF!</f>
        <v>#REF!</v>
      </c>
      <c r="BJ597" s="403" t="e">
        <f>'Portefeuille SP2'!#REF!</f>
        <v>#REF!</v>
      </c>
      <c r="BK597" s="403" t="e">
        <f>'Portefeuille SP2'!#REF!</f>
        <v>#REF!</v>
      </c>
      <c r="BL597" s="388"/>
      <c r="BM597" s="404">
        <f>'Portefeuille SP2'!L622</f>
        <v>0</v>
      </c>
    </row>
    <row r="598" spans="1:65" ht="15" customHeight="1">
      <c r="A598" s="383">
        <f>'Portefeuille SP2'!B623</f>
        <v>0</v>
      </c>
      <c r="B598" s="390">
        <f>'Portefeuille SP2'!Q623</f>
        <v>0</v>
      </c>
      <c r="C598" s="384"/>
      <c r="D598" s="382">
        <f>'Portefeuille SP2'!E623</f>
        <v>0</v>
      </c>
      <c r="E598" s="382" t="str">
        <f t="shared" si="39"/>
        <v>0</v>
      </c>
      <c r="F598" s="382" t="str">
        <f t="shared" si="40"/>
        <v/>
      </c>
      <c r="G598" s="382">
        <f>'Portefeuille SP2'!C623</f>
        <v>0</v>
      </c>
      <c r="H598" s="382">
        <f>'Portefeuille SP2'!F623</f>
        <v>0</v>
      </c>
      <c r="I598" s="382"/>
      <c r="J598" s="382">
        <f>'Portefeuille SP2'!D623</f>
        <v>0</v>
      </c>
      <c r="K598" s="385">
        <f>'Portefeuille SP2'!H623</f>
        <v>0</v>
      </c>
      <c r="L598" s="157">
        <f>'Portefeuille SP2'!U623</f>
        <v>0</v>
      </c>
      <c r="M598" s="386"/>
      <c r="N598" s="386"/>
      <c r="O598" s="386"/>
      <c r="P598" s="387">
        <f>'Portefeuille SP2'!M623</f>
        <v>0</v>
      </c>
      <c r="Q598" s="387"/>
      <c r="R598" s="387">
        <f>'Portefeuille SP2'!N623</f>
        <v>0</v>
      </c>
      <c r="S598" s="387"/>
      <c r="T598" s="382">
        <f>'Portefeuille SP2'!R623</f>
        <v>0</v>
      </c>
      <c r="U598" s="387">
        <f>'Portefeuille SP2'!K623</f>
        <v>0</v>
      </c>
      <c r="V598" s="399">
        <f>'Portefeuille SP2'!S623</f>
        <v>0</v>
      </c>
      <c r="W598" s="387"/>
      <c r="X598" s="387"/>
      <c r="Y598" s="387"/>
      <c r="Z598" s="387"/>
      <c r="AA598" s="387"/>
      <c r="AB598" s="387"/>
      <c r="AC598" s="387"/>
      <c r="AD598" s="387"/>
      <c r="AE598" s="400">
        <f>'Portefeuille SP2'!J623</f>
        <v>0</v>
      </c>
      <c r="AF598" s="387"/>
      <c r="AG598" s="387"/>
      <c r="AH598" s="389"/>
      <c r="AI598" s="389"/>
      <c r="AJ598" s="403">
        <f>'Portefeuille SP2'!V623</f>
        <v>0</v>
      </c>
      <c r="AK598" s="403">
        <f>'Portefeuille SP2'!W623</f>
        <v>0</v>
      </c>
      <c r="AL598" s="403">
        <f>'Portefeuille SP2'!X623</f>
        <v>0</v>
      </c>
      <c r="AM598" s="403">
        <f>'Portefeuille SP2'!Y623</f>
        <v>0</v>
      </c>
      <c r="AN598" s="403">
        <f>'Portefeuille SP2'!Z623</f>
        <v>0</v>
      </c>
      <c r="AO598" s="403">
        <f>'Portefeuille SP2'!AA623</f>
        <v>0</v>
      </c>
      <c r="AP598" s="403">
        <f>'Portefeuille SP2'!AB623</f>
        <v>0</v>
      </c>
      <c r="AQ598" s="403">
        <f>'Portefeuille SP2'!AC623</f>
        <v>0</v>
      </c>
      <c r="AR598" s="403">
        <f>'Portefeuille SP2'!AD623</f>
        <v>0</v>
      </c>
      <c r="AS598" s="403">
        <f>'Portefeuille SP2'!AE623</f>
        <v>0</v>
      </c>
      <c r="AT598" s="403">
        <f>'Portefeuille SP2'!AF623</f>
        <v>0</v>
      </c>
      <c r="AU598" s="403">
        <f>'Portefeuille SP2'!AG623</f>
        <v>0</v>
      </c>
      <c r="AV598" s="403">
        <f>'Portefeuille SP2'!AH623</f>
        <v>0</v>
      </c>
      <c r="AW598" s="403">
        <f>'Portefeuille SP2'!AI623</f>
        <v>0</v>
      </c>
      <c r="AX598" s="403">
        <f>'Portefeuille SP2'!AJ623</f>
        <v>0</v>
      </c>
      <c r="AY598" s="403">
        <f>'Portefeuille SP2'!AK623</f>
        <v>0</v>
      </c>
      <c r="AZ598" s="403">
        <f>'Portefeuille SP2'!AL623</f>
        <v>0</v>
      </c>
      <c r="BA598" s="403">
        <f>'Portefeuille SP2'!AM623</f>
        <v>0</v>
      </c>
      <c r="BB598" s="403">
        <f>'Portefeuille SP2'!AN623</f>
        <v>0</v>
      </c>
      <c r="BC598" s="403">
        <f>'Portefeuille SP2'!AO623</f>
        <v>0</v>
      </c>
      <c r="BD598" s="403">
        <f>'Portefeuille SP2'!AP623</f>
        <v>0</v>
      </c>
      <c r="BE598" s="403">
        <f>'Portefeuille SP2'!AQ623</f>
        <v>0</v>
      </c>
      <c r="BF598" s="403">
        <f>'Portefeuille SP2'!AR623</f>
        <v>0</v>
      </c>
      <c r="BG598" s="403" t="e">
        <f>'Portefeuille SP2'!#REF!</f>
        <v>#REF!</v>
      </c>
      <c r="BH598" s="403" t="e">
        <f>'Portefeuille SP2'!#REF!</f>
        <v>#REF!</v>
      </c>
      <c r="BI598" s="403" t="e">
        <f>'Portefeuille SP2'!#REF!</f>
        <v>#REF!</v>
      </c>
      <c r="BJ598" s="403" t="e">
        <f>'Portefeuille SP2'!#REF!</f>
        <v>#REF!</v>
      </c>
      <c r="BK598" s="403" t="e">
        <f>'Portefeuille SP2'!#REF!</f>
        <v>#REF!</v>
      </c>
      <c r="BL598" s="388"/>
      <c r="BM598" s="404">
        <f>'Portefeuille SP2'!L623</f>
        <v>0</v>
      </c>
    </row>
    <row r="599" spans="1:65" ht="15" customHeight="1">
      <c r="A599" s="383">
        <f>'Portefeuille SP2'!B624</f>
        <v>0</v>
      </c>
      <c r="B599" s="390">
        <f>'Portefeuille SP2'!Q624</f>
        <v>0</v>
      </c>
      <c r="C599" s="384"/>
      <c r="D599" s="382">
        <f>'Portefeuille SP2'!E624</f>
        <v>0</v>
      </c>
      <c r="E599" s="382" t="str">
        <f t="shared" si="39"/>
        <v>0</v>
      </c>
      <c r="F599" s="382" t="str">
        <f t="shared" si="40"/>
        <v/>
      </c>
      <c r="G599" s="382">
        <f>'Portefeuille SP2'!C624</f>
        <v>0</v>
      </c>
      <c r="H599" s="382">
        <f>'Portefeuille SP2'!F624</f>
        <v>0</v>
      </c>
      <c r="I599" s="382"/>
      <c r="J599" s="382">
        <f>'Portefeuille SP2'!D624</f>
        <v>0</v>
      </c>
      <c r="K599" s="385">
        <f>'Portefeuille SP2'!H624</f>
        <v>0</v>
      </c>
      <c r="L599" s="157">
        <f>'Portefeuille SP2'!U624</f>
        <v>0</v>
      </c>
      <c r="M599" s="386"/>
      <c r="N599" s="386"/>
      <c r="O599" s="386"/>
      <c r="P599" s="387">
        <f>'Portefeuille SP2'!M624</f>
        <v>0</v>
      </c>
      <c r="Q599" s="387"/>
      <c r="R599" s="387">
        <f>'Portefeuille SP2'!N624</f>
        <v>0</v>
      </c>
      <c r="S599" s="387"/>
      <c r="T599" s="382">
        <f>'Portefeuille SP2'!R624</f>
        <v>0</v>
      </c>
      <c r="U599" s="387">
        <f>'Portefeuille SP2'!K624</f>
        <v>0</v>
      </c>
      <c r="V599" s="399">
        <f>'Portefeuille SP2'!S624</f>
        <v>0</v>
      </c>
      <c r="W599" s="387"/>
      <c r="X599" s="387"/>
      <c r="Y599" s="387"/>
      <c r="Z599" s="387"/>
      <c r="AA599" s="387"/>
      <c r="AB599" s="387"/>
      <c r="AC599" s="387"/>
      <c r="AD599" s="387"/>
      <c r="AE599" s="400">
        <f>'Portefeuille SP2'!J624</f>
        <v>0</v>
      </c>
      <c r="AF599" s="387"/>
      <c r="AG599" s="387"/>
      <c r="AH599" s="389"/>
      <c r="AI599" s="389"/>
      <c r="AJ599" s="403">
        <f>'Portefeuille SP2'!V624</f>
        <v>0</v>
      </c>
      <c r="AK599" s="403">
        <f>'Portefeuille SP2'!W624</f>
        <v>0</v>
      </c>
      <c r="AL599" s="403">
        <f>'Portefeuille SP2'!X624</f>
        <v>0</v>
      </c>
      <c r="AM599" s="403">
        <f>'Portefeuille SP2'!Y624</f>
        <v>0</v>
      </c>
      <c r="AN599" s="403">
        <f>'Portefeuille SP2'!Z624</f>
        <v>0</v>
      </c>
      <c r="AO599" s="403">
        <f>'Portefeuille SP2'!AA624</f>
        <v>0</v>
      </c>
      <c r="AP599" s="403">
        <f>'Portefeuille SP2'!AB624</f>
        <v>0</v>
      </c>
      <c r="AQ599" s="403">
        <f>'Portefeuille SP2'!AC624</f>
        <v>0</v>
      </c>
      <c r="AR599" s="403">
        <f>'Portefeuille SP2'!AD624</f>
        <v>0</v>
      </c>
      <c r="AS599" s="403">
        <f>'Portefeuille SP2'!AE624</f>
        <v>0</v>
      </c>
      <c r="AT599" s="403">
        <f>'Portefeuille SP2'!AF624</f>
        <v>0</v>
      </c>
      <c r="AU599" s="403">
        <f>'Portefeuille SP2'!AG624</f>
        <v>0</v>
      </c>
      <c r="AV599" s="403">
        <f>'Portefeuille SP2'!AH624</f>
        <v>0</v>
      </c>
      <c r="AW599" s="403">
        <f>'Portefeuille SP2'!AI624</f>
        <v>0</v>
      </c>
      <c r="AX599" s="403">
        <f>'Portefeuille SP2'!AJ624</f>
        <v>0</v>
      </c>
      <c r="AY599" s="403">
        <f>'Portefeuille SP2'!AK624</f>
        <v>0</v>
      </c>
      <c r="AZ599" s="403">
        <f>'Portefeuille SP2'!AL624</f>
        <v>0</v>
      </c>
      <c r="BA599" s="403">
        <f>'Portefeuille SP2'!AM624</f>
        <v>0</v>
      </c>
      <c r="BB599" s="403">
        <f>'Portefeuille SP2'!AN624</f>
        <v>0</v>
      </c>
      <c r="BC599" s="403">
        <f>'Portefeuille SP2'!AO624</f>
        <v>0</v>
      </c>
      <c r="BD599" s="403">
        <f>'Portefeuille SP2'!AP624</f>
        <v>0</v>
      </c>
      <c r="BE599" s="403">
        <f>'Portefeuille SP2'!AQ624</f>
        <v>0</v>
      </c>
      <c r="BF599" s="403">
        <f>'Portefeuille SP2'!AR624</f>
        <v>0</v>
      </c>
      <c r="BG599" s="403" t="e">
        <f>'Portefeuille SP2'!#REF!</f>
        <v>#REF!</v>
      </c>
      <c r="BH599" s="403" t="e">
        <f>'Portefeuille SP2'!#REF!</f>
        <v>#REF!</v>
      </c>
      <c r="BI599" s="403" t="e">
        <f>'Portefeuille SP2'!#REF!</f>
        <v>#REF!</v>
      </c>
      <c r="BJ599" s="403" t="e">
        <f>'Portefeuille SP2'!#REF!</f>
        <v>#REF!</v>
      </c>
      <c r="BK599" s="403" t="e">
        <f>'Portefeuille SP2'!#REF!</f>
        <v>#REF!</v>
      </c>
      <c r="BL599" s="388"/>
      <c r="BM599" s="404">
        <f>'Portefeuille SP2'!L624</f>
        <v>0</v>
      </c>
    </row>
    <row r="600" spans="1:65" ht="15" customHeight="1">
      <c r="A600" s="383">
        <f>'Portefeuille SP2'!B625</f>
        <v>0</v>
      </c>
      <c r="B600" s="390">
        <f>'Portefeuille SP2'!Q625</f>
        <v>0</v>
      </c>
      <c r="C600" s="384"/>
      <c r="D600" s="382">
        <f>'Portefeuille SP2'!E625</f>
        <v>0</v>
      </c>
      <c r="E600" s="382" t="str">
        <f t="shared" si="39"/>
        <v>0</v>
      </c>
      <c r="F600" s="382" t="str">
        <f t="shared" si="40"/>
        <v/>
      </c>
      <c r="G600" s="382">
        <f>'Portefeuille SP2'!C625</f>
        <v>0</v>
      </c>
      <c r="H600" s="382">
        <f>'Portefeuille SP2'!F625</f>
        <v>0</v>
      </c>
      <c r="I600" s="382"/>
      <c r="J600" s="382">
        <f>'Portefeuille SP2'!D625</f>
        <v>0</v>
      </c>
      <c r="K600" s="385">
        <f>'Portefeuille SP2'!H625</f>
        <v>0</v>
      </c>
      <c r="L600" s="157">
        <f>'Portefeuille SP2'!U625</f>
        <v>0</v>
      </c>
      <c r="M600" s="386"/>
      <c r="N600" s="386"/>
      <c r="O600" s="386"/>
      <c r="P600" s="387">
        <f>'Portefeuille SP2'!M625</f>
        <v>0</v>
      </c>
      <c r="Q600" s="387"/>
      <c r="R600" s="387">
        <f>'Portefeuille SP2'!N625</f>
        <v>0</v>
      </c>
      <c r="S600" s="387"/>
      <c r="T600" s="382">
        <f>'Portefeuille SP2'!R625</f>
        <v>0</v>
      </c>
      <c r="U600" s="387">
        <f>'Portefeuille SP2'!K625</f>
        <v>0</v>
      </c>
      <c r="V600" s="399">
        <f>'Portefeuille SP2'!S625</f>
        <v>0</v>
      </c>
      <c r="W600" s="387"/>
      <c r="X600" s="387"/>
      <c r="Y600" s="387"/>
      <c r="Z600" s="387"/>
      <c r="AA600" s="387"/>
      <c r="AB600" s="387"/>
      <c r="AC600" s="387"/>
      <c r="AD600" s="387"/>
      <c r="AE600" s="400">
        <f>'Portefeuille SP2'!J625</f>
        <v>0</v>
      </c>
      <c r="AF600" s="387"/>
      <c r="AG600" s="387"/>
      <c r="AH600" s="389"/>
      <c r="AI600" s="389"/>
      <c r="AJ600" s="403">
        <f>'Portefeuille SP2'!V625</f>
        <v>0</v>
      </c>
      <c r="AK600" s="403">
        <f>'Portefeuille SP2'!W625</f>
        <v>0</v>
      </c>
      <c r="AL600" s="403">
        <f>'Portefeuille SP2'!X625</f>
        <v>0</v>
      </c>
      <c r="AM600" s="403">
        <f>'Portefeuille SP2'!Y625</f>
        <v>0</v>
      </c>
      <c r="AN600" s="403">
        <f>'Portefeuille SP2'!Z625</f>
        <v>0</v>
      </c>
      <c r="AO600" s="403">
        <f>'Portefeuille SP2'!AA625</f>
        <v>0</v>
      </c>
      <c r="AP600" s="403">
        <f>'Portefeuille SP2'!AB625</f>
        <v>0</v>
      </c>
      <c r="AQ600" s="403">
        <f>'Portefeuille SP2'!AC625</f>
        <v>0</v>
      </c>
      <c r="AR600" s="403">
        <f>'Portefeuille SP2'!AD625</f>
        <v>0</v>
      </c>
      <c r="AS600" s="403">
        <f>'Portefeuille SP2'!AE625</f>
        <v>0</v>
      </c>
      <c r="AT600" s="403">
        <f>'Portefeuille SP2'!AF625</f>
        <v>0</v>
      </c>
      <c r="AU600" s="403">
        <f>'Portefeuille SP2'!AG625</f>
        <v>0</v>
      </c>
      <c r="AV600" s="403">
        <f>'Portefeuille SP2'!AH625</f>
        <v>0</v>
      </c>
      <c r="AW600" s="403">
        <f>'Portefeuille SP2'!AI625</f>
        <v>0</v>
      </c>
      <c r="AX600" s="403">
        <f>'Portefeuille SP2'!AJ625</f>
        <v>0</v>
      </c>
      <c r="AY600" s="403">
        <f>'Portefeuille SP2'!AK625</f>
        <v>0</v>
      </c>
      <c r="AZ600" s="403">
        <f>'Portefeuille SP2'!AL625</f>
        <v>0</v>
      </c>
      <c r="BA600" s="403">
        <f>'Portefeuille SP2'!AM625</f>
        <v>0</v>
      </c>
      <c r="BB600" s="403">
        <f>'Portefeuille SP2'!AN625</f>
        <v>0</v>
      </c>
      <c r="BC600" s="403">
        <f>'Portefeuille SP2'!AO625</f>
        <v>0</v>
      </c>
      <c r="BD600" s="403">
        <f>'Portefeuille SP2'!AP625</f>
        <v>0</v>
      </c>
      <c r="BE600" s="403">
        <f>'Portefeuille SP2'!AQ625</f>
        <v>0</v>
      </c>
      <c r="BF600" s="403">
        <f>'Portefeuille SP2'!AR625</f>
        <v>0</v>
      </c>
      <c r="BG600" s="403" t="e">
        <f>'Portefeuille SP2'!#REF!</f>
        <v>#REF!</v>
      </c>
      <c r="BH600" s="403" t="e">
        <f>'Portefeuille SP2'!#REF!</f>
        <v>#REF!</v>
      </c>
      <c r="BI600" s="403" t="e">
        <f>'Portefeuille SP2'!#REF!</f>
        <v>#REF!</v>
      </c>
      <c r="BJ600" s="403" t="e">
        <f>'Portefeuille SP2'!#REF!</f>
        <v>#REF!</v>
      </c>
      <c r="BK600" s="403" t="e">
        <f>'Portefeuille SP2'!#REF!</f>
        <v>#REF!</v>
      </c>
      <c r="BL600" s="388"/>
      <c r="BM600" s="404">
        <f>'Portefeuille SP2'!L625</f>
        <v>0</v>
      </c>
    </row>
    <row r="601" spans="1:65" ht="15" customHeight="1">
      <c r="A601" s="383">
        <f>'Portefeuille SP2'!B626</f>
        <v>0</v>
      </c>
      <c r="B601" s="390">
        <f>'Portefeuille SP2'!Q626</f>
        <v>0</v>
      </c>
      <c r="C601" s="384"/>
      <c r="D601" s="382">
        <f>'Portefeuille SP2'!E626</f>
        <v>0</v>
      </c>
      <c r="E601" s="382" t="str">
        <f t="shared" si="39"/>
        <v>0</v>
      </c>
      <c r="F601" s="382" t="str">
        <f t="shared" si="40"/>
        <v/>
      </c>
      <c r="G601" s="382">
        <f>'Portefeuille SP2'!C626</f>
        <v>0</v>
      </c>
      <c r="H601" s="382">
        <f>'Portefeuille SP2'!F626</f>
        <v>0</v>
      </c>
      <c r="I601" s="382"/>
      <c r="J601" s="382">
        <f>'Portefeuille SP2'!D626</f>
        <v>0</v>
      </c>
      <c r="K601" s="385">
        <f>'Portefeuille SP2'!H626</f>
        <v>0</v>
      </c>
      <c r="L601" s="157">
        <f>'Portefeuille SP2'!U626</f>
        <v>0</v>
      </c>
      <c r="M601" s="386"/>
      <c r="N601" s="386"/>
      <c r="O601" s="386"/>
      <c r="P601" s="387">
        <f>'Portefeuille SP2'!M626</f>
        <v>0</v>
      </c>
      <c r="Q601" s="387"/>
      <c r="R601" s="387">
        <f>'Portefeuille SP2'!N626</f>
        <v>0</v>
      </c>
      <c r="S601" s="387"/>
      <c r="T601" s="382">
        <f>'Portefeuille SP2'!R626</f>
        <v>0</v>
      </c>
      <c r="U601" s="387">
        <f>'Portefeuille SP2'!K626</f>
        <v>0</v>
      </c>
      <c r="V601" s="399">
        <f>'Portefeuille SP2'!S626</f>
        <v>0</v>
      </c>
      <c r="W601" s="387"/>
      <c r="X601" s="387"/>
      <c r="Y601" s="387"/>
      <c r="Z601" s="387"/>
      <c r="AA601" s="387"/>
      <c r="AB601" s="387"/>
      <c r="AC601" s="387"/>
      <c r="AD601" s="387"/>
      <c r="AE601" s="400">
        <f>'Portefeuille SP2'!J626</f>
        <v>0</v>
      </c>
      <c r="AF601" s="387"/>
      <c r="AG601" s="387"/>
      <c r="AH601" s="389"/>
      <c r="AI601" s="389"/>
      <c r="AJ601" s="403">
        <f>'Portefeuille SP2'!V626</f>
        <v>0</v>
      </c>
      <c r="AK601" s="403">
        <f>'Portefeuille SP2'!W626</f>
        <v>0</v>
      </c>
      <c r="AL601" s="403">
        <f>'Portefeuille SP2'!X626</f>
        <v>0</v>
      </c>
      <c r="AM601" s="403">
        <f>'Portefeuille SP2'!Y626</f>
        <v>0</v>
      </c>
      <c r="AN601" s="403">
        <f>'Portefeuille SP2'!Z626</f>
        <v>0</v>
      </c>
      <c r="AO601" s="403">
        <f>'Portefeuille SP2'!AA626</f>
        <v>0</v>
      </c>
      <c r="AP601" s="403">
        <f>'Portefeuille SP2'!AB626</f>
        <v>0</v>
      </c>
      <c r="AQ601" s="403">
        <f>'Portefeuille SP2'!AC626</f>
        <v>0</v>
      </c>
      <c r="AR601" s="403">
        <f>'Portefeuille SP2'!AD626</f>
        <v>0</v>
      </c>
      <c r="AS601" s="403">
        <f>'Portefeuille SP2'!AE626</f>
        <v>0</v>
      </c>
      <c r="AT601" s="403">
        <f>'Portefeuille SP2'!AF626</f>
        <v>0</v>
      </c>
      <c r="AU601" s="403">
        <f>'Portefeuille SP2'!AG626</f>
        <v>0</v>
      </c>
      <c r="AV601" s="403">
        <f>'Portefeuille SP2'!AH626</f>
        <v>0</v>
      </c>
      <c r="AW601" s="403">
        <f>'Portefeuille SP2'!AI626</f>
        <v>0</v>
      </c>
      <c r="AX601" s="403">
        <f>'Portefeuille SP2'!AJ626</f>
        <v>0</v>
      </c>
      <c r="AY601" s="403">
        <f>'Portefeuille SP2'!AK626</f>
        <v>0</v>
      </c>
      <c r="AZ601" s="403">
        <f>'Portefeuille SP2'!AL626</f>
        <v>0</v>
      </c>
      <c r="BA601" s="403">
        <f>'Portefeuille SP2'!AM626</f>
        <v>0</v>
      </c>
      <c r="BB601" s="403">
        <f>'Portefeuille SP2'!AN626</f>
        <v>0</v>
      </c>
      <c r="BC601" s="403">
        <f>'Portefeuille SP2'!AO626</f>
        <v>0</v>
      </c>
      <c r="BD601" s="403">
        <f>'Portefeuille SP2'!AP626</f>
        <v>0</v>
      </c>
      <c r="BE601" s="403">
        <f>'Portefeuille SP2'!AQ626</f>
        <v>0</v>
      </c>
      <c r="BF601" s="403">
        <f>'Portefeuille SP2'!AR626</f>
        <v>0</v>
      </c>
      <c r="BG601" s="403" t="e">
        <f>'Portefeuille SP2'!#REF!</f>
        <v>#REF!</v>
      </c>
      <c r="BH601" s="403" t="e">
        <f>'Portefeuille SP2'!#REF!</f>
        <v>#REF!</v>
      </c>
      <c r="BI601" s="403" t="e">
        <f>'Portefeuille SP2'!#REF!</f>
        <v>#REF!</v>
      </c>
      <c r="BJ601" s="403" t="e">
        <f>'Portefeuille SP2'!#REF!</f>
        <v>#REF!</v>
      </c>
      <c r="BK601" s="403" t="e">
        <f>'Portefeuille SP2'!#REF!</f>
        <v>#REF!</v>
      </c>
      <c r="BL601" s="388"/>
      <c r="BM601" s="404">
        <f>'Portefeuille SP2'!L626</f>
        <v>0</v>
      </c>
    </row>
    <row r="602" spans="1:65" ht="15" customHeight="1">
      <c r="A602" s="383">
        <f>'Portefeuille SP2'!B627</f>
        <v>0</v>
      </c>
      <c r="B602" s="390">
        <f>'Portefeuille SP2'!Q627</f>
        <v>0</v>
      </c>
      <c r="C602" s="384"/>
      <c r="D602" s="382">
        <f>'Portefeuille SP2'!E627</f>
        <v>0</v>
      </c>
      <c r="E602" s="382" t="str">
        <f t="shared" si="39"/>
        <v>0</v>
      </c>
      <c r="F602" s="382" t="str">
        <f t="shared" si="40"/>
        <v/>
      </c>
      <c r="G602" s="382">
        <f>'Portefeuille SP2'!C627</f>
        <v>0</v>
      </c>
      <c r="H602" s="382">
        <f>'Portefeuille SP2'!F627</f>
        <v>0</v>
      </c>
      <c r="I602" s="382"/>
      <c r="J602" s="382">
        <f>'Portefeuille SP2'!D627</f>
        <v>0</v>
      </c>
      <c r="K602" s="385">
        <f>'Portefeuille SP2'!H627</f>
        <v>0</v>
      </c>
      <c r="L602" s="157">
        <f>'Portefeuille SP2'!U627</f>
        <v>0</v>
      </c>
      <c r="M602" s="386"/>
      <c r="N602" s="386"/>
      <c r="O602" s="386"/>
      <c r="P602" s="387">
        <f>'Portefeuille SP2'!M627</f>
        <v>0</v>
      </c>
      <c r="Q602" s="387"/>
      <c r="R602" s="387">
        <f>'Portefeuille SP2'!N627</f>
        <v>0</v>
      </c>
      <c r="S602" s="387"/>
      <c r="T602" s="382">
        <f>'Portefeuille SP2'!R627</f>
        <v>0</v>
      </c>
      <c r="U602" s="387">
        <f>'Portefeuille SP2'!K627</f>
        <v>0</v>
      </c>
      <c r="V602" s="399">
        <f>'Portefeuille SP2'!S627</f>
        <v>0</v>
      </c>
      <c r="W602" s="387"/>
      <c r="X602" s="387"/>
      <c r="Y602" s="387"/>
      <c r="Z602" s="387"/>
      <c r="AA602" s="387"/>
      <c r="AB602" s="387"/>
      <c r="AC602" s="387"/>
      <c r="AD602" s="387"/>
      <c r="AE602" s="400">
        <f>'Portefeuille SP2'!J627</f>
        <v>0</v>
      </c>
      <c r="AF602" s="387"/>
      <c r="AG602" s="387"/>
      <c r="AH602" s="389"/>
      <c r="AI602" s="389"/>
      <c r="AJ602" s="403">
        <f>'Portefeuille SP2'!V627</f>
        <v>0</v>
      </c>
      <c r="AK602" s="403">
        <f>'Portefeuille SP2'!W627</f>
        <v>0</v>
      </c>
      <c r="AL602" s="403">
        <f>'Portefeuille SP2'!X627</f>
        <v>0</v>
      </c>
      <c r="AM602" s="403">
        <f>'Portefeuille SP2'!Y627</f>
        <v>0</v>
      </c>
      <c r="AN602" s="403">
        <f>'Portefeuille SP2'!Z627</f>
        <v>0</v>
      </c>
      <c r="AO602" s="403">
        <f>'Portefeuille SP2'!AA627</f>
        <v>0</v>
      </c>
      <c r="AP602" s="403">
        <f>'Portefeuille SP2'!AB627</f>
        <v>0</v>
      </c>
      <c r="AQ602" s="403">
        <f>'Portefeuille SP2'!AC627</f>
        <v>0</v>
      </c>
      <c r="AR602" s="403">
        <f>'Portefeuille SP2'!AD627</f>
        <v>0</v>
      </c>
      <c r="AS602" s="403">
        <f>'Portefeuille SP2'!AE627</f>
        <v>0</v>
      </c>
      <c r="AT602" s="403">
        <f>'Portefeuille SP2'!AF627</f>
        <v>0</v>
      </c>
      <c r="AU602" s="403">
        <f>'Portefeuille SP2'!AG627</f>
        <v>0</v>
      </c>
      <c r="AV602" s="403">
        <f>'Portefeuille SP2'!AH627</f>
        <v>0</v>
      </c>
      <c r="AW602" s="403">
        <f>'Portefeuille SP2'!AI627</f>
        <v>0</v>
      </c>
      <c r="AX602" s="403">
        <f>'Portefeuille SP2'!AJ627</f>
        <v>0</v>
      </c>
      <c r="AY602" s="403">
        <f>'Portefeuille SP2'!AK627</f>
        <v>0</v>
      </c>
      <c r="AZ602" s="403">
        <f>'Portefeuille SP2'!AL627</f>
        <v>0</v>
      </c>
      <c r="BA602" s="403">
        <f>'Portefeuille SP2'!AM627</f>
        <v>0</v>
      </c>
      <c r="BB602" s="403">
        <f>'Portefeuille SP2'!AN627</f>
        <v>0</v>
      </c>
      <c r="BC602" s="403">
        <f>'Portefeuille SP2'!AO627</f>
        <v>0</v>
      </c>
      <c r="BD602" s="403">
        <f>'Portefeuille SP2'!AP627</f>
        <v>0</v>
      </c>
      <c r="BE602" s="403">
        <f>'Portefeuille SP2'!AQ627</f>
        <v>0</v>
      </c>
      <c r="BF602" s="403">
        <f>'Portefeuille SP2'!AR627</f>
        <v>0</v>
      </c>
      <c r="BG602" s="403" t="e">
        <f>'Portefeuille SP2'!#REF!</f>
        <v>#REF!</v>
      </c>
      <c r="BH602" s="403" t="e">
        <f>'Portefeuille SP2'!#REF!</f>
        <v>#REF!</v>
      </c>
      <c r="BI602" s="403" t="e">
        <f>'Portefeuille SP2'!#REF!</f>
        <v>#REF!</v>
      </c>
      <c r="BJ602" s="403" t="e">
        <f>'Portefeuille SP2'!#REF!</f>
        <v>#REF!</v>
      </c>
      <c r="BK602" s="403" t="e">
        <f>'Portefeuille SP2'!#REF!</f>
        <v>#REF!</v>
      </c>
      <c r="BL602" s="388"/>
      <c r="BM602" s="404">
        <f>'Portefeuille SP2'!L627</f>
        <v>0</v>
      </c>
    </row>
    <row r="603" spans="1:65" ht="15" customHeight="1">
      <c r="A603" s="383">
        <f>'Portefeuille SP2'!B628</f>
        <v>0</v>
      </c>
      <c r="B603" s="390">
        <f>'Portefeuille SP2'!Q628</f>
        <v>0</v>
      </c>
      <c r="C603" s="384"/>
      <c r="D603" s="382">
        <f>'Portefeuille SP2'!E628</f>
        <v>0</v>
      </c>
      <c r="E603" s="382" t="str">
        <f t="shared" si="39"/>
        <v>0</v>
      </c>
      <c r="F603" s="382" t="str">
        <f t="shared" si="40"/>
        <v/>
      </c>
      <c r="G603" s="382">
        <f>'Portefeuille SP2'!C628</f>
        <v>0</v>
      </c>
      <c r="H603" s="382">
        <f>'Portefeuille SP2'!F628</f>
        <v>0</v>
      </c>
      <c r="I603" s="382"/>
      <c r="J603" s="382">
        <f>'Portefeuille SP2'!D628</f>
        <v>0</v>
      </c>
      <c r="K603" s="385">
        <f>'Portefeuille SP2'!H628</f>
        <v>0</v>
      </c>
      <c r="L603" s="157">
        <f>'Portefeuille SP2'!U628</f>
        <v>0</v>
      </c>
      <c r="M603" s="386"/>
      <c r="N603" s="386"/>
      <c r="O603" s="386"/>
      <c r="P603" s="387">
        <f>'Portefeuille SP2'!M628</f>
        <v>0</v>
      </c>
      <c r="Q603" s="387"/>
      <c r="R603" s="387">
        <f>'Portefeuille SP2'!N628</f>
        <v>0</v>
      </c>
      <c r="S603" s="387"/>
      <c r="T603" s="382">
        <f>'Portefeuille SP2'!R628</f>
        <v>0</v>
      </c>
      <c r="U603" s="387">
        <f>'Portefeuille SP2'!K628</f>
        <v>0</v>
      </c>
      <c r="V603" s="399">
        <f>'Portefeuille SP2'!S628</f>
        <v>0</v>
      </c>
      <c r="W603" s="387"/>
      <c r="X603" s="387"/>
      <c r="Y603" s="387"/>
      <c r="Z603" s="387"/>
      <c r="AA603" s="387"/>
      <c r="AB603" s="387"/>
      <c r="AC603" s="387"/>
      <c r="AD603" s="387"/>
      <c r="AE603" s="400">
        <f>'Portefeuille SP2'!J628</f>
        <v>0</v>
      </c>
      <c r="AF603" s="387"/>
      <c r="AG603" s="387"/>
      <c r="AH603" s="389"/>
      <c r="AI603" s="389"/>
      <c r="AJ603" s="403">
        <f>'Portefeuille SP2'!V628</f>
        <v>0</v>
      </c>
      <c r="AK603" s="403">
        <f>'Portefeuille SP2'!W628</f>
        <v>0</v>
      </c>
      <c r="AL603" s="403">
        <f>'Portefeuille SP2'!X628</f>
        <v>0</v>
      </c>
      <c r="AM603" s="403">
        <f>'Portefeuille SP2'!Y628</f>
        <v>0</v>
      </c>
      <c r="AN603" s="403">
        <f>'Portefeuille SP2'!Z628</f>
        <v>0</v>
      </c>
      <c r="AO603" s="403">
        <f>'Portefeuille SP2'!AA628</f>
        <v>0</v>
      </c>
      <c r="AP603" s="403">
        <f>'Portefeuille SP2'!AB628</f>
        <v>0</v>
      </c>
      <c r="AQ603" s="403">
        <f>'Portefeuille SP2'!AC628</f>
        <v>0</v>
      </c>
      <c r="AR603" s="403">
        <f>'Portefeuille SP2'!AD628</f>
        <v>0</v>
      </c>
      <c r="AS603" s="403">
        <f>'Portefeuille SP2'!AE628</f>
        <v>0</v>
      </c>
      <c r="AT603" s="403">
        <f>'Portefeuille SP2'!AF628</f>
        <v>0</v>
      </c>
      <c r="AU603" s="403">
        <f>'Portefeuille SP2'!AG628</f>
        <v>0</v>
      </c>
      <c r="AV603" s="403">
        <f>'Portefeuille SP2'!AH628</f>
        <v>0</v>
      </c>
      <c r="AW603" s="403">
        <f>'Portefeuille SP2'!AI628</f>
        <v>0</v>
      </c>
      <c r="AX603" s="403">
        <f>'Portefeuille SP2'!AJ628</f>
        <v>0</v>
      </c>
      <c r="AY603" s="403">
        <f>'Portefeuille SP2'!AK628</f>
        <v>0</v>
      </c>
      <c r="AZ603" s="403">
        <f>'Portefeuille SP2'!AL628</f>
        <v>0</v>
      </c>
      <c r="BA603" s="403">
        <f>'Portefeuille SP2'!AM628</f>
        <v>0</v>
      </c>
      <c r="BB603" s="403">
        <f>'Portefeuille SP2'!AN628</f>
        <v>0</v>
      </c>
      <c r="BC603" s="403">
        <f>'Portefeuille SP2'!AO628</f>
        <v>0</v>
      </c>
      <c r="BD603" s="403">
        <f>'Portefeuille SP2'!AP628</f>
        <v>0</v>
      </c>
      <c r="BE603" s="403">
        <f>'Portefeuille SP2'!AQ628</f>
        <v>0</v>
      </c>
      <c r="BF603" s="403">
        <f>'Portefeuille SP2'!AR628</f>
        <v>0</v>
      </c>
      <c r="BG603" s="403" t="e">
        <f>'Portefeuille SP2'!#REF!</f>
        <v>#REF!</v>
      </c>
      <c r="BH603" s="403" t="e">
        <f>'Portefeuille SP2'!#REF!</f>
        <v>#REF!</v>
      </c>
      <c r="BI603" s="403" t="e">
        <f>'Portefeuille SP2'!#REF!</f>
        <v>#REF!</v>
      </c>
      <c r="BJ603" s="403" t="e">
        <f>'Portefeuille SP2'!#REF!</f>
        <v>#REF!</v>
      </c>
      <c r="BK603" s="403" t="e">
        <f>'Portefeuille SP2'!#REF!</f>
        <v>#REF!</v>
      </c>
      <c r="BL603" s="388"/>
      <c r="BM603" s="404">
        <f>'Portefeuille SP2'!L628</f>
        <v>0</v>
      </c>
    </row>
    <row r="604" spans="1:65" ht="15" customHeight="1">
      <c r="A604" s="383">
        <f>'Portefeuille SP2'!B629</f>
        <v>0</v>
      </c>
      <c r="B604" s="390">
        <f>'Portefeuille SP2'!Q629</f>
        <v>0</v>
      </c>
      <c r="C604" s="384"/>
      <c r="D604" s="382">
        <f>'Portefeuille SP2'!E629</f>
        <v>0</v>
      </c>
      <c r="E604" s="382" t="str">
        <f t="shared" si="39"/>
        <v>0</v>
      </c>
      <c r="F604" s="382" t="str">
        <f t="shared" si="40"/>
        <v/>
      </c>
      <c r="G604" s="382">
        <f>'Portefeuille SP2'!C629</f>
        <v>0</v>
      </c>
      <c r="H604" s="382">
        <f>'Portefeuille SP2'!F629</f>
        <v>0</v>
      </c>
      <c r="I604" s="382"/>
      <c r="J604" s="382">
        <f>'Portefeuille SP2'!D629</f>
        <v>0</v>
      </c>
      <c r="K604" s="385">
        <f>'Portefeuille SP2'!H629</f>
        <v>0</v>
      </c>
      <c r="L604" s="157">
        <f>'Portefeuille SP2'!U629</f>
        <v>0</v>
      </c>
      <c r="M604" s="386"/>
      <c r="N604" s="386"/>
      <c r="O604" s="386"/>
      <c r="P604" s="387">
        <f>'Portefeuille SP2'!M629</f>
        <v>0</v>
      </c>
      <c r="Q604" s="387"/>
      <c r="R604" s="387">
        <f>'Portefeuille SP2'!N629</f>
        <v>0</v>
      </c>
      <c r="S604" s="387"/>
      <c r="T604" s="382">
        <f>'Portefeuille SP2'!R629</f>
        <v>0</v>
      </c>
      <c r="U604" s="387">
        <f>'Portefeuille SP2'!K629</f>
        <v>0</v>
      </c>
      <c r="V604" s="399">
        <f>'Portefeuille SP2'!S629</f>
        <v>0</v>
      </c>
      <c r="W604" s="387"/>
      <c r="X604" s="387"/>
      <c r="Y604" s="387"/>
      <c r="Z604" s="387"/>
      <c r="AA604" s="387"/>
      <c r="AB604" s="387"/>
      <c r="AC604" s="387"/>
      <c r="AD604" s="387"/>
      <c r="AE604" s="400">
        <f>'Portefeuille SP2'!J629</f>
        <v>0</v>
      </c>
      <c r="AF604" s="387"/>
      <c r="AG604" s="387"/>
      <c r="AH604" s="389"/>
      <c r="AI604" s="389"/>
      <c r="AJ604" s="403">
        <f>'Portefeuille SP2'!V629</f>
        <v>0</v>
      </c>
      <c r="AK604" s="403">
        <f>'Portefeuille SP2'!W629</f>
        <v>0</v>
      </c>
      <c r="AL604" s="403">
        <f>'Portefeuille SP2'!X629</f>
        <v>0</v>
      </c>
      <c r="AM604" s="403">
        <f>'Portefeuille SP2'!Y629</f>
        <v>0</v>
      </c>
      <c r="AN604" s="403">
        <f>'Portefeuille SP2'!Z629</f>
        <v>0</v>
      </c>
      <c r="AO604" s="403">
        <f>'Portefeuille SP2'!AA629</f>
        <v>0</v>
      </c>
      <c r="AP604" s="403">
        <f>'Portefeuille SP2'!AB629</f>
        <v>0</v>
      </c>
      <c r="AQ604" s="403">
        <f>'Portefeuille SP2'!AC629</f>
        <v>0</v>
      </c>
      <c r="AR604" s="403">
        <f>'Portefeuille SP2'!AD629</f>
        <v>0</v>
      </c>
      <c r="AS604" s="403">
        <f>'Portefeuille SP2'!AE629</f>
        <v>0</v>
      </c>
      <c r="AT604" s="403">
        <f>'Portefeuille SP2'!AF629</f>
        <v>0</v>
      </c>
      <c r="AU604" s="403">
        <f>'Portefeuille SP2'!AG629</f>
        <v>0</v>
      </c>
      <c r="AV604" s="403">
        <f>'Portefeuille SP2'!AH629</f>
        <v>0</v>
      </c>
      <c r="AW604" s="403">
        <f>'Portefeuille SP2'!AI629</f>
        <v>0</v>
      </c>
      <c r="AX604" s="403">
        <f>'Portefeuille SP2'!AJ629</f>
        <v>0</v>
      </c>
      <c r="AY604" s="403">
        <f>'Portefeuille SP2'!AK629</f>
        <v>0</v>
      </c>
      <c r="AZ604" s="403">
        <f>'Portefeuille SP2'!AL629</f>
        <v>0</v>
      </c>
      <c r="BA604" s="403">
        <f>'Portefeuille SP2'!AM629</f>
        <v>0</v>
      </c>
      <c r="BB604" s="403">
        <f>'Portefeuille SP2'!AN629</f>
        <v>0</v>
      </c>
      <c r="BC604" s="403">
        <f>'Portefeuille SP2'!AO629</f>
        <v>0</v>
      </c>
      <c r="BD604" s="403">
        <f>'Portefeuille SP2'!AP629</f>
        <v>0</v>
      </c>
      <c r="BE604" s="403">
        <f>'Portefeuille SP2'!AQ629</f>
        <v>0</v>
      </c>
      <c r="BF604" s="403">
        <f>'Portefeuille SP2'!AR629</f>
        <v>0</v>
      </c>
      <c r="BG604" s="403" t="e">
        <f>'Portefeuille SP2'!#REF!</f>
        <v>#REF!</v>
      </c>
      <c r="BH604" s="403" t="e">
        <f>'Portefeuille SP2'!#REF!</f>
        <v>#REF!</v>
      </c>
      <c r="BI604" s="403" t="e">
        <f>'Portefeuille SP2'!#REF!</f>
        <v>#REF!</v>
      </c>
      <c r="BJ604" s="403" t="e">
        <f>'Portefeuille SP2'!#REF!</f>
        <v>#REF!</v>
      </c>
      <c r="BK604" s="403" t="e">
        <f>'Portefeuille SP2'!#REF!</f>
        <v>#REF!</v>
      </c>
      <c r="BL604" s="388"/>
      <c r="BM604" s="404">
        <f>'Portefeuille SP2'!L629</f>
        <v>0</v>
      </c>
    </row>
    <row r="605" spans="1:65" ht="15" customHeight="1">
      <c r="A605" s="383">
        <f>'Portefeuille SP2'!B630</f>
        <v>0</v>
      </c>
      <c r="B605" s="390">
        <f>'Portefeuille SP2'!Q630</f>
        <v>0</v>
      </c>
      <c r="C605" s="384"/>
      <c r="D605" s="382">
        <f>'Portefeuille SP2'!E630</f>
        <v>0</v>
      </c>
      <c r="E605" s="382" t="str">
        <f t="shared" si="39"/>
        <v>0</v>
      </c>
      <c r="F605" s="382" t="str">
        <f t="shared" si="40"/>
        <v/>
      </c>
      <c r="G605" s="382">
        <f>'Portefeuille SP2'!C630</f>
        <v>0</v>
      </c>
      <c r="H605" s="382">
        <f>'Portefeuille SP2'!F630</f>
        <v>0</v>
      </c>
      <c r="I605" s="382"/>
      <c r="J605" s="382">
        <f>'Portefeuille SP2'!D630</f>
        <v>0</v>
      </c>
      <c r="K605" s="385">
        <f>'Portefeuille SP2'!H630</f>
        <v>0</v>
      </c>
      <c r="L605" s="157">
        <f>'Portefeuille SP2'!U630</f>
        <v>0</v>
      </c>
      <c r="M605" s="386"/>
      <c r="N605" s="386"/>
      <c r="O605" s="386"/>
      <c r="P605" s="387">
        <f>'Portefeuille SP2'!M630</f>
        <v>0</v>
      </c>
      <c r="Q605" s="387"/>
      <c r="R605" s="387">
        <f>'Portefeuille SP2'!N630</f>
        <v>0</v>
      </c>
      <c r="S605" s="387"/>
      <c r="T605" s="382">
        <f>'Portefeuille SP2'!R630</f>
        <v>0</v>
      </c>
      <c r="U605" s="387">
        <f>'Portefeuille SP2'!K630</f>
        <v>0</v>
      </c>
      <c r="V605" s="399">
        <f>'Portefeuille SP2'!S630</f>
        <v>0</v>
      </c>
      <c r="W605" s="387"/>
      <c r="X605" s="387"/>
      <c r="Y605" s="387"/>
      <c r="Z605" s="387"/>
      <c r="AA605" s="387"/>
      <c r="AB605" s="387"/>
      <c r="AC605" s="387"/>
      <c r="AD605" s="387"/>
      <c r="AE605" s="400">
        <f>'Portefeuille SP2'!J630</f>
        <v>0</v>
      </c>
      <c r="AF605" s="387"/>
      <c r="AG605" s="387"/>
      <c r="AH605" s="389"/>
      <c r="AI605" s="389"/>
      <c r="AJ605" s="403">
        <f>'Portefeuille SP2'!V630</f>
        <v>0</v>
      </c>
      <c r="AK605" s="403">
        <f>'Portefeuille SP2'!W630</f>
        <v>0</v>
      </c>
      <c r="AL605" s="403">
        <f>'Portefeuille SP2'!X630</f>
        <v>0</v>
      </c>
      <c r="AM605" s="403">
        <f>'Portefeuille SP2'!Y630</f>
        <v>0</v>
      </c>
      <c r="AN605" s="403">
        <f>'Portefeuille SP2'!Z630</f>
        <v>0</v>
      </c>
      <c r="AO605" s="403">
        <f>'Portefeuille SP2'!AA630</f>
        <v>0</v>
      </c>
      <c r="AP605" s="403">
        <f>'Portefeuille SP2'!AB630</f>
        <v>0</v>
      </c>
      <c r="AQ605" s="403">
        <f>'Portefeuille SP2'!AC630</f>
        <v>0</v>
      </c>
      <c r="AR605" s="403">
        <f>'Portefeuille SP2'!AD630</f>
        <v>0</v>
      </c>
      <c r="AS605" s="403">
        <f>'Portefeuille SP2'!AE630</f>
        <v>0</v>
      </c>
      <c r="AT605" s="403">
        <f>'Portefeuille SP2'!AF630</f>
        <v>0</v>
      </c>
      <c r="AU605" s="403">
        <f>'Portefeuille SP2'!AG630</f>
        <v>0</v>
      </c>
      <c r="AV605" s="403">
        <f>'Portefeuille SP2'!AH630</f>
        <v>0</v>
      </c>
      <c r="AW605" s="403">
        <f>'Portefeuille SP2'!AI630</f>
        <v>0</v>
      </c>
      <c r="AX605" s="403">
        <f>'Portefeuille SP2'!AJ630</f>
        <v>0</v>
      </c>
      <c r="AY605" s="403">
        <f>'Portefeuille SP2'!AK630</f>
        <v>0</v>
      </c>
      <c r="AZ605" s="403">
        <f>'Portefeuille SP2'!AL630</f>
        <v>0</v>
      </c>
      <c r="BA605" s="403">
        <f>'Portefeuille SP2'!AM630</f>
        <v>0</v>
      </c>
      <c r="BB605" s="403">
        <f>'Portefeuille SP2'!AN630</f>
        <v>0</v>
      </c>
      <c r="BC605" s="403">
        <f>'Portefeuille SP2'!AO630</f>
        <v>0</v>
      </c>
      <c r="BD605" s="403">
        <f>'Portefeuille SP2'!AP630</f>
        <v>0</v>
      </c>
      <c r="BE605" s="403">
        <f>'Portefeuille SP2'!AQ630</f>
        <v>0</v>
      </c>
      <c r="BF605" s="403">
        <f>'Portefeuille SP2'!AR630</f>
        <v>0</v>
      </c>
      <c r="BG605" s="403" t="e">
        <f>'Portefeuille SP2'!#REF!</f>
        <v>#REF!</v>
      </c>
      <c r="BH605" s="403" t="e">
        <f>'Portefeuille SP2'!#REF!</f>
        <v>#REF!</v>
      </c>
      <c r="BI605" s="403" t="e">
        <f>'Portefeuille SP2'!#REF!</f>
        <v>#REF!</v>
      </c>
      <c r="BJ605" s="403" t="e">
        <f>'Portefeuille SP2'!#REF!</f>
        <v>#REF!</v>
      </c>
      <c r="BK605" s="403" t="e">
        <f>'Portefeuille SP2'!#REF!</f>
        <v>#REF!</v>
      </c>
      <c r="BL605" s="388"/>
      <c r="BM605" s="404">
        <f>'Portefeuille SP2'!L630</f>
        <v>0</v>
      </c>
    </row>
    <row r="606" spans="1:65" ht="15" customHeight="1">
      <c r="A606" s="383">
        <f>'Portefeuille SP2'!B631</f>
        <v>0</v>
      </c>
      <c r="B606" s="390">
        <f>'Portefeuille SP2'!Q631</f>
        <v>0</v>
      </c>
      <c r="C606" s="384"/>
      <c r="D606" s="382">
        <f>'Portefeuille SP2'!E631</f>
        <v>0</v>
      </c>
      <c r="E606" s="382" t="str">
        <f t="shared" si="39"/>
        <v>0</v>
      </c>
      <c r="F606" s="382" t="str">
        <f t="shared" si="40"/>
        <v/>
      </c>
      <c r="G606" s="382">
        <f>'Portefeuille SP2'!C631</f>
        <v>0</v>
      </c>
      <c r="H606" s="382">
        <f>'Portefeuille SP2'!F631</f>
        <v>0</v>
      </c>
      <c r="I606" s="382"/>
      <c r="J606" s="382">
        <f>'Portefeuille SP2'!D631</f>
        <v>0</v>
      </c>
      <c r="K606" s="385">
        <f>'Portefeuille SP2'!H631</f>
        <v>0</v>
      </c>
      <c r="L606" s="157">
        <f>'Portefeuille SP2'!U631</f>
        <v>0</v>
      </c>
      <c r="M606" s="386"/>
      <c r="N606" s="386"/>
      <c r="O606" s="386"/>
      <c r="P606" s="387">
        <f>'Portefeuille SP2'!M631</f>
        <v>0</v>
      </c>
      <c r="Q606" s="387"/>
      <c r="R606" s="387">
        <f>'Portefeuille SP2'!N631</f>
        <v>0</v>
      </c>
      <c r="S606" s="387"/>
      <c r="T606" s="382">
        <f>'Portefeuille SP2'!R631</f>
        <v>0</v>
      </c>
      <c r="U606" s="387">
        <f>'Portefeuille SP2'!K631</f>
        <v>0</v>
      </c>
      <c r="V606" s="399">
        <f>'Portefeuille SP2'!S631</f>
        <v>0</v>
      </c>
      <c r="W606" s="387"/>
      <c r="X606" s="387"/>
      <c r="Y606" s="387"/>
      <c r="Z606" s="387"/>
      <c r="AA606" s="387"/>
      <c r="AB606" s="387"/>
      <c r="AC606" s="387"/>
      <c r="AD606" s="387"/>
      <c r="AE606" s="400">
        <f>'Portefeuille SP2'!J631</f>
        <v>0</v>
      </c>
      <c r="AF606" s="387"/>
      <c r="AG606" s="387"/>
      <c r="AH606" s="389"/>
      <c r="AI606" s="389"/>
      <c r="AJ606" s="403">
        <f>'Portefeuille SP2'!V631</f>
        <v>0</v>
      </c>
      <c r="AK606" s="403">
        <f>'Portefeuille SP2'!W631</f>
        <v>0</v>
      </c>
      <c r="AL606" s="403">
        <f>'Portefeuille SP2'!X631</f>
        <v>0</v>
      </c>
      <c r="AM606" s="403">
        <f>'Portefeuille SP2'!Y631</f>
        <v>0</v>
      </c>
      <c r="AN606" s="403">
        <f>'Portefeuille SP2'!Z631</f>
        <v>0</v>
      </c>
      <c r="AO606" s="403">
        <f>'Portefeuille SP2'!AA631</f>
        <v>0</v>
      </c>
      <c r="AP606" s="403">
        <f>'Portefeuille SP2'!AB631</f>
        <v>0</v>
      </c>
      <c r="AQ606" s="403">
        <f>'Portefeuille SP2'!AC631</f>
        <v>0</v>
      </c>
      <c r="AR606" s="403">
        <f>'Portefeuille SP2'!AD631</f>
        <v>0</v>
      </c>
      <c r="AS606" s="403">
        <f>'Portefeuille SP2'!AE631</f>
        <v>0</v>
      </c>
      <c r="AT606" s="403">
        <f>'Portefeuille SP2'!AF631</f>
        <v>0</v>
      </c>
      <c r="AU606" s="403">
        <f>'Portefeuille SP2'!AG631</f>
        <v>0</v>
      </c>
      <c r="AV606" s="403">
        <f>'Portefeuille SP2'!AH631</f>
        <v>0</v>
      </c>
      <c r="AW606" s="403">
        <f>'Portefeuille SP2'!AI631</f>
        <v>0</v>
      </c>
      <c r="AX606" s="403">
        <f>'Portefeuille SP2'!AJ631</f>
        <v>0</v>
      </c>
      <c r="AY606" s="403">
        <f>'Portefeuille SP2'!AK631</f>
        <v>0</v>
      </c>
      <c r="AZ606" s="403">
        <f>'Portefeuille SP2'!AL631</f>
        <v>0</v>
      </c>
      <c r="BA606" s="403">
        <f>'Portefeuille SP2'!AM631</f>
        <v>0</v>
      </c>
      <c r="BB606" s="403">
        <f>'Portefeuille SP2'!AN631</f>
        <v>0</v>
      </c>
      <c r="BC606" s="403">
        <f>'Portefeuille SP2'!AO631</f>
        <v>0</v>
      </c>
      <c r="BD606" s="403">
        <f>'Portefeuille SP2'!AP631</f>
        <v>0</v>
      </c>
      <c r="BE606" s="403">
        <f>'Portefeuille SP2'!AQ631</f>
        <v>0</v>
      </c>
      <c r="BF606" s="403">
        <f>'Portefeuille SP2'!AR631</f>
        <v>0</v>
      </c>
      <c r="BG606" s="403" t="e">
        <f>'Portefeuille SP2'!#REF!</f>
        <v>#REF!</v>
      </c>
      <c r="BH606" s="403" t="e">
        <f>'Portefeuille SP2'!#REF!</f>
        <v>#REF!</v>
      </c>
      <c r="BI606" s="403" t="e">
        <f>'Portefeuille SP2'!#REF!</f>
        <v>#REF!</v>
      </c>
      <c r="BJ606" s="403" t="e">
        <f>'Portefeuille SP2'!#REF!</f>
        <v>#REF!</v>
      </c>
      <c r="BK606" s="403" t="e">
        <f>'Portefeuille SP2'!#REF!</f>
        <v>#REF!</v>
      </c>
      <c r="BL606" s="388"/>
      <c r="BM606" s="404">
        <f>'Portefeuille SP2'!L631</f>
        <v>0</v>
      </c>
    </row>
    <row r="607" spans="1:65" ht="15" customHeight="1">
      <c r="A607" s="383">
        <f>'Portefeuille SP2'!B632</f>
        <v>0</v>
      </c>
      <c r="B607" s="390">
        <f>'Portefeuille SP2'!Q632</f>
        <v>0</v>
      </c>
      <c r="C607" s="384"/>
      <c r="D607" s="382">
        <f>'Portefeuille SP2'!E632</f>
        <v>0</v>
      </c>
      <c r="E607" s="382" t="str">
        <f t="shared" si="39"/>
        <v>0</v>
      </c>
      <c r="F607" s="382" t="str">
        <f t="shared" si="40"/>
        <v/>
      </c>
      <c r="G607" s="382">
        <f>'Portefeuille SP2'!C632</f>
        <v>0</v>
      </c>
      <c r="H607" s="382">
        <f>'Portefeuille SP2'!F632</f>
        <v>0</v>
      </c>
      <c r="I607" s="382"/>
      <c r="J607" s="382">
        <f>'Portefeuille SP2'!D632</f>
        <v>0</v>
      </c>
      <c r="K607" s="385">
        <f>'Portefeuille SP2'!H632</f>
        <v>0</v>
      </c>
      <c r="L607" s="157">
        <f>'Portefeuille SP2'!U632</f>
        <v>0</v>
      </c>
      <c r="M607" s="386"/>
      <c r="N607" s="386"/>
      <c r="O607" s="386"/>
      <c r="P607" s="387">
        <f>'Portefeuille SP2'!M632</f>
        <v>0</v>
      </c>
      <c r="Q607" s="387"/>
      <c r="R607" s="387">
        <f>'Portefeuille SP2'!N632</f>
        <v>0</v>
      </c>
      <c r="S607" s="387"/>
      <c r="T607" s="382">
        <f>'Portefeuille SP2'!R632</f>
        <v>0</v>
      </c>
      <c r="U607" s="387">
        <f>'Portefeuille SP2'!K632</f>
        <v>0</v>
      </c>
      <c r="V607" s="399">
        <f>'Portefeuille SP2'!S632</f>
        <v>0</v>
      </c>
      <c r="W607" s="387"/>
      <c r="X607" s="387"/>
      <c r="Y607" s="387"/>
      <c r="Z607" s="387"/>
      <c r="AA607" s="387"/>
      <c r="AB607" s="387"/>
      <c r="AC607" s="387"/>
      <c r="AD607" s="387"/>
      <c r="AE607" s="400">
        <f>'Portefeuille SP2'!J632</f>
        <v>0</v>
      </c>
      <c r="AF607" s="387"/>
      <c r="AG607" s="387"/>
      <c r="AH607" s="389"/>
      <c r="AI607" s="389"/>
      <c r="AJ607" s="403">
        <f>'Portefeuille SP2'!V632</f>
        <v>0</v>
      </c>
      <c r="AK607" s="403">
        <f>'Portefeuille SP2'!W632</f>
        <v>0</v>
      </c>
      <c r="AL607" s="403">
        <f>'Portefeuille SP2'!X632</f>
        <v>0</v>
      </c>
      <c r="AM607" s="403">
        <f>'Portefeuille SP2'!Y632</f>
        <v>0</v>
      </c>
      <c r="AN607" s="403">
        <f>'Portefeuille SP2'!Z632</f>
        <v>0</v>
      </c>
      <c r="AO607" s="403">
        <f>'Portefeuille SP2'!AA632</f>
        <v>0</v>
      </c>
      <c r="AP607" s="403">
        <f>'Portefeuille SP2'!AB632</f>
        <v>0</v>
      </c>
      <c r="AQ607" s="403">
        <f>'Portefeuille SP2'!AC632</f>
        <v>0</v>
      </c>
      <c r="AR607" s="403">
        <f>'Portefeuille SP2'!AD632</f>
        <v>0</v>
      </c>
      <c r="AS607" s="403">
        <f>'Portefeuille SP2'!AE632</f>
        <v>0</v>
      </c>
      <c r="AT607" s="403">
        <f>'Portefeuille SP2'!AF632</f>
        <v>0</v>
      </c>
      <c r="AU607" s="403">
        <f>'Portefeuille SP2'!AG632</f>
        <v>0</v>
      </c>
      <c r="AV607" s="403">
        <f>'Portefeuille SP2'!AH632</f>
        <v>0</v>
      </c>
      <c r="AW607" s="403">
        <f>'Portefeuille SP2'!AI632</f>
        <v>0</v>
      </c>
      <c r="AX607" s="403">
        <f>'Portefeuille SP2'!AJ632</f>
        <v>0</v>
      </c>
      <c r="AY607" s="403">
        <f>'Portefeuille SP2'!AK632</f>
        <v>0</v>
      </c>
      <c r="AZ607" s="403">
        <f>'Portefeuille SP2'!AL632</f>
        <v>0</v>
      </c>
      <c r="BA607" s="403">
        <f>'Portefeuille SP2'!AM632</f>
        <v>0</v>
      </c>
      <c r="BB607" s="403">
        <f>'Portefeuille SP2'!AN632</f>
        <v>0</v>
      </c>
      <c r="BC607" s="403">
        <f>'Portefeuille SP2'!AO632</f>
        <v>0</v>
      </c>
      <c r="BD607" s="403">
        <f>'Portefeuille SP2'!AP632</f>
        <v>0</v>
      </c>
      <c r="BE607" s="403">
        <f>'Portefeuille SP2'!AQ632</f>
        <v>0</v>
      </c>
      <c r="BF607" s="403">
        <f>'Portefeuille SP2'!AR632</f>
        <v>0</v>
      </c>
      <c r="BG607" s="403" t="e">
        <f>'Portefeuille SP2'!#REF!</f>
        <v>#REF!</v>
      </c>
      <c r="BH607" s="403" t="e">
        <f>'Portefeuille SP2'!#REF!</f>
        <v>#REF!</v>
      </c>
      <c r="BI607" s="403" t="e">
        <f>'Portefeuille SP2'!#REF!</f>
        <v>#REF!</v>
      </c>
      <c r="BJ607" s="403" t="e">
        <f>'Portefeuille SP2'!#REF!</f>
        <v>#REF!</v>
      </c>
      <c r="BK607" s="403" t="e">
        <f>'Portefeuille SP2'!#REF!</f>
        <v>#REF!</v>
      </c>
      <c r="BL607" s="388"/>
      <c r="BM607" s="404">
        <f>'Portefeuille SP2'!L632</f>
        <v>0</v>
      </c>
    </row>
    <row r="608" spans="1:65" ht="15" customHeight="1">
      <c r="A608" s="383">
        <f>'Portefeuille SP2'!B633</f>
        <v>0</v>
      </c>
      <c r="B608" s="390">
        <f>'Portefeuille SP2'!Q633</f>
        <v>0</v>
      </c>
      <c r="C608" s="384"/>
      <c r="D608" s="382">
        <f>'Portefeuille SP2'!E633</f>
        <v>0</v>
      </c>
      <c r="E608" s="382" t="str">
        <f t="shared" si="39"/>
        <v>0</v>
      </c>
      <c r="F608" s="382" t="str">
        <f t="shared" si="40"/>
        <v/>
      </c>
      <c r="G608" s="382">
        <f>'Portefeuille SP2'!C633</f>
        <v>0</v>
      </c>
      <c r="H608" s="382">
        <f>'Portefeuille SP2'!F633</f>
        <v>0</v>
      </c>
      <c r="I608" s="382"/>
      <c r="J608" s="382">
        <f>'Portefeuille SP2'!D633</f>
        <v>0</v>
      </c>
      <c r="K608" s="385">
        <f>'Portefeuille SP2'!H633</f>
        <v>0</v>
      </c>
      <c r="L608" s="157">
        <f>'Portefeuille SP2'!U633</f>
        <v>0</v>
      </c>
      <c r="M608" s="386"/>
      <c r="N608" s="386"/>
      <c r="O608" s="386"/>
      <c r="P608" s="387">
        <f>'Portefeuille SP2'!M633</f>
        <v>0</v>
      </c>
      <c r="Q608" s="387"/>
      <c r="R608" s="387">
        <f>'Portefeuille SP2'!N633</f>
        <v>0</v>
      </c>
      <c r="S608" s="387"/>
      <c r="T608" s="382">
        <f>'Portefeuille SP2'!R633</f>
        <v>0</v>
      </c>
      <c r="U608" s="387">
        <f>'Portefeuille SP2'!K633</f>
        <v>0</v>
      </c>
      <c r="V608" s="399">
        <f>'Portefeuille SP2'!S633</f>
        <v>0</v>
      </c>
      <c r="W608" s="387"/>
      <c r="X608" s="387"/>
      <c r="Y608" s="387"/>
      <c r="Z608" s="387"/>
      <c r="AA608" s="387"/>
      <c r="AB608" s="387"/>
      <c r="AC608" s="387"/>
      <c r="AD608" s="387"/>
      <c r="AE608" s="400">
        <f>'Portefeuille SP2'!J633</f>
        <v>0</v>
      </c>
      <c r="AF608" s="387"/>
      <c r="AG608" s="387"/>
      <c r="AH608" s="389"/>
      <c r="AI608" s="389"/>
      <c r="AJ608" s="403">
        <f>'Portefeuille SP2'!V633</f>
        <v>0</v>
      </c>
      <c r="AK608" s="403">
        <f>'Portefeuille SP2'!W633</f>
        <v>0</v>
      </c>
      <c r="AL608" s="403">
        <f>'Portefeuille SP2'!X633</f>
        <v>0</v>
      </c>
      <c r="AM608" s="403">
        <f>'Portefeuille SP2'!Y633</f>
        <v>0</v>
      </c>
      <c r="AN608" s="403">
        <f>'Portefeuille SP2'!Z633</f>
        <v>0</v>
      </c>
      <c r="AO608" s="403">
        <f>'Portefeuille SP2'!AA633</f>
        <v>0</v>
      </c>
      <c r="AP608" s="403">
        <f>'Portefeuille SP2'!AB633</f>
        <v>0</v>
      </c>
      <c r="AQ608" s="403">
        <f>'Portefeuille SP2'!AC633</f>
        <v>0</v>
      </c>
      <c r="AR608" s="403">
        <f>'Portefeuille SP2'!AD633</f>
        <v>0</v>
      </c>
      <c r="AS608" s="403">
        <f>'Portefeuille SP2'!AE633</f>
        <v>0</v>
      </c>
      <c r="AT608" s="403">
        <f>'Portefeuille SP2'!AF633</f>
        <v>0</v>
      </c>
      <c r="AU608" s="403">
        <f>'Portefeuille SP2'!AG633</f>
        <v>0</v>
      </c>
      <c r="AV608" s="403">
        <f>'Portefeuille SP2'!AH633</f>
        <v>0</v>
      </c>
      <c r="AW608" s="403">
        <f>'Portefeuille SP2'!AI633</f>
        <v>0</v>
      </c>
      <c r="AX608" s="403">
        <f>'Portefeuille SP2'!AJ633</f>
        <v>0</v>
      </c>
      <c r="AY608" s="403">
        <f>'Portefeuille SP2'!AK633</f>
        <v>0</v>
      </c>
      <c r="AZ608" s="403">
        <f>'Portefeuille SP2'!AL633</f>
        <v>0</v>
      </c>
      <c r="BA608" s="403">
        <f>'Portefeuille SP2'!AM633</f>
        <v>0</v>
      </c>
      <c r="BB608" s="403">
        <f>'Portefeuille SP2'!AN633</f>
        <v>0</v>
      </c>
      <c r="BC608" s="403">
        <f>'Portefeuille SP2'!AO633</f>
        <v>0</v>
      </c>
      <c r="BD608" s="403">
        <f>'Portefeuille SP2'!AP633</f>
        <v>0</v>
      </c>
      <c r="BE608" s="403">
        <f>'Portefeuille SP2'!AQ633</f>
        <v>0</v>
      </c>
      <c r="BF608" s="403">
        <f>'Portefeuille SP2'!AR633</f>
        <v>0</v>
      </c>
      <c r="BG608" s="403" t="e">
        <f>'Portefeuille SP2'!#REF!</f>
        <v>#REF!</v>
      </c>
      <c r="BH608" s="403" t="e">
        <f>'Portefeuille SP2'!#REF!</f>
        <v>#REF!</v>
      </c>
      <c r="BI608" s="403" t="e">
        <f>'Portefeuille SP2'!#REF!</f>
        <v>#REF!</v>
      </c>
      <c r="BJ608" s="403" t="e">
        <f>'Portefeuille SP2'!#REF!</f>
        <v>#REF!</v>
      </c>
      <c r="BK608" s="403" t="e">
        <f>'Portefeuille SP2'!#REF!</f>
        <v>#REF!</v>
      </c>
      <c r="BL608" s="388"/>
      <c r="BM608" s="404">
        <f>'Portefeuille SP2'!L633</f>
        <v>0</v>
      </c>
    </row>
    <row r="609" spans="1:65" ht="15" customHeight="1">
      <c r="A609" s="383">
        <f>'Portefeuille SP2'!B634</f>
        <v>0</v>
      </c>
      <c r="B609" s="390">
        <f>'Portefeuille SP2'!Q634</f>
        <v>0</v>
      </c>
      <c r="C609" s="384"/>
      <c r="D609" s="382">
        <f>'Portefeuille SP2'!E634</f>
        <v>0</v>
      </c>
      <c r="E609" s="382" t="str">
        <f t="shared" si="39"/>
        <v>0</v>
      </c>
      <c r="F609" s="382" t="str">
        <f t="shared" si="40"/>
        <v/>
      </c>
      <c r="G609" s="382">
        <f>'Portefeuille SP2'!C634</f>
        <v>0</v>
      </c>
      <c r="H609" s="382">
        <f>'Portefeuille SP2'!F634</f>
        <v>0</v>
      </c>
      <c r="I609" s="382"/>
      <c r="J609" s="382">
        <f>'Portefeuille SP2'!D634</f>
        <v>0</v>
      </c>
      <c r="K609" s="385">
        <f>'Portefeuille SP2'!H634</f>
        <v>0</v>
      </c>
      <c r="L609" s="157">
        <f>'Portefeuille SP2'!U634</f>
        <v>0</v>
      </c>
      <c r="M609" s="386"/>
      <c r="N609" s="386"/>
      <c r="O609" s="386"/>
      <c r="P609" s="387">
        <f>'Portefeuille SP2'!M634</f>
        <v>0</v>
      </c>
      <c r="Q609" s="387"/>
      <c r="R609" s="387">
        <f>'Portefeuille SP2'!N634</f>
        <v>0</v>
      </c>
      <c r="S609" s="387"/>
      <c r="T609" s="382">
        <f>'Portefeuille SP2'!R634</f>
        <v>0</v>
      </c>
      <c r="U609" s="387">
        <f>'Portefeuille SP2'!K634</f>
        <v>0</v>
      </c>
      <c r="V609" s="399">
        <f>'Portefeuille SP2'!S634</f>
        <v>0</v>
      </c>
      <c r="W609" s="387"/>
      <c r="X609" s="387"/>
      <c r="Y609" s="387"/>
      <c r="Z609" s="387"/>
      <c r="AA609" s="387"/>
      <c r="AB609" s="387"/>
      <c r="AC609" s="387"/>
      <c r="AD609" s="387"/>
      <c r="AE609" s="400">
        <f>'Portefeuille SP2'!J634</f>
        <v>0</v>
      </c>
      <c r="AF609" s="387"/>
      <c r="AG609" s="387"/>
      <c r="AH609" s="389"/>
      <c r="AI609" s="389"/>
      <c r="AJ609" s="403">
        <f>'Portefeuille SP2'!V634</f>
        <v>0</v>
      </c>
      <c r="AK609" s="403">
        <f>'Portefeuille SP2'!W634</f>
        <v>0</v>
      </c>
      <c r="AL609" s="403">
        <f>'Portefeuille SP2'!X634</f>
        <v>0</v>
      </c>
      <c r="AM609" s="403">
        <f>'Portefeuille SP2'!Y634</f>
        <v>0</v>
      </c>
      <c r="AN609" s="403">
        <f>'Portefeuille SP2'!Z634</f>
        <v>0</v>
      </c>
      <c r="AO609" s="403">
        <f>'Portefeuille SP2'!AA634</f>
        <v>0</v>
      </c>
      <c r="AP609" s="403">
        <f>'Portefeuille SP2'!AB634</f>
        <v>0</v>
      </c>
      <c r="AQ609" s="403">
        <f>'Portefeuille SP2'!AC634</f>
        <v>0</v>
      </c>
      <c r="AR609" s="403">
        <f>'Portefeuille SP2'!AD634</f>
        <v>0</v>
      </c>
      <c r="AS609" s="403">
        <f>'Portefeuille SP2'!AE634</f>
        <v>0</v>
      </c>
      <c r="AT609" s="403">
        <f>'Portefeuille SP2'!AF634</f>
        <v>0</v>
      </c>
      <c r="AU609" s="403">
        <f>'Portefeuille SP2'!AG634</f>
        <v>0</v>
      </c>
      <c r="AV609" s="403">
        <f>'Portefeuille SP2'!AH634</f>
        <v>0</v>
      </c>
      <c r="AW609" s="403">
        <f>'Portefeuille SP2'!AI634</f>
        <v>0</v>
      </c>
      <c r="AX609" s="403">
        <f>'Portefeuille SP2'!AJ634</f>
        <v>0</v>
      </c>
      <c r="AY609" s="403">
        <f>'Portefeuille SP2'!AK634</f>
        <v>0</v>
      </c>
      <c r="AZ609" s="403">
        <f>'Portefeuille SP2'!AL634</f>
        <v>0</v>
      </c>
      <c r="BA609" s="403">
        <f>'Portefeuille SP2'!AM634</f>
        <v>0</v>
      </c>
      <c r="BB609" s="403">
        <f>'Portefeuille SP2'!AN634</f>
        <v>0</v>
      </c>
      <c r="BC609" s="403">
        <f>'Portefeuille SP2'!AO634</f>
        <v>0</v>
      </c>
      <c r="BD609" s="403">
        <f>'Portefeuille SP2'!AP634</f>
        <v>0</v>
      </c>
      <c r="BE609" s="403">
        <f>'Portefeuille SP2'!AQ634</f>
        <v>0</v>
      </c>
      <c r="BF609" s="403">
        <f>'Portefeuille SP2'!AR634</f>
        <v>0</v>
      </c>
      <c r="BG609" s="403" t="e">
        <f>'Portefeuille SP2'!#REF!</f>
        <v>#REF!</v>
      </c>
      <c r="BH609" s="403" t="e">
        <f>'Portefeuille SP2'!#REF!</f>
        <v>#REF!</v>
      </c>
      <c r="BI609" s="403" t="e">
        <f>'Portefeuille SP2'!#REF!</f>
        <v>#REF!</v>
      </c>
      <c r="BJ609" s="403" t="e">
        <f>'Portefeuille SP2'!#REF!</f>
        <v>#REF!</v>
      </c>
      <c r="BK609" s="403" t="e">
        <f>'Portefeuille SP2'!#REF!</f>
        <v>#REF!</v>
      </c>
      <c r="BL609" s="388"/>
      <c r="BM609" s="404">
        <f>'Portefeuille SP2'!L634</f>
        <v>0</v>
      </c>
    </row>
    <row r="610" spans="1:65" ht="15" customHeight="1">
      <c r="A610" s="383">
        <f>'Portefeuille SP2'!B635</f>
        <v>0</v>
      </c>
      <c r="B610" s="390">
        <f>'Portefeuille SP2'!Q635</f>
        <v>0</v>
      </c>
      <c r="C610" s="384"/>
      <c r="D610" s="382">
        <f>'Portefeuille SP2'!E635</f>
        <v>0</v>
      </c>
      <c r="E610" s="382" t="str">
        <f t="shared" si="39"/>
        <v>0</v>
      </c>
      <c r="F610" s="382" t="str">
        <f t="shared" si="40"/>
        <v/>
      </c>
      <c r="G610" s="382">
        <f>'Portefeuille SP2'!C635</f>
        <v>0</v>
      </c>
      <c r="H610" s="382">
        <f>'Portefeuille SP2'!F635</f>
        <v>0</v>
      </c>
      <c r="I610" s="382"/>
      <c r="J610" s="382">
        <f>'Portefeuille SP2'!D635</f>
        <v>0</v>
      </c>
      <c r="K610" s="385">
        <f>'Portefeuille SP2'!H635</f>
        <v>0</v>
      </c>
      <c r="L610" s="157">
        <f>'Portefeuille SP2'!U635</f>
        <v>0</v>
      </c>
      <c r="M610" s="386"/>
      <c r="N610" s="386"/>
      <c r="O610" s="386"/>
      <c r="P610" s="387">
        <f>'Portefeuille SP2'!M635</f>
        <v>0</v>
      </c>
      <c r="Q610" s="387"/>
      <c r="R610" s="387">
        <f>'Portefeuille SP2'!N635</f>
        <v>0</v>
      </c>
      <c r="S610" s="387"/>
      <c r="T610" s="382">
        <f>'Portefeuille SP2'!R635</f>
        <v>0</v>
      </c>
      <c r="U610" s="387">
        <f>'Portefeuille SP2'!K635</f>
        <v>0</v>
      </c>
      <c r="V610" s="399">
        <f>'Portefeuille SP2'!S635</f>
        <v>0</v>
      </c>
      <c r="W610" s="387"/>
      <c r="X610" s="387"/>
      <c r="Y610" s="387"/>
      <c r="Z610" s="387"/>
      <c r="AA610" s="387"/>
      <c r="AB610" s="387"/>
      <c r="AC610" s="387"/>
      <c r="AD610" s="387"/>
      <c r="AE610" s="400">
        <f>'Portefeuille SP2'!J635</f>
        <v>0</v>
      </c>
      <c r="AF610" s="387"/>
      <c r="AG610" s="387"/>
      <c r="AH610" s="389"/>
      <c r="AI610" s="389"/>
      <c r="AJ610" s="403">
        <f>'Portefeuille SP2'!V635</f>
        <v>0</v>
      </c>
      <c r="AK610" s="403">
        <f>'Portefeuille SP2'!W635</f>
        <v>0</v>
      </c>
      <c r="AL610" s="403">
        <f>'Portefeuille SP2'!X635</f>
        <v>0</v>
      </c>
      <c r="AM610" s="403">
        <f>'Portefeuille SP2'!Y635</f>
        <v>0</v>
      </c>
      <c r="AN610" s="403">
        <f>'Portefeuille SP2'!Z635</f>
        <v>0</v>
      </c>
      <c r="AO610" s="403">
        <f>'Portefeuille SP2'!AA635</f>
        <v>0</v>
      </c>
      <c r="AP610" s="403">
        <f>'Portefeuille SP2'!AB635</f>
        <v>0</v>
      </c>
      <c r="AQ610" s="403">
        <f>'Portefeuille SP2'!AC635</f>
        <v>0</v>
      </c>
      <c r="AR610" s="403">
        <f>'Portefeuille SP2'!AD635</f>
        <v>0</v>
      </c>
      <c r="AS610" s="403">
        <f>'Portefeuille SP2'!AE635</f>
        <v>0</v>
      </c>
      <c r="AT610" s="403">
        <f>'Portefeuille SP2'!AF635</f>
        <v>0</v>
      </c>
      <c r="AU610" s="403">
        <f>'Portefeuille SP2'!AG635</f>
        <v>0</v>
      </c>
      <c r="AV610" s="403">
        <f>'Portefeuille SP2'!AH635</f>
        <v>0</v>
      </c>
      <c r="AW610" s="403">
        <f>'Portefeuille SP2'!AI635</f>
        <v>0</v>
      </c>
      <c r="AX610" s="403">
        <f>'Portefeuille SP2'!AJ635</f>
        <v>0</v>
      </c>
      <c r="AY610" s="403">
        <f>'Portefeuille SP2'!AK635</f>
        <v>0</v>
      </c>
      <c r="AZ610" s="403">
        <f>'Portefeuille SP2'!AL635</f>
        <v>0</v>
      </c>
      <c r="BA610" s="403">
        <f>'Portefeuille SP2'!AM635</f>
        <v>0</v>
      </c>
      <c r="BB610" s="403">
        <f>'Portefeuille SP2'!AN635</f>
        <v>0</v>
      </c>
      <c r="BC610" s="403">
        <f>'Portefeuille SP2'!AO635</f>
        <v>0</v>
      </c>
      <c r="BD610" s="403">
        <f>'Portefeuille SP2'!AP635</f>
        <v>0</v>
      </c>
      <c r="BE610" s="403">
        <f>'Portefeuille SP2'!AQ635</f>
        <v>0</v>
      </c>
      <c r="BF610" s="403">
        <f>'Portefeuille SP2'!AR635</f>
        <v>0</v>
      </c>
      <c r="BG610" s="403" t="e">
        <f>'Portefeuille SP2'!#REF!</f>
        <v>#REF!</v>
      </c>
      <c r="BH610" s="403" t="e">
        <f>'Portefeuille SP2'!#REF!</f>
        <v>#REF!</v>
      </c>
      <c r="BI610" s="403" t="e">
        <f>'Portefeuille SP2'!#REF!</f>
        <v>#REF!</v>
      </c>
      <c r="BJ610" s="403" t="e">
        <f>'Portefeuille SP2'!#REF!</f>
        <v>#REF!</v>
      </c>
      <c r="BK610" s="403" t="e">
        <f>'Portefeuille SP2'!#REF!</f>
        <v>#REF!</v>
      </c>
      <c r="BL610" s="388"/>
      <c r="BM610" s="404">
        <f>'Portefeuille SP2'!L635</f>
        <v>0</v>
      </c>
    </row>
    <row r="611" spans="1:65" ht="15" customHeight="1">
      <c r="A611" s="383">
        <f>'Portefeuille SP2'!B636</f>
        <v>0</v>
      </c>
      <c r="B611" s="390">
        <f>'Portefeuille SP2'!Q636</f>
        <v>0</v>
      </c>
      <c r="C611" s="384"/>
      <c r="D611" s="382">
        <f>'Portefeuille SP2'!E636</f>
        <v>0</v>
      </c>
      <c r="E611" s="382" t="str">
        <f t="shared" si="39"/>
        <v>0</v>
      </c>
      <c r="F611" s="382" t="str">
        <f t="shared" si="40"/>
        <v/>
      </c>
      <c r="G611" s="382">
        <f>'Portefeuille SP2'!C636</f>
        <v>0</v>
      </c>
      <c r="H611" s="382">
        <f>'Portefeuille SP2'!F636</f>
        <v>0</v>
      </c>
      <c r="I611" s="382"/>
      <c r="J611" s="382">
        <f>'Portefeuille SP2'!D636</f>
        <v>0</v>
      </c>
      <c r="K611" s="385">
        <f>'Portefeuille SP2'!H636</f>
        <v>0</v>
      </c>
      <c r="L611" s="157">
        <f>'Portefeuille SP2'!U636</f>
        <v>0</v>
      </c>
      <c r="M611" s="386"/>
      <c r="N611" s="386"/>
      <c r="O611" s="386"/>
      <c r="P611" s="387">
        <f>'Portefeuille SP2'!M636</f>
        <v>0</v>
      </c>
      <c r="Q611" s="387"/>
      <c r="R611" s="387">
        <f>'Portefeuille SP2'!N636</f>
        <v>0</v>
      </c>
      <c r="S611" s="387"/>
      <c r="T611" s="382">
        <f>'Portefeuille SP2'!R636</f>
        <v>0</v>
      </c>
      <c r="U611" s="387">
        <f>'Portefeuille SP2'!K636</f>
        <v>0</v>
      </c>
      <c r="V611" s="399">
        <f>'Portefeuille SP2'!S636</f>
        <v>0</v>
      </c>
      <c r="W611" s="387"/>
      <c r="X611" s="387"/>
      <c r="Y611" s="387"/>
      <c r="Z611" s="387"/>
      <c r="AA611" s="387"/>
      <c r="AB611" s="387"/>
      <c r="AC611" s="387"/>
      <c r="AD611" s="387"/>
      <c r="AE611" s="400">
        <f>'Portefeuille SP2'!J636</f>
        <v>0</v>
      </c>
      <c r="AF611" s="387"/>
      <c r="AG611" s="387"/>
      <c r="AH611" s="389"/>
      <c r="AI611" s="389"/>
      <c r="AJ611" s="403">
        <f>'Portefeuille SP2'!V636</f>
        <v>0</v>
      </c>
      <c r="AK611" s="403">
        <f>'Portefeuille SP2'!W636</f>
        <v>0</v>
      </c>
      <c r="AL611" s="403">
        <f>'Portefeuille SP2'!X636</f>
        <v>0</v>
      </c>
      <c r="AM611" s="403">
        <f>'Portefeuille SP2'!Y636</f>
        <v>0</v>
      </c>
      <c r="AN611" s="403">
        <f>'Portefeuille SP2'!Z636</f>
        <v>0</v>
      </c>
      <c r="AO611" s="403">
        <f>'Portefeuille SP2'!AA636</f>
        <v>0</v>
      </c>
      <c r="AP611" s="403">
        <f>'Portefeuille SP2'!AB636</f>
        <v>0</v>
      </c>
      <c r="AQ611" s="403">
        <f>'Portefeuille SP2'!AC636</f>
        <v>0</v>
      </c>
      <c r="AR611" s="403">
        <f>'Portefeuille SP2'!AD636</f>
        <v>0</v>
      </c>
      <c r="AS611" s="403">
        <f>'Portefeuille SP2'!AE636</f>
        <v>0</v>
      </c>
      <c r="AT611" s="403">
        <f>'Portefeuille SP2'!AF636</f>
        <v>0</v>
      </c>
      <c r="AU611" s="403">
        <f>'Portefeuille SP2'!AG636</f>
        <v>0</v>
      </c>
      <c r="AV611" s="403">
        <f>'Portefeuille SP2'!AH636</f>
        <v>0</v>
      </c>
      <c r="AW611" s="403">
        <f>'Portefeuille SP2'!AI636</f>
        <v>0</v>
      </c>
      <c r="AX611" s="403">
        <f>'Portefeuille SP2'!AJ636</f>
        <v>0</v>
      </c>
      <c r="AY611" s="403">
        <f>'Portefeuille SP2'!AK636</f>
        <v>0</v>
      </c>
      <c r="AZ611" s="403">
        <f>'Portefeuille SP2'!AL636</f>
        <v>0</v>
      </c>
      <c r="BA611" s="403">
        <f>'Portefeuille SP2'!AM636</f>
        <v>0</v>
      </c>
      <c r="BB611" s="403">
        <f>'Portefeuille SP2'!AN636</f>
        <v>0</v>
      </c>
      <c r="BC611" s="403">
        <f>'Portefeuille SP2'!AO636</f>
        <v>0</v>
      </c>
      <c r="BD611" s="403">
        <f>'Portefeuille SP2'!AP636</f>
        <v>0</v>
      </c>
      <c r="BE611" s="403">
        <f>'Portefeuille SP2'!AQ636</f>
        <v>0</v>
      </c>
      <c r="BF611" s="403">
        <f>'Portefeuille SP2'!AR636</f>
        <v>0</v>
      </c>
      <c r="BG611" s="403" t="e">
        <f>'Portefeuille SP2'!#REF!</f>
        <v>#REF!</v>
      </c>
      <c r="BH611" s="403" t="e">
        <f>'Portefeuille SP2'!#REF!</f>
        <v>#REF!</v>
      </c>
      <c r="BI611" s="403" t="e">
        <f>'Portefeuille SP2'!#REF!</f>
        <v>#REF!</v>
      </c>
      <c r="BJ611" s="403" t="e">
        <f>'Portefeuille SP2'!#REF!</f>
        <v>#REF!</v>
      </c>
      <c r="BK611" s="403" t="e">
        <f>'Portefeuille SP2'!#REF!</f>
        <v>#REF!</v>
      </c>
      <c r="BL611" s="388"/>
      <c r="BM611" s="404">
        <f>'Portefeuille SP2'!L636</f>
        <v>0</v>
      </c>
    </row>
    <row r="612" spans="1:65" ht="15" customHeight="1">
      <c r="A612" s="383">
        <f>'Portefeuille SP2'!B637</f>
        <v>0</v>
      </c>
      <c r="B612" s="390">
        <f>'Portefeuille SP2'!Q637</f>
        <v>0</v>
      </c>
      <c r="C612" s="384"/>
      <c r="D612" s="382">
        <f>'Portefeuille SP2'!E637</f>
        <v>0</v>
      </c>
      <c r="E612" s="382" t="str">
        <f t="shared" si="39"/>
        <v>0</v>
      </c>
      <c r="F612" s="382" t="str">
        <f t="shared" si="40"/>
        <v/>
      </c>
      <c r="G612" s="382">
        <f>'Portefeuille SP2'!C637</f>
        <v>0</v>
      </c>
      <c r="H612" s="382">
        <f>'Portefeuille SP2'!F637</f>
        <v>0</v>
      </c>
      <c r="I612" s="382"/>
      <c r="J612" s="382">
        <f>'Portefeuille SP2'!D637</f>
        <v>0</v>
      </c>
      <c r="K612" s="385">
        <f>'Portefeuille SP2'!H637</f>
        <v>0</v>
      </c>
      <c r="L612" s="157">
        <f>'Portefeuille SP2'!U637</f>
        <v>0</v>
      </c>
      <c r="M612" s="386"/>
      <c r="N612" s="386"/>
      <c r="O612" s="386"/>
      <c r="P612" s="387">
        <f>'Portefeuille SP2'!M637</f>
        <v>0</v>
      </c>
      <c r="Q612" s="387"/>
      <c r="R612" s="387">
        <f>'Portefeuille SP2'!N637</f>
        <v>0</v>
      </c>
      <c r="S612" s="387"/>
      <c r="T612" s="382">
        <f>'Portefeuille SP2'!R637</f>
        <v>0</v>
      </c>
      <c r="U612" s="387">
        <f>'Portefeuille SP2'!K637</f>
        <v>0</v>
      </c>
      <c r="V612" s="399">
        <f>'Portefeuille SP2'!S637</f>
        <v>0</v>
      </c>
      <c r="W612" s="387"/>
      <c r="X612" s="387"/>
      <c r="Y612" s="387"/>
      <c r="Z612" s="387"/>
      <c r="AA612" s="387"/>
      <c r="AB612" s="387"/>
      <c r="AC612" s="387"/>
      <c r="AD612" s="387"/>
      <c r="AE612" s="400">
        <f>'Portefeuille SP2'!J637</f>
        <v>0</v>
      </c>
      <c r="AF612" s="387"/>
      <c r="AG612" s="387"/>
      <c r="AH612" s="389"/>
      <c r="AI612" s="389"/>
      <c r="AJ612" s="403">
        <f>'Portefeuille SP2'!V637</f>
        <v>0</v>
      </c>
      <c r="AK612" s="403">
        <f>'Portefeuille SP2'!W637</f>
        <v>0</v>
      </c>
      <c r="AL612" s="403">
        <f>'Portefeuille SP2'!X637</f>
        <v>0</v>
      </c>
      <c r="AM612" s="403">
        <f>'Portefeuille SP2'!Y637</f>
        <v>0</v>
      </c>
      <c r="AN612" s="403">
        <f>'Portefeuille SP2'!Z637</f>
        <v>0</v>
      </c>
      <c r="AO612" s="403">
        <f>'Portefeuille SP2'!AA637</f>
        <v>0</v>
      </c>
      <c r="AP612" s="403">
        <f>'Portefeuille SP2'!AB637</f>
        <v>0</v>
      </c>
      <c r="AQ612" s="403">
        <f>'Portefeuille SP2'!AC637</f>
        <v>0</v>
      </c>
      <c r="AR612" s="403">
        <f>'Portefeuille SP2'!AD637</f>
        <v>0</v>
      </c>
      <c r="AS612" s="403">
        <f>'Portefeuille SP2'!AE637</f>
        <v>0</v>
      </c>
      <c r="AT612" s="403">
        <f>'Portefeuille SP2'!AF637</f>
        <v>0</v>
      </c>
      <c r="AU612" s="403">
        <f>'Portefeuille SP2'!AG637</f>
        <v>0</v>
      </c>
      <c r="AV612" s="403">
        <f>'Portefeuille SP2'!AH637</f>
        <v>0</v>
      </c>
      <c r="AW612" s="403">
        <f>'Portefeuille SP2'!AI637</f>
        <v>0</v>
      </c>
      <c r="AX612" s="403">
        <f>'Portefeuille SP2'!AJ637</f>
        <v>0</v>
      </c>
      <c r="AY612" s="403">
        <f>'Portefeuille SP2'!AK637</f>
        <v>0</v>
      </c>
      <c r="AZ612" s="403">
        <f>'Portefeuille SP2'!AL637</f>
        <v>0</v>
      </c>
      <c r="BA612" s="403">
        <f>'Portefeuille SP2'!AM637</f>
        <v>0</v>
      </c>
      <c r="BB612" s="403">
        <f>'Portefeuille SP2'!AN637</f>
        <v>0</v>
      </c>
      <c r="BC612" s="403">
        <f>'Portefeuille SP2'!AO637</f>
        <v>0</v>
      </c>
      <c r="BD612" s="403">
        <f>'Portefeuille SP2'!AP637</f>
        <v>0</v>
      </c>
      <c r="BE612" s="403">
        <f>'Portefeuille SP2'!AQ637</f>
        <v>0</v>
      </c>
      <c r="BF612" s="403">
        <f>'Portefeuille SP2'!AR637</f>
        <v>0</v>
      </c>
      <c r="BG612" s="403" t="e">
        <f>'Portefeuille SP2'!#REF!</f>
        <v>#REF!</v>
      </c>
      <c r="BH612" s="403" t="e">
        <f>'Portefeuille SP2'!#REF!</f>
        <v>#REF!</v>
      </c>
      <c r="BI612" s="403" t="e">
        <f>'Portefeuille SP2'!#REF!</f>
        <v>#REF!</v>
      </c>
      <c r="BJ612" s="403" t="e">
        <f>'Portefeuille SP2'!#REF!</f>
        <v>#REF!</v>
      </c>
      <c r="BK612" s="403" t="e">
        <f>'Portefeuille SP2'!#REF!</f>
        <v>#REF!</v>
      </c>
      <c r="BL612" s="388"/>
      <c r="BM612" s="404">
        <f>'Portefeuille SP2'!L637</f>
        <v>0</v>
      </c>
    </row>
    <row r="613" spans="1:65" ht="15" customHeight="1">
      <c r="A613" s="383">
        <f>'Portefeuille SP2'!B638</f>
        <v>0</v>
      </c>
      <c r="B613" s="390">
        <f>'Portefeuille SP2'!Q638</f>
        <v>0</v>
      </c>
      <c r="C613" s="384"/>
      <c r="D613" s="382">
        <f>'Portefeuille SP2'!E638</f>
        <v>0</v>
      </c>
      <c r="E613" s="382" t="str">
        <f t="shared" si="39"/>
        <v>0</v>
      </c>
      <c r="F613" s="382" t="str">
        <f t="shared" si="40"/>
        <v/>
      </c>
      <c r="G613" s="382">
        <f>'Portefeuille SP2'!C638</f>
        <v>0</v>
      </c>
      <c r="H613" s="382">
        <f>'Portefeuille SP2'!F638</f>
        <v>0</v>
      </c>
      <c r="I613" s="382"/>
      <c r="J613" s="382">
        <f>'Portefeuille SP2'!D638</f>
        <v>0</v>
      </c>
      <c r="K613" s="385">
        <f>'Portefeuille SP2'!H638</f>
        <v>0</v>
      </c>
      <c r="L613" s="157">
        <f>'Portefeuille SP2'!U638</f>
        <v>0</v>
      </c>
      <c r="M613" s="386"/>
      <c r="N613" s="386"/>
      <c r="O613" s="386"/>
      <c r="P613" s="387">
        <f>'Portefeuille SP2'!M638</f>
        <v>0</v>
      </c>
      <c r="Q613" s="387"/>
      <c r="R613" s="387">
        <f>'Portefeuille SP2'!N638</f>
        <v>0</v>
      </c>
      <c r="S613" s="387"/>
      <c r="T613" s="382">
        <f>'Portefeuille SP2'!R638</f>
        <v>0</v>
      </c>
      <c r="U613" s="387">
        <f>'Portefeuille SP2'!K638</f>
        <v>0</v>
      </c>
      <c r="V613" s="399">
        <f>'Portefeuille SP2'!S638</f>
        <v>0</v>
      </c>
      <c r="W613" s="387"/>
      <c r="X613" s="387"/>
      <c r="Y613" s="387"/>
      <c r="Z613" s="387"/>
      <c r="AA613" s="387"/>
      <c r="AB613" s="387"/>
      <c r="AC613" s="387"/>
      <c r="AD613" s="387"/>
      <c r="AE613" s="400">
        <f>'Portefeuille SP2'!J638</f>
        <v>0</v>
      </c>
      <c r="AF613" s="387"/>
      <c r="AG613" s="387"/>
      <c r="AH613" s="389"/>
      <c r="AI613" s="389"/>
      <c r="AJ613" s="403">
        <f>'Portefeuille SP2'!V638</f>
        <v>0</v>
      </c>
      <c r="AK613" s="403">
        <f>'Portefeuille SP2'!W638</f>
        <v>0</v>
      </c>
      <c r="AL613" s="403">
        <f>'Portefeuille SP2'!X638</f>
        <v>0</v>
      </c>
      <c r="AM613" s="403">
        <f>'Portefeuille SP2'!Y638</f>
        <v>0</v>
      </c>
      <c r="AN613" s="403">
        <f>'Portefeuille SP2'!Z638</f>
        <v>0</v>
      </c>
      <c r="AO613" s="403">
        <f>'Portefeuille SP2'!AA638</f>
        <v>0</v>
      </c>
      <c r="AP613" s="403">
        <f>'Portefeuille SP2'!AB638</f>
        <v>0</v>
      </c>
      <c r="AQ613" s="403">
        <f>'Portefeuille SP2'!AC638</f>
        <v>0</v>
      </c>
      <c r="AR613" s="403">
        <f>'Portefeuille SP2'!AD638</f>
        <v>0</v>
      </c>
      <c r="AS613" s="403">
        <f>'Portefeuille SP2'!AE638</f>
        <v>0</v>
      </c>
      <c r="AT613" s="403">
        <f>'Portefeuille SP2'!AF638</f>
        <v>0</v>
      </c>
      <c r="AU613" s="403">
        <f>'Portefeuille SP2'!AG638</f>
        <v>0</v>
      </c>
      <c r="AV613" s="403">
        <f>'Portefeuille SP2'!AH638</f>
        <v>0</v>
      </c>
      <c r="AW613" s="403">
        <f>'Portefeuille SP2'!AI638</f>
        <v>0</v>
      </c>
      <c r="AX613" s="403">
        <f>'Portefeuille SP2'!AJ638</f>
        <v>0</v>
      </c>
      <c r="AY613" s="403">
        <f>'Portefeuille SP2'!AK638</f>
        <v>0</v>
      </c>
      <c r="AZ613" s="403">
        <f>'Portefeuille SP2'!AL638</f>
        <v>0</v>
      </c>
      <c r="BA613" s="403">
        <f>'Portefeuille SP2'!AM638</f>
        <v>0</v>
      </c>
      <c r="BB613" s="403">
        <f>'Portefeuille SP2'!AN638</f>
        <v>0</v>
      </c>
      <c r="BC613" s="403">
        <f>'Portefeuille SP2'!AO638</f>
        <v>0</v>
      </c>
      <c r="BD613" s="403">
        <f>'Portefeuille SP2'!AP638</f>
        <v>0</v>
      </c>
      <c r="BE613" s="403">
        <f>'Portefeuille SP2'!AQ638</f>
        <v>0</v>
      </c>
      <c r="BF613" s="403">
        <f>'Portefeuille SP2'!AR638</f>
        <v>0</v>
      </c>
      <c r="BG613" s="403" t="e">
        <f>'Portefeuille SP2'!#REF!</f>
        <v>#REF!</v>
      </c>
      <c r="BH613" s="403" t="e">
        <f>'Portefeuille SP2'!#REF!</f>
        <v>#REF!</v>
      </c>
      <c r="BI613" s="403" t="e">
        <f>'Portefeuille SP2'!#REF!</f>
        <v>#REF!</v>
      </c>
      <c r="BJ613" s="403" t="e">
        <f>'Portefeuille SP2'!#REF!</f>
        <v>#REF!</v>
      </c>
      <c r="BK613" s="403" t="e">
        <f>'Portefeuille SP2'!#REF!</f>
        <v>#REF!</v>
      </c>
      <c r="BL613" s="388"/>
      <c r="BM613" s="404">
        <f>'Portefeuille SP2'!L638</f>
        <v>0</v>
      </c>
    </row>
    <row r="614" spans="1:65" ht="15" customHeight="1">
      <c r="A614" s="383">
        <f>'Portefeuille SP2'!B639</f>
        <v>0</v>
      </c>
      <c r="B614" s="390">
        <f>'Portefeuille SP2'!Q639</f>
        <v>0</v>
      </c>
      <c r="C614" s="384"/>
      <c r="D614" s="382">
        <f>'Portefeuille SP2'!E639</f>
        <v>0</v>
      </c>
      <c r="E614" s="382" t="str">
        <f t="shared" si="39"/>
        <v>0</v>
      </c>
      <c r="F614" s="382" t="str">
        <f t="shared" si="40"/>
        <v/>
      </c>
      <c r="G614" s="382">
        <f>'Portefeuille SP2'!C639</f>
        <v>0</v>
      </c>
      <c r="H614" s="382">
        <f>'Portefeuille SP2'!F639</f>
        <v>0</v>
      </c>
      <c r="I614" s="382"/>
      <c r="J614" s="382">
        <f>'Portefeuille SP2'!D639</f>
        <v>0</v>
      </c>
      <c r="K614" s="385">
        <f>'Portefeuille SP2'!H639</f>
        <v>0</v>
      </c>
      <c r="L614" s="157">
        <f>'Portefeuille SP2'!U639</f>
        <v>0</v>
      </c>
      <c r="M614" s="386"/>
      <c r="N614" s="386"/>
      <c r="O614" s="386"/>
      <c r="P614" s="387">
        <f>'Portefeuille SP2'!M639</f>
        <v>0</v>
      </c>
      <c r="Q614" s="387"/>
      <c r="R614" s="387">
        <f>'Portefeuille SP2'!N639</f>
        <v>0</v>
      </c>
      <c r="S614" s="387"/>
      <c r="T614" s="382">
        <f>'Portefeuille SP2'!R639</f>
        <v>0</v>
      </c>
      <c r="U614" s="387">
        <f>'Portefeuille SP2'!K639</f>
        <v>0</v>
      </c>
      <c r="V614" s="399">
        <f>'Portefeuille SP2'!S639</f>
        <v>0</v>
      </c>
      <c r="W614" s="387"/>
      <c r="X614" s="387"/>
      <c r="Y614" s="387"/>
      <c r="Z614" s="387"/>
      <c r="AA614" s="387"/>
      <c r="AB614" s="387"/>
      <c r="AC614" s="387"/>
      <c r="AD614" s="387"/>
      <c r="AE614" s="400">
        <f>'Portefeuille SP2'!J639</f>
        <v>0</v>
      </c>
      <c r="AF614" s="387"/>
      <c r="AG614" s="387"/>
      <c r="AH614" s="389"/>
      <c r="AI614" s="389"/>
      <c r="AJ614" s="403">
        <f>'Portefeuille SP2'!V639</f>
        <v>0</v>
      </c>
      <c r="AK614" s="403">
        <f>'Portefeuille SP2'!W639</f>
        <v>0</v>
      </c>
      <c r="AL614" s="403">
        <f>'Portefeuille SP2'!X639</f>
        <v>0</v>
      </c>
      <c r="AM614" s="403">
        <f>'Portefeuille SP2'!Y639</f>
        <v>0</v>
      </c>
      <c r="AN614" s="403">
        <f>'Portefeuille SP2'!Z639</f>
        <v>0</v>
      </c>
      <c r="AO614" s="403">
        <f>'Portefeuille SP2'!AA639</f>
        <v>0</v>
      </c>
      <c r="AP614" s="403">
        <f>'Portefeuille SP2'!AB639</f>
        <v>0</v>
      </c>
      <c r="AQ614" s="403">
        <f>'Portefeuille SP2'!AC639</f>
        <v>0</v>
      </c>
      <c r="AR614" s="403">
        <f>'Portefeuille SP2'!AD639</f>
        <v>0</v>
      </c>
      <c r="AS614" s="403">
        <f>'Portefeuille SP2'!AE639</f>
        <v>0</v>
      </c>
      <c r="AT614" s="403">
        <f>'Portefeuille SP2'!AF639</f>
        <v>0</v>
      </c>
      <c r="AU614" s="403">
        <f>'Portefeuille SP2'!AG639</f>
        <v>0</v>
      </c>
      <c r="AV614" s="403">
        <f>'Portefeuille SP2'!AH639</f>
        <v>0</v>
      </c>
      <c r="AW614" s="403">
        <f>'Portefeuille SP2'!AI639</f>
        <v>0</v>
      </c>
      <c r="AX614" s="403">
        <f>'Portefeuille SP2'!AJ639</f>
        <v>0</v>
      </c>
      <c r="AY614" s="403">
        <f>'Portefeuille SP2'!AK639</f>
        <v>0</v>
      </c>
      <c r="AZ614" s="403">
        <f>'Portefeuille SP2'!AL639</f>
        <v>0</v>
      </c>
      <c r="BA614" s="403">
        <f>'Portefeuille SP2'!AM639</f>
        <v>0</v>
      </c>
      <c r="BB614" s="403">
        <f>'Portefeuille SP2'!AN639</f>
        <v>0</v>
      </c>
      <c r="BC614" s="403">
        <f>'Portefeuille SP2'!AO639</f>
        <v>0</v>
      </c>
      <c r="BD614" s="403">
        <f>'Portefeuille SP2'!AP639</f>
        <v>0</v>
      </c>
      <c r="BE614" s="403">
        <f>'Portefeuille SP2'!AQ639</f>
        <v>0</v>
      </c>
      <c r="BF614" s="403">
        <f>'Portefeuille SP2'!AR639</f>
        <v>0</v>
      </c>
      <c r="BG614" s="403" t="e">
        <f>'Portefeuille SP2'!#REF!</f>
        <v>#REF!</v>
      </c>
      <c r="BH614" s="403" t="e">
        <f>'Portefeuille SP2'!#REF!</f>
        <v>#REF!</v>
      </c>
      <c r="BI614" s="403" t="e">
        <f>'Portefeuille SP2'!#REF!</f>
        <v>#REF!</v>
      </c>
      <c r="BJ614" s="403" t="e">
        <f>'Portefeuille SP2'!#REF!</f>
        <v>#REF!</v>
      </c>
      <c r="BK614" s="403" t="e">
        <f>'Portefeuille SP2'!#REF!</f>
        <v>#REF!</v>
      </c>
      <c r="BL614" s="388"/>
      <c r="BM614" s="404">
        <f>'Portefeuille SP2'!L639</f>
        <v>0</v>
      </c>
    </row>
    <row r="615" spans="1:65" ht="15" customHeight="1">
      <c r="A615" s="383">
        <f>'Portefeuille SP2'!B640</f>
        <v>0</v>
      </c>
      <c r="B615" s="390">
        <f>'Portefeuille SP2'!Q640</f>
        <v>0</v>
      </c>
      <c r="C615" s="384"/>
      <c r="D615" s="382">
        <f>'Portefeuille SP2'!E640</f>
        <v>0</v>
      </c>
      <c r="E615" s="382" t="str">
        <f t="shared" si="39"/>
        <v>0</v>
      </c>
      <c r="F615" s="382" t="str">
        <f t="shared" si="40"/>
        <v/>
      </c>
      <c r="G615" s="382">
        <f>'Portefeuille SP2'!C640</f>
        <v>0</v>
      </c>
      <c r="H615" s="382">
        <f>'Portefeuille SP2'!F640</f>
        <v>0</v>
      </c>
      <c r="I615" s="382"/>
      <c r="J615" s="382">
        <f>'Portefeuille SP2'!D640</f>
        <v>0</v>
      </c>
      <c r="K615" s="385">
        <f>'Portefeuille SP2'!H640</f>
        <v>0</v>
      </c>
      <c r="L615" s="157">
        <f>'Portefeuille SP2'!U640</f>
        <v>0</v>
      </c>
      <c r="M615" s="386"/>
      <c r="N615" s="386"/>
      <c r="O615" s="386"/>
      <c r="P615" s="387">
        <f>'Portefeuille SP2'!M640</f>
        <v>0</v>
      </c>
      <c r="Q615" s="387"/>
      <c r="R615" s="387">
        <f>'Portefeuille SP2'!N640</f>
        <v>0</v>
      </c>
      <c r="S615" s="387"/>
      <c r="T615" s="382">
        <f>'Portefeuille SP2'!R640</f>
        <v>0</v>
      </c>
      <c r="U615" s="387">
        <f>'Portefeuille SP2'!K640</f>
        <v>0</v>
      </c>
      <c r="V615" s="399">
        <f>'Portefeuille SP2'!S640</f>
        <v>0</v>
      </c>
      <c r="W615" s="387"/>
      <c r="X615" s="387"/>
      <c r="Y615" s="387"/>
      <c r="Z615" s="387"/>
      <c r="AA615" s="387"/>
      <c r="AB615" s="387"/>
      <c r="AC615" s="387"/>
      <c r="AD615" s="387"/>
      <c r="AE615" s="400">
        <f>'Portefeuille SP2'!J640</f>
        <v>0</v>
      </c>
      <c r="AF615" s="387"/>
      <c r="AG615" s="387"/>
      <c r="AH615" s="389"/>
      <c r="AI615" s="389"/>
      <c r="AJ615" s="403">
        <f>'Portefeuille SP2'!V640</f>
        <v>0</v>
      </c>
      <c r="AK615" s="403">
        <f>'Portefeuille SP2'!W640</f>
        <v>0</v>
      </c>
      <c r="AL615" s="403">
        <f>'Portefeuille SP2'!X640</f>
        <v>0</v>
      </c>
      <c r="AM615" s="403">
        <f>'Portefeuille SP2'!Y640</f>
        <v>0</v>
      </c>
      <c r="AN615" s="403">
        <f>'Portefeuille SP2'!Z640</f>
        <v>0</v>
      </c>
      <c r="AO615" s="403">
        <f>'Portefeuille SP2'!AA640</f>
        <v>0</v>
      </c>
      <c r="AP615" s="403">
        <f>'Portefeuille SP2'!AB640</f>
        <v>0</v>
      </c>
      <c r="AQ615" s="403">
        <f>'Portefeuille SP2'!AC640</f>
        <v>0</v>
      </c>
      <c r="AR615" s="403">
        <f>'Portefeuille SP2'!AD640</f>
        <v>0</v>
      </c>
      <c r="AS615" s="403">
        <f>'Portefeuille SP2'!AE640</f>
        <v>0</v>
      </c>
      <c r="AT615" s="403">
        <f>'Portefeuille SP2'!AF640</f>
        <v>0</v>
      </c>
      <c r="AU615" s="403">
        <f>'Portefeuille SP2'!AG640</f>
        <v>0</v>
      </c>
      <c r="AV615" s="403">
        <f>'Portefeuille SP2'!AH640</f>
        <v>0</v>
      </c>
      <c r="AW615" s="403">
        <f>'Portefeuille SP2'!AI640</f>
        <v>0</v>
      </c>
      <c r="AX615" s="403">
        <f>'Portefeuille SP2'!AJ640</f>
        <v>0</v>
      </c>
      <c r="AY615" s="403">
        <f>'Portefeuille SP2'!AK640</f>
        <v>0</v>
      </c>
      <c r="AZ615" s="403">
        <f>'Portefeuille SP2'!AL640</f>
        <v>0</v>
      </c>
      <c r="BA615" s="403">
        <f>'Portefeuille SP2'!AM640</f>
        <v>0</v>
      </c>
      <c r="BB615" s="403">
        <f>'Portefeuille SP2'!AN640</f>
        <v>0</v>
      </c>
      <c r="BC615" s="403">
        <f>'Portefeuille SP2'!AO640</f>
        <v>0</v>
      </c>
      <c r="BD615" s="403">
        <f>'Portefeuille SP2'!AP640</f>
        <v>0</v>
      </c>
      <c r="BE615" s="403">
        <f>'Portefeuille SP2'!AQ640</f>
        <v>0</v>
      </c>
      <c r="BF615" s="403">
        <f>'Portefeuille SP2'!AR640</f>
        <v>0</v>
      </c>
      <c r="BG615" s="403" t="e">
        <f>'Portefeuille SP2'!#REF!</f>
        <v>#REF!</v>
      </c>
      <c r="BH615" s="403" t="e">
        <f>'Portefeuille SP2'!#REF!</f>
        <v>#REF!</v>
      </c>
      <c r="BI615" s="403" t="e">
        <f>'Portefeuille SP2'!#REF!</f>
        <v>#REF!</v>
      </c>
      <c r="BJ615" s="403" t="e">
        <f>'Portefeuille SP2'!#REF!</f>
        <v>#REF!</v>
      </c>
      <c r="BK615" s="403" t="e">
        <f>'Portefeuille SP2'!#REF!</f>
        <v>#REF!</v>
      </c>
      <c r="BL615" s="388"/>
      <c r="BM615" s="404">
        <f>'Portefeuille SP2'!L640</f>
        <v>0</v>
      </c>
    </row>
    <row r="616" spans="1:65" ht="15" customHeight="1">
      <c r="A616" s="383">
        <f>'Portefeuille SP2'!B641</f>
        <v>0</v>
      </c>
      <c r="B616" s="390">
        <f>'Portefeuille SP2'!Q641</f>
        <v>0</v>
      </c>
      <c r="C616" s="384"/>
      <c r="D616" s="382">
        <f>'Portefeuille SP2'!E641</f>
        <v>0</v>
      </c>
      <c r="E616" s="382" t="str">
        <f t="shared" si="39"/>
        <v>0</v>
      </c>
      <c r="F616" s="382" t="str">
        <f t="shared" si="40"/>
        <v/>
      </c>
      <c r="G616" s="382">
        <f>'Portefeuille SP2'!C641</f>
        <v>0</v>
      </c>
      <c r="H616" s="382">
        <f>'Portefeuille SP2'!F641</f>
        <v>0</v>
      </c>
      <c r="I616" s="382"/>
      <c r="J616" s="382">
        <f>'Portefeuille SP2'!D641</f>
        <v>0</v>
      </c>
      <c r="K616" s="385">
        <f>'Portefeuille SP2'!H641</f>
        <v>0</v>
      </c>
      <c r="L616" s="157">
        <f>'Portefeuille SP2'!U641</f>
        <v>0</v>
      </c>
      <c r="M616" s="386"/>
      <c r="N616" s="386"/>
      <c r="O616" s="386"/>
      <c r="P616" s="387">
        <f>'Portefeuille SP2'!M641</f>
        <v>0</v>
      </c>
      <c r="Q616" s="387"/>
      <c r="R616" s="387">
        <f>'Portefeuille SP2'!N641</f>
        <v>0</v>
      </c>
      <c r="S616" s="387"/>
      <c r="T616" s="382">
        <f>'Portefeuille SP2'!R641</f>
        <v>0</v>
      </c>
      <c r="U616" s="387">
        <f>'Portefeuille SP2'!K641</f>
        <v>0</v>
      </c>
      <c r="V616" s="399">
        <f>'Portefeuille SP2'!S641</f>
        <v>0</v>
      </c>
      <c r="W616" s="387"/>
      <c r="X616" s="387"/>
      <c r="Y616" s="387"/>
      <c r="Z616" s="387"/>
      <c r="AA616" s="387"/>
      <c r="AB616" s="387"/>
      <c r="AC616" s="387"/>
      <c r="AD616" s="387"/>
      <c r="AE616" s="400">
        <f>'Portefeuille SP2'!J641</f>
        <v>0</v>
      </c>
      <c r="AF616" s="387"/>
      <c r="AG616" s="387"/>
      <c r="AH616" s="389"/>
      <c r="AI616" s="389"/>
      <c r="AJ616" s="403">
        <f>'Portefeuille SP2'!V641</f>
        <v>0</v>
      </c>
      <c r="AK616" s="403">
        <f>'Portefeuille SP2'!W641</f>
        <v>0</v>
      </c>
      <c r="AL616" s="403">
        <f>'Portefeuille SP2'!X641</f>
        <v>0</v>
      </c>
      <c r="AM616" s="403">
        <f>'Portefeuille SP2'!Y641</f>
        <v>0</v>
      </c>
      <c r="AN616" s="403">
        <f>'Portefeuille SP2'!Z641</f>
        <v>0</v>
      </c>
      <c r="AO616" s="403">
        <f>'Portefeuille SP2'!AA641</f>
        <v>0</v>
      </c>
      <c r="AP616" s="403">
        <f>'Portefeuille SP2'!AB641</f>
        <v>0</v>
      </c>
      <c r="AQ616" s="403">
        <f>'Portefeuille SP2'!AC641</f>
        <v>0</v>
      </c>
      <c r="AR616" s="403">
        <f>'Portefeuille SP2'!AD641</f>
        <v>0</v>
      </c>
      <c r="AS616" s="403">
        <f>'Portefeuille SP2'!AE641</f>
        <v>0</v>
      </c>
      <c r="AT616" s="403">
        <f>'Portefeuille SP2'!AF641</f>
        <v>0</v>
      </c>
      <c r="AU616" s="403">
        <f>'Portefeuille SP2'!AG641</f>
        <v>0</v>
      </c>
      <c r="AV616" s="403">
        <f>'Portefeuille SP2'!AH641</f>
        <v>0</v>
      </c>
      <c r="AW616" s="403">
        <f>'Portefeuille SP2'!AI641</f>
        <v>0</v>
      </c>
      <c r="AX616" s="403">
        <f>'Portefeuille SP2'!AJ641</f>
        <v>0</v>
      </c>
      <c r="AY616" s="403">
        <f>'Portefeuille SP2'!AK641</f>
        <v>0</v>
      </c>
      <c r="AZ616" s="403">
        <f>'Portefeuille SP2'!AL641</f>
        <v>0</v>
      </c>
      <c r="BA616" s="403">
        <f>'Portefeuille SP2'!AM641</f>
        <v>0</v>
      </c>
      <c r="BB616" s="403">
        <f>'Portefeuille SP2'!AN641</f>
        <v>0</v>
      </c>
      <c r="BC616" s="403">
        <f>'Portefeuille SP2'!AO641</f>
        <v>0</v>
      </c>
      <c r="BD616" s="403">
        <f>'Portefeuille SP2'!AP641</f>
        <v>0</v>
      </c>
      <c r="BE616" s="403">
        <f>'Portefeuille SP2'!AQ641</f>
        <v>0</v>
      </c>
      <c r="BF616" s="403">
        <f>'Portefeuille SP2'!AR641</f>
        <v>0</v>
      </c>
      <c r="BG616" s="403" t="e">
        <f>'Portefeuille SP2'!#REF!</f>
        <v>#REF!</v>
      </c>
      <c r="BH616" s="403" t="e">
        <f>'Portefeuille SP2'!#REF!</f>
        <v>#REF!</v>
      </c>
      <c r="BI616" s="403" t="e">
        <f>'Portefeuille SP2'!#REF!</f>
        <v>#REF!</v>
      </c>
      <c r="BJ616" s="403" t="e">
        <f>'Portefeuille SP2'!#REF!</f>
        <v>#REF!</v>
      </c>
      <c r="BK616" s="403" t="e">
        <f>'Portefeuille SP2'!#REF!</f>
        <v>#REF!</v>
      </c>
      <c r="BL616" s="388"/>
      <c r="BM616" s="404">
        <f>'Portefeuille SP2'!L641</f>
        <v>0</v>
      </c>
    </row>
    <row r="617" spans="1:65" ht="15" customHeight="1">
      <c r="A617" s="383">
        <f>'Portefeuille SP2'!B642</f>
        <v>0</v>
      </c>
      <c r="B617" s="390">
        <f>'Portefeuille SP2'!Q642</f>
        <v>0</v>
      </c>
      <c r="C617" s="384"/>
      <c r="D617" s="382">
        <f>'Portefeuille SP2'!E642</f>
        <v>0</v>
      </c>
      <c r="E617" s="382" t="str">
        <f t="shared" si="39"/>
        <v>0</v>
      </c>
      <c r="F617" s="382" t="str">
        <f t="shared" si="40"/>
        <v/>
      </c>
      <c r="G617" s="382">
        <f>'Portefeuille SP2'!C642</f>
        <v>0</v>
      </c>
      <c r="H617" s="382">
        <f>'Portefeuille SP2'!F642</f>
        <v>0</v>
      </c>
      <c r="I617" s="382"/>
      <c r="J617" s="382">
        <f>'Portefeuille SP2'!D642</f>
        <v>0</v>
      </c>
      <c r="K617" s="385">
        <f>'Portefeuille SP2'!H642</f>
        <v>0</v>
      </c>
      <c r="L617" s="157">
        <f>'Portefeuille SP2'!U642</f>
        <v>0</v>
      </c>
      <c r="M617" s="386"/>
      <c r="N617" s="386"/>
      <c r="O617" s="386"/>
      <c r="P617" s="387">
        <f>'Portefeuille SP2'!M642</f>
        <v>0</v>
      </c>
      <c r="Q617" s="387"/>
      <c r="R617" s="387">
        <f>'Portefeuille SP2'!N642</f>
        <v>0</v>
      </c>
      <c r="S617" s="387"/>
      <c r="T617" s="382">
        <f>'Portefeuille SP2'!R642</f>
        <v>0</v>
      </c>
      <c r="U617" s="387">
        <f>'Portefeuille SP2'!K642</f>
        <v>0</v>
      </c>
      <c r="V617" s="399">
        <f>'Portefeuille SP2'!S642</f>
        <v>0</v>
      </c>
      <c r="W617" s="387"/>
      <c r="X617" s="387"/>
      <c r="Y617" s="387"/>
      <c r="Z617" s="387"/>
      <c r="AA617" s="387"/>
      <c r="AB617" s="387"/>
      <c r="AC617" s="387"/>
      <c r="AD617" s="387"/>
      <c r="AE617" s="400">
        <f>'Portefeuille SP2'!J642</f>
        <v>0</v>
      </c>
      <c r="AF617" s="387"/>
      <c r="AG617" s="387"/>
      <c r="AH617" s="389"/>
      <c r="AI617" s="389"/>
      <c r="AJ617" s="403">
        <f>'Portefeuille SP2'!V642</f>
        <v>0</v>
      </c>
      <c r="AK617" s="403">
        <f>'Portefeuille SP2'!W642</f>
        <v>0</v>
      </c>
      <c r="AL617" s="403">
        <f>'Portefeuille SP2'!X642</f>
        <v>0</v>
      </c>
      <c r="AM617" s="403">
        <f>'Portefeuille SP2'!Y642</f>
        <v>0</v>
      </c>
      <c r="AN617" s="403">
        <f>'Portefeuille SP2'!Z642</f>
        <v>0</v>
      </c>
      <c r="AO617" s="403">
        <f>'Portefeuille SP2'!AA642</f>
        <v>0</v>
      </c>
      <c r="AP617" s="403">
        <f>'Portefeuille SP2'!AB642</f>
        <v>0</v>
      </c>
      <c r="AQ617" s="403">
        <f>'Portefeuille SP2'!AC642</f>
        <v>0</v>
      </c>
      <c r="AR617" s="403">
        <f>'Portefeuille SP2'!AD642</f>
        <v>0</v>
      </c>
      <c r="AS617" s="403">
        <f>'Portefeuille SP2'!AE642</f>
        <v>0</v>
      </c>
      <c r="AT617" s="403">
        <f>'Portefeuille SP2'!AF642</f>
        <v>0</v>
      </c>
      <c r="AU617" s="403">
        <f>'Portefeuille SP2'!AG642</f>
        <v>0</v>
      </c>
      <c r="AV617" s="403">
        <f>'Portefeuille SP2'!AH642</f>
        <v>0</v>
      </c>
      <c r="AW617" s="403">
        <f>'Portefeuille SP2'!AI642</f>
        <v>0</v>
      </c>
      <c r="AX617" s="403">
        <f>'Portefeuille SP2'!AJ642</f>
        <v>0</v>
      </c>
      <c r="AY617" s="403">
        <f>'Portefeuille SP2'!AK642</f>
        <v>0</v>
      </c>
      <c r="AZ617" s="403">
        <f>'Portefeuille SP2'!AL642</f>
        <v>0</v>
      </c>
      <c r="BA617" s="403">
        <f>'Portefeuille SP2'!AM642</f>
        <v>0</v>
      </c>
      <c r="BB617" s="403">
        <f>'Portefeuille SP2'!AN642</f>
        <v>0</v>
      </c>
      <c r="BC617" s="403">
        <f>'Portefeuille SP2'!AO642</f>
        <v>0</v>
      </c>
      <c r="BD617" s="403">
        <f>'Portefeuille SP2'!AP642</f>
        <v>0</v>
      </c>
      <c r="BE617" s="403">
        <f>'Portefeuille SP2'!AQ642</f>
        <v>0</v>
      </c>
      <c r="BF617" s="403">
        <f>'Portefeuille SP2'!AR642</f>
        <v>0</v>
      </c>
      <c r="BG617" s="403" t="e">
        <f>'Portefeuille SP2'!#REF!</f>
        <v>#REF!</v>
      </c>
      <c r="BH617" s="403" t="e">
        <f>'Portefeuille SP2'!#REF!</f>
        <v>#REF!</v>
      </c>
      <c r="BI617" s="403" t="e">
        <f>'Portefeuille SP2'!#REF!</f>
        <v>#REF!</v>
      </c>
      <c r="BJ617" s="403" t="e">
        <f>'Portefeuille SP2'!#REF!</f>
        <v>#REF!</v>
      </c>
      <c r="BK617" s="403" t="e">
        <f>'Portefeuille SP2'!#REF!</f>
        <v>#REF!</v>
      </c>
      <c r="BL617" s="388"/>
      <c r="BM617" s="404">
        <f>'Portefeuille SP2'!L642</f>
        <v>0</v>
      </c>
    </row>
    <row r="618" spans="1:65" ht="15" customHeight="1">
      <c r="A618" s="383">
        <f>'Portefeuille SP2'!B643</f>
        <v>0</v>
      </c>
      <c r="B618" s="390">
        <f>'Portefeuille SP2'!Q643</f>
        <v>0</v>
      </c>
      <c r="C618" s="384"/>
      <c r="D618" s="382">
        <f>'Portefeuille SP2'!E643</f>
        <v>0</v>
      </c>
      <c r="E618" s="382" t="str">
        <f t="shared" si="39"/>
        <v>0</v>
      </c>
      <c r="F618" s="382" t="str">
        <f t="shared" si="40"/>
        <v/>
      </c>
      <c r="G618" s="382">
        <f>'Portefeuille SP2'!C643</f>
        <v>0</v>
      </c>
      <c r="H618" s="382">
        <f>'Portefeuille SP2'!F643</f>
        <v>0</v>
      </c>
      <c r="I618" s="382"/>
      <c r="J618" s="382">
        <f>'Portefeuille SP2'!D643</f>
        <v>0</v>
      </c>
      <c r="K618" s="385">
        <f>'Portefeuille SP2'!H643</f>
        <v>0</v>
      </c>
      <c r="L618" s="157">
        <f>'Portefeuille SP2'!U643</f>
        <v>0</v>
      </c>
      <c r="M618" s="386"/>
      <c r="N618" s="386"/>
      <c r="O618" s="386"/>
      <c r="P618" s="387">
        <f>'Portefeuille SP2'!M643</f>
        <v>0</v>
      </c>
      <c r="Q618" s="387"/>
      <c r="R618" s="387">
        <f>'Portefeuille SP2'!N643</f>
        <v>0</v>
      </c>
      <c r="S618" s="387"/>
      <c r="T618" s="382">
        <f>'Portefeuille SP2'!R643</f>
        <v>0</v>
      </c>
      <c r="U618" s="387">
        <f>'Portefeuille SP2'!K643</f>
        <v>0</v>
      </c>
      <c r="V618" s="399">
        <f>'Portefeuille SP2'!S643</f>
        <v>0</v>
      </c>
      <c r="W618" s="387"/>
      <c r="X618" s="387"/>
      <c r="Y618" s="387"/>
      <c r="Z618" s="387"/>
      <c r="AA618" s="387"/>
      <c r="AB618" s="387"/>
      <c r="AC618" s="387"/>
      <c r="AD618" s="387"/>
      <c r="AE618" s="400">
        <f>'Portefeuille SP2'!J643</f>
        <v>0</v>
      </c>
      <c r="AF618" s="387"/>
      <c r="AG618" s="387"/>
      <c r="AH618" s="389"/>
      <c r="AI618" s="389"/>
      <c r="AJ618" s="403">
        <f>'Portefeuille SP2'!V643</f>
        <v>0</v>
      </c>
      <c r="AK618" s="403">
        <f>'Portefeuille SP2'!W643</f>
        <v>0</v>
      </c>
      <c r="AL618" s="403">
        <f>'Portefeuille SP2'!X643</f>
        <v>0</v>
      </c>
      <c r="AM618" s="403">
        <f>'Portefeuille SP2'!Y643</f>
        <v>0</v>
      </c>
      <c r="AN618" s="403">
        <f>'Portefeuille SP2'!Z643</f>
        <v>0</v>
      </c>
      <c r="AO618" s="403">
        <f>'Portefeuille SP2'!AA643</f>
        <v>0</v>
      </c>
      <c r="AP618" s="403">
        <f>'Portefeuille SP2'!AB643</f>
        <v>0</v>
      </c>
      <c r="AQ618" s="403">
        <f>'Portefeuille SP2'!AC643</f>
        <v>0</v>
      </c>
      <c r="AR618" s="403">
        <f>'Portefeuille SP2'!AD643</f>
        <v>0</v>
      </c>
      <c r="AS618" s="403">
        <f>'Portefeuille SP2'!AE643</f>
        <v>0</v>
      </c>
      <c r="AT618" s="403">
        <f>'Portefeuille SP2'!AF643</f>
        <v>0</v>
      </c>
      <c r="AU618" s="403">
        <f>'Portefeuille SP2'!AG643</f>
        <v>0</v>
      </c>
      <c r="AV618" s="403">
        <f>'Portefeuille SP2'!AH643</f>
        <v>0</v>
      </c>
      <c r="AW618" s="403">
        <f>'Portefeuille SP2'!AI643</f>
        <v>0</v>
      </c>
      <c r="AX618" s="403">
        <f>'Portefeuille SP2'!AJ643</f>
        <v>0</v>
      </c>
      <c r="AY618" s="403">
        <f>'Portefeuille SP2'!AK643</f>
        <v>0</v>
      </c>
      <c r="AZ618" s="403">
        <f>'Portefeuille SP2'!AL643</f>
        <v>0</v>
      </c>
      <c r="BA618" s="403">
        <f>'Portefeuille SP2'!AM643</f>
        <v>0</v>
      </c>
      <c r="BB618" s="403">
        <f>'Portefeuille SP2'!AN643</f>
        <v>0</v>
      </c>
      <c r="BC618" s="403">
        <f>'Portefeuille SP2'!AO643</f>
        <v>0</v>
      </c>
      <c r="BD618" s="403">
        <f>'Portefeuille SP2'!AP643</f>
        <v>0</v>
      </c>
      <c r="BE618" s="403">
        <f>'Portefeuille SP2'!AQ643</f>
        <v>0</v>
      </c>
      <c r="BF618" s="403">
        <f>'Portefeuille SP2'!AR643</f>
        <v>0</v>
      </c>
      <c r="BG618" s="403" t="e">
        <f>'Portefeuille SP2'!#REF!</f>
        <v>#REF!</v>
      </c>
      <c r="BH618" s="403" t="e">
        <f>'Portefeuille SP2'!#REF!</f>
        <v>#REF!</v>
      </c>
      <c r="BI618" s="403" t="e">
        <f>'Portefeuille SP2'!#REF!</f>
        <v>#REF!</v>
      </c>
      <c r="BJ618" s="403" t="e">
        <f>'Portefeuille SP2'!#REF!</f>
        <v>#REF!</v>
      </c>
      <c r="BK618" s="403" t="e">
        <f>'Portefeuille SP2'!#REF!</f>
        <v>#REF!</v>
      </c>
      <c r="BL618" s="388"/>
      <c r="BM618" s="404">
        <f>'Portefeuille SP2'!L643</f>
        <v>0</v>
      </c>
    </row>
    <row r="619" spans="1:65" ht="15" customHeight="1">
      <c r="A619" s="383">
        <f>'Portefeuille SP2'!B644</f>
        <v>0</v>
      </c>
      <c r="B619" s="390">
        <f>'Portefeuille SP2'!Q644</f>
        <v>0</v>
      </c>
      <c r="C619" s="384"/>
      <c r="D619" s="382">
        <f>'Portefeuille SP2'!E644</f>
        <v>0</v>
      </c>
      <c r="E619" s="382" t="str">
        <f t="shared" si="39"/>
        <v>0</v>
      </c>
      <c r="F619" s="382" t="str">
        <f t="shared" si="40"/>
        <v/>
      </c>
      <c r="G619" s="382">
        <f>'Portefeuille SP2'!C644</f>
        <v>0</v>
      </c>
      <c r="H619" s="382">
        <f>'Portefeuille SP2'!F644</f>
        <v>0</v>
      </c>
      <c r="I619" s="382"/>
      <c r="J619" s="382">
        <f>'Portefeuille SP2'!D644</f>
        <v>0</v>
      </c>
      <c r="K619" s="385">
        <f>'Portefeuille SP2'!H644</f>
        <v>0</v>
      </c>
      <c r="L619" s="157">
        <f>'Portefeuille SP2'!U644</f>
        <v>0</v>
      </c>
      <c r="M619" s="386"/>
      <c r="N619" s="386"/>
      <c r="O619" s="386"/>
      <c r="P619" s="387">
        <f>'Portefeuille SP2'!M644</f>
        <v>0</v>
      </c>
      <c r="Q619" s="387"/>
      <c r="R619" s="387">
        <f>'Portefeuille SP2'!N644</f>
        <v>0</v>
      </c>
      <c r="S619" s="387"/>
      <c r="T619" s="382">
        <f>'Portefeuille SP2'!R644</f>
        <v>0</v>
      </c>
      <c r="U619" s="387">
        <f>'Portefeuille SP2'!K644</f>
        <v>0</v>
      </c>
      <c r="V619" s="399">
        <f>'Portefeuille SP2'!S644</f>
        <v>0</v>
      </c>
      <c r="W619" s="387"/>
      <c r="X619" s="387"/>
      <c r="Y619" s="387"/>
      <c r="Z619" s="387"/>
      <c r="AA619" s="387"/>
      <c r="AB619" s="387"/>
      <c r="AC619" s="387"/>
      <c r="AD619" s="387"/>
      <c r="AE619" s="400">
        <f>'Portefeuille SP2'!J644</f>
        <v>0</v>
      </c>
      <c r="AF619" s="387"/>
      <c r="AG619" s="387"/>
      <c r="AH619" s="389"/>
      <c r="AI619" s="389"/>
      <c r="AJ619" s="403">
        <f>'Portefeuille SP2'!V644</f>
        <v>0</v>
      </c>
      <c r="AK619" s="403">
        <f>'Portefeuille SP2'!W644</f>
        <v>0</v>
      </c>
      <c r="AL619" s="403">
        <f>'Portefeuille SP2'!X644</f>
        <v>0</v>
      </c>
      <c r="AM619" s="403">
        <f>'Portefeuille SP2'!Y644</f>
        <v>0</v>
      </c>
      <c r="AN619" s="403">
        <f>'Portefeuille SP2'!Z644</f>
        <v>0</v>
      </c>
      <c r="AO619" s="403">
        <f>'Portefeuille SP2'!AA644</f>
        <v>0</v>
      </c>
      <c r="AP619" s="403">
        <f>'Portefeuille SP2'!AB644</f>
        <v>0</v>
      </c>
      <c r="AQ619" s="403">
        <f>'Portefeuille SP2'!AC644</f>
        <v>0</v>
      </c>
      <c r="AR619" s="403">
        <f>'Portefeuille SP2'!AD644</f>
        <v>0</v>
      </c>
      <c r="AS619" s="403">
        <f>'Portefeuille SP2'!AE644</f>
        <v>0</v>
      </c>
      <c r="AT619" s="403">
        <f>'Portefeuille SP2'!AF644</f>
        <v>0</v>
      </c>
      <c r="AU619" s="403">
        <f>'Portefeuille SP2'!AG644</f>
        <v>0</v>
      </c>
      <c r="AV619" s="403">
        <f>'Portefeuille SP2'!AH644</f>
        <v>0</v>
      </c>
      <c r="AW619" s="403">
        <f>'Portefeuille SP2'!AI644</f>
        <v>0</v>
      </c>
      <c r="AX619" s="403">
        <f>'Portefeuille SP2'!AJ644</f>
        <v>0</v>
      </c>
      <c r="AY619" s="403">
        <f>'Portefeuille SP2'!AK644</f>
        <v>0</v>
      </c>
      <c r="AZ619" s="403">
        <f>'Portefeuille SP2'!AL644</f>
        <v>0</v>
      </c>
      <c r="BA619" s="403">
        <f>'Portefeuille SP2'!AM644</f>
        <v>0</v>
      </c>
      <c r="BB619" s="403">
        <f>'Portefeuille SP2'!AN644</f>
        <v>0</v>
      </c>
      <c r="BC619" s="403">
        <f>'Portefeuille SP2'!AO644</f>
        <v>0</v>
      </c>
      <c r="BD619" s="403">
        <f>'Portefeuille SP2'!AP644</f>
        <v>0</v>
      </c>
      <c r="BE619" s="403">
        <f>'Portefeuille SP2'!AQ644</f>
        <v>0</v>
      </c>
      <c r="BF619" s="403">
        <f>'Portefeuille SP2'!AR644</f>
        <v>0</v>
      </c>
      <c r="BG619" s="403" t="e">
        <f>'Portefeuille SP2'!#REF!</f>
        <v>#REF!</v>
      </c>
      <c r="BH619" s="403" t="e">
        <f>'Portefeuille SP2'!#REF!</f>
        <v>#REF!</v>
      </c>
      <c r="BI619" s="403" t="e">
        <f>'Portefeuille SP2'!#REF!</f>
        <v>#REF!</v>
      </c>
      <c r="BJ619" s="403" t="e">
        <f>'Portefeuille SP2'!#REF!</f>
        <v>#REF!</v>
      </c>
      <c r="BK619" s="403" t="e">
        <f>'Portefeuille SP2'!#REF!</f>
        <v>#REF!</v>
      </c>
      <c r="BL619" s="388"/>
      <c r="BM619" s="404">
        <f>'Portefeuille SP2'!L644</f>
        <v>0</v>
      </c>
    </row>
    <row r="620" spans="1:65" ht="15" customHeight="1">
      <c r="A620" s="383">
        <f>'Portefeuille SP2'!B645</f>
        <v>0</v>
      </c>
      <c r="B620" s="390">
        <f>'Portefeuille SP2'!Q645</f>
        <v>0</v>
      </c>
      <c r="C620" s="384"/>
      <c r="D620" s="382">
        <f>'Portefeuille SP2'!E645</f>
        <v>0</v>
      </c>
      <c r="E620" s="382" t="str">
        <f t="shared" si="39"/>
        <v>0</v>
      </c>
      <c r="F620" s="382" t="str">
        <f t="shared" si="40"/>
        <v/>
      </c>
      <c r="G620" s="382">
        <f>'Portefeuille SP2'!C645</f>
        <v>0</v>
      </c>
      <c r="H620" s="382">
        <f>'Portefeuille SP2'!F645</f>
        <v>0</v>
      </c>
      <c r="I620" s="382"/>
      <c r="J620" s="382">
        <f>'Portefeuille SP2'!D645</f>
        <v>0</v>
      </c>
      <c r="K620" s="385">
        <f>'Portefeuille SP2'!H645</f>
        <v>0</v>
      </c>
      <c r="L620" s="157">
        <f>'Portefeuille SP2'!U645</f>
        <v>0</v>
      </c>
      <c r="M620" s="386"/>
      <c r="N620" s="386"/>
      <c r="O620" s="386"/>
      <c r="P620" s="387">
        <f>'Portefeuille SP2'!M645</f>
        <v>0</v>
      </c>
      <c r="Q620" s="387"/>
      <c r="R620" s="387">
        <f>'Portefeuille SP2'!N645</f>
        <v>0</v>
      </c>
      <c r="S620" s="387"/>
      <c r="T620" s="382">
        <f>'Portefeuille SP2'!R645</f>
        <v>0</v>
      </c>
      <c r="U620" s="387">
        <f>'Portefeuille SP2'!K645</f>
        <v>0</v>
      </c>
      <c r="V620" s="399">
        <f>'Portefeuille SP2'!S645</f>
        <v>0</v>
      </c>
      <c r="W620" s="387"/>
      <c r="X620" s="387"/>
      <c r="Y620" s="387"/>
      <c r="Z620" s="387"/>
      <c r="AA620" s="387"/>
      <c r="AB620" s="387"/>
      <c r="AC620" s="387"/>
      <c r="AD620" s="387"/>
      <c r="AE620" s="400">
        <f>'Portefeuille SP2'!J645</f>
        <v>0</v>
      </c>
      <c r="AF620" s="387"/>
      <c r="AG620" s="387"/>
      <c r="AH620" s="389"/>
      <c r="AI620" s="389"/>
      <c r="AJ620" s="403">
        <f>'Portefeuille SP2'!V645</f>
        <v>0</v>
      </c>
      <c r="AK620" s="403">
        <f>'Portefeuille SP2'!W645</f>
        <v>0</v>
      </c>
      <c r="AL620" s="403">
        <f>'Portefeuille SP2'!X645</f>
        <v>0</v>
      </c>
      <c r="AM620" s="403">
        <f>'Portefeuille SP2'!Y645</f>
        <v>0</v>
      </c>
      <c r="AN620" s="403">
        <f>'Portefeuille SP2'!Z645</f>
        <v>0</v>
      </c>
      <c r="AO620" s="403">
        <f>'Portefeuille SP2'!AA645</f>
        <v>0</v>
      </c>
      <c r="AP620" s="403">
        <f>'Portefeuille SP2'!AB645</f>
        <v>0</v>
      </c>
      <c r="AQ620" s="403">
        <f>'Portefeuille SP2'!AC645</f>
        <v>0</v>
      </c>
      <c r="AR620" s="403">
        <f>'Portefeuille SP2'!AD645</f>
        <v>0</v>
      </c>
      <c r="AS620" s="403">
        <f>'Portefeuille SP2'!AE645</f>
        <v>0</v>
      </c>
      <c r="AT620" s="403">
        <f>'Portefeuille SP2'!AF645</f>
        <v>0</v>
      </c>
      <c r="AU620" s="403">
        <f>'Portefeuille SP2'!AG645</f>
        <v>0</v>
      </c>
      <c r="AV620" s="403">
        <f>'Portefeuille SP2'!AH645</f>
        <v>0</v>
      </c>
      <c r="AW620" s="403">
        <f>'Portefeuille SP2'!AI645</f>
        <v>0</v>
      </c>
      <c r="AX620" s="403">
        <f>'Portefeuille SP2'!AJ645</f>
        <v>0</v>
      </c>
      <c r="AY620" s="403">
        <f>'Portefeuille SP2'!AK645</f>
        <v>0</v>
      </c>
      <c r="AZ620" s="403">
        <f>'Portefeuille SP2'!AL645</f>
        <v>0</v>
      </c>
      <c r="BA620" s="403">
        <f>'Portefeuille SP2'!AM645</f>
        <v>0</v>
      </c>
      <c r="BB620" s="403">
        <f>'Portefeuille SP2'!AN645</f>
        <v>0</v>
      </c>
      <c r="BC620" s="403">
        <f>'Portefeuille SP2'!AO645</f>
        <v>0</v>
      </c>
      <c r="BD620" s="403">
        <f>'Portefeuille SP2'!AP645</f>
        <v>0</v>
      </c>
      <c r="BE620" s="403">
        <f>'Portefeuille SP2'!AQ645</f>
        <v>0</v>
      </c>
      <c r="BF620" s="403">
        <f>'Portefeuille SP2'!AR645</f>
        <v>0</v>
      </c>
      <c r="BG620" s="403" t="e">
        <f>'Portefeuille SP2'!#REF!</f>
        <v>#REF!</v>
      </c>
      <c r="BH620" s="403" t="e">
        <f>'Portefeuille SP2'!#REF!</f>
        <v>#REF!</v>
      </c>
      <c r="BI620" s="403" t="e">
        <f>'Portefeuille SP2'!#REF!</f>
        <v>#REF!</v>
      </c>
      <c r="BJ620" s="403" t="e">
        <f>'Portefeuille SP2'!#REF!</f>
        <v>#REF!</v>
      </c>
      <c r="BK620" s="403" t="e">
        <f>'Portefeuille SP2'!#REF!</f>
        <v>#REF!</v>
      </c>
      <c r="BL620" s="388"/>
      <c r="BM620" s="404">
        <f>'Portefeuille SP2'!L645</f>
        <v>0</v>
      </c>
    </row>
    <row r="621" spans="1:65" ht="15" customHeight="1">
      <c r="A621" s="383">
        <f>'Portefeuille SP2'!B646</f>
        <v>0</v>
      </c>
      <c r="B621" s="390">
        <f>'Portefeuille SP2'!Q646</f>
        <v>0</v>
      </c>
      <c r="C621" s="384"/>
      <c r="D621" s="382">
        <f>'Portefeuille SP2'!E646</f>
        <v>0</v>
      </c>
      <c r="E621" s="382" t="str">
        <f t="shared" si="39"/>
        <v>0</v>
      </c>
      <c r="F621" s="382" t="str">
        <f t="shared" si="40"/>
        <v/>
      </c>
      <c r="G621" s="382">
        <f>'Portefeuille SP2'!C646</f>
        <v>0</v>
      </c>
      <c r="H621" s="382">
        <f>'Portefeuille SP2'!F646</f>
        <v>0</v>
      </c>
      <c r="I621" s="382"/>
      <c r="J621" s="382">
        <f>'Portefeuille SP2'!D646</f>
        <v>0</v>
      </c>
      <c r="K621" s="385">
        <f>'Portefeuille SP2'!H646</f>
        <v>0</v>
      </c>
      <c r="L621" s="157">
        <f>'Portefeuille SP2'!U646</f>
        <v>0</v>
      </c>
      <c r="M621" s="386"/>
      <c r="N621" s="386"/>
      <c r="O621" s="386"/>
      <c r="P621" s="387">
        <f>'Portefeuille SP2'!M646</f>
        <v>0</v>
      </c>
      <c r="Q621" s="387"/>
      <c r="R621" s="387">
        <f>'Portefeuille SP2'!N646</f>
        <v>0</v>
      </c>
      <c r="S621" s="387"/>
      <c r="T621" s="382">
        <f>'Portefeuille SP2'!R646</f>
        <v>0</v>
      </c>
      <c r="U621" s="387">
        <f>'Portefeuille SP2'!K646</f>
        <v>0</v>
      </c>
      <c r="V621" s="399">
        <f>'Portefeuille SP2'!S646</f>
        <v>0</v>
      </c>
      <c r="W621" s="387"/>
      <c r="X621" s="387"/>
      <c r="Y621" s="387"/>
      <c r="Z621" s="387"/>
      <c r="AA621" s="387"/>
      <c r="AB621" s="387"/>
      <c r="AC621" s="387"/>
      <c r="AD621" s="387"/>
      <c r="AE621" s="400">
        <f>'Portefeuille SP2'!J646</f>
        <v>0</v>
      </c>
      <c r="AF621" s="387"/>
      <c r="AG621" s="387"/>
      <c r="AH621" s="389"/>
      <c r="AI621" s="389"/>
      <c r="AJ621" s="403">
        <f>'Portefeuille SP2'!V646</f>
        <v>0</v>
      </c>
      <c r="AK621" s="403">
        <f>'Portefeuille SP2'!W646</f>
        <v>0</v>
      </c>
      <c r="AL621" s="403">
        <f>'Portefeuille SP2'!X646</f>
        <v>0</v>
      </c>
      <c r="AM621" s="403">
        <f>'Portefeuille SP2'!Y646</f>
        <v>0</v>
      </c>
      <c r="AN621" s="403">
        <f>'Portefeuille SP2'!Z646</f>
        <v>0</v>
      </c>
      <c r="AO621" s="403">
        <f>'Portefeuille SP2'!AA646</f>
        <v>0</v>
      </c>
      <c r="AP621" s="403">
        <f>'Portefeuille SP2'!AB646</f>
        <v>0</v>
      </c>
      <c r="AQ621" s="403">
        <f>'Portefeuille SP2'!AC646</f>
        <v>0</v>
      </c>
      <c r="AR621" s="403">
        <f>'Portefeuille SP2'!AD646</f>
        <v>0</v>
      </c>
      <c r="AS621" s="403">
        <f>'Portefeuille SP2'!AE646</f>
        <v>0</v>
      </c>
      <c r="AT621" s="403">
        <f>'Portefeuille SP2'!AF646</f>
        <v>0</v>
      </c>
      <c r="AU621" s="403">
        <f>'Portefeuille SP2'!AG646</f>
        <v>0</v>
      </c>
      <c r="AV621" s="403">
        <f>'Portefeuille SP2'!AH646</f>
        <v>0</v>
      </c>
      <c r="AW621" s="403">
        <f>'Portefeuille SP2'!AI646</f>
        <v>0</v>
      </c>
      <c r="AX621" s="403">
        <f>'Portefeuille SP2'!AJ646</f>
        <v>0</v>
      </c>
      <c r="AY621" s="403">
        <f>'Portefeuille SP2'!AK646</f>
        <v>0</v>
      </c>
      <c r="AZ621" s="403">
        <f>'Portefeuille SP2'!AL646</f>
        <v>0</v>
      </c>
      <c r="BA621" s="403">
        <f>'Portefeuille SP2'!AM646</f>
        <v>0</v>
      </c>
      <c r="BB621" s="403">
        <f>'Portefeuille SP2'!AN646</f>
        <v>0</v>
      </c>
      <c r="BC621" s="403">
        <f>'Portefeuille SP2'!AO646</f>
        <v>0</v>
      </c>
      <c r="BD621" s="403">
        <f>'Portefeuille SP2'!AP646</f>
        <v>0</v>
      </c>
      <c r="BE621" s="403">
        <f>'Portefeuille SP2'!AQ646</f>
        <v>0</v>
      </c>
      <c r="BF621" s="403">
        <f>'Portefeuille SP2'!AR646</f>
        <v>0</v>
      </c>
      <c r="BG621" s="403" t="e">
        <f>'Portefeuille SP2'!#REF!</f>
        <v>#REF!</v>
      </c>
      <c r="BH621" s="403" t="e">
        <f>'Portefeuille SP2'!#REF!</f>
        <v>#REF!</v>
      </c>
      <c r="BI621" s="403" t="e">
        <f>'Portefeuille SP2'!#REF!</f>
        <v>#REF!</v>
      </c>
      <c r="BJ621" s="403" t="e">
        <f>'Portefeuille SP2'!#REF!</f>
        <v>#REF!</v>
      </c>
      <c r="BK621" s="403" t="e">
        <f>'Portefeuille SP2'!#REF!</f>
        <v>#REF!</v>
      </c>
      <c r="BL621" s="388"/>
      <c r="BM621" s="404">
        <f>'Portefeuille SP2'!L646</f>
        <v>0</v>
      </c>
    </row>
    <row r="622" spans="1:65" ht="15" customHeight="1">
      <c r="A622" s="383">
        <f>'Portefeuille SP2'!B647</f>
        <v>0</v>
      </c>
      <c r="B622" s="390">
        <f>'Portefeuille SP2'!Q647</f>
        <v>0</v>
      </c>
      <c r="C622" s="384"/>
      <c r="D622" s="382">
        <f>'Portefeuille SP2'!E647</f>
        <v>0</v>
      </c>
      <c r="E622" s="382" t="str">
        <f t="shared" si="39"/>
        <v>0</v>
      </c>
      <c r="F622" s="382" t="str">
        <f t="shared" si="40"/>
        <v/>
      </c>
      <c r="G622" s="382">
        <f>'Portefeuille SP2'!C647</f>
        <v>0</v>
      </c>
      <c r="H622" s="382">
        <f>'Portefeuille SP2'!F647</f>
        <v>0</v>
      </c>
      <c r="I622" s="382"/>
      <c r="J622" s="382">
        <f>'Portefeuille SP2'!D647</f>
        <v>0</v>
      </c>
      <c r="K622" s="385">
        <f>'Portefeuille SP2'!H647</f>
        <v>0</v>
      </c>
      <c r="L622" s="157">
        <f>'Portefeuille SP2'!U647</f>
        <v>0</v>
      </c>
      <c r="M622" s="386"/>
      <c r="N622" s="386"/>
      <c r="O622" s="386"/>
      <c r="P622" s="387">
        <f>'Portefeuille SP2'!M647</f>
        <v>0</v>
      </c>
      <c r="Q622" s="387"/>
      <c r="R622" s="387">
        <f>'Portefeuille SP2'!N647</f>
        <v>0</v>
      </c>
      <c r="S622" s="387"/>
      <c r="T622" s="382">
        <f>'Portefeuille SP2'!R647</f>
        <v>0</v>
      </c>
      <c r="U622" s="387">
        <f>'Portefeuille SP2'!K647</f>
        <v>0</v>
      </c>
      <c r="V622" s="399">
        <f>'Portefeuille SP2'!S647</f>
        <v>0</v>
      </c>
      <c r="W622" s="387"/>
      <c r="X622" s="387"/>
      <c r="Y622" s="387"/>
      <c r="Z622" s="387"/>
      <c r="AA622" s="387"/>
      <c r="AB622" s="387"/>
      <c r="AC622" s="387"/>
      <c r="AD622" s="387"/>
      <c r="AE622" s="400">
        <f>'Portefeuille SP2'!J647</f>
        <v>0</v>
      </c>
      <c r="AF622" s="387"/>
      <c r="AG622" s="387"/>
      <c r="AH622" s="389"/>
      <c r="AI622" s="389"/>
      <c r="AJ622" s="403">
        <f>'Portefeuille SP2'!V647</f>
        <v>0</v>
      </c>
      <c r="AK622" s="403">
        <f>'Portefeuille SP2'!W647</f>
        <v>0</v>
      </c>
      <c r="AL622" s="403">
        <f>'Portefeuille SP2'!X647</f>
        <v>0</v>
      </c>
      <c r="AM622" s="403">
        <f>'Portefeuille SP2'!Y647</f>
        <v>0</v>
      </c>
      <c r="AN622" s="403">
        <f>'Portefeuille SP2'!Z647</f>
        <v>0</v>
      </c>
      <c r="AO622" s="403">
        <f>'Portefeuille SP2'!AA647</f>
        <v>0</v>
      </c>
      <c r="AP622" s="403">
        <f>'Portefeuille SP2'!AB647</f>
        <v>0</v>
      </c>
      <c r="AQ622" s="403">
        <f>'Portefeuille SP2'!AC647</f>
        <v>0</v>
      </c>
      <c r="AR622" s="403">
        <f>'Portefeuille SP2'!AD647</f>
        <v>0</v>
      </c>
      <c r="AS622" s="403">
        <f>'Portefeuille SP2'!AE647</f>
        <v>0</v>
      </c>
      <c r="AT622" s="403">
        <f>'Portefeuille SP2'!AF647</f>
        <v>0</v>
      </c>
      <c r="AU622" s="403">
        <f>'Portefeuille SP2'!AG647</f>
        <v>0</v>
      </c>
      <c r="AV622" s="403">
        <f>'Portefeuille SP2'!AH647</f>
        <v>0</v>
      </c>
      <c r="AW622" s="403">
        <f>'Portefeuille SP2'!AI647</f>
        <v>0</v>
      </c>
      <c r="AX622" s="403">
        <f>'Portefeuille SP2'!AJ647</f>
        <v>0</v>
      </c>
      <c r="AY622" s="403">
        <f>'Portefeuille SP2'!AK647</f>
        <v>0</v>
      </c>
      <c r="AZ622" s="403">
        <f>'Portefeuille SP2'!AL647</f>
        <v>0</v>
      </c>
      <c r="BA622" s="403">
        <f>'Portefeuille SP2'!AM647</f>
        <v>0</v>
      </c>
      <c r="BB622" s="403">
        <f>'Portefeuille SP2'!AN647</f>
        <v>0</v>
      </c>
      <c r="BC622" s="403">
        <f>'Portefeuille SP2'!AO647</f>
        <v>0</v>
      </c>
      <c r="BD622" s="403">
        <f>'Portefeuille SP2'!AP647</f>
        <v>0</v>
      </c>
      <c r="BE622" s="403">
        <f>'Portefeuille SP2'!AQ647</f>
        <v>0</v>
      </c>
      <c r="BF622" s="403">
        <f>'Portefeuille SP2'!AR647</f>
        <v>0</v>
      </c>
      <c r="BG622" s="403" t="e">
        <f>'Portefeuille SP2'!#REF!</f>
        <v>#REF!</v>
      </c>
      <c r="BH622" s="403" t="e">
        <f>'Portefeuille SP2'!#REF!</f>
        <v>#REF!</v>
      </c>
      <c r="BI622" s="403" t="e">
        <f>'Portefeuille SP2'!#REF!</f>
        <v>#REF!</v>
      </c>
      <c r="BJ622" s="403" t="e">
        <f>'Portefeuille SP2'!#REF!</f>
        <v>#REF!</v>
      </c>
      <c r="BK622" s="403" t="e">
        <f>'Portefeuille SP2'!#REF!</f>
        <v>#REF!</v>
      </c>
      <c r="BL622" s="388"/>
      <c r="BM622" s="404">
        <f>'Portefeuille SP2'!L647</f>
        <v>0</v>
      </c>
    </row>
    <row r="623" spans="1:65" ht="15" customHeight="1">
      <c r="A623" s="383">
        <f>'Portefeuille SP2'!B648</f>
        <v>0</v>
      </c>
      <c r="B623" s="390">
        <f>'Portefeuille SP2'!Q648</f>
        <v>0</v>
      </c>
      <c r="C623" s="384"/>
      <c r="D623" s="382">
        <f>'Portefeuille SP2'!E648</f>
        <v>0</v>
      </c>
      <c r="E623" s="382" t="str">
        <f t="shared" si="39"/>
        <v>0</v>
      </c>
      <c r="F623" s="382" t="str">
        <f t="shared" si="40"/>
        <v/>
      </c>
      <c r="G623" s="382">
        <f>'Portefeuille SP2'!C648</f>
        <v>0</v>
      </c>
      <c r="H623" s="382">
        <f>'Portefeuille SP2'!F648</f>
        <v>0</v>
      </c>
      <c r="I623" s="382"/>
      <c r="J623" s="382">
        <f>'Portefeuille SP2'!D648</f>
        <v>0</v>
      </c>
      <c r="K623" s="385">
        <f>'Portefeuille SP2'!H648</f>
        <v>0</v>
      </c>
      <c r="L623" s="157">
        <f>'Portefeuille SP2'!U648</f>
        <v>0</v>
      </c>
      <c r="M623" s="386"/>
      <c r="N623" s="386"/>
      <c r="O623" s="386"/>
      <c r="P623" s="387">
        <f>'Portefeuille SP2'!M648</f>
        <v>0</v>
      </c>
      <c r="Q623" s="387"/>
      <c r="R623" s="387">
        <f>'Portefeuille SP2'!N648</f>
        <v>0</v>
      </c>
      <c r="S623" s="387"/>
      <c r="T623" s="382">
        <f>'Portefeuille SP2'!R648</f>
        <v>0</v>
      </c>
      <c r="U623" s="387">
        <f>'Portefeuille SP2'!K648</f>
        <v>0</v>
      </c>
      <c r="V623" s="399">
        <f>'Portefeuille SP2'!S648</f>
        <v>0</v>
      </c>
      <c r="W623" s="387"/>
      <c r="X623" s="387"/>
      <c r="Y623" s="387"/>
      <c r="Z623" s="387"/>
      <c r="AA623" s="387"/>
      <c r="AB623" s="387"/>
      <c r="AC623" s="387"/>
      <c r="AD623" s="387"/>
      <c r="AE623" s="400">
        <f>'Portefeuille SP2'!J648</f>
        <v>0</v>
      </c>
      <c r="AF623" s="387"/>
      <c r="AG623" s="387"/>
      <c r="AH623" s="389"/>
      <c r="AI623" s="389"/>
      <c r="AJ623" s="403">
        <f>'Portefeuille SP2'!V648</f>
        <v>0</v>
      </c>
      <c r="AK623" s="403">
        <f>'Portefeuille SP2'!W648</f>
        <v>0</v>
      </c>
      <c r="AL623" s="403">
        <f>'Portefeuille SP2'!X648</f>
        <v>0</v>
      </c>
      <c r="AM623" s="403">
        <f>'Portefeuille SP2'!Y648</f>
        <v>0</v>
      </c>
      <c r="AN623" s="403">
        <f>'Portefeuille SP2'!Z648</f>
        <v>0</v>
      </c>
      <c r="AO623" s="403">
        <f>'Portefeuille SP2'!AA648</f>
        <v>0</v>
      </c>
      <c r="AP623" s="403">
        <f>'Portefeuille SP2'!AB648</f>
        <v>0</v>
      </c>
      <c r="AQ623" s="403">
        <f>'Portefeuille SP2'!AC648</f>
        <v>0</v>
      </c>
      <c r="AR623" s="403">
        <f>'Portefeuille SP2'!AD648</f>
        <v>0</v>
      </c>
      <c r="AS623" s="403">
        <f>'Portefeuille SP2'!AE648</f>
        <v>0</v>
      </c>
      <c r="AT623" s="403">
        <f>'Portefeuille SP2'!AF648</f>
        <v>0</v>
      </c>
      <c r="AU623" s="403">
        <f>'Portefeuille SP2'!AG648</f>
        <v>0</v>
      </c>
      <c r="AV623" s="403">
        <f>'Portefeuille SP2'!AH648</f>
        <v>0</v>
      </c>
      <c r="AW623" s="403">
        <f>'Portefeuille SP2'!AI648</f>
        <v>0</v>
      </c>
      <c r="AX623" s="403">
        <f>'Portefeuille SP2'!AJ648</f>
        <v>0</v>
      </c>
      <c r="AY623" s="403">
        <f>'Portefeuille SP2'!AK648</f>
        <v>0</v>
      </c>
      <c r="AZ623" s="403">
        <f>'Portefeuille SP2'!AL648</f>
        <v>0</v>
      </c>
      <c r="BA623" s="403">
        <f>'Portefeuille SP2'!AM648</f>
        <v>0</v>
      </c>
      <c r="BB623" s="403">
        <f>'Portefeuille SP2'!AN648</f>
        <v>0</v>
      </c>
      <c r="BC623" s="403">
        <f>'Portefeuille SP2'!AO648</f>
        <v>0</v>
      </c>
      <c r="BD623" s="403">
        <f>'Portefeuille SP2'!AP648</f>
        <v>0</v>
      </c>
      <c r="BE623" s="403">
        <f>'Portefeuille SP2'!AQ648</f>
        <v>0</v>
      </c>
      <c r="BF623" s="403">
        <f>'Portefeuille SP2'!AR648</f>
        <v>0</v>
      </c>
      <c r="BG623" s="403" t="e">
        <f>'Portefeuille SP2'!#REF!</f>
        <v>#REF!</v>
      </c>
      <c r="BH623" s="403" t="e">
        <f>'Portefeuille SP2'!#REF!</f>
        <v>#REF!</v>
      </c>
      <c r="BI623" s="403" t="e">
        <f>'Portefeuille SP2'!#REF!</f>
        <v>#REF!</v>
      </c>
      <c r="BJ623" s="403" t="e">
        <f>'Portefeuille SP2'!#REF!</f>
        <v>#REF!</v>
      </c>
      <c r="BK623" s="403" t="e">
        <f>'Portefeuille SP2'!#REF!</f>
        <v>#REF!</v>
      </c>
      <c r="BL623" s="388"/>
      <c r="BM623" s="404">
        <f>'Portefeuille SP2'!L648</f>
        <v>0</v>
      </c>
    </row>
    <row r="624" spans="1:65" ht="15" customHeight="1">
      <c r="A624" s="383">
        <f>'Portefeuille SP2'!B649</f>
        <v>0</v>
      </c>
      <c r="B624" s="390">
        <f>'Portefeuille SP2'!Q649</f>
        <v>0</v>
      </c>
      <c r="C624" s="384"/>
      <c r="D624" s="382">
        <f>'Portefeuille SP2'!E649</f>
        <v>0</v>
      </c>
      <c r="E624" s="382" t="str">
        <f t="shared" si="39"/>
        <v>0</v>
      </c>
      <c r="F624" s="382" t="str">
        <f t="shared" si="40"/>
        <v/>
      </c>
      <c r="G624" s="382">
        <f>'Portefeuille SP2'!C649</f>
        <v>0</v>
      </c>
      <c r="H624" s="382">
        <f>'Portefeuille SP2'!F649</f>
        <v>0</v>
      </c>
      <c r="I624" s="382"/>
      <c r="J624" s="382">
        <f>'Portefeuille SP2'!D649</f>
        <v>0</v>
      </c>
      <c r="K624" s="385">
        <f>'Portefeuille SP2'!H649</f>
        <v>0</v>
      </c>
      <c r="L624" s="157">
        <f>'Portefeuille SP2'!U649</f>
        <v>0</v>
      </c>
      <c r="M624" s="386"/>
      <c r="N624" s="386"/>
      <c r="O624" s="386"/>
      <c r="P624" s="387">
        <f>'Portefeuille SP2'!M649</f>
        <v>0</v>
      </c>
      <c r="Q624" s="387"/>
      <c r="R624" s="387">
        <f>'Portefeuille SP2'!N649</f>
        <v>0</v>
      </c>
      <c r="S624" s="387"/>
      <c r="T624" s="382">
        <f>'Portefeuille SP2'!R649</f>
        <v>0</v>
      </c>
      <c r="U624" s="387">
        <f>'Portefeuille SP2'!K649</f>
        <v>0</v>
      </c>
      <c r="V624" s="399">
        <f>'Portefeuille SP2'!S649</f>
        <v>0</v>
      </c>
      <c r="W624" s="387"/>
      <c r="X624" s="387"/>
      <c r="Y624" s="387"/>
      <c r="Z624" s="387"/>
      <c r="AA624" s="387"/>
      <c r="AB624" s="387"/>
      <c r="AC624" s="387"/>
      <c r="AD624" s="387"/>
      <c r="AE624" s="400">
        <f>'Portefeuille SP2'!J649</f>
        <v>0</v>
      </c>
      <c r="AF624" s="387"/>
      <c r="AG624" s="387"/>
      <c r="AH624" s="389"/>
      <c r="AI624" s="389"/>
      <c r="AJ624" s="403">
        <f>'Portefeuille SP2'!V649</f>
        <v>0</v>
      </c>
      <c r="AK624" s="403">
        <f>'Portefeuille SP2'!W649</f>
        <v>0</v>
      </c>
      <c r="AL624" s="403">
        <f>'Portefeuille SP2'!X649</f>
        <v>0</v>
      </c>
      <c r="AM624" s="403">
        <f>'Portefeuille SP2'!Y649</f>
        <v>0</v>
      </c>
      <c r="AN624" s="403">
        <f>'Portefeuille SP2'!Z649</f>
        <v>0</v>
      </c>
      <c r="AO624" s="403">
        <f>'Portefeuille SP2'!AA649</f>
        <v>0</v>
      </c>
      <c r="AP624" s="403">
        <f>'Portefeuille SP2'!AB649</f>
        <v>0</v>
      </c>
      <c r="AQ624" s="403">
        <f>'Portefeuille SP2'!AC649</f>
        <v>0</v>
      </c>
      <c r="AR624" s="403">
        <f>'Portefeuille SP2'!AD649</f>
        <v>0</v>
      </c>
      <c r="AS624" s="403">
        <f>'Portefeuille SP2'!AE649</f>
        <v>0</v>
      </c>
      <c r="AT624" s="403">
        <f>'Portefeuille SP2'!AF649</f>
        <v>0</v>
      </c>
      <c r="AU624" s="403">
        <f>'Portefeuille SP2'!AG649</f>
        <v>0</v>
      </c>
      <c r="AV624" s="403">
        <f>'Portefeuille SP2'!AH649</f>
        <v>0</v>
      </c>
      <c r="AW624" s="403">
        <f>'Portefeuille SP2'!AI649</f>
        <v>0</v>
      </c>
      <c r="AX624" s="403">
        <f>'Portefeuille SP2'!AJ649</f>
        <v>0</v>
      </c>
      <c r="AY624" s="403">
        <f>'Portefeuille SP2'!AK649</f>
        <v>0</v>
      </c>
      <c r="AZ624" s="403">
        <f>'Portefeuille SP2'!AL649</f>
        <v>0</v>
      </c>
      <c r="BA624" s="403">
        <f>'Portefeuille SP2'!AM649</f>
        <v>0</v>
      </c>
      <c r="BB624" s="403">
        <f>'Portefeuille SP2'!AN649</f>
        <v>0</v>
      </c>
      <c r="BC624" s="403">
        <f>'Portefeuille SP2'!AO649</f>
        <v>0</v>
      </c>
      <c r="BD624" s="403">
        <f>'Portefeuille SP2'!AP649</f>
        <v>0</v>
      </c>
      <c r="BE624" s="403">
        <f>'Portefeuille SP2'!AQ649</f>
        <v>0</v>
      </c>
      <c r="BF624" s="403">
        <f>'Portefeuille SP2'!AR649</f>
        <v>0</v>
      </c>
      <c r="BG624" s="403" t="e">
        <f>'Portefeuille SP2'!#REF!</f>
        <v>#REF!</v>
      </c>
      <c r="BH624" s="403" t="e">
        <f>'Portefeuille SP2'!#REF!</f>
        <v>#REF!</v>
      </c>
      <c r="BI624" s="403" t="e">
        <f>'Portefeuille SP2'!#REF!</f>
        <v>#REF!</v>
      </c>
      <c r="BJ624" s="403" t="e">
        <f>'Portefeuille SP2'!#REF!</f>
        <v>#REF!</v>
      </c>
      <c r="BK624" s="403" t="e">
        <f>'Portefeuille SP2'!#REF!</f>
        <v>#REF!</v>
      </c>
      <c r="BL624" s="388"/>
      <c r="BM624" s="404">
        <f>'Portefeuille SP2'!L649</f>
        <v>0</v>
      </c>
    </row>
    <row r="625" spans="1:65" ht="15" customHeight="1">
      <c r="A625" s="383">
        <f>'Portefeuille SP2'!B650</f>
        <v>0</v>
      </c>
      <c r="B625" s="390">
        <f>'Portefeuille SP2'!Q650</f>
        <v>0</v>
      </c>
      <c r="C625" s="384"/>
      <c r="D625" s="382">
        <f>'Portefeuille SP2'!E650</f>
        <v>0</v>
      </c>
      <c r="E625" s="382" t="str">
        <f t="shared" si="39"/>
        <v>0</v>
      </c>
      <c r="F625" s="382" t="str">
        <f t="shared" si="40"/>
        <v/>
      </c>
      <c r="G625" s="382">
        <f>'Portefeuille SP2'!C650</f>
        <v>0</v>
      </c>
      <c r="H625" s="382">
        <f>'Portefeuille SP2'!F650</f>
        <v>0</v>
      </c>
      <c r="I625" s="382"/>
      <c r="J625" s="382">
        <f>'Portefeuille SP2'!D650</f>
        <v>0</v>
      </c>
      <c r="K625" s="385">
        <f>'Portefeuille SP2'!H650</f>
        <v>0</v>
      </c>
      <c r="L625" s="157">
        <f>'Portefeuille SP2'!U650</f>
        <v>0</v>
      </c>
      <c r="M625" s="386"/>
      <c r="N625" s="386"/>
      <c r="O625" s="386"/>
      <c r="P625" s="387">
        <f>'Portefeuille SP2'!M650</f>
        <v>0</v>
      </c>
      <c r="Q625" s="387"/>
      <c r="R625" s="387">
        <f>'Portefeuille SP2'!N650</f>
        <v>0</v>
      </c>
      <c r="S625" s="387"/>
      <c r="T625" s="382">
        <f>'Portefeuille SP2'!R650</f>
        <v>0</v>
      </c>
      <c r="U625" s="387">
        <f>'Portefeuille SP2'!K650</f>
        <v>0</v>
      </c>
      <c r="V625" s="399">
        <f>'Portefeuille SP2'!S650</f>
        <v>0</v>
      </c>
      <c r="W625" s="387"/>
      <c r="X625" s="387"/>
      <c r="Y625" s="387"/>
      <c r="Z625" s="387"/>
      <c r="AA625" s="387"/>
      <c r="AB625" s="387"/>
      <c r="AC625" s="387"/>
      <c r="AD625" s="387"/>
      <c r="AE625" s="400">
        <f>'Portefeuille SP2'!J650</f>
        <v>0</v>
      </c>
      <c r="AF625" s="387"/>
      <c r="AG625" s="387"/>
      <c r="AH625" s="389"/>
      <c r="AI625" s="389"/>
      <c r="AJ625" s="403">
        <f>'Portefeuille SP2'!V650</f>
        <v>0</v>
      </c>
      <c r="AK625" s="403">
        <f>'Portefeuille SP2'!W650</f>
        <v>0</v>
      </c>
      <c r="AL625" s="403">
        <f>'Portefeuille SP2'!X650</f>
        <v>0</v>
      </c>
      <c r="AM625" s="403">
        <f>'Portefeuille SP2'!Y650</f>
        <v>0</v>
      </c>
      <c r="AN625" s="403">
        <f>'Portefeuille SP2'!Z650</f>
        <v>0</v>
      </c>
      <c r="AO625" s="403">
        <f>'Portefeuille SP2'!AA650</f>
        <v>0</v>
      </c>
      <c r="AP625" s="403">
        <f>'Portefeuille SP2'!AB650</f>
        <v>0</v>
      </c>
      <c r="AQ625" s="403">
        <f>'Portefeuille SP2'!AC650</f>
        <v>0</v>
      </c>
      <c r="AR625" s="403">
        <f>'Portefeuille SP2'!AD650</f>
        <v>0</v>
      </c>
      <c r="AS625" s="403">
        <f>'Portefeuille SP2'!AE650</f>
        <v>0</v>
      </c>
      <c r="AT625" s="403">
        <f>'Portefeuille SP2'!AF650</f>
        <v>0</v>
      </c>
      <c r="AU625" s="403">
        <f>'Portefeuille SP2'!AG650</f>
        <v>0</v>
      </c>
      <c r="AV625" s="403">
        <f>'Portefeuille SP2'!AH650</f>
        <v>0</v>
      </c>
      <c r="AW625" s="403">
        <f>'Portefeuille SP2'!AI650</f>
        <v>0</v>
      </c>
      <c r="AX625" s="403">
        <f>'Portefeuille SP2'!AJ650</f>
        <v>0</v>
      </c>
      <c r="AY625" s="403">
        <f>'Portefeuille SP2'!AK650</f>
        <v>0</v>
      </c>
      <c r="AZ625" s="403">
        <f>'Portefeuille SP2'!AL650</f>
        <v>0</v>
      </c>
      <c r="BA625" s="403">
        <f>'Portefeuille SP2'!AM650</f>
        <v>0</v>
      </c>
      <c r="BB625" s="403">
        <f>'Portefeuille SP2'!AN650</f>
        <v>0</v>
      </c>
      <c r="BC625" s="403">
        <f>'Portefeuille SP2'!AO650</f>
        <v>0</v>
      </c>
      <c r="BD625" s="403">
        <f>'Portefeuille SP2'!AP650</f>
        <v>0</v>
      </c>
      <c r="BE625" s="403">
        <f>'Portefeuille SP2'!AQ650</f>
        <v>0</v>
      </c>
      <c r="BF625" s="403">
        <f>'Portefeuille SP2'!AR650</f>
        <v>0</v>
      </c>
      <c r="BG625" s="403" t="e">
        <f>'Portefeuille SP2'!#REF!</f>
        <v>#REF!</v>
      </c>
      <c r="BH625" s="403" t="e">
        <f>'Portefeuille SP2'!#REF!</f>
        <v>#REF!</v>
      </c>
      <c r="BI625" s="403" t="e">
        <f>'Portefeuille SP2'!#REF!</f>
        <v>#REF!</v>
      </c>
      <c r="BJ625" s="403" t="e">
        <f>'Portefeuille SP2'!#REF!</f>
        <v>#REF!</v>
      </c>
      <c r="BK625" s="403" t="e">
        <f>'Portefeuille SP2'!#REF!</f>
        <v>#REF!</v>
      </c>
      <c r="BL625" s="388"/>
      <c r="BM625" s="404">
        <f>'Portefeuille SP2'!L650</f>
        <v>0</v>
      </c>
    </row>
    <row r="626" spans="1:65" ht="15" customHeight="1">
      <c r="A626" s="383">
        <f>'Portefeuille SP2'!B651</f>
        <v>0</v>
      </c>
      <c r="B626" s="390">
        <f>'Portefeuille SP2'!Q651</f>
        <v>0</v>
      </c>
      <c r="C626" s="384"/>
      <c r="D626" s="382">
        <f>'Portefeuille SP2'!E651</f>
        <v>0</v>
      </c>
      <c r="E626" s="382" t="str">
        <f t="shared" si="39"/>
        <v>0</v>
      </c>
      <c r="F626" s="382" t="str">
        <f t="shared" si="40"/>
        <v/>
      </c>
      <c r="G626" s="382">
        <f>'Portefeuille SP2'!C651</f>
        <v>0</v>
      </c>
      <c r="H626" s="382">
        <f>'Portefeuille SP2'!F651</f>
        <v>0</v>
      </c>
      <c r="I626" s="382"/>
      <c r="J626" s="382">
        <f>'Portefeuille SP2'!D651</f>
        <v>0</v>
      </c>
      <c r="K626" s="385">
        <f>'Portefeuille SP2'!H651</f>
        <v>0</v>
      </c>
      <c r="L626" s="157">
        <f>'Portefeuille SP2'!U651</f>
        <v>0</v>
      </c>
      <c r="M626" s="386"/>
      <c r="N626" s="386"/>
      <c r="O626" s="386"/>
      <c r="P626" s="387">
        <f>'Portefeuille SP2'!M651</f>
        <v>0</v>
      </c>
      <c r="Q626" s="387"/>
      <c r="R626" s="387">
        <f>'Portefeuille SP2'!N651</f>
        <v>0</v>
      </c>
      <c r="S626" s="387"/>
      <c r="T626" s="382">
        <f>'Portefeuille SP2'!R651</f>
        <v>0</v>
      </c>
      <c r="U626" s="387">
        <f>'Portefeuille SP2'!K651</f>
        <v>0</v>
      </c>
      <c r="V626" s="399">
        <f>'Portefeuille SP2'!S651</f>
        <v>0</v>
      </c>
      <c r="W626" s="387"/>
      <c r="X626" s="387"/>
      <c r="Y626" s="387"/>
      <c r="Z626" s="387"/>
      <c r="AA626" s="387"/>
      <c r="AB626" s="387"/>
      <c r="AC626" s="387"/>
      <c r="AD626" s="387"/>
      <c r="AE626" s="400">
        <f>'Portefeuille SP2'!J651</f>
        <v>0</v>
      </c>
      <c r="AF626" s="387"/>
      <c r="AG626" s="387"/>
      <c r="AH626" s="389"/>
      <c r="AI626" s="389"/>
      <c r="AJ626" s="403">
        <f>'Portefeuille SP2'!V651</f>
        <v>0</v>
      </c>
      <c r="AK626" s="403">
        <f>'Portefeuille SP2'!W651</f>
        <v>0</v>
      </c>
      <c r="AL626" s="403">
        <f>'Portefeuille SP2'!X651</f>
        <v>0</v>
      </c>
      <c r="AM626" s="403">
        <f>'Portefeuille SP2'!Y651</f>
        <v>0</v>
      </c>
      <c r="AN626" s="403">
        <f>'Portefeuille SP2'!Z651</f>
        <v>0</v>
      </c>
      <c r="AO626" s="403">
        <f>'Portefeuille SP2'!AA651</f>
        <v>0</v>
      </c>
      <c r="AP626" s="403">
        <f>'Portefeuille SP2'!AB651</f>
        <v>0</v>
      </c>
      <c r="AQ626" s="403">
        <f>'Portefeuille SP2'!AC651</f>
        <v>0</v>
      </c>
      <c r="AR626" s="403">
        <f>'Portefeuille SP2'!AD651</f>
        <v>0</v>
      </c>
      <c r="AS626" s="403">
        <f>'Portefeuille SP2'!AE651</f>
        <v>0</v>
      </c>
      <c r="AT626" s="403">
        <f>'Portefeuille SP2'!AF651</f>
        <v>0</v>
      </c>
      <c r="AU626" s="403">
        <f>'Portefeuille SP2'!AG651</f>
        <v>0</v>
      </c>
      <c r="AV626" s="403">
        <f>'Portefeuille SP2'!AH651</f>
        <v>0</v>
      </c>
      <c r="AW626" s="403">
        <f>'Portefeuille SP2'!AI651</f>
        <v>0</v>
      </c>
      <c r="AX626" s="403">
        <f>'Portefeuille SP2'!AJ651</f>
        <v>0</v>
      </c>
      <c r="AY626" s="403">
        <f>'Portefeuille SP2'!AK651</f>
        <v>0</v>
      </c>
      <c r="AZ626" s="403">
        <f>'Portefeuille SP2'!AL651</f>
        <v>0</v>
      </c>
      <c r="BA626" s="403">
        <f>'Portefeuille SP2'!AM651</f>
        <v>0</v>
      </c>
      <c r="BB626" s="403">
        <f>'Portefeuille SP2'!AN651</f>
        <v>0</v>
      </c>
      <c r="BC626" s="403">
        <f>'Portefeuille SP2'!AO651</f>
        <v>0</v>
      </c>
      <c r="BD626" s="403">
        <f>'Portefeuille SP2'!AP651</f>
        <v>0</v>
      </c>
      <c r="BE626" s="403">
        <f>'Portefeuille SP2'!AQ651</f>
        <v>0</v>
      </c>
      <c r="BF626" s="403">
        <f>'Portefeuille SP2'!AR651</f>
        <v>0</v>
      </c>
      <c r="BG626" s="403" t="e">
        <f>'Portefeuille SP2'!#REF!</f>
        <v>#REF!</v>
      </c>
      <c r="BH626" s="403" t="e">
        <f>'Portefeuille SP2'!#REF!</f>
        <v>#REF!</v>
      </c>
      <c r="BI626" s="403" t="e">
        <f>'Portefeuille SP2'!#REF!</f>
        <v>#REF!</v>
      </c>
      <c r="BJ626" s="403" t="e">
        <f>'Portefeuille SP2'!#REF!</f>
        <v>#REF!</v>
      </c>
      <c r="BK626" s="403" t="e">
        <f>'Portefeuille SP2'!#REF!</f>
        <v>#REF!</v>
      </c>
      <c r="BL626" s="388"/>
      <c r="BM626" s="404">
        <f>'Portefeuille SP2'!L651</f>
        <v>0</v>
      </c>
    </row>
    <row r="627" spans="1:65" ht="15" customHeight="1">
      <c r="A627" s="383">
        <f>'Portefeuille SP2'!B652</f>
        <v>0</v>
      </c>
      <c r="B627" s="390">
        <f>'Portefeuille SP2'!Q652</f>
        <v>0</v>
      </c>
      <c r="C627" s="384"/>
      <c r="D627" s="382">
        <f>'Portefeuille SP2'!E652</f>
        <v>0</v>
      </c>
      <c r="E627" s="382" t="str">
        <f t="shared" si="39"/>
        <v>0</v>
      </c>
      <c r="F627" s="382" t="str">
        <f t="shared" si="40"/>
        <v/>
      </c>
      <c r="G627" s="382">
        <f>'Portefeuille SP2'!C652</f>
        <v>0</v>
      </c>
      <c r="H627" s="382">
        <f>'Portefeuille SP2'!F652</f>
        <v>0</v>
      </c>
      <c r="I627" s="382"/>
      <c r="J627" s="382">
        <f>'Portefeuille SP2'!D652</f>
        <v>0</v>
      </c>
      <c r="K627" s="385">
        <f>'Portefeuille SP2'!H652</f>
        <v>0</v>
      </c>
      <c r="L627" s="157">
        <f>'Portefeuille SP2'!U652</f>
        <v>0</v>
      </c>
      <c r="M627" s="386"/>
      <c r="N627" s="386"/>
      <c r="O627" s="386"/>
      <c r="P627" s="387">
        <f>'Portefeuille SP2'!M652</f>
        <v>0</v>
      </c>
      <c r="Q627" s="387"/>
      <c r="R627" s="387">
        <f>'Portefeuille SP2'!N652</f>
        <v>0</v>
      </c>
      <c r="S627" s="387"/>
      <c r="T627" s="382">
        <f>'Portefeuille SP2'!R652</f>
        <v>0</v>
      </c>
      <c r="U627" s="387">
        <f>'Portefeuille SP2'!K652</f>
        <v>0</v>
      </c>
      <c r="V627" s="399">
        <f>'Portefeuille SP2'!S652</f>
        <v>0</v>
      </c>
      <c r="W627" s="387"/>
      <c r="X627" s="387"/>
      <c r="Y627" s="387"/>
      <c r="Z627" s="387"/>
      <c r="AA627" s="387"/>
      <c r="AB627" s="387"/>
      <c r="AC627" s="387"/>
      <c r="AD627" s="387"/>
      <c r="AE627" s="400">
        <f>'Portefeuille SP2'!J652</f>
        <v>0</v>
      </c>
      <c r="AF627" s="387"/>
      <c r="AG627" s="387"/>
      <c r="AH627" s="389"/>
      <c r="AI627" s="389"/>
      <c r="AJ627" s="403">
        <f>'Portefeuille SP2'!V652</f>
        <v>0</v>
      </c>
      <c r="AK627" s="403">
        <f>'Portefeuille SP2'!W652</f>
        <v>0</v>
      </c>
      <c r="AL627" s="403">
        <f>'Portefeuille SP2'!X652</f>
        <v>0</v>
      </c>
      <c r="AM627" s="403">
        <f>'Portefeuille SP2'!Y652</f>
        <v>0</v>
      </c>
      <c r="AN627" s="403">
        <f>'Portefeuille SP2'!Z652</f>
        <v>0</v>
      </c>
      <c r="AO627" s="403">
        <f>'Portefeuille SP2'!AA652</f>
        <v>0</v>
      </c>
      <c r="AP627" s="403">
        <f>'Portefeuille SP2'!AB652</f>
        <v>0</v>
      </c>
      <c r="AQ627" s="403">
        <f>'Portefeuille SP2'!AC652</f>
        <v>0</v>
      </c>
      <c r="AR627" s="403">
        <f>'Portefeuille SP2'!AD652</f>
        <v>0</v>
      </c>
      <c r="AS627" s="403">
        <f>'Portefeuille SP2'!AE652</f>
        <v>0</v>
      </c>
      <c r="AT627" s="403">
        <f>'Portefeuille SP2'!AF652</f>
        <v>0</v>
      </c>
      <c r="AU627" s="403">
        <f>'Portefeuille SP2'!AG652</f>
        <v>0</v>
      </c>
      <c r="AV627" s="403">
        <f>'Portefeuille SP2'!AH652</f>
        <v>0</v>
      </c>
      <c r="AW627" s="403">
        <f>'Portefeuille SP2'!AI652</f>
        <v>0</v>
      </c>
      <c r="AX627" s="403">
        <f>'Portefeuille SP2'!AJ652</f>
        <v>0</v>
      </c>
      <c r="AY627" s="403">
        <f>'Portefeuille SP2'!AK652</f>
        <v>0</v>
      </c>
      <c r="AZ627" s="403">
        <f>'Portefeuille SP2'!AL652</f>
        <v>0</v>
      </c>
      <c r="BA627" s="403">
        <f>'Portefeuille SP2'!AM652</f>
        <v>0</v>
      </c>
      <c r="BB627" s="403">
        <f>'Portefeuille SP2'!AN652</f>
        <v>0</v>
      </c>
      <c r="BC627" s="403">
        <f>'Portefeuille SP2'!AO652</f>
        <v>0</v>
      </c>
      <c r="BD627" s="403">
        <f>'Portefeuille SP2'!AP652</f>
        <v>0</v>
      </c>
      <c r="BE627" s="403">
        <f>'Portefeuille SP2'!AQ652</f>
        <v>0</v>
      </c>
      <c r="BF627" s="403">
        <f>'Portefeuille SP2'!AR652</f>
        <v>0</v>
      </c>
      <c r="BG627" s="403" t="e">
        <f>'Portefeuille SP2'!#REF!</f>
        <v>#REF!</v>
      </c>
      <c r="BH627" s="403" t="e">
        <f>'Portefeuille SP2'!#REF!</f>
        <v>#REF!</v>
      </c>
      <c r="BI627" s="403" t="e">
        <f>'Portefeuille SP2'!#REF!</f>
        <v>#REF!</v>
      </c>
      <c r="BJ627" s="403" t="e">
        <f>'Portefeuille SP2'!#REF!</f>
        <v>#REF!</v>
      </c>
      <c r="BK627" s="403" t="e">
        <f>'Portefeuille SP2'!#REF!</f>
        <v>#REF!</v>
      </c>
      <c r="BL627" s="388"/>
      <c r="BM627" s="404">
        <f>'Portefeuille SP2'!L652</f>
        <v>0</v>
      </c>
    </row>
    <row r="628" spans="1:65" ht="15" customHeight="1">
      <c r="A628" s="383">
        <f>'Portefeuille SP2'!B653</f>
        <v>0</v>
      </c>
      <c r="B628" s="390">
        <f>'Portefeuille SP2'!Q653</f>
        <v>0</v>
      </c>
      <c r="C628" s="384"/>
      <c r="D628" s="382">
        <f>'Portefeuille SP2'!E653</f>
        <v>0</v>
      </c>
      <c r="E628" s="382" t="str">
        <f t="shared" si="39"/>
        <v>0</v>
      </c>
      <c r="F628" s="382" t="str">
        <f t="shared" si="40"/>
        <v/>
      </c>
      <c r="G628" s="382">
        <f>'Portefeuille SP2'!C653</f>
        <v>0</v>
      </c>
      <c r="H628" s="382">
        <f>'Portefeuille SP2'!F653</f>
        <v>0</v>
      </c>
      <c r="I628" s="382"/>
      <c r="J628" s="382">
        <f>'Portefeuille SP2'!D653</f>
        <v>0</v>
      </c>
      <c r="K628" s="385">
        <f>'Portefeuille SP2'!H653</f>
        <v>0</v>
      </c>
      <c r="L628" s="157">
        <f>'Portefeuille SP2'!U653</f>
        <v>0</v>
      </c>
      <c r="M628" s="386"/>
      <c r="N628" s="386"/>
      <c r="O628" s="386"/>
      <c r="P628" s="387">
        <f>'Portefeuille SP2'!M653</f>
        <v>0</v>
      </c>
      <c r="Q628" s="387"/>
      <c r="R628" s="387">
        <f>'Portefeuille SP2'!N653</f>
        <v>0</v>
      </c>
      <c r="S628" s="387"/>
      <c r="T628" s="382">
        <f>'Portefeuille SP2'!R653</f>
        <v>0</v>
      </c>
      <c r="U628" s="387">
        <f>'Portefeuille SP2'!K653</f>
        <v>0</v>
      </c>
      <c r="V628" s="399">
        <f>'Portefeuille SP2'!S653</f>
        <v>0</v>
      </c>
      <c r="W628" s="387"/>
      <c r="X628" s="387"/>
      <c r="Y628" s="387"/>
      <c r="Z628" s="387"/>
      <c r="AA628" s="387"/>
      <c r="AB628" s="387"/>
      <c r="AC628" s="387"/>
      <c r="AD628" s="387"/>
      <c r="AE628" s="400">
        <f>'Portefeuille SP2'!J653</f>
        <v>0</v>
      </c>
      <c r="AF628" s="387"/>
      <c r="AG628" s="387"/>
      <c r="AH628" s="389"/>
      <c r="AI628" s="389"/>
      <c r="AJ628" s="403">
        <f>'Portefeuille SP2'!V653</f>
        <v>0</v>
      </c>
      <c r="AK628" s="403">
        <f>'Portefeuille SP2'!W653</f>
        <v>0</v>
      </c>
      <c r="AL628" s="403">
        <f>'Portefeuille SP2'!X653</f>
        <v>0</v>
      </c>
      <c r="AM628" s="403">
        <f>'Portefeuille SP2'!Y653</f>
        <v>0</v>
      </c>
      <c r="AN628" s="403">
        <f>'Portefeuille SP2'!Z653</f>
        <v>0</v>
      </c>
      <c r="AO628" s="403">
        <f>'Portefeuille SP2'!AA653</f>
        <v>0</v>
      </c>
      <c r="AP628" s="403">
        <f>'Portefeuille SP2'!AB653</f>
        <v>0</v>
      </c>
      <c r="AQ628" s="403">
        <f>'Portefeuille SP2'!AC653</f>
        <v>0</v>
      </c>
      <c r="AR628" s="403">
        <f>'Portefeuille SP2'!AD653</f>
        <v>0</v>
      </c>
      <c r="AS628" s="403">
        <f>'Portefeuille SP2'!AE653</f>
        <v>0</v>
      </c>
      <c r="AT628" s="403">
        <f>'Portefeuille SP2'!AF653</f>
        <v>0</v>
      </c>
      <c r="AU628" s="403">
        <f>'Portefeuille SP2'!AG653</f>
        <v>0</v>
      </c>
      <c r="AV628" s="403">
        <f>'Portefeuille SP2'!AH653</f>
        <v>0</v>
      </c>
      <c r="AW628" s="403">
        <f>'Portefeuille SP2'!AI653</f>
        <v>0</v>
      </c>
      <c r="AX628" s="403">
        <f>'Portefeuille SP2'!AJ653</f>
        <v>0</v>
      </c>
      <c r="AY628" s="403">
        <f>'Portefeuille SP2'!AK653</f>
        <v>0</v>
      </c>
      <c r="AZ628" s="403">
        <f>'Portefeuille SP2'!AL653</f>
        <v>0</v>
      </c>
      <c r="BA628" s="403">
        <f>'Portefeuille SP2'!AM653</f>
        <v>0</v>
      </c>
      <c r="BB628" s="403">
        <f>'Portefeuille SP2'!AN653</f>
        <v>0</v>
      </c>
      <c r="BC628" s="403">
        <f>'Portefeuille SP2'!AO653</f>
        <v>0</v>
      </c>
      <c r="BD628" s="403">
        <f>'Portefeuille SP2'!AP653</f>
        <v>0</v>
      </c>
      <c r="BE628" s="403">
        <f>'Portefeuille SP2'!AQ653</f>
        <v>0</v>
      </c>
      <c r="BF628" s="403">
        <f>'Portefeuille SP2'!AR653</f>
        <v>0</v>
      </c>
      <c r="BG628" s="403" t="e">
        <f>'Portefeuille SP2'!#REF!</f>
        <v>#REF!</v>
      </c>
      <c r="BH628" s="403" t="e">
        <f>'Portefeuille SP2'!#REF!</f>
        <v>#REF!</v>
      </c>
      <c r="BI628" s="403" t="e">
        <f>'Portefeuille SP2'!#REF!</f>
        <v>#REF!</v>
      </c>
      <c r="BJ628" s="403" t="e">
        <f>'Portefeuille SP2'!#REF!</f>
        <v>#REF!</v>
      </c>
      <c r="BK628" s="403" t="e">
        <f>'Portefeuille SP2'!#REF!</f>
        <v>#REF!</v>
      </c>
      <c r="BL628" s="388"/>
      <c r="BM628" s="404">
        <f>'Portefeuille SP2'!L653</f>
        <v>0</v>
      </c>
    </row>
    <row r="629" spans="1:65" ht="15" customHeight="1">
      <c r="A629" s="383">
        <f>'Portefeuille SP2'!B654</f>
        <v>0</v>
      </c>
      <c r="B629" s="390">
        <f>'Portefeuille SP2'!Q654</f>
        <v>0</v>
      </c>
      <c r="C629" s="384"/>
      <c r="D629" s="382">
        <f>'Portefeuille SP2'!E654</f>
        <v>0</v>
      </c>
      <c r="E629" s="382" t="str">
        <f t="shared" si="39"/>
        <v>0</v>
      </c>
      <c r="F629" s="382" t="str">
        <f t="shared" si="40"/>
        <v/>
      </c>
      <c r="G629" s="382">
        <f>'Portefeuille SP2'!C654</f>
        <v>0</v>
      </c>
      <c r="H629" s="382">
        <f>'Portefeuille SP2'!F654</f>
        <v>0</v>
      </c>
      <c r="I629" s="382"/>
      <c r="J629" s="382">
        <f>'Portefeuille SP2'!D654</f>
        <v>0</v>
      </c>
      <c r="K629" s="385">
        <f>'Portefeuille SP2'!H654</f>
        <v>0</v>
      </c>
      <c r="L629" s="157">
        <f>'Portefeuille SP2'!U654</f>
        <v>0</v>
      </c>
      <c r="M629" s="386"/>
      <c r="N629" s="386"/>
      <c r="O629" s="386"/>
      <c r="P629" s="387">
        <f>'Portefeuille SP2'!M654</f>
        <v>0</v>
      </c>
      <c r="Q629" s="387"/>
      <c r="R629" s="387">
        <f>'Portefeuille SP2'!N654</f>
        <v>0</v>
      </c>
      <c r="S629" s="387"/>
      <c r="T629" s="382">
        <f>'Portefeuille SP2'!R654</f>
        <v>0</v>
      </c>
      <c r="U629" s="387">
        <f>'Portefeuille SP2'!K654</f>
        <v>0</v>
      </c>
      <c r="V629" s="399">
        <f>'Portefeuille SP2'!S654</f>
        <v>0</v>
      </c>
      <c r="W629" s="387"/>
      <c r="X629" s="387"/>
      <c r="Y629" s="387"/>
      <c r="Z629" s="387"/>
      <c r="AA629" s="387"/>
      <c r="AB629" s="387"/>
      <c r="AC629" s="387"/>
      <c r="AD629" s="387"/>
      <c r="AE629" s="400">
        <f>'Portefeuille SP2'!J654</f>
        <v>0</v>
      </c>
      <c r="AF629" s="387"/>
      <c r="AG629" s="387"/>
      <c r="AH629" s="389"/>
      <c r="AI629" s="389"/>
      <c r="AJ629" s="403">
        <f>'Portefeuille SP2'!V654</f>
        <v>0</v>
      </c>
      <c r="AK629" s="403">
        <f>'Portefeuille SP2'!W654</f>
        <v>0</v>
      </c>
      <c r="AL629" s="403">
        <f>'Portefeuille SP2'!X654</f>
        <v>0</v>
      </c>
      <c r="AM629" s="403">
        <f>'Portefeuille SP2'!Y654</f>
        <v>0</v>
      </c>
      <c r="AN629" s="403">
        <f>'Portefeuille SP2'!Z654</f>
        <v>0</v>
      </c>
      <c r="AO629" s="403">
        <f>'Portefeuille SP2'!AA654</f>
        <v>0</v>
      </c>
      <c r="AP629" s="403">
        <f>'Portefeuille SP2'!AB654</f>
        <v>0</v>
      </c>
      <c r="AQ629" s="403">
        <f>'Portefeuille SP2'!AC654</f>
        <v>0</v>
      </c>
      <c r="AR629" s="403">
        <f>'Portefeuille SP2'!AD654</f>
        <v>0</v>
      </c>
      <c r="AS629" s="403">
        <f>'Portefeuille SP2'!AE654</f>
        <v>0</v>
      </c>
      <c r="AT629" s="403">
        <f>'Portefeuille SP2'!AF654</f>
        <v>0</v>
      </c>
      <c r="AU629" s="403">
        <f>'Portefeuille SP2'!AG654</f>
        <v>0</v>
      </c>
      <c r="AV629" s="403">
        <f>'Portefeuille SP2'!AH654</f>
        <v>0</v>
      </c>
      <c r="AW629" s="403">
        <f>'Portefeuille SP2'!AI654</f>
        <v>0</v>
      </c>
      <c r="AX629" s="403">
        <f>'Portefeuille SP2'!AJ654</f>
        <v>0</v>
      </c>
      <c r="AY629" s="403">
        <f>'Portefeuille SP2'!AK654</f>
        <v>0</v>
      </c>
      <c r="AZ629" s="403">
        <f>'Portefeuille SP2'!AL654</f>
        <v>0</v>
      </c>
      <c r="BA629" s="403">
        <f>'Portefeuille SP2'!AM654</f>
        <v>0</v>
      </c>
      <c r="BB629" s="403">
        <f>'Portefeuille SP2'!AN654</f>
        <v>0</v>
      </c>
      <c r="BC629" s="403">
        <f>'Portefeuille SP2'!AO654</f>
        <v>0</v>
      </c>
      <c r="BD629" s="403">
        <f>'Portefeuille SP2'!AP654</f>
        <v>0</v>
      </c>
      <c r="BE629" s="403">
        <f>'Portefeuille SP2'!AQ654</f>
        <v>0</v>
      </c>
      <c r="BF629" s="403">
        <f>'Portefeuille SP2'!AR654</f>
        <v>0</v>
      </c>
      <c r="BG629" s="403" t="e">
        <f>'Portefeuille SP2'!#REF!</f>
        <v>#REF!</v>
      </c>
      <c r="BH629" s="403" t="e">
        <f>'Portefeuille SP2'!#REF!</f>
        <v>#REF!</v>
      </c>
      <c r="BI629" s="403" t="e">
        <f>'Portefeuille SP2'!#REF!</f>
        <v>#REF!</v>
      </c>
      <c r="BJ629" s="403" t="e">
        <f>'Portefeuille SP2'!#REF!</f>
        <v>#REF!</v>
      </c>
      <c r="BK629" s="403" t="e">
        <f>'Portefeuille SP2'!#REF!</f>
        <v>#REF!</v>
      </c>
      <c r="BL629" s="388"/>
      <c r="BM629" s="404">
        <f>'Portefeuille SP2'!L654</f>
        <v>0</v>
      </c>
    </row>
    <row r="630" spans="1:65" ht="15" customHeight="1">
      <c r="A630" s="383">
        <f>'Portefeuille SP2'!B655</f>
        <v>0</v>
      </c>
      <c r="B630" s="390">
        <f>'Portefeuille SP2'!Q655</f>
        <v>0</v>
      </c>
      <c r="C630" s="384"/>
      <c r="D630" s="382">
        <f>'Portefeuille SP2'!E655</f>
        <v>0</v>
      </c>
      <c r="E630" s="382" t="str">
        <f t="shared" si="39"/>
        <v>0</v>
      </c>
      <c r="F630" s="382" t="str">
        <f t="shared" si="40"/>
        <v/>
      </c>
      <c r="G630" s="382">
        <f>'Portefeuille SP2'!C655</f>
        <v>0</v>
      </c>
      <c r="H630" s="382">
        <f>'Portefeuille SP2'!F655</f>
        <v>0</v>
      </c>
      <c r="I630" s="382"/>
      <c r="J630" s="382">
        <f>'Portefeuille SP2'!D655</f>
        <v>0</v>
      </c>
      <c r="K630" s="385">
        <f>'Portefeuille SP2'!H655</f>
        <v>0</v>
      </c>
      <c r="L630" s="157">
        <f>'Portefeuille SP2'!U655</f>
        <v>0</v>
      </c>
      <c r="M630" s="386"/>
      <c r="N630" s="386"/>
      <c r="O630" s="386"/>
      <c r="P630" s="387">
        <f>'Portefeuille SP2'!M655</f>
        <v>0</v>
      </c>
      <c r="Q630" s="387"/>
      <c r="R630" s="387">
        <f>'Portefeuille SP2'!N655</f>
        <v>0</v>
      </c>
      <c r="S630" s="387"/>
      <c r="T630" s="382">
        <f>'Portefeuille SP2'!R655</f>
        <v>0</v>
      </c>
      <c r="U630" s="387">
        <f>'Portefeuille SP2'!K655</f>
        <v>0</v>
      </c>
      <c r="V630" s="399">
        <f>'Portefeuille SP2'!S655</f>
        <v>0</v>
      </c>
      <c r="W630" s="387"/>
      <c r="X630" s="387"/>
      <c r="Y630" s="387"/>
      <c r="Z630" s="387"/>
      <c r="AA630" s="387"/>
      <c r="AB630" s="387"/>
      <c r="AC630" s="387"/>
      <c r="AD630" s="387"/>
      <c r="AE630" s="400">
        <f>'Portefeuille SP2'!J655</f>
        <v>0</v>
      </c>
      <c r="AF630" s="387"/>
      <c r="AG630" s="387"/>
      <c r="AH630" s="389"/>
      <c r="AI630" s="389"/>
      <c r="AJ630" s="403">
        <f>'Portefeuille SP2'!V655</f>
        <v>0</v>
      </c>
      <c r="AK630" s="403">
        <f>'Portefeuille SP2'!W655</f>
        <v>0</v>
      </c>
      <c r="AL630" s="403">
        <f>'Portefeuille SP2'!X655</f>
        <v>0</v>
      </c>
      <c r="AM630" s="403">
        <f>'Portefeuille SP2'!Y655</f>
        <v>0</v>
      </c>
      <c r="AN630" s="403">
        <f>'Portefeuille SP2'!Z655</f>
        <v>0</v>
      </c>
      <c r="AO630" s="403">
        <f>'Portefeuille SP2'!AA655</f>
        <v>0</v>
      </c>
      <c r="AP630" s="403">
        <f>'Portefeuille SP2'!AB655</f>
        <v>0</v>
      </c>
      <c r="AQ630" s="403">
        <f>'Portefeuille SP2'!AC655</f>
        <v>0</v>
      </c>
      <c r="AR630" s="403">
        <f>'Portefeuille SP2'!AD655</f>
        <v>0</v>
      </c>
      <c r="AS630" s="403">
        <f>'Portefeuille SP2'!AE655</f>
        <v>0</v>
      </c>
      <c r="AT630" s="403">
        <f>'Portefeuille SP2'!AF655</f>
        <v>0</v>
      </c>
      <c r="AU630" s="403">
        <f>'Portefeuille SP2'!AG655</f>
        <v>0</v>
      </c>
      <c r="AV630" s="403">
        <f>'Portefeuille SP2'!AH655</f>
        <v>0</v>
      </c>
      <c r="AW630" s="403">
        <f>'Portefeuille SP2'!AI655</f>
        <v>0</v>
      </c>
      <c r="AX630" s="403">
        <f>'Portefeuille SP2'!AJ655</f>
        <v>0</v>
      </c>
      <c r="AY630" s="403">
        <f>'Portefeuille SP2'!AK655</f>
        <v>0</v>
      </c>
      <c r="AZ630" s="403">
        <f>'Portefeuille SP2'!AL655</f>
        <v>0</v>
      </c>
      <c r="BA630" s="403">
        <f>'Portefeuille SP2'!AM655</f>
        <v>0</v>
      </c>
      <c r="BB630" s="403">
        <f>'Portefeuille SP2'!AN655</f>
        <v>0</v>
      </c>
      <c r="BC630" s="403">
        <f>'Portefeuille SP2'!AO655</f>
        <v>0</v>
      </c>
      <c r="BD630" s="403">
        <f>'Portefeuille SP2'!AP655</f>
        <v>0</v>
      </c>
      <c r="BE630" s="403">
        <f>'Portefeuille SP2'!AQ655</f>
        <v>0</v>
      </c>
      <c r="BF630" s="403">
        <f>'Portefeuille SP2'!AR655</f>
        <v>0</v>
      </c>
      <c r="BG630" s="403" t="e">
        <f>'Portefeuille SP2'!#REF!</f>
        <v>#REF!</v>
      </c>
      <c r="BH630" s="403" t="e">
        <f>'Portefeuille SP2'!#REF!</f>
        <v>#REF!</v>
      </c>
      <c r="BI630" s="403" t="e">
        <f>'Portefeuille SP2'!#REF!</f>
        <v>#REF!</v>
      </c>
      <c r="BJ630" s="403" t="e">
        <f>'Portefeuille SP2'!#REF!</f>
        <v>#REF!</v>
      </c>
      <c r="BK630" s="403" t="e">
        <f>'Portefeuille SP2'!#REF!</f>
        <v>#REF!</v>
      </c>
      <c r="BL630" s="388"/>
      <c r="BM630" s="404">
        <f>'Portefeuille SP2'!L655</f>
        <v>0</v>
      </c>
    </row>
    <row r="631" spans="1:65" ht="15" customHeight="1">
      <c r="A631" s="383">
        <f>'Portefeuille SP2'!B656</f>
        <v>0</v>
      </c>
      <c r="B631" s="390">
        <f>'Portefeuille SP2'!Q656</f>
        <v>0</v>
      </c>
      <c r="C631" s="384"/>
      <c r="D631" s="382">
        <f>'Portefeuille SP2'!E656</f>
        <v>0</v>
      </c>
      <c r="E631" s="382" t="str">
        <f t="shared" si="39"/>
        <v>0</v>
      </c>
      <c r="F631" s="382" t="str">
        <f t="shared" si="40"/>
        <v/>
      </c>
      <c r="G631" s="382">
        <f>'Portefeuille SP2'!C656</f>
        <v>0</v>
      </c>
      <c r="H631" s="382">
        <f>'Portefeuille SP2'!F656</f>
        <v>0</v>
      </c>
      <c r="I631" s="382"/>
      <c r="J631" s="382">
        <f>'Portefeuille SP2'!D656</f>
        <v>0</v>
      </c>
      <c r="K631" s="385">
        <f>'Portefeuille SP2'!H656</f>
        <v>0</v>
      </c>
      <c r="L631" s="157">
        <f>'Portefeuille SP2'!U656</f>
        <v>0</v>
      </c>
      <c r="M631" s="386"/>
      <c r="N631" s="386"/>
      <c r="O631" s="386"/>
      <c r="P631" s="387">
        <f>'Portefeuille SP2'!M656</f>
        <v>0</v>
      </c>
      <c r="Q631" s="387"/>
      <c r="R631" s="387">
        <f>'Portefeuille SP2'!N656</f>
        <v>0</v>
      </c>
      <c r="S631" s="387"/>
      <c r="T631" s="382">
        <f>'Portefeuille SP2'!R656</f>
        <v>0</v>
      </c>
      <c r="U631" s="387">
        <f>'Portefeuille SP2'!K656</f>
        <v>0</v>
      </c>
      <c r="V631" s="399">
        <f>'Portefeuille SP2'!S656</f>
        <v>0</v>
      </c>
      <c r="W631" s="387"/>
      <c r="X631" s="387"/>
      <c r="Y631" s="387"/>
      <c r="Z631" s="387"/>
      <c r="AA631" s="387"/>
      <c r="AB631" s="387"/>
      <c r="AC631" s="387"/>
      <c r="AD631" s="387"/>
      <c r="AE631" s="400">
        <f>'Portefeuille SP2'!J656</f>
        <v>0</v>
      </c>
      <c r="AF631" s="387"/>
      <c r="AG631" s="387"/>
      <c r="AH631" s="389"/>
      <c r="AI631" s="389"/>
      <c r="AJ631" s="403">
        <f>'Portefeuille SP2'!V656</f>
        <v>0</v>
      </c>
      <c r="AK631" s="403">
        <f>'Portefeuille SP2'!W656</f>
        <v>0</v>
      </c>
      <c r="AL631" s="403">
        <f>'Portefeuille SP2'!X656</f>
        <v>0</v>
      </c>
      <c r="AM631" s="403">
        <f>'Portefeuille SP2'!Y656</f>
        <v>0</v>
      </c>
      <c r="AN631" s="403">
        <f>'Portefeuille SP2'!Z656</f>
        <v>0</v>
      </c>
      <c r="AO631" s="403">
        <f>'Portefeuille SP2'!AA656</f>
        <v>0</v>
      </c>
      <c r="AP631" s="403">
        <f>'Portefeuille SP2'!AB656</f>
        <v>0</v>
      </c>
      <c r="AQ631" s="403">
        <f>'Portefeuille SP2'!AC656</f>
        <v>0</v>
      </c>
      <c r="AR631" s="403">
        <f>'Portefeuille SP2'!AD656</f>
        <v>0</v>
      </c>
      <c r="AS631" s="403">
        <f>'Portefeuille SP2'!AE656</f>
        <v>0</v>
      </c>
      <c r="AT631" s="403">
        <f>'Portefeuille SP2'!AF656</f>
        <v>0</v>
      </c>
      <c r="AU631" s="403">
        <f>'Portefeuille SP2'!AG656</f>
        <v>0</v>
      </c>
      <c r="AV631" s="403">
        <f>'Portefeuille SP2'!AH656</f>
        <v>0</v>
      </c>
      <c r="AW631" s="403">
        <f>'Portefeuille SP2'!AI656</f>
        <v>0</v>
      </c>
      <c r="AX631" s="403">
        <f>'Portefeuille SP2'!AJ656</f>
        <v>0</v>
      </c>
      <c r="AY631" s="403">
        <f>'Portefeuille SP2'!AK656</f>
        <v>0</v>
      </c>
      <c r="AZ631" s="403">
        <f>'Portefeuille SP2'!AL656</f>
        <v>0</v>
      </c>
      <c r="BA631" s="403">
        <f>'Portefeuille SP2'!AM656</f>
        <v>0</v>
      </c>
      <c r="BB631" s="403">
        <f>'Portefeuille SP2'!AN656</f>
        <v>0</v>
      </c>
      <c r="BC631" s="403">
        <f>'Portefeuille SP2'!AO656</f>
        <v>0</v>
      </c>
      <c r="BD631" s="403">
        <f>'Portefeuille SP2'!AP656</f>
        <v>0</v>
      </c>
      <c r="BE631" s="403">
        <f>'Portefeuille SP2'!AQ656</f>
        <v>0</v>
      </c>
      <c r="BF631" s="403">
        <f>'Portefeuille SP2'!AR656</f>
        <v>0</v>
      </c>
      <c r="BG631" s="403" t="e">
        <f>'Portefeuille SP2'!#REF!</f>
        <v>#REF!</v>
      </c>
      <c r="BH631" s="403" t="e">
        <f>'Portefeuille SP2'!#REF!</f>
        <v>#REF!</v>
      </c>
      <c r="BI631" s="403" t="e">
        <f>'Portefeuille SP2'!#REF!</f>
        <v>#REF!</v>
      </c>
      <c r="BJ631" s="403" t="e">
        <f>'Portefeuille SP2'!#REF!</f>
        <v>#REF!</v>
      </c>
      <c r="BK631" s="403" t="e">
        <f>'Portefeuille SP2'!#REF!</f>
        <v>#REF!</v>
      </c>
      <c r="BL631" s="388"/>
      <c r="BM631" s="404">
        <f>'Portefeuille SP2'!L656</f>
        <v>0</v>
      </c>
    </row>
    <row r="632" spans="1:65" ht="15" customHeight="1">
      <c r="A632" s="383">
        <f>'Portefeuille SP2'!B657</f>
        <v>0</v>
      </c>
      <c r="B632" s="390">
        <f>'Portefeuille SP2'!Q657</f>
        <v>0</v>
      </c>
      <c r="C632" s="384"/>
      <c r="D632" s="382">
        <f>'Portefeuille SP2'!E657</f>
        <v>0</v>
      </c>
      <c r="E632" s="382" t="str">
        <f t="shared" si="39"/>
        <v>0</v>
      </c>
      <c r="F632" s="382" t="str">
        <f t="shared" si="40"/>
        <v/>
      </c>
      <c r="G632" s="382">
        <f>'Portefeuille SP2'!C657</f>
        <v>0</v>
      </c>
      <c r="H632" s="382">
        <f>'Portefeuille SP2'!F657</f>
        <v>0</v>
      </c>
      <c r="I632" s="382"/>
      <c r="J632" s="382">
        <f>'Portefeuille SP2'!D657</f>
        <v>0</v>
      </c>
      <c r="K632" s="385">
        <f>'Portefeuille SP2'!H657</f>
        <v>0</v>
      </c>
      <c r="L632" s="157">
        <f>'Portefeuille SP2'!U657</f>
        <v>0</v>
      </c>
      <c r="M632" s="386"/>
      <c r="N632" s="386"/>
      <c r="O632" s="386"/>
      <c r="P632" s="387">
        <f>'Portefeuille SP2'!M657</f>
        <v>0</v>
      </c>
      <c r="Q632" s="387"/>
      <c r="R632" s="387">
        <f>'Portefeuille SP2'!N657</f>
        <v>0</v>
      </c>
      <c r="S632" s="387"/>
      <c r="T632" s="382">
        <f>'Portefeuille SP2'!R657</f>
        <v>0</v>
      </c>
      <c r="U632" s="387">
        <f>'Portefeuille SP2'!K657</f>
        <v>0</v>
      </c>
      <c r="V632" s="399">
        <f>'Portefeuille SP2'!S657</f>
        <v>0</v>
      </c>
      <c r="W632" s="387"/>
      <c r="X632" s="387"/>
      <c r="Y632" s="387"/>
      <c r="Z632" s="387"/>
      <c r="AA632" s="387"/>
      <c r="AB632" s="387"/>
      <c r="AC632" s="387"/>
      <c r="AD632" s="387"/>
      <c r="AE632" s="400">
        <f>'Portefeuille SP2'!J657</f>
        <v>0</v>
      </c>
      <c r="AF632" s="387"/>
      <c r="AG632" s="387"/>
      <c r="AH632" s="389"/>
      <c r="AI632" s="389"/>
      <c r="AJ632" s="403">
        <f>'Portefeuille SP2'!V657</f>
        <v>0</v>
      </c>
      <c r="AK632" s="403">
        <f>'Portefeuille SP2'!W657</f>
        <v>0</v>
      </c>
      <c r="AL632" s="403">
        <f>'Portefeuille SP2'!X657</f>
        <v>0</v>
      </c>
      <c r="AM632" s="403">
        <f>'Portefeuille SP2'!Y657</f>
        <v>0</v>
      </c>
      <c r="AN632" s="403">
        <f>'Portefeuille SP2'!Z657</f>
        <v>0</v>
      </c>
      <c r="AO632" s="403">
        <f>'Portefeuille SP2'!AA657</f>
        <v>0</v>
      </c>
      <c r="AP632" s="403">
        <f>'Portefeuille SP2'!AB657</f>
        <v>0</v>
      </c>
      <c r="AQ632" s="403">
        <f>'Portefeuille SP2'!AC657</f>
        <v>0</v>
      </c>
      <c r="AR632" s="403">
        <f>'Portefeuille SP2'!AD657</f>
        <v>0</v>
      </c>
      <c r="AS632" s="403">
        <f>'Portefeuille SP2'!AE657</f>
        <v>0</v>
      </c>
      <c r="AT632" s="403">
        <f>'Portefeuille SP2'!AF657</f>
        <v>0</v>
      </c>
      <c r="AU632" s="403">
        <f>'Portefeuille SP2'!AG657</f>
        <v>0</v>
      </c>
      <c r="AV632" s="403">
        <f>'Portefeuille SP2'!AH657</f>
        <v>0</v>
      </c>
      <c r="AW632" s="403">
        <f>'Portefeuille SP2'!AI657</f>
        <v>0</v>
      </c>
      <c r="AX632" s="403">
        <f>'Portefeuille SP2'!AJ657</f>
        <v>0</v>
      </c>
      <c r="AY632" s="403">
        <f>'Portefeuille SP2'!AK657</f>
        <v>0</v>
      </c>
      <c r="AZ632" s="403">
        <f>'Portefeuille SP2'!AL657</f>
        <v>0</v>
      </c>
      <c r="BA632" s="403">
        <f>'Portefeuille SP2'!AM657</f>
        <v>0</v>
      </c>
      <c r="BB632" s="403">
        <f>'Portefeuille SP2'!AN657</f>
        <v>0</v>
      </c>
      <c r="BC632" s="403">
        <f>'Portefeuille SP2'!AO657</f>
        <v>0</v>
      </c>
      <c r="BD632" s="403">
        <f>'Portefeuille SP2'!AP657</f>
        <v>0</v>
      </c>
      <c r="BE632" s="403">
        <f>'Portefeuille SP2'!AQ657</f>
        <v>0</v>
      </c>
      <c r="BF632" s="403">
        <f>'Portefeuille SP2'!AR657</f>
        <v>0</v>
      </c>
      <c r="BG632" s="403" t="e">
        <f>'Portefeuille SP2'!#REF!</f>
        <v>#REF!</v>
      </c>
      <c r="BH632" s="403" t="e">
        <f>'Portefeuille SP2'!#REF!</f>
        <v>#REF!</v>
      </c>
      <c r="BI632" s="403" t="e">
        <f>'Portefeuille SP2'!#REF!</f>
        <v>#REF!</v>
      </c>
      <c r="BJ632" s="403" t="e">
        <f>'Portefeuille SP2'!#REF!</f>
        <v>#REF!</v>
      </c>
      <c r="BK632" s="403" t="e">
        <f>'Portefeuille SP2'!#REF!</f>
        <v>#REF!</v>
      </c>
      <c r="BL632" s="388"/>
      <c r="BM632" s="404">
        <f>'Portefeuille SP2'!L657</f>
        <v>0</v>
      </c>
    </row>
    <row r="633" spans="1:65" ht="15" customHeight="1">
      <c r="A633" s="383">
        <f>'Portefeuille SP2'!B658</f>
        <v>0</v>
      </c>
      <c r="B633" s="390">
        <f>'Portefeuille SP2'!Q658</f>
        <v>0</v>
      </c>
      <c r="C633" s="384"/>
      <c r="D633" s="382">
        <f>'Portefeuille SP2'!E658</f>
        <v>0</v>
      </c>
      <c r="E633" s="382" t="str">
        <f t="shared" si="39"/>
        <v>0</v>
      </c>
      <c r="F633" s="382" t="str">
        <f t="shared" si="40"/>
        <v/>
      </c>
      <c r="G633" s="382">
        <f>'Portefeuille SP2'!C658</f>
        <v>0</v>
      </c>
      <c r="H633" s="382">
        <f>'Portefeuille SP2'!F658</f>
        <v>0</v>
      </c>
      <c r="I633" s="382"/>
      <c r="J633" s="382">
        <f>'Portefeuille SP2'!D658</f>
        <v>0</v>
      </c>
      <c r="K633" s="385">
        <f>'Portefeuille SP2'!H658</f>
        <v>0</v>
      </c>
      <c r="L633" s="157">
        <f>'Portefeuille SP2'!U658</f>
        <v>0</v>
      </c>
      <c r="M633" s="386"/>
      <c r="N633" s="386"/>
      <c r="O633" s="386"/>
      <c r="P633" s="387">
        <f>'Portefeuille SP2'!M658</f>
        <v>0</v>
      </c>
      <c r="Q633" s="387"/>
      <c r="R633" s="387">
        <f>'Portefeuille SP2'!N658</f>
        <v>0</v>
      </c>
      <c r="S633" s="387"/>
      <c r="T633" s="382">
        <f>'Portefeuille SP2'!R658</f>
        <v>0</v>
      </c>
      <c r="U633" s="387">
        <f>'Portefeuille SP2'!K658</f>
        <v>0</v>
      </c>
      <c r="V633" s="399">
        <f>'Portefeuille SP2'!S658</f>
        <v>0</v>
      </c>
      <c r="W633" s="387"/>
      <c r="X633" s="387"/>
      <c r="Y633" s="387"/>
      <c r="Z633" s="387"/>
      <c r="AA633" s="387"/>
      <c r="AB633" s="387"/>
      <c r="AC633" s="387"/>
      <c r="AD633" s="387"/>
      <c r="AE633" s="400">
        <f>'Portefeuille SP2'!J658</f>
        <v>0</v>
      </c>
      <c r="AF633" s="387"/>
      <c r="AG633" s="387"/>
      <c r="AH633" s="389"/>
      <c r="AI633" s="389"/>
      <c r="AJ633" s="403">
        <f>'Portefeuille SP2'!V658</f>
        <v>0</v>
      </c>
      <c r="AK633" s="403">
        <f>'Portefeuille SP2'!W658</f>
        <v>0</v>
      </c>
      <c r="AL633" s="403">
        <f>'Portefeuille SP2'!X658</f>
        <v>0</v>
      </c>
      <c r="AM633" s="403">
        <f>'Portefeuille SP2'!Y658</f>
        <v>0</v>
      </c>
      <c r="AN633" s="403">
        <f>'Portefeuille SP2'!Z658</f>
        <v>0</v>
      </c>
      <c r="AO633" s="403">
        <f>'Portefeuille SP2'!AA658</f>
        <v>0</v>
      </c>
      <c r="AP633" s="403">
        <f>'Portefeuille SP2'!AB658</f>
        <v>0</v>
      </c>
      <c r="AQ633" s="403">
        <f>'Portefeuille SP2'!AC658</f>
        <v>0</v>
      </c>
      <c r="AR633" s="403">
        <f>'Portefeuille SP2'!AD658</f>
        <v>0</v>
      </c>
      <c r="AS633" s="403">
        <f>'Portefeuille SP2'!AE658</f>
        <v>0</v>
      </c>
      <c r="AT633" s="403">
        <f>'Portefeuille SP2'!AF658</f>
        <v>0</v>
      </c>
      <c r="AU633" s="403">
        <f>'Portefeuille SP2'!AG658</f>
        <v>0</v>
      </c>
      <c r="AV633" s="403">
        <f>'Portefeuille SP2'!AH658</f>
        <v>0</v>
      </c>
      <c r="AW633" s="403">
        <f>'Portefeuille SP2'!AI658</f>
        <v>0</v>
      </c>
      <c r="AX633" s="403">
        <f>'Portefeuille SP2'!AJ658</f>
        <v>0</v>
      </c>
      <c r="AY633" s="403">
        <f>'Portefeuille SP2'!AK658</f>
        <v>0</v>
      </c>
      <c r="AZ633" s="403">
        <f>'Portefeuille SP2'!AL658</f>
        <v>0</v>
      </c>
      <c r="BA633" s="403">
        <f>'Portefeuille SP2'!AM658</f>
        <v>0</v>
      </c>
      <c r="BB633" s="403">
        <f>'Portefeuille SP2'!AN658</f>
        <v>0</v>
      </c>
      <c r="BC633" s="403">
        <f>'Portefeuille SP2'!AO658</f>
        <v>0</v>
      </c>
      <c r="BD633" s="403">
        <f>'Portefeuille SP2'!AP658</f>
        <v>0</v>
      </c>
      <c r="BE633" s="403">
        <f>'Portefeuille SP2'!AQ658</f>
        <v>0</v>
      </c>
      <c r="BF633" s="403">
        <f>'Portefeuille SP2'!AR658</f>
        <v>0</v>
      </c>
      <c r="BG633" s="403" t="e">
        <f>'Portefeuille SP2'!#REF!</f>
        <v>#REF!</v>
      </c>
      <c r="BH633" s="403" t="e">
        <f>'Portefeuille SP2'!#REF!</f>
        <v>#REF!</v>
      </c>
      <c r="BI633" s="403" t="e">
        <f>'Portefeuille SP2'!#REF!</f>
        <v>#REF!</v>
      </c>
      <c r="BJ633" s="403" t="e">
        <f>'Portefeuille SP2'!#REF!</f>
        <v>#REF!</v>
      </c>
      <c r="BK633" s="403" t="e">
        <f>'Portefeuille SP2'!#REF!</f>
        <v>#REF!</v>
      </c>
      <c r="BL633" s="388"/>
      <c r="BM633" s="404">
        <f>'Portefeuille SP2'!L658</f>
        <v>0</v>
      </c>
    </row>
    <row r="634" spans="1:65" ht="15" customHeight="1">
      <c r="A634" s="383">
        <f>'Portefeuille SP2'!B659</f>
        <v>0</v>
      </c>
      <c r="B634" s="390">
        <f>'Portefeuille SP2'!Q659</f>
        <v>0</v>
      </c>
      <c r="C634" s="384"/>
      <c r="D634" s="382">
        <f>'Portefeuille SP2'!E659</f>
        <v>0</v>
      </c>
      <c r="E634" s="382" t="str">
        <f t="shared" si="39"/>
        <v>0</v>
      </c>
      <c r="F634" s="382" t="str">
        <f t="shared" si="40"/>
        <v/>
      </c>
      <c r="G634" s="382">
        <f>'Portefeuille SP2'!C659</f>
        <v>0</v>
      </c>
      <c r="H634" s="382">
        <f>'Portefeuille SP2'!F659</f>
        <v>0</v>
      </c>
      <c r="I634" s="382"/>
      <c r="J634" s="382">
        <f>'Portefeuille SP2'!D659</f>
        <v>0</v>
      </c>
      <c r="K634" s="385">
        <f>'Portefeuille SP2'!H659</f>
        <v>0</v>
      </c>
      <c r="L634" s="157">
        <f>'Portefeuille SP2'!U659</f>
        <v>0</v>
      </c>
      <c r="M634" s="386"/>
      <c r="N634" s="386"/>
      <c r="O634" s="386"/>
      <c r="P634" s="387">
        <f>'Portefeuille SP2'!M659</f>
        <v>0</v>
      </c>
      <c r="Q634" s="387"/>
      <c r="R634" s="387">
        <f>'Portefeuille SP2'!N659</f>
        <v>0</v>
      </c>
      <c r="S634" s="387"/>
      <c r="T634" s="382">
        <f>'Portefeuille SP2'!R659</f>
        <v>0</v>
      </c>
      <c r="U634" s="387">
        <f>'Portefeuille SP2'!K659</f>
        <v>0</v>
      </c>
      <c r="V634" s="399">
        <f>'Portefeuille SP2'!S659</f>
        <v>0</v>
      </c>
      <c r="W634" s="387"/>
      <c r="X634" s="387"/>
      <c r="Y634" s="387"/>
      <c r="Z634" s="387"/>
      <c r="AA634" s="387"/>
      <c r="AB634" s="387"/>
      <c r="AC634" s="387"/>
      <c r="AD634" s="387"/>
      <c r="AE634" s="400">
        <f>'Portefeuille SP2'!J659</f>
        <v>0</v>
      </c>
      <c r="AF634" s="387"/>
      <c r="AG634" s="387"/>
      <c r="AH634" s="389"/>
      <c r="AI634" s="389"/>
      <c r="AJ634" s="403">
        <f>'Portefeuille SP2'!V659</f>
        <v>0</v>
      </c>
      <c r="AK634" s="403">
        <f>'Portefeuille SP2'!W659</f>
        <v>0</v>
      </c>
      <c r="AL634" s="403">
        <f>'Portefeuille SP2'!X659</f>
        <v>0</v>
      </c>
      <c r="AM634" s="403">
        <f>'Portefeuille SP2'!Y659</f>
        <v>0</v>
      </c>
      <c r="AN634" s="403">
        <f>'Portefeuille SP2'!Z659</f>
        <v>0</v>
      </c>
      <c r="AO634" s="403">
        <f>'Portefeuille SP2'!AA659</f>
        <v>0</v>
      </c>
      <c r="AP634" s="403">
        <f>'Portefeuille SP2'!AB659</f>
        <v>0</v>
      </c>
      <c r="AQ634" s="403">
        <f>'Portefeuille SP2'!AC659</f>
        <v>0</v>
      </c>
      <c r="AR634" s="403">
        <f>'Portefeuille SP2'!AD659</f>
        <v>0</v>
      </c>
      <c r="AS634" s="403">
        <f>'Portefeuille SP2'!AE659</f>
        <v>0</v>
      </c>
      <c r="AT634" s="403">
        <f>'Portefeuille SP2'!AF659</f>
        <v>0</v>
      </c>
      <c r="AU634" s="403">
        <f>'Portefeuille SP2'!AG659</f>
        <v>0</v>
      </c>
      <c r="AV634" s="403">
        <f>'Portefeuille SP2'!AH659</f>
        <v>0</v>
      </c>
      <c r="AW634" s="403">
        <f>'Portefeuille SP2'!AI659</f>
        <v>0</v>
      </c>
      <c r="AX634" s="403">
        <f>'Portefeuille SP2'!AJ659</f>
        <v>0</v>
      </c>
      <c r="AY634" s="403">
        <f>'Portefeuille SP2'!AK659</f>
        <v>0</v>
      </c>
      <c r="AZ634" s="403">
        <f>'Portefeuille SP2'!AL659</f>
        <v>0</v>
      </c>
      <c r="BA634" s="403">
        <f>'Portefeuille SP2'!AM659</f>
        <v>0</v>
      </c>
      <c r="BB634" s="403">
        <f>'Portefeuille SP2'!AN659</f>
        <v>0</v>
      </c>
      <c r="BC634" s="403">
        <f>'Portefeuille SP2'!AO659</f>
        <v>0</v>
      </c>
      <c r="BD634" s="403">
        <f>'Portefeuille SP2'!AP659</f>
        <v>0</v>
      </c>
      <c r="BE634" s="403">
        <f>'Portefeuille SP2'!AQ659</f>
        <v>0</v>
      </c>
      <c r="BF634" s="403">
        <f>'Portefeuille SP2'!AR659</f>
        <v>0</v>
      </c>
      <c r="BG634" s="403" t="e">
        <f>'Portefeuille SP2'!#REF!</f>
        <v>#REF!</v>
      </c>
      <c r="BH634" s="403" t="e">
        <f>'Portefeuille SP2'!#REF!</f>
        <v>#REF!</v>
      </c>
      <c r="BI634" s="403" t="e">
        <f>'Portefeuille SP2'!#REF!</f>
        <v>#REF!</v>
      </c>
      <c r="BJ634" s="403" t="e">
        <f>'Portefeuille SP2'!#REF!</f>
        <v>#REF!</v>
      </c>
      <c r="BK634" s="403" t="e">
        <f>'Portefeuille SP2'!#REF!</f>
        <v>#REF!</v>
      </c>
      <c r="BL634" s="388"/>
      <c r="BM634" s="404">
        <f>'Portefeuille SP2'!L659</f>
        <v>0</v>
      </c>
    </row>
    <row r="635" spans="1:65" ht="15" customHeight="1">
      <c r="A635" s="383">
        <f>'Portefeuille SP2'!B660</f>
        <v>0</v>
      </c>
      <c r="B635" s="390">
        <f>'Portefeuille SP2'!Q660</f>
        <v>0</v>
      </c>
      <c r="C635" s="384"/>
      <c r="D635" s="382">
        <f>'Portefeuille SP2'!E660</f>
        <v>0</v>
      </c>
      <c r="E635" s="382" t="str">
        <f t="shared" si="39"/>
        <v>0</v>
      </c>
      <c r="F635" s="382" t="str">
        <f t="shared" si="40"/>
        <v/>
      </c>
      <c r="G635" s="382">
        <f>'Portefeuille SP2'!C660</f>
        <v>0</v>
      </c>
      <c r="H635" s="382">
        <f>'Portefeuille SP2'!F660</f>
        <v>0</v>
      </c>
      <c r="I635" s="382"/>
      <c r="J635" s="382">
        <f>'Portefeuille SP2'!D660</f>
        <v>0</v>
      </c>
      <c r="K635" s="385">
        <f>'Portefeuille SP2'!H660</f>
        <v>0</v>
      </c>
      <c r="L635" s="157">
        <f>'Portefeuille SP2'!U660</f>
        <v>0</v>
      </c>
      <c r="M635" s="386"/>
      <c r="N635" s="386"/>
      <c r="O635" s="386"/>
      <c r="P635" s="387">
        <f>'Portefeuille SP2'!M660</f>
        <v>0</v>
      </c>
      <c r="Q635" s="387"/>
      <c r="R635" s="387">
        <f>'Portefeuille SP2'!N660</f>
        <v>0</v>
      </c>
      <c r="S635" s="387"/>
      <c r="T635" s="382">
        <f>'Portefeuille SP2'!R660</f>
        <v>0</v>
      </c>
      <c r="U635" s="387">
        <f>'Portefeuille SP2'!K660</f>
        <v>0</v>
      </c>
      <c r="V635" s="399">
        <f>'Portefeuille SP2'!S660</f>
        <v>0</v>
      </c>
      <c r="W635" s="387"/>
      <c r="X635" s="387"/>
      <c r="Y635" s="387"/>
      <c r="Z635" s="387"/>
      <c r="AA635" s="387"/>
      <c r="AB635" s="387"/>
      <c r="AC635" s="387"/>
      <c r="AD635" s="387"/>
      <c r="AE635" s="400">
        <f>'Portefeuille SP2'!J660</f>
        <v>0</v>
      </c>
      <c r="AF635" s="387"/>
      <c r="AG635" s="387"/>
      <c r="AH635" s="389"/>
      <c r="AI635" s="389"/>
      <c r="AJ635" s="403">
        <f>'Portefeuille SP2'!V660</f>
        <v>0</v>
      </c>
      <c r="AK635" s="403">
        <f>'Portefeuille SP2'!W660</f>
        <v>0</v>
      </c>
      <c r="AL635" s="403">
        <f>'Portefeuille SP2'!X660</f>
        <v>0</v>
      </c>
      <c r="AM635" s="403">
        <f>'Portefeuille SP2'!Y660</f>
        <v>0</v>
      </c>
      <c r="AN635" s="403">
        <f>'Portefeuille SP2'!Z660</f>
        <v>0</v>
      </c>
      <c r="AO635" s="403">
        <f>'Portefeuille SP2'!AA660</f>
        <v>0</v>
      </c>
      <c r="AP635" s="403">
        <f>'Portefeuille SP2'!AB660</f>
        <v>0</v>
      </c>
      <c r="AQ635" s="403">
        <f>'Portefeuille SP2'!AC660</f>
        <v>0</v>
      </c>
      <c r="AR635" s="403">
        <f>'Portefeuille SP2'!AD660</f>
        <v>0</v>
      </c>
      <c r="AS635" s="403">
        <f>'Portefeuille SP2'!AE660</f>
        <v>0</v>
      </c>
      <c r="AT635" s="403">
        <f>'Portefeuille SP2'!AF660</f>
        <v>0</v>
      </c>
      <c r="AU635" s="403">
        <f>'Portefeuille SP2'!AG660</f>
        <v>0</v>
      </c>
      <c r="AV635" s="403">
        <f>'Portefeuille SP2'!AH660</f>
        <v>0</v>
      </c>
      <c r="AW635" s="403">
        <f>'Portefeuille SP2'!AI660</f>
        <v>0</v>
      </c>
      <c r="AX635" s="403">
        <f>'Portefeuille SP2'!AJ660</f>
        <v>0</v>
      </c>
      <c r="AY635" s="403">
        <f>'Portefeuille SP2'!AK660</f>
        <v>0</v>
      </c>
      <c r="AZ635" s="403">
        <f>'Portefeuille SP2'!AL660</f>
        <v>0</v>
      </c>
      <c r="BA635" s="403">
        <f>'Portefeuille SP2'!AM660</f>
        <v>0</v>
      </c>
      <c r="BB635" s="403">
        <f>'Portefeuille SP2'!AN660</f>
        <v>0</v>
      </c>
      <c r="BC635" s="403">
        <f>'Portefeuille SP2'!AO660</f>
        <v>0</v>
      </c>
      <c r="BD635" s="403">
        <f>'Portefeuille SP2'!AP660</f>
        <v>0</v>
      </c>
      <c r="BE635" s="403">
        <f>'Portefeuille SP2'!AQ660</f>
        <v>0</v>
      </c>
      <c r="BF635" s="403">
        <f>'Portefeuille SP2'!AR660</f>
        <v>0</v>
      </c>
      <c r="BG635" s="403" t="e">
        <f>'Portefeuille SP2'!#REF!</f>
        <v>#REF!</v>
      </c>
      <c r="BH635" s="403" t="e">
        <f>'Portefeuille SP2'!#REF!</f>
        <v>#REF!</v>
      </c>
      <c r="BI635" s="403" t="e">
        <f>'Portefeuille SP2'!#REF!</f>
        <v>#REF!</v>
      </c>
      <c r="BJ635" s="403" t="e">
        <f>'Portefeuille SP2'!#REF!</f>
        <v>#REF!</v>
      </c>
      <c r="BK635" s="403" t="e">
        <f>'Portefeuille SP2'!#REF!</f>
        <v>#REF!</v>
      </c>
      <c r="BL635" s="388"/>
      <c r="BM635" s="404">
        <f>'Portefeuille SP2'!L660</f>
        <v>0</v>
      </c>
    </row>
    <row r="636" spans="1:65" ht="15" customHeight="1">
      <c r="A636" s="383">
        <f>'Portefeuille SP2'!B661</f>
        <v>0</v>
      </c>
      <c r="B636" s="390">
        <f>'Portefeuille SP2'!Q661</f>
        <v>0</v>
      </c>
      <c r="C636" s="384"/>
      <c r="D636" s="382">
        <f>'Portefeuille SP2'!E661</f>
        <v>0</v>
      </c>
      <c r="E636" s="382" t="str">
        <f t="shared" si="39"/>
        <v>0</v>
      </c>
      <c r="F636" s="382" t="str">
        <f t="shared" si="40"/>
        <v/>
      </c>
      <c r="G636" s="382">
        <f>'Portefeuille SP2'!C661</f>
        <v>0</v>
      </c>
      <c r="H636" s="382">
        <f>'Portefeuille SP2'!F661</f>
        <v>0</v>
      </c>
      <c r="I636" s="382"/>
      <c r="J636" s="382">
        <f>'Portefeuille SP2'!D661</f>
        <v>0</v>
      </c>
      <c r="K636" s="385">
        <f>'Portefeuille SP2'!H661</f>
        <v>0</v>
      </c>
      <c r="L636" s="157">
        <f>'Portefeuille SP2'!U661</f>
        <v>0</v>
      </c>
      <c r="M636" s="386"/>
      <c r="N636" s="386"/>
      <c r="O636" s="386"/>
      <c r="P636" s="387">
        <f>'Portefeuille SP2'!M661</f>
        <v>0</v>
      </c>
      <c r="Q636" s="387"/>
      <c r="R636" s="387">
        <f>'Portefeuille SP2'!N661</f>
        <v>0</v>
      </c>
      <c r="S636" s="387"/>
      <c r="T636" s="382">
        <f>'Portefeuille SP2'!R661</f>
        <v>0</v>
      </c>
      <c r="U636" s="387">
        <f>'Portefeuille SP2'!K661</f>
        <v>0</v>
      </c>
      <c r="V636" s="399">
        <f>'Portefeuille SP2'!S661</f>
        <v>0</v>
      </c>
      <c r="W636" s="387"/>
      <c r="X636" s="387"/>
      <c r="Y636" s="387"/>
      <c r="Z636" s="387"/>
      <c r="AA636" s="387"/>
      <c r="AB636" s="387"/>
      <c r="AC636" s="387"/>
      <c r="AD636" s="387"/>
      <c r="AE636" s="400">
        <f>'Portefeuille SP2'!J661</f>
        <v>0</v>
      </c>
      <c r="AF636" s="387"/>
      <c r="AG636" s="387"/>
      <c r="AH636" s="389"/>
      <c r="AI636" s="389"/>
      <c r="AJ636" s="403">
        <f>'Portefeuille SP2'!V661</f>
        <v>0</v>
      </c>
      <c r="AK636" s="403">
        <f>'Portefeuille SP2'!W661</f>
        <v>0</v>
      </c>
      <c r="AL636" s="403">
        <f>'Portefeuille SP2'!X661</f>
        <v>0</v>
      </c>
      <c r="AM636" s="403">
        <f>'Portefeuille SP2'!Y661</f>
        <v>0</v>
      </c>
      <c r="AN636" s="403">
        <f>'Portefeuille SP2'!Z661</f>
        <v>0</v>
      </c>
      <c r="AO636" s="403">
        <f>'Portefeuille SP2'!AA661</f>
        <v>0</v>
      </c>
      <c r="AP636" s="403">
        <f>'Portefeuille SP2'!AB661</f>
        <v>0</v>
      </c>
      <c r="AQ636" s="403">
        <f>'Portefeuille SP2'!AC661</f>
        <v>0</v>
      </c>
      <c r="AR636" s="403">
        <f>'Portefeuille SP2'!AD661</f>
        <v>0</v>
      </c>
      <c r="AS636" s="403">
        <f>'Portefeuille SP2'!AE661</f>
        <v>0</v>
      </c>
      <c r="AT636" s="403">
        <f>'Portefeuille SP2'!AF661</f>
        <v>0</v>
      </c>
      <c r="AU636" s="403">
        <f>'Portefeuille SP2'!AG661</f>
        <v>0</v>
      </c>
      <c r="AV636" s="403">
        <f>'Portefeuille SP2'!AH661</f>
        <v>0</v>
      </c>
      <c r="AW636" s="403">
        <f>'Portefeuille SP2'!AI661</f>
        <v>0</v>
      </c>
      <c r="AX636" s="403">
        <f>'Portefeuille SP2'!AJ661</f>
        <v>0</v>
      </c>
      <c r="AY636" s="403">
        <f>'Portefeuille SP2'!AK661</f>
        <v>0</v>
      </c>
      <c r="AZ636" s="403">
        <f>'Portefeuille SP2'!AL661</f>
        <v>0</v>
      </c>
      <c r="BA636" s="403">
        <f>'Portefeuille SP2'!AM661</f>
        <v>0</v>
      </c>
      <c r="BB636" s="403">
        <f>'Portefeuille SP2'!AN661</f>
        <v>0</v>
      </c>
      <c r="BC636" s="403">
        <f>'Portefeuille SP2'!AO661</f>
        <v>0</v>
      </c>
      <c r="BD636" s="403">
        <f>'Portefeuille SP2'!AP661</f>
        <v>0</v>
      </c>
      <c r="BE636" s="403">
        <f>'Portefeuille SP2'!AQ661</f>
        <v>0</v>
      </c>
      <c r="BF636" s="403">
        <f>'Portefeuille SP2'!AR661</f>
        <v>0</v>
      </c>
      <c r="BG636" s="403" t="e">
        <f>'Portefeuille SP2'!#REF!</f>
        <v>#REF!</v>
      </c>
      <c r="BH636" s="403" t="e">
        <f>'Portefeuille SP2'!#REF!</f>
        <v>#REF!</v>
      </c>
      <c r="BI636" s="403" t="e">
        <f>'Portefeuille SP2'!#REF!</f>
        <v>#REF!</v>
      </c>
      <c r="BJ636" s="403" t="e">
        <f>'Portefeuille SP2'!#REF!</f>
        <v>#REF!</v>
      </c>
      <c r="BK636" s="403" t="e">
        <f>'Portefeuille SP2'!#REF!</f>
        <v>#REF!</v>
      </c>
      <c r="BL636" s="388"/>
      <c r="BM636" s="404">
        <f>'Portefeuille SP2'!L661</f>
        <v>0</v>
      </c>
    </row>
    <row r="637" spans="1:65" ht="15" customHeight="1">
      <c r="A637" s="383">
        <f>'Portefeuille SP2'!B662</f>
        <v>0</v>
      </c>
      <c r="B637" s="390">
        <f>'Portefeuille SP2'!Q662</f>
        <v>0</v>
      </c>
      <c r="C637" s="384"/>
      <c r="D637" s="382">
        <f>'Portefeuille SP2'!E662</f>
        <v>0</v>
      </c>
      <c r="E637" s="382" t="str">
        <f t="shared" si="39"/>
        <v>0</v>
      </c>
      <c r="F637" s="382" t="str">
        <f t="shared" si="40"/>
        <v/>
      </c>
      <c r="G637" s="382">
        <f>'Portefeuille SP2'!C662</f>
        <v>0</v>
      </c>
      <c r="H637" s="382">
        <f>'Portefeuille SP2'!F662</f>
        <v>0</v>
      </c>
      <c r="I637" s="382"/>
      <c r="J637" s="382">
        <f>'Portefeuille SP2'!D662</f>
        <v>0</v>
      </c>
      <c r="K637" s="385">
        <f>'Portefeuille SP2'!H662</f>
        <v>0</v>
      </c>
      <c r="L637" s="157">
        <f>'Portefeuille SP2'!U662</f>
        <v>0</v>
      </c>
      <c r="M637" s="386"/>
      <c r="N637" s="386"/>
      <c r="O637" s="386"/>
      <c r="P637" s="387">
        <f>'Portefeuille SP2'!M662</f>
        <v>0</v>
      </c>
      <c r="Q637" s="387"/>
      <c r="R637" s="387">
        <f>'Portefeuille SP2'!N662</f>
        <v>0</v>
      </c>
      <c r="S637" s="387"/>
      <c r="T637" s="382">
        <f>'Portefeuille SP2'!R662</f>
        <v>0</v>
      </c>
      <c r="U637" s="387">
        <f>'Portefeuille SP2'!K662</f>
        <v>0</v>
      </c>
      <c r="V637" s="399">
        <f>'Portefeuille SP2'!S662</f>
        <v>0</v>
      </c>
      <c r="W637" s="387"/>
      <c r="X637" s="387"/>
      <c r="Y637" s="387"/>
      <c r="Z637" s="387"/>
      <c r="AA637" s="387"/>
      <c r="AB637" s="387"/>
      <c r="AC637" s="387"/>
      <c r="AD637" s="387"/>
      <c r="AE637" s="400">
        <f>'Portefeuille SP2'!J662</f>
        <v>0</v>
      </c>
      <c r="AF637" s="387"/>
      <c r="AG637" s="387"/>
      <c r="AH637" s="389"/>
      <c r="AI637" s="389"/>
      <c r="AJ637" s="403">
        <f>'Portefeuille SP2'!V662</f>
        <v>0</v>
      </c>
      <c r="AK637" s="403">
        <f>'Portefeuille SP2'!W662</f>
        <v>0</v>
      </c>
      <c r="AL637" s="403">
        <f>'Portefeuille SP2'!X662</f>
        <v>0</v>
      </c>
      <c r="AM637" s="403">
        <f>'Portefeuille SP2'!Y662</f>
        <v>0</v>
      </c>
      <c r="AN637" s="403">
        <f>'Portefeuille SP2'!Z662</f>
        <v>0</v>
      </c>
      <c r="AO637" s="403">
        <f>'Portefeuille SP2'!AA662</f>
        <v>0</v>
      </c>
      <c r="AP637" s="403">
        <f>'Portefeuille SP2'!AB662</f>
        <v>0</v>
      </c>
      <c r="AQ637" s="403">
        <f>'Portefeuille SP2'!AC662</f>
        <v>0</v>
      </c>
      <c r="AR637" s="403">
        <f>'Portefeuille SP2'!AD662</f>
        <v>0</v>
      </c>
      <c r="AS637" s="403">
        <f>'Portefeuille SP2'!AE662</f>
        <v>0</v>
      </c>
      <c r="AT637" s="403">
        <f>'Portefeuille SP2'!AF662</f>
        <v>0</v>
      </c>
      <c r="AU637" s="403">
        <f>'Portefeuille SP2'!AG662</f>
        <v>0</v>
      </c>
      <c r="AV637" s="403">
        <f>'Portefeuille SP2'!AH662</f>
        <v>0</v>
      </c>
      <c r="AW637" s="403">
        <f>'Portefeuille SP2'!AI662</f>
        <v>0</v>
      </c>
      <c r="AX637" s="403">
        <f>'Portefeuille SP2'!AJ662</f>
        <v>0</v>
      </c>
      <c r="AY637" s="403">
        <f>'Portefeuille SP2'!AK662</f>
        <v>0</v>
      </c>
      <c r="AZ637" s="403">
        <f>'Portefeuille SP2'!AL662</f>
        <v>0</v>
      </c>
      <c r="BA637" s="403">
        <f>'Portefeuille SP2'!AM662</f>
        <v>0</v>
      </c>
      <c r="BB637" s="403">
        <f>'Portefeuille SP2'!AN662</f>
        <v>0</v>
      </c>
      <c r="BC637" s="403">
        <f>'Portefeuille SP2'!AO662</f>
        <v>0</v>
      </c>
      <c r="BD637" s="403">
        <f>'Portefeuille SP2'!AP662</f>
        <v>0</v>
      </c>
      <c r="BE637" s="403">
        <f>'Portefeuille SP2'!AQ662</f>
        <v>0</v>
      </c>
      <c r="BF637" s="403">
        <f>'Portefeuille SP2'!AR662</f>
        <v>0</v>
      </c>
      <c r="BG637" s="403" t="e">
        <f>'Portefeuille SP2'!#REF!</f>
        <v>#REF!</v>
      </c>
      <c r="BH637" s="403" t="e">
        <f>'Portefeuille SP2'!#REF!</f>
        <v>#REF!</v>
      </c>
      <c r="BI637" s="403" t="e">
        <f>'Portefeuille SP2'!#REF!</f>
        <v>#REF!</v>
      </c>
      <c r="BJ637" s="403" t="e">
        <f>'Portefeuille SP2'!#REF!</f>
        <v>#REF!</v>
      </c>
      <c r="BK637" s="403" t="e">
        <f>'Portefeuille SP2'!#REF!</f>
        <v>#REF!</v>
      </c>
      <c r="BL637" s="388"/>
      <c r="BM637" s="404">
        <f>'Portefeuille SP2'!L662</f>
        <v>0</v>
      </c>
    </row>
    <row r="638" spans="1:65" ht="15" customHeight="1">
      <c r="A638" s="383">
        <f>'Portefeuille SP2'!B663</f>
        <v>0</v>
      </c>
      <c r="B638" s="390">
        <f>'Portefeuille SP2'!Q663</f>
        <v>0</v>
      </c>
      <c r="C638" s="384"/>
      <c r="D638" s="382">
        <f>'Portefeuille SP2'!E663</f>
        <v>0</v>
      </c>
      <c r="E638" s="382" t="str">
        <f t="shared" si="39"/>
        <v>0</v>
      </c>
      <c r="F638" s="382" t="str">
        <f t="shared" si="40"/>
        <v/>
      </c>
      <c r="G638" s="382">
        <f>'Portefeuille SP2'!C663</f>
        <v>0</v>
      </c>
      <c r="H638" s="382">
        <f>'Portefeuille SP2'!F663</f>
        <v>0</v>
      </c>
      <c r="I638" s="382"/>
      <c r="J638" s="382">
        <f>'Portefeuille SP2'!D663</f>
        <v>0</v>
      </c>
      <c r="K638" s="385">
        <f>'Portefeuille SP2'!H663</f>
        <v>0</v>
      </c>
      <c r="L638" s="157">
        <f>'Portefeuille SP2'!U663</f>
        <v>0</v>
      </c>
      <c r="M638" s="386"/>
      <c r="N638" s="386"/>
      <c r="O638" s="386"/>
      <c r="P638" s="387">
        <f>'Portefeuille SP2'!M663</f>
        <v>0</v>
      </c>
      <c r="Q638" s="387"/>
      <c r="R638" s="387">
        <f>'Portefeuille SP2'!N663</f>
        <v>0</v>
      </c>
      <c r="S638" s="387"/>
      <c r="T638" s="382">
        <f>'Portefeuille SP2'!R663</f>
        <v>0</v>
      </c>
      <c r="U638" s="387">
        <f>'Portefeuille SP2'!K663</f>
        <v>0</v>
      </c>
      <c r="V638" s="399">
        <f>'Portefeuille SP2'!S663</f>
        <v>0</v>
      </c>
      <c r="W638" s="387"/>
      <c r="X638" s="387"/>
      <c r="Y638" s="387"/>
      <c r="Z638" s="387"/>
      <c r="AA638" s="387"/>
      <c r="AB638" s="387"/>
      <c r="AC638" s="387"/>
      <c r="AD638" s="387"/>
      <c r="AE638" s="400">
        <f>'Portefeuille SP2'!J663</f>
        <v>0</v>
      </c>
      <c r="AF638" s="387"/>
      <c r="AG638" s="387"/>
      <c r="AH638" s="389"/>
      <c r="AI638" s="389"/>
      <c r="AJ638" s="403">
        <f>'Portefeuille SP2'!V663</f>
        <v>0</v>
      </c>
      <c r="AK638" s="403">
        <f>'Portefeuille SP2'!W663</f>
        <v>0</v>
      </c>
      <c r="AL638" s="403">
        <f>'Portefeuille SP2'!X663</f>
        <v>0</v>
      </c>
      <c r="AM638" s="403">
        <f>'Portefeuille SP2'!Y663</f>
        <v>0</v>
      </c>
      <c r="AN638" s="403">
        <f>'Portefeuille SP2'!Z663</f>
        <v>0</v>
      </c>
      <c r="AO638" s="403">
        <f>'Portefeuille SP2'!AA663</f>
        <v>0</v>
      </c>
      <c r="AP638" s="403">
        <f>'Portefeuille SP2'!AB663</f>
        <v>0</v>
      </c>
      <c r="AQ638" s="403">
        <f>'Portefeuille SP2'!AC663</f>
        <v>0</v>
      </c>
      <c r="AR638" s="403">
        <f>'Portefeuille SP2'!AD663</f>
        <v>0</v>
      </c>
      <c r="AS638" s="403">
        <f>'Portefeuille SP2'!AE663</f>
        <v>0</v>
      </c>
      <c r="AT638" s="403">
        <f>'Portefeuille SP2'!AF663</f>
        <v>0</v>
      </c>
      <c r="AU638" s="403">
        <f>'Portefeuille SP2'!AG663</f>
        <v>0</v>
      </c>
      <c r="AV638" s="403">
        <f>'Portefeuille SP2'!AH663</f>
        <v>0</v>
      </c>
      <c r="AW638" s="403">
        <f>'Portefeuille SP2'!AI663</f>
        <v>0</v>
      </c>
      <c r="AX638" s="403">
        <f>'Portefeuille SP2'!AJ663</f>
        <v>0</v>
      </c>
      <c r="AY638" s="403">
        <f>'Portefeuille SP2'!AK663</f>
        <v>0</v>
      </c>
      <c r="AZ638" s="403">
        <f>'Portefeuille SP2'!AL663</f>
        <v>0</v>
      </c>
      <c r="BA638" s="403">
        <f>'Portefeuille SP2'!AM663</f>
        <v>0</v>
      </c>
      <c r="BB638" s="403">
        <f>'Portefeuille SP2'!AN663</f>
        <v>0</v>
      </c>
      <c r="BC638" s="403">
        <f>'Portefeuille SP2'!AO663</f>
        <v>0</v>
      </c>
      <c r="BD638" s="403">
        <f>'Portefeuille SP2'!AP663</f>
        <v>0</v>
      </c>
      <c r="BE638" s="403">
        <f>'Portefeuille SP2'!AQ663</f>
        <v>0</v>
      </c>
      <c r="BF638" s="403">
        <f>'Portefeuille SP2'!AR663</f>
        <v>0</v>
      </c>
      <c r="BG638" s="403" t="e">
        <f>'Portefeuille SP2'!#REF!</f>
        <v>#REF!</v>
      </c>
      <c r="BH638" s="403" t="e">
        <f>'Portefeuille SP2'!#REF!</f>
        <v>#REF!</v>
      </c>
      <c r="BI638" s="403" t="e">
        <f>'Portefeuille SP2'!#REF!</f>
        <v>#REF!</v>
      </c>
      <c r="BJ638" s="403" t="e">
        <f>'Portefeuille SP2'!#REF!</f>
        <v>#REF!</v>
      </c>
      <c r="BK638" s="403" t="e">
        <f>'Portefeuille SP2'!#REF!</f>
        <v>#REF!</v>
      </c>
      <c r="BL638" s="388"/>
      <c r="BM638" s="404">
        <f>'Portefeuille SP2'!L663</f>
        <v>0</v>
      </c>
    </row>
    <row r="639" spans="1:65" ht="15" customHeight="1">
      <c r="A639" s="383">
        <f>'Portefeuille SP2'!B664</f>
        <v>0</v>
      </c>
      <c r="B639" s="390">
        <f>'Portefeuille SP2'!Q664</f>
        <v>0</v>
      </c>
      <c r="C639" s="384"/>
      <c r="D639" s="382">
        <f>'Portefeuille SP2'!E664</f>
        <v>0</v>
      </c>
      <c r="E639" s="382" t="str">
        <f t="shared" si="39"/>
        <v>0</v>
      </c>
      <c r="F639" s="382" t="str">
        <f t="shared" si="40"/>
        <v/>
      </c>
      <c r="G639" s="382">
        <f>'Portefeuille SP2'!C664</f>
        <v>0</v>
      </c>
      <c r="H639" s="382">
        <f>'Portefeuille SP2'!F664</f>
        <v>0</v>
      </c>
      <c r="I639" s="382"/>
      <c r="J639" s="382">
        <f>'Portefeuille SP2'!D664</f>
        <v>0</v>
      </c>
      <c r="K639" s="385">
        <f>'Portefeuille SP2'!H664</f>
        <v>0</v>
      </c>
      <c r="L639" s="157">
        <f>'Portefeuille SP2'!U664</f>
        <v>0</v>
      </c>
      <c r="M639" s="386"/>
      <c r="N639" s="386"/>
      <c r="O639" s="386"/>
      <c r="P639" s="387">
        <f>'Portefeuille SP2'!M664</f>
        <v>0</v>
      </c>
      <c r="Q639" s="387"/>
      <c r="R639" s="387">
        <f>'Portefeuille SP2'!N664</f>
        <v>0</v>
      </c>
      <c r="S639" s="387"/>
      <c r="T639" s="382">
        <f>'Portefeuille SP2'!R664</f>
        <v>0</v>
      </c>
      <c r="U639" s="387">
        <f>'Portefeuille SP2'!K664</f>
        <v>0</v>
      </c>
      <c r="V639" s="399">
        <f>'Portefeuille SP2'!S664</f>
        <v>0</v>
      </c>
      <c r="W639" s="387"/>
      <c r="X639" s="387"/>
      <c r="Y639" s="387"/>
      <c r="Z639" s="387"/>
      <c r="AA639" s="387"/>
      <c r="AB639" s="387"/>
      <c r="AC639" s="387"/>
      <c r="AD639" s="387"/>
      <c r="AE639" s="400">
        <f>'Portefeuille SP2'!J664</f>
        <v>0</v>
      </c>
      <c r="AF639" s="387"/>
      <c r="AG639" s="387"/>
      <c r="AH639" s="389"/>
      <c r="AI639" s="389"/>
      <c r="AJ639" s="403">
        <f>'Portefeuille SP2'!V664</f>
        <v>0</v>
      </c>
      <c r="AK639" s="403">
        <f>'Portefeuille SP2'!W664</f>
        <v>0</v>
      </c>
      <c r="AL639" s="403">
        <f>'Portefeuille SP2'!X664</f>
        <v>0</v>
      </c>
      <c r="AM639" s="403">
        <f>'Portefeuille SP2'!Y664</f>
        <v>0</v>
      </c>
      <c r="AN639" s="403">
        <f>'Portefeuille SP2'!Z664</f>
        <v>0</v>
      </c>
      <c r="AO639" s="403">
        <f>'Portefeuille SP2'!AA664</f>
        <v>0</v>
      </c>
      <c r="AP639" s="403">
        <f>'Portefeuille SP2'!AB664</f>
        <v>0</v>
      </c>
      <c r="AQ639" s="403">
        <f>'Portefeuille SP2'!AC664</f>
        <v>0</v>
      </c>
      <c r="AR639" s="403">
        <f>'Portefeuille SP2'!AD664</f>
        <v>0</v>
      </c>
      <c r="AS639" s="403">
        <f>'Portefeuille SP2'!AE664</f>
        <v>0</v>
      </c>
      <c r="AT639" s="403">
        <f>'Portefeuille SP2'!AF664</f>
        <v>0</v>
      </c>
      <c r="AU639" s="403">
        <f>'Portefeuille SP2'!AG664</f>
        <v>0</v>
      </c>
      <c r="AV639" s="403">
        <f>'Portefeuille SP2'!AH664</f>
        <v>0</v>
      </c>
      <c r="AW639" s="403">
        <f>'Portefeuille SP2'!AI664</f>
        <v>0</v>
      </c>
      <c r="AX639" s="403">
        <f>'Portefeuille SP2'!AJ664</f>
        <v>0</v>
      </c>
      <c r="AY639" s="403">
        <f>'Portefeuille SP2'!AK664</f>
        <v>0</v>
      </c>
      <c r="AZ639" s="403">
        <f>'Portefeuille SP2'!AL664</f>
        <v>0</v>
      </c>
      <c r="BA639" s="403">
        <f>'Portefeuille SP2'!AM664</f>
        <v>0</v>
      </c>
      <c r="BB639" s="403">
        <f>'Portefeuille SP2'!AN664</f>
        <v>0</v>
      </c>
      <c r="BC639" s="403">
        <f>'Portefeuille SP2'!AO664</f>
        <v>0</v>
      </c>
      <c r="BD639" s="403">
        <f>'Portefeuille SP2'!AP664</f>
        <v>0</v>
      </c>
      <c r="BE639" s="403">
        <f>'Portefeuille SP2'!AQ664</f>
        <v>0</v>
      </c>
      <c r="BF639" s="403">
        <f>'Portefeuille SP2'!AR664</f>
        <v>0</v>
      </c>
      <c r="BG639" s="403" t="e">
        <f>'Portefeuille SP2'!#REF!</f>
        <v>#REF!</v>
      </c>
      <c r="BH639" s="403" t="e">
        <f>'Portefeuille SP2'!#REF!</f>
        <v>#REF!</v>
      </c>
      <c r="BI639" s="403" t="e">
        <f>'Portefeuille SP2'!#REF!</f>
        <v>#REF!</v>
      </c>
      <c r="BJ639" s="403" t="e">
        <f>'Portefeuille SP2'!#REF!</f>
        <v>#REF!</v>
      </c>
      <c r="BK639" s="403" t="e">
        <f>'Portefeuille SP2'!#REF!</f>
        <v>#REF!</v>
      </c>
      <c r="BL639" s="388"/>
      <c r="BM639" s="404">
        <f>'Portefeuille SP2'!L664</f>
        <v>0</v>
      </c>
    </row>
    <row r="640" spans="1:65" ht="15" customHeight="1">
      <c r="A640" s="383">
        <f>'Portefeuille SP2'!B665</f>
        <v>0</v>
      </c>
      <c r="B640" s="390">
        <f>'Portefeuille SP2'!Q665</f>
        <v>0</v>
      </c>
      <c r="C640" s="384"/>
      <c r="D640" s="382">
        <f>'Portefeuille SP2'!E665</f>
        <v>0</v>
      </c>
      <c r="E640" s="382" t="str">
        <f t="shared" si="39"/>
        <v>0</v>
      </c>
      <c r="F640" s="382" t="str">
        <f t="shared" si="40"/>
        <v/>
      </c>
      <c r="G640" s="382">
        <f>'Portefeuille SP2'!C665</f>
        <v>0</v>
      </c>
      <c r="H640" s="382">
        <f>'Portefeuille SP2'!F665</f>
        <v>0</v>
      </c>
      <c r="I640" s="382"/>
      <c r="J640" s="382">
        <f>'Portefeuille SP2'!D665</f>
        <v>0</v>
      </c>
      <c r="K640" s="385">
        <f>'Portefeuille SP2'!H665</f>
        <v>0</v>
      </c>
      <c r="L640" s="157">
        <f>'Portefeuille SP2'!U665</f>
        <v>0</v>
      </c>
      <c r="M640" s="386"/>
      <c r="N640" s="386"/>
      <c r="O640" s="386"/>
      <c r="P640" s="387">
        <f>'Portefeuille SP2'!M665</f>
        <v>0</v>
      </c>
      <c r="Q640" s="387"/>
      <c r="R640" s="387">
        <f>'Portefeuille SP2'!N665</f>
        <v>0</v>
      </c>
      <c r="S640" s="387"/>
      <c r="T640" s="382">
        <f>'Portefeuille SP2'!R665</f>
        <v>0</v>
      </c>
      <c r="U640" s="387">
        <f>'Portefeuille SP2'!K665</f>
        <v>0</v>
      </c>
      <c r="V640" s="399">
        <f>'Portefeuille SP2'!S665</f>
        <v>0</v>
      </c>
      <c r="W640" s="387"/>
      <c r="X640" s="387"/>
      <c r="Y640" s="387"/>
      <c r="Z640" s="387"/>
      <c r="AA640" s="387"/>
      <c r="AB640" s="387"/>
      <c r="AC640" s="387"/>
      <c r="AD640" s="387"/>
      <c r="AE640" s="400">
        <f>'Portefeuille SP2'!J665</f>
        <v>0</v>
      </c>
      <c r="AF640" s="387"/>
      <c r="AG640" s="387"/>
      <c r="AH640" s="389"/>
      <c r="AI640" s="389"/>
      <c r="AJ640" s="403">
        <f>'Portefeuille SP2'!V665</f>
        <v>0</v>
      </c>
      <c r="AK640" s="403">
        <f>'Portefeuille SP2'!W665</f>
        <v>0</v>
      </c>
      <c r="AL640" s="403">
        <f>'Portefeuille SP2'!X665</f>
        <v>0</v>
      </c>
      <c r="AM640" s="403">
        <f>'Portefeuille SP2'!Y665</f>
        <v>0</v>
      </c>
      <c r="AN640" s="403">
        <f>'Portefeuille SP2'!Z665</f>
        <v>0</v>
      </c>
      <c r="AO640" s="403">
        <f>'Portefeuille SP2'!AA665</f>
        <v>0</v>
      </c>
      <c r="AP640" s="403">
        <f>'Portefeuille SP2'!AB665</f>
        <v>0</v>
      </c>
      <c r="AQ640" s="403">
        <f>'Portefeuille SP2'!AC665</f>
        <v>0</v>
      </c>
      <c r="AR640" s="403">
        <f>'Portefeuille SP2'!AD665</f>
        <v>0</v>
      </c>
      <c r="AS640" s="403">
        <f>'Portefeuille SP2'!AE665</f>
        <v>0</v>
      </c>
      <c r="AT640" s="403">
        <f>'Portefeuille SP2'!AF665</f>
        <v>0</v>
      </c>
      <c r="AU640" s="403">
        <f>'Portefeuille SP2'!AG665</f>
        <v>0</v>
      </c>
      <c r="AV640" s="403">
        <f>'Portefeuille SP2'!AH665</f>
        <v>0</v>
      </c>
      <c r="AW640" s="403">
        <f>'Portefeuille SP2'!AI665</f>
        <v>0</v>
      </c>
      <c r="AX640" s="403">
        <f>'Portefeuille SP2'!AJ665</f>
        <v>0</v>
      </c>
      <c r="AY640" s="403">
        <f>'Portefeuille SP2'!AK665</f>
        <v>0</v>
      </c>
      <c r="AZ640" s="403">
        <f>'Portefeuille SP2'!AL665</f>
        <v>0</v>
      </c>
      <c r="BA640" s="403">
        <f>'Portefeuille SP2'!AM665</f>
        <v>0</v>
      </c>
      <c r="BB640" s="403">
        <f>'Portefeuille SP2'!AN665</f>
        <v>0</v>
      </c>
      <c r="BC640" s="403">
        <f>'Portefeuille SP2'!AO665</f>
        <v>0</v>
      </c>
      <c r="BD640" s="403">
        <f>'Portefeuille SP2'!AP665</f>
        <v>0</v>
      </c>
      <c r="BE640" s="403">
        <f>'Portefeuille SP2'!AQ665</f>
        <v>0</v>
      </c>
      <c r="BF640" s="403">
        <f>'Portefeuille SP2'!AR665</f>
        <v>0</v>
      </c>
      <c r="BG640" s="403" t="e">
        <f>'Portefeuille SP2'!#REF!</f>
        <v>#REF!</v>
      </c>
      <c r="BH640" s="403" t="e">
        <f>'Portefeuille SP2'!#REF!</f>
        <v>#REF!</v>
      </c>
      <c r="BI640" s="403" t="e">
        <f>'Portefeuille SP2'!#REF!</f>
        <v>#REF!</v>
      </c>
      <c r="BJ640" s="403" t="e">
        <f>'Portefeuille SP2'!#REF!</f>
        <v>#REF!</v>
      </c>
      <c r="BK640" s="403" t="e">
        <f>'Portefeuille SP2'!#REF!</f>
        <v>#REF!</v>
      </c>
      <c r="BL640" s="388"/>
      <c r="BM640" s="404">
        <f>'Portefeuille SP2'!L665</f>
        <v>0</v>
      </c>
    </row>
    <row r="641" spans="1:65" ht="15" customHeight="1">
      <c r="A641" s="383">
        <f>'Portefeuille SP2'!B666</f>
        <v>0</v>
      </c>
      <c r="B641" s="390">
        <f>'Portefeuille SP2'!Q666</f>
        <v>0</v>
      </c>
      <c r="C641" s="384"/>
      <c r="D641" s="382">
        <f>'Portefeuille SP2'!E666</f>
        <v>0</v>
      </c>
      <c r="E641" s="382" t="str">
        <f t="shared" si="39"/>
        <v>0</v>
      </c>
      <c r="F641" s="382" t="str">
        <f t="shared" si="40"/>
        <v/>
      </c>
      <c r="G641" s="382">
        <f>'Portefeuille SP2'!C666</f>
        <v>0</v>
      </c>
      <c r="H641" s="382">
        <f>'Portefeuille SP2'!F666</f>
        <v>0</v>
      </c>
      <c r="I641" s="382"/>
      <c r="J641" s="382">
        <f>'Portefeuille SP2'!D666</f>
        <v>0</v>
      </c>
      <c r="K641" s="385">
        <f>'Portefeuille SP2'!H666</f>
        <v>0</v>
      </c>
      <c r="L641" s="157">
        <f>'Portefeuille SP2'!U666</f>
        <v>0</v>
      </c>
      <c r="M641" s="386"/>
      <c r="N641" s="386"/>
      <c r="O641" s="386"/>
      <c r="P641" s="387">
        <f>'Portefeuille SP2'!M666</f>
        <v>0</v>
      </c>
      <c r="Q641" s="387"/>
      <c r="R641" s="387">
        <f>'Portefeuille SP2'!N666</f>
        <v>0</v>
      </c>
      <c r="S641" s="387"/>
      <c r="T641" s="382">
        <f>'Portefeuille SP2'!R666</f>
        <v>0</v>
      </c>
      <c r="U641" s="387">
        <f>'Portefeuille SP2'!K666</f>
        <v>0</v>
      </c>
      <c r="V641" s="399">
        <f>'Portefeuille SP2'!S666</f>
        <v>0</v>
      </c>
      <c r="W641" s="387"/>
      <c r="X641" s="387"/>
      <c r="Y641" s="387"/>
      <c r="Z641" s="387"/>
      <c r="AA641" s="387"/>
      <c r="AB641" s="387"/>
      <c r="AC641" s="387"/>
      <c r="AD641" s="387"/>
      <c r="AE641" s="400">
        <f>'Portefeuille SP2'!J666</f>
        <v>0</v>
      </c>
      <c r="AF641" s="387"/>
      <c r="AG641" s="387"/>
      <c r="AH641" s="389"/>
      <c r="AI641" s="389"/>
      <c r="AJ641" s="403">
        <f>'Portefeuille SP2'!V666</f>
        <v>0</v>
      </c>
      <c r="AK641" s="403">
        <f>'Portefeuille SP2'!W666</f>
        <v>0</v>
      </c>
      <c r="AL641" s="403">
        <f>'Portefeuille SP2'!X666</f>
        <v>0</v>
      </c>
      <c r="AM641" s="403">
        <f>'Portefeuille SP2'!Y666</f>
        <v>0</v>
      </c>
      <c r="AN641" s="403">
        <f>'Portefeuille SP2'!Z666</f>
        <v>0</v>
      </c>
      <c r="AO641" s="403">
        <f>'Portefeuille SP2'!AA666</f>
        <v>0</v>
      </c>
      <c r="AP641" s="403">
        <f>'Portefeuille SP2'!AB666</f>
        <v>0</v>
      </c>
      <c r="AQ641" s="403">
        <f>'Portefeuille SP2'!AC666</f>
        <v>0</v>
      </c>
      <c r="AR641" s="403">
        <f>'Portefeuille SP2'!AD666</f>
        <v>0</v>
      </c>
      <c r="AS641" s="403">
        <f>'Portefeuille SP2'!AE666</f>
        <v>0</v>
      </c>
      <c r="AT641" s="403">
        <f>'Portefeuille SP2'!AF666</f>
        <v>0</v>
      </c>
      <c r="AU641" s="403">
        <f>'Portefeuille SP2'!AG666</f>
        <v>0</v>
      </c>
      <c r="AV641" s="403">
        <f>'Portefeuille SP2'!AH666</f>
        <v>0</v>
      </c>
      <c r="AW641" s="403">
        <f>'Portefeuille SP2'!AI666</f>
        <v>0</v>
      </c>
      <c r="AX641" s="403">
        <f>'Portefeuille SP2'!AJ666</f>
        <v>0</v>
      </c>
      <c r="AY641" s="403">
        <f>'Portefeuille SP2'!AK666</f>
        <v>0</v>
      </c>
      <c r="AZ641" s="403">
        <f>'Portefeuille SP2'!AL666</f>
        <v>0</v>
      </c>
      <c r="BA641" s="403">
        <f>'Portefeuille SP2'!AM666</f>
        <v>0</v>
      </c>
      <c r="BB641" s="403">
        <f>'Portefeuille SP2'!AN666</f>
        <v>0</v>
      </c>
      <c r="BC641" s="403">
        <f>'Portefeuille SP2'!AO666</f>
        <v>0</v>
      </c>
      <c r="BD641" s="403">
        <f>'Portefeuille SP2'!AP666</f>
        <v>0</v>
      </c>
      <c r="BE641" s="403">
        <f>'Portefeuille SP2'!AQ666</f>
        <v>0</v>
      </c>
      <c r="BF641" s="403">
        <f>'Portefeuille SP2'!AR666</f>
        <v>0</v>
      </c>
      <c r="BG641" s="403" t="e">
        <f>'Portefeuille SP2'!#REF!</f>
        <v>#REF!</v>
      </c>
      <c r="BH641" s="403" t="e">
        <f>'Portefeuille SP2'!#REF!</f>
        <v>#REF!</v>
      </c>
      <c r="BI641" s="403" t="e">
        <f>'Portefeuille SP2'!#REF!</f>
        <v>#REF!</v>
      </c>
      <c r="BJ641" s="403" t="e">
        <f>'Portefeuille SP2'!#REF!</f>
        <v>#REF!</v>
      </c>
      <c r="BK641" s="403" t="e">
        <f>'Portefeuille SP2'!#REF!</f>
        <v>#REF!</v>
      </c>
      <c r="BL641" s="388"/>
      <c r="BM641" s="404">
        <f>'Portefeuille SP2'!L666</f>
        <v>0</v>
      </c>
    </row>
    <row r="642" spans="1:65" ht="15" customHeight="1">
      <c r="A642" s="383">
        <f>'Portefeuille SP2'!B667</f>
        <v>0</v>
      </c>
      <c r="B642" s="390">
        <f>'Portefeuille SP2'!Q667</f>
        <v>0</v>
      </c>
      <c r="C642" s="384"/>
      <c r="D642" s="382">
        <f>'Portefeuille SP2'!E667</f>
        <v>0</v>
      </c>
      <c r="E642" s="382" t="str">
        <f t="shared" si="39"/>
        <v>0</v>
      </c>
      <c r="F642" s="382" t="str">
        <f t="shared" si="40"/>
        <v/>
      </c>
      <c r="G642" s="382">
        <f>'Portefeuille SP2'!C667</f>
        <v>0</v>
      </c>
      <c r="H642" s="382">
        <f>'Portefeuille SP2'!F667</f>
        <v>0</v>
      </c>
      <c r="I642" s="382"/>
      <c r="J642" s="382">
        <f>'Portefeuille SP2'!D667</f>
        <v>0</v>
      </c>
      <c r="K642" s="385">
        <f>'Portefeuille SP2'!H667</f>
        <v>0</v>
      </c>
      <c r="L642" s="157">
        <f>'Portefeuille SP2'!U667</f>
        <v>0</v>
      </c>
      <c r="M642" s="386"/>
      <c r="N642" s="386"/>
      <c r="O642" s="386"/>
      <c r="P642" s="387">
        <f>'Portefeuille SP2'!M667</f>
        <v>0</v>
      </c>
      <c r="Q642" s="387"/>
      <c r="R642" s="387">
        <f>'Portefeuille SP2'!N667</f>
        <v>0</v>
      </c>
      <c r="S642" s="387"/>
      <c r="T642" s="382">
        <f>'Portefeuille SP2'!R667</f>
        <v>0</v>
      </c>
      <c r="U642" s="387">
        <f>'Portefeuille SP2'!K667</f>
        <v>0</v>
      </c>
      <c r="V642" s="399">
        <f>'Portefeuille SP2'!S667</f>
        <v>0</v>
      </c>
      <c r="W642" s="387"/>
      <c r="X642" s="387"/>
      <c r="Y642" s="387"/>
      <c r="Z642" s="387"/>
      <c r="AA642" s="387"/>
      <c r="AB642" s="387"/>
      <c r="AC642" s="387"/>
      <c r="AD642" s="387"/>
      <c r="AE642" s="400">
        <f>'Portefeuille SP2'!J667</f>
        <v>0</v>
      </c>
      <c r="AF642" s="387"/>
      <c r="AG642" s="387"/>
      <c r="AH642" s="389"/>
      <c r="AI642" s="389"/>
      <c r="AJ642" s="403">
        <f>'Portefeuille SP2'!V667</f>
        <v>0</v>
      </c>
      <c r="AK642" s="403">
        <f>'Portefeuille SP2'!W667</f>
        <v>0</v>
      </c>
      <c r="AL642" s="403">
        <f>'Portefeuille SP2'!X667</f>
        <v>0</v>
      </c>
      <c r="AM642" s="403">
        <f>'Portefeuille SP2'!Y667</f>
        <v>0</v>
      </c>
      <c r="AN642" s="403">
        <f>'Portefeuille SP2'!Z667</f>
        <v>0</v>
      </c>
      <c r="AO642" s="403">
        <f>'Portefeuille SP2'!AA667</f>
        <v>0</v>
      </c>
      <c r="AP642" s="403">
        <f>'Portefeuille SP2'!AB667</f>
        <v>0</v>
      </c>
      <c r="AQ642" s="403">
        <f>'Portefeuille SP2'!AC667</f>
        <v>0</v>
      </c>
      <c r="AR642" s="403">
        <f>'Portefeuille SP2'!AD667</f>
        <v>0</v>
      </c>
      <c r="AS642" s="403">
        <f>'Portefeuille SP2'!AE667</f>
        <v>0</v>
      </c>
      <c r="AT642" s="403">
        <f>'Portefeuille SP2'!AF667</f>
        <v>0</v>
      </c>
      <c r="AU642" s="403">
        <f>'Portefeuille SP2'!AG667</f>
        <v>0</v>
      </c>
      <c r="AV642" s="403">
        <f>'Portefeuille SP2'!AH667</f>
        <v>0</v>
      </c>
      <c r="AW642" s="403">
        <f>'Portefeuille SP2'!AI667</f>
        <v>0</v>
      </c>
      <c r="AX642" s="403">
        <f>'Portefeuille SP2'!AJ667</f>
        <v>0</v>
      </c>
      <c r="AY642" s="403">
        <f>'Portefeuille SP2'!AK667</f>
        <v>0</v>
      </c>
      <c r="AZ642" s="403">
        <f>'Portefeuille SP2'!AL667</f>
        <v>0</v>
      </c>
      <c r="BA642" s="403">
        <f>'Portefeuille SP2'!AM667</f>
        <v>0</v>
      </c>
      <c r="BB642" s="403">
        <f>'Portefeuille SP2'!AN667</f>
        <v>0</v>
      </c>
      <c r="BC642" s="403">
        <f>'Portefeuille SP2'!AO667</f>
        <v>0</v>
      </c>
      <c r="BD642" s="403">
        <f>'Portefeuille SP2'!AP667</f>
        <v>0</v>
      </c>
      <c r="BE642" s="403">
        <f>'Portefeuille SP2'!AQ667</f>
        <v>0</v>
      </c>
      <c r="BF642" s="403">
        <f>'Portefeuille SP2'!AR667</f>
        <v>0</v>
      </c>
      <c r="BG642" s="403" t="e">
        <f>'Portefeuille SP2'!#REF!</f>
        <v>#REF!</v>
      </c>
      <c r="BH642" s="403" t="e">
        <f>'Portefeuille SP2'!#REF!</f>
        <v>#REF!</v>
      </c>
      <c r="BI642" s="403" t="e">
        <f>'Portefeuille SP2'!#REF!</f>
        <v>#REF!</v>
      </c>
      <c r="BJ642" s="403" t="e">
        <f>'Portefeuille SP2'!#REF!</f>
        <v>#REF!</v>
      </c>
      <c r="BK642" s="403" t="e">
        <f>'Portefeuille SP2'!#REF!</f>
        <v>#REF!</v>
      </c>
      <c r="BL642" s="388"/>
      <c r="BM642" s="404">
        <f>'Portefeuille SP2'!L667</f>
        <v>0</v>
      </c>
    </row>
    <row r="643" spans="1:65" ht="15" customHeight="1">
      <c r="A643" s="383">
        <f>'Portefeuille SP2'!B668</f>
        <v>0</v>
      </c>
      <c r="B643" s="390">
        <f>'Portefeuille SP2'!Q668</f>
        <v>0</v>
      </c>
      <c r="C643" s="384"/>
      <c r="D643" s="382">
        <f>'Portefeuille SP2'!E668</f>
        <v>0</v>
      </c>
      <c r="E643" s="382" t="str">
        <f t="shared" si="39"/>
        <v>0</v>
      </c>
      <c r="F643" s="382" t="str">
        <f t="shared" si="40"/>
        <v/>
      </c>
      <c r="G643" s="382">
        <f>'Portefeuille SP2'!C668</f>
        <v>0</v>
      </c>
      <c r="H643" s="382">
        <f>'Portefeuille SP2'!F668</f>
        <v>0</v>
      </c>
      <c r="I643" s="382"/>
      <c r="J643" s="382">
        <f>'Portefeuille SP2'!D668</f>
        <v>0</v>
      </c>
      <c r="K643" s="385">
        <f>'Portefeuille SP2'!H668</f>
        <v>0</v>
      </c>
      <c r="L643" s="157">
        <f>'Portefeuille SP2'!U668</f>
        <v>0</v>
      </c>
      <c r="M643" s="386"/>
      <c r="N643" s="386"/>
      <c r="O643" s="386"/>
      <c r="P643" s="387">
        <f>'Portefeuille SP2'!M668</f>
        <v>0</v>
      </c>
      <c r="Q643" s="387"/>
      <c r="R643" s="387">
        <f>'Portefeuille SP2'!N668</f>
        <v>0</v>
      </c>
      <c r="S643" s="387"/>
      <c r="T643" s="382">
        <f>'Portefeuille SP2'!R668</f>
        <v>0</v>
      </c>
      <c r="U643" s="387">
        <f>'Portefeuille SP2'!K668</f>
        <v>0</v>
      </c>
      <c r="V643" s="399">
        <f>'Portefeuille SP2'!S668</f>
        <v>0</v>
      </c>
      <c r="W643" s="387"/>
      <c r="X643" s="387"/>
      <c r="Y643" s="387"/>
      <c r="Z643" s="387"/>
      <c r="AA643" s="387"/>
      <c r="AB643" s="387"/>
      <c r="AC643" s="387"/>
      <c r="AD643" s="387"/>
      <c r="AE643" s="400">
        <f>'Portefeuille SP2'!J668</f>
        <v>0</v>
      </c>
      <c r="AF643" s="387"/>
      <c r="AG643" s="387"/>
      <c r="AH643" s="389"/>
      <c r="AI643" s="389"/>
      <c r="AJ643" s="403">
        <f>'Portefeuille SP2'!V668</f>
        <v>0</v>
      </c>
      <c r="AK643" s="403">
        <f>'Portefeuille SP2'!W668</f>
        <v>0</v>
      </c>
      <c r="AL643" s="403">
        <f>'Portefeuille SP2'!X668</f>
        <v>0</v>
      </c>
      <c r="AM643" s="403">
        <f>'Portefeuille SP2'!Y668</f>
        <v>0</v>
      </c>
      <c r="AN643" s="403">
        <f>'Portefeuille SP2'!Z668</f>
        <v>0</v>
      </c>
      <c r="AO643" s="403">
        <f>'Portefeuille SP2'!AA668</f>
        <v>0</v>
      </c>
      <c r="AP643" s="403">
        <f>'Portefeuille SP2'!AB668</f>
        <v>0</v>
      </c>
      <c r="AQ643" s="403">
        <f>'Portefeuille SP2'!AC668</f>
        <v>0</v>
      </c>
      <c r="AR643" s="403">
        <f>'Portefeuille SP2'!AD668</f>
        <v>0</v>
      </c>
      <c r="AS643" s="403">
        <f>'Portefeuille SP2'!AE668</f>
        <v>0</v>
      </c>
      <c r="AT643" s="403">
        <f>'Portefeuille SP2'!AF668</f>
        <v>0</v>
      </c>
      <c r="AU643" s="403">
        <f>'Portefeuille SP2'!AG668</f>
        <v>0</v>
      </c>
      <c r="AV643" s="403">
        <f>'Portefeuille SP2'!AH668</f>
        <v>0</v>
      </c>
      <c r="AW643" s="403">
        <f>'Portefeuille SP2'!AI668</f>
        <v>0</v>
      </c>
      <c r="AX643" s="403">
        <f>'Portefeuille SP2'!AJ668</f>
        <v>0</v>
      </c>
      <c r="AY643" s="403">
        <f>'Portefeuille SP2'!AK668</f>
        <v>0</v>
      </c>
      <c r="AZ643" s="403">
        <f>'Portefeuille SP2'!AL668</f>
        <v>0</v>
      </c>
      <c r="BA643" s="403">
        <f>'Portefeuille SP2'!AM668</f>
        <v>0</v>
      </c>
      <c r="BB643" s="403">
        <f>'Portefeuille SP2'!AN668</f>
        <v>0</v>
      </c>
      <c r="BC643" s="403">
        <f>'Portefeuille SP2'!AO668</f>
        <v>0</v>
      </c>
      <c r="BD643" s="403">
        <f>'Portefeuille SP2'!AP668</f>
        <v>0</v>
      </c>
      <c r="BE643" s="403">
        <f>'Portefeuille SP2'!AQ668</f>
        <v>0</v>
      </c>
      <c r="BF643" s="403">
        <f>'Portefeuille SP2'!AR668</f>
        <v>0</v>
      </c>
      <c r="BG643" s="403" t="e">
        <f>'Portefeuille SP2'!#REF!</f>
        <v>#REF!</v>
      </c>
      <c r="BH643" s="403" t="e">
        <f>'Portefeuille SP2'!#REF!</f>
        <v>#REF!</v>
      </c>
      <c r="BI643" s="403" t="e">
        <f>'Portefeuille SP2'!#REF!</f>
        <v>#REF!</v>
      </c>
      <c r="BJ643" s="403" t="e">
        <f>'Portefeuille SP2'!#REF!</f>
        <v>#REF!</v>
      </c>
      <c r="BK643" s="403" t="e">
        <f>'Portefeuille SP2'!#REF!</f>
        <v>#REF!</v>
      </c>
      <c r="BL643" s="388"/>
      <c r="BM643" s="404">
        <f>'Portefeuille SP2'!L668</f>
        <v>0</v>
      </c>
    </row>
    <row r="644" spans="1:65" ht="15" customHeight="1">
      <c r="A644" s="383">
        <f>'Portefeuille SP2'!B669</f>
        <v>0</v>
      </c>
      <c r="B644" s="390">
        <f>'Portefeuille SP2'!Q669</f>
        <v>0</v>
      </c>
      <c r="C644" s="384"/>
      <c r="D644" s="382">
        <f>'Portefeuille SP2'!E669</f>
        <v>0</v>
      </c>
      <c r="E644" s="382" t="str">
        <f t="shared" si="39"/>
        <v>0</v>
      </c>
      <c r="F644" s="382" t="str">
        <f t="shared" si="40"/>
        <v/>
      </c>
      <c r="G644" s="382">
        <f>'Portefeuille SP2'!C669</f>
        <v>0</v>
      </c>
      <c r="H644" s="382">
        <f>'Portefeuille SP2'!F669</f>
        <v>0</v>
      </c>
      <c r="I644" s="382"/>
      <c r="J644" s="382">
        <f>'Portefeuille SP2'!D669</f>
        <v>0</v>
      </c>
      <c r="K644" s="385">
        <f>'Portefeuille SP2'!H669</f>
        <v>0</v>
      </c>
      <c r="L644" s="157">
        <f>'Portefeuille SP2'!U669</f>
        <v>0</v>
      </c>
      <c r="M644" s="386"/>
      <c r="N644" s="386"/>
      <c r="O644" s="386"/>
      <c r="P644" s="387">
        <f>'Portefeuille SP2'!M669</f>
        <v>0</v>
      </c>
      <c r="Q644" s="387"/>
      <c r="R644" s="387">
        <f>'Portefeuille SP2'!N669</f>
        <v>0</v>
      </c>
      <c r="S644" s="387"/>
      <c r="T644" s="382">
        <f>'Portefeuille SP2'!R669</f>
        <v>0</v>
      </c>
      <c r="U644" s="387">
        <f>'Portefeuille SP2'!K669</f>
        <v>0</v>
      </c>
      <c r="V644" s="399">
        <f>'Portefeuille SP2'!S669</f>
        <v>0</v>
      </c>
      <c r="W644" s="387"/>
      <c r="X644" s="387"/>
      <c r="Y644" s="387"/>
      <c r="Z644" s="387"/>
      <c r="AA644" s="387"/>
      <c r="AB644" s="387"/>
      <c r="AC644" s="387"/>
      <c r="AD644" s="387"/>
      <c r="AE644" s="400">
        <f>'Portefeuille SP2'!J669</f>
        <v>0</v>
      </c>
      <c r="AF644" s="387"/>
      <c r="AG644" s="387"/>
      <c r="AH644" s="389"/>
      <c r="AI644" s="389"/>
      <c r="AJ644" s="403">
        <f>'Portefeuille SP2'!V669</f>
        <v>0</v>
      </c>
      <c r="AK644" s="403">
        <f>'Portefeuille SP2'!W669</f>
        <v>0</v>
      </c>
      <c r="AL644" s="403">
        <f>'Portefeuille SP2'!X669</f>
        <v>0</v>
      </c>
      <c r="AM644" s="403">
        <f>'Portefeuille SP2'!Y669</f>
        <v>0</v>
      </c>
      <c r="AN644" s="403">
        <f>'Portefeuille SP2'!Z669</f>
        <v>0</v>
      </c>
      <c r="AO644" s="403">
        <f>'Portefeuille SP2'!AA669</f>
        <v>0</v>
      </c>
      <c r="AP644" s="403">
        <f>'Portefeuille SP2'!AB669</f>
        <v>0</v>
      </c>
      <c r="AQ644" s="403">
        <f>'Portefeuille SP2'!AC669</f>
        <v>0</v>
      </c>
      <c r="AR644" s="403">
        <f>'Portefeuille SP2'!AD669</f>
        <v>0</v>
      </c>
      <c r="AS644" s="403">
        <f>'Portefeuille SP2'!AE669</f>
        <v>0</v>
      </c>
      <c r="AT644" s="403">
        <f>'Portefeuille SP2'!AF669</f>
        <v>0</v>
      </c>
      <c r="AU644" s="403">
        <f>'Portefeuille SP2'!AG669</f>
        <v>0</v>
      </c>
      <c r="AV644" s="403">
        <f>'Portefeuille SP2'!AH669</f>
        <v>0</v>
      </c>
      <c r="AW644" s="403">
        <f>'Portefeuille SP2'!AI669</f>
        <v>0</v>
      </c>
      <c r="AX644" s="403">
        <f>'Portefeuille SP2'!AJ669</f>
        <v>0</v>
      </c>
      <c r="AY644" s="403">
        <f>'Portefeuille SP2'!AK669</f>
        <v>0</v>
      </c>
      <c r="AZ644" s="403">
        <f>'Portefeuille SP2'!AL669</f>
        <v>0</v>
      </c>
      <c r="BA644" s="403">
        <f>'Portefeuille SP2'!AM669</f>
        <v>0</v>
      </c>
      <c r="BB644" s="403">
        <f>'Portefeuille SP2'!AN669</f>
        <v>0</v>
      </c>
      <c r="BC644" s="403">
        <f>'Portefeuille SP2'!AO669</f>
        <v>0</v>
      </c>
      <c r="BD644" s="403">
        <f>'Portefeuille SP2'!AP669</f>
        <v>0</v>
      </c>
      <c r="BE644" s="403">
        <f>'Portefeuille SP2'!AQ669</f>
        <v>0</v>
      </c>
      <c r="BF644" s="403">
        <f>'Portefeuille SP2'!AR669</f>
        <v>0</v>
      </c>
      <c r="BG644" s="403" t="e">
        <f>'Portefeuille SP2'!#REF!</f>
        <v>#REF!</v>
      </c>
      <c r="BH644" s="403" t="e">
        <f>'Portefeuille SP2'!#REF!</f>
        <v>#REF!</v>
      </c>
      <c r="BI644" s="403" t="e">
        <f>'Portefeuille SP2'!#REF!</f>
        <v>#REF!</v>
      </c>
      <c r="BJ644" s="403" t="e">
        <f>'Portefeuille SP2'!#REF!</f>
        <v>#REF!</v>
      </c>
      <c r="BK644" s="403" t="e">
        <f>'Portefeuille SP2'!#REF!</f>
        <v>#REF!</v>
      </c>
      <c r="BL644" s="388"/>
      <c r="BM644" s="404">
        <f>'Portefeuille SP2'!L669</f>
        <v>0</v>
      </c>
    </row>
    <row r="645" spans="1:65" ht="15" customHeight="1">
      <c r="A645" s="383">
        <f>'Portefeuille SP2'!B670</f>
        <v>0</v>
      </c>
      <c r="B645" s="390">
        <f>'Portefeuille SP2'!Q670</f>
        <v>0</v>
      </c>
      <c r="C645" s="384"/>
      <c r="D645" s="382">
        <f>'Portefeuille SP2'!E670</f>
        <v>0</v>
      </c>
      <c r="E645" s="382" t="str">
        <f t="shared" si="39"/>
        <v>0</v>
      </c>
      <c r="F645" s="382" t="str">
        <f t="shared" si="40"/>
        <v/>
      </c>
      <c r="G645" s="382">
        <f>'Portefeuille SP2'!C670</f>
        <v>0</v>
      </c>
      <c r="H645" s="382">
        <f>'Portefeuille SP2'!F670</f>
        <v>0</v>
      </c>
      <c r="I645" s="382"/>
      <c r="J645" s="382">
        <f>'Portefeuille SP2'!D670</f>
        <v>0</v>
      </c>
      <c r="K645" s="385">
        <f>'Portefeuille SP2'!H670</f>
        <v>0</v>
      </c>
      <c r="L645" s="157">
        <f>'Portefeuille SP2'!U670</f>
        <v>0</v>
      </c>
      <c r="M645" s="386"/>
      <c r="N645" s="386"/>
      <c r="O645" s="386"/>
      <c r="P645" s="387">
        <f>'Portefeuille SP2'!M670</f>
        <v>0</v>
      </c>
      <c r="Q645" s="387"/>
      <c r="R645" s="387">
        <f>'Portefeuille SP2'!N670</f>
        <v>0</v>
      </c>
      <c r="S645" s="387"/>
      <c r="T645" s="382">
        <f>'Portefeuille SP2'!R670</f>
        <v>0</v>
      </c>
      <c r="U645" s="387">
        <f>'Portefeuille SP2'!K670</f>
        <v>0</v>
      </c>
      <c r="V645" s="399">
        <f>'Portefeuille SP2'!S670</f>
        <v>0</v>
      </c>
      <c r="W645" s="387"/>
      <c r="X645" s="387"/>
      <c r="Y645" s="387"/>
      <c r="Z645" s="387"/>
      <c r="AA645" s="387"/>
      <c r="AB645" s="387"/>
      <c r="AC645" s="387"/>
      <c r="AD645" s="387"/>
      <c r="AE645" s="400">
        <f>'Portefeuille SP2'!J670</f>
        <v>0</v>
      </c>
      <c r="AF645" s="387"/>
      <c r="AG645" s="387"/>
      <c r="AH645" s="389"/>
      <c r="AI645" s="389"/>
      <c r="AJ645" s="403">
        <f>'Portefeuille SP2'!V670</f>
        <v>0</v>
      </c>
      <c r="AK645" s="403">
        <f>'Portefeuille SP2'!W670</f>
        <v>0</v>
      </c>
      <c r="AL645" s="403">
        <f>'Portefeuille SP2'!X670</f>
        <v>0</v>
      </c>
      <c r="AM645" s="403">
        <f>'Portefeuille SP2'!Y670</f>
        <v>0</v>
      </c>
      <c r="AN645" s="403">
        <f>'Portefeuille SP2'!Z670</f>
        <v>0</v>
      </c>
      <c r="AO645" s="403">
        <f>'Portefeuille SP2'!AA670</f>
        <v>0</v>
      </c>
      <c r="AP645" s="403">
        <f>'Portefeuille SP2'!AB670</f>
        <v>0</v>
      </c>
      <c r="AQ645" s="403">
        <f>'Portefeuille SP2'!AC670</f>
        <v>0</v>
      </c>
      <c r="AR645" s="403">
        <f>'Portefeuille SP2'!AD670</f>
        <v>0</v>
      </c>
      <c r="AS645" s="403">
        <f>'Portefeuille SP2'!AE670</f>
        <v>0</v>
      </c>
      <c r="AT645" s="403">
        <f>'Portefeuille SP2'!AF670</f>
        <v>0</v>
      </c>
      <c r="AU645" s="403">
        <f>'Portefeuille SP2'!AG670</f>
        <v>0</v>
      </c>
      <c r="AV645" s="403">
        <f>'Portefeuille SP2'!AH670</f>
        <v>0</v>
      </c>
      <c r="AW645" s="403">
        <f>'Portefeuille SP2'!AI670</f>
        <v>0</v>
      </c>
      <c r="AX645" s="403">
        <f>'Portefeuille SP2'!AJ670</f>
        <v>0</v>
      </c>
      <c r="AY645" s="403">
        <f>'Portefeuille SP2'!AK670</f>
        <v>0</v>
      </c>
      <c r="AZ645" s="403">
        <f>'Portefeuille SP2'!AL670</f>
        <v>0</v>
      </c>
      <c r="BA645" s="403">
        <f>'Portefeuille SP2'!AM670</f>
        <v>0</v>
      </c>
      <c r="BB645" s="403">
        <f>'Portefeuille SP2'!AN670</f>
        <v>0</v>
      </c>
      <c r="BC645" s="403">
        <f>'Portefeuille SP2'!AO670</f>
        <v>0</v>
      </c>
      <c r="BD645" s="403">
        <f>'Portefeuille SP2'!AP670</f>
        <v>0</v>
      </c>
      <c r="BE645" s="403">
        <f>'Portefeuille SP2'!AQ670</f>
        <v>0</v>
      </c>
      <c r="BF645" s="403">
        <f>'Portefeuille SP2'!AR670</f>
        <v>0</v>
      </c>
      <c r="BG645" s="403" t="e">
        <f>'Portefeuille SP2'!#REF!</f>
        <v>#REF!</v>
      </c>
      <c r="BH645" s="403" t="e">
        <f>'Portefeuille SP2'!#REF!</f>
        <v>#REF!</v>
      </c>
      <c r="BI645" s="403" t="e">
        <f>'Portefeuille SP2'!#REF!</f>
        <v>#REF!</v>
      </c>
      <c r="BJ645" s="403" t="e">
        <f>'Portefeuille SP2'!#REF!</f>
        <v>#REF!</v>
      </c>
      <c r="BK645" s="403" t="e">
        <f>'Portefeuille SP2'!#REF!</f>
        <v>#REF!</v>
      </c>
      <c r="BL645" s="388"/>
      <c r="BM645" s="404">
        <f>'Portefeuille SP2'!L670</f>
        <v>0</v>
      </c>
    </row>
    <row r="646" spans="1:65" ht="15" customHeight="1">
      <c r="A646" s="383">
        <f>'Portefeuille SP2'!B671</f>
        <v>0</v>
      </c>
      <c r="B646" s="390">
        <f>'Portefeuille SP2'!Q671</f>
        <v>0</v>
      </c>
      <c r="C646" s="384"/>
      <c r="D646" s="382">
        <f>'Portefeuille SP2'!E671</f>
        <v>0</v>
      </c>
      <c r="E646" s="382" t="str">
        <f t="shared" si="39"/>
        <v>0</v>
      </c>
      <c r="F646" s="382" t="str">
        <f t="shared" si="40"/>
        <v/>
      </c>
      <c r="G646" s="382">
        <f>'Portefeuille SP2'!C671</f>
        <v>0</v>
      </c>
      <c r="H646" s="382">
        <f>'Portefeuille SP2'!F671</f>
        <v>0</v>
      </c>
      <c r="I646" s="382"/>
      <c r="J646" s="382">
        <f>'Portefeuille SP2'!D671</f>
        <v>0</v>
      </c>
      <c r="K646" s="385">
        <f>'Portefeuille SP2'!H671</f>
        <v>0</v>
      </c>
      <c r="L646" s="157">
        <f>'Portefeuille SP2'!U671</f>
        <v>0</v>
      </c>
      <c r="M646" s="386"/>
      <c r="N646" s="386"/>
      <c r="O646" s="386"/>
      <c r="P646" s="387">
        <f>'Portefeuille SP2'!M671</f>
        <v>0</v>
      </c>
      <c r="Q646" s="387"/>
      <c r="R646" s="387">
        <f>'Portefeuille SP2'!N671</f>
        <v>0</v>
      </c>
      <c r="S646" s="387"/>
      <c r="T646" s="382">
        <f>'Portefeuille SP2'!R671</f>
        <v>0</v>
      </c>
      <c r="U646" s="387">
        <f>'Portefeuille SP2'!K671</f>
        <v>0</v>
      </c>
      <c r="V646" s="399">
        <f>'Portefeuille SP2'!S671</f>
        <v>0</v>
      </c>
      <c r="W646" s="387"/>
      <c r="X646" s="387"/>
      <c r="Y646" s="387"/>
      <c r="Z646" s="387"/>
      <c r="AA646" s="387"/>
      <c r="AB646" s="387"/>
      <c r="AC646" s="387"/>
      <c r="AD646" s="387"/>
      <c r="AE646" s="400">
        <f>'Portefeuille SP2'!J671</f>
        <v>0</v>
      </c>
      <c r="AF646" s="387"/>
      <c r="AG646" s="387"/>
      <c r="AH646" s="389"/>
      <c r="AI646" s="389"/>
      <c r="AJ646" s="403">
        <f>'Portefeuille SP2'!V671</f>
        <v>0</v>
      </c>
      <c r="AK646" s="403">
        <f>'Portefeuille SP2'!W671</f>
        <v>0</v>
      </c>
      <c r="AL646" s="403">
        <f>'Portefeuille SP2'!X671</f>
        <v>0</v>
      </c>
      <c r="AM646" s="403">
        <f>'Portefeuille SP2'!Y671</f>
        <v>0</v>
      </c>
      <c r="AN646" s="403">
        <f>'Portefeuille SP2'!Z671</f>
        <v>0</v>
      </c>
      <c r="AO646" s="403">
        <f>'Portefeuille SP2'!AA671</f>
        <v>0</v>
      </c>
      <c r="AP646" s="403">
        <f>'Portefeuille SP2'!AB671</f>
        <v>0</v>
      </c>
      <c r="AQ646" s="403">
        <f>'Portefeuille SP2'!AC671</f>
        <v>0</v>
      </c>
      <c r="AR646" s="403">
        <f>'Portefeuille SP2'!AD671</f>
        <v>0</v>
      </c>
      <c r="AS646" s="403">
        <f>'Portefeuille SP2'!AE671</f>
        <v>0</v>
      </c>
      <c r="AT646" s="403">
        <f>'Portefeuille SP2'!AF671</f>
        <v>0</v>
      </c>
      <c r="AU646" s="403">
        <f>'Portefeuille SP2'!AG671</f>
        <v>0</v>
      </c>
      <c r="AV646" s="403">
        <f>'Portefeuille SP2'!AH671</f>
        <v>0</v>
      </c>
      <c r="AW646" s="403">
        <f>'Portefeuille SP2'!AI671</f>
        <v>0</v>
      </c>
      <c r="AX646" s="403">
        <f>'Portefeuille SP2'!AJ671</f>
        <v>0</v>
      </c>
      <c r="AY646" s="403">
        <f>'Portefeuille SP2'!AK671</f>
        <v>0</v>
      </c>
      <c r="AZ646" s="403">
        <f>'Portefeuille SP2'!AL671</f>
        <v>0</v>
      </c>
      <c r="BA646" s="403">
        <f>'Portefeuille SP2'!AM671</f>
        <v>0</v>
      </c>
      <c r="BB646" s="403">
        <f>'Portefeuille SP2'!AN671</f>
        <v>0</v>
      </c>
      <c r="BC646" s="403">
        <f>'Portefeuille SP2'!AO671</f>
        <v>0</v>
      </c>
      <c r="BD646" s="403">
        <f>'Portefeuille SP2'!AP671</f>
        <v>0</v>
      </c>
      <c r="BE646" s="403">
        <f>'Portefeuille SP2'!AQ671</f>
        <v>0</v>
      </c>
      <c r="BF646" s="403">
        <f>'Portefeuille SP2'!AR671</f>
        <v>0</v>
      </c>
      <c r="BG646" s="403" t="e">
        <f>'Portefeuille SP2'!#REF!</f>
        <v>#REF!</v>
      </c>
      <c r="BH646" s="403" t="e">
        <f>'Portefeuille SP2'!#REF!</f>
        <v>#REF!</v>
      </c>
      <c r="BI646" s="403" t="e">
        <f>'Portefeuille SP2'!#REF!</f>
        <v>#REF!</v>
      </c>
      <c r="BJ646" s="403" t="e">
        <f>'Portefeuille SP2'!#REF!</f>
        <v>#REF!</v>
      </c>
      <c r="BK646" s="403" t="e">
        <f>'Portefeuille SP2'!#REF!</f>
        <v>#REF!</v>
      </c>
      <c r="BL646" s="388"/>
      <c r="BM646" s="404">
        <f>'Portefeuille SP2'!L671</f>
        <v>0</v>
      </c>
    </row>
    <row r="647" spans="1:65" ht="15" customHeight="1">
      <c r="A647" s="383">
        <f>'Portefeuille SP2'!B672</f>
        <v>0</v>
      </c>
      <c r="B647" s="390">
        <f>'Portefeuille SP2'!Q672</f>
        <v>0</v>
      </c>
      <c r="C647" s="384"/>
      <c r="D647" s="382">
        <f>'Portefeuille SP2'!E672</f>
        <v>0</v>
      </c>
      <c r="E647" s="382" t="str">
        <f t="shared" si="39"/>
        <v>0</v>
      </c>
      <c r="F647" s="382" t="str">
        <f t="shared" si="40"/>
        <v/>
      </c>
      <c r="G647" s="382">
        <f>'Portefeuille SP2'!C672</f>
        <v>0</v>
      </c>
      <c r="H647" s="382">
        <f>'Portefeuille SP2'!F672</f>
        <v>0</v>
      </c>
      <c r="I647" s="382"/>
      <c r="J647" s="382">
        <f>'Portefeuille SP2'!D672</f>
        <v>0</v>
      </c>
      <c r="K647" s="385">
        <f>'Portefeuille SP2'!H672</f>
        <v>0</v>
      </c>
      <c r="L647" s="157">
        <f>'Portefeuille SP2'!U672</f>
        <v>0</v>
      </c>
      <c r="M647" s="386"/>
      <c r="N647" s="386"/>
      <c r="O647" s="386"/>
      <c r="P647" s="387">
        <f>'Portefeuille SP2'!M672</f>
        <v>0</v>
      </c>
      <c r="Q647" s="387"/>
      <c r="R647" s="387">
        <f>'Portefeuille SP2'!N672</f>
        <v>0</v>
      </c>
      <c r="S647" s="387"/>
      <c r="T647" s="382">
        <f>'Portefeuille SP2'!R672</f>
        <v>0</v>
      </c>
      <c r="U647" s="387">
        <f>'Portefeuille SP2'!K672</f>
        <v>0</v>
      </c>
      <c r="V647" s="399">
        <f>'Portefeuille SP2'!S672</f>
        <v>0</v>
      </c>
      <c r="W647" s="387"/>
      <c r="X647" s="387"/>
      <c r="Y647" s="387"/>
      <c r="Z647" s="387"/>
      <c r="AA647" s="387"/>
      <c r="AB647" s="387"/>
      <c r="AC647" s="387"/>
      <c r="AD647" s="387"/>
      <c r="AE647" s="400">
        <f>'Portefeuille SP2'!J672</f>
        <v>0</v>
      </c>
      <c r="AF647" s="387"/>
      <c r="AG647" s="387"/>
      <c r="AH647" s="389"/>
      <c r="AI647" s="389"/>
      <c r="AJ647" s="403">
        <f>'Portefeuille SP2'!V672</f>
        <v>0</v>
      </c>
      <c r="AK647" s="403">
        <f>'Portefeuille SP2'!W672</f>
        <v>0</v>
      </c>
      <c r="AL647" s="403">
        <f>'Portefeuille SP2'!X672</f>
        <v>0</v>
      </c>
      <c r="AM647" s="403">
        <f>'Portefeuille SP2'!Y672</f>
        <v>0</v>
      </c>
      <c r="AN647" s="403">
        <f>'Portefeuille SP2'!Z672</f>
        <v>0</v>
      </c>
      <c r="AO647" s="403">
        <f>'Portefeuille SP2'!AA672</f>
        <v>0</v>
      </c>
      <c r="AP647" s="403">
        <f>'Portefeuille SP2'!AB672</f>
        <v>0</v>
      </c>
      <c r="AQ647" s="403">
        <f>'Portefeuille SP2'!AC672</f>
        <v>0</v>
      </c>
      <c r="AR647" s="403">
        <f>'Portefeuille SP2'!AD672</f>
        <v>0</v>
      </c>
      <c r="AS647" s="403">
        <f>'Portefeuille SP2'!AE672</f>
        <v>0</v>
      </c>
      <c r="AT647" s="403">
        <f>'Portefeuille SP2'!AF672</f>
        <v>0</v>
      </c>
      <c r="AU647" s="403">
        <f>'Portefeuille SP2'!AG672</f>
        <v>0</v>
      </c>
      <c r="AV647" s="403">
        <f>'Portefeuille SP2'!AH672</f>
        <v>0</v>
      </c>
      <c r="AW647" s="403">
        <f>'Portefeuille SP2'!AI672</f>
        <v>0</v>
      </c>
      <c r="AX647" s="403">
        <f>'Portefeuille SP2'!AJ672</f>
        <v>0</v>
      </c>
      <c r="AY647" s="403">
        <f>'Portefeuille SP2'!AK672</f>
        <v>0</v>
      </c>
      <c r="AZ647" s="403">
        <f>'Portefeuille SP2'!AL672</f>
        <v>0</v>
      </c>
      <c r="BA647" s="403">
        <f>'Portefeuille SP2'!AM672</f>
        <v>0</v>
      </c>
      <c r="BB647" s="403">
        <f>'Portefeuille SP2'!AN672</f>
        <v>0</v>
      </c>
      <c r="BC647" s="403">
        <f>'Portefeuille SP2'!AO672</f>
        <v>0</v>
      </c>
      <c r="BD647" s="403">
        <f>'Portefeuille SP2'!AP672</f>
        <v>0</v>
      </c>
      <c r="BE647" s="403">
        <f>'Portefeuille SP2'!AQ672</f>
        <v>0</v>
      </c>
      <c r="BF647" s="403">
        <f>'Portefeuille SP2'!AR672</f>
        <v>0</v>
      </c>
      <c r="BG647" s="403" t="e">
        <f>'Portefeuille SP2'!#REF!</f>
        <v>#REF!</v>
      </c>
      <c r="BH647" s="403" t="e">
        <f>'Portefeuille SP2'!#REF!</f>
        <v>#REF!</v>
      </c>
      <c r="BI647" s="403" t="e">
        <f>'Portefeuille SP2'!#REF!</f>
        <v>#REF!</v>
      </c>
      <c r="BJ647" s="403" t="e">
        <f>'Portefeuille SP2'!#REF!</f>
        <v>#REF!</v>
      </c>
      <c r="BK647" s="403" t="e">
        <f>'Portefeuille SP2'!#REF!</f>
        <v>#REF!</v>
      </c>
      <c r="BL647" s="388"/>
      <c r="BM647" s="404">
        <f>'Portefeuille SP2'!L672</f>
        <v>0</v>
      </c>
    </row>
    <row r="648" spans="1:65" ht="15" customHeight="1">
      <c r="A648" s="383">
        <f>'Portefeuille SP2'!B673</f>
        <v>0</v>
      </c>
      <c r="B648" s="390">
        <f>'Portefeuille SP2'!Q673</f>
        <v>0</v>
      </c>
      <c r="C648" s="384"/>
      <c r="D648" s="382">
        <f>'Portefeuille SP2'!E673</f>
        <v>0</v>
      </c>
      <c r="E648" s="382" t="str">
        <f t="shared" si="39"/>
        <v>0</v>
      </c>
      <c r="F648" s="382" t="str">
        <f t="shared" si="40"/>
        <v/>
      </c>
      <c r="G648" s="382">
        <f>'Portefeuille SP2'!C673</f>
        <v>0</v>
      </c>
      <c r="H648" s="382">
        <f>'Portefeuille SP2'!F673</f>
        <v>0</v>
      </c>
      <c r="I648" s="382"/>
      <c r="J648" s="382">
        <f>'Portefeuille SP2'!D673</f>
        <v>0</v>
      </c>
      <c r="K648" s="385">
        <f>'Portefeuille SP2'!H673</f>
        <v>0</v>
      </c>
      <c r="L648" s="157">
        <f>'Portefeuille SP2'!U673</f>
        <v>0</v>
      </c>
      <c r="M648" s="386"/>
      <c r="N648" s="386"/>
      <c r="O648" s="386"/>
      <c r="P648" s="387">
        <f>'Portefeuille SP2'!M673</f>
        <v>0</v>
      </c>
      <c r="Q648" s="387"/>
      <c r="R648" s="387">
        <f>'Portefeuille SP2'!N673</f>
        <v>0</v>
      </c>
      <c r="S648" s="387"/>
      <c r="T648" s="382">
        <f>'Portefeuille SP2'!R673</f>
        <v>0</v>
      </c>
      <c r="U648" s="387">
        <f>'Portefeuille SP2'!K673</f>
        <v>0</v>
      </c>
      <c r="V648" s="399">
        <f>'Portefeuille SP2'!S673</f>
        <v>0</v>
      </c>
      <c r="W648" s="387"/>
      <c r="X648" s="387"/>
      <c r="Y648" s="387"/>
      <c r="Z648" s="387"/>
      <c r="AA648" s="387"/>
      <c r="AB648" s="387"/>
      <c r="AC648" s="387"/>
      <c r="AD648" s="387"/>
      <c r="AE648" s="400">
        <f>'Portefeuille SP2'!J673</f>
        <v>0</v>
      </c>
      <c r="AF648" s="387"/>
      <c r="AG648" s="387"/>
      <c r="AH648" s="389"/>
      <c r="AI648" s="389"/>
      <c r="AJ648" s="403">
        <f>'Portefeuille SP2'!V673</f>
        <v>0</v>
      </c>
      <c r="AK648" s="403">
        <f>'Portefeuille SP2'!W673</f>
        <v>0</v>
      </c>
      <c r="AL648" s="403">
        <f>'Portefeuille SP2'!X673</f>
        <v>0</v>
      </c>
      <c r="AM648" s="403">
        <f>'Portefeuille SP2'!Y673</f>
        <v>0</v>
      </c>
      <c r="AN648" s="403">
        <f>'Portefeuille SP2'!Z673</f>
        <v>0</v>
      </c>
      <c r="AO648" s="403">
        <f>'Portefeuille SP2'!AA673</f>
        <v>0</v>
      </c>
      <c r="AP648" s="403">
        <f>'Portefeuille SP2'!AB673</f>
        <v>0</v>
      </c>
      <c r="AQ648" s="403">
        <f>'Portefeuille SP2'!AC673</f>
        <v>0</v>
      </c>
      <c r="AR648" s="403">
        <f>'Portefeuille SP2'!AD673</f>
        <v>0</v>
      </c>
      <c r="AS648" s="403">
        <f>'Portefeuille SP2'!AE673</f>
        <v>0</v>
      </c>
      <c r="AT648" s="403">
        <f>'Portefeuille SP2'!AF673</f>
        <v>0</v>
      </c>
      <c r="AU648" s="403">
        <f>'Portefeuille SP2'!AG673</f>
        <v>0</v>
      </c>
      <c r="AV648" s="403">
        <f>'Portefeuille SP2'!AH673</f>
        <v>0</v>
      </c>
      <c r="AW648" s="403">
        <f>'Portefeuille SP2'!AI673</f>
        <v>0</v>
      </c>
      <c r="AX648" s="403">
        <f>'Portefeuille SP2'!AJ673</f>
        <v>0</v>
      </c>
      <c r="AY648" s="403">
        <f>'Portefeuille SP2'!AK673</f>
        <v>0</v>
      </c>
      <c r="AZ648" s="403">
        <f>'Portefeuille SP2'!AL673</f>
        <v>0</v>
      </c>
      <c r="BA648" s="403">
        <f>'Portefeuille SP2'!AM673</f>
        <v>0</v>
      </c>
      <c r="BB648" s="403">
        <f>'Portefeuille SP2'!AN673</f>
        <v>0</v>
      </c>
      <c r="BC648" s="403">
        <f>'Portefeuille SP2'!AO673</f>
        <v>0</v>
      </c>
      <c r="BD648" s="403">
        <f>'Portefeuille SP2'!AP673</f>
        <v>0</v>
      </c>
      <c r="BE648" s="403">
        <f>'Portefeuille SP2'!AQ673</f>
        <v>0</v>
      </c>
      <c r="BF648" s="403">
        <f>'Portefeuille SP2'!AR673</f>
        <v>0</v>
      </c>
      <c r="BG648" s="403" t="e">
        <f>'Portefeuille SP2'!#REF!</f>
        <v>#REF!</v>
      </c>
      <c r="BH648" s="403" t="e">
        <f>'Portefeuille SP2'!#REF!</f>
        <v>#REF!</v>
      </c>
      <c r="BI648" s="403" t="e">
        <f>'Portefeuille SP2'!#REF!</f>
        <v>#REF!</v>
      </c>
      <c r="BJ648" s="403" t="e">
        <f>'Portefeuille SP2'!#REF!</f>
        <v>#REF!</v>
      </c>
      <c r="BK648" s="403" t="e">
        <f>'Portefeuille SP2'!#REF!</f>
        <v>#REF!</v>
      </c>
      <c r="BL648" s="388"/>
      <c r="BM648" s="404">
        <f>'Portefeuille SP2'!L673</f>
        <v>0</v>
      </c>
    </row>
    <row r="649" spans="1:65" ht="15" customHeight="1">
      <c r="A649" s="383">
        <f>'Portefeuille SP2'!B674</f>
        <v>0</v>
      </c>
      <c r="B649" s="390">
        <f>'Portefeuille SP2'!Q674</f>
        <v>0</v>
      </c>
      <c r="C649" s="384"/>
      <c r="D649" s="382">
        <f>'Portefeuille SP2'!E674</f>
        <v>0</v>
      </c>
      <c r="E649" s="382" t="str">
        <f t="shared" ref="E649:E712" si="41">LEFT(J649,3)</f>
        <v>0</v>
      </c>
      <c r="F649" s="382" t="str">
        <f t="shared" ref="F649:F712" si="42">MID(J649, 6, 20)</f>
        <v/>
      </c>
      <c r="G649" s="382">
        <f>'Portefeuille SP2'!C674</f>
        <v>0</v>
      </c>
      <c r="H649" s="382">
        <f>'Portefeuille SP2'!F674</f>
        <v>0</v>
      </c>
      <c r="I649" s="382"/>
      <c r="J649" s="382">
        <f>'Portefeuille SP2'!D674</f>
        <v>0</v>
      </c>
      <c r="K649" s="385">
        <f>'Portefeuille SP2'!H674</f>
        <v>0</v>
      </c>
      <c r="L649" s="157">
        <f>'Portefeuille SP2'!U674</f>
        <v>0</v>
      </c>
      <c r="M649" s="386"/>
      <c r="N649" s="386"/>
      <c r="O649" s="386"/>
      <c r="P649" s="387">
        <f>'Portefeuille SP2'!M674</f>
        <v>0</v>
      </c>
      <c r="Q649" s="387"/>
      <c r="R649" s="387">
        <f>'Portefeuille SP2'!N674</f>
        <v>0</v>
      </c>
      <c r="S649" s="387"/>
      <c r="T649" s="382">
        <f>'Portefeuille SP2'!R674</f>
        <v>0</v>
      </c>
      <c r="U649" s="387">
        <f>'Portefeuille SP2'!K674</f>
        <v>0</v>
      </c>
      <c r="V649" s="399">
        <f>'Portefeuille SP2'!S674</f>
        <v>0</v>
      </c>
      <c r="W649" s="387"/>
      <c r="X649" s="387"/>
      <c r="Y649" s="387"/>
      <c r="Z649" s="387"/>
      <c r="AA649" s="387"/>
      <c r="AB649" s="387"/>
      <c r="AC649" s="387"/>
      <c r="AD649" s="387"/>
      <c r="AE649" s="400">
        <f>'Portefeuille SP2'!J674</f>
        <v>0</v>
      </c>
      <c r="AF649" s="387"/>
      <c r="AG649" s="387"/>
      <c r="AH649" s="389"/>
      <c r="AI649" s="389"/>
      <c r="AJ649" s="403">
        <f>'Portefeuille SP2'!V674</f>
        <v>0</v>
      </c>
      <c r="AK649" s="403">
        <f>'Portefeuille SP2'!W674</f>
        <v>0</v>
      </c>
      <c r="AL649" s="403">
        <f>'Portefeuille SP2'!X674</f>
        <v>0</v>
      </c>
      <c r="AM649" s="403">
        <f>'Portefeuille SP2'!Y674</f>
        <v>0</v>
      </c>
      <c r="AN649" s="403">
        <f>'Portefeuille SP2'!Z674</f>
        <v>0</v>
      </c>
      <c r="AO649" s="403">
        <f>'Portefeuille SP2'!AA674</f>
        <v>0</v>
      </c>
      <c r="AP649" s="403">
        <f>'Portefeuille SP2'!AB674</f>
        <v>0</v>
      </c>
      <c r="AQ649" s="403">
        <f>'Portefeuille SP2'!AC674</f>
        <v>0</v>
      </c>
      <c r="AR649" s="403">
        <f>'Portefeuille SP2'!AD674</f>
        <v>0</v>
      </c>
      <c r="AS649" s="403">
        <f>'Portefeuille SP2'!AE674</f>
        <v>0</v>
      </c>
      <c r="AT649" s="403">
        <f>'Portefeuille SP2'!AF674</f>
        <v>0</v>
      </c>
      <c r="AU649" s="403">
        <f>'Portefeuille SP2'!AG674</f>
        <v>0</v>
      </c>
      <c r="AV649" s="403">
        <f>'Portefeuille SP2'!AH674</f>
        <v>0</v>
      </c>
      <c r="AW649" s="403">
        <f>'Portefeuille SP2'!AI674</f>
        <v>0</v>
      </c>
      <c r="AX649" s="403">
        <f>'Portefeuille SP2'!AJ674</f>
        <v>0</v>
      </c>
      <c r="AY649" s="403">
        <f>'Portefeuille SP2'!AK674</f>
        <v>0</v>
      </c>
      <c r="AZ649" s="403">
        <f>'Portefeuille SP2'!AL674</f>
        <v>0</v>
      </c>
      <c r="BA649" s="403">
        <f>'Portefeuille SP2'!AM674</f>
        <v>0</v>
      </c>
      <c r="BB649" s="403">
        <f>'Portefeuille SP2'!AN674</f>
        <v>0</v>
      </c>
      <c r="BC649" s="403">
        <f>'Portefeuille SP2'!AO674</f>
        <v>0</v>
      </c>
      <c r="BD649" s="403">
        <f>'Portefeuille SP2'!AP674</f>
        <v>0</v>
      </c>
      <c r="BE649" s="403">
        <f>'Portefeuille SP2'!AQ674</f>
        <v>0</v>
      </c>
      <c r="BF649" s="403">
        <f>'Portefeuille SP2'!AR674</f>
        <v>0</v>
      </c>
      <c r="BG649" s="403" t="e">
        <f>'Portefeuille SP2'!#REF!</f>
        <v>#REF!</v>
      </c>
      <c r="BH649" s="403" t="e">
        <f>'Portefeuille SP2'!#REF!</f>
        <v>#REF!</v>
      </c>
      <c r="BI649" s="403" t="e">
        <f>'Portefeuille SP2'!#REF!</f>
        <v>#REF!</v>
      </c>
      <c r="BJ649" s="403" t="e">
        <f>'Portefeuille SP2'!#REF!</f>
        <v>#REF!</v>
      </c>
      <c r="BK649" s="403" t="e">
        <f>'Portefeuille SP2'!#REF!</f>
        <v>#REF!</v>
      </c>
      <c r="BL649" s="388"/>
      <c r="BM649" s="404">
        <f>'Portefeuille SP2'!L674</f>
        <v>0</v>
      </c>
    </row>
    <row r="650" spans="1:65" ht="15" customHeight="1">
      <c r="A650" s="383">
        <f>'Portefeuille SP2'!B675</f>
        <v>0</v>
      </c>
      <c r="B650" s="390">
        <f>'Portefeuille SP2'!Q675</f>
        <v>0</v>
      </c>
      <c r="C650" s="384"/>
      <c r="D650" s="382">
        <f>'Portefeuille SP2'!E675</f>
        <v>0</v>
      </c>
      <c r="E650" s="382" t="str">
        <f t="shared" si="41"/>
        <v>0</v>
      </c>
      <c r="F650" s="382" t="str">
        <f t="shared" si="42"/>
        <v/>
      </c>
      <c r="G650" s="382">
        <f>'Portefeuille SP2'!C675</f>
        <v>0</v>
      </c>
      <c r="H650" s="382">
        <f>'Portefeuille SP2'!F675</f>
        <v>0</v>
      </c>
      <c r="I650" s="382"/>
      <c r="J650" s="382">
        <f>'Portefeuille SP2'!D675</f>
        <v>0</v>
      </c>
      <c r="K650" s="385">
        <f>'Portefeuille SP2'!H675</f>
        <v>0</v>
      </c>
      <c r="L650" s="157">
        <f>'Portefeuille SP2'!U675</f>
        <v>0</v>
      </c>
      <c r="M650" s="386"/>
      <c r="N650" s="386"/>
      <c r="O650" s="386"/>
      <c r="P650" s="387">
        <f>'Portefeuille SP2'!M675</f>
        <v>0</v>
      </c>
      <c r="Q650" s="387"/>
      <c r="R650" s="387">
        <f>'Portefeuille SP2'!N675</f>
        <v>0</v>
      </c>
      <c r="S650" s="387"/>
      <c r="T650" s="382">
        <f>'Portefeuille SP2'!R675</f>
        <v>0</v>
      </c>
      <c r="U650" s="387">
        <f>'Portefeuille SP2'!K675</f>
        <v>0</v>
      </c>
      <c r="V650" s="399">
        <f>'Portefeuille SP2'!S675</f>
        <v>0</v>
      </c>
      <c r="W650" s="387"/>
      <c r="X650" s="387"/>
      <c r="Y650" s="387"/>
      <c r="Z650" s="387"/>
      <c r="AA650" s="387"/>
      <c r="AB650" s="387"/>
      <c r="AC650" s="387"/>
      <c r="AD650" s="387"/>
      <c r="AE650" s="400">
        <f>'Portefeuille SP2'!J675</f>
        <v>0</v>
      </c>
      <c r="AF650" s="387"/>
      <c r="AG650" s="387"/>
      <c r="AH650" s="389"/>
      <c r="AI650" s="389"/>
      <c r="AJ650" s="403">
        <f>'Portefeuille SP2'!V675</f>
        <v>0</v>
      </c>
      <c r="AK650" s="403">
        <f>'Portefeuille SP2'!W675</f>
        <v>0</v>
      </c>
      <c r="AL650" s="403">
        <f>'Portefeuille SP2'!X675</f>
        <v>0</v>
      </c>
      <c r="AM650" s="403">
        <f>'Portefeuille SP2'!Y675</f>
        <v>0</v>
      </c>
      <c r="AN650" s="403">
        <f>'Portefeuille SP2'!Z675</f>
        <v>0</v>
      </c>
      <c r="AO650" s="403">
        <f>'Portefeuille SP2'!AA675</f>
        <v>0</v>
      </c>
      <c r="AP650" s="403">
        <f>'Portefeuille SP2'!AB675</f>
        <v>0</v>
      </c>
      <c r="AQ650" s="403">
        <f>'Portefeuille SP2'!AC675</f>
        <v>0</v>
      </c>
      <c r="AR650" s="403">
        <f>'Portefeuille SP2'!AD675</f>
        <v>0</v>
      </c>
      <c r="AS650" s="403">
        <f>'Portefeuille SP2'!AE675</f>
        <v>0</v>
      </c>
      <c r="AT650" s="403">
        <f>'Portefeuille SP2'!AF675</f>
        <v>0</v>
      </c>
      <c r="AU650" s="403">
        <f>'Portefeuille SP2'!AG675</f>
        <v>0</v>
      </c>
      <c r="AV650" s="403">
        <f>'Portefeuille SP2'!AH675</f>
        <v>0</v>
      </c>
      <c r="AW650" s="403">
        <f>'Portefeuille SP2'!AI675</f>
        <v>0</v>
      </c>
      <c r="AX650" s="403">
        <f>'Portefeuille SP2'!AJ675</f>
        <v>0</v>
      </c>
      <c r="AY650" s="403">
        <f>'Portefeuille SP2'!AK675</f>
        <v>0</v>
      </c>
      <c r="AZ650" s="403">
        <f>'Portefeuille SP2'!AL675</f>
        <v>0</v>
      </c>
      <c r="BA650" s="403">
        <f>'Portefeuille SP2'!AM675</f>
        <v>0</v>
      </c>
      <c r="BB650" s="403">
        <f>'Portefeuille SP2'!AN675</f>
        <v>0</v>
      </c>
      <c r="BC650" s="403">
        <f>'Portefeuille SP2'!AO675</f>
        <v>0</v>
      </c>
      <c r="BD650" s="403">
        <f>'Portefeuille SP2'!AP675</f>
        <v>0</v>
      </c>
      <c r="BE650" s="403">
        <f>'Portefeuille SP2'!AQ675</f>
        <v>0</v>
      </c>
      <c r="BF650" s="403">
        <f>'Portefeuille SP2'!AR675</f>
        <v>0</v>
      </c>
      <c r="BG650" s="403" t="e">
        <f>'Portefeuille SP2'!#REF!</f>
        <v>#REF!</v>
      </c>
      <c r="BH650" s="403" t="e">
        <f>'Portefeuille SP2'!#REF!</f>
        <v>#REF!</v>
      </c>
      <c r="BI650" s="403" t="e">
        <f>'Portefeuille SP2'!#REF!</f>
        <v>#REF!</v>
      </c>
      <c r="BJ650" s="403" t="e">
        <f>'Portefeuille SP2'!#REF!</f>
        <v>#REF!</v>
      </c>
      <c r="BK650" s="403" t="e">
        <f>'Portefeuille SP2'!#REF!</f>
        <v>#REF!</v>
      </c>
      <c r="BL650" s="388"/>
      <c r="BM650" s="404">
        <f>'Portefeuille SP2'!L675</f>
        <v>0</v>
      </c>
    </row>
    <row r="651" spans="1:65" ht="15" customHeight="1">
      <c r="A651" s="383">
        <f>'Portefeuille SP2'!B676</f>
        <v>0</v>
      </c>
      <c r="B651" s="390">
        <f>'Portefeuille SP2'!Q676</f>
        <v>0</v>
      </c>
      <c r="C651" s="384"/>
      <c r="D651" s="382">
        <f>'Portefeuille SP2'!E676</f>
        <v>0</v>
      </c>
      <c r="E651" s="382" t="str">
        <f t="shared" si="41"/>
        <v>0</v>
      </c>
      <c r="F651" s="382" t="str">
        <f t="shared" si="42"/>
        <v/>
      </c>
      <c r="G651" s="382">
        <f>'Portefeuille SP2'!C676</f>
        <v>0</v>
      </c>
      <c r="H651" s="382">
        <f>'Portefeuille SP2'!F676</f>
        <v>0</v>
      </c>
      <c r="I651" s="382"/>
      <c r="J651" s="382">
        <f>'Portefeuille SP2'!D676</f>
        <v>0</v>
      </c>
      <c r="K651" s="385">
        <f>'Portefeuille SP2'!H676</f>
        <v>0</v>
      </c>
      <c r="L651" s="157">
        <f>'Portefeuille SP2'!U676</f>
        <v>0</v>
      </c>
      <c r="M651" s="386"/>
      <c r="N651" s="386"/>
      <c r="O651" s="386"/>
      <c r="P651" s="387">
        <f>'Portefeuille SP2'!M676</f>
        <v>0</v>
      </c>
      <c r="Q651" s="387"/>
      <c r="R651" s="387">
        <f>'Portefeuille SP2'!N676</f>
        <v>0</v>
      </c>
      <c r="S651" s="387"/>
      <c r="T651" s="382">
        <f>'Portefeuille SP2'!R676</f>
        <v>0</v>
      </c>
      <c r="U651" s="387">
        <f>'Portefeuille SP2'!K676</f>
        <v>0</v>
      </c>
      <c r="V651" s="399">
        <f>'Portefeuille SP2'!S676</f>
        <v>0</v>
      </c>
      <c r="W651" s="387"/>
      <c r="X651" s="387"/>
      <c r="Y651" s="387"/>
      <c r="Z651" s="387"/>
      <c r="AA651" s="387"/>
      <c r="AB651" s="387"/>
      <c r="AC651" s="387"/>
      <c r="AD651" s="387"/>
      <c r="AE651" s="400">
        <f>'Portefeuille SP2'!J676</f>
        <v>0</v>
      </c>
      <c r="AF651" s="387"/>
      <c r="AG651" s="387"/>
      <c r="AH651" s="389"/>
      <c r="AI651" s="389"/>
      <c r="AJ651" s="403">
        <f>'Portefeuille SP2'!V676</f>
        <v>0</v>
      </c>
      <c r="AK651" s="403">
        <f>'Portefeuille SP2'!W676</f>
        <v>0</v>
      </c>
      <c r="AL651" s="403">
        <f>'Portefeuille SP2'!X676</f>
        <v>0</v>
      </c>
      <c r="AM651" s="403">
        <f>'Portefeuille SP2'!Y676</f>
        <v>0</v>
      </c>
      <c r="AN651" s="403">
        <f>'Portefeuille SP2'!Z676</f>
        <v>0</v>
      </c>
      <c r="AO651" s="403">
        <f>'Portefeuille SP2'!AA676</f>
        <v>0</v>
      </c>
      <c r="AP651" s="403">
        <f>'Portefeuille SP2'!AB676</f>
        <v>0</v>
      </c>
      <c r="AQ651" s="403">
        <f>'Portefeuille SP2'!AC676</f>
        <v>0</v>
      </c>
      <c r="AR651" s="403">
        <f>'Portefeuille SP2'!AD676</f>
        <v>0</v>
      </c>
      <c r="AS651" s="403">
        <f>'Portefeuille SP2'!AE676</f>
        <v>0</v>
      </c>
      <c r="AT651" s="403">
        <f>'Portefeuille SP2'!AF676</f>
        <v>0</v>
      </c>
      <c r="AU651" s="403">
        <f>'Portefeuille SP2'!AG676</f>
        <v>0</v>
      </c>
      <c r="AV651" s="403">
        <f>'Portefeuille SP2'!AH676</f>
        <v>0</v>
      </c>
      <c r="AW651" s="403">
        <f>'Portefeuille SP2'!AI676</f>
        <v>0</v>
      </c>
      <c r="AX651" s="403">
        <f>'Portefeuille SP2'!AJ676</f>
        <v>0</v>
      </c>
      <c r="AY651" s="403">
        <f>'Portefeuille SP2'!AK676</f>
        <v>0</v>
      </c>
      <c r="AZ651" s="403">
        <f>'Portefeuille SP2'!AL676</f>
        <v>0</v>
      </c>
      <c r="BA651" s="403">
        <f>'Portefeuille SP2'!AM676</f>
        <v>0</v>
      </c>
      <c r="BB651" s="403">
        <f>'Portefeuille SP2'!AN676</f>
        <v>0</v>
      </c>
      <c r="BC651" s="403">
        <f>'Portefeuille SP2'!AO676</f>
        <v>0</v>
      </c>
      <c r="BD651" s="403">
        <f>'Portefeuille SP2'!AP676</f>
        <v>0</v>
      </c>
      <c r="BE651" s="403">
        <f>'Portefeuille SP2'!AQ676</f>
        <v>0</v>
      </c>
      <c r="BF651" s="403">
        <f>'Portefeuille SP2'!AR676</f>
        <v>0</v>
      </c>
      <c r="BG651" s="403" t="e">
        <f>'Portefeuille SP2'!#REF!</f>
        <v>#REF!</v>
      </c>
      <c r="BH651" s="403" t="e">
        <f>'Portefeuille SP2'!#REF!</f>
        <v>#REF!</v>
      </c>
      <c r="BI651" s="403" t="e">
        <f>'Portefeuille SP2'!#REF!</f>
        <v>#REF!</v>
      </c>
      <c r="BJ651" s="403" t="e">
        <f>'Portefeuille SP2'!#REF!</f>
        <v>#REF!</v>
      </c>
      <c r="BK651" s="403" t="e">
        <f>'Portefeuille SP2'!#REF!</f>
        <v>#REF!</v>
      </c>
      <c r="BL651" s="388"/>
      <c r="BM651" s="404">
        <f>'Portefeuille SP2'!L676</f>
        <v>0</v>
      </c>
    </row>
    <row r="652" spans="1:65" ht="15" customHeight="1">
      <c r="A652" s="383">
        <f>'Portefeuille SP2'!B677</f>
        <v>0</v>
      </c>
      <c r="B652" s="390">
        <f>'Portefeuille SP2'!Q677</f>
        <v>0</v>
      </c>
      <c r="C652" s="384"/>
      <c r="D652" s="382">
        <f>'Portefeuille SP2'!E677</f>
        <v>0</v>
      </c>
      <c r="E652" s="382" t="str">
        <f t="shared" si="41"/>
        <v>0</v>
      </c>
      <c r="F652" s="382" t="str">
        <f t="shared" si="42"/>
        <v/>
      </c>
      <c r="G652" s="382">
        <f>'Portefeuille SP2'!C677</f>
        <v>0</v>
      </c>
      <c r="H652" s="382">
        <f>'Portefeuille SP2'!F677</f>
        <v>0</v>
      </c>
      <c r="I652" s="382"/>
      <c r="J652" s="382">
        <f>'Portefeuille SP2'!D677</f>
        <v>0</v>
      </c>
      <c r="K652" s="385">
        <f>'Portefeuille SP2'!H677</f>
        <v>0</v>
      </c>
      <c r="L652" s="157">
        <f>'Portefeuille SP2'!U677</f>
        <v>0</v>
      </c>
      <c r="M652" s="386"/>
      <c r="N652" s="386"/>
      <c r="O652" s="386"/>
      <c r="P652" s="387">
        <f>'Portefeuille SP2'!M677</f>
        <v>0</v>
      </c>
      <c r="Q652" s="387"/>
      <c r="R652" s="387">
        <f>'Portefeuille SP2'!N677</f>
        <v>0</v>
      </c>
      <c r="S652" s="387"/>
      <c r="T652" s="382">
        <f>'Portefeuille SP2'!R677</f>
        <v>0</v>
      </c>
      <c r="U652" s="387">
        <f>'Portefeuille SP2'!K677</f>
        <v>0</v>
      </c>
      <c r="V652" s="399">
        <f>'Portefeuille SP2'!S677</f>
        <v>0</v>
      </c>
      <c r="W652" s="387"/>
      <c r="X652" s="387"/>
      <c r="Y652" s="387"/>
      <c r="Z652" s="387"/>
      <c r="AA652" s="387"/>
      <c r="AB652" s="387"/>
      <c r="AC652" s="387"/>
      <c r="AD652" s="387"/>
      <c r="AE652" s="400">
        <f>'Portefeuille SP2'!J677</f>
        <v>0</v>
      </c>
      <c r="AF652" s="387"/>
      <c r="AG652" s="387"/>
      <c r="AH652" s="389"/>
      <c r="AI652" s="389"/>
      <c r="AJ652" s="403">
        <f>'Portefeuille SP2'!V677</f>
        <v>0</v>
      </c>
      <c r="AK652" s="403">
        <f>'Portefeuille SP2'!W677</f>
        <v>0</v>
      </c>
      <c r="AL652" s="403">
        <f>'Portefeuille SP2'!X677</f>
        <v>0</v>
      </c>
      <c r="AM652" s="403">
        <f>'Portefeuille SP2'!Y677</f>
        <v>0</v>
      </c>
      <c r="AN652" s="403">
        <f>'Portefeuille SP2'!Z677</f>
        <v>0</v>
      </c>
      <c r="AO652" s="403">
        <f>'Portefeuille SP2'!AA677</f>
        <v>0</v>
      </c>
      <c r="AP652" s="403">
        <f>'Portefeuille SP2'!AB677</f>
        <v>0</v>
      </c>
      <c r="AQ652" s="403">
        <f>'Portefeuille SP2'!AC677</f>
        <v>0</v>
      </c>
      <c r="AR652" s="403">
        <f>'Portefeuille SP2'!AD677</f>
        <v>0</v>
      </c>
      <c r="AS652" s="403">
        <f>'Portefeuille SP2'!AE677</f>
        <v>0</v>
      </c>
      <c r="AT652" s="403">
        <f>'Portefeuille SP2'!AF677</f>
        <v>0</v>
      </c>
      <c r="AU652" s="403">
        <f>'Portefeuille SP2'!AG677</f>
        <v>0</v>
      </c>
      <c r="AV652" s="403">
        <f>'Portefeuille SP2'!AH677</f>
        <v>0</v>
      </c>
      <c r="AW652" s="403">
        <f>'Portefeuille SP2'!AI677</f>
        <v>0</v>
      </c>
      <c r="AX652" s="403">
        <f>'Portefeuille SP2'!AJ677</f>
        <v>0</v>
      </c>
      <c r="AY652" s="403">
        <f>'Portefeuille SP2'!AK677</f>
        <v>0</v>
      </c>
      <c r="AZ652" s="403">
        <f>'Portefeuille SP2'!AL677</f>
        <v>0</v>
      </c>
      <c r="BA652" s="403">
        <f>'Portefeuille SP2'!AM677</f>
        <v>0</v>
      </c>
      <c r="BB652" s="403">
        <f>'Portefeuille SP2'!AN677</f>
        <v>0</v>
      </c>
      <c r="BC652" s="403">
        <f>'Portefeuille SP2'!AO677</f>
        <v>0</v>
      </c>
      <c r="BD652" s="403">
        <f>'Portefeuille SP2'!AP677</f>
        <v>0</v>
      </c>
      <c r="BE652" s="403">
        <f>'Portefeuille SP2'!AQ677</f>
        <v>0</v>
      </c>
      <c r="BF652" s="403">
        <f>'Portefeuille SP2'!AR677</f>
        <v>0</v>
      </c>
      <c r="BG652" s="403" t="e">
        <f>'Portefeuille SP2'!#REF!</f>
        <v>#REF!</v>
      </c>
      <c r="BH652" s="403" t="e">
        <f>'Portefeuille SP2'!#REF!</f>
        <v>#REF!</v>
      </c>
      <c r="BI652" s="403" t="e">
        <f>'Portefeuille SP2'!#REF!</f>
        <v>#REF!</v>
      </c>
      <c r="BJ652" s="403" t="e">
        <f>'Portefeuille SP2'!#REF!</f>
        <v>#REF!</v>
      </c>
      <c r="BK652" s="403" t="e">
        <f>'Portefeuille SP2'!#REF!</f>
        <v>#REF!</v>
      </c>
      <c r="BL652" s="388"/>
      <c r="BM652" s="404">
        <f>'Portefeuille SP2'!L677</f>
        <v>0</v>
      </c>
    </row>
    <row r="653" spans="1:65" ht="15" customHeight="1">
      <c r="A653" s="383">
        <f>'Portefeuille SP2'!B678</f>
        <v>0</v>
      </c>
      <c r="B653" s="390">
        <f>'Portefeuille SP2'!Q678</f>
        <v>0</v>
      </c>
      <c r="C653" s="384"/>
      <c r="D653" s="382">
        <f>'Portefeuille SP2'!E678</f>
        <v>0</v>
      </c>
      <c r="E653" s="382" t="str">
        <f t="shared" si="41"/>
        <v>0</v>
      </c>
      <c r="F653" s="382" t="str">
        <f t="shared" si="42"/>
        <v/>
      </c>
      <c r="G653" s="382">
        <f>'Portefeuille SP2'!C678</f>
        <v>0</v>
      </c>
      <c r="H653" s="382">
        <f>'Portefeuille SP2'!F678</f>
        <v>0</v>
      </c>
      <c r="I653" s="382"/>
      <c r="J653" s="382">
        <f>'Portefeuille SP2'!D678</f>
        <v>0</v>
      </c>
      <c r="K653" s="385">
        <f>'Portefeuille SP2'!H678</f>
        <v>0</v>
      </c>
      <c r="L653" s="157">
        <f>'Portefeuille SP2'!U678</f>
        <v>0</v>
      </c>
      <c r="M653" s="386"/>
      <c r="N653" s="386"/>
      <c r="O653" s="386"/>
      <c r="P653" s="387">
        <f>'Portefeuille SP2'!M678</f>
        <v>0</v>
      </c>
      <c r="Q653" s="387"/>
      <c r="R653" s="387">
        <f>'Portefeuille SP2'!N678</f>
        <v>0</v>
      </c>
      <c r="S653" s="387"/>
      <c r="T653" s="382">
        <f>'Portefeuille SP2'!R678</f>
        <v>0</v>
      </c>
      <c r="U653" s="387">
        <f>'Portefeuille SP2'!K678</f>
        <v>0</v>
      </c>
      <c r="V653" s="399">
        <f>'Portefeuille SP2'!S678</f>
        <v>0</v>
      </c>
      <c r="W653" s="387"/>
      <c r="X653" s="387"/>
      <c r="Y653" s="387"/>
      <c r="Z653" s="387"/>
      <c r="AA653" s="387"/>
      <c r="AB653" s="387"/>
      <c r="AC653" s="387"/>
      <c r="AD653" s="387"/>
      <c r="AE653" s="400">
        <f>'Portefeuille SP2'!J678</f>
        <v>0</v>
      </c>
      <c r="AF653" s="387"/>
      <c r="AG653" s="387"/>
      <c r="AH653" s="389"/>
      <c r="AI653" s="389"/>
      <c r="AJ653" s="403">
        <f>'Portefeuille SP2'!V678</f>
        <v>0</v>
      </c>
      <c r="AK653" s="403">
        <f>'Portefeuille SP2'!W678</f>
        <v>0</v>
      </c>
      <c r="AL653" s="403">
        <f>'Portefeuille SP2'!X678</f>
        <v>0</v>
      </c>
      <c r="AM653" s="403">
        <f>'Portefeuille SP2'!Y678</f>
        <v>0</v>
      </c>
      <c r="AN653" s="403">
        <f>'Portefeuille SP2'!Z678</f>
        <v>0</v>
      </c>
      <c r="AO653" s="403">
        <f>'Portefeuille SP2'!AA678</f>
        <v>0</v>
      </c>
      <c r="AP653" s="403">
        <f>'Portefeuille SP2'!AB678</f>
        <v>0</v>
      </c>
      <c r="AQ653" s="403">
        <f>'Portefeuille SP2'!AC678</f>
        <v>0</v>
      </c>
      <c r="AR653" s="403">
        <f>'Portefeuille SP2'!AD678</f>
        <v>0</v>
      </c>
      <c r="AS653" s="403">
        <f>'Portefeuille SP2'!AE678</f>
        <v>0</v>
      </c>
      <c r="AT653" s="403">
        <f>'Portefeuille SP2'!AF678</f>
        <v>0</v>
      </c>
      <c r="AU653" s="403">
        <f>'Portefeuille SP2'!AG678</f>
        <v>0</v>
      </c>
      <c r="AV653" s="403">
        <f>'Portefeuille SP2'!AH678</f>
        <v>0</v>
      </c>
      <c r="AW653" s="403">
        <f>'Portefeuille SP2'!AI678</f>
        <v>0</v>
      </c>
      <c r="AX653" s="403">
        <f>'Portefeuille SP2'!AJ678</f>
        <v>0</v>
      </c>
      <c r="AY653" s="403">
        <f>'Portefeuille SP2'!AK678</f>
        <v>0</v>
      </c>
      <c r="AZ653" s="403">
        <f>'Portefeuille SP2'!AL678</f>
        <v>0</v>
      </c>
      <c r="BA653" s="403">
        <f>'Portefeuille SP2'!AM678</f>
        <v>0</v>
      </c>
      <c r="BB653" s="403">
        <f>'Portefeuille SP2'!AN678</f>
        <v>0</v>
      </c>
      <c r="BC653" s="403">
        <f>'Portefeuille SP2'!AO678</f>
        <v>0</v>
      </c>
      <c r="BD653" s="403">
        <f>'Portefeuille SP2'!AP678</f>
        <v>0</v>
      </c>
      <c r="BE653" s="403">
        <f>'Portefeuille SP2'!AQ678</f>
        <v>0</v>
      </c>
      <c r="BF653" s="403">
        <f>'Portefeuille SP2'!AR678</f>
        <v>0</v>
      </c>
      <c r="BG653" s="403" t="e">
        <f>'Portefeuille SP2'!#REF!</f>
        <v>#REF!</v>
      </c>
      <c r="BH653" s="403" t="e">
        <f>'Portefeuille SP2'!#REF!</f>
        <v>#REF!</v>
      </c>
      <c r="BI653" s="403" t="e">
        <f>'Portefeuille SP2'!#REF!</f>
        <v>#REF!</v>
      </c>
      <c r="BJ653" s="403" t="e">
        <f>'Portefeuille SP2'!#REF!</f>
        <v>#REF!</v>
      </c>
      <c r="BK653" s="403" t="e">
        <f>'Portefeuille SP2'!#REF!</f>
        <v>#REF!</v>
      </c>
      <c r="BL653" s="388"/>
      <c r="BM653" s="404">
        <f>'Portefeuille SP2'!L678</f>
        <v>0</v>
      </c>
    </row>
    <row r="654" spans="1:65" ht="15" customHeight="1">
      <c r="A654" s="383">
        <f>'Portefeuille SP2'!B679</f>
        <v>0</v>
      </c>
      <c r="B654" s="390">
        <f>'Portefeuille SP2'!Q679</f>
        <v>0</v>
      </c>
      <c r="C654" s="384"/>
      <c r="D654" s="382">
        <f>'Portefeuille SP2'!E679</f>
        <v>0</v>
      </c>
      <c r="E654" s="382" t="str">
        <f t="shared" si="41"/>
        <v>0</v>
      </c>
      <c r="F654" s="382" t="str">
        <f t="shared" si="42"/>
        <v/>
      </c>
      <c r="G654" s="382">
        <f>'Portefeuille SP2'!C679</f>
        <v>0</v>
      </c>
      <c r="H654" s="382">
        <f>'Portefeuille SP2'!F679</f>
        <v>0</v>
      </c>
      <c r="I654" s="382"/>
      <c r="J654" s="382">
        <f>'Portefeuille SP2'!D679</f>
        <v>0</v>
      </c>
      <c r="K654" s="385">
        <f>'Portefeuille SP2'!H679</f>
        <v>0</v>
      </c>
      <c r="L654" s="157">
        <f>'Portefeuille SP2'!U679</f>
        <v>0</v>
      </c>
      <c r="M654" s="386"/>
      <c r="N654" s="386"/>
      <c r="O654" s="386"/>
      <c r="P654" s="387">
        <f>'Portefeuille SP2'!M679</f>
        <v>0</v>
      </c>
      <c r="Q654" s="387"/>
      <c r="R654" s="387">
        <f>'Portefeuille SP2'!N679</f>
        <v>0</v>
      </c>
      <c r="S654" s="387"/>
      <c r="T654" s="382">
        <f>'Portefeuille SP2'!R679</f>
        <v>0</v>
      </c>
      <c r="U654" s="387">
        <f>'Portefeuille SP2'!K679</f>
        <v>0</v>
      </c>
      <c r="V654" s="399">
        <f>'Portefeuille SP2'!S679</f>
        <v>0</v>
      </c>
      <c r="W654" s="387"/>
      <c r="X654" s="387"/>
      <c r="Y654" s="387"/>
      <c r="Z654" s="387"/>
      <c r="AA654" s="387"/>
      <c r="AB654" s="387"/>
      <c r="AC654" s="387"/>
      <c r="AD654" s="387"/>
      <c r="AE654" s="400">
        <f>'Portefeuille SP2'!J679</f>
        <v>0</v>
      </c>
      <c r="AF654" s="387"/>
      <c r="AG654" s="387"/>
      <c r="AH654" s="389"/>
      <c r="AI654" s="389"/>
      <c r="AJ654" s="403">
        <f>'Portefeuille SP2'!V679</f>
        <v>0</v>
      </c>
      <c r="AK654" s="403">
        <f>'Portefeuille SP2'!W679</f>
        <v>0</v>
      </c>
      <c r="AL654" s="403">
        <f>'Portefeuille SP2'!X679</f>
        <v>0</v>
      </c>
      <c r="AM654" s="403">
        <f>'Portefeuille SP2'!Y679</f>
        <v>0</v>
      </c>
      <c r="AN654" s="403">
        <f>'Portefeuille SP2'!Z679</f>
        <v>0</v>
      </c>
      <c r="AO654" s="403">
        <f>'Portefeuille SP2'!AA679</f>
        <v>0</v>
      </c>
      <c r="AP654" s="403">
        <f>'Portefeuille SP2'!AB679</f>
        <v>0</v>
      </c>
      <c r="AQ654" s="403">
        <f>'Portefeuille SP2'!AC679</f>
        <v>0</v>
      </c>
      <c r="AR654" s="403">
        <f>'Portefeuille SP2'!AD679</f>
        <v>0</v>
      </c>
      <c r="AS654" s="403">
        <f>'Portefeuille SP2'!AE679</f>
        <v>0</v>
      </c>
      <c r="AT654" s="403">
        <f>'Portefeuille SP2'!AF679</f>
        <v>0</v>
      </c>
      <c r="AU654" s="403">
        <f>'Portefeuille SP2'!AG679</f>
        <v>0</v>
      </c>
      <c r="AV654" s="403">
        <f>'Portefeuille SP2'!AH679</f>
        <v>0</v>
      </c>
      <c r="AW654" s="403">
        <f>'Portefeuille SP2'!AI679</f>
        <v>0</v>
      </c>
      <c r="AX654" s="403">
        <f>'Portefeuille SP2'!AJ679</f>
        <v>0</v>
      </c>
      <c r="AY654" s="403">
        <f>'Portefeuille SP2'!AK679</f>
        <v>0</v>
      </c>
      <c r="AZ654" s="403">
        <f>'Portefeuille SP2'!AL679</f>
        <v>0</v>
      </c>
      <c r="BA654" s="403">
        <f>'Portefeuille SP2'!AM679</f>
        <v>0</v>
      </c>
      <c r="BB654" s="403">
        <f>'Portefeuille SP2'!AN679</f>
        <v>0</v>
      </c>
      <c r="BC654" s="403">
        <f>'Portefeuille SP2'!AO679</f>
        <v>0</v>
      </c>
      <c r="BD654" s="403">
        <f>'Portefeuille SP2'!AP679</f>
        <v>0</v>
      </c>
      <c r="BE654" s="403">
        <f>'Portefeuille SP2'!AQ679</f>
        <v>0</v>
      </c>
      <c r="BF654" s="403">
        <f>'Portefeuille SP2'!AR679</f>
        <v>0</v>
      </c>
      <c r="BG654" s="403" t="e">
        <f>'Portefeuille SP2'!#REF!</f>
        <v>#REF!</v>
      </c>
      <c r="BH654" s="403" t="e">
        <f>'Portefeuille SP2'!#REF!</f>
        <v>#REF!</v>
      </c>
      <c r="BI654" s="403" t="e">
        <f>'Portefeuille SP2'!#REF!</f>
        <v>#REF!</v>
      </c>
      <c r="BJ654" s="403" t="e">
        <f>'Portefeuille SP2'!#REF!</f>
        <v>#REF!</v>
      </c>
      <c r="BK654" s="403" t="e">
        <f>'Portefeuille SP2'!#REF!</f>
        <v>#REF!</v>
      </c>
      <c r="BL654" s="388"/>
      <c r="BM654" s="404">
        <f>'Portefeuille SP2'!L679</f>
        <v>0</v>
      </c>
    </row>
    <row r="655" spans="1:65" ht="15" customHeight="1">
      <c r="A655" s="383">
        <f>'Portefeuille SP2'!B680</f>
        <v>0</v>
      </c>
      <c r="B655" s="390">
        <f>'Portefeuille SP2'!Q680</f>
        <v>0</v>
      </c>
      <c r="C655" s="384"/>
      <c r="D655" s="382">
        <f>'Portefeuille SP2'!E680</f>
        <v>0</v>
      </c>
      <c r="E655" s="382" t="str">
        <f t="shared" si="41"/>
        <v>0</v>
      </c>
      <c r="F655" s="382" t="str">
        <f t="shared" si="42"/>
        <v/>
      </c>
      <c r="G655" s="382">
        <f>'Portefeuille SP2'!C680</f>
        <v>0</v>
      </c>
      <c r="H655" s="382">
        <f>'Portefeuille SP2'!F680</f>
        <v>0</v>
      </c>
      <c r="I655" s="382"/>
      <c r="J655" s="382">
        <f>'Portefeuille SP2'!D680</f>
        <v>0</v>
      </c>
      <c r="K655" s="385">
        <f>'Portefeuille SP2'!H680</f>
        <v>0</v>
      </c>
      <c r="L655" s="157">
        <f>'Portefeuille SP2'!U680</f>
        <v>0</v>
      </c>
      <c r="M655" s="386"/>
      <c r="N655" s="386"/>
      <c r="O655" s="386"/>
      <c r="P655" s="387">
        <f>'Portefeuille SP2'!M680</f>
        <v>0</v>
      </c>
      <c r="Q655" s="387"/>
      <c r="R655" s="387">
        <f>'Portefeuille SP2'!N680</f>
        <v>0</v>
      </c>
      <c r="S655" s="387"/>
      <c r="T655" s="382">
        <f>'Portefeuille SP2'!R680</f>
        <v>0</v>
      </c>
      <c r="U655" s="387">
        <f>'Portefeuille SP2'!K680</f>
        <v>0</v>
      </c>
      <c r="V655" s="399">
        <f>'Portefeuille SP2'!S680</f>
        <v>0</v>
      </c>
      <c r="W655" s="387"/>
      <c r="X655" s="387"/>
      <c r="Y655" s="387"/>
      <c r="Z655" s="387"/>
      <c r="AA655" s="387"/>
      <c r="AB655" s="387"/>
      <c r="AC655" s="387"/>
      <c r="AD655" s="387"/>
      <c r="AE655" s="400">
        <f>'Portefeuille SP2'!J680</f>
        <v>0</v>
      </c>
      <c r="AF655" s="387"/>
      <c r="AG655" s="387"/>
      <c r="AH655" s="389"/>
      <c r="AI655" s="389"/>
      <c r="AJ655" s="403">
        <f>'Portefeuille SP2'!V680</f>
        <v>0</v>
      </c>
      <c r="AK655" s="403">
        <f>'Portefeuille SP2'!W680</f>
        <v>0</v>
      </c>
      <c r="AL655" s="403">
        <f>'Portefeuille SP2'!X680</f>
        <v>0</v>
      </c>
      <c r="AM655" s="403">
        <f>'Portefeuille SP2'!Y680</f>
        <v>0</v>
      </c>
      <c r="AN655" s="403">
        <f>'Portefeuille SP2'!Z680</f>
        <v>0</v>
      </c>
      <c r="AO655" s="403">
        <f>'Portefeuille SP2'!AA680</f>
        <v>0</v>
      </c>
      <c r="AP655" s="403">
        <f>'Portefeuille SP2'!AB680</f>
        <v>0</v>
      </c>
      <c r="AQ655" s="403">
        <f>'Portefeuille SP2'!AC680</f>
        <v>0</v>
      </c>
      <c r="AR655" s="403">
        <f>'Portefeuille SP2'!AD680</f>
        <v>0</v>
      </c>
      <c r="AS655" s="403">
        <f>'Portefeuille SP2'!AE680</f>
        <v>0</v>
      </c>
      <c r="AT655" s="403">
        <f>'Portefeuille SP2'!AF680</f>
        <v>0</v>
      </c>
      <c r="AU655" s="403">
        <f>'Portefeuille SP2'!AG680</f>
        <v>0</v>
      </c>
      <c r="AV655" s="403">
        <f>'Portefeuille SP2'!AH680</f>
        <v>0</v>
      </c>
      <c r="AW655" s="403">
        <f>'Portefeuille SP2'!AI680</f>
        <v>0</v>
      </c>
      <c r="AX655" s="403">
        <f>'Portefeuille SP2'!AJ680</f>
        <v>0</v>
      </c>
      <c r="AY655" s="403">
        <f>'Portefeuille SP2'!AK680</f>
        <v>0</v>
      </c>
      <c r="AZ655" s="403">
        <f>'Portefeuille SP2'!AL680</f>
        <v>0</v>
      </c>
      <c r="BA655" s="403">
        <f>'Portefeuille SP2'!AM680</f>
        <v>0</v>
      </c>
      <c r="BB655" s="403">
        <f>'Portefeuille SP2'!AN680</f>
        <v>0</v>
      </c>
      <c r="BC655" s="403">
        <f>'Portefeuille SP2'!AO680</f>
        <v>0</v>
      </c>
      <c r="BD655" s="403">
        <f>'Portefeuille SP2'!AP680</f>
        <v>0</v>
      </c>
      <c r="BE655" s="403">
        <f>'Portefeuille SP2'!AQ680</f>
        <v>0</v>
      </c>
      <c r="BF655" s="403">
        <f>'Portefeuille SP2'!AR680</f>
        <v>0</v>
      </c>
      <c r="BG655" s="403" t="e">
        <f>'Portefeuille SP2'!#REF!</f>
        <v>#REF!</v>
      </c>
      <c r="BH655" s="403" t="e">
        <f>'Portefeuille SP2'!#REF!</f>
        <v>#REF!</v>
      </c>
      <c r="BI655" s="403" t="e">
        <f>'Portefeuille SP2'!#REF!</f>
        <v>#REF!</v>
      </c>
      <c r="BJ655" s="403" t="e">
        <f>'Portefeuille SP2'!#REF!</f>
        <v>#REF!</v>
      </c>
      <c r="BK655" s="403" t="e">
        <f>'Portefeuille SP2'!#REF!</f>
        <v>#REF!</v>
      </c>
      <c r="BL655" s="388"/>
      <c r="BM655" s="404">
        <f>'Portefeuille SP2'!L680</f>
        <v>0</v>
      </c>
    </row>
    <row r="656" spans="1:65" ht="15" customHeight="1">
      <c r="A656" s="383">
        <f>'Portefeuille SP2'!B681</f>
        <v>0</v>
      </c>
      <c r="B656" s="390">
        <f>'Portefeuille SP2'!Q681</f>
        <v>0</v>
      </c>
      <c r="C656" s="384"/>
      <c r="D656" s="382">
        <f>'Portefeuille SP2'!E681</f>
        <v>0</v>
      </c>
      <c r="E656" s="382" t="str">
        <f t="shared" si="41"/>
        <v>0</v>
      </c>
      <c r="F656" s="382" t="str">
        <f t="shared" si="42"/>
        <v/>
      </c>
      <c r="G656" s="382">
        <f>'Portefeuille SP2'!C681</f>
        <v>0</v>
      </c>
      <c r="H656" s="382">
        <f>'Portefeuille SP2'!F681</f>
        <v>0</v>
      </c>
      <c r="I656" s="382"/>
      <c r="J656" s="382">
        <f>'Portefeuille SP2'!D681</f>
        <v>0</v>
      </c>
      <c r="K656" s="385">
        <f>'Portefeuille SP2'!H681</f>
        <v>0</v>
      </c>
      <c r="L656" s="157">
        <f>'Portefeuille SP2'!U681</f>
        <v>0</v>
      </c>
      <c r="M656" s="386"/>
      <c r="N656" s="386"/>
      <c r="O656" s="386"/>
      <c r="P656" s="387">
        <f>'Portefeuille SP2'!M681</f>
        <v>0</v>
      </c>
      <c r="Q656" s="387"/>
      <c r="R656" s="387">
        <f>'Portefeuille SP2'!N681</f>
        <v>0</v>
      </c>
      <c r="S656" s="387"/>
      <c r="T656" s="382">
        <f>'Portefeuille SP2'!R681</f>
        <v>0</v>
      </c>
      <c r="U656" s="387">
        <f>'Portefeuille SP2'!K681</f>
        <v>0</v>
      </c>
      <c r="V656" s="399">
        <f>'Portefeuille SP2'!S681</f>
        <v>0</v>
      </c>
      <c r="W656" s="387"/>
      <c r="X656" s="387"/>
      <c r="Y656" s="387"/>
      <c r="Z656" s="387"/>
      <c r="AA656" s="387"/>
      <c r="AB656" s="387"/>
      <c r="AC656" s="387"/>
      <c r="AD656" s="387"/>
      <c r="AE656" s="400">
        <f>'Portefeuille SP2'!J681</f>
        <v>0</v>
      </c>
      <c r="AF656" s="387"/>
      <c r="AG656" s="387"/>
      <c r="AH656" s="389"/>
      <c r="AI656" s="389"/>
      <c r="AJ656" s="403">
        <f>'Portefeuille SP2'!V681</f>
        <v>0</v>
      </c>
      <c r="AK656" s="403">
        <f>'Portefeuille SP2'!W681</f>
        <v>0</v>
      </c>
      <c r="AL656" s="403">
        <f>'Portefeuille SP2'!X681</f>
        <v>0</v>
      </c>
      <c r="AM656" s="403">
        <f>'Portefeuille SP2'!Y681</f>
        <v>0</v>
      </c>
      <c r="AN656" s="403">
        <f>'Portefeuille SP2'!Z681</f>
        <v>0</v>
      </c>
      <c r="AO656" s="403">
        <f>'Portefeuille SP2'!AA681</f>
        <v>0</v>
      </c>
      <c r="AP656" s="403">
        <f>'Portefeuille SP2'!AB681</f>
        <v>0</v>
      </c>
      <c r="AQ656" s="403">
        <f>'Portefeuille SP2'!AC681</f>
        <v>0</v>
      </c>
      <c r="AR656" s="403">
        <f>'Portefeuille SP2'!AD681</f>
        <v>0</v>
      </c>
      <c r="AS656" s="403">
        <f>'Portefeuille SP2'!AE681</f>
        <v>0</v>
      </c>
      <c r="AT656" s="403">
        <f>'Portefeuille SP2'!AF681</f>
        <v>0</v>
      </c>
      <c r="AU656" s="403">
        <f>'Portefeuille SP2'!AG681</f>
        <v>0</v>
      </c>
      <c r="AV656" s="403">
        <f>'Portefeuille SP2'!AH681</f>
        <v>0</v>
      </c>
      <c r="AW656" s="403">
        <f>'Portefeuille SP2'!AI681</f>
        <v>0</v>
      </c>
      <c r="AX656" s="403">
        <f>'Portefeuille SP2'!AJ681</f>
        <v>0</v>
      </c>
      <c r="AY656" s="403">
        <f>'Portefeuille SP2'!AK681</f>
        <v>0</v>
      </c>
      <c r="AZ656" s="403">
        <f>'Portefeuille SP2'!AL681</f>
        <v>0</v>
      </c>
      <c r="BA656" s="403">
        <f>'Portefeuille SP2'!AM681</f>
        <v>0</v>
      </c>
      <c r="BB656" s="403">
        <f>'Portefeuille SP2'!AN681</f>
        <v>0</v>
      </c>
      <c r="BC656" s="403">
        <f>'Portefeuille SP2'!AO681</f>
        <v>0</v>
      </c>
      <c r="BD656" s="403">
        <f>'Portefeuille SP2'!AP681</f>
        <v>0</v>
      </c>
      <c r="BE656" s="403">
        <f>'Portefeuille SP2'!AQ681</f>
        <v>0</v>
      </c>
      <c r="BF656" s="403">
        <f>'Portefeuille SP2'!AR681</f>
        <v>0</v>
      </c>
      <c r="BG656" s="403" t="e">
        <f>'Portefeuille SP2'!#REF!</f>
        <v>#REF!</v>
      </c>
      <c r="BH656" s="403" t="e">
        <f>'Portefeuille SP2'!#REF!</f>
        <v>#REF!</v>
      </c>
      <c r="BI656" s="403" t="e">
        <f>'Portefeuille SP2'!#REF!</f>
        <v>#REF!</v>
      </c>
      <c r="BJ656" s="403" t="e">
        <f>'Portefeuille SP2'!#REF!</f>
        <v>#REF!</v>
      </c>
      <c r="BK656" s="403" t="e">
        <f>'Portefeuille SP2'!#REF!</f>
        <v>#REF!</v>
      </c>
      <c r="BL656" s="388"/>
      <c r="BM656" s="404">
        <f>'Portefeuille SP2'!L681</f>
        <v>0</v>
      </c>
    </row>
    <row r="657" spans="1:65" ht="15" customHeight="1">
      <c r="A657" s="383">
        <f>'Portefeuille SP2'!B682</f>
        <v>0</v>
      </c>
      <c r="B657" s="390">
        <f>'Portefeuille SP2'!Q682</f>
        <v>0</v>
      </c>
      <c r="C657" s="384"/>
      <c r="D657" s="382">
        <f>'Portefeuille SP2'!E682</f>
        <v>0</v>
      </c>
      <c r="E657" s="382" t="str">
        <f t="shared" si="41"/>
        <v>0</v>
      </c>
      <c r="F657" s="382" t="str">
        <f t="shared" si="42"/>
        <v/>
      </c>
      <c r="G657" s="382">
        <f>'Portefeuille SP2'!C682</f>
        <v>0</v>
      </c>
      <c r="H657" s="382">
        <f>'Portefeuille SP2'!F682</f>
        <v>0</v>
      </c>
      <c r="I657" s="382"/>
      <c r="J657" s="382">
        <f>'Portefeuille SP2'!D682</f>
        <v>0</v>
      </c>
      <c r="K657" s="385">
        <f>'Portefeuille SP2'!H682</f>
        <v>0</v>
      </c>
      <c r="L657" s="157">
        <f>'Portefeuille SP2'!U682</f>
        <v>0</v>
      </c>
      <c r="M657" s="386"/>
      <c r="N657" s="386"/>
      <c r="O657" s="386"/>
      <c r="P657" s="387">
        <f>'Portefeuille SP2'!M682</f>
        <v>0</v>
      </c>
      <c r="Q657" s="387"/>
      <c r="R657" s="387">
        <f>'Portefeuille SP2'!N682</f>
        <v>0</v>
      </c>
      <c r="S657" s="387"/>
      <c r="T657" s="382">
        <f>'Portefeuille SP2'!R682</f>
        <v>0</v>
      </c>
      <c r="U657" s="387">
        <f>'Portefeuille SP2'!K682</f>
        <v>0</v>
      </c>
      <c r="V657" s="399">
        <f>'Portefeuille SP2'!S682</f>
        <v>0</v>
      </c>
      <c r="W657" s="387"/>
      <c r="X657" s="387"/>
      <c r="Y657" s="387"/>
      <c r="Z657" s="387"/>
      <c r="AA657" s="387"/>
      <c r="AB657" s="387"/>
      <c r="AC657" s="387"/>
      <c r="AD657" s="387"/>
      <c r="AE657" s="400">
        <f>'Portefeuille SP2'!J682</f>
        <v>0</v>
      </c>
      <c r="AF657" s="387"/>
      <c r="AG657" s="387"/>
      <c r="AH657" s="389"/>
      <c r="AI657" s="389"/>
      <c r="AJ657" s="403">
        <f>'Portefeuille SP2'!V682</f>
        <v>0</v>
      </c>
      <c r="AK657" s="403">
        <f>'Portefeuille SP2'!W682</f>
        <v>0</v>
      </c>
      <c r="AL657" s="403">
        <f>'Portefeuille SP2'!X682</f>
        <v>0</v>
      </c>
      <c r="AM657" s="403">
        <f>'Portefeuille SP2'!Y682</f>
        <v>0</v>
      </c>
      <c r="AN657" s="403">
        <f>'Portefeuille SP2'!Z682</f>
        <v>0</v>
      </c>
      <c r="AO657" s="403">
        <f>'Portefeuille SP2'!AA682</f>
        <v>0</v>
      </c>
      <c r="AP657" s="403">
        <f>'Portefeuille SP2'!AB682</f>
        <v>0</v>
      </c>
      <c r="AQ657" s="403">
        <f>'Portefeuille SP2'!AC682</f>
        <v>0</v>
      </c>
      <c r="AR657" s="403">
        <f>'Portefeuille SP2'!AD682</f>
        <v>0</v>
      </c>
      <c r="AS657" s="403">
        <f>'Portefeuille SP2'!AE682</f>
        <v>0</v>
      </c>
      <c r="AT657" s="403">
        <f>'Portefeuille SP2'!AF682</f>
        <v>0</v>
      </c>
      <c r="AU657" s="403">
        <f>'Portefeuille SP2'!AG682</f>
        <v>0</v>
      </c>
      <c r="AV657" s="403">
        <f>'Portefeuille SP2'!AH682</f>
        <v>0</v>
      </c>
      <c r="AW657" s="403">
        <f>'Portefeuille SP2'!AI682</f>
        <v>0</v>
      </c>
      <c r="AX657" s="403">
        <f>'Portefeuille SP2'!AJ682</f>
        <v>0</v>
      </c>
      <c r="AY657" s="403">
        <f>'Portefeuille SP2'!AK682</f>
        <v>0</v>
      </c>
      <c r="AZ657" s="403">
        <f>'Portefeuille SP2'!AL682</f>
        <v>0</v>
      </c>
      <c r="BA657" s="403">
        <f>'Portefeuille SP2'!AM682</f>
        <v>0</v>
      </c>
      <c r="BB657" s="403">
        <f>'Portefeuille SP2'!AN682</f>
        <v>0</v>
      </c>
      <c r="BC657" s="403">
        <f>'Portefeuille SP2'!AO682</f>
        <v>0</v>
      </c>
      <c r="BD657" s="403">
        <f>'Portefeuille SP2'!AP682</f>
        <v>0</v>
      </c>
      <c r="BE657" s="403">
        <f>'Portefeuille SP2'!AQ682</f>
        <v>0</v>
      </c>
      <c r="BF657" s="403">
        <f>'Portefeuille SP2'!AR682</f>
        <v>0</v>
      </c>
      <c r="BG657" s="403" t="e">
        <f>'Portefeuille SP2'!#REF!</f>
        <v>#REF!</v>
      </c>
      <c r="BH657" s="403" t="e">
        <f>'Portefeuille SP2'!#REF!</f>
        <v>#REF!</v>
      </c>
      <c r="BI657" s="403" t="e">
        <f>'Portefeuille SP2'!#REF!</f>
        <v>#REF!</v>
      </c>
      <c r="BJ657" s="403" t="e">
        <f>'Portefeuille SP2'!#REF!</f>
        <v>#REF!</v>
      </c>
      <c r="BK657" s="403" t="e">
        <f>'Portefeuille SP2'!#REF!</f>
        <v>#REF!</v>
      </c>
      <c r="BL657" s="388"/>
      <c r="BM657" s="404">
        <f>'Portefeuille SP2'!L682</f>
        <v>0</v>
      </c>
    </row>
    <row r="658" spans="1:65" ht="15" customHeight="1">
      <c r="A658" s="383">
        <f>'Portefeuille SP2'!B683</f>
        <v>0</v>
      </c>
      <c r="B658" s="390">
        <f>'Portefeuille SP2'!Q683</f>
        <v>0</v>
      </c>
      <c r="C658" s="384"/>
      <c r="D658" s="382">
        <f>'Portefeuille SP2'!E683</f>
        <v>0</v>
      </c>
      <c r="E658" s="382" t="str">
        <f t="shared" si="41"/>
        <v>0</v>
      </c>
      <c r="F658" s="382" t="str">
        <f t="shared" si="42"/>
        <v/>
      </c>
      <c r="G658" s="382">
        <f>'Portefeuille SP2'!C683</f>
        <v>0</v>
      </c>
      <c r="H658" s="382">
        <f>'Portefeuille SP2'!F683</f>
        <v>0</v>
      </c>
      <c r="I658" s="382"/>
      <c r="J658" s="382">
        <f>'Portefeuille SP2'!D683</f>
        <v>0</v>
      </c>
      <c r="K658" s="385">
        <f>'Portefeuille SP2'!H683</f>
        <v>0</v>
      </c>
      <c r="L658" s="157">
        <f>'Portefeuille SP2'!U683</f>
        <v>0</v>
      </c>
      <c r="M658" s="386"/>
      <c r="N658" s="386"/>
      <c r="O658" s="386"/>
      <c r="P658" s="387">
        <f>'Portefeuille SP2'!M683</f>
        <v>0</v>
      </c>
      <c r="Q658" s="387"/>
      <c r="R658" s="387">
        <f>'Portefeuille SP2'!N683</f>
        <v>0</v>
      </c>
      <c r="S658" s="387"/>
      <c r="T658" s="382">
        <f>'Portefeuille SP2'!R683</f>
        <v>0</v>
      </c>
      <c r="U658" s="387">
        <f>'Portefeuille SP2'!K683</f>
        <v>0</v>
      </c>
      <c r="V658" s="399">
        <f>'Portefeuille SP2'!S683</f>
        <v>0</v>
      </c>
      <c r="W658" s="387"/>
      <c r="X658" s="387"/>
      <c r="Y658" s="387"/>
      <c r="Z658" s="387"/>
      <c r="AA658" s="387"/>
      <c r="AB658" s="387"/>
      <c r="AC658" s="387"/>
      <c r="AD658" s="387"/>
      <c r="AE658" s="400">
        <f>'Portefeuille SP2'!J683</f>
        <v>0</v>
      </c>
      <c r="AF658" s="387"/>
      <c r="AG658" s="387"/>
      <c r="AH658" s="389"/>
      <c r="AI658" s="389"/>
      <c r="AJ658" s="403">
        <f>'Portefeuille SP2'!V683</f>
        <v>0</v>
      </c>
      <c r="AK658" s="403">
        <f>'Portefeuille SP2'!W683</f>
        <v>0</v>
      </c>
      <c r="AL658" s="403">
        <f>'Portefeuille SP2'!X683</f>
        <v>0</v>
      </c>
      <c r="AM658" s="403">
        <f>'Portefeuille SP2'!Y683</f>
        <v>0</v>
      </c>
      <c r="AN658" s="403">
        <f>'Portefeuille SP2'!Z683</f>
        <v>0</v>
      </c>
      <c r="AO658" s="403">
        <f>'Portefeuille SP2'!AA683</f>
        <v>0</v>
      </c>
      <c r="AP658" s="403">
        <f>'Portefeuille SP2'!AB683</f>
        <v>0</v>
      </c>
      <c r="AQ658" s="403">
        <f>'Portefeuille SP2'!AC683</f>
        <v>0</v>
      </c>
      <c r="AR658" s="403">
        <f>'Portefeuille SP2'!AD683</f>
        <v>0</v>
      </c>
      <c r="AS658" s="403">
        <f>'Portefeuille SP2'!AE683</f>
        <v>0</v>
      </c>
      <c r="AT658" s="403">
        <f>'Portefeuille SP2'!AF683</f>
        <v>0</v>
      </c>
      <c r="AU658" s="403">
        <f>'Portefeuille SP2'!AG683</f>
        <v>0</v>
      </c>
      <c r="AV658" s="403">
        <f>'Portefeuille SP2'!AH683</f>
        <v>0</v>
      </c>
      <c r="AW658" s="403">
        <f>'Portefeuille SP2'!AI683</f>
        <v>0</v>
      </c>
      <c r="AX658" s="403">
        <f>'Portefeuille SP2'!AJ683</f>
        <v>0</v>
      </c>
      <c r="AY658" s="403">
        <f>'Portefeuille SP2'!AK683</f>
        <v>0</v>
      </c>
      <c r="AZ658" s="403">
        <f>'Portefeuille SP2'!AL683</f>
        <v>0</v>
      </c>
      <c r="BA658" s="403">
        <f>'Portefeuille SP2'!AM683</f>
        <v>0</v>
      </c>
      <c r="BB658" s="403">
        <f>'Portefeuille SP2'!AN683</f>
        <v>0</v>
      </c>
      <c r="BC658" s="403">
        <f>'Portefeuille SP2'!AO683</f>
        <v>0</v>
      </c>
      <c r="BD658" s="403">
        <f>'Portefeuille SP2'!AP683</f>
        <v>0</v>
      </c>
      <c r="BE658" s="403">
        <f>'Portefeuille SP2'!AQ683</f>
        <v>0</v>
      </c>
      <c r="BF658" s="403">
        <f>'Portefeuille SP2'!AR683</f>
        <v>0</v>
      </c>
      <c r="BG658" s="403" t="e">
        <f>'Portefeuille SP2'!#REF!</f>
        <v>#REF!</v>
      </c>
      <c r="BH658" s="403" t="e">
        <f>'Portefeuille SP2'!#REF!</f>
        <v>#REF!</v>
      </c>
      <c r="BI658" s="403" t="e">
        <f>'Portefeuille SP2'!#REF!</f>
        <v>#REF!</v>
      </c>
      <c r="BJ658" s="403" t="e">
        <f>'Portefeuille SP2'!#REF!</f>
        <v>#REF!</v>
      </c>
      <c r="BK658" s="403" t="e">
        <f>'Portefeuille SP2'!#REF!</f>
        <v>#REF!</v>
      </c>
      <c r="BL658" s="388"/>
      <c r="BM658" s="404">
        <f>'Portefeuille SP2'!L683</f>
        <v>0</v>
      </c>
    </row>
    <row r="659" spans="1:65" ht="15" customHeight="1">
      <c r="A659" s="383">
        <f>'Portefeuille SP2'!B684</f>
        <v>0</v>
      </c>
      <c r="B659" s="390">
        <f>'Portefeuille SP2'!Q684</f>
        <v>0</v>
      </c>
      <c r="C659" s="384"/>
      <c r="D659" s="382">
        <f>'Portefeuille SP2'!E684</f>
        <v>0</v>
      </c>
      <c r="E659" s="382" t="str">
        <f t="shared" si="41"/>
        <v>0</v>
      </c>
      <c r="F659" s="382" t="str">
        <f t="shared" si="42"/>
        <v/>
      </c>
      <c r="G659" s="382">
        <f>'Portefeuille SP2'!C684</f>
        <v>0</v>
      </c>
      <c r="H659" s="382">
        <f>'Portefeuille SP2'!F684</f>
        <v>0</v>
      </c>
      <c r="I659" s="382"/>
      <c r="J659" s="382">
        <f>'Portefeuille SP2'!D684</f>
        <v>0</v>
      </c>
      <c r="K659" s="385">
        <f>'Portefeuille SP2'!H684</f>
        <v>0</v>
      </c>
      <c r="L659" s="157">
        <f>'Portefeuille SP2'!U684</f>
        <v>0</v>
      </c>
      <c r="M659" s="386"/>
      <c r="N659" s="386"/>
      <c r="O659" s="386"/>
      <c r="P659" s="387">
        <f>'Portefeuille SP2'!M684</f>
        <v>0</v>
      </c>
      <c r="Q659" s="387"/>
      <c r="R659" s="387">
        <f>'Portefeuille SP2'!N684</f>
        <v>0</v>
      </c>
      <c r="S659" s="387"/>
      <c r="T659" s="382">
        <f>'Portefeuille SP2'!R684</f>
        <v>0</v>
      </c>
      <c r="U659" s="387">
        <f>'Portefeuille SP2'!K684</f>
        <v>0</v>
      </c>
      <c r="V659" s="399">
        <f>'Portefeuille SP2'!S684</f>
        <v>0</v>
      </c>
      <c r="W659" s="387"/>
      <c r="X659" s="387"/>
      <c r="Y659" s="387"/>
      <c r="Z659" s="387"/>
      <c r="AA659" s="387"/>
      <c r="AB659" s="387"/>
      <c r="AC659" s="387"/>
      <c r="AD659" s="387"/>
      <c r="AE659" s="400">
        <f>'Portefeuille SP2'!J684</f>
        <v>0</v>
      </c>
      <c r="AF659" s="387"/>
      <c r="AG659" s="387"/>
      <c r="AH659" s="389"/>
      <c r="AI659" s="389"/>
      <c r="AJ659" s="403">
        <f>'Portefeuille SP2'!V684</f>
        <v>0</v>
      </c>
      <c r="AK659" s="403">
        <f>'Portefeuille SP2'!W684</f>
        <v>0</v>
      </c>
      <c r="AL659" s="403">
        <f>'Portefeuille SP2'!X684</f>
        <v>0</v>
      </c>
      <c r="AM659" s="403">
        <f>'Portefeuille SP2'!Y684</f>
        <v>0</v>
      </c>
      <c r="AN659" s="403">
        <f>'Portefeuille SP2'!Z684</f>
        <v>0</v>
      </c>
      <c r="AO659" s="403">
        <f>'Portefeuille SP2'!AA684</f>
        <v>0</v>
      </c>
      <c r="AP659" s="403">
        <f>'Portefeuille SP2'!AB684</f>
        <v>0</v>
      </c>
      <c r="AQ659" s="403">
        <f>'Portefeuille SP2'!AC684</f>
        <v>0</v>
      </c>
      <c r="AR659" s="403">
        <f>'Portefeuille SP2'!AD684</f>
        <v>0</v>
      </c>
      <c r="AS659" s="403">
        <f>'Portefeuille SP2'!AE684</f>
        <v>0</v>
      </c>
      <c r="AT659" s="403">
        <f>'Portefeuille SP2'!AF684</f>
        <v>0</v>
      </c>
      <c r="AU659" s="403">
        <f>'Portefeuille SP2'!AG684</f>
        <v>0</v>
      </c>
      <c r="AV659" s="403">
        <f>'Portefeuille SP2'!AH684</f>
        <v>0</v>
      </c>
      <c r="AW659" s="403">
        <f>'Portefeuille SP2'!AI684</f>
        <v>0</v>
      </c>
      <c r="AX659" s="403">
        <f>'Portefeuille SP2'!AJ684</f>
        <v>0</v>
      </c>
      <c r="AY659" s="403">
        <f>'Portefeuille SP2'!AK684</f>
        <v>0</v>
      </c>
      <c r="AZ659" s="403">
        <f>'Portefeuille SP2'!AL684</f>
        <v>0</v>
      </c>
      <c r="BA659" s="403">
        <f>'Portefeuille SP2'!AM684</f>
        <v>0</v>
      </c>
      <c r="BB659" s="403">
        <f>'Portefeuille SP2'!AN684</f>
        <v>0</v>
      </c>
      <c r="BC659" s="403">
        <f>'Portefeuille SP2'!AO684</f>
        <v>0</v>
      </c>
      <c r="BD659" s="403">
        <f>'Portefeuille SP2'!AP684</f>
        <v>0</v>
      </c>
      <c r="BE659" s="403">
        <f>'Portefeuille SP2'!AQ684</f>
        <v>0</v>
      </c>
      <c r="BF659" s="403">
        <f>'Portefeuille SP2'!AR684</f>
        <v>0</v>
      </c>
      <c r="BG659" s="403" t="e">
        <f>'Portefeuille SP2'!#REF!</f>
        <v>#REF!</v>
      </c>
      <c r="BH659" s="403" t="e">
        <f>'Portefeuille SP2'!#REF!</f>
        <v>#REF!</v>
      </c>
      <c r="BI659" s="403" t="e">
        <f>'Portefeuille SP2'!#REF!</f>
        <v>#REF!</v>
      </c>
      <c r="BJ659" s="403" t="e">
        <f>'Portefeuille SP2'!#REF!</f>
        <v>#REF!</v>
      </c>
      <c r="BK659" s="403" t="e">
        <f>'Portefeuille SP2'!#REF!</f>
        <v>#REF!</v>
      </c>
      <c r="BL659" s="388"/>
      <c r="BM659" s="404">
        <f>'Portefeuille SP2'!L684</f>
        <v>0</v>
      </c>
    </row>
    <row r="660" spans="1:65" ht="15" customHeight="1">
      <c r="A660" s="383">
        <f>'Portefeuille SP2'!B685</f>
        <v>0</v>
      </c>
      <c r="B660" s="390">
        <f>'Portefeuille SP2'!Q685</f>
        <v>0</v>
      </c>
      <c r="C660" s="384"/>
      <c r="D660" s="382">
        <f>'Portefeuille SP2'!E685</f>
        <v>0</v>
      </c>
      <c r="E660" s="382" t="str">
        <f t="shared" si="41"/>
        <v>0</v>
      </c>
      <c r="F660" s="382" t="str">
        <f t="shared" si="42"/>
        <v/>
      </c>
      <c r="G660" s="382">
        <f>'Portefeuille SP2'!C685</f>
        <v>0</v>
      </c>
      <c r="H660" s="382">
        <f>'Portefeuille SP2'!F685</f>
        <v>0</v>
      </c>
      <c r="I660" s="382"/>
      <c r="J660" s="382">
        <f>'Portefeuille SP2'!D685</f>
        <v>0</v>
      </c>
      <c r="K660" s="385">
        <f>'Portefeuille SP2'!H685</f>
        <v>0</v>
      </c>
      <c r="L660" s="157">
        <f>'Portefeuille SP2'!U685</f>
        <v>0</v>
      </c>
      <c r="M660" s="386"/>
      <c r="N660" s="386"/>
      <c r="O660" s="386"/>
      <c r="P660" s="387">
        <f>'Portefeuille SP2'!M685</f>
        <v>0</v>
      </c>
      <c r="Q660" s="387"/>
      <c r="R660" s="387">
        <f>'Portefeuille SP2'!N685</f>
        <v>0</v>
      </c>
      <c r="S660" s="387"/>
      <c r="T660" s="382">
        <f>'Portefeuille SP2'!R685</f>
        <v>0</v>
      </c>
      <c r="U660" s="387">
        <f>'Portefeuille SP2'!K685</f>
        <v>0</v>
      </c>
      <c r="V660" s="399">
        <f>'Portefeuille SP2'!S685</f>
        <v>0</v>
      </c>
      <c r="W660" s="387"/>
      <c r="X660" s="387"/>
      <c r="Y660" s="387"/>
      <c r="Z660" s="387"/>
      <c r="AA660" s="387"/>
      <c r="AB660" s="387"/>
      <c r="AC660" s="387"/>
      <c r="AD660" s="387"/>
      <c r="AE660" s="400">
        <f>'Portefeuille SP2'!J685</f>
        <v>0</v>
      </c>
      <c r="AF660" s="387"/>
      <c r="AG660" s="387"/>
      <c r="AH660" s="389"/>
      <c r="AI660" s="389"/>
      <c r="AJ660" s="403">
        <f>'Portefeuille SP2'!V685</f>
        <v>0</v>
      </c>
      <c r="AK660" s="403">
        <f>'Portefeuille SP2'!W685</f>
        <v>0</v>
      </c>
      <c r="AL660" s="403">
        <f>'Portefeuille SP2'!X685</f>
        <v>0</v>
      </c>
      <c r="AM660" s="403">
        <f>'Portefeuille SP2'!Y685</f>
        <v>0</v>
      </c>
      <c r="AN660" s="403">
        <f>'Portefeuille SP2'!Z685</f>
        <v>0</v>
      </c>
      <c r="AO660" s="403">
        <f>'Portefeuille SP2'!AA685</f>
        <v>0</v>
      </c>
      <c r="AP660" s="403">
        <f>'Portefeuille SP2'!AB685</f>
        <v>0</v>
      </c>
      <c r="AQ660" s="403">
        <f>'Portefeuille SP2'!AC685</f>
        <v>0</v>
      </c>
      <c r="AR660" s="403">
        <f>'Portefeuille SP2'!AD685</f>
        <v>0</v>
      </c>
      <c r="AS660" s="403">
        <f>'Portefeuille SP2'!AE685</f>
        <v>0</v>
      </c>
      <c r="AT660" s="403">
        <f>'Portefeuille SP2'!AF685</f>
        <v>0</v>
      </c>
      <c r="AU660" s="403">
        <f>'Portefeuille SP2'!AG685</f>
        <v>0</v>
      </c>
      <c r="AV660" s="403">
        <f>'Portefeuille SP2'!AH685</f>
        <v>0</v>
      </c>
      <c r="AW660" s="403">
        <f>'Portefeuille SP2'!AI685</f>
        <v>0</v>
      </c>
      <c r="AX660" s="403">
        <f>'Portefeuille SP2'!AJ685</f>
        <v>0</v>
      </c>
      <c r="AY660" s="403">
        <f>'Portefeuille SP2'!AK685</f>
        <v>0</v>
      </c>
      <c r="AZ660" s="403">
        <f>'Portefeuille SP2'!AL685</f>
        <v>0</v>
      </c>
      <c r="BA660" s="403">
        <f>'Portefeuille SP2'!AM685</f>
        <v>0</v>
      </c>
      <c r="BB660" s="403">
        <f>'Portefeuille SP2'!AN685</f>
        <v>0</v>
      </c>
      <c r="BC660" s="403">
        <f>'Portefeuille SP2'!AO685</f>
        <v>0</v>
      </c>
      <c r="BD660" s="403">
        <f>'Portefeuille SP2'!AP685</f>
        <v>0</v>
      </c>
      <c r="BE660" s="403">
        <f>'Portefeuille SP2'!AQ685</f>
        <v>0</v>
      </c>
      <c r="BF660" s="403">
        <f>'Portefeuille SP2'!AR685</f>
        <v>0</v>
      </c>
      <c r="BG660" s="403" t="e">
        <f>'Portefeuille SP2'!#REF!</f>
        <v>#REF!</v>
      </c>
      <c r="BH660" s="403" t="e">
        <f>'Portefeuille SP2'!#REF!</f>
        <v>#REF!</v>
      </c>
      <c r="BI660" s="403" t="e">
        <f>'Portefeuille SP2'!#REF!</f>
        <v>#REF!</v>
      </c>
      <c r="BJ660" s="403" t="e">
        <f>'Portefeuille SP2'!#REF!</f>
        <v>#REF!</v>
      </c>
      <c r="BK660" s="403" t="e">
        <f>'Portefeuille SP2'!#REF!</f>
        <v>#REF!</v>
      </c>
      <c r="BL660" s="388"/>
      <c r="BM660" s="404">
        <f>'Portefeuille SP2'!L685</f>
        <v>0</v>
      </c>
    </row>
    <row r="661" spans="1:65" ht="15" customHeight="1">
      <c r="A661" s="383">
        <f>'Portefeuille SP2'!B686</f>
        <v>0</v>
      </c>
      <c r="B661" s="390">
        <f>'Portefeuille SP2'!Q686</f>
        <v>0</v>
      </c>
      <c r="C661" s="384"/>
      <c r="D661" s="382">
        <f>'Portefeuille SP2'!E686</f>
        <v>0</v>
      </c>
      <c r="E661" s="382" t="str">
        <f t="shared" si="41"/>
        <v>0</v>
      </c>
      <c r="F661" s="382" t="str">
        <f t="shared" si="42"/>
        <v/>
      </c>
      <c r="G661" s="382">
        <f>'Portefeuille SP2'!C686</f>
        <v>0</v>
      </c>
      <c r="H661" s="382">
        <f>'Portefeuille SP2'!F686</f>
        <v>0</v>
      </c>
      <c r="I661" s="382"/>
      <c r="J661" s="382">
        <f>'Portefeuille SP2'!D686</f>
        <v>0</v>
      </c>
      <c r="K661" s="385">
        <f>'Portefeuille SP2'!H686</f>
        <v>0</v>
      </c>
      <c r="L661" s="157">
        <f>'Portefeuille SP2'!U686</f>
        <v>0</v>
      </c>
      <c r="M661" s="386"/>
      <c r="N661" s="386"/>
      <c r="O661" s="386"/>
      <c r="P661" s="387">
        <f>'Portefeuille SP2'!M686</f>
        <v>0</v>
      </c>
      <c r="Q661" s="387"/>
      <c r="R661" s="387">
        <f>'Portefeuille SP2'!N686</f>
        <v>0</v>
      </c>
      <c r="S661" s="387"/>
      <c r="T661" s="382">
        <f>'Portefeuille SP2'!R686</f>
        <v>0</v>
      </c>
      <c r="U661" s="387">
        <f>'Portefeuille SP2'!K686</f>
        <v>0</v>
      </c>
      <c r="V661" s="399">
        <f>'Portefeuille SP2'!S686</f>
        <v>0</v>
      </c>
      <c r="W661" s="387"/>
      <c r="X661" s="387"/>
      <c r="Y661" s="387"/>
      <c r="Z661" s="387"/>
      <c r="AA661" s="387"/>
      <c r="AB661" s="387"/>
      <c r="AC661" s="387"/>
      <c r="AD661" s="387"/>
      <c r="AE661" s="400">
        <f>'Portefeuille SP2'!J686</f>
        <v>0</v>
      </c>
      <c r="AF661" s="387"/>
      <c r="AG661" s="387"/>
      <c r="AH661" s="389"/>
      <c r="AI661" s="389"/>
      <c r="AJ661" s="403">
        <f>'Portefeuille SP2'!V686</f>
        <v>0</v>
      </c>
      <c r="AK661" s="403">
        <f>'Portefeuille SP2'!W686</f>
        <v>0</v>
      </c>
      <c r="AL661" s="403">
        <f>'Portefeuille SP2'!X686</f>
        <v>0</v>
      </c>
      <c r="AM661" s="403">
        <f>'Portefeuille SP2'!Y686</f>
        <v>0</v>
      </c>
      <c r="AN661" s="403">
        <f>'Portefeuille SP2'!Z686</f>
        <v>0</v>
      </c>
      <c r="AO661" s="403">
        <f>'Portefeuille SP2'!AA686</f>
        <v>0</v>
      </c>
      <c r="AP661" s="403">
        <f>'Portefeuille SP2'!AB686</f>
        <v>0</v>
      </c>
      <c r="AQ661" s="403">
        <f>'Portefeuille SP2'!AC686</f>
        <v>0</v>
      </c>
      <c r="AR661" s="403">
        <f>'Portefeuille SP2'!AD686</f>
        <v>0</v>
      </c>
      <c r="AS661" s="403">
        <f>'Portefeuille SP2'!AE686</f>
        <v>0</v>
      </c>
      <c r="AT661" s="403">
        <f>'Portefeuille SP2'!AF686</f>
        <v>0</v>
      </c>
      <c r="AU661" s="403">
        <f>'Portefeuille SP2'!AG686</f>
        <v>0</v>
      </c>
      <c r="AV661" s="403">
        <f>'Portefeuille SP2'!AH686</f>
        <v>0</v>
      </c>
      <c r="AW661" s="403">
        <f>'Portefeuille SP2'!AI686</f>
        <v>0</v>
      </c>
      <c r="AX661" s="403">
        <f>'Portefeuille SP2'!AJ686</f>
        <v>0</v>
      </c>
      <c r="AY661" s="403">
        <f>'Portefeuille SP2'!AK686</f>
        <v>0</v>
      </c>
      <c r="AZ661" s="403">
        <f>'Portefeuille SP2'!AL686</f>
        <v>0</v>
      </c>
      <c r="BA661" s="403">
        <f>'Portefeuille SP2'!AM686</f>
        <v>0</v>
      </c>
      <c r="BB661" s="403">
        <f>'Portefeuille SP2'!AN686</f>
        <v>0</v>
      </c>
      <c r="BC661" s="403">
        <f>'Portefeuille SP2'!AO686</f>
        <v>0</v>
      </c>
      <c r="BD661" s="403">
        <f>'Portefeuille SP2'!AP686</f>
        <v>0</v>
      </c>
      <c r="BE661" s="403">
        <f>'Portefeuille SP2'!AQ686</f>
        <v>0</v>
      </c>
      <c r="BF661" s="403">
        <f>'Portefeuille SP2'!AR686</f>
        <v>0</v>
      </c>
      <c r="BG661" s="403" t="e">
        <f>'Portefeuille SP2'!#REF!</f>
        <v>#REF!</v>
      </c>
      <c r="BH661" s="403" t="e">
        <f>'Portefeuille SP2'!#REF!</f>
        <v>#REF!</v>
      </c>
      <c r="BI661" s="403" t="e">
        <f>'Portefeuille SP2'!#REF!</f>
        <v>#REF!</v>
      </c>
      <c r="BJ661" s="403" t="e">
        <f>'Portefeuille SP2'!#REF!</f>
        <v>#REF!</v>
      </c>
      <c r="BK661" s="403" t="e">
        <f>'Portefeuille SP2'!#REF!</f>
        <v>#REF!</v>
      </c>
      <c r="BL661" s="388"/>
      <c r="BM661" s="404">
        <f>'Portefeuille SP2'!L686</f>
        <v>0</v>
      </c>
    </row>
    <row r="662" spans="1:65" ht="15" customHeight="1">
      <c r="A662" s="383">
        <f>'Portefeuille SP2'!B687</f>
        <v>0</v>
      </c>
      <c r="B662" s="390">
        <f>'Portefeuille SP2'!Q687</f>
        <v>0</v>
      </c>
      <c r="C662" s="384"/>
      <c r="D662" s="382">
        <f>'Portefeuille SP2'!E687</f>
        <v>0</v>
      </c>
      <c r="E662" s="382" t="str">
        <f t="shared" si="41"/>
        <v>0</v>
      </c>
      <c r="F662" s="382" t="str">
        <f t="shared" si="42"/>
        <v/>
      </c>
      <c r="G662" s="382">
        <f>'Portefeuille SP2'!C687</f>
        <v>0</v>
      </c>
      <c r="H662" s="382">
        <f>'Portefeuille SP2'!F687</f>
        <v>0</v>
      </c>
      <c r="I662" s="382"/>
      <c r="J662" s="382">
        <f>'Portefeuille SP2'!D687</f>
        <v>0</v>
      </c>
      <c r="K662" s="385">
        <f>'Portefeuille SP2'!H687</f>
        <v>0</v>
      </c>
      <c r="L662" s="157">
        <f>'Portefeuille SP2'!U687</f>
        <v>0</v>
      </c>
      <c r="M662" s="386"/>
      <c r="N662" s="386"/>
      <c r="O662" s="386"/>
      <c r="P662" s="387">
        <f>'Portefeuille SP2'!M687</f>
        <v>0</v>
      </c>
      <c r="Q662" s="387"/>
      <c r="R662" s="387">
        <f>'Portefeuille SP2'!N687</f>
        <v>0</v>
      </c>
      <c r="S662" s="387"/>
      <c r="T662" s="382">
        <f>'Portefeuille SP2'!R687</f>
        <v>0</v>
      </c>
      <c r="U662" s="387">
        <f>'Portefeuille SP2'!K687</f>
        <v>0</v>
      </c>
      <c r="V662" s="399">
        <f>'Portefeuille SP2'!S687</f>
        <v>0</v>
      </c>
      <c r="W662" s="387"/>
      <c r="X662" s="387"/>
      <c r="Y662" s="387"/>
      <c r="Z662" s="387"/>
      <c r="AA662" s="387"/>
      <c r="AB662" s="387"/>
      <c r="AC662" s="387"/>
      <c r="AD662" s="387"/>
      <c r="AE662" s="400">
        <f>'Portefeuille SP2'!J687</f>
        <v>0</v>
      </c>
      <c r="AF662" s="387"/>
      <c r="AG662" s="387"/>
      <c r="AH662" s="389"/>
      <c r="AI662" s="389"/>
      <c r="AJ662" s="403">
        <f>'Portefeuille SP2'!V687</f>
        <v>0</v>
      </c>
      <c r="AK662" s="403">
        <f>'Portefeuille SP2'!W687</f>
        <v>0</v>
      </c>
      <c r="AL662" s="403">
        <f>'Portefeuille SP2'!X687</f>
        <v>0</v>
      </c>
      <c r="AM662" s="403">
        <f>'Portefeuille SP2'!Y687</f>
        <v>0</v>
      </c>
      <c r="AN662" s="403">
        <f>'Portefeuille SP2'!Z687</f>
        <v>0</v>
      </c>
      <c r="AO662" s="403">
        <f>'Portefeuille SP2'!AA687</f>
        <v>0</v>
      </c>
      <c r="AP662" s="403">
        <f>'Portefeuille SP2'!AB687</f>
        <v>0</v>
      </c>
      <c r="AQ662" s="403">
        <f>'Portefeuille SP2'!AC687</f>
        <v>0</v>
      </c>
      <c r="AR662" s="403">
        <f>'Portefeuille SP2'!AD687</f>
        <v>0</v>
      </c>
      <c r="AS662" s="403">
        <f>'Portefeuille SP2'!AE687</f>
        <v>0</v>
      </c>
      <c r="AT662" s="403">
        <f>'Portefeuille SP2'!AF687</f>
        <v>0</v>
      </c>
      <c r="AU662" s="403">
        <f>'Portefeuille SP2'!AG687</f>
        <v>0</v>
      </c>
      <c r="AV662" s="403">
        <f>'Portefeuille SP2'!AH687</f>
        <v>0</v>
      </c>
      <c r="AW662" s="403">
        <f>'Portefeuille SP2'!AI687</f>
        <v>0</v>
      </c>
      <c r="AX662" s="403">
        <f>'Portefeuille SP2'!AJ687</f>
        <v>0</v>
      </c>
      <c r="AY662" s="403">
        <f>'Portefeuille SP2'!AK687</f>
        <v>0</v>
      </c>
      <c r="AZ662" s="403">
        <f>'Portefeuille SP2'!AL687</f>
        <v>0</v>
      </c>
      <c r="BA662" s="403">
        <f>'Portefeuille SP2'!AM687</f>
        <v>0</v>
      </c>
      <c r="BB662" s="403">
        <f>'Portefeuille SP2'!AN687</f>
        <v>0</v>
      </c>
      <c r="BC662" s="403">
        <f>'Portefeuille SP2'!AO687</f>
        <v>0</v>
      </c>
      <c r="BD662" s="403">
        <f>'Portefeuille SP2'!AP687</f>
        <v>0</v>
      </c>
      <c r="BE662" s="403">
        <f>'Portefeuille SP2'!AQ687</f>
        <v>0</v>
      </c>
      <c r="BF662" s="403">
        <f>'Portefeuille SP2'!AR687</f>
        <v>0</v>
      </c>
      <c r="BG662" s="403" t="e">
        <f>'Portefeuille SP2'!#REF!</f>
        <v>#REF!</v>
      </c>
      <c r="BH662" s="403" t="e">
        <f>'Portefeuille SP2'!#REF!</f>
        <v>#REF!</v>
      </c>
      <c r="BI662" s="403" t="e">
        <f>'Portefeuille SP2'!#REF!</f>
        <v>#REF!</v>
      </c>
      <c r="BJ662" s="403" t="e">
        <f>'Portefeuille SP2'!#REF!</f>
        <v>#REF!</v>
      </c>
      <c r="BK662" s="403" t="e">
        <f>'Portefeuille SP2'!#REF!</f>
        <v>#REF!</v>
      </c>
      <c r="BL662" s="388"/>
      <c r="BM662" s="404">
        <f>'Portefeuille SP2'!L687</f>
        <v>0</v>
      </c>
    </row>
    <row r="663" spans="1:65" ht="15" customHeight="1">
      <c r="A663" s="383">
        <f>'Portefeuille SP2'!B688</f>
        <v>0</v>
      </c>
      <c r="B663" s="390">
        <f>'Portefeuille SP2'!Q688</f>
        <v>0</v>
      </c>
      <c r="C663" s="384"/>
      <c r="D663" s="382">
        <f>'Portefeuille SP2'!E688</f>
        <v>0</v>
      </c>
      <c r="E663" s="382" t="str">
        <f t="shared" si="41"/>
        <v>0</v>
      </c>
      <c r="F663" s="382" t="str">
        <f t="shared" si="42"/>
        <v/>
      </c>
      <c r="G663" s="382">
        <f>'Portefeuille SP2'!C688</f>
        <v>0</v>
      </c>
      <c r="H663" s="382">
        <f>'Portefeuille SP2'!F688</f>
        <v>0</v>
      </c>
      <c r="I663" s="382"/>
      <c r="J663" s="382">
        <f>'Portefeuille SP2'!D688</f>
        <v>0</v>
      </c>
      <c r="K663" s="385">
        <f>'Portefeuille SP2'!H688</f>
        <v>0</v>
      </c>
      <c r="L663" s="157">
        <f>'Portefeuille SP2'!U688</f>
        <v>0</v>
      </c>
      <c r="M663" s="386"/>
      <c r="N663" s="386"/>
      <c r="O663" s="386"/>
      <c r="P663" s="387">
        <f>'Portefeuille SP2'!M688</f>
        <v>0</v>
      </c>
      <c r="Q663" s="387"/>
      <c r="R663" s="387">
        <f>'Portefeuille SP2'!N688</f>
        <v>0</v>
      </c>
      <c r="S663" s="387"/>
      <c r="T663" s="382">
        <f>'Portefeuille SP2'!R688</f>
        <v>0</v>
      </c>
      <c r="U663" s="387">
        <f>'Portefeuille SP2'!K688</f>
        <v>0</v>
      </c>
      <c r="V663" s="399">
        <f>'Portefeuille SP2'!S688</f>
        <v>0</v>
      </c>
      <c r="W663" s="387"/>
      <c r="X663" s="387"/>
      <c r="Y663" s="387"/>
      <c r="Z663" s="387"/>
      <c r="AA663" s="387"/>
      <c r="AB663" s="387"/>
      <c r="AC663" s="387"/>
      <c r="AD663" s="387"/>
      <c r="AE663" s="400">
        <f>'Portefeuille SP2'!J688</f>
        <v>0</v>
      </c>
      <c r="AF663" s="387"/>
      <c r="AG663" s="387"/>
      <c r="AH663" s="389"/>
      <c r="AI663" s="389"/>
      <c r="AJ663" s="403">
        <f>'Portefeuille SP2'!V688</f>
        <v>0</v>
      </c>
      <c r="AK663" s="403">
        <f>'Portefeuille SP2'!W688</f>
        <v>0</v>
      </c>
      <c r="AL663" s="403">
        <f>'Portefeuille SP2'!X688</f>
        <v>0</v>
      </c>
      <c r="AM663" s="403">
        <f>'Portefeuille SP2'!Y688</f>
        <v>0</v>
      </c>
      <c r="AN663" s="403">
        <f>'Portefeuille SP2'!Z688</f>
        <v>0</v>
      </c>
      <c r="AO663" s="403">
        <f>'Portefeuille SP2'!AA688</f>
        <v>0</v>
      </c>
      <c r="AP663" s="403">
        <f>'Portefeuille SP2'!AB688</f>
        <v>0</v>
      </c>
      <c r="AQ663" s="403">
        <f>'Portefeuille SP2'!AC688</f>
        <v>0</v>
      </c>
      <c r="AR663" s="403">
        <f>'Portefeuille SP2'!AD688</f>
        <v>0</v>
      </c>
      <c r="AS663" s="403">
        <f>'Portefeuille SP2'!AE688</f>
        <v>0</v>
      </c>
      <c r="AT663" s="403">
        <f>'Portefeuille SP2'!AF688</f>
        <v>0</v>
      </c>
      <c r="AU663" s="403">
        <f>'Portefeuille SP2'!AG688</f>
        <v>0</v>
      </c>
      <c r="AV663" s="403">
        <f>'Portefeuille SP2'!AH688</f>
        <v>0</v>
      </c>
      <c r="AW663" s="403">
        <f>'Portefeuille SP2'!AI688</f>
        <v>0</v>
      </c>
      <c r="AX663" s="403">
        <f>'Portefeuille SP2'!AJ688</f>
        <v>0</v>
      </c>
      <c r="AY663" s="403">
        <f>'Portefeuille SP2'!AK688</f>
        <v>0</v>
      </c>
      <c r="AZ663" s="403">
        <f>'Portefeuille SP2'!AL688</f>
        <v>0</v>
      </c>
      <c r="BA663" s="403">
        <f>'Portefeuille SP2'!AM688</f>
        <v>0</v>
      </c>
      <c r="BB663" s="403">
        <f>'Portefeuille SP2'!AN688</f>
        <v>0</v>
      </c>
      <c r="BC663" s="403">
        <f>'Portefeuille SP2'!AO688</f>
        <v>0</v>
      </c>
      <c r="BD663" s="403">
        <f>'Portefeuille SP2'!AP688</f>
        <v>0</v>
      </c>
      <c r="BE663" s="403">
        <f>'Portefeuille SP2'!AQ688</f>
        <v>0</v>
      </c>
      <c r="BF663" s="403">
        <f>'Portefeuille SP2'!AR688</f>
        <v>0</v>
      </c>
      <c r="BG663" s="403" t="e">
        <f>'Portefeuille SP2'!#REF!</f>
        <v>#REF!</v>
      </c>
      <c r="BH663" s="403" t="e">
        <f>'Portefeuille SP2'!#REF!</f>
        <v>#REF!</v>
      </c>
      <c r="BI663" s="403" t="e">
        <f>'Portefeuille SP2'!#REF!</f>
        <v>#REF!</v>
      </c>
      <c r="BJ663" s="403" t="e">
        <f>'Portefeuille SP2'!#REF!</f>
        <v>#REF!</v>
      </c>
      <c r="BK663" s="403" t="e">
        <f>'Portefeuille SP2'!#REF!</f>
        <v>#REF!</v>
      </c>
      <c r="BL663" s="388"/>
      <c r="BM663" s="404">
        <f>'Portefeuille SP2'!L688</f>
        <v>0</v>
      </c>
    </row>
    <row r="664" spans="1:65" ht="15" customHeight="1">
      <c r="A664" s="383">
        <f>'Portefeuille SP2'!B689</f>
        <v>0</v>
      </c>
      <c r="B664" s="390">
        <f>'Portefeuille SP2'!Q689</f>
        <v>0</v>
      </c>
      <c r="C664" s="384"/>
      <c r="D664" s="382">
        <f>'Portefeuille SP2'!E689</f>
        <v>0</v>
      </c>
      <c r="E664" s="382" t="str">
        <f t="shared" si="41"/>
        <v>0</v>
      </c>
      <c r="F664" s="382" t="str">
        <f t="shared" si="42"/>
        <v/>
      </c>
      <c r="G664" s="382">
        <f>'Portefeuille SP2'!C689</f>
        <v>0</v>
      </c>
      <c r="H664" s="382">
        <f>'Portefeuille SP2'!F689</f>
        <v>0</v>
      </c>
      <c r="I664" s="382"/>
      <c r="J664" s="382">
        <f>'Portefeuille SP2'!D689</f>
        <v>0</v>
      </c>
      <c r="K664" s="385">
        <f>'Portefeuille SP2'!H689</f>
        <v>0</v>
      </c>
      <c r="L664" s="157">
        <f>'Portefeuille SP2'!U689</f>
        <v>0</v>
      </c>
      <c r="M664" s="386"/>
      <c r="N664" s="386"/>
      <c r="O664" s="386"/>
      <c r="P664" s="387">
        <f>'Portefeuille SP2'!M689</f>
        <v>0</v>
      </c>
      <c r="Q664" s="387"/>
      <c r="R664" s="387">
        <f>'Portefeuille SP2'!N689</f>
        <v>0</v>
      </c>
      <c r="S664" s="387"/>
      <c r="T664" s="382">
        <f>'Portefeuille SP2'!R689</f>
        <v>0</v>
      </c>
      <c r="U664" s="387">
        <f>'Portefeuille SP2'!K689</f>
        <v>0</v>
      </c>
      <c r="V664" s="399">
        <f>'Portefeuille SP2'!S689</f>
        <v>0</v>
      </c>
      <c r="W664" s="387"/>
      <c r="X664" s="387"/>
      <c r="Y664" s="387"/>
      <c r="Z664" s="387"/>
      <c r="AA664" s="387"/>
      <c r="AB664" s="387"/>
      <c r="AC664" s="387"/>
      <c r="AD664" s="387"/>
      <c r="AE664" s="400">
        <f>'Portefeuille SP2'!J689</f>
        <v>0</v>
      </c>
      <c r="AF664" s="387"/>
      <c r="AG664" s="387"/>
      <c r="AH664" s="389"/>
      <c r="AI664" s="389"/>
      <c r="AJ664" s="403">
        <f>'Portefeuille SP2'!V689</f>
        <v>0</v>
      </c>
      <c r="AK664" s="403">
        <f>'Portefeuille SP2'!W689</f>
        <v>0</v>
      </c>
      <c r="AL664" s="403">
        <f>'Portefeuille SP2'!X689</f>
        <v>0</v>
      </c>
      <c r="AM664" s="403">
        <f>'Portefeuille SP2'!Y689</f>
        <v>0</v>
      </c>
      <c r="AN664" s="403">
        <f>'Portefeuille SP2'!Z689</f>
        <v>0</v>
      </c>
      <c r="AO664" s="403">
        <f>'Portefeuille SP2'!AA689</f>
        <v>0</v>
      </c>
      <c r="AP664" s="403">
        <f>'Portefeuille SP2'!AB689</f>
        <v>0</v>
      </c>
      <c r="AQ664" s="403">
        <f>'Portefeuille SP2'!AC689</f>
        <v>0</v>
      </c>
      <c r="AR664" s="403">
        <f>'Portefeuille SP2'!AD689</f>
        <v>0</v>
      </c>
      <c r="AS664" s="403">
        <f>'Portefeuille SP2'!AE689</f>
        <v>0</v>
      </c>
      <c r="AT664" s="403">
        <f>'Portefeuille SP2'!AF689</f>
        <v>0</v>
      </c>
      <c r="AU664" s="403">
        <f>'Portefeuille SP2'!AG689</f>
        <v>0</v>
      </c>
      <c r="AV664" s="403">
        <f>'Portefeuille SP2'!AH689</f>
        <v>0</v>
      </c>
      <c r="AW664" s="403">
        <f>'Portefeuille SP2'!AI689</f>
        <v>0</v>
      </c>
      <c r="AX664" s="403">
        <f>'Portefeuille SP2'!AJ689</f>
        <v>0</v>
      </c>
      <c r="AY664" s="403">
        <f>'Portefeuille SP2'!AK689</f>
        <v>0</v>
      </c>
      <c r="AZ664" s="403">
        <f>'Portefeuille SP2'!AL689</f>
        <v>0</v>
      </c>
      <c r="BA664" s="403">
        <f>'Portefeuille SP2'!AM689</f>
        <v>0</v>
      </c>
      <c r="BB664" s="403">
        <f>'Portefeuille SP2'!AN689</f>
        <v>0</v>
      </c>
      <c r="BC664" s="403">
        <f>'Portefeuille SP2'!AO689</f>
        <v>0</v>
      </c>
      <c r="BD664" s="403">
        <f>'Portefeuille SP2'!AP689</f>
        <v>0</v>
      </c>
      <c r="BE664" s="403">
        <f>'Portefeuille SP2'!AQ689</f>
        <v>0</v>
      </c>
      <c r="BF664" s="403">
        <f>'Portefeuille SP2'!AR689</f>
        <v>0</v>
      </c>
      <c r="BG664" s="403" t="e">
        <f>'Portefeuille SP2'!#REF!</f>
        <v>#REF!</v>
      </c>
      <c r="BH664" s="403" t="e">
        <f>'Portefeuille SP2'!#REF!</f>
        <v>#REF!</v>
      </c>
      <c r="BI664" s="403" t="e">
        <f>'Portefeuille SP2'!#REF!</f>
        <v>#REF!</v>
      </c>
      <c r="BJ664" s="403" t="e">
        <f>'Portefeuille SP2'!#REF!</f>
        <v>#REF!</v>
      </c>
      <c r="BK664" s="403" t="e">
        <f>'Portefeuille SP2'!#REF!</f>
        <v>#REF!</v>
      </c>
      <c r="BL664" s="388"/>
      <c r="BM664" s="404">
        <f>'Portefeuille SP2'!L689</f>
        <v>0</v>
      </c>
    </row>
    <row r="665" spans="1:65" ht="15" customHeight="1">
      <c r="A665" s="383">
        <f>'Portefeuille SP2'!B690</f>
        <v>0</v>
      </c>
      <c r="B665" s="390">
        <f>'Portefeuille SP2'!Q690</f>
        <v>0</v>
      </c>
      <c r="C665" s="384"/>
      <c r="D665" s="382">
        <f>'Portefeuille SP2'!E690</f>
        <v>0</v>
      </c>
      <c r="E665" s="382" t="str">
        <f t="shared" si="41"/>
        <v>0</v>
      </c>
      <c r="F665" s="382" t="str">
        <f t="shared" si="42"/>
        <v/>
      </c>
      <c r="G665" s="382">
        <f>'Portefeuille SP2'!C690</f>
        <v>0</v>
      </c>
      <c r="H665" s="382">
        <f>'Portefeuille SP2'!F690</f>
        <v>0</v>
      </c>
      <c r="I665" s="382"/>
      <c r="J665" s="382">
        <f>'Portefeuille SP2'!D690</f>
        <v>0</v>
      </c>
      <c r="K665" s="385">
        <f>'Portefeuille SP2'!H690</f>
        <v>0</v>
      </c>
      <c r="L665" s="157">
        <f>'Portefeuille SP2'!U690</f>
        <v>0</v>
      </c>
      <c r="M665" s="386"/>
      <c r="N665" s="386"/>
      <c r="O665" s="386"/>
      <c r="P665" s="387">
        <f>'Portefeuille SP2'!M690</f>
        <v>0</v>
      </c>
      <c r="Q665" s="387"/>
      <c r="R665" s="387">
        <f>'Portefeuille SP2'!N690</f>
        <v>0</v>
      </c>
      <c r="S665" s="387"/>
      <c r="T665" s="382">
        <f>'Portefeuille SP2'!R690</f>
        <v>0</v>
      </c>
      <c r="U665" s="387">
        <f>'Portefeuille SP2'!K690</f>
        <v>0</v>
      </c>
      <c r="V665" s="399">
        <f>'Portefeuille SP2'!S690</f>
        <v>0</v>
      </c>
      <c r="W665" s="387"/>
      <c r="X665" s="387"/>
      <c r="Y665" s="387"/>
      <c r="Z665" s="387"/>
      <c r="AA665" s="387"/>
      <c r="AB665" s="387"/>
      <c r="AC665" s="387"/>
      <c r="AD665" s="387"/>
      <c r="AE665" s="400">
        <f>'Portefeuille SP2'!J690</f>
        <v>0</v>
      </c>
      <c r="AF665" s="387"/>
      <c r="AG665" s="387"/>
      <c r="AH665" s="389"/>
      <c r="AI665" s="389"/>
      <c r="AJ665" s="403">
        <f>'Portefeuille SP2'!V690</f>
        <v>0</v>
      </c>
      <c r="AK665" s="403">
        <f>'Portefeuille SP2'!W690</f>
        <v>0</v>
      </c>
      <c r="AL665" s="403">
        <f>'Portefeuille SP2'!X690</f>
        <v>0</v>
      </c>
      <c r="AM665" s="403">
        <f>'Portefeuille SP2'!Y690</f>
        <v>0</v>
      </c>
      <c r="AN665" s="403">
        <f>'Portefeuille SP2'!Z690</f>
        <v>0</v>
      </c>
      <c r="AO665" s="403">
        <f>'Portefeuille SP2'!AA690</f>
        <v>0</v>
      </c>
      <c r="AP665" s="403">
        <f>'Portefeuille SP2'!AB690</f>
        <v>0</v>
      </c>
      <c r="AQ665" s="403">
        <f>'Portefeuille SP2'!AC690</f>
        <v>0</v>
      </c>
      <c r="AR665" s="403">
        <f>'Portefeuille SP2'!AD690</f>
        <v>0</v>
      </c>
      <c r="AS665" s="403">
        <f>'Portefeuille SP2'!AE690</f>
        <v>0</v>
      </c>
      <c r="AT665" s="403">
        <f>'Portefeuille SP2'!AF690</f>
        <v>0</v>
      </c>
      <c r="AU665" s="403">
        <f>'Portefeuille SP2'!AG690</f>
        <v>0</v>
      </c>
      <c r="AV665" s="403">
        <f>'Portefeuille SP2'!AH690</f>
        <v>0</v>
      </c>
      <c r="AW665" s="403">
        <f>'Portefeuille SP2'!AI690</f>
        <v>0</v>
      </c>
      <c r="AX665" s="403">
        <f>'Portefeuille SP2'!AJ690</f>
        <v>0</v>
      </c>
      <c r="AY665" s="403">
        <f>'Portefeuille SP2'!AK690</f>
        <v>0</v>
      </c>
      <c r="AZ665" s="403">
        <f>'Portefeuille SP2'!AL690</f>
        <v>0</v>
      </c>
      <c r="BA665" s="403">
        <f>'Portefeuille SP2'!AM690</f>
        <v>0</v>
      </c>
      <c r="BB665" s="403">
        <f>'Portefeuille SP2'!AN690</f>
        <v>0</v>
      </c>
      <c r="BC665" s="403">
        <f>'Portefeuille SP2'!AO690</f>
        <v>0</v>
      </c>
      <c r="BD665" s="403">
        <f>'Portefeuille SP2'!AP690</f>
        <v>0</v>
      </c>
      <c r="BE665" s="403">
        <f>'Portefeuille SP2'!AQ690</f>
        <v>0</v>
      </c>
      <c r="BF665" s="403">
        <f>'Portefeuille SP2'!AR690</f>
        <v>0</v>
      </c>
      <c r="BG665" s="403" t="e">
        <f>'Portefeuille SP2'!#REF!</f>
        <v>#REF!</v>
      </c>
      <c r="BH665" s="403" t="e">
        <f>'Portefeuille SP2'!#REF!</f>
        <v>#REF!</v>
      </c>
      <c r="BI665" s="403" t="e">
        <f>'Portefeuille SP2'!#REF!</f>
        <v>#REF!</v>
      </c>
      <c r="BJ665" s="403" t="e">
        <f>'Portefeuille SP2'!#REF!</f>
        <v>#REF!</v>
      </c>
      <c r="BK665" s="403" t="e">
        <f>'Portefeuille SP2'!#REF!</f>
        <v>#REF!</v>
      </c>
      <c r="BL665" s="388"/>
      <c r="BM665" s="404">
        <f>'Portefeuille SP2'!L690</f>
        <v>0</v>
      </c>
    </row>
    <row r="666" spans="1:65" ht="15" customHeight="1">
      <c r="A666" s="383">
        <f>'Portefeuille SP2'!B691</f>
        <v>0</v>
      </c>
      <c r="B666" s="390">
        <f>'Portefeuille SP2'!Q691</f>
        <v>0</v>
      </c>
      <c r="C666" s="384"/>
      <c r="D666" s="382">
        <f>'Portefeuille SP2'!E691</f>
        <v>0</v>
      </c>
      <c r="E666" s="382" t="str">
        <f t="shared" si="41"/>
        <v>0</v>
      </c>
      <c r="F666" s="382" t="str">
        <f t="shared" si="42"/>
        <v/>
      </c>
      <c r="G666" s="382">
        <f>'Portefeuille SP2'!C691</f>
        <v>0</v>
      </c>
      <c r="H666" s="382">
        <f>'Portefeuille SP2'!F691</f>
        <v>0</v>
      </c>
      <c r="I666" s="382"/>
      <c r="J666" s="382">
        <f>'Portefeuille SP2'!D691</f>
        <v>0</v>
      </c>
      <c r="K666" s="385">
        <f>'Portefeuille SP2'!H691</f>
        <v>0</v>
      </c>
      <c r="L666" s="157">
        <f>'Portefeuille SP2'!U691</f>
        <v>0</v>
      </c>
      <c r="M666" s="386"/>
      <c r="N666" s="386"/>
      <c r="O666" s="386"/>
      <c r="P666" s="387">
        <f>'Portefeuille SP2'!M691</f>
        <v>0</v>
      </c>
      <c r="Q666" s="387"/>
      <c r="R666" s="387">
        <f>'Portefeuille SP2'!N691</f>
        <v>0</v>
      </c>
      <c r="S666" s="387"/>
      <c r="T666" s="382">
        <f>'Portefeuille SP2'!R691</f>
        <v>0</v>
      </c>
      <c r="U666" s="387">
        <f>'Portefeuille SP2'!K691</f>
        <v>0</v>
      </c>
      <c r="V666" s="399">
        <f>'Portefeuille SP2'!S691</f>
        <v>0</v>
      </c>
      <c r="W666" s="387"/>
      <c r="X666" s="387"/>
      <c r="Y666" s="387"/>
      <c r="Z666" s="387"/>
      <c r="AA666" s="387"/>
      <c r="AB666" s="387"/>
      <c r="AC666" s="387"/>
      <c r="AD666" s="387"/>
      <c r="AE666" s="400">
        <f>'Portefeuille SP2'!J691</f>
        <v>0</v>
      </c>
      <c r="AF666" s="387"/>
      <c r="AG666" s="387"/>
      <c r="AH666" s="389"/>
      <c r="AI666" s="389"/>
      <c r="AJ666" s="403">
        <f>'Portefeuille SP2'!V691</f>
        <v>0</v>
      </c>
      <c r="AK666" s="403">
        <f>'Portefeuille SP2'!W691</f>
        <v>0</v>
      </c>
      <c r="AL666" s="403">
        <f>'Portefeuille SP2'!X691</f>
        <v>0</v>
      </c>
      <c r="AM666" s="403">
        <f>'Portefeuille SP2'!Y691</f>
        <v>0</v>
      </c>
      <c r="AN666" s="403">
        <f>'Portefeuille SP2'!Z691</f>
        <v>0</v>
      </c>
      <c r="AO666" s="403">
        <f>'Portefeuille SP2'!AA691</f>
        <v>0</v>
      </c>
      <c r="AP666" s="403">
        <f>'Portefeuille SP2'!AB691</f>
        <v>0</v>
      </c>
      <c r="AQ666" s="403">
        <f>'Portefeuille SP2'!AC691</f>
        <v>0</v>
      </c>
      <c r="AR666" s="403">
        <f>'Portefeuille SP2'!AD691</f>
        <v>0</v>
      </c>
      <c r="AS666" s="403">
        <f>'Portefeuille SP2'!AE691</f>
        <v>0</v>
      </c>
      <c r="AT666" s="403">
        <f>'Portefeuille SP2'!AF691</f>
        <v>0</v>
      </c>
      <c r="AU666" s="403">
        <f>'Portefeuille SP2'!AG691</f>
        <v>0</v>
      </c>
      <c r="AV666" s="403">
        <f>'Portefeuille SP2'!AH691</f>
        <v>0</v>
      </c>
      <c r="AW666" s="403">
        <f>'Portefeuille SP2'!AI691</f>
        <v>0</v>
      </c>
      <c r="AX666" s="403">
        <f>'Portefeuille SP2'!AJ691</f>
        <v>0</v>
      </c>
      <c r="AY666" s="403">
        <f>'Portefeuille SP2'!AK691</f>
        <v>0</v>
      </c>
      <c r="AZ666" s="403">
        <f>'Portefeuille SP2'!AL691</f>
        <v>0</v>
      </c>
      <c r="BA666" s="403">
        <f>'Portefeuille SP2'!AM691</f>
        <v>0</v>
      </c>
      <c r="BB666" s="403">
        <f>'Portefeuille SP2'!AN691</f>
        <v>0</v>
      </c>
      <c r="BC666" s="403">
        <f>'Portefeuille SP2'!AO691</f>
        <v>0</v>
      </c>
      <c r="BD666" s="403">
        <f>'Portefeuille SP2'!AP691</f>
        <v>0</v>
      </c>
      <c r="BE666" s="403">
        <f>'Portefeuille SP2'!AQ691</f>
        <v>0</v>
      </c>
      <c r="BF666" s="403">
        <f>'Portefeuille SP2'!AR691</f>
        <v>0</v>
      </c>
      <c r="BG666" s="403" t="e">
        <f>'Portefeuille SP2'!#REF!</f>
        <v>#REF!</v>
      </c>
      <c r="BH666" s="403" t="e">
        <f>'Portefeuille SP2'!#REF!</f>
        <v>#REF!</v>
      </c>
      <c r="BI666" s="403" t="e">
        <f>'Portefeuille SP2'!#REF!</f>
        <v>#REF!</v>
      </c>
      <c r="BJ666" s="403" t="e">
        <f>'Portefeuille SP2'!#REF!</f>
        <v>#REF!</v>
      </c>
      <c r="BK666" s="403" t="e">
        <f>'Portefeuille SP2'!#REF!</f>
        <v>#REF!</v>
      </c>
      <c r="BL666" s="388"/>
      <c r="BM666" s="404">
        <f>'Portefeuille SP2'!L691</f>
        <v>0</v>
      </c>
    </row>
    <row r="667" spans="1:65" ht="15" customHeight="1">
      <c r="A667" s="383">
        <f>'Portefeuille SP2'!B692</f>
        <v>0</v>
      </c>
      <c r="B667" s="390">
        <f>'Portefeuille SP2'!Q692</f>
        <v>0</v>
      </c>
      <c r="C667" s="384"/>
      <c r="D667" s="382">
        <f>'Portefeuille SP2'!E692</f>
        <v>0</v>
      </c>
      <c r="E667" s="382" t="str">
        <f t="shared" si="41"/>
        <v>0</v>
      </c>
      <c r="F667" s="382" t="str">
        <f t="shared" si="42"/>
        <v/>
      </c>
      <c r="G667" s="382">
        <f>'Portefeuille SP2'!C692</f>
        <v>0</v>
      </c>
      <c r="H667" s="382">
        <f>'Portefeuille SP2'!F692</f>
        <v>0</v>
      </c>
      <c r="I667" s="382"/>
      <c r="J667" s="382">
        <f>'Portefeuille SP2'!D692</f>
        <v>0</v>
      </c>
      <c r="K667" s="385">
        <f>'Portefeuille SP2'!H692</f>
        <v>0</v>
      </c>
      <c r="L667" s="157">
        <f>'Portefeuille SP2'!U692</f>
        <v>0</v>
      </c>
      <c r="M667" s="386"/>
      <c r="N667" s="386"/>
      <c r="O667" s="386"/>
      <c r="P667" s="387">
        <f>'Portefeuille SP2'!M692</f>
        <v>0</v>
      </c>
      <c r="Q667" s="387"/>
      <c r="R667" s="387">
        <f>'Portefeuille SP2'!N692</f>
        <v>0</v>
      </c>
      <c r="S667" s="387"/>
      <c r="T667" s="382">
        <f>'Portefeuille SP2'!R692</f>
        <v>0</v>
      </c>
      <c r="U667" s="387">
        <f>'Portefeuille SP2'!K692</f>
        <v>0</v>
      </c>
      <c r="V667" s="399">
        <f>'Portefeuille SP2'!S692</f>
        <v>0</v>
      </c>
      <c r="W667" s="387"/>
      <c r="X667" s="387"/>
      <c r="Y667" s="387"/>
      <c r="Z667" s="387"/>
      <c r="AA667" s="387"/>
      <c r="AB667" s="387"/>
      <c r="AC667" s="387"/>
      <c r="AD667" s="387"/>
      <c r="AE667" s="400">
        <f>'Portefeuille SP2'!J692</f>
        <v>0</v>
      </c>
      <c r="AF667" s="387"/>
      <c r="AG667" s="387"/>
      <c r="AH667" s="389"/>
      <c r="AI667" s="389"/>
      <c r="AJ667" s="403">
        <f>'Portefeuille SP2'!V692</f>
        <v>0</v>
      </c>
      <c r="AK667" s="403">
        <f>'Portefeuille SP2'!W692</f>
        <v>0</v>
      </c>
      <c r="AL667" s="403">
        <f>'Portefeuille SP2'!X692</f>
        <v>0</v>
      </c>
      <c r="AM667" s="403">
        <f>'Portefeuille SP2'!Y692</f>
        <v>0</v>
      </c>
      <c r="AN667" s="403">
        <f>'Portefeuille SP2'!Z692</f>
        <v>0</v>
      </c>
      <c r="AO667" s="403">
        <f>'Portefeuille SP2'!AA692</f>
        <v>0</v>
      </c>
      <c r="AP667" s="403">
        <f>'Portefeuille SP2'!AB692</f>
        <v>0</v>
      </c>
      <c r="AQ667" s="403">
        <f>'Portefeuille SP2'!AC692</f>
        <v>0</v>
      </c>
      <c r="AR667" s="403">
        <f>'Portefeuille SP2'!AD692</f>
        <v>0</v>
      </c>
      <c r="AS667" s="403">
        <f>'Portefeuille SP2'!AE692</f>
        <v>0</v>
      </c>
      <c r="AT667" s="403">
        <f>'Portefeuille SP2'!AF692</f>
        <v>0</v>
      </c>
      <c r="AU667" s="403">
        <f>'Portefeuille SP2'!AG692</f>
        <v>0</v>
      </c>
      <c r="AV667" s="403">
        <f>'Portefeuille SP2'!AH692</f>
        <v>0</v>
      </c>
      <c r="AW667" s="403">
        <f>'Portefeuille SP2'!AI692</f>
        <v>0</v>
      </c>
      <c r="AX667" s="403">
        <f>'Portefeuille SP2'!AJ692</f>
        <v>0</v>
      </c>
      <c r="AY667" s="403">
        <f>'Portefeuille SP2'!AK692</f>
        <v>0</v>
      </c>
      <c r="AZ667" s="403">
        <f>'Portefeuille SP2'!AL692</f>
        <v>0</v>
      </c>
      <c r="BA667" s="403">
        <f>'Portefeuille SP2'!AM692</f>
        <v>0</v>
      </c>
      <c r="BB667" s="403">
        <f>'Portefeuille SP2'!AN692</f>
        <v>0</v>
      </c>
      <c r="BC667" s="403">
        <f>'Portefeuille SP2'!AO692</f>
        <v>0</v>
      </c>
      <c r="BD667" s="403">
        <f>'Portefeuille SP2'!AP692</f>
        <v>0</v>
      </c>
      <c r="BE667" s="403">
        <f>'Portefeuille SP2'!AQ692</f>
        <v>0</v>
      </c>
      <c r="BF667" s="403">
        <f>'Portefeuille SP2'!AR692</f>
        <v>0</v>
      </c>
      <c r="BG667" s="403" t="e">
        <f>'Portefeuille SP2'!#REF!</f>
        <v>#REF!</v>
      </c>
      <c r="BH667" s="403" t="e">
        <f>'Portefeuille SP2'!#REF!</f>
        <v>#REF!</v>
      </c>
      <c r="BI667" s="403" t="e">
        <f>'Portefeuille SP2'!#REF!</f>
        <v>#REF!</v>
      </c>
      <c r="BJ667" s="403" t="e">
        <f>'Portefeuille SP2'!#REF!</f>
        <v>#REF!</v>
      </c>
      <c r="BK667" s="403" t="e">
        <f>'Portefeuille SP2'!#REF!</f>
        <v>#REF!</v>
      </c>
      <c r="BL667" s="388"/>
      <c r="BM667" s="404">
        <f>'Portefeuille SP2'!L692</f>
        <v>0</v>
      </c>
    </row>
    <row r="668" spans="1:65" ht="15" customHeight="1">
      <c r="A668" s="383">
        <f>'Portefeuille SP2'!B693</f>
        <v>0</v>
      </c>
      <c r="B668" s="390">
        <f>'Portefeuille SP2'!Q693</f>
        <v>0</v>
      </c>
      <c r="C668" s="384"/>
      <c r="D668" s="382">
        <f>'Portefeuille SP2'!E693</f>
        <v>0</v>
      </c>
      <c r="E668" s="382" t="str">
        <f t="shared" si="41"/>
        <v>0</v>
      </c>
      <c r="F668" s="382" t="str">
        <f t="shared" si="42"/>
        <v/>
      </c>
      <c r="G668" s="382">
        <f>'Portefeuille SP2'!C693</f>
        <v>0</v>
      </c>
      <c r="H668" s="382">
        <f>'Portefeuille SP2'!F693</f>
        <v>0</v>
      </c>
      <c r="I668" s="382"/>
      <c r="J668" s="382">
        <f>'Portefeuille SP2'!D693</f>
        <v>0</v>
      </c>
      <c r="K668" s="385">
        <f>'Portefeuille SP2'!H693</f>
        <v>0</v>
      </c>
      <c r="L668" s="157">
        <f>'Portefeuille SP2'!U693</f>
        <v>0</v>
      </c>
      <c r="M668" s="386"/>
      <c r="N668" s="386"/>
      <c r="O668" s="386"/>
      <c r="P668" s="387">
        <f>'Portefeuille SP2'!M693</f>
        <v>0</v>
      </c>
      <c r="Q668" s="387"/>
      <c r="R668" s="387">
        <f>'Portefeuille SP2'!N693</f>
        <v>0</v>
      </c>
      <c r="S668" s="387"/>
      <c r="T668" s="382">
        <f>'Portefeuille SP2'!R693</f>
        <v>0</v>
      </c>
      <c r="U668" s="387">
        <f>'Portefeuille SP2'!K693</f>
        <v>0</v>
      </c>
      <c r="V668" s="399">
        <f>'Portefeuille SP2'!S693</f>
        <v>0</v>
      </c>
      <c r="W668" s="387"/>
      <c r="X668" s="387"/>
      <c r="Y668" s="387"/>
      <c r="Z668" s="387"/>
      <c r="AA668" s="387"/>
      <c r="AB668" s="387"/>
      <c r="AC668" s="387"/>
      <c r="AD668" s="387"/>
      <c r="AE668" s="400">
        <f>'Portefeuille SP2'!J693</f>
        <v>0</v>
      </c>
      <c r="AF668" s="387"/>
      <c r="AG668" s="387"/>
      <c r="AH668" s="389"/>
      <c r="AI668" s="389"/>
      <c r="AJ668" s="403">
        <f>'Portefeuille SP2'!V693</f>
        <v>0</v>
      </c>
      <c r="AK668" s="403">
        <f>'Portefeuille SP2'!W693</f>
        <v>0</v>
      </c>
      <c r="AL668" s="403">
        <f>'Portefeuille SP2'!X693</f>
        <v>0</v>
      </c>
      <c r="AM668" s="403">
        <f>'Portefeuille SP2'!Y693</f>
        <v>0</v>
      </c>
      <c r="AN668" s="403">
        <f>'Portefeuille SP2'!Z693</f>
        <v>0</v>
      </c>
      <c r="AO668" s="403">
        <f>'Portefeuille SP2'!AA693</f>
        <v>0</v>
      </c>
      <c r="AP668" s="403">
        <f>'Portefeuille SP2'!AB693</f>
        <v>0</v>
      </c>
      <c r="AQ668" s="403">
        <f>'Portefeuille SP2'!AC693</f>
        <v>0</v>
      </c>
      <c r="AR668" s="403">
        <f>'Portefeuille SP2'!AD693</f>
        <v>0</v>
      </c>
      <c r="AS668" s="403">
        <f>'Portefeuille SP2'!AE693</f>
        <v>0</v>
      </c>
      <c r="AT668" s="403">
        <f>'Portefeuille SP2'!AF693</f>
        <v>0</v>
      </c>
      <c r="AU668" s="403">
        <f>'Portefeuille SP2'!AG693</f>
        <v>0</v>
      </c>
      <c r="AV668" s="403">
        <f>'Portefeuille SP2'!AH693</f>
        <v>0</v>
      </c>
      <c r="AW668" s="403">
        <f>'Portefeuille SP2'!AI693</f>
        <v>0</v>
      </c>
      <c r="AX668" s="403">
        <f>'Portefeuille SP2'!AJ693</f>
        <v>0</v>
      </c>
      <c r="AY668" s="403">
        <f>'Portefeuille SP2'!AK693</f>
        <v>0</v>
      </c>
      <c r="AZ668" s="403">
        <f>'Portefeuille SP2'!AL693</f>
        <v>0</v>
      </c>
      <c r="BA668" s="403">
        <f>'Portefeuille SP2'!AM693</f>
        <v>0</v>
      </c>
      <c r="BB668" s="403">
        <f>'Portefeuille SP2'!AN693</f>
        <v>0</v>
      </c>
      <c r="BC668" s="403">
        <f>'Portefeuille SP2'!AO693</f>
        <v>0</v>
      </c>
      <c r="BD668" s="403">
        <f>'Portefeuille SP2'!AP693</f>
        <v>0</v>
      </c>
      <c r="BE668" s="403">
        <f>'Portefeuille SP2'!AQ693</f>
        <v>0</v>
      </c>
      <c r="BF668" s="403">
        <f>'Portefeuille SP2'!AR693</f>
        <v>0</v>
      </c>
      <c r="BG668" s="403" t="e">
        <f>'Portefeuille SP2'!#REF!</f>
        <v>#REF!</v>
      </c>
      <c r="BH668" s="403" t="e">
        <f>'Portefeuille SP2'!#REF!</f>
        <v>#REF!</v>
      </c>
      <c r="BI668" s="403" t="e">
        <f>'Portefeuille SP2'!#REF!</f>
        <v>#REF!</v>
      </c>
      <c r="BJ668" s="403" t="e">
        <f>'Portefeuille SP2'!#REF!</f>
        <v>#REF!</v>
      </c>
      <c r="BK668" s="403" t="e">
        <f>'Portefeuille SP2'!#REF!</f>
        <v>#REF!</v>
      </c>
      <c r="BL668" s="388"/>
      <c r="BM668" s="404">
        <f>'Portefeuille SP2'!L693</f>
        <v>0</v>
      </c>
    </row>
    <row r="669" spans="1:65" ht="15" customHeight="1">
      <c r="A669" s="383">
        <f>'Portefeuille SP2'!B694</f>
        <v>0</v>
      </c>
      <c r="B669" s="390">
        <f>'Portefeuille SP2'!Q694</f>
        <v>0</v>
      </c>
      <c r="C669" s="384"/>
      <c r="D669" s="382">
        <f>'Portefeuille SP2'!E694</f>
        <v>0</v>
      </c>
      <c r="E669" s="382" t="str">
        <f t="shared" si="41"/>
        <v>0</v>
      </c>
      <c r="F669" s="382" t="str">
        <f t="shared" si="42"/>
        <v/>
      </c>
      <c r="G669" s="382">
        <f>'Portefeuille SP2'!C694</f>
        <v>0</v>
      </c>
      <c r="H669" s="382">
        <f>'Portefeuille SP2'!F694</f>
        <v>0</v>
      </c>
      <c r="I669" s="382"/>
      <c r="J669" s="382">
        <f>'Portefeuille SP2'!D694</f>
        <v>0</v>
      </c>
      <c r="K669" s="385">
        <f>'Portefeuille SP2'!H694</f>
        <v>0</v>
      </c>
      <c r="L669" s="157">
        <f>'Portefeuille SP2'!U694</f>
        <v>0</v>
      </c>
      <c r="M669" s="386"/>
      <c r="N669" s="386"/>
      <c r="O669" s="386"/>
      <c r="P669" s="387">
        <f>'Portefeuille SP2'!M694</f>
        <v>0</v>
      </c>
      <c r="Q669" s="387"/>
      <c r="R669" s="387">
        <f>'Portefeuille SP2'!N694</f>
        <v>0</v>
      </c>
      <c r="S669" s="387"/>
      <c r="T669" s="382">
        <f>'Portefeuille SP2'!R694</f>
        <v>0</v>
      </c>
      <c r="U669" s="387">
        <f>'Portefeuille SP2'!K694</f>
        <v>0</v>
      </c>
      <c r="V669" s="399">
        <f>'Portefeuille SP2'!S694</f>
        <v>0</v>
      </c>
      <c r="W669" s="387"/>
      <c r="X669" s="387"/>
      <c r="Y669" s="387"/>
      <c r="Z669" s="387"/>
      <c r="AA669" s="387"/>
      <c r="AB669" s="387"/>
      <c r="AC669" s="387"/>
      <c r="AD669" s="387"/>
      <c r="AE669" s="400">
        <f>'Portefeuille SP2'!J694</f>
        <v>0</v>
      </c>
      <c r="AF669" s="387"/>
      <c r="AG669" s="387"/>
      <c r="AH669" s="389"/>
      <c r="AI669" s="389"/>
      <c r="AJ669" s="403">
        <f>'Portefeuille SP2'!V694</f>
        <v>0</v>
      </c>
      <c r="AK669" s="403">
        <f>'Portefeuille SP2'!W694</f>
        <v>0</v>
      </c>
      <c r="AL669" s="403">
        <f>'Portefeuille SP2'!X694</f>
        <v>0</v>
      </c>
      <c r="AM669" s="403">
        <f>'Portefeuille SP2'!Y694</f>
        <v>0</v>
      </c>
      <c r="AN669" s="403">
        <f>'Portefeuille SP2'!Z694</f>
        <v>0</v>
      </c>
      <c r="AO669" s="403">
        <f>'Portefeuille SP2'!AA694</f>
        <v>0</v>
      </c>
      <c r="AP669" s="403">
        <f>'Portefeuille SP2'!AB694</f>
        <v>0</v>
      </c>
      <c r="AQ669" s="403">
        <f>'Portefeuille SP2'!AC694</f>
        <v>0</v>
      </c>
      <c r="AR669" s="403">
        <f>'Portefeuille SP2'!AD694</f>
        <v>0</v>
      </c>
      <c r="AS669" s="403">
        <f>'Portefeuille SP2'!AE694</f>
        <v>0</v>
      </c>
      <c r="AT669" s="403">
        <f>'Portefeuille SP2'!AF694</f>
        <v>0</v>
      </c>
      <c r="AU669" s="403">
        <f>'Portefeuille SP2'!AG694</f>
        <v>0</v>
      </c>
      <c r="AV669" s="403">
        <f>'Portefeuille SP2'!AH694</f>
        <v>0</v>
      </c>
      <c r="AW669" s="403">
        <f>'Portefeuille SP2'!AI694</f>
        <v>0</v>
      </c>
      <c r="AX669" s="403">
        <f>'Portefeuille SP2'!AJ694</f>
        <v>0</v>
      </c>
      <c r="AY669" s="403">
        <f>'Portefeuille SP2'!AK694</f>
        <v>0</v>
      </c>
      <c r="AZ669" s="403">
        <f>'Portefeuille SP2'!AL694</f>
        <v>0</v>
      </c>
      <c r="BA669" s="403">
        <f>'Portefeuille SP2'!AM694</f>
        <v>0</v>
      </c>
      <c r="BB669" s="403">
        <f>'Portefeuille SP2'!AN694</f>
        <v>0</v>
      </c>
      <c r="BC669" s="403">
        <f>'Portefeuille SP2'!AO694</f>
        <v>0</v>
      </c>
      <c r="BD669" s="403">
        <f>'Portefeuille SP2'!AP694</f>
        <v>0</v>
      </c>
      <c r="BE669" s="403">
        <f>'Portefeuille SP2'!AQ694</f>
        <v>0</v>
      </c>
      <c r="BF669" s="403">
        <f>'Portefeuille SP2'!AR694</f>
        <v>0</v>
      </c>
      <c r="BG669" s="403" t="e">
        <f>'Portefeuille SP2'!#REF!</f>
        <v>#REF!</v>
      </c>
      <c r="BH669" s="403" t="e">
        <f>'Portefeuille SP2'!#REF!</f>
        <v>#REF!</v>
      </c>
      <c r="BI669" s="403" t="e">
        <f>'Portefeuille SP2'!#REF!</f>
        <v>#REF!</v>
      </c>
      <c r="BJ669" s="403" t="e">
        <f>'Portefeuille SP2'!#REF!</f>
        <v>#REF!</v>
      </c>
      <c r="BK669" s="403" t="e">
        <f>'Portefeuille SP2'!#REF!</f>
        <v>#REF!</v>
      </c>
      <c r="BL669" s="388"/>
      <c r="BM669" s="404">
        <f>'Portefeuille SP2'!L694</f>
        <v>0</v>
      </c>
    </row>
    <row r="670" spans="1:65" ht="15" customHeight="1">
      <c r="A670" s="383">
        <f>'Portefeuille SP2'!B695</f>
        <v>0</v>
      </c>
      <c r="B670" s="390">
        <f>'Portefeuille SP2'!Q695</f>
        <v>0</v>
      </c>
      <c r="C670" s="384"/>
      <c r="D670" s="382">
        <f>'Portefeuille SP2'!E695</f>
        <v>0</v>
      </c>
      <c r="E670" s="382" t="str">
        <f t="shared" si="41"/>
        <v>0</v>
      </c>
      <c r="F670" s="382" t="str">
        <f t="shared" si="42"/>
        <v/>
      </c>
      <c r="G670" s="382">
        <f>'Portefeuille SP2'!C695</f>
        <v>0</v>
      </c>
      <c r="H670" s="382">
        <f>'Portefeuille SP2'!F695</f>
        <v>0</v>
      </c>
      <c r="I670" s="382"/>
      <c r="J670" s="382">
        <f>'Portefeuille SP2'!D695</f>
        <v>0</v>
      </c>
      <c r="K670" s="385">
        <f>'Portefeuille SP2'!H695</f>
        <v>0</v>
      </c>
      <c r="L670" s="157">
        <f>'Portefeuille SP2'!U695</f>
        <v>0</v>
      </c>
      <c r="M670" s="386"/>
      <c r="N670" s="386"/>
      <c r="O670" s="386"/>
      <c r="P670" s="387">
        <f>'Portefeuille SP2'!M695</f>
        <v>0</v>
      </c>
      <c r="Q670" s="387"/>
      <c r="R670" s="387">
        <f>'Portefeuille SP2'!N695</f>
        <v>0</v>
      </c>
      <c r="S670" s="387"/>
      <c r="T670" s="382">
        <f>'Portefeuille SP2'!R695</f>
        <v>0</v>
      </c>
      <c r="U670" s="387">
        <f>'Portefeuille SP2'!K695</f>
        <v>0</v>
      </c>
      <c r="V670" s="399">
        <f>'Portefeuille SP2'!S695</f>
        <v>0</v>
      </c>
      <c r="W670" s="387"/>
      <c r="X670" s="387"/>
      <c r="Y670" s="387"/>
      <c r="Z670" s="387"/>
      <c r="AA670" s="387"/>
      <c r="AB670" s="387"/>
      <c r="AC670" s="387"/>
      <c r="AD670" s="387"/>
      <c r="AE670" s="400">
        <f>'Portefeuille SP2'!J695</f>
        <v>0</v>
      </c>
      <c r="AF670" s="387"/>
      <c r="AG670" s="387"/>
      <c r="AH670" s="389"/>
      <c r="AI670" s="389"/>
      <c r="AJ670" s="403">
        <f>'Portefeuille SP2'!V695</f>
        <v>0</v>
      </c>
      <c r="AK670" s="403">
        <f>'Portefeuille SP2'!W695</f>
        <v>0</v>
      </c>
      <c r="AL670" s="403">
        <f>'Portefeuille SP2'!X695</f>
        <v>0</v>
      </c>
      <c r="AM670" s="403">
        <f>'Portefeuille SP2'!Y695</f>
        <v>0</v>
      </c>
      <c r="AN670" s="403">
        <f>'Portefeuille SP2'!Z695</f>
        <v>0</v>
      </c>
      <c r="AO670" s="403">
        <f>'Portefeuille SP2'!AA695</f>
        <v>0</v>
      </c>
      <c r="AP670" s="403">
        <f>'Portefeuille SP2'!AB695</f>
        <v>0</v>
      </c>
      <c r="AQ670" s="403">
        <f>'Portefeuille SP2'!AC695</f>
        <v>0</v>
      </c>
      <c r="AR670" s="403">
        <f>'Portefeuille SP2'!AD695</f>
        <v>0</v>
      </c>
      <c r="AS670" s="403">
        <f>'Portefeuille SP2'!AE695</f>
        <v>0</v>
      </c>
      <c r="AT670" s="403">
        <f>'Portefeuille SP2'!AF695</f>
        <v>0</v>
      </c>
      <c r="AU670" s="403">
        <f>'Portefeuille SP2'!AG695</f>
        <v>0</v>
      </c>
      <c r="AV670" s="403">
        <f>'Portefeuille SP2'!AH695</f>
        <v>0</v>
      </c>
      <c r="AW670" s="403">
        <f>'Portefeuille SP2'!AI695</f>
        <v>0</v>
      </c>
      <c r="AX670" s="403">
        <f>'Portefeuille SP2'!AJ695</f>
        <v>0</v>
      </c>
      <c r="AY670" s="403">
        <f>'Portefeuille SP2'!AK695</f>
        <v>0</v>
      </c>
      <c r="AZ670" s="403">
        <f>'Portefeuille SP2'!AL695</f>
        <v>0</v>
      </c>
      <c r="BA670" s="403">
        <f>'Portefeuille SP2'!AM695</f>
        <v>0</v>
      </c>
      <c r="BB670" s="403">
        <f>'Portefeuille SP2'!AN695</f>
        <v>0</v>
      </c>
      <c r="BC670" s="403">
        <f>'Portefeuille SP2'!AO695</f>
        <v>0</v>
      </c>
      <c r="BD670" s="403">
        <f>'Portefeuille SP2'!AP695</f>
        <v>0</v>
      </c>
      <c r="BE670" s="403">
        <f>'Portefeuille SP2'!AQ695</f>
        <v>0</v>
      </c>
      <c r="BF670" s="403">
        <f>'Portefeuille SP2'!AR695</f>
        <v>0</v>
      </c>
      <c r="BG670" s="403" t="e">
        <f>'Portefeuille SP2'!#REF!</f>
        <v>#REF!</v>
      </c>
      <c r="BH670" s="403" t="e">
        <f>'Portefeuille SP2'!#REF!</f>
        <v>#REF!</v>
      </c>
      <c r="BI670" s="403" t="e">
        <f>'Portefeuille SP2'!#REF!</f>
        <v>#REF!</v>
      </c>
      <c r="BJ670" s="403" t="e">
        <f>'Portefeuille SP2'!#REF!</f>
        <v>#REF!</v>
      </c>
      <c r="BK670" s="403" t="e">
        <f>'Portefeuille SP2'!#REF!</f>
        <v>#REF!</v>
      </c>
      <c r="BL670" s="388"/>
      <c r="BM670" s="404">
        <f>'Portefeuille SP2'!L695</f>
        <v>0</v>
      </c>
    </row>
    <row r="671" spans="1:65" ht="15" customHeight="1">
      <c r="A671" s="383">
        <f>'Portefeuille SP2'!B696</f>
        <v>0</v>
      </c>
      <c r="B671" s="390">
        <f>'Portefeuille SP2'!Q696</f>
        <v>0</v>
      </c>
      <c r="C671" s="384"/>
      <c r="D671" s="382">
        <f>'Portefeuille SP2'!E696</f>
        <v>0</v>
      </c>
      <c r="E671" s="382" t="str">
        <f t="shared" si="41"/>
        <v>0</v>
      </c>
      <c r="F671" s="382" t="str">
        <f t="shared" si="42"/>
        <v/>
      </c>
      <c r="G671" s="382">
        <f>'Portefeuille SP2'!C696</f>
        <v>0</v>
      </c>
      <c r="H671" s="382">
        <f>'Portefeuille SP2'!F696</f>
        <v>0</v>
      </c>
      <c r="I671" s="382"/>
      <c r="J671" s="382">
        <f>'Portefeuille SP2'!D696</f>
        <v>0</v>
      </c>
      <c r="K671" s="385">
        <f>'Portefeuille SP2'!H696</f>
        <v>0</v>
      </c>
      <c r="L671" s="157">
        <f>'Portefeuille SP2'!U696</f>
        <v>0</v>
      </c>
      <c r="M671" s="386"/>
      <c r="N671" s="386"/>
      <c r="O671" s="386"/>
      <c r="P671" s="387">
        <f>'Portefeuille SP2'!M696</f>
        <v>0</v>
      </c>
      <c r="Q671" s="387"/>
      <c r="R671" s="387">
        <f>'Portefeuille SP2'!N696</f>
        <v>0</v>
      </c>
      <c r="S671" s="387"/>
      <c r="T671" s="382">
        <f>'Portefeuille SP2'!R696</f>
        <v>0</v>
      </c>
      <c r="U671" s="387">
        <f>'Portefeuille SP2'!K696</f>
        <v>0</v>
      </c>
      <c r="V671" s="399">
        <f>'Portefeuille SP2'!S696</f>
        <v>0</v>
      </c>
      <c r="W671" s="387"/>
      <c r="X671" s="387"/>
      <c r="Y671" s="387"/>
      <c r="Z671" s="387"/>
      <c r="AA671" s="387"/>
      <c r="AB671" s="387"/>
      <c r="AC671" s="387"/>
      <c r="AD671" s="387"/>
      <c r="AE671" s="400">
        <f>'Portefeuille SP2'!J696</f>
        <v>0</v>
      </c>
      <c r="AF671" s="387"/>
      <c r="AG671" s="387"/>
      <c r="AH671" s="389"/>
      <c r="AI671" s="389"/>
      <c r="AJ671" s="403">
        <f>'Portefeuille SP2'!V696</f>
        <v>0</v>
      </c>
      <c r="AK671" s="403">
        <f>'Portefeuille SP2'!W696</f>
        <v>0</v>
      </c>
      <c r="AL671" s="403">
        <f>'Portefeuille SP2'!X696</f>
        <v>0</v>
      </c>
      <c r="AM671" s="403">
        <f>'Portefeuille SP2'!Y696</f>
        <v>0</v>
      </c>
      <c r="AN671" s="403">
        <f>'Portefeuille SP2'!Z696</f>
        <v>0</v>
      </c>
      <c r="AO671" s="403">
        <f>'Portefeuille SP2'!AA696</f>
        <v>0</v>
      </c>
      <c r="AP671" s="403">
        <f>'Portefeuille SP2'!AB696</f>
        <v>0</v>
      </c>
      <c r="AQ671" s="403">
        <f>'Portefeuille SP2'!AC696</f>
        <v>0</v>
      </c>
      <c r="AR671" s="403">
        <f>'Portefeuille SP2'!AD696</f>
        <v>0</v>
      </c>
      <c r="AS671" s="403">
        <f>'Portefeuille SP2'!AE696</f>
        <v>0</v>
      </c>
      <c r="AT671" s="403">
        <f>'Portefeuille SP2'!AF696</f>
        <v>0</v>
      </c>
      <c r="AU671" s="403">
        <f>'Portefeuille SP2'!AG696</f>
        <v>0</v>
      </c>
      <c r="AV671" s="403">
        <f>'Portefeuille SP2'!AH696</f>
        <v>0</v>
      </c>
      <c r="AW671" s="403">
        <f>'Portefeuille SP2'!AI696</f>
        <v>0</v>
      </c>
      <c r="AX671" s="403">
        <f>'Portefeuille SP2'!AJ696</f>
        <v>0</v>
      </c>
      <c r="AY671" s="403">
        <f>'Portefeuille SP2'!AK696</f>
        <v>0</v>
      </c>
      <c r="AZ671" s="403">
        <f>'Portefeuille SP2'!AL696</f>
        <v>0</v>
      </c>
      <c r="BA671" s="403">
        <f>'Portefeuille SP2'!AM696</f>
        <v>0</v>
      </c>
      <c r="BB671" s="403">
        <f>'Portefeuille SP2'!AN696</f>
        <v>0</v>
      </c>
      <c r="BC671" s="403">
        <f>'Portefeuille SP2'!AO696</f>
        <v>0</v>
      </c>
      <c r="BD671" s="403">
        <f>'Portefeuille SP2'!AP696</f>
        <v>0</v>
      </c>
      <c r="BE671" s="403">
        <f>'Portefeuille SP2'!AQ696</f>
        <v>0</v>
      </c>
      <c r="BF671" s="403">
        <f>'Portefeuille SP2'!AR696</f>
        <v>0</v>
      </c>
      <c r="BG671" s="403" t="e">
        <f>'Portefeuille SP2'!#REF!</f>
        <v>#REF!</v>
      </c>
      <c r="BH671" s="403" t="e">
        <f>'Portefeuille SP2'!#REF!</f>
        <v>#REF!</v>
      </c>
      <c r="BI671" s="403" t="e">
        <f>'Portefeuille SP2'!#REF!</f>
        <v>#REF!</v>
      </c>
      <c r="BJ671" s="403" t="e">
        <f>'Portefeuille SP2'!#REF!</f>
        <v>#REF!</v>
      </c>
      <c r="BK671" s="403" t="e">
        <f>'Portefeuille SP2'!#REF!</f>
        <v>#REF!</v>
      </c>
      <c r="BL671" s="388"/>
      <c r="BM671" s="404">
        <f>'Portefeuille SP2'!L696</f>
        <v>0</v>
      </c>
    </row>
    <row r="672" spans="1:65" ht="15" customHeight="1">
      <c r="A672" s="383">
        <f>'Portefeuille SP2'!B697</f>
        <v>0</v>
      </c>
      <c r="B672" s="390">
        <f>'Portefeuille SP2'!Q697</f>
        <v>0</v>
      </c>
      <c r="C672" s="384"/>
      <c r="D672" s="382">
        <f>'Portefeuille SP2'!E697</f>
        <v>0</v>
      </c>
      <c r="E672" s="382" t="str">
        <f t="shared" si="41"/>
        <v>0</v>
      </c>
      <c r="F672" s="382" t="str">
        <f t="shared" si="42"/>
        <v/>
      </c>
      <c r="G672" s="382">
        <f>'Portefeuille SP2'!C697</f>
        <v>0</v>
      </c>
      <c r="H672" s="382">
        <f>'Portefeuille SP2'!F697</f>
        <v>0</v>
      </c>
      <c r="I672" s="382"/>
      <c r="J672" s="382">
        <f>'Portefeuille SP2'!D697</f>
        <v>0</v>
      </c>
      <c r="K672" s="385">
        <f>'Portefeuille SP2'!H697</f>
        <v>0</v>
      </c>
      <c r="L672" s="157">
        <f>'Portefeuille SP2'!U697</f>
        <v>0</v>
      </c>
      <c r="M672" s="386"/>
      <c r="N672" s="386"/>
      <c r="O672" s="386"/>
      <c r="P672" s="387">
        <f>'Portefeuille SP2'!M697</f>
        <v>0</v>
      </c>
      <c r="Q672" s="387"/>
      <c r="R672" s="387">
        <f>'Portefeuille SP2'!N697</f>
        <v>0</v>
      </c>
      <c r="S672" s="387"/>
      <c r="T672" s="382">
        <f>'Portefeuille SP2'!R697</f>
        <v>0</v>
      </c>
      <c r="U672" s="387">
        <f>'Portefeuille SP2'!K697</f>
        <v>0</v>
      </c>
      <c r="V672" s="399">
        <f>'Portefeuille SP2'!S697</f>
        <v>0</v>
      </c>
      <c r="W672" s="387"/>
      <c r="X672" s="387"/>
      <c r="Y672" s="387"/>
      <c r="Z672" s="387"/>
      <c r="AA672" s="387"/>
      <c r="AB672" s="387"/>
      <c r="AC672" s="387"/>
      <c r="AD672" s="387"/>
      <c r="AE672" s="400">
        <f>'Portefeuille SP2'!J697</f>
        <v>0</v>
      </c>
      <c r="AF672" s="387"/>
      <c r="AG672" s="387"/>
      <c r="AH672" s="389"/>
      <c r="AI672" s="389"/>
      <c r="AJ672" s="403">
        <f>'Portefeuille SP2'!V697</f>
        <v>0</v>
      </c>
      <c r="AK672" s="403">
        <f>'Portefeuille SP2'!W697</f>
        <v>0</v>
      </c>
      <c r="AL672" s="403">
        <f>'Portefeuille SP2'!X697</f>
        <v>0</v>
      </c>
      <c r="AM672" s="403">
        <f>'Portefeuille SP2'!Y697</f>
        <v>0</v>
      </c>
      <c r="AN672" s="403">
        <f>'Portefeuille SP2'!Z697</f>
        <v>0</v>
      </c>
      <c r="AO672" s="403">
        <f>'Portefeuille SP2'!AA697</f>
        <v>0</v>
      </c>
      <c r="AP672" s="403">
        <f>'Portefeuille SP2'!AB697</f>
        <v>0</v>
      </c>
      <c r="AQ672" s="403">
        <f>'Portefeuille SP2'!AC697</f>
        <v>0</v>
      </c>
      <c r="AR672" s="403">
        <f>'Portefeuille SP2'!AD697</f>
        <v>0</v>
      </c>
      <c r="AS672" s="403">
        <f>'Portefeuille SP2'!AE697</f>
        <v>0</v>
      </c>
      <c r="AT672" s="403">
        <f>'Portefeuille SP2'!AF697</f>
        <v>0</v>
      </c>
      <c r="AU672" s="403">
        <f>'Portefeuille SP2'!AG697</f>
        <v>0</v>
      </c>
      <c r="AV672" s="403">
        <f>'Portefeuille SP2'!AH697</f>
        <v>0</v>
      </c>
      <c r="AW672" s="403">
        <f>'Portefeuille SP2'!AI697</f>
        <v>0</v>
      </c>
      <c r="AX672" s="403">
        <f>'Portefeuille SP2'!AJ697</f>
        <v>0</v>
      </c>
      <c r="AY672" s="403">
        <f>'Portefeuille SP2'!AK697</f>
        <v>0</v>
      </c>
      <c r="AZ672" s="403">
        <f>'Portefeuille SP2'!AL697</f>
        <v>0</v>
      </c>
      <c r="BA672" s="403">
        <f>'Portefeuille SP2'!AM697</f>
        <v>0</v>
      </c>
      <c r="BB672" s="403">
        <f>'Portefeuille SP2'!AN697</f>
        <v>0</v>
      </c>
      <c r="BC672" s="403">
        <f>'Portefeuille SP2'!AO697</f>
        <v>0</v>
      </c>
      <c r="BD672" s="403">
        <f>'Portefeuille SP2'!AP697</f>
        <v>0</v>
      </c>
      <c r="BE672" s="403">
        <f>'Portefeuille SP2'!AQ697</f>
        <v>0</v>
      </c>
      <c r="BF672" s="403">
        <f>'Portefeuille SP2'!AR697</f>
        <v>0</v>
      </c>
      <c r="BG672" s="403" t="e">
        <f>'Portefeuille SP2'!#REF!</f>
        <v>#REF!</v>
      </c>
      <c r="BH672" s="403" t="e">
        <f>'Portefeuille SP2'!#REF!</f>
        <v>#REF!</v>
      </c>
      <c r="BI672" s="403" t="e">
        <f>'Portefeuille SP2'!#REF!</f>
        <v>#REF!</v>
      </c>
      <c r="BJ672" s="403" t="e">
        <f>'Portefeuille SP2'!#REF!</f>
        <v>#REF!</v>
      </c>
      <c r="BK672" s="403" t="e">
        <f>'Portefeuille SP2'!#REF!</f>
        <v>#REF!</v>
      </c>
      <c r="BL672" s="388"/>
      <c r="BM672" s="404">
        <f>'Portefeuille SP2'!L697</f>
        <v>0</v>
      </c>
    </row>
    <row r="673" spans="1:65" ht="15" customHeight="1">
      <c r="A673" s="383">
        <f>'Portefeuille SP2'!B698</f>
        <v>0</v>
      </c>
      <c r="B673" s="390">
        <f>'Portefeuille SP2'!Q698</f>
        <v>0</v>
      </c>
      <c r="C673" s="384"/>
      <c r="D673" s="382">
        <f>'Portefeuille SP2'!E698</f>
        <v>0</v>
      </c>
      <c r="E673" s="382" t="str">
        <f t="shared" si="41"/>
        <v>0</v>
      </c>
      <c r="F673" s="382" t="str">
        <f t="shared" si="42"/>
        <v/>
      </c>
      <c r="G673" s="382">
        <f>'Portefeuille SP2'!C698</f>
        <v>0</v>
      </c>
      <c r="H673" s="382">
        <f>'Portefeuille SP2'!F698</f>
        <v>0</v>
      </c>
      <c r="I673" s="382"/>
      <c r="J673" s="382">
        <f>'Portefeuille SP2'!D698</f>
        <v>0</v>
      </c>
      <c r="K673" s="385">
        <f>'Portefeuille SP2'!H698</f>
        <v>0</v>
      </c>
      <c r="L673" s="157">
        <f>'Portefeuille SP2'!U698</f>
        <v>0</v>
      </c>
      <c r="M673" s="386"/>
      <c r="N673" s="386"/>
      <c r="O673" s="386"/>
      <c r="P673" s="387">
        <f>'Portefeuille SP2'!M698</f>
        <v>0</v>
      </c>
      <c r="Q673" s="387"/>
      <c r="R673" s="387">
        <f>'Portefeuille SP2'!N698</f>
        <v>0</v>
      </c>
      <c r="S673" s="387"/>
      <c r="T673" s="382">
        <f>'Portefeuille SP2'!R698</f>
        <v>0</v>
      </c>
      <c r="U673" s="387">
        <f>'Portefeuille SP2'!K698</f>
        <v>0</v>
      </c>
      <c r="V673" s="399">
        <f>'Portefeuille SP2'!S698</f>
        <v>0</v>
      </c>
      <c r="W673" s="387"/>
      <c r="X673" s="387"/>
      <c r="Y673" s="387"/>
      <c r="Z673" s="387"/>
      <c r="AA673" s="387"/>
      <c r="AB673" s="387"/>
      <c r="AC673" s="387"/>
      <c r="AD673" s="387"/>
      <c r="AE673" s="400">
        <f>'Portefeuille SP2'!J698</f>
        <v>0</v>
      </c>
      <c r="AF673" s="387"/>
      <c r="AG673" s="387"/>
      <c r="AH673" s="389"/>
      <c r="AI673" s="389"/>
      <c r="AJ673" s="403">
        <f>'Portefeuille SP2'!V698</f>
        <v>0</v>
      </c>
      <c r="AK673" s="403">
        <f>'Portefeuille SP2'!W698</f>
        <v>0</v>
      </c>
      <c r="AL673" s="403">
        <f>'Portefeuille SP2'!X698</f>
        <v>0</v>
      </c>
      <c r="AM673" s="403">
        <f>'Portefeuille SP2'!Y698</f>
        <v>0</v>
      </c>
      <c r="AN673" s="403">
        <f>'Portefeuille SP2'!Z698</f>
        <v>0</v>
      </c>
      <c r="AO673" s="403">
        <f>'Portefeuille SP2'!AA698</f>
        <v>0</v>
      </c>
      <c r="AP673" s="403">
        <f>'Portefeuille SP2'!AB698</f>
        <v>0</v>
      </c>
      <c r="AQ673" s="403">
        <f>'Portefeuille SP2'!AC698</f>
        <v>0</v>
      </c>
      <c r="AR673" s="403">
        <f>'Portefeuille SP2'!AD698</f>
        <v>0</v>
      </c>
      <c r="AS673" s="403">
        <f>'Portefeuille SP2'!AE698</f>
        <v>0</v>
      </c>
      <c r="AT673" s="403">
        <f>'Portefeuille SP2'!AF698</f>
        <v>0</v>
      </c>
      <c r="AU673" s="403">
        <f>'Portefeuille SP2'!AG698</f>
        <v>0</v>
      </c>
      <c r="AV673" s="403">
        <f>'Portefeuille SP2'!AH698</f>
        <v>0</v>
      </c>
      <c r="AW673" s="403">
        <f>'Portefeuille SP2'!AI698</f>
        <v>0</v>
      </c>
      <c r="AX673" s="403">
        <f>'Portefeuille SP2'!AJ698</f>
        <v>0</v>
      </c>
      <c r="AY673" s="403">
        <f>'Portefeuille SP2'!AK698</f>
        <v>0</v>
      </c>
      <c r="AZ673" s="403">
        <f>'Portefeuille SP2'!AL698</f>
        <v>0</v>
      </c>
      <c r="BA673" s="403">
        <f>'Portefeuille SP2'!AM698</f>
        <v>0</v>
      </c>
      <c r="BB673" s="403">
        <f>'Portefeuille SP2'!AN698</f>
        <v>0</v>
      </c>
      <c r="BC673" s="403">
        <f>'Portefeuille SP2'!AO698</f>
        <v>0</v>
      </c>
      <c r="BD673" s="403">
        <f>'Portefeuille SP2'!AP698</f>
        <v>0</v>
      </c>
      <c r="BE673" s="403">
        <f>'Portefeuille SP2'!AQ698</f>
        <v>0</v>
      </c>
      <c r="BF673" s="403">
        <f>'Portefeuille SP2'!AR698</f>
        <v>0</v>
      </c>
      <c r="BG673" s="403" t="e">
        <f>'Portefeuille SP2'!#REF!</f>
        <v>#REF!</v>
      </c>
      <c r="BH673" s="403" t="e">
        <f>'Portefeuille SP2'!#REF!</f>
        <v>#REF!</v>
      </c>
      <c r="BI673" s="403" t="e">
        <f>'Portefeuille SP2'!#REF!</f>
        <v>#REF!</v>
      </c>
      <c r="BJ673" s="403" t="e">
        <f>'Portefeuille SP2'!#REF!</f>
        <v>#REF!</v>
      </c>
      <c r="BK673" s="403" t="e">
        <f>'Portefeuille SP2'!#REF!</f>
        <v>#REF!</v>
      </c>
      <c r="BL673" s="388"/>
      <c r="BM673" s="404">
        <f>'Portefeuille SP2'!L698</f>
        <v>0</v>
      </c>
    </row>
    <row r="674" spans="1:65" ht="15" customHeight="1">
      <c r="A674" s="383">
        <f>'Portefeuille SP2'!B699</f>
        <v>0</v>
      </c>
      <c r="B674" s="390">
        <f>'Portefeuille SP2'!Q699</f>
        <v>0</v>
      </c>
      <c r="C674" s="384"/>
      <c r="D674" s="382">
        <f>'Portefeuille SP2'!E699</f>
        <v>0</v>
      </c>
      <c r="E674" s="382" t="str">
        <f t="shared" si="41"/>
        <v>0</v>
      </c>
      <c r="F674" s="382" t="str">
        <f t="shared" si="42"/>
        <v/>
      </c>
      <c r="G674" s="382">
        <f>'Portefeuille SP2'!C699</f>
        <v>0</v>
      </c>
      <c r="H674" s="382">
        <f>'Portefeuille SP2'!F699</f>
        <v>0</v>
      </c>
      <c r="I674" s="382"/>
      <c r="J674" s="382">
        <f>'Portefeuille SP2'!D699</f>
        <v>0</v>
      </c>
      <c r="K674" s="385">
        <f>'Portefeuille SP2'!H699</f>
        <v>0</v>
      </c>
      <c r="L674" s="157">
        <f>'Portefeuille SP2'!U699</f>
        <v>0</v>
      </c>
      <c r="M674" s="386"/>
      <c r="N674" s="386"/>
      <c r="O674" s="386"/>
      <c r="P674" s="387">
        <f>'Portefeuille SP2'!M699</f>
        <v>0</v>
      </c>
      <c r="Q674" s="387"/>
      <c r="R674" s="387">
        <f>'Portefeuille SP2'!N699</f>
        <v>0</v>
      </c>
      <c r="S674" s="387"/>
      <c r="T674" s="382">
        <f>'Portefeuille SP2'!R699</f>
        <v>0</v>
      </c>
      <c r="U674" s="387">
        <f>'Portefeuille SP2'!K699</f>
        <v>0</v>
      </c>
      <c r="V674" s="399">
        <f>'Portefeuille SP2'!S699</f>
        <v>0</v>
      </c>
      <c r="W674" s="387"/>
      <c r="X674" s="387"/>
      <c r="Y674" s="387"/>
      <c r="Z674" s="387"/>
      <c r="AA674" s="387"/>
      <c r="AB674" s="387"/>
      <c r="AC674" s="387"/>
      <c r="AD674" s="387"/>
      <c r="AE674" s="400">
        <f>'Portefeuille SP2'!J699</f>
        <v>0</v>
      </c>
      <c r="AF674" s="387"/>
      <c r="AG674" s="387"/>
      <c r="AH674" s="389"/>
      <c r="AI674" s="389"/>
      <c r="AJ674" s="403">
        <f>'Portefeuille SP2'!V699</f>
        <v>0</v>
      </c>
      <c r="AK674" s="403">
        <f>'Portefeuille SP2'!W699</f>
        <v>0</v>
      </c>
      <c r="AL674" s="403">
        <f>'Portefeuille SP2'!X699</f>
        <v>0</v>
      </c>
      <c r="AM674" s="403">
        <f>'Portefeuille SP2'!Y699</f>
        <v>0</v>
      </c>
      <c r="AN674" s="403">
        <f>'Portefeuille SP2'!Z699</f>
        <v>0</v>
      </c>
      <c r="AO674" s="403">
        <f>'Portefeuille SP2'!AA699</f>
        <v>0</v>
      </c>
      <c r="AP674" s="403">
        <f>'Portefeuille SP2'!AB699</f>
        <v>0</v>
      </c>
      <c r="AQ674" s="403">
        <f>'Portefeuille SP2'!AC699</f>
        <v>0</v>
      </c>
      <c r="AR674" s="403">
        <f>'Portefeuille SP2'!AD699</f>
        <v>0</v>
      </c>
      <c r="AS674" s="403">
        <f>'Portefeuille SP2'!AE699</f>
        <v>0</v>
      </c>
      <c r="AT674" s="403">
        <f>'Portefeuille SP2'!AF699</f>
        <v>0</v>
      </c>
      <c r="AU674" s="403">
        <f>'Portefeuille SP2'!AG699</f>
        <v>0</v>
      </c>
      <c r="AV674" s="403">
        <f>'Portefeuille SP2'!AH699</f>
        <v>0</v>
      </c>
      <c r="AW674" s="403">
        <f>'Portefeuille SP2'!AI699</f>
        <v>0</v>
      </c>
      <c r="AX674" s="403">
        <f>'Portefeuille SP2'!AJ699</f>
        <v>0</v>
      </c>
      <c r="AY674" s="403">
        <f>'Portefeuille SP2'!AK699</f>
        <v>0</v>
      </c>
      <c r="AZ674" s="403">
        <f>'Portefeuille SP2'!AL699</f>
        <v>0</v>
      </c>
      <c r="BA674" s="403">
        <f>'Portefeuille SP2'!AM699</f>
        <v>0</v>
      </c>
      <c r="BB674" s="403">
        <f>'Portefeuille SP2'!AN699</f>
        <v>0</v>
      </c>
      <c r="BC674" s="403">
        <f>'Portefeuille SP2'!AO699</f>
        <v>0</v>
      </c>
      <c r="BD674" s="403">
        <f>'Portefeuille SP2'!AP699</f>
        <v>0</v>
      </c>
      <c r="BE674" s="403">
        <f>'Portefeuille SP2'!AQ699</f>
        <v>0</v>
      </c>
      <c r="BF674" s="403">
        <f>'Portefeuille SP2'!AR699</f>
        <v>0</v>
      </c>
      <c r="BG674" s="403" t="e">
        <f>'Portefeuille SP2'!#REF!</f>
        <v>#REF!</v>
      </c>
      <c r="BH674" s="403" t="e">
        <f>'Portefeuille SP2'!#REF!</f>
        <v>#REF!</v>
      </c>
      <c r="BI674" s="403" t="e">
        <f>'Portefeuille SP2'!#REF!</f>
        <v>#REF!</v>
      </c>
      <c r="BJ674" s="403" t="e">
        <f>'Portefeuille SP2'!#REF!</f>
        <v>#REF!</v>
      </c>
      <c r="BK674" s="403" t="e">
        <f>'Portefeuille SP2'!#REF!</f>
        <v>#REF!</v>
      </c>
      <c r="BL674" s="388"/>
      <c r="BM674" s="404">
        <f>'Portefeuille SP2'!L699</f>
        <v>0</v>
      </c>
    </row>
    <row r="675" spans="1:65" ht="15" customHeight="1">
      <c r="A675" s="383">
        <f>'Portefeuille SP2'!B700</f>
        <v>0</v>
      </c>
      <c r="B675" s="390">
        <f>'Portefeuille SP2'!Q700</f>
        <v>0</v>
      </c>
      <c r="C675" s="384"/>
      <c r="D675" s="382">
        <f>'Portefeuille SP2'!E700</f>
        <v>0</v>
      </c>
      <c r="E675" s="382" t="str">
        <f t="shared" si="41"/>
        <v>0</v>
      </c>
      <c r="F675" s="382" t="str">
        <f t="shared" si="42"/>
        <v/>
      </c>
      <c r="G675" s="382">
        <f>'Portefeuille SP2'!C700</f>
        <v>0</v>
      </c>
      <c r="H675" s="382">
        <f>'Portefeuille SP2'!F700</f>
        <v>0</v>
      </c>
      <c r="I675" s="382"/>
      <c r="J675" s="382">
        <f>'Portefeuille SP2'!D700</f>
        <v>0</v>
      </c>
      <c r="K675" s="385">
        <f>'Portefeuille SP2'!H700</f>
        <v>0</v>
      </c>
      <c r="L675" s="157">
        <f>'Portefeuille SP2'!U700</f>
        <v>0</v>
      </c>
      <c r="M675" s="386"/>
      <c r="N675" s="386"/>
      <c r="O675" s="386"/>
      <c r="P675" s="387">
        <f>'Portefeuille SP2'!M700</f>
        <v>0</v>
      </c>
      <c r="Q675" s="387"/>
      <c r="R675" s="387">
        <f>'Portefeuille SP2'!N700</f>
        <v>0</v>
      </c>
      <c r="S675" s="387"/>
      <c r="T675" s="382">
        <f>'Portefeuille SP2'!R700</f>
        <v>0</v>
      </c>
      <c r="U675" s="387">
        <f>'Portefeuille SP2'!K700</f>
        <v>0</v>
      </c>
      <c r="V675" s="399">
        <f>'Portefeuille SP2'!S700</f>
        <v>0</v>
      </c>
      <c r="W675" s="387"/>
      <c r="X675" s="387"/>
      <c r="Y675" s="387"/>
      <c r="Z675" s="387"/>
      <c r="AA675" s="387"/>
      <c r="AB675" s="387"/>
      <c r="AC675" s="387"/>
      <c r="AD675" s="387"/>
      <c r="AE675" s="400">
        <f>'Portefeuille SP2'!J700</f>
        <v>0</v>
      </c>
      <c r="AF675" s="387"/>
      <c r="AG675" s="387"/>
      <c r="AH675" s="389"/>
      <c r="AI675" s="389"/>
      <c r="AJ675" s="403">
        <f>'Portefeuille SP2'!V700</f>
        <v>0</v>
      </c>
      <c r="AK675" s="403">
        <f>'Portefeuille SP2'!W700</f>
        <v>0</v>
      </c>
      <c r="AL675" s="403">
        <f>'Portefeuille SP2'!X700</f>
        <v>0</v>
      </c>
      <c r="AM675" s="403">
        <f>'Portefeuille SP2'!Y700</f>
        <v>0</v>
      </c>
      <c r="AN675" s="403">
        <f>'Portefeuille SP2'!Z700</f>
        <v>0</v>
      </c>
      <c r="AO675" s="403">
        <f>'Portefeuille SP2'!AA700</f>
        <v>0</v>
      </c>
      <c r="AP675" s="403">
        <f>'Portefeuille SP2'!AB700</f>
        <v>0</v>
      </c>
      <c r="AQ675" s="403">
        <f>'Portefeuille SP2'!AC700</f>
        <v>0</v>
      </c>
      <c r="AR675" s="403">
        <f>'Portefeuille SP2'!AD700</f>
        <v>0</v>
      </c>
      <c r="AS675" s="403">
        <f>'Portefeuille SP2'!AE700</f>
        <v>0</v>
      </c>
      <c r="AT675" s="403">
        <f>'Portefeuille SP2'!AF700</f>
        <v>0</v>
      </c>
      <c r="AU675" s="403">
        <f>'Portefeuille SP2'!AG700</f>
        <v>0</v>
      </c>
      <c r="AV675" s="403">
        <f>'Portefeuille SP2'!AH700</f>
        <v>0</v>
      </c>
      <c r="AW675" s="403">
        <f>'Portefeuille SP2'!AI700</f>
        <v>0</v>
      </c>
      <c r="AX675" s="403">
        <f>'Portefeuille SP2'!AJ700</f>
        <v>0</v>
      </c>
      <c r="AY675" s="403">
        <f>'Portefeuille SP2'!AK700</f>
        <v>0</v>
      </c>
      <c r="AZ675" s="403">
        <f>'Portefeuille SP2'!AL700</f>
        <v>0</v>
      </c>
      <c r="BA675" s="403">
        <f>'Portefeuille SP2'!AM700</f>
        <v>0</v>
      </c>
      <c r="BB675" s="403">
        <f>'Portefeuille SP2'!AN700</f>
        <v>0</v>
      </c>
      <c r="BC675" s="403">
        <f>'Portefeuille SP2'!AO700</f>
        <v>0</v>
      </c>
      <c r="BD675" s="403">
        <f>'Portefeuille SP2'!AP700</f>
        <v>0</v>
      </c>
      <c r="BE675" s="403">
        <f>'Portefeuille SP2'!AQ700</f>
        <v>0</v>
      </c>
      <c r="BF675" s="403">
        <f>'Portefeuille SP2'!AR700</f>
        <v>0</v>
      </c>
      <c r="BG675" s="403" t="e">
        <f>'Portefeuille SP2'!#REF!</f>
        <v>#REF!</v>
      </c>
      <c r="BH675" s="403" t="e">
        <f>'Portefeuille SP2'!#REF!</f>
        <v>#REF!</v>
      </c>
      <c r="BI675" s="403" t="e">
        <f>'Portefeuille SP2'!#REF!</f>
        <v>#REF!</v>
      </c>
      <c r="BJ675" s="403" t="e">
        <f>'Portefeuille SP2'!#REF!</f>
        <v>#REF!</v>
      </c>
      <c r="BK675" s="403" t="e">
        <f>'Portefeuille SP2'!#REF!</f>
        <v>#REF!</v>
      </c>
      <c r="BL675" s="388"/>
      <c r="BM675" s="404">
        <f>'Portefeuille SP2'!L700</f>
        <v>0</v>
      </c>
    </row>
    <row r="676" spans="1:65" ht="15" customHeight="1">
      <c r="A676" s="383">
        <f>'Portefeuille SP2'!B701</f>
        <v>0</v>
      </c>
      <c r="B676" s="390">
        <f>'Portefeuille SP2'!Q701</f>
        <v>0</v>
      </c>
      <c r="C676" s="384"/>
      <c r="D676" s="382">
        <f>'Portefeuille SP2'!E701</f>
        <v>0</v>
      </c>
      <c r="E676" s="382" t="str">
        <f t="shared" si="41"/>
        <v>0</v>
      </c>
      <c r="F676" s="382" t="str">
        <f t="shared" si="42"/>
        <v/>
      </c>
      <c r="G676" s="382">
        <f>'Portefeuille SP2'!C701</f>
        <v>0</v>
      </c>
      <c r="H676" s="382">
        <f>'Portefeuille SP2'!F701</f>
        <v>0</v>
      </c>
      <c r="I676" s="382"/>
      <c r="J676" s="382">
        <f>'Portefeuille SP2'!D701</f>
        <v>0</v>
      </c>
      <c r="K676" s="385">
        <f>'Portefeuille SP2'!H701</f>
        <v>0</v>
      </c>
      <c r="L676" s="157">
        <f>'Portefeuille SP2'!U701</f>
        <v>0</v>
      </c>
      <c r="M676" s="386"/>
      <c r="N676" s="386"/>
      <c r="O676" s="386"/>
      <c r="P676" s="387">
        <f>'Portefeuille SP2'!M701</f>
        <v>0</v>
      </c>
      <c r="Q676" s="387"/>
      <c r="R676" s="387">
        <f>'Portefeuille SP2'!N701</f>
        <v>0</v>
      </c>
      <c r="S676" s="387"/>
      <c r="T676" s="382">
        <f>'Portefeuille SP2'!R701</f>
        <v>0</v>
      </c>
      <c r="U676" s="387">
        <f>'Portefeuille SP2'!K701</f>
        <v>0</v>
      </c>
      <c r="V676" s="399">
        <f>'Portefeuille SP2'!S701</f>
        <v>0</v>
      </c>
      <c r="W676" s="387"/>
      <c r="X676" s="387"/>
      <c r="Y676" s="387"/>
      <c r="Z676" s="387"/>
      <c r="AA676" s="387"/>
      <c r="AB676" s="387"/>
      <c r="AC676" s="387"/>
      <c r="AD676" s="387"/>
      <c r="AE676" s="400">
        <f>'Portefeuille SP2'!J701</f>
        <v>0</v>
      </c>
      <c r="AF676" s="387"/>
      <c r="AG676" s="387"/>
      <c r="AH676" s="389"/>
      <c r="AI676" s="389"/>
      <c r="AJ676" s="403">
        <f>'Portefeuille SP2'!V701</f>
        <v>0</v>
      </c>
      <c r="AK676" s="403">
        <f>'Portefeuille SP2'!W701</f>
        <v>0</v>
      </c>
      <c r="AL676" s="403">
        <f>'Portefeuille SP2'!X701</f>
        <v>0</v>
      </c>
      <c r="AM676" s="403">
        <f>'Portefeuille SP2'!Y701</f>
        <v>0</v>
      </c>
      <c r="AN676" s="403">
        <f>'Portefeuille SP2'!Z701</f>
        <v>0</v>
      </c>
      <c r="AO676" s="403">
        <f>'Portefeuille SP2'!AA701</f>
        <v>0</v>
      </c>
      <c r="AP676" s="403">
        <f>'Portefeuille SP2'!AB701</f>
        <v>0</v>
      </c>
      <c r="AQ676" s="403">
        <f>'Portefeuille SP2'!AC701</f>
        <v>0</v>
      </c>
      <c r="AR676" s="403">
        <f>'Portefeuille SP2'!AD701</f>
        <v>0</v>
      </c>
      <c r="AS676" s="403">
        <f>'Portefeuille SP2'!AE701</f>
        <v>0</v>
      </c>
      <c r="AT676" s="403">
        <f>'Portefeuille SP2'!AF701</f>
        <v>0</v>
      </c>
      <c r="AU676" s="403">
        <f>'Portefeuille SP2'!AG701</f>
        <v>0</v>
      </c>
      <c r="AV676" s="403">
        <f>'Portefeuille SP2'!AH701</f>
        <v>0</v>
      </c>
      <c r="AW676" s="403">
        <f>'Portefeuille SP2'!AI701</f>
        <v>0</v>
      </c>
      <c r="AX676" s="403">
        <f>'Portefeuille SP2'!AJ701</f>
        <v>0</v>
      </c>
      <c r="AY676" s="403">
        <f>'Portefeuille SP2'!AK701</f>
        <v>0</v>
      </c>
      <c r="AZ676" s="403">
        <f>'Portefeuille SP2'!AL701</f>
        <v>0</v>
      </c>
      <c r="BA676" s="403">
        <f>'Portefeuille SP2'!AM701</f>
        <v>0</v>
      </c>
      <c r="BB676" s="403">
        <f>'Portefeuille SP2'!AN701</f>
        <v>0</v>
      </c>
      <c r="BC676" s="403">
        <f>'Portefeuille SP2'!AO701</f>
        <v>0</v>
      </c>
      <c r="BD676" s="403">
        <f>'Portefeuille SP2'!AP701</f>
        <v>0</v>
      </c>
      <c r="BE676" s="403">
        <f>'Portefeuille SP2'!AQ701</f>
        <v>0</v>
      </c>
      <c r="BF676" s="403">
        <f>'Portefeuille SP2'!AR701</f>
        <v>0</v>
      </c>
      <c r="BG676" s="403" t="e">
        <f>'Portefeuille SP2'!#REF!</f>
        <v>#REF!</v>
      </c>
      <c r="BH676" s="403" t="e">
        <f>'Portefeuille SP2'!#REF!</f>
        <v>#REF!</v>
      </c>
      <c r="BI676" s="403" t="e">
        <f>'Portefeuille SP2'!#REF!</f>
        <v>#REF!</v>
      </c>
      <c r="BJ676" s="403" t="e">
        <f>'Portefeuille SP2'!#REF!</f>
        <v>#REF!</v>
      </c>
      <c r="BK676" s="403" t="e">
        <f>'Portefeuille SP2'!#REF!</f>
        <v>#REF!</v>
      </c>
      <c r="BL676" s="388"/>
      <c r="BM676" s="404">
        <f>'Portefeuille SP2'!L701</f>
        <v>0</v>
      </c>
    </row>
    <row r="677" spans="1:65" ht="15" customHeight="1">
      <c r="A677" s="383">
        <f>'Portefeuille SP2'!B702</f>
        <v>0</v>
      </c>
      <c r="B677" s="390">
        <f>'Portefeuille SP2'!Q702</f>
        <v>0</v>
      </c>
      <c r="C677" s="384"/>
      <c r="D677" s="382">
        <f>'Portefeuille SP2'!E702</f>
        <v>0</v>
      </c>
      <c r="E677" s="382" t="str">
        <f t="shared" si="41"/>
        <v>0</v>
      </c>
      <c r="F677" s="382" t="str">
        <f t="shared" si="42"/>
        <v/>
      </c>
      <c r="G677" s="382">
        <f>'Portefeuille SP2'!C702</f>
        <v>0</v>
      </c>
      <c r="H677" s="382">
        <f>'Portefeuille SP2'!F702</f>
        <v>0</v>
      </c>
      <c r="I677" s="382"/>
      <c r="J677" s="382">
        <f>'Portefeuille SP2'!D702</f>
        <v>0</v>
      </c>
      <c r="K677" s="385">
        <f>'Portefeuille SP2'!H702</f>
        <v>0</v>
      </c>
      <c r="L677" s="157">
        <f>'Portefeuille SP2'!U702</f>
        <v>0</v>
      </c>
      <c r="M677" s="386"/>
      <c r="N677" s="386"/>
      <c r="O677" s="386"/>
      <c r="P677" s="387">
        <f>'Portefeuille SP2'!M702</f>
        <v>0</v>
      </c>
      <c r="Q677" s="387"/>
      <c r="R677" s="387">
        <f>'Portefeuille SP2'!N702</f>
        <v>0</v>
      </c>
      <c r="S677" s="387"/>
      <c r="T677" s="382">
        <f>'Portefeuille SP2'!R702</f>
        <v>0</v>
      </c>
      <c r="U677" s="387">
        <f>'Portefeuille SP2'!K702</f>
        <v>0</v>
      </c>
      <c r="V677" s="399">
        <f>'Portefeuille SP2'!S702</f>
        <v>0</v>
      </c>
      <c r="W677" s="387"/>
      <c r="X677" s="387"/>
      <c r="Y677" s="387"/>
      <c r="Z677" s="387"/>
      <c r="AA677" s="387"/>
      <c r="AB677" s="387"/>
      <c r="AC677" s="387"/>
      <c r="AD677" s="387"/>
      <c r="AE677" s="400">
        <f>'Portefeuille SP2'!J702</f>
        <v>0</v>
      </c>
      <c r="AF677" s="387"/>
      <c r="AG677" s="387"/>
      <c r="AH677" s="389"/>
      <c r="AI677" s="389"/>
      <c r="AJ677" s="403">
        <f>'Portefeuille SP2'!V702</f>
        <v>0</v>
      </c>
      <c r="AK677" s="403">
        <f>'Portefeuille SP2'!W702</f>
        <v>0</v>
      </c>
      <c r="AL677" s="403">
        <f>'Portefeuille SP2'!X702</f>
        <v>0</v>
      </c>
      <c r="AM677" s="403">
        <f>'Portefeuille SP2'!Y702</f>
        <v>0</v>
      </c>
      <c r="AN677" s="403">
        <f>'Portefeuille SP2'!Z702</f>
        <v>0</v>
      </c>
      <c r="AO677" s="403">
        <f>'Portefeuille SP2'!AA702</f>
        <v>0</v>
      </c>
      <c r="AP677" s="403">
        <f>'Portefeuille SP2'!AB702</f>
        <v>0</v>
      </c>
      <c r="AQ677" s="403">
        <f>'Portefeuille SP2'!AC702</f>
        <v>0</v>
      </c>
      <c r="AR677" s="403">
        <f>'Portefeuille SP2'!AD702</f>
        <v>0</v>
      </c>
      <c r="AS677" s="403">
        <f>'Portefeuille SP2'!AE702</f>
        <v>0</v>
      </c>
      <c r="AT677" s="403">
        <f>'Portefeuille SP2'!AF702</f>
        <v>0</v>
      </c>
      <c r="AU677" s="403">
        <f>'Portefeuille SP2'!AG702</f>
        <v>0</v>
      </c>
      <c r="AV677" s="403">
        <f>'Portefeuille SP2'!AH702</f>
        <v>0</v>
      </c>
      <c r="AW677" s="403">
        <f>'Portefeuille SP2'!AI702</f>
        <v>0</v>
      </c>
      <c r="AX677" s="403">
        <f>'Portefeuille SP2'!AJ702</f>
        <v>0</v>
      </c>
      <c r="AY677" s="403">
        <f>'Portefeuille SP2'!AK702</f>
        <v>0</v>
      </c>
      <c r="AZ677" s="403">
        <f>'Portefeuille SP2'!AL702</f>
        <v>0</v>
      </c>
      <c r="BA677" s="403">
        <f>'Portefeuille SP2'!AM702</f>
        <v>0</v>
      </c>
      <c r="BB677" s="403">
        <f>'Portefeuille SP2'!AN702</f>
        <v>0</v>
      </c>
      <c r="BC677" s="403">
        <f>'Portefeuille SP2'!AO702</f>
        <v>0</v>
      </c>
      <c r="BD677" s="403">
        <f>'Portefeuille SP2'!AP702</f>
        <v>0</v>
      </c>
      <c r="BE677" s="403">
        <f>'Portefeuille SP2'!AQ702</f>
        <v>0</v>
      </c>
      <c r="BF677" s="403">
        <f>'Portefeuille SP2'!AR702</f>
        <v>0</v>
      </c>
      <c r="BG677" s="403" t="e">
        <f>'Portefeuille SP2'!#REF!</f>
        <v>#REF!</v>
      </c>
      <c r="BH677" s="403" t="e">
        <f>'Portefeuille SP2'!#REF!</f>
        <v>#REF!</v>
      </c>
      <c r="BI677" s="403" t="e">
        <f>'Portefeuille SP2'!#REF!</f>
        <v>#REF!</v>
      </c>
      <c r="BJ677" s="403" t="e">
        <f>'Portefeuille SP2'!#REF!</f>
        <v>#REF!</v>
      </c>
      <c r="BK677" s="403" t="e">
        <f>'Portefeuille SP2'!#REF!</f>
        <v>#REF!</v>
      </c>
      <c r="BL677" s="388"/>
      <c r="BM677" s="404">
        <f>'Portefeuille SP2'!L702</f>
        <v>0</v>
      </c>
    </row>
    <row r="678" spans="1:65" ht="15" customHeight="1">
      <c r="A678" s="383">
        <f>'Portefeuille SP2'!B703</f>
        <v>0</v>
      </c>
      <c r="B678" s="390">
        <f>'Portefeuille SP2'!Q703</f>
        <v>0</v>
      </c>
      <c r="C678" s="384"/>
      <c r="D678" s="382">
        <f>'Portefeuille SP2'!E703</f>
        <v>0</v>
      </c>
      <c r="E678" s="382" t="str">
        <f t="shared" si="41"/>
        <v>0</v>
      </c>
      <c r="F678" s="382" t="str">
        <f t="shared" si="42"/>
        <v/>
      </c>
      <c r="G678" s="382">
        <f>'Portefeuille SP2'!C703</f>
        <v>0</v>
      </c>
      <c r="H678" s="382">
        <f>'Portefeuille SP2'!F703</f>
        <v>0</v>
      </c>
      <c r="I678" s="382"/>
      <c r="J678" s="382">
        <f>'Portefeuille SP2'!D703</f>
        <v>0</v>
      </c>
      <c r="K678" s="385">
        <f>'Portefeuille SP2'!H703</f>
        <v>0</v>
      </c>
      <c r="L678" s="157">
        <f>'Portefeuille SP2'!U703</f>
        <v>0</v>
      </c>
      <c r="M678" s="386"/>
      <c r="N678" s="386"/>
      <c r="O678" s="386"/>
      <c r="P678" s="387">
        <f>'Portefeuille SP2'!M703</f>
        <v>0</v>
      </c>
      <c r="Q678" s="387"/>
      <c r="R678" s="387">
        <f>'Portefeuille SP2'!N703</f>
        <v>0</v>
      </c>
      <c r="S678" s="387"/>
      <c r="T678" s="382">
        <f>'Portefeuille SP2'!R703</f>
        <v>0</v>
      </c>
      <c r="U678" s="387">
        <f>'Portefeuille SP2'!K703</f>
        <v>0</v>
      </c>
      <c r="V678" s="399">
        <f>'Portefeuille SP2'!S703</f>
        <v>0</v>
      </c>
      <c r="W678" s="387"/>
      <c r="X678" s="387"/>
      <c r="Y678" s="387"/>
      <c r="Z678" s="387"/>
      <c r="AA678" s="387"/>
      <c r="AB678" s="387"/>
      <c r="AC678" s="387"/>
      <c r="AD678" s="387"/>
      <c r="AE678" s="400">
        <f>'Portefeuille SP2'!J703</f>
        <v>0</v>
      </c>
      <c r="AF678" s="387"/>
      <c r="AG678" s="387"/>
      <c r="AH678" s="389"/>
      <c r="AI678" s="389"/>
      <c r="AJ678" s="403">
        <f>'Portefeuille SP2'!V703</f>
        <v>0</v>
      </c>
      <c r="AK678" s="403">
        <f>'Portefeuille SP2'!W703</f>
        <v>0</v>
      </c>
      <c r="AL678" s="403">
        <f>'Portefeuille SP2'!X703</f>
        <v>0</v>
      </c>
      <c r="AM678" s="403">
        <f>'Portefeuille SP2'!Y703</f>
        <v>0</v>
      </c>
      <c r="AN678" s="403">
        <f>'Portefeuille SP2'!Z703</f>
        <v>0</v>
      </c>
      <c r="AO678" s="403">
        <f>'Portefeuille SP2'!AA703</f>
        <v>0</v>
      </c>
      <c r="AP678" s="403">
        <f>'Portefeuille SP2'!AB703</f>
        <v>0</v>
      </c>
      <c r="AQ678" s="403">
        <f>'Portefeuille SP2'!AC703</f>
        <v>0</v>
      </c>
      <c r="AR678" s="403">
        <f>'Portefeuille SP2'!AD703</f>
        <v>0</v>
      </c>
      <c r="AS678" s="403">
        <f>'Portefeuille SP2'!AE703</f>
        <v>0</v>
      </c>
      <c r="AT678" s="403">
        <f>'Portefeuille SP2'!AF703</f>
        <v>0</v>
      </c>
      <c r="AU678" s="403">
        <f>'Portefeuille SP2'!AG703</f>
        <v>0</v>
      </c>
      <c r="AV678" s="403">
        <f>'Portefeuille SP2'!AH703</f>
        <v>0</v>
      </c>
      <c r="AW678" s="403">
        <f>'Portefeuille SP2'!AI703</f>
        <v>0</v>
      </c>
      <c r="AX678" s="403">
        <f>'Portefeuille SP2'!AJ703</f>
        <v>0</v>
      </c>
      <c r="AY678" s="403">
        <f>'Portefeuille SP2'!AK703</f>
        <v>0</v>
      </c>
      <c r="AZ678" s="403">
        <f>'Portefeuille SP2'!AL703</f>
        <v>0</v>
      </c>
      <c r="BA678" s="403">
        <f>'Portefeuille SP2'!AM703</f>
        <v>0</v>
      </c>
      <c r="BB678" s="403">
        <f>'Portefeuille SP2'!AN703</f>
        <v>0</v>
      </c>
      <c r="BC678" s="403">
        <f>'Portefeuille SP2'!AO703</f>
        <v>0</v>
      </c>
      <c r="BD678" s="403">
        <f>'Portefeuille SP2'!AP703</f>
        <v>0</v>
      </c>
      <c r="BE678" s="403">
        <f>'Portefeuille SP2'!AQ703</f>
        <v>0</v>
      </c>
      <c r="BF678" s="403">
        <f>'Portefeuille SP2'!AR703</f>
        <v>0</v>
      </c>
      <c r="BG678" s="403" t="e">
        <f>'Portefeuille SP2'!#REF!</f>
        <v>#REF!</v>
      </c>
      <c r="BH678" s="403" t="e">
        <f>'Portefeuille SP2'!#REF!</f>
        <v>#REF!</v>
      </c>
      <c r="BI678" s="403" t="e">
        <f>'Portefeuille SP2'!#REF!</f>
        <v>#REF!</v>
      </c>
      <c r="BJ678" s="403" t="e">
        <f>'Portefeuille SP2'!#REF!</f>
        <v>#REF!</v>
      </c>
      <c r="BK678" s="403" t="e">
        <f>'Portefeuille SP2'!#REF!</f>
        <v>#REF!</v>
      </c>
      <c r="BL678" s="388"/>
      <c r="BM678" s="404">
        <f>'Portefeuille SP2'!L703</f>
        <v>0</v>
      </c>
    </row>
    <row r="679" spans="1:65" ht="15" customHeight="1">
      <c r="A679" s="383">
        <f>'Portefeuille SP2'!B704</f>
        <v>0</v>
      </c>
      <c r="B679" s="390">
        <f>'Portefeuille SP2'!Q704</f>
        <v>0</v>
      </c>
      <c r="C679" s="384"/>
      <c r="D679" s="382">
        <f>'Portefeuille SP2'!E704</f>
        <v>0</v>
      </c>
      <c r="E679" s="382" t="str">
        <f t="shared" si="41"/>
        <v>0</v>
      </c>
      <c r="F679" s="382" t="str">
        <f t="shared" si="42"/>
        <v/>
      </c>
      <c r="G679" s="382">
        <f>'Portefeuille SP2'!C704</f>
        <v>0</v>
      </c>
      <c r="H679" s="382">
        <f>'Portefeuille SP2'!F704</f>
        <v>0</v>
      </c>
      <c r="I679" s="382"/>
      <c r="J679" s="382">
        <f>'Portefeuille SP2'!D704</f>
        <v>0</v>
      </c>
      <c r="K679" s="385">
        <f>'Portefeuille SP2'!H704</f>
        <v>0</v>
      </c>
      <c r="L679" s="157">
        <f>'Portefeuille SP2'!U704</f>
        <v>0</v>
      </c>
      <c r="M679" s="386"/>
      <c r="N679" s="386"/>
      <c r="O679" s="386"/>
      <c r="P679" s="387">
        <f>'Portefeuille SP2'!M704</f>
        <v>0</v>
      </c>
      <c r="Q679" s="387"/>
      <c r="R679" s="387">
        <f>'Portefeuille SP2'!N704</f>
        <v>0</v>
      </c>
      <c r="S679" s="387"/>
      <c r="T679" s="382">
        <f>'Portefeuille SP2'!R704</f>
        <v>0</v>
      </c>
      <c r="U679" s="387">
        <f>'Portefeuille SP2'!K704</f>
        <v>0</v>
      </c>
      <c r="V679" s="399">
        <f>'Portefeuille SP2'!S704</f>
        <v>0</v>
      </c>
      <c r="W679" s="387"/>
      <c r="X679" s="387"/>
      <c r="Y679" s="387"/>
      <c r="Z679" s="387"/>
      <c r="AA679" s="387"/>
      <c r="AB679" s="387"/>
      <c r="AC679" s="387"/>
      <c r="AD679" s="387"/>
      <c r="AE679" s="400">
        <f>'Portefeuille SP2'!J704</f>
        <v>0</v>
      </c>
      <c r="AF679" s="387"/>
      <c r="AG679" s="387"/>
      <c r="AH679" s="389"/>
      <c r="AI679" s="389"/>
      <c r="AJ679" s="403">
        <f>'Portefeuille SP2'!V704</f>
        <v>0</v>
      </c>
      <c r="AK679" s="403">
        <f>'Portefeuille SP2'!W704</f>
        <v>0</v>
      </c>
      <c r="AL679" s="403">
        <f>'Portefeuille SP2'!X704</f>
        <v>0</v>
      </c>
      <c r="AM679" s="403">
        <f>'Portefeuille SP2'!Y704</f>
        <v>0</v>
      </c>
      <c r="AN679" s="403">
        <f>'Portefeuille SP2'!Z704</f>
        <v>0</v>
      </c>
      <c r="AO679" s="403">
        <f>'Portefeuille SP2'!AA704</f>
        <v>0</v>
      </c>
      <c r="AP679" s="403">
        <f>'Portefeuille SP2'!AB704</f>
        <v>0</v>
      </c>
      <c r="AQ679" s="403">
        <f>'Portefeuille SP2'!AC704</f>
        <v>0</v>
      </c>
      <c r="AR679" s="403">
        <f>'Portefeuille SP2'!AD704</f>
        <v>0</v>
      </c>
      <c r="AS679" s="403">
        <f>'Portefeuille SP2'!AE704</f>
        <v>0</v>
      </c>
      <c r="AT679" s="403">
        <f>'Portefeuille SP2'!AF704</f>
        <v>0</v>
      </c>
      <c r="AU679" s="403">
        <f>'Portefeuille SP2'!AG704</f>
        <v>0</v>
      </c>
      <c r="AV679" s="403">
        <f>'Portefeuille SP2'!AH704</f>
        <v>0</v>
      </c>
      <c r="AW679" s="403">
        <f>'Portefeuille SP2'!AI704</f>
        <v>0</v>
      </c>
      <c r="AX679" s="403">
        <f>'Portefeuille SP2'!AJ704</f>
        <v>0</v>
      </c>
      <c r="AY679" s="403">
        <f>'Portefeuille SP2'!AK704</f>
        <v>0</v>
      </c>
      <c r="AZ679" s="403">
        <f>'Portefeuille SP2'!AL704</f>
        <v>0</v>
      </c>
      <c r="BA679" s="403">
        <f>'Portefeuille SP2'!AM704</f>
        <v>0</v>
      </c>
      <c r="BB679" s="403">
        <f>'Portefeuille SP2'!AN704</f>
        <v>0</v>
      </c>
      <c r="BC679" s="403">
        <f>'Portefeuille SP2'!AO704</f>
        <v>0</v>
      </c>
      <c r="BD679" s="403">
        <f>'Portefeuille SP2'!AP704</f>
        <v>0</v>
      </c>
      <c r="BE679" s="403">
        <f>'Portefeuille SP2'!AQ704</f>
        <v>0</v>
      </c>
      <c r="BF679" s="403">
        <f>'Portefeuille SP2'!AR704</f>
        <v>0</v>
      </c>
      <c r="BG679" s="403" t="e">
        <f>'Portefeuille SP2'!#REF!</f>
        <v>#REF!</v>
      </c>
      <c r="BH679" s="403" t="e">
        <f>'Portefeuille SP2'!#REF!</f>
        <v>#REF!</v>
      </c>
      <c r="BI679" s="403" t="e">
        <f>'Portefeuille SP2'!#REF!</f>
        <v>#REF!</v>
      </c>
      <c r="BJ679" s="403" t="e">
        <f>'Portefeuille SP2'!#REF!</f>
        <v>#REF!</v>
      </c>
      <c r="BK679" s="403" t="e">
        <f>'Portefeuille SP2'!#REF!</f>
        <v>#REF!</v>
      </c>
      <c r="BL679" s="388"/>
      <c r="BM679" s="404">
        <f>'Portefeuille SP2'!L704</f>
        <v>0</v>
      </c>
    </row>
    <row r="680" spans="1:65" ht="15" customHeight="1">
      <c r="A680" s="383">
        <f>'Portefeuille SP2'!B705</f>
        <v>0</v>
      </c>
      <c r="B680" s="390">
        <f>'Portefeuille SP2'!Q705</f>
        <v>0</v>
      </c>
      <c r="C680" s="384"/>
      <c r="D680" s="382">
        <f>'Portefeuille SP2'!E705</f>
        <v>0</v>
      </c>
      <c r="E680" s="382" t="str">
        <f t="shared" si="41"/>
        <v>0</v>
      </c>
      <c r="F680" s="382" t="str">
        <f t="shared" si="42"/>
        <v/>
      </c>
      <c r="G680" s="382">
        <f>'Portefeuille SP2'!C705</f>
        <v>0</v>
      </c>
      <c r="H680" s="382">
        <f>'Portefeuille SP2'!F705</f>
        <v>0</v>
      </c>
      <c r="I680" s="382"/>
      <c r="J680" s="382">
        <f>'Portefeuille SP2'!D705</f>
        <v>0</v>
      </c>
      <c r="K680" s="385">
        <f>'Portefeuille SP2'!H705</f>
        <v>0</v>
      </c>
      <c r="L680" s="157">
        <f>'Portefeuille SP2'!U705</f>
        <v>0</v>
      </c>
      <c r="M680" s="386"/>
      <c r="N680" s="386"/>
      <c r="O680" s="386"/>
      <c r="P680" s="387">
        <f>'Portefeuille SP2'!M705</f>
        <v>0</v>
      </c>
      <c r="Q680" s="387"/>
      <c r="R680" s="387">
        <f>'Portefeuille SP2'!N705</f>
        <v>0</v>
      </c>
      <c r="S680" s="387"/>
      <c r="T680" s="382">
        <f>'Portefeuille SP2'!R705</f>
        <v>0</v>
      </c>
      <c r="U680" s="387">
        <f>'Portefeuille SP2'!K705</f>
        <v>0</v>
      </c>
      <c r="V680" s="399">
        <f>'Portefeuille SP2'!S705</f>
        <v>0</v>
      </c>
      <c r="W680" s="387"/>
      <c r="X680" s="387"/>
      <c r="Y680" s="387"/>
      <c r="Z680" s="387"/>
      <c r="AA680" s="387"/>
      <c r="AB680" s="387"/>
      <c r="AC680" s="387"/>
      <c r="AD680" s="387"/>
      <c r="AE680" s="400">
        <f>'Portefeuille SP2'!J705</f>
        <v>0</v>
      </c>
      <c r="AF680" s="387"/>
      <c r="AG680" s="387"/>
      <c r="AH680" s="389"/>
      <c r="AI680" s="389"/>
      <c r="AJ680" s="403">
        <f>'Portefeuille SP2'!V705</f>
        <v>0</v>
      </c>
      <c r="AK680" s="403">
        <f>'Portefeuille SP2'!W705</f>
        <v>0</v>
      </c>
      <c r="AL680" s="403">
        <f>'Portefeuille SP2'!X705</f>
        <v>0</v>
      </c>
      <c r="AM680" s="403">
        <f>'Portefeuille SP2'!Y705</f>
        <v>0</v>
      </c>
      <c r="AN680" s="403">
        <f>'Portefeuille SP2'!Z705</f>
        <v>0</v>
      </c>
      <c r="AO680" s="403">
        <f>'Portefeuille SP2'!AA705</f>
        <v>0</v>
      </c>
      <c r="AP680" s="403">
        <f>'Portefeuille SP2'!AB705</f>
        <v>0</v>
      </c>
      <c r="AQ680" s="403">
        <f>'Portefeuille SP2'!AC705</f>
        <v>0</v>
      </c>
      <c r="AR680" s="403">
        <f>'Portefeuille SP2'!AD705</f>
        <v>0</v>
      </c>
      <c r="AS680" s="403">
        <f>'Portefeuille SP2'!AE705</f>
        <v>0</v>
      </c>
      <c r="AT680" s="403">
        <f>'Portefeuille SP2'!AF705</f>
        <v>0</v>
      </c>
      <c r="AU680" s="403">
        <f>'Portefeuille SP2'!AG705</f>
        <v>0</v>
      </c>
      <c r="AV680" s="403">
        <f>'Portefeuille SP2'!AH705</f>
        <v>0</v>
      </c>
      <c r="AW680" s="403">
        <f>'Portefeuille SP2'!AI705</f>
        <v>0</v>
      </c>
      <c r="AX680" s="403">
        <f>'Portefeuille SP2'!AJ705</f>
        <v>0</v>
      </c>
      <c r="AY680" s="403">
        <f>'Portefeuille SP2'!AK705</f>
        <v>0</v>
      </c>
      <c r="AZ680" s="403">
        <f>'Portefeuille SP2'!AL705</f>
        <v>0</v>
      </c>
      <c r="BA680" s="403">
        <f>'Portefeuille SP2'!AM705</f>
        <v>0</v>
      </c>
      <c r="BB680" s="403">
        <f>'Portefeuille SP2'!AN705</f>
        <v>0</v>
      </c>
      <c r="BC680" s="403">
        <f>'Portefeuille SP2'!AO705</f>
        <v>0</v>
      </c>
      <c r="BD680" s="403">
        <f>'Portefeuille SP2'!AP705</f>
        <v>0</v>
      </c>
      <c r="BE680" s="403">
        <f>'Portefeuille SP2'!AQ705</f>
        <v>0</v>
      </c>
      <c r="BF680" s="403">
        <f>'Portefeuille SP2'!AR705</f>
        <v>0</v>
      </c>
      <c r="BG680" s="403" t="e">
        <f>'Portefeuille SP2'!#REF!</f>
        <v>#REF!</v>
      </c>
      <c r="BH680" s="403" t="e">
        <f>'Portefeuille SP2'!#REF!</f>
        <v>#REF!</v>
      </c>
      <c r="BI680" s="403" t="e">
        <f>'Portefeuille SP2'!#REF!</f>
        <v>#REF!</v>
      </c>
      <c r="BJ680" s="403" t="e">
        <f>'Portefeuille SP2'!#REF!</f>
        <v>#REF!</v>
      </c>
      <c r="BK680" s="403" t="e">
        <f>'Portefeuille SP2'!#REF!</f>
        <v>#REF!</v>
      </c>
      <c r="BL680" s="388"/>
      <c r="BM680" s="404">
        <f>'Portefeuille SP2'!L705</f>
        <v>0</v>
      </c>
    </row>
    <row r="681" spans="1:65" ht="15" customHeight="1">
      <c r="A681" s="383">
        <f>'Portefeuille SP2'!B706</f>
        <v>0</v>
      </c>
      <c r="B681" s="390">
        <f>'Portefeuille SP2'!Q706</f>
        <v>0</v>
      </c>
      <c r="C681" s="384"/>
      <c r="D681" s="382">
        <f>'Portefeuille SP2'!E706</f>
        <v>0</v>
      </c>
      <c r="E681" s="382" t="str">
        <f t="shared" si="41"/>
        <v>0</v>
      </c>
      <c r="F681" s="382" t="str">
        <f t="shared" si="42"/>
        <v/>
      </c>
      <c r="G681" s="382">
        <f>'Portefeuille SP2'!C706</f>
        <v>0</v>
      </c>
      <c r="H681" s="382">
        <f>'Portefeuille SP2'!F706</f>
        <v>0</v>
      </c>
      <c r="I681" s="382"/>
      <c r="J681" s="382">
        <f>'Portefeuille SP2'!D706</f>
        <v>0</v>
      </c>
      <c r="K681" s="385">
        <f>'Portefeuille SP2'!H706</f>
        <v>0</v>
      </c>
      <c r="L681" s="157">
        <f>'Portefeuille SP2'!U706</f>
        <v>0</v>
      </c>
      <c r="M681" s="386"/>
      <c r="N681" s="386"/>
      <c r="O681" s="386"/>
      <c r="P681" s="387">
        <f>'Portefeuille SP2'!M706</f>
        <v>0</v>
      </c>
      <c r="Q681" s="387"/>
      <c r="R681" s="387">
        <f>'Portefeuille SP2'!N706</f>
        <v>0</v>
      </c>
      <c r="S681" s="387"/>
      <c r="T681" s="382">
        <f>'Portefeuille SP2'!R706</f>
        <v>0</v>
      </c>
      <c r="U681" s="387">
        <f>'Portefeuille SP2'!K706</f>
        <v>0</v>
      </c>
      <c r="V681" s="399">
        <f>'Portefeuille SP2'!S706</f>
        <v>0</v>
      </c>
      <c r="W681" s="387"/>
      <c r="X681" s="387"/>
      <c r="Y681" s="387"/>
      <c r="Z681" s="387"/>
      <c r="AA681" s="387"/>
      <c r="AB681" s="387"/>
      <c r="AC681" s="387"/>
      <c r="AD681" s="387"/>
      <c r="AE681" s="400">
        <f>'Portefeuille SP2'!J706</f>
        <v>0</v>
      </c>
      <c r="AF681" s="387"/>
      <c r="AG681" s="387"/>
      <c r="AH681" s="389"/>
      <c r="AI681" s="389"/>
      <c r="AJ681" s="403">
        <f>'Portefeuille SP2'!V706</f>
        <v>0</v>
      </c>
      <c r="AK681" s="403">
        <f>'Portefeuille SP2'!W706</f>
        <v>0</v>
      </c>
      <c r="AL681" s="403">
        <f>'Portefeuille SP2'!X706</f>
        <v>0</v>
      </c>
      <c r="AM681" s="403">
        <f>'Portefeuille SP2'!Y706</f>
        <v>0</v>
      </c>
      <c r="AN681" s="403">
        <f>'Portefeuille SP2'!Z706</f>
        <v>0</v>
      </c>
      <c r="AO681" s="403">
        <f>'Portefeuille SP2'!AA706</f>
        <v>0</v>
      </c>
      <c r="AP681" s="403">
        <f>'Portefeuille SP2'!AB706</f>
        <v>0</v>
      </c>
      <c r="AQ681" s="403">
        <f>'Portefeuille SP2'!AC706</f>
        <v>0</v>
      </c>
      <c r="AR681" s="403">
        <f>'Portefeuille SP2'!AD706</f>
        <v>0</v>
      </c>
      <c r="AS681" s="403">
        <f>'Portefeuille SP2'!AE706</f>
        <v>0</v>
      </c>
      <c r="AT681" s="403">
        <f>'Portefeuille SP2'!AF706</f>
        <v>0</v>
      </c>
      <c r="AU681" s="403">
        <f>'Portefeuille SP2'!AG706</f>
        <v>0</v>
      </c>
      <c r="AV681" s="403">
        <f>'Portefeuille SP2'!AH706</f>
        <v>0</v>
      </c>
      <c r="AW681" s="403">
        <f>'Portefeuille SP2'!AI706</f>
        <v>0</v>
      </c>
      <c r="AX681" s="403">
        <f>'Portefeuille SP2'!AJ706</f>
        <v>0</v>
      </c>
      <c r="AY681" s="403">
        <f>'Portefeuille SP2'!AK706</f>
        <v>0</v>
      </c>
      <c r="AZ681" s="403">
        <f>'Portefeuille SP2'!AL706</f>
        <v>0</v>
      </c>
      <c r="BA681" s="403">
        <f>'Portefeuille SP2'!AM706</f>
        <v>0</v>
      </c>
      <c r="BB681" s="403">
        <f>'Portefeuille SP2'!AN706</f>
        <v>0</v>
      </c>
      <c r="BC681" s="403">
        <f>'Portefeuille SP2'!AO706</f>
        <v>0</v>
      </c>
      <c r="BD681" s="403">
        <f>'Portefeuille SP2'!AP706</f>
        <v>0</v>
      </c>
      <c r="BE681" s="403">
        <f>'Portefeuille SP2'!AQ706</f>
        <v>0</v>
      </c>
      <c r="BF681" s="403">
        <f>'Portefeuille SP2'!AR706</f>
        <v>0</v>
      </c>
      <c r="BG681" s="403" t="e">
        <f>'Portefeuille SP2'!#REF!</f>
        <v>#REF!</v>
      </c>
      <c r="BH681" s="403" t="e">
        <f>'Portefeuille SP2'!#REF!</f>
        <v>#REF!</v>
      </c>
      <c r="BI681" s="403" t="e">
        <f>'Portefeuille SP2'!#REF!</f>
        <v>#REF!</v>
      </c>
      <c r="BJ681" s="403" t="e">
        <f>'Portefeuille SP2'!#REF!</f>
        <v>#REF!</v>
      </c>
      <c r="BK681" s="403" t="e">
        <f>'Portefeuille SP2'!#REF!</f>
        <v>#REF!</v>
      </c>
      <c r="BL681" s="388"/>
      <c r="BM681" s="404">
        <f>'Portefeuille SP2'!L706</f>
        <v>0</v>
      </c>
    </row>
    <row r="682" spans="1:65" ht="15" customHeight="1">
      <c r="A682" s="383">
        <f>'Portefeuille SP2'!B707</f>
        <v>0</v>
      </c>
      <c r="B682" s="390">
        <f>'Portefeuille SP2'!Q707</f>
        <v>0</v>
      </c>
      <c r="C682" s="384"/>
      <c r="D682" s="382">
        <f>'Portefeuille SP2'!E707</f>
        <v>0</v>
      </c>
      <c r="E682" s="382" t="str">
        <f t="shared" si="41"/>
        <v>0</v>
      </c>
      <c r="F682" s="382" t="str">
        <f t="shared" si="42"/>
        <v/>
      </c>
      <c r="G682" s="382">
        <f>'Portefeuille SP2'!C707</f>
        <v>0</v>
      </c>
      <c r="H682" s="382">
        <f>'Portefeuille SP2'!F707</f>
        <v>0</v>
      </c>
      <c r="I682" s="382"/>
      <c r="J682" s="382">
        <f>'Portefeuille SP2'!D707</f>
        <v>0</v>
      </c>
      <c r="K682" s="385">
        <f>'Portefeuille SP2'!H707</f>
        <v>0</v>
      </c>
      <c r="L682" s="157">
        <f>'Portefeuille SP2'!U707</f>
        <v>0</v>
      </c>
      <c r="M682" s="386"/>
      <c r="N682" s="386"/>
      <c r="O682" s="386"/>
      <c r="P682" s="387">
        <f>'Portefeuille SP2'!M707</f>
        <v>0</v>
      </c>
      <c r="Q682" s="387"/>
      <c r="R682" s="387">
        <f>'Portefeuille SP2'!N707</f>
        <v>0</v>
      </c>
      <c r="S682" s="387"/>
      <c r="T682" s="382">
        <f>'Portefeuille SP2'!R707</f>
        <v>0</v>
      </c>
      <c r="U682" s="387">
        <f>'Portefeuille SP2'!K707</f>
        <v>0</v>
      </c>
      <c r="V682" s="399">
        <f>'Portefeuille SP2'!S707</f>
        <v>0</v>
      </c>
      <c r="W682" s="387"/>
      <c r="X682" s="387"/>
      <c r="Y682" s="387"/>
      <c r="Z682" s="387"/>
      <c r="AA682" s="387"/>
      <c r="AB682" s="387"/>
      <c r="AC682" s="387"/>
      <c r="AD682" s="387"/>
      <c r="AE682" s="400">
        <f>'Portefeuille SP2'!J707</f>
        <v>0</v>
      </c>
      <c r="AF682" s="387"/>
      <c r="AG682" s="387"/>
      <c r="AH682" s="389"/>
      <c r="AI682" s="389"/>
      <c r="AJ682" s="403">
        <f>'Portefeuille SP2'!V707</f>
        <v>0</v>
      </c>
      <c r="AK682" s="403">
        <f>'Portefeuille SP2'!W707</f>
        <v>0</v>
      </c>
      <c r="AL682" s="403">
        <f>'Portefeuille SP2'!X707</f>
        <v>0</v>
      </c>
      <c r="AM682" s="403">
        <f>'Portefeuille SP2'!Y707</f>
        <v>0</v>
      </c>
      <c r="AN682" s="403">
        <f>'Portefeuille SP2'!Z707</f>
        <v>0</v>
      </c>
      <c r="AO682" s="403">
        <f>'Portefeuille SP2'!AA707</f>
        <v>0</v>
      </c>
      <c r="AP682" s="403">
        <f>'Portefeuille SP2'!AB707</f>
        <v>0</v>
      </c>
      <c r="AQ682" s="403">
        <f>'Portefeuille SP2'!AC707</f>
        <v>0</v>
      </c>
      <c r="AR682" s="403">
        <f>'Portefeuille SP2'!AD707</f>
        <v>0</v>
      </c>
      <c r="AS682" s="403">
        <f>'Portefeuille SP2'!AE707</f>
        <v>0</v>
      </c>
      <c r="AT682" s="403">
        <f>'Portefeuille SP2'!AF707</f>
        <v>0</v>
      </c>
      <c r="AU682" s="403">
        <f>'Portefeuille SP2'!AG707</f>
        <v>0</v>
      </c>
      <c r="AV682" s="403">
        <f>'Portefeuille SP2'!AH707</f>
        <v>0</v>
      </c>
      <c r="AW682" s="403">
        <f>'Portefeuille SP2'!AI707</f>
        <v>0</v>
      </c>
      <c r="AX682" s="403">
        <f>'Portefeuille SP2'!AJ707</f>
        <v>0</v>
      </c>
      <c r="AY682" s="403">
        <f>'Portefeuille SP2'!AK707</f>
        <v>0</v>
      </c>
      <c r="AZ682" s="403">
        <f>'Portefeuille SP2'!AL707</f>
        <v>0</v>
      </c>
      <c r="BA682" s="403">
        <f>'Portefeuille SP2'!AM707</f>
        <v>0</v>
      </c>
      <c r="BB682" s="403">
        <f>'Portefeuille SP2'!AN707</f>
        <v>0</v>
      </c>
      <c r="BC682" s="403">
        <f>'Portefeuille SP2'!AO707</f>
        <v>0</v>
      </c>
      <c r="BD682" s="403">
        <f>'Portefeuille SP2'!AP707</f>
        <v>0</v>
      </c>
      <c r="BE682" s="403">
        <f>'Portefeuille SP2'!AQ707</f>
        <v>0</v>
      </c>
      <c r="BF682" s="403">
        <f>'Portefeuille SP2'!AR707</f>
        <v>0</v>
      </c>
      <c r="BG682" s="403" t="e">
        <f>'Portefeuille SP2'!#REF!</f>
        <v>#REF!</v>
      </c>
      <c r="BH682" s="403" t="e">
        <f>'Portefeuille SP2'!#REF!</f>
        <v>#REF!</v>
      </c>
      <c r="BI682" s="403" t="e">
        <f>'Portefeuille SP2'!#REF!</f>
        <v>#REF!</v>
      </c>
      <c r="BJ682" s="403" t="e">
        <f>'Portefeuille SP2'!#REF!</f>
        <v>#REF!</v>
      </c>
      <c r="BK682" s="403" t="e">
        <f>'Portefeuille SP2'!#REF!</f>
        <v>#REF!</v>
      </c>
      <c r="BL682" s="388"/>
      <c r="BM682" s="404">
        <f>'Portefeuille SP2'!L707</f>
        <v>0</v>
      </c>
    </row>
    <row r="683" spans="1:65" ht="15" customHeight="1">
      <c r="A683" s="383">
        <f>'Portefeuille SP2'!B708</f>
        <v>0</v>
      </c>
      <c r="B683" s="390">
        <f>'Portefeuille SP2'!Q708</f>
        <v>0</v>
      </c>
      <c r="C683" s="384"/>
      <c r="D683" s="382">
        <f>'Portefeuille SP2'!E708</f>
        <v>0</v>
      </c>
      <c r="E683" s="382" t="str">
        <f t="shared" si="41"/>
        <v>0</v>
      </c>
      <c r="F683" s="382" t="str">
        <f t="shared" si="42"/>
        <v/>
      </c>
      <c r="G683" s="382">
        <f>'Portefeuille SP2'!C708</f>
        <v>0</v>
      </c>
      <c r="H683" s="382">
        <f>'Portefeuille SP2'!F708</f>
        <v>0</v>
      </c>
      <c r="I683" s="382"/>
      <c r="J683" s="382">
        <f>'Portefeuille SP2'!D708</f>
        <v>0</v>
      </c>
      <c r="K683" s="385">
        <f>'Portefeuille SP2'!H708</f>
        <v>0</v>
      </c>
      <c r="L683" s="157">
        <f>'Portefeuille SP2'!U708</f>
        <v>0</v>
      </c>
      <c r="M683" s="386"/>
      <c r="N683" s="386"/>
      <c r="O683" s="386"/>
      <c r="P683" s="387">
        <f>'Portefeuille SP2'!M708</f>
        <v>0</v>
      </c>
      <c r="Q683" s="387"/>
      <c r="R683" s="387">
        <f>'Portefeuille SP2'!N708</f>
        <v>0</v>
      </c>
      <c r="S683" s="387"/>
      <c r="T683" s="382">
        <f>'Portefeuille SP2'!R708</f>
        <v>0</v>
      </c>
      <c r="U683" s="387">
        <f>'Portefeuille SP2'!K708</f>
        <v>0</v>
      </c>
      <c r="V683" s="399">
        <f>'Portefeuille SP2'!S708</f>
        <v>0</v>
      </c>
      <c r="W683" s="387"/>
      <c r="X683" s="387"/>
      <c r="Y683" s="387"/>
      <c r="Z683" s="387"/>
      <c r="AA683" s="387"/>
      <c r="AB683" s="387"/>
      <c r="AC683" s="387"/>
      <c r="AD683" s="387"/>
      <c r="AE683" s="400">
        <f>'Portefeuille SP2'!J708</f>
        <v>0</v>
      </c>
      <c r="AF683" s="387"/>
      <c r="AG683" s="387"/>
      <c r="AH683" s="389"/>
      <c r="AI683" s="389"/>
      <c r="AJ683" s="403">
        <f>'Portefeuille SP2'!V708</f>
        <v>0</v>
      </c>
      <c r="AK683" s="403">
        <f>'Portefeuille SP2'!W708</f>
        <v>0</v>
      </c>
      <c r="AL683" s="403">
        <f>'Portefeuille SP2'!X708</f>
        <v>0</v>
      </c>
      <c r="AM683" s="403">
        <f>'Portefeuille SP2'!Y708</f>
        <v>0</v>
      </c>
      <c r="AN683" s="403">
        <f>'Portefeuille SP2'!Z708</f>
        <v>0</v>
      </c>
      <c r="AO683" s="403">
        <f>'Portefeuille SP2'!AA708</f>
        <v>0</v>
      </c>
      <c r="AP683" s="403">
        <f>'Portefeuille SP2'!AB708</f>
        <v>0</v>
      </c>
      <c r="AQ683" s="403">
        <f>'Portefeuille SP2'!AC708</f>
        <v>0</v>
      </c>
      <c r="AR683" s="403">
        <f>'Portefeuille SP2'!AD708</f>
        <v>0</v>
      </c>
      <c r="AS683" s="403">
        <f>'Portefeuille SP2'!AE708</f>
        <v>0</v>
      </c>
      <c r="AT683" s="403">
        <f>'Portefeuille SP2'!AF708</f>
        <v>0</v>
      </c>
      <c r="AU683" s="403">
        <f>'Portefeuille SP2'!AG708</f>
        <v>0</v>
      </c>
      <c r="AV683" s="403">
        <f>'Portefeuille SP2'!AH708</f>
        <v>0</v>
      </c>
      <c r="AW683" s="403">
        <f>'Portefeuille SP2'!AI708</f>
        <v>0</v>
      </c>
      <c r="AX683" s="403">
        <f>'Portefeuille SP2'!AJ708</f>
        <v>0</v>
      </c>
      <c r="AY683" s="403">
        <f>'Portefeuille SP2'!AK708</f>
        <v>0</v>
      </c>
      <c r="AZ683" s="403">
        <f>'Portefeuille SP2'!AL708</f>
        <v>0</v>
      </c>
      <c r="BA683" s="403">
        <f>'Portefeuille SP2'!AM708</f>
        <v>0</v>
      </c>
      <c r="BB683" s="403">
        <f>'Portefeuille SP2'!AN708</f>
        <v>0</v>
      </c>
      <c r="BC683" s="403">
        <f>'Portefeuille SP2'!AO708</f>
        <v>0</v>
      </c>
      <c r="BD683" s="403">
        <f>'Portefeuille SP2'!AP708</f>
        <v>0</v>
      </c>
      <c r="BE683" s="403">
        <f>'Portefeuille SP2'!AQ708</f>
        <v>0</v>
      </c>
      <c r="BF683" s="403">
        <f>'Portefeuille SP2'!AR708</f>
        <v>0</v>
      </c>
      <c r="BG683" s="403" t="e">
        <f>'Portefeuille SP2'!#REF!</f>
        <v>#REF!</v>
      </c>
      <c r="BH683" s="403" t="e">
        <f>'Portefeuille SP2'!#REF!</f>
        <v>#REF!</v>
      </c>
      <c r="BI683" s="403" t="e">
        <f>'Portefeuille SP2'!#REF!</f>
        <v>#REF!</v>
      </c>
      <c r="BJ683" s="403" t="e">
        <f>'Portefeuille SP2'!#REF!</f>
        <v>#REF!</v>
      </c>
      <c r="BK683" s="403" t="e">
        <f>'Portefeuille SP2'!#REF!</f>
        <v>#REF!</v>
      </c>
      <c r="BL683" s="388"/>
      <c r="BM683" s="404">
        <f>'Portefeuille SP2'!L708</f>
        <v>0</v>
      </c>
    </row>
    <row r="684" spans="1:65" ht="15" customHeight="1">
      <c r="A684" s="383">
        <f>'Portefeuille SP2'!B709</f>
        <v>0</v>
      </c>
      <c r="B684" s="390">
        <f>'Portefeuille SP2'!Q709</f>
        <v>0</v>
      </c>
      <c r="C684" s="384"/>
      <c r="D684" s="382">
        <f>'Portefeuille SP2'!E709</f>
        <v>0</v>
      </c>
      <c r="E684" s="382" t="str">
        <f t="shared" si="41"/>
        <v>0</v>
      </c>
      <c r="F684" s="382" t="str">
        <f t="shared" si="42"/>
        <v/>
      </c>
      <c r="G684" s="382">
        <f>'Portefeuille SP2'!C709</f>
        <v>0</v>
      </c>
      <c r="H684" s="382">
        <f>'Portefeuille SP2'!F709</f>
        <v>0</v>
      </c>
      <c r="I684" s="382"/>
      <c r="J684" s="382">
        <f>'Portefeuille SP2'!D709</f>
        <v>0</v>
      </c>
      <c r="K684" s="385">
        <f>'Portefeuille SP2'!H709</f>
        <v>0</v>
      </c>
      <c r="L684" s="157">
        <f>'Portefeuille SP2'!U709</f>
        <v>0</v>
      </c>
      <c r="M684" s="386"/>
      <c r="N684" s="386"/>
      <c r="O684" s="386"/>
      <c r="P684" s="387">
        <f>'Portefeuille SP2'!M709</f>
        <v>0</v>
      </c>
      <c r="Q684" s="387"/>
      <c r="R684" s="387">
        <f>'Portefeuille SP2'!N709</f>
        <v>0</v>
      </c>
      <c r="S684" s="387"/>
      <c r="T684" s="382">
        <f>'Portefeuille SP2'!R709</f>
        <v>0</v>
      </c>
      <c r="U684" s="387">
        <f>'Portefeuille SP2'!K709</f>
        <v>0</v>
      </c>
      <c r="V684" s="399">
        <f>'Portefeuille SP2'!S709</f>
        <v>0</v>
      </c>
      <c r="W684" s="387"/>
      <c r="X684" s="387"/>
      <c r="Y684" s="387"/>
      <c r="Z684" s="387"/>
      <c r="AA684" s="387"/>
      <c r="AB684" s="387"/>
      <c r="AC684" s="387"/>
      <c r="AD684" s="387"/>
      <c r="AE684" s="400">
        <f>'Portefeuille SP2'!J709</f>
        <v>0</v>
      </c>
      <c r="AF684" s="387"/>
      <c r="AG684" s="387"/>
      <c r="AH684" s="389"/>
      <c r="AI684" s="389"/>
      <c r="AJ684" s="403">
        <f>'Portefeuille SP2'!V709</f>
        <v>0</v>
      </c>
      <c r="AK684" s="403">
        <f>'Portefeuille SP2'!W709</f>
        <v>0</v>
      </c>
      <c r="AL684" s="403">
        <f>'Portefeuille SP2'!X709</f>
        <v>0</v>
      </c>
      <c r="AM684" s="403">
        <f>'Portefeuille SP2'!Y709</f>
        <v>0</v>
      </c>
      <c r="AN684" s="403">
        <f>'Portefeuille SP2'!Z709</f>
        <v>0</v>
      </c>
      <c r="AO684" s="403">
        <f>'Portefeuille SP2'!AA709</f>
        <v>0</v>
      </c>
      <c r="AP684" s="403">
        <f>'Portefeuille SP2'!AB709</f>
        <v>0</v>
      </c>
      <c r="AQ684" s="403">
        <f>'Portefeuille SP2'!AC709</f>
        <v>0</v>
      </c>
      <c r="AR684" s="403">
        <f>'Portefeuille SP2'!AD709</f>
        <v>0</v>
      </c>
      <c r="AS684" s="403">
        <f>'Portefeuille SP2'!AE709</f>
        <v>0</v>
      </c>
      <c r="AT684" s="403">
        <f>'Portefeuille SP2'!AF709</f>
        <v>0</v>
      </c>
      <c r="AU684" s="403">
        <f>'Portefeuille SP2'!AG709</f>
        <v>0</v>
      </c>
      <c r="AV684" s="403">
        <f>'Portefeuille SP2'!AH709</f>
        <v>0</v>
      </c>
      <c r="AW684" s="403">
        <f>'Portefeuille SP2'!AI709</f>
        <v>0</v>
      </c>
      <c r="AX684" s="403">
        <f>'Portefeuille SP2'!AJ709</f>
        <v>0</v>
      </c>
      <c r="AY684" s="403">
        <f>'Portefeuille SP2'!AK709</f>
        <v>0</v>
      </c>
      <c r="AZ684" s="403">
        <f>'Portefeuille SP2'!AL709</f>
        <v>0</v>
      </c>
      <c r="BA684" s="403">
        <f>'Portefeuille SP2'!AM709</f>
        <v>0</v>
      </c>
      <c r="BB684" s="403">
        <f>'Portefeuille SP2'!AN709</f>
        <v>0</v>
      </c>
      <c r="BC684" s="403">
        <f>'Portefeuille SP2'!AO709</f>
        <v>0</v>
      </c>
      <c r="BD684" s="403">
        <f>'Portefeuille SP2'!AP709</f>
        <v>0</v>
      </c>
      <c r="BE684" s="403">
        <f>'Portefeuille SP2'!AQ709</f>
        <v>0</v>
      </c>
      <c r="BF684" s="403">
        <f>'Portefeuille SP2'!AR709</f>
        <v>0</v>
      </c>
      <c r="BG684" s="403" t="e">
        <f>'Portefeuille SP2'!#REF!</f>
        <v>#REF!</v>
      </c>
      <c r="BH684" s="403" t="e">
        <f>'Portefeuille SP2'!#REF!</f>
        <v>#REF!</v>
      </c>
      <c r="BI684" s="403" t="e">
        <f>'Portefeuille SP2'!#REF!</f>
        <v>#REF!</v>
      </c>
      <c r="BJ684" s="403" t="e">
        <f>'Portefeuille SP2'!#REF!</f>
        <v>#REF!</v>
      </c>
      <c r="BK684" s="403" t="e">
        <f>'Portefeuille SP2'!#REF!</f>
        <v>#REF!</v>
      </c>
      <c r="BL684" s="388"/>
      <c r="BM684" s="404">
        <f>'Portefeuille SP2'!L709</f>
        <v>0</v>
      </c>
    </row>
    <row r="685" spans="1:65" ht="15" customHeight="1">
      <c r="A685" s="383">
        <f>'Portefeuille SP2'!B710</f>
        <v>0</v>
      </c>
      <c r="B685" s="390">
        <f>'Portefeuille SP2'!Q710</f>
        <v>0</v>
      </c>
      <c r="C685" s="384"/>
      <c r="D685" s="382">
        <f>'Portefeuille SP2'!E710</f>
        <v>0</v>
      </c>
      <c r="E685" s="382" t="str">
        <f t="shared" si="41"/>
        <v>0</v>
      </c>
      <c r="F685" s="382" t="str">
        <f t="shared" si="42"/>
        <v/>
      </c>
      <c r="G685" s="382">
        <f>'Portefeuille SP2'!C710</f>
        <v>0</v>
      </c>
      <c r="H685" s="382">
        <f>'Portefeuille SP2'!F710</f>
        <v>0</v>
      </c>
      <c r="I685" s="382"/>
      <c r="J685" s="382">
        <f>'Portefeuille SP2'!D710</f>
        <v>0</v>
      </c>
      <c r="K685" s="385">
        <f>'Portefeuille SP2'!H710</f>
        <v>0</v>
      </c>
      <c r="L685" s="157">
        <f>'Portefeuille SP2'!U710</f>
        <v>0</v>
      </c>
      <c r="M685" s="386"/>
      <c r="N685" s="386"/>
      <c r="O685" s="386"/>
      <c r="P685" s="387">
        <f>'Portefeuille SP2'!M710</f>
        <v>0</v>
      </c>
      <c r="Q685" s="387"/>
      <c r="R685" s="387">
        <f>'Portefeuille SP2'!N710</f>
        <v>0</v>
      </c>
      <c r="S685" s="387"/>
      <c r="T685" s="382">
        <f>'Portefeuille SP2'!R710</f>
        <v>0</v>
      </c>
      <c r="U685" s="387">
        <f>'Portefeuille SP2'!K710</f>
        <v>0</v>
      </c>
      <c r="V685" s="399">
        <f>'Portefeuille SP2'!S710</f>
        <v>0</v>
      </c>
      <c r="W685" s="387"/>
      <c r="X685" s="387"/>
      <c r="Y685" s="387"/>
      <c r="Z685" s="387"/>
      <c r="AA685" s="387"/>
      <c r="AB685" s="387"/>
      <c r="AC685" s="387"/>
      <c r="AD685" s="387"/>
      <c r="AE685" s="400">
        <f>'Portefeuille SP2'!J710</f>
        <v>0</v>
      </c>
      <c r="AF685" s="387"/>
      <c r="AG685" s="387"/>
      <c r="AH685" s="389"/>
      <c r="AI685" s="389"/>
      <c r="AJ685" s="403">
        <f>'Portefeuille SP2'!V710</f>
        <v>0</v>
      </c>
      <c r="AK685" s="403">
        <f>'Portefeuille SP2'!W710</f>
        <v>0</v>
      </c>
      <c r="AL685" s="403">
        <f>'Portefeuille SP2'!X710</f>
        <v>0</v>
      </c>
      <c r="AM685" s="403">
        <f>'Portefeuille SP2'!Y710</f>
        <v>0</v>
      </c>
      <c r="AN685" s="403">
        <f>'Portefeuille SP2'!Z710</f>
        <v>0</v>
      </c>
      <c r="AO685" s="403">
        <f>'Portefeuille SP2'!AA710</f>
        <v>0</v>
      </c>
      <c r="AP685" s="403">
        <f>'Portefeuille SP2'!AB710</f>
        <v>0</v>
      </c>
      <c r="AQ685" s="403">
        <f>'Portefeuille SP2'!AC710</f>
        <v>0</v>
      </c>
      <c r="AR685" s="403">
        <f>'Portefeuille SP2'!AD710</f>
        <v>0</v>
      </c>
      <c r="AS685" s="403">
        <f>'Portefeuille SP2'!AE710</f>
        <v>0</v>
      </c>
      <c r="AT685" s="403">
        <f>'Portefeuille SP2'!AF710</f>
        <v>0</v>
      </c>
      <c r="AU685" s="403">
        <f>'Portefeuille SP2'!AG710</f>
        <v>0</v>
      </c>
      <c r="AV685" s="403">
        <f>'Portefeuille SP2'!AH710</f>
        <v>0</v>
      </c>
      <c r="AW685" s="403">
        <f>'Portefeuille SP2'!AI710</f>
        <v>0</v>
      </c>
      <c r="AX685" s="403">
        <f>'Portefeuille SP2'!AJ710</f>
        <v>0</v>
      </c>
      <c r="AY685" s="403">
        <f>'Portefeuille SP2'!AK710</f>
        <v>0</v>
      </c>
      <c r="AZ685" s="403">
        <f>'Portefeuille SP2'!AL710</f>
        <v>0</v>
      </c>
      <c r="BA685" s="403">
        <f>'Portefeuille SP2'!AM710</f>
        <v>0</v>
      </c>
      <c r="BB685" s="403">
        <f>'Portefeuille SP2'!AN710</f>
        <v>0</v>
      </c>
      <c r="BC685" s="403">
        <f>'Portefeuille SP2'!AO710</f>
        <v>0</v>
      </c>
      <c r="BD685" s="403">
        <f>'Portefeuille SP2'!AP710</f>
        <v>0</v>
      </c>
      <c r="BE685" s="403">
        <f>'Portefeuille SP2'!AQ710</f>
        <v>0</v>
      </c>
      <c r="BF685" s="403">
        <f>'Portefeuille SP2'!AR710</f>
        <v>0</v>
      </c>
      <c r="BG685" s="403" t="e">
        <f>'Portefeuille SP2'!#REF!</f>
        <v>#REF!</v>
      </c>
      <c r="BH685" s="403" t="e">
        <f>'Portefeuille SP2'!#REF!</f>
        <v>#REF!</v>
      </c>
      <c r="BI685" s="403" t="e">
        <f>'Portefeuille SP2'!#REF!</f>
        <v>#REF!</v>
      </c>
      <c r="BJ685" s="403" t="e">
        <f>'Portefeuille SP2'!#REF!</f>
        <v>#REF!</v>
      </c>
      <c r="BK685" s="403" t="e">
        <f>'Portefeuille SP2'!#REF!</f>
        <v>#REF!</v>
      </c>
      <c r="BL685" s="388"/>
      <c r="BM685" s="404">
        <f>'Portefeuille SP2'!L710</f>
        <v>0</v>
      </c>
    </row>
    <row r="686" spans="1:65" ht="15" customHeight="1">
      <c r="A686" s="383">
        <f>'Portefeuille SP2'!B711</f>
        <v>0</v>
      </c>
      <c r="B686" s="390">
        <f>'Portefeuille SP2'!Q711</f>
        <v>0</v>
      </c>
      <c r="C686" s="384"/>
      <c r="D686" s="382">
        <f>'Portefeuille SP2'!E711</f>
        <v>0</v>
      </c>
      <c r="E686" s="382" t="str">
        <f t="shared" si="41"/>
        <v>0</v>
      </c>
      <c r="F686" s="382" t="str">
        <f t="shared" si="42"/>
        <v/>
      </c>
      <c r="G686" s="382">
        <f>'Portefeuille SP2'!C711</f>
        <v>0</v>
      </c>
      <c r="H686" s="382">
        <f>'Portefeuille SP2'!F711</f>
        <v>0</v>
      </c>
      <c r="I686" s="382"/>
      <c r="J686" s="382">
        <f>'Portefeuille SP2'!D711</f>
        <v>0</v>
      </c>
      <c r="K686" s="385">
        <f>'Portefeuille SP2'!H711</f>
        <v>0</v>
      </c>
      <c r="L686" s="157">
        <f>'Portefeuille SP2'!U711</f>
        <v>0</v>
      </c>
      <c r="M686" s="386"/>
      <c r="N686" s="386"/>
      <c r="O686" s="386"/>
      <c r="P686" s="387">
        <f>'Portefeuille SP2'!M711</f>
        <v>0</v>
      </c>
      <c r="Q686" s="387"/>
      <c r="R686" s="387">
        <f>'Portefeuille SP2'!N711</f>
        <v>0</v>
      </c>
      <c r="S686" s="387"/>
      <c r="T686" s="382">
        <f>'Portefeuille SP2'!R711</f>
        <v>0</v>
      </c>
      <c r="U686" s="387">
        <f>'Portefeuille SP2'!K711</f>
        <v>0</v>
      </c>
      <c r="V686" s="399">
        <f>'Portefeuille SP2'!S711</f>
        <v>0</v>
      </c>
      <c r="W686" s="387"/>
      <c r="X686" s="387"/>
      <c r="Y686" s="387"/>
      <c r="Z686" s="387"/>
      <c r="AA686" s="387"/>
      <c r="AB686" s="387"/>
      <c r="AC686" s="387"/>
      <c r="AD686" s="387"/>
      <c r="AE686" s="400">
        <f>'Portefeuille SP2'!J711</f>
        <v>0</v>
      </c>
      <c r="AF686" s="387"/>
      <c r="AG686" s="387"/>
      <c r="AH686" s="389"/>
      <c r="AI686" s="389"/>
      <c r="AJ686" s="403">
        <f>'Portefeuille SP2'!V711</f>
        <v>0</v>
      </c>
      <c r="AK686" s="403">
        <f>'Portefeuille SP2'!W711</f>
        <v>0</v>
      </c>
      <c r="AL686" s="403">
        <f>'Portefeuille SP2'!X711</f>
        <v>0</v>
      </c>
      <c r="AM686" s="403">
        <f>'Portefeuille SP2'!Y711</f>
        <v>0</v>
      </c>
      <c r="AN686" s="403">
        <f>'Portefeuille SP2'!Z711</f>
        <v>0</v>
      </c>
      <c r="AO686" s="403">
        <f>'Portefeuille SP2'!AA711</f>
        <v>0</v>
      </c>
      <c r="AP686" s="403">
        <f>'Portefeuille SP2'!AB711</f>
        <v>0</v>
      </c>
      <c r="AQ686" s="403">
        <f>'Portefeuille SP2'!AC711</f>
        <v>0</v>
      </c>
      <c r="AR686" s="403">
        <f>'Portefeuille SP2'!AD711</f>
        <v>0</v>
      </c>
      <c r="AS686" s="403">
        <f>'Portefeuille SP2'!AE711</f>
        <v>0</v>
      </c>
      <c r="AT686" s="403">
        <f>'Portefeuille SP2'!AF711</f>
        <v>0</v>
      </c>
      <c r="AU686" s="403">
        <f>'Portefeuille SP2'!AG711</f>
        <v>0</v>
      </c>
      <c r="AV686" s="403">
        <f>'Portefeuille SP2'!AH711</f>
        <v>0</v>
      </c>
      <c r="AW686" s="403">
        <f>'Portefeuille SP2'!AI711</f>
        <v>0</v>
      </c>
      <c r="AX686" s="403">
        <f>'Portefeuille SP2'!AJ711</f>
        <v>0</v>
      </c>
      <c r="AY686" s="403">
        <f>'Portefeuille SP2'!AK711</f>
        <v>0</v>
      </c>
      <c r="AZ686" s="403">
        <f>'Portefeuille SP2'!AL711</f>
        <v>0</v>
      </c>
      <c r="BA686" s="403">
        <f>'Portefeuille SP2'!AM711</f>
        <v>0</v>
      </c>
      <c r="BB686" s="403">
        <f>'Portefeuille SP2'!AN711</f>
        <v>0</v>
      </c>
      <c r="BC686" s="403">
        <f>'Portefeuille SP2'!AO711</f>
        <v>0</v>
      </c>
      <c r="BD686" s="403">
        <f>'Portefeuille SP2'!AP711</f>
        <v>0</v>
      </c>
      <c r="BE686" s="403">
        <f>'Portefeuille SP2'!AQ711</f>
        <v>0</v>
      </c>
      <c r="BF686" s="403">
        <f>'Portefeuille SP2'!AR711</f>
        <v>0</v>
      </c>
      <c r="BG686" s="403" t="e">
        <f>'Portefeuille SP2'!#REF!</f>
        <v>#REF!</v>
      </c>
      <c r="BH686" s="403" t="e">
        <f>'Portefeuille SP2'!#REF!</f>
        <v>#REF!</v>
      </c>
      <c r="BI686" s="403" t="e">
        <f>'Portefeuille SP2'!#REF!</f>
        <v>#REF!</v>
      </c>
      <c r="BJ686" s="403" t="e">
        <f>'Portefeuille SP2'!#REF!</f>
        <v>#REF!</v>
      </c>
      <c r="BK686" s="403" t="e">
        <f>'Portefeuille SP2'!#REF!</f>
        <v>#REF!</v>
      </c>
      <c r="BL686" s="388"/>
      <c r="BM686" s="404">
        <f>'Portefeuille SP2'!L711</f>
        <v>0</v>
      </c>
    </row>
    <row r="687" spans="1:65" ht="15" customHeight="1">
      <c r="A687" s="383">
        <f>'Portefeuille SP2'!B712</f>
        <v>0</v>
      </c>
      <c r="B687" s="390">
        <f>'Portefeuille SP2'!Q712</f>
        <v>0</v>
      </c>
      <c r="C687" s="384"/>
      <c r="D687" s="382">
        <f>'Portefeuille SP2'!E712</f>
        <v>0</v>
      </c>
      <c r="E687" s="382" t="str">
        <f t="shared" si="41"/>
        <v>0</v>
      </c>
      <c r="F687" s="382" t="str">
        <f t="shared" si="42"/>
        <v/>
      </c>
      <c r="G687" s="382">
        <f>'Portefeuille SP2'!C712</f>
        <v>0</v>
      </c>
      <c r="H687" s="382">
        <f>'Portefeuille SP2'!F712</f>
        <v>0</v>
      </c>
      <c r="I687" s="382"/>
      <c r="J687" s="382">
        <f>'Portefeuille SP2'!D712</f>
        <v>0</v>
      </c>
      <c r="K687" s="385">
        <f>'Portefeuille SP2'!H712</f>
        <v>0</v>
      </c>
      <c r="L687" s="157">
        <f>'Portefeuille SP2'!U712</f>
        <v>0</v>
      </c>
      <c r="M687" s="386"/>
      <c r="N687" s="386"/>
      <c r="O687" s="386"/>
      <c r="P687" s="387">
        <f>'Portefeuille SP2'!M712</f>
        <v>0</v>
      </c>
      <c r="Q687" s="387"/>
      <c r="R687" s="387">
        <f>'Portefeuille SP2'!N712</f>
        <v>0</v>
      </c>
      <c r="S687" s="387"/>
      <c r="T687" s="382">
        <f>'Portefeuille SP2'!R712</f>
        <v>0</v>
      </c>
      <c r="U687" s="387">
        <f>'Portefeuille SP2'!K712</f>
        <v>0</v>
      </c>
      <c r="V687" s="399">
        <f>'Portefeuille SP2'!S712</f>
        <v>0</v>
      </c>
      <c r="W687" s="387"/>
      <c r="X687" s="387"/>
      <c r="Y687" s="387"/>
      <c r="Z687" s="387"/>
      <c r="AA687" s="387"/>
      <c r="AB687" s="387"/>
      <c r="AC687" s="387"/>
      <c r="AD687" s="387"/>
      <c r="AE687" s="400">
        <f>'Portefeuille SP2'!J712</f>
        <v>0</v>
      </c>
      <c r="AF687" s="387"/>
      <c r="AG687" s="387"/>
      <c r="AH687" s="389"/>
      <c r="AI687" s="389"/>
      <c r="AJ687" s="403">
        <f>'Portefeuille SP2'!V712</f>
        <v>0</v>
      </c>
      <c r="AK687" s="403">
        <f>'Portefeuille SP2'!W712</f>
        <v>0</v>
      </c>
      <c r="AL687" s="403">
        <f>'Portefeuille SP2'!X712</f>
        <v>0</v>
      </c>
      <c r="AM687" s="403">
        <f>'Portefeuille SP2'!Y712</f>
        <v>0</v>
      </c>
      <c r="AN687" s="403">
        <f>'Portefeuille SP2'!Z712</f>
        <v>0</v>
      </c>
      <c r="AO687" s="403">
        <f>'Portefeuille SP2'!AA712</f>
        <v>0</v>
      </c>
      <c r="AP687" s="403">
        <f>'Portefeuille SP2'!AB712</f>
        <v>0</v>
      </c>
      <c r="AQ687" s="403">
        <f>'Portefeuille SP2'!AC712</f>
        <v>0</v>
      </c>
      <c r="AR687" s="403">
        <f>'Portefeuille SP2'!AD712</f>
        <v>0</v>
      </c>
      <c r="AS687" s="403">
        <f>'Portefeuille SP2'!AE712</f>
        <v>0</v>
      </c>
      <c r="AT687" s="403">
        <f>'Portefeuille SP2'!AF712</f>
        <v>0</v>
      </c>
      <c r="AU687" s="403">
        <f>'Portefeuille SP2'!AG712</f>
        <v>0</v>
      </c>
      <c r="AV687" s="403">
        <f>'Portefeuille SP2'!AH712</f>
        <v>0</v>
      </c>
      <c r="AW687" s="403">
        <f>'Portefeuille SP2'!AI712</f>
        <v>0</v>
      </c>
      <c r="AX687" s="403">
        <f>'Portefeuille SP2'!AJ712</f>
        <v>0</v>
      </c>
      <c r="AY687" s="403">
        <f>'Portefeuille SP2'!AK712</f>
        <v>0</v>
      </c>
      <c r="AZ687" s="403">
        <f>'Portefeuille SP2'!AL712</f>
        <v>0</v>
      </c>
      <c r="BA687" s="403">
        <f>'Portefeuille SP2'!AM712</f>
        <v>0</v>
      </c>
      <c r="BB687" s="403">
        <f>'Portefeuille SP2'!AN712</f>
        <v>0</v>
      </c>
      <c r="BC687" s="403">
        <f>'Portefeuille SP2'!AO712</f>
        <v>0</v>
      </c>
      <c r="BD687" s="403">
        <f>'Portefeuille SP2'!AP712</f>
        <v>0</v>
      </c>
      <c r="BE687" s="403">
        <f>'Portefeuille SP2'!AQ712</f>
        <v>0</v>
      </c>
      <c r="BF687" s="403">
        <f>'Portefeuille SP2'!AR712</f>
        <v>0</v>
      </c>
      <c r="BG687" s="403" t="e">
        <f>'Portefeuille SP2'!#REF!</f>
        <v>#REF!</v>
      </c>
      <c r="BH687" s="403" t="e">
        <f>'Portefeuille SP2'!#REF!</f>
        <v>#REF!</v>
      </c>
      <c r="BI687" s="403" t="e">
        <f>'Portefeuille SP2'!#REF!</f>
        <v>#REF!</v>
      </c>
      <c r="BJ687" s="403" t="e">
        <f>'Portefeuille SP2'!#REF!</f>
        <v>#REF!</v>
      </c>
      <c r="BK687" s="403" t="e">
        <f>'Portefeuille SP2'!#REF!</f>
        <v>#REF!</v>
      </c>
      <c r="BL687" s="388"/>
      <c r="BM687" s="404">
        <f>'Portefeuille SP2'!L712</f>
        <v>0</v>
      </c>
    </row>
    <row r="688" spans="1:65" ht="15" customHeight="1">
      <c r="A688" s="383">
        <f>'Portefeuille SP2'!B713</f>
        <v>0</v>
      </c>
      <c r="B688" s="390">
        <f>'Portefeuille SP2'!Q713</f>
        <v>0</v>
      </c>
      <c r="C688" s="384"/>
      <c r="D688" s="382">
        <f>'Portefeuille SP2'!E713</f>
        <v>0</v>
      </c>
      <c r="E688" s="382" t="str">
        <f t="shared" si="41"/>
        <v>0</v>
      </c>
      <c r="F688" s="382" t="str">
        <f t="shared" si="42"/>
        <v/>
      </c>
      <c r="G688" s="382">
        <f>'Portefeuille SP2'!C713</f>
        <v>0</v>
      </c>
      <c r="H688" s="382">
        <f>'Portefeuille SP2'!F713</f>
        <v>0</v>
      </c>
      <c r="I688" s="382"/>
      <c r="J688" s="382">
        <f>'Portefeuille SP2'!D713</f>
        <v>0</v>
      </c>
      <c r="K688" s="385">
        <f>'Portefeuille SP2'!H713</f>
        <v>0</v>
      </c>
      <c r="L688" s="157">
        <f>'Portefeuille SP2'!U713</f>
        <v>0</v>
      </c>
      <c r="M688" s="386"/>
      <c r="N688" s="386"/>
      <c r="O688" s="386"/>
      <c r="P688" s="387">
        <f>'Portefeuille SP2'!M713</f>
        <v>0</v>
      </c>
      <c r="Q688" s="387"/>
      <c r="R688" s="387">
        <f>'Portefeuille SP2'!N713</f>
        <v>0</v>
      </c>
      <c r="S688" s="387"/>
      <c r="T688" s="382">
        <f>'Portefeuille SP2'!R713</f>
        <v>0</v>
      </c>
      <c r="U688" s="387">
        <f>'Portefeuille SP2'!K713</f>
        <v>0</v>
      </c>
      <c r="V688" s="399">
        <f>'Portefeuille SP2'!S713</f>
        <v>0</v>
      </c>
      <c r="W688" s="387"/>
      <c r="X688" s="387"/>
      <c r="Y688" s="387"/>
      <c r="Z688" s="387"/>
      <c r="AA688" s="387"/>
      <c r="AB688" s="387"/>
      <c r="AC688" s="387"/>
      <c r="AD688" s="387"/>
      <c r="AE688" s="400">
        <f>'Portefeuille SP2'!J713</f>
        <v>0</v>
      </c>
      <c r="AF688" s="387"/>
      <c r="AG688" s="387"/>
      <c r="AH688" s="389"/>
      <c r="AI688" s="389"/>
      <c r="AJ688" s="403">
        <f>'Portefeuille SP2'!V713</f>
        <v>0</v>
      </c>
      <c r="AK688" s="403">
        <f>'Portefeuille SP2'!W713</f>
        <v>0</v>
      </c>
      <c r="AL688" s="403">
        <f>'Portefeuille SP2'!X713</f>
        <v>0</v>
      </c>
      <c r="AM688" s="403">
        <f>'Portefeuille SP2'!Y713</f>
        <v>0</v>
      </c>
      <c r="AN688" s="403">
        <f>'Portefeuille SP2'!Z713</f>
        <v>0</v>
      </c>
      <c r="AO688" s="403">
        <f>'Portefeuille SP2'!AA713</f>
        <v>0</v>
      </c>
      <c r="AP688" s="403">
        <f>'Portefeuille SP2'!AB713</f>
        <v>0</v>
      </c>
      <c r="AQ688" s="403">
        <f>'Portefeuille SP2'!AC713</f>
        <v>0</v>
      </c>
      <c r="AR688" s="403">
        <f>'Portefeuille SP2'!AD713</f>
        <v>0</v>
      </c>
      <c r="AS688" s="403">
        <f>'Portefeuille SP2'!AE713</f>
        <v>0</v>
      </c>
      <c r="AT688" s="403">
        <f>'Portefeuille SP2'!AF713</f>
        <v>0</v>
      </c>
      <c r="AU688" s="403">
        <f>'Portefeuille SP2'!AG713</f>
        <v>0</v>
      </c>
      <c r="AV688" s="403">
        <f>'Portefeuille SP2'!AH713</f>
        <v>0</v>
      </c>
      <c r="AW688" s="403">
        <f>'Portefeuille SP2'!AI713</f>
        <v>0</v>
      </c>
      <c r="AX688" s="403">
        <f>'Portefeuille SP2'!AJ713</f>
        <v>0</v>
      </c>
      <c r="AY688" s="403">
        <f>'Portefeuille SP2'!AK713</f>
        <v>0</v>
      </c>
      <c r="AZ688" s="403">
        <f>'Portefeuille SP2'!AL713</f>
        <v>0</v>
      </c>
      <c r="BA688" s="403">
        <f>'Portefeuille SP2'!AM713</f>
        <v>0</v>
      </c>
      <c r="BB688" s="403">
        <f>'Portefeuille SP2'!AN713</f>
        <v>0</v>
      </c>
      <c r="BC688" s="403">
        <f>'Portefeuille SP2'!AO713</f>
        <v>0</v>
      </c>
      <c r="BD688" s="403">
        <f>'Portefeuille SP2'!AP713</f>
        <v>0</v>
      </c>
      <c r="BE688" s="403">
        <f>'Portefeuille SP2'!AQ713</f>
        <v>0</v>
      </c>
      <c r="BF688" s="403">
        <f>'Portefeuille SP2'!AR713</f>
        <v>0</v>
      </c>
      <c r="BG688" s="403" t="e">
        <f>'Portefeuille SP2'!#REF!</f>
        <v>#REF!</v>
      </c>
      <c r="BH688" s="403" t="e">
        <f>'Portefeuille SP2'!#REF!</f>
        <v>#REF!</v>
      </c>
      <c r="BI688" s="403" t="e">
        <f>'Portefeuille SP2'!#REF!</f>
        <v>#REF!</v>
      </c>
      <c r="BJ688" s="403" t="e">
        <f>'Portefeuille SP2'!#REF!</f>
        <v>#REF!</v>
      </c>
      <c r="BK688" s="403" t="e">
        <f>'Portefeuille SP2'!#REF!</f>
        <v>#REF!</v>
      </c>
      <c r="BL688" s="388"/>
      <c r="BM688" s="404">
        <f>'Portefeuille SP2'!L713</f>
        <v>0</v>
      </c>
    </row>
    <row r="689" spans="1:65" ht="15" customHeight="1">
      <c r="A689" s="383">
        <f>'Portefeuille SP2'!B714</f>
        <v>0</v>
      </c>
      <c r="B689" s="390">
        <f>'Portefeuille SP2'!Q714</f>
        <v>0</v>
      </c>
      <c r="C689" s="384"/>
      <c r="D689" s="382">
        <f>'Portefeuille SP2'!E714</f>
        <v>0</v>
      </c>
      <c r="E689" s="382" t="str">
        <f t="shared" si="41"/>
        <v>0</v>
      </c>
      <c r="F689" s="382" t="str">
        <f t="shared" si="42"/>
        <v/>
      </c>
      <c r="G689" s="382">
        <f>'Portefeuille SP2'!C714</f>
        <v>0</v>
      </c>
      <c r="H689" s="382">
        <f>'Portefeuille SP2'!F714</f>
        <v>0</v>
      </c>
      <c r="I689" s="382"/>
      <c r="J689" s="382">
        <f>'Portefeuille SP2'!D714</f>
        <v>0</v>
      </c>
      <c r="K689" s="385">
        <f>'Portefeuille SP2'!H714</f>
        <v>0</v>
      </c>
      <c r="L689" s="157">
        <f>'Portefeuille SP2'!U714</f>
        <v>0</v>
      </c>
      <c r="M689" s="386"/>
      <c r="N689" s="386"/>
      <c r="O689" s="386"/>
      <c r="P689" s="387">
        <f>'Portefeuille SP2'!M714</f>
        <v>0</v>
      </c>
      <c r="Q689" s="387"/>
      <c r="R689" s="387">
        <f>'Portefeuille SP2'!N714</f>
        <v>0</v>
      </c>
      <c r="S689" s="387"/>
      <c r="T689" s="382">
        <f>'Portefeuille SP2'!R714</f>
        <v>0</v>
      </c>
      <c r="U689" s="387">
        <f>'Portefeuille SP2'!K714</f>
        <v>0</v>
      </c>
      <c r="V689" s="399">
        <f>'Portefeuille SP2'!S714</f>
        <v>0</v>
      </c>
      <c r="W689" s="387"/>
      <c r="X689" s="387"/>
      <c r="Y689" s="387"/>
      <c r="Z689" s="387"/>
      <c r="AA689" s="387"/>
      <c r="AB689" s="387"/>
      <c r="AC689" s="387"/>
      <c r="AD689" s="387"/>
      <c r="AE689" s="400">
        <f>'Portefeuille SP2'!J714</f>
        <v>0</v>
      </c>
      <c r="AF689" s="387"/>
      <c r="AG689" s="387"/>
      <c r="AH689" s="389"/>
      <c r="AI689" s="389"/>
      <c r="AJ689" s="403">
        <f>'Portefeuille SP2'!V714</f>
        <v>0</v>
      </c>
      <c r="AK689" s="403">
        <f>'Portefeuille SP2'!W714</f>
        <v>0</v>
      </c>
      <c r="AL689" s="403">
        <f>'Portefeuille SP2'!X714</f>
        <v>0</v>
      </c>
      <c r="AM689" s="403">
        <f>'Portefeuille SP2'!Y714</f>
        <v>0</v>
      </c>
      <c r="AN689" s="403">
        <f>'Portefeuille SP2'!Z714</f>
        <v>0</v>
      </c>
      <c r="AO689" s="403">
        <f>'Portefeuille SP2'!AA714</f>
        <v>0</v>
      </c>
      <c r="AP689" s="403">
        <f>'Portefeuille SP2'!AB714</f>
        <v>0</v>
      </c>
      <c r="AQ689" s="403">
        <f>'Portefeuille SP2'!AC714</f>
        <v>0</v>
      </c>
      <c r="AR689" s="403">
        <f>'Portefeuille SP2'!AD714</f>
        <v>0</v>
      </c>
      <c r="AS689" s="403">
        <f>'Portefeuille SP2'!AE714</f>
        <v>0</v>
      </c>
      <c r="AT689" s="403">
        <f>'Portefeuille SP2'!AF714</f>
        <v>0</v>
      </c>
      <c r="AU689" s="403">
        <f>'Portefeuille SP2'!AG714</f>
        <v>0</v>
      </c>
      <c r="AV689" s="403">
        <f>'Portefeuille SP2'!AH714</f>
        <v>0</v>
      </c>
      <c r="AW689" s="403">
        <f>'Portefeuille SP2'!AI714</f>
        <v>0</v>
      </c>
      <c r="AX689" s="403">
        <f>'Portefeuille SP2'!AJ714</f>
        <v>0</v>
      </c>
      <c r="AY689" s="403">
        <f>'Portefeuille SP2'!AK714</f>
        <v>0</v>
      </c>
      <c r="AZ689" s="403">
        <f>'Portefeuille SP2'!AL714</f>
        <v>0</v>
      </c>
      <c r="BA689" s="403">
        <f>'Portefeuille SP2'!AM714</f>
        <v>0</v>
      </c>
      <c r="BB689" s="403">
        <f>'Portefeuille SP2'!AN714</f>
        <v>0</v>
      </c>
      <c r="BC689" s="403">
        <f>'Portefeuille SP2'!AO714</f>
        <v>0</v>
      </c>
      <c r="BD689" s="403">
        <f>'Portefeuille SP2'!AP714</f>
        <v>0</v>
      </c>
      <c r="BE689" s="403">
        <f>'Portefeuille SP2'!AQ714</f>
        <v>0</v>
      </c>
      <c r="BF689" s="403">
        <f>'Portefeuille SP2'!AR714</f>
        <v>0</v>
      </c>
      <c r="BG689" s="403" t="e">
        <f>'Portefeuille SP2'!#REF!</f>
        <v>#REF!</v>
      </c>
      <c r="BH689" s="403" t="e">
        <f>'Portefeuille SP2'!#REF!</f>
        <v>#REF!</v>
      </c>
      <c r="BI689" s="403" t="e">
        <f>'Portefeuille SP2'!#REF!</f>
        <v>#REF!</v>
      </c>
      <c r="BJ689" s="403" t="e">
        <f>'Portefeuille SP2'!#REF!</f>
        <v>#REF!</v>
      </c>
      <c r="BK689" s="403" t="e">
        <f>'Portefeuille SP2'!#REF!</f>
        <v>#REF!</v>
      </c>
      <c r="BL689" s="388"/>
      <c r="BM689" s="404">
        <f>'Portefeuille SP2'!L714</f>
        <v>0</v>
      </c>
    </row>
    <row r="690" spans="1:65" ht="15" customHeight="1">
      <c r="A690" s="383">
        <f>'Portefeuille SP2'!B715</f>
        <v>0</v>
      </c>
      <c r="B690" s="390">
        <f>'Portefeuille SP2'!Q715</f>
        <v>0</v>
      </c>
      <c r="C690" s="384"/>
      <c r="D690" s="382">
        <f>'Portefeuille SP2'!E715</f>
        <v>0</v>
      </c>
      <c r="E690" s="382" t="str">
        <f t="shared" si="41"/>
        <v>0</v>
      </c>
      <c r="F690" s="382" t="str">
        <f t="shared" si="42"/>
        <v/>
      </c>
      <c r="G690" s="382">
        <f>'Portefeuille SP2'!C715</f>
        <v>0</v>
      </c>
      <c r="H690" s="382">
        <f>'Portefeuille SP2'!F715</f>
        <v>0</v>
      </c>
      <c r="I690" s="382"/>
      <c r="J690" s="382">
        <f>'Portefeuille SP2'!D715</f>
        <v>0</v>
      </c>
      <c r="K690" s="385">
        <f>'Portefeuille SP2'!H715</f>
        <v>0</v>
      </c>
      <c r="L690" s="157">
        <f>'Portefeuille SP2'!U715</f>
        <v>0</v>
      </c>
      <c r="M690" s="386"/>
      <c r="N690" s="386"/>
      <c r="O690" s="386"/>
      <c r="P690" s="387">
        <f>'Portefeuille SP2'!M715</f>
        <v>0</v>
      </c>
      <c r="Q690" s="387"/>
      <c r="R690" s="387">
        <f>'Portefeuille SP2'!N715</f>
        <v>0</v>
      </c>
      <c r="S690" s="387"/>
      <c r="T690" s="382">
        <f>'Portefeuille SP2'!R715</f>
        <v>0</v>
      </c>
      <c r="U690" s="387">
        <f>'Portefeuille SP2'!K715</f>
        <v>0</v>
      </c>
      <c r="V690" s="399">
        <f>'Portefeuille SP2'!S715</f>
        <v>0</v>
      </c>
      <c r="W690" s="387"/>
      <c r="X690" s="387"/>
      <c r="Y690" s="387"/>
      <c r="Z690" s="387"/>
      <c r="AA690" s="387"/>
      <c r="AB690" s="387"/>
      <c r="AC690" s="387"/>
      <c r="AD690" s="387"/>
      <c r="AE690" s="400">
        <f>'Portefeuille SP2'!J715</f>
        <v>0</v>
      </c>
      <c r="AF690" s="387"/>
      <c r="AG690" s="387"/>
      <c r="AH690" s="389"/>
      <c r="AI690" s="389"/>
      <c r="AJ690" s="403">
        <f>'Portefeuille SP2'!V715</f>
        <v>0</v>
      </c>
      <c r="AK690" s="403">
        <f>'Portefeuille SP2'!W715</f>
        <v>0</v>
      </c>
      <c r="AL690" s="403">
        <f>'Portefeuille SP2'!X715</f>
        <v>0</v>
      </c>
      <c r="AM690" s="403">
        <f>'Portefeuille SP2'!Y715</f>
        <v>0</v>
      </c>
      <c r="AN690" s="403">
        <f>'Portefeuille SP2'!Z715</f>
        <v>0</v>
      </c>
      <c r="AO690" s="403">
        <f>'Portefeuille SP2'!AA715</f>
        <v>0</v>
      </c>
      <c r="AP690" s="403">
        <f>'Portefeuille SP2'!AB715</f>
        <v>0</v>
      </c>
      <c r="AQ690" s="403">
        <f>'Portefeuille SP2'!AC715</f>
        <v>0</v>
      </c>
      <c r="AR690" s="403">
        <f>'Portefeuille SP2'!AD715</f>
        <v>0</v>
      </c>
      <c r="AS690" s="403">
        <f>'Portefeuille SP2'!AE715</f>
        <v>0</v>
      </c>
      <c r="AT690" s="403">
        <f>'Portefeuille SP2'!AF715</f>
        <v>0</v>
      </c>
      <c r="AU690" s="403">
        <f>'Portefeuille SP2'!AG715</f>
        <v>0</v>
      </c>
      <c r="AV690" s="403">
        <f>'Portefeuille SP2'!AH715</f>
        <v>0</v>
      </c>
      <c r="AW690" s="403">
        <f>'Portefeuille SP2'!AI715</f>
        <v>0</v>
      </c>
      <c r="AX690" s="403">
        <f>'Portefeuille SP2'!AJ715</f>
        <v>0</v>
      </c>
      <c r="AY690" s="403">
        <f>'Portefeuille SP2'!AK715</f>
        <v>0</v>
      </c>
      <c r="AZ690" s="403">
        <f>'Portefeuille SP2'!AL715</f>
        <v>0</v>
      </c>
      <c r="BA690" s="403">
        <f>'Portefeuille SP2'!AM715</f>
        <v>0</v>
      </c>
      <c r="BB690" s="403">
        <f>'Portefeuille SP2'!AN715</f>
        <v>0</v>
      </c>
      <c r="BC690" s="403">
        <f>'Portefeuille SP2'!AO715</f>
        <v>0</v>
      </c>
      <c r="BD690" s="403">
        <f>'Portefeuille SP2'!AP715</f>
        <v>0</v>
      </c>
      <c r="BE690" s="403">
        <f>'Portefeuille SP2'!AQ715</f>
        <v>0</v>
      </c>
      <c r="BF690" s="403">
        <f>'Portefeuille SP2'!AR715</f>
        <v>0</v>
      </c>
      <c r="BG690" s="403" t="e">
        <f>'Portefeuille SP2'!#REF!</f>
        <v>#REF!</v>
      </c>
      <c r="BH690" s="403" t="e">
        <f>'Portefeuille SP2'!#REF!</f>
        <v>#REF!</v>
      </c>
      <c r="BI690" s="403" t="e">
        <f>'Portefeuille SP2'!#REF!</f>
        <v>#REF!</v>
      </c>
      <c r="BJ690" s="403" t="e">
        <f>'Portefeuille SP2'!#REF!</f>
        <v>#REF!</v>
      </c>
      <c r="BK690" s="403" t="e">
        <f>'Portefeuille SP2'!#REF!</f>
        <v>#REF!</v>
      </c>
      <c r="BL690" s="388"/>
      <c r="BM690" s="404">
        <f>'Portefeuille SP2'!L715</f>
        <v>0</v>
      </c>
    </row>
    <row r="691" spans="1:65" ht="15" customHeight="1">
      <c r="A691" s="383">
        <f>'Portefeuille SP2'!B716</f>
        <v>0</v>
      </c>
      <c r="B691" s="390">
        <f>'Portefeuille SP2'!Q716</f>
        <v>0</v>
      </c>
      <c r="C691" s="384"/>
      <c r="D691" s="382">
        <f>'Portefeuille SP2'!E716</f>
        <v>0</v>
      </c>
      <c r="E691" s="382" t="str">
        <f t="shared" si="41"/>
        <v>0</v>
      </c>
      <c r="F691" s="382" t="str">
        <f t="shared" si="42"/>
        <v/>
      </c>
      <c r="G691" s="382">
        <f>'Portefeuille SP2'!C716</f>
        <v>0</v>
      </c>
      <c r="H691" s="382">
        <f>'Portefeuille SP2'!F716</f>
        <v>0</v>
      </c>
      <c r="I691" s="382"/>
      <c r="J691" s="382">
        <f>'Portefeuille SP2'!D716</f>
        <v>0</v>
      </c>
      <c r="K691" s="385">
        <f>'Portefeuille SP2'!H716</f>
        <v>0</v>
      </c>
      <c r="L691" s="157">
        <f>'Portefeuille SP2'!U716</f>
        <v>0</v>
      </c>
      <c r="M691" s="386"/>
      <c r="N691" s="386"/>
      <c r="O691" s="386"/>
      <c r="P691" s="387">
        <f>'Portefeuille SP2'!M716</f>
        <v>0</v>
      </c>
      <c r="Q691" s="387"/>
      <c r="R691" s="387">
        <f>'Portefeuille SP2'!N716</f>
        <v>0</v>
      </c>
      <c r="S691" s="387"/>
      <c r="T691" s="382">
        <f>'Portefeuille SP2'!R716</f>
        <v>0</v>
      </c>
      <c r="U691" s="387">
        <f>'Portefeuille SP2'!K716</f>
        <v>0</v>
      </c>
      <c r="V691" s="399">
        <f>'Portefeuille SP2'!S716</f>
        <v>0</v>
      </c>
      <c r="W691" s="387"/>
      <c r="X691" s="387"/>
      <c r="Y691" s="387"/>
      <c r="Z691" s="387"/>
      <c r="AA691" s="387"/>
      <c r="AB691" s="387"/>
      <c r="AC691" s="387"/>
      <c r="AD691" s="387"/>
      <c r="AE691" s="400">
        <f>'Portefeuille SP2'!J716</f>
        <v>0</v>
      </c>
      <c r="AF691" s="387"/>
      <c r="AG691" s="387"/>
      <c r="AH691" s="389"/>
      <c r="AI691" s="389"/>
      <c r="AJ691" s="403">
        <f>'Portefeuille SP2'!V716</f>
        <v>0</v>
      </c>
      <c r="AK691" s="403">
        <f>'Portefeuille SP2'!W716</f>
        <v>0</v>
      </c>
      <c r="AL691" s="403">
        <f>'Portefeuille SP2'!X716</f>
        <v>0</v>
      </c>
      <c r="AM691" s="403">
        <f>'Portefeuille SP2'!Y716</f>
        <v>0</v>
      </c>
      <c r="AN691" s="403">
        <f>'Portefeuille SP2'!Z716</f>
        <v>0</v>
      </c>
      <c r="AO691" s="403">
        <f>'Portefeuille SP2'!AA716</f>
        <v>0</v>
      </c>
      <c r="AP691" s="403">
        <f>'Portefeuille SP2'!AB716</f>
        <v>0</v>
      </c>
      <c r="AQ691" s="403">
        <f>'Portefeuille SP2'!AC716</f>
        <v>0</v>
      </c>
      <c r="AR691" s="403">
        <f>'Portefeuille SP2'!AD716</f>
        <v>0</v>
      </c>
      <c r="AS691" s="403">
        <f>'Portefeuille SP2'!AE716</f>
        <v>0</v>
      </c>
      <c r="AT691" s="403">
        <f>'Portefeuille SP2'!AF716</f>
        <v>0</v>
      </c>
      <c r="AU691" s="403">
        <f>'Portefeuille SP2'!AG716</f>
        <v>0</v>
      </c>
      <c r="AV691" s="403">
        <f>'Portefeuille SP2'!AH716</f>
        <v>0</v>
      </c>
      <c r="AW691" s="403">
        <f>'Portefeuille SP2'!AI716</f>
        <v>0</v>
      </c>
      <c r="AX691" s="403">
        <f>'Portefeuille SP2'!AJ716</f>
        <v>0</v>
      </c>
      <c r="AY691" s="403">
        <f>'Portefeuille SP2'!AK716</f>
        <v>0</v>
      </c>
      <c r="AZ691" s="403">
        <f>'Portefeuille SP2'!AL716</f>
        <v>0</v>
      </c>
      <c r="BA691" s="403">
        <f>'Portefeuille SP2'!AM716</f>
        <v>0</v>
      </c>
      <c r="BB691" s="403">
        <f>'Portefeuille SP2'!AN716</f>
        <v>0</v>
      </c>
      <c r="BC691" s="403">
        <f>'Portefeuille SP2'!AO716</f>
        <v>0</v>
      </c>
      <c r="BD691" s="403">
        <f>'Portefeuille SP2'!AP716</f>
        <v>0</v>
      </c>
      <c r="BE691" s="403">
        <f>'Portefeuille SP2'!AQ716</f>
        <v>0</v>
      </c>
      <c r="BF691" s="403">
        <f>'Portefeuille SP2'!AR716</f>
        <v>0</v>
      </c>
      <c r="BG691" s="403" t="e">
        <f>'Portefeuille SP2'!#REF!</f>
        <v>#REF!</v>
      </c>
      <c r="BH691" s="403" t="e">
        <f>'Portefeuille SP2'!#REF!</f>
        <v>#REF!</v>
      </c>
      <c r="BI691" s="403" t="e">
        <f>'Portefeuille SP2'!#REF!</f>
        <v>#REF!</v>
      </c>
      <c r="BJ691" s="403" t="e">
        <f>'Portefeuille SP2'!#REF!</f>
        <v>#REF!</v>
      </c>
      <c r="BK691" s="403" t="e">
        <f>'Portefeuille SP2'!#REF!</f>
        <v>#REF!</v>
      </c>
      <c r="BL691" s="388"/>
      <c r="BM691" s="404">
        <f>'Portefeuille SP2'!L716</f>
        <v>0</v>
      </c>
    </row>
    <row r="692" spans="1:65" ht="15" customHeight="1">
      <c r="A692" s="383">
        <f>'Portefeuille SP2'!B717</f>
        <v>0</v>
      </c>
      <c r="B692" s="390">
        <f>'Portefeuille SP2'!Q717</f>
        <v>0</v>
      </c>
      <c r="C692" s="384"/>
      <c r="D692" s="382">
        <f>'Portefeuille SP2'!E717</f>
        <v>0</v>
      </c>
      <c r="E692" s="382" t="str">
        <f t="shared" si="41"/>
        <v>0</v>
      </c>
      <c r="F692" s="382" t="str">
        <f t="shared" si="42"/>
        <v/>
      </c>
      <c r="G692" s="382">
        <f>'Portefeuille SP2'!C717</f>
        <v>0</v>
      </c>
      <c r="H692" s="382">
        <f>'Portefeuille SP2'!F717</f>
        <v>0</v>
      </c>
      <c r="I692" s="382"/>
      <c r="J692" s="382">
        <f>'Portefeuille SP2'!D717</f>
        <v>0</v>
      </c>
      <c r="K692" s="385">
        <f>'Portefeuille SP2'!H717</f>
        <v>0</v>
      </c>
      <c r="L692" s="157">
        <f>'Portefeuille SP2'!U717</f>
        <v>0</v>
      </c>
      <c r="M692" s="386"/>
      <c r="N692" s="386"/>
      <c r="O692" s="386"/>
      <c r="P692" s="387">
        <f>'Portefeuille SP2'!M717</f>
        <v>0</v>
      </c>
      <c r="Q692" s="387"/>
      <c r="R692" s="387">
        <f>'Portefeuille SP2'!N717</f>
        <v>0</v>
      </c>
      <c r="S692" s="387"/>
      <c r="T692" s="382">
        <f>'Portefeuille SP2'!R717</f>
        <v>0</v>
      </c>
      <c r="U692" s="387">
        <f>'Portefeuille SP2'!K717</f>
        <v>0</v>
      </c>
      <c r="V692" s="399">
        <f>'Portefeuille SP2'!S717</f>
        <v>0</v>
      </c>
      <c r="W692" s="387"/>
      <c r="X692" s="387"/>
      <c r="Y692" s="387"/>
      <c r="Z692" s="387"/>
      <c r="AA692" s="387"/>
      <c r="AB692" s="387"/>
      <c r="AC692" s="387"/>
      <c r="AD692" s="387"/>
      <c r="AE692" s="400">
        <f>'Portefeuille SP2'!J717</f>
        <v>0</v>
      </c>
      <c r="AF692" s="387"/>
      <c r="AG692" s="387"/>
      <c r="AH692" s="389"/>
      <c r="AI692" s="389"/>
      <c r="AJ692" s="403">
        <f>'Portefeuille SP2'!V717</f>
        <v>0</v>
      </c>
      <c r="AK692" s="403">
        <f>'Portefeuille SP2'!W717</f>
        <v>0</v>
      </c>
      <c r="AL692" s="403">
        <f>'Portefeuille SP2'!X717</f>
        <v>0</v>
      </c>
      <c r="AM692" s="403">
        <f>'Portefeuille SP2'!Y717</f>
        <v>0</v>
      </c>
      <c r="AN692" s="403">
        <f>'Portefeuille SP2'!Z717</f>
        <v>0</v>
      </c>
      <c r="AO692" s="403">
        <f>'Portefeuille SP2'!AA717</f>
        <v>0</v>
      </c>
      <c r="AP692" s="403">
        <f>'Portefeuille SP2'!AB717</f>
        <v>0</v>
      </c>
      <c r="AQ692" s="403">
        <f>'Portefeuille SP2'!AC717</f>
        <v>0</v>
      </c>
      <c r="AR692" s="403">
        <f>'Portefeuille SP2'!AD717</f>
        <v>0</v>
      </c>
      <c r="AS692" s="403">
        <f>'Portefeuille SP2'!AE717</f>
        <v>0</v>
      </c>
      <c r="AT692" s="403">
        <f>'Portefeuille SP2'!AF717</f>
        <v>0</v>
      </c>
      <c r="AU692" s="403">
        <f>'Portefeuille SP2'!AG717</f>
        <v>0</v>
      </c>
      <c r="AV692" s="403">
        <f>'Portefeuille SP2'!AH717</f>
        <v>0</v>
      </c>
      <c r="AW692" s="403">
        <f>'Portefeuille SP2'!AI717</f>
        <v>0</v>
      </c>
      <c r="AX692" s="403">
        <f>'Portefeuille SP2'!AJ717</f>
        <v>0</v>
      </c>
      <c r="AY692" s="403">
        <f>'Portefeuille SP2'!AK717</f>
        <v>0</v>
      </c>
      <c r="AZ692" s="403">
        <f>'Portefeuille SP2'!AL717</f>
        <v>0</v>
      </c>
      <c r="BA692" s="403">
        <f>'Portefeuille SP2'!AM717</f>
        <v>0</v>
      </c>
      <c r="BB692" s="403">
        <f>'Portefeuille SP2'!AN717</f>
        <v>0</v>
      </c>
      <c r="BC692" s="403">
        <f>'Portefeuille SP2'!AO717</f>
        <v>0</v>
      </c>
      <c r="BD692" s="403">
        <f>'Portefeuille SP2'!AP717</f>
        <v>0</v>
      </c>
      <c r="BE692" s="403">
        <f>'Portefeuille SP2'!AQ717</f>
        <v>0</v>
      </c>
      <c r="BF692" s="403">
        <f>'Portefeuille SP2'!AR717</f>
        <v>0</v>
      </c>
      <c r="BG692" s="403" t="e">
        <f>'Portefeuille SP2'!#REF!</f>
        <v>#REF!</v>
      </c>
      <c r="BH692" s="403" t="e">
        <f>'Portefeuille SP2'!#REF!</f>
        <v>#REF!</v>
      </c>
      <c r="BI692" s="403" t="e">
        <f>'Portefeuille SP2'!#REF!</f>
        <v>#REF!</v>
      </c>
      <c r="BJ692" s="403" t="e">
        <f>'Portefeuille SP2'!#REF!</f>
        <v>#REF!</v>
      </c>
      <c r="BK692" s="403" t="e">
        <f>'Portefeuille SP2'!#REF!</f>
        <v>#REF!</v>
      </c>
      <c r="BL692" s="388"/>
      <c r="BM692" s="404">
        <f>'Portefeuille SP2'!L717</f>
        <v>0</v>
      </c>
    </row>
    <row r="693" spans="1:65" ht="15" customHeight="1">
      <c r="A693" s="383">
        <f>'Portefeuille SP2'!B718</f>
        <v>0</v>
      </c>
      <c r="B693" s="390">
        <f>'Portefeuille SP2'!Q718</f>
        <v>0</v>
      </c>
      <c r="C693" s="384"/>
      <c r="D693" s="382">
        <f>'Portefeuille SP2'!E718</f>
        <v>0</v>
      </c>
      <c r="E693" s="382" t="str">
        <f t="shared" si="41"/>
        <v>0</v>
      </c>
      <c r="F693" s="382" t="str">
        <f t="shared" si="42"/>
        <v/>
      </c>
      <c r="G693" s="382">
        <f>'Portefeuille SP2'!C718</f>
        <v>0</v>
      </c>
      <c r="H693" s="382">
        <f>'Portefeuille SP2'!F718</f>
        <v>0</v>
      </c>
      <c r="I693" s="382"/>
      <c r="J693" s="382">
        <f>'Portefeuille SP2'!D718</f>
        <v>0</v>
      </c>
      <c r="K693" s="385">
        <f>'Portefeuille SP2'!H718</f>
        <v>0</v>
      </c>
      <c r="L693" s="157">
        <f>'Portefeuille SP2'!U718</f>
        <v>0</v>
      </c>
      <c r="M693" s="386"/>
      <c r="N693" s="386"/>
      <c r="O693" s="386"/>
      <c r="P693" s="387">
        <f>'Portefeuille SP2'!M718</f>
        <v>0</v>
      </c>
      <c r="Q693" s="387"/>
      <c r="R693" s="387">
        <f>'Portefeuille SP2'!N718</f>
        <v>0</v>
      </c>
      <c r="S693" s="387"/>
      <c r="T693" s="382">
        <f>'Portefeuille SP2'!R718</f>
        <v>0</v>
      </c>
      <c r="U693" s="387">
        <f>'Portefeuille SP2'!K718</f>
        <v>0</v>
      </c>
      <c r="V693" s="399">
        <f>'Portefeuille SP2'!S718</f>
        <v>0</v>
      </c>
      <c r="W693" s="387"/>
      <c r="X693" s="387"/>
      <c r="Y693" s="387"/>
      <c r="Z693" s="387"/>
      <c r="AA693" s="387"/>
      <c r="AB693" s="387"/>
      <c r="AC693" s="387"/>
      <c r="AD693" s="387"/>
      <c r="AE693" s="400">
        <f>'Portefeuille SP2'!J718</f>
        <v>0</v>
      </c>
      <c r="AF693" s="387"/>
      <c r="AG693" s="387"/>
      <c r="AH693" s="389"/>
      <c r="AI693" s="389"/>
      <c r="AJ693" s="403">
        <f>'Portefeuille SP2'!V718</f>
        <v>0</v>
      </c>
      <c r="AK693" s="403">
        <f>'Portefeuille SP2'!W718</f>
        <v>0</v>
      </c>
      <c r="AL693" s="403">
        <f>'Portefeuille SP2'!X718</f>
        <v>0</v>
      </c>
      <c r="AM693" s="403">
        <f>'Portefeuille SP2'!Y718</f>
        <v>0</v>
      </c>
      <c r="AN693" s="403">
        <f>'Portefeuille SP2'!Z718</f>
        <v>0</v>
      </c>
      <c r="AO693" s="403">
        <f>'Portefeuille SP2'!AA718</f>
        <v>0</v>
      </c>
      <c r="AP693" s="403">
        <f>'Portefeuille SP2'!AB718</f>
        <v>0</v>
      </c>
      <c r="AQ693" s="403">
        <f>'Portefeuille SP2'!AC718</f>
        <v>0</v>
      </c>
      <c r="AR693" s="403">
        <f>'Portefeuille SP2'!AD718</f>
        <v>0</v>
      </c>
      <c r="AS693" s="403">
        <f>'Portefeuille SP2'!AE718</f>
        <v>0</v>
      </c>
      <c r="AT693" s="403">
        <f>'Portefeuille SP2'!AF718</f>
        <v>0</v>
      </c>
      <c r="AU693" s="403">
        <f>'Portefeuille SP2'!AG718</f>
        <v>0</v>
      </c>
      <c r="AV693" s="403">
        <f>'Portefeuille SP2'!AH718</f>
        <v>0</v>
      </c>
      <c r="AW693" s="403">
        <f>'Portefeuille SP2'!AI718</f>
        <v>0</v>
      </c>
      <c r="AX693" s="403">
        <f>'Portefeuille SP2'!AJ718</f>
        <v>0</v>
      </c>
      <c r="AY693" s="403">
        <f>'Portefeuille SP2'!AK718</f>
        <v>0</v>
      </c>
      <c r="AZ693" s="403">
        <f>'Portefeuille SP2'!AL718</f>
        <v>0</v>
      </c>
      <c r="BA693" s="403">
        <f>'Portefeuille SP2'!AM718</f>
        <v>0</v>
      </c>
      <c r="BB693" s="403">
        <f>'Portefeuille SP2'!AN718</f>
        <v>0</v>
      </c>
      <c r="BC693" s="403">
        <f>'Portefeuille SP2'!AO718</f>
        <v>0</v>
      </c>
      <c r="BD693" s="403">
        <f>'Portefeuille SP2'!AP718</f>
        <v>0</v>
      </c>
      <c r="BE693" s="403">
        <f>'Portefeuille SP2'!AQ718</f>
        <v>0</v>
      </c>
      <c r="BF693" s="403">
        <f>'Portefeuille SP2'!AR718</f>
        <v>0</v>
      </c>
      <c r="BG693" s="403" t="e">
        <f>'Portefeuille SP2'!#REF!</f>
        <v>#REF!</v>
      </c>
      <c r="BH693" s="403" t="e">
        <f>'Portefeuille SP2'!#REF!</f>
        <v>#REF!</v>
      </c>
      <c r="BI693" s="403" t="e">
        <f>'Portefeuille SP2'!#REF!</f>
        <v>#REF!</v>
      </c>
      <c r="BJ693" s="403" t="e">
        <f>'Portefeuille SP2'!#REF!</f>
        <v>#REF!</v>
      </c>
      <c r="BK693" s="403" t="e">
        <f>'Portefeuille SP2'!#REF!</f>
        <v>#REF!</v>
      </c>
      <c r="BL693" s="388"/>
      <c r="BM693" s="404">
        <f>'Portefeuille SP2'!L718</f>
        <v>0</v>
      </c>
    </row>
    <row r="694" spans="1:65" ht="15" customHeight="1">
      <c r="A694" s="383">
        <f>'Portefeuille SP2'!B719</f>
        <v>0</v>
      </c>
      <c r="B694" s="390">
        <f>'Portefeuille SP2'!Q719</f>
        <v>0</v>
      </c>
      <c r="C694" s="384"/>
      <c r="D694" s="382">
        <f>'Portefeuille SP2'!E719</f>
        <v>0</v>
      </c>
      <c r="E694" s="382" t="str">
        <f t="shared" si="41"/>
        <v>0</v>
      </c>
      <c r="F694" s="382" t="str">
        <f t="shared" si="42"/>
        <v/>
      </c>
      <c r="G694" s="382">
        <f>'Portefeuille SP2'!C719</f>
        <v>0</v>
      </c>
      <c r="H694" s="382">
        <f>'Portefeuille SP2'!F719</f>
        <v>0</v>
      </c>
      <c r="I694" s="382"/>
      <c r="J694" s="382">
        <f>'Portefeuille SP2'!D719</f>
        <v>0</v>
      </c>
      <c r="K694" s="385">
        <f>'Portefeuille SP2'!H719</f>
        <v>0</v>
      </c>
      <c r="L694" s="157">
        <f>'Portefeuille SP2'!U719</f>
        <v>0</v>
      </c>
      <c r="M694" s="386"/>
      <c r="N694" s="386"/>
      <c r="O694" s="386"/>
      <c r="P694" s="387">
        <f>'Portefeuille SP2'!M719</f>
        <v>0</v>
      </c>
      <c r="Q694" s="387"/>
      <c r="R694" s="387">
        <f>'Portefeuille SP2'!N719</f>
        <v>0</v>
      </c>
      <c r="S694" s="387"/>
      <c r="T694" s="382">
        <f>'Portefeuille SP2'!R719</f>
        <v>0</v>
      </c>
      <c r="U694" s="387">
        <f>'Portefeuille SP2'!K719</f>
        <v>0</v>
      </c>
      <c r="V694" s="399">
        <f>'Portefeuille SP2'!S719</f>
        <v>0</v>
      </c>
      <c r="W694" s="387"/>
      <c r="X694" s="387"/>
      <c r="Y694" s="387"/>
      <c r="Z694" s="387"/>
      <c r="AA694" s="387"/>
      <c r="AB694" s="387"/>
      <c r="AC694" s="387"/>
      <c r="AD694" s="387"/>
      <c r="AE694" s="400">
        <f>'Portefeuille SP2'!J719</f>
        <v>0</v>
      </c>
      <c r="AF694" s="387"/>
      <c r="AG694" s="387"/>
      <c r="AH694" s="389"/>
      <c r="AI694" s="389"/>
      <c r="AJ694" s="403">
        <f>'Portefeuille SP2'!V719</f>
        <v>0</v>
      </c>
      <c r="AK694" s="403">
        <f>'Portefeuille SP2'!W719</f>
        <v>0</v>
      </c>
      <c r="AL694" s="403">
        <f>'Portefeuille SP2'!X719</f>
        <v>0</v>
      </c>
      <c r="AM694" s="403">
        <f>'Portefeuille SP2'!Y719</f>
        <v>0</v>
      </c>
      <c r="AN694" s="403">
        <f>'Portefeuille SP2'!Z719</f>
        <v>0</v>
      </c>
      <c r="AO694" s="403">
        <f>'Portefeuille SP2'!AA719</f>
        <v>0</v>
      </c>
      <c r="AP694" s="403">
        <f>'Portefeuille SP2'!AB719</f>
        <v>0</v>
      </c>
      <c r="AQ694" s="403">
        <f>'Portefeuille SP2'!AC719</f>
        <v>0</v>
      </c>
      <c r="AR694" s="403">
        <f>'Portefeuille SP2'!AD719</f>
        <v>0</v>
      </c>
      <c r="AS694" s="403">
        <f>'Portefeuille SP2'!AE719</f>
        <v>0</v>
      </c>
      <c r="AT694" s="403">
        <f>'Portefeuille SP2'!AF719</f>
        <v>0</v>
      </c>
      <c r="AU694" s="403">
        <f>'Portefeuille SP2'!AG719</f>
        <v>0</v>
      </c>
      <c r="AV694" s="403">
        <f>'Portefeuille SP2'!AH719</f>
        <v>0</v>
      </c>
      <c r="AW694" s="403">
        <f>'Portefeuille SP2'!AI719</f>
        <v>0</v>
      </c>
      <c r="AX694" s="403">
        <f>'Portefeuille SP2'!AJ719</f>
        <v>0</v>
      </c>
      <c r="AY694" s="403">
        <f>'Portefeuille SP2'!AK719</f>
        <v>0</v>
      </c>
      <c r="AZ694" s="403">
        <f>'Portefeuille SP2'!AL719</f>
        <v>0</v>
      </c>
      <c r="BA694" s="403">
        <f>'Portefeuille SP2'!AM719</f>
        <v>0</v>
      </c>
      <c r="BB694" s="403">
        <f>'Portefeuille SP2'!AN719</f>
        <v>0</v>
      </c>
      <c r="BC694" s="403">
        <f>'Portefeuille SP2'!AO719</f>
        <v>0</v>
      </c>
      <c r="BD694" s="403">
        <f>'Portefeuille SP2'!AP719</f>
        <v>0</v>
      </c>
      <c r="BE694" s="403">
        <f>'Portefeuille SP2'!AQ719</f>
        <v>0</v>
      </c>
      <c r="BF694" s="403">
        <f>'Portefeuille SP2'!AR719</f>
        <v>0</v>
      </c>
      <c r="BG694" s="403" t="e">
        <f>'Portefeuille SP2'!#REF!</f>
        <v>#REF!</v>
      </c>
      <c r="BH694" s="403" t="e">
        <f>'Portefeuille SP2'!#REF!</f>
        <v>#REF!</v>
      </c>
      <c r="BI694" s="403" t="e">
        <f>'Portefeuille SP2'!#REF!</f>
        <v>#REF!</v>
      </c>
      <c r="BJ694" s="403" t="e">
        <f>'Portefeuille SP2'!#REF!</f>
        <v>#REF!</v>
      </c>
      <c r="BK694" s="403" t="e">
        <f>'Portefeuille SP2'!#REF!</f>
        <v>#REF!</v>
      </c>
      <c r="BL694" s="388"/>
      <c r="BM694" s="404">
        <f>'Portefeuille SP2'!L719</f>
        <v>0</v>
      </c>
    </row>
    <row r="695" spans="1:65" ht="15" customHeight="1">
      <c r="A695" s="383">
        <f>'Portefeuille SP2'!B720</f>
        <v>0</v>
      </c>
      <c r="B695" s="390">
        <f>'Portefeuille SP2'!Q720</f>
        <v>0</v>
      </c>
      <c r="C695" s="384"/>
      <c r="D695" s="382">
        <f>'Portefeuille SP2'!E720</f>
        <v>0</v>
      </c>
      <c r="E695" s="382" t="str">
        <f t="shared" si="41"/>
        <v>0</v>
      </c>
      <c r="F695" s="382" t="str">
        <f t="shared" si="42"/>
        <v/>
      </c>
      <c r="G695" s="382">
        <f>'Portefeuille SP2'!C720</f>
        <v>0</v>
      </c>
      <c r="H695" s="382">
        <f>'Portefeuille SP2'!F720</f>
        <v>0</v>
      </c>
      <c r="I695" s="382"/>
      <c r="J695" s="382">
        <f>'Portefeuille SP2'!D720</f>
        <v>0</v>
      </c>
      <c r="K695" s="385">
        <f>'Portefeuille SP2'!H720</f>
        <v>0</v>
      </c>
      <c r="L695" s="157">
        <f>'Portefeuille SP2'!U720</f>
        <v>0</v>
      </c>
      <c r="M695" s="386"/>
      <c r="N695" s="386"/>
      <c r="O695" s="386"/>
      <c r="P695" s="387">
        <f>'Portefeuille SP2'!M720</f>
        <v>0</v>
      </c>
      <c r="Q695" s="387"/>
      <c r="R695" s="387">
        <f>'Portefeuille SP2'!N720</f>
        <v>0</v>
      </c>
      <c r="S695" s="387"/>
      <c r="T695" s="382">
        <f>'Portefeuille SP2'!R720</f>
        <v>0</v>
      </c>
      <c r="U695" s="387">
        <f>'Portefeuille SP2'!K720</f>
        <v>0</v>
      </c>
      <c r="V695" s="399">
        <f>'Portefeuille SP2'!S720</f>
        <v>0</v>
      </c>
      <c r="W695" s="387"/>
      <c r="X695" s="387"/>
      <c r="Y695" s="387"/>
      <c r="Z695" s="387"/>
      <c r="AA695" s="387"/>
      <c r="AB695" s="387"/>
      <c r="AC695" s="387"/>
      <c r="AD695" s="387"/>
      <c r="AE695" s="400">
        <f>'Portefeuille SP2'!J720</f>
        <v>0</v>
      </c>
      <c r="AF695" s="387"/>
      <c r="AG695" s="387"/>
      <c r="AH695" s="389"/>
      <c r="AI695" s="389"/>
      <c r="AJ695" s="403">
        <f>'Portefeuille SP2'!V720</f>
        <v>0</v>
      </c>
      <c r="AK695" s="403">
        <f>'Portefeuille SP2'!W720</f>
        <v>0</v>
      </c>
      <c r="AL695" s="403">
        <f>'Portefeuille SP2'!X720</f>
        <v>0</v>
      </c>
      <c r="AM695" s="403">
        <f>'Portefeuille SP2'!Y720</f>
        <v>0</v>
      </c>
      <c r="AN695" s="403">
        <f>'Portefeuille SP2'!Z720</f>
        <v>0</v>
      </c>
      <c r="AO695" s="403">
        <f>'Portefeuille SP2'!AA720</f>
        <v>0</v>
      </c>
      <c r="AP695" s="403">
        <f>'Portefeuille SP2'!AB720</f>
        <v>0</v>
      </c>
      <c r="AQ695" s="403">
        <f>'Portefeuille SP2'!AC720</f>
        <v>0</v>
      </c>
      <c r="AR695" s="403">
        <f>'Portefeuille SP2'!AD720</f>
        <v>0</v>
      </c>
      <c r="AS695" s="403">
        <f>'Portefeuille SP2'!AE720</f>
        <v>0</v>
      </c>
      <c r="AT695" s="403">
        <f>'Portefeuille SP2'!AF720</f>
        <v>0</v>
      </c>
      <c r="AU695" s="403">
        <f>'Portefeuille SP2'!AG720</f>
        <v>0</v>
      </c>
      <c r="AV695" s="403">
        <f>'Portefeuille SP2'!AH720</f>
        <v>0</v>
      </c>
      <c r="AW695" s="403">
        <f>'Portefeuille SP2'!AI720</f>
        <v>0</v>
      </c>
      <c r="AX695" s="403">
        <f>'Portefeuille SP2'!AJ720</f>
        <v>0</v>
      </c>
      <c r="AY695" s="403">
        <f>'Portefeuille SP2'!AK720</f>
        <v>0</v>
      </c>
      <c r="AZ695" s="403">
        <f>'Portefeuille SP2'!AL720</f>
        <v>0</v>
      </c>
      <c r="BA695" s="403">
        <f>'Portefeuille SP2'!AM720</f>
        <v>0</v>
      </c>
      <c r="BB695" s="403">
        <f>'Portefeuille SP2'!AN720</f>
        <v>0</v>
      </c>
      <c r="BC695" s="403">
        <f>'Portefeuille SP2'!AO720</f>
        <v>0</v>
      </c>
      <c r="BD695" s="403">
        <f>'Portefeuille SP2'!AP720</f>
        <v>0</v>
      </c>
      <c r="BE695" s="403">
        <f>'Portefeuille SP2'!AQ720</f>
        <v>0</v>
      </c>
      <c r="BF695" s="403">
        <f>'Portefeuille SP2'!AR720</f>
        <v>0</v>
      </c>
      <c r="BG695" s="403" t="e">
        <f>'Portefeuille SP2'!#REF!</f>
        <v>#REF!</v>
      </c>
      <c r="BH695" s="403" t="e">
        <f>'Portefeuille SP2'!#REF!</f>
        <v>#REF!</v>
      </c>
      <c r="BI695" s="403" t="e">
        <f>'Portefeuille SP2'!#REF!</f>
        <v>#REF!</v>
      </c>
      <c r="BJ695" s="403" t="e">
        <f>'Portefeuille SP2'!#REF!</f>
        <v>#REF!</v>
      </c>
      <c r="BK695" s="403" t="e">
        <f>'Portefeuille SP2'!#REF!</f>
        <v>#REF!</v>
      </c>
      <c r="BL695" s="388"/>
      <c r="BM695" s="404">
        <f>'Portefeuille SP2'!L720</f>
        <v>0</v>
      </c>
    </row>
    <row r="696" spans="1:65" ht="15" customHeight="1">
      <c r="A696" s="383">
        <f>'Portefeuille SP2'!B721</f>
        <v>0</v>
      </c>
      <c r="B696" s="390">
        <f>'Portefeuille SP2'!Q721</f>
        <v>0</v>
      </c>
      <c r="C696" s="384"/>
      <c r="D696" s="382">
        <f>'Portefeuille SP2'!E721</f>
        <v>0</v>
      </c>
      <c r="E696" s="382" t="str">
        <f t="shared" si="41"/>
        <v>0</v>
      </c>
      <c r="F696" s="382" t="str">
        <f t="shared" si="42"/>
        <v/>
      </c>
      <c r="G696" s="382">
        <f>'Portefeuille SP2'!C721</f>
        <v>0</v>
      </c>
      <c r="H696" s="382">
        <f>'Portefeuille SP2'!F721</f>
        <v>0</v>
      </c>
      <c r="I696" s="382"/>
      <c r="J696" s="382">
        <f>'Portefeuille SP2'!D721</f>
        <v>0</v>
      </c>
      <c r="K696" s="385">
        <f>'Portefeuille SP2'!H721</f>
        <v>0</v>
      </c>
      <c r="L696" s="157">
        <f>'Portefeuille SP2'!U721</f>
        <v>0</v>
      </c>
      <c r="M696" s="386"/>
      <c r="N696" s="386"/>
      <c r="O696" s="386"/>
      <c r="P696" s="387">
        <f>'Portefeuille SP2'!M721</f>
        <v>0</v>
      </c>
      <c r="Q696" s="387"/>
      <c r="R696" s="387">
        <f>'Portefeuille SP2'!N721</f>
        <v>0</v>
      </c>
      <c r="S696" s="387"/>
      <c r="T696" s="382">
        <f>'Portefeuille SP2'!R721</f>
        <v>0</v>
      </c>
      <c r="U696" s="387">
        <f>'Portefeuille SP2'!K721</f>
        <v>0</v>
      </c>
      <c r="V696" s="399">
        <f>'Portefeuille SP2'!S721</f>
        <v>0</v>
      </c>
      <c r="W696" s="387"/>
      <c r="X696" s="387"/>
      <c r="Y696" s="387"/>
      <c r="Z696" s="387"/>
      <c r="AA696" s="387"/>
      <c r="AB696" s="387"/>
      <c r="AC696" s="387"/>
      <c r="AD696" s="387"/>
      <c r="AE696" s="400">
        <f>'Portefeuille SP2'!J721</f>
        <v>0</v>
      </c>
      <c r="AF696" s="387"/>
      <c r="AG696" s="387"/>
      <c r="AH696" s="389"/>
      <c r="AI696" s="389"/>
      <c r="AJ696" s="403">
        <f>'Portefeuille SP2'!V721</f>
        <v>0</v>
      </c>
      <c r="AK696" s="403">
        <f>'Portefeuille SP2'!W721</f>
        <v>0</v>
      </c>
      <c r="AL696" s="403">
        <f>'Portefeuille SP2'!X721</f>
        <v>0</v>
      </c>
      <c r="AM696" s="403">
        <f>'Portefeuille SP2'!Y721</f>
        <v>0</v>
      </c>
      <c r="AN696" s="403">
        <f>'Portefeuille SP2'!Z721</f>
        <v>0</v>
      </c>
      <c r="AO696" s="403">
        <f>'Portefeuille SP2'!AA721</f>
        <v>0</v>
      </c>
      <c r="AP696" s="403">
        <f>'Portefeuille SP2'!AB721</f>
        <v>0</v>
      </c>
      <c r="AQ696" s="403">
        <f>'Portefeuille SP2'!AC721</f>
        <v>0</v>
      </c>
      <c r="AR696" s="403">
        <f>'Portefeuille SP2'!AD721</f>
        <v>0</v>
      </c>
      <c r="AS696" s="403">
        <f>'Portefeuille SP2'!AE721</f>
        <v>0</v>
      </c>
      <c r="AT696" s="403">
        <f>'Portefeuille SP2'!AF721</f>
        <v>0</v>
      </c>
      <c r="AU696" s="403">
        <f>'Portefeuille SP2'!AG721</f>
        <v>0</v>
      </c>
      <c r="AV696" s="403">
        <f>'Portefeuille SP2'!AH721</f>
        <v>0</v>
      </c>
      <c r="AW696" s="403">
        <f>'Portefeuille SP2'!AI721</f>
        <v>0</v>
      </c>
      <c r="AX696" s="403">
        <f>'Portefeuille SP2'!AJ721</f>
        <v>0</v>
      </c>
      <c r="AY696" s="403">
        <f>'Portefeuille SP2'!AK721</f>
        <v>0</v>
      </c>
      <c r="AZ696" s="403">
        <f>'Portefeuille SP2'!AL721</f>
        <v>0</v>
      </c>
      <c r="BA696" s="403">
        <f>'Portefeuille SP2'!AM721</f>
        <v>0</v>
      </c>
      <c r="BB696" s="403">
        <f>'Portefeuille SP2'!AN721</f>
        <v>0</v>
      </c>
      <c r="BC696" s="403">
        <f>'Portefeuille SP2'!AO721</f>
        <v>0</v>
      </c>
      <c r="BD696" s="403">
        <f>'Portefeuille SP2'!AP721</f>
        <v>0</v>
      </c>
      <c r="BE696" s="403">
        <f>'Portefeuille SP2'!AQ721</f>
        <v>0</v>
      </c>
      <c r="BF696" s="403">
        <f>'Portefeuille SP2'!AR721</f>
        <v>0</v>
      </c>
      <c r="BG696" s="403" t="e">
        <f>'Portefeuille SP2'!#REF!</f>
        <v>#REF!</v>
      </c>
      <c r="BH696" s="403" t="e">
        <f>'Portefeuille SP2'!#REF!</f>
        <v>#REF!</v>
      </c>
      <c r="BI696" s="403" t="e">
        <f>'Portefeuille SP2'!#REF!</f>
        <v>#REF!</v>
      </c>
      <c r="BJ696" s="403" t="e">
        <f>'Portefeuille SP2'!#REF!</f>
        <v>#REF!</v>
      </c>
      <c r="BK696" s="403" t="e">
        <f>'Portefeuille SP2'!#REF!</f>
        <v>#REF!</v>
      </c>
      <c r="BL696" s="388"/>
      <c r="BM696" s="404">
        <f>'Portefeuille SP2'!L721</f>
        <v>0</v>
      </c>
    </row>
    <row r="697" spans="1:65" ht="15" customHeight="1">
      <c r="A697" s="383">
        <f>'Portefeuille SP2'!B722</f>
        <v>0</v>
      </c>
      <c r="B697" s="390">
        <f>'Portefeuille SP2'!Q722</f>
        <v>0</v>
      </c>
      <c r="C697" s="384"/>
      <c r="D697" s="382">
        <f>'Portefeuille SP2'!E722</f>
        <v>0</v>
      </c>
      <c r="E697" s="382" t="str">
        <f t="shared" si="41"/>
        <v>0</v>
      </c>
      <c r="F697" s="382" t="str">
        <f t="shared" si="42"/>
        <v/>
      </c>
      <c r="G697" s="382">
        <f>'Portefeuille SP2'!C722</f>
        <v>0</v>
      </c>
      <c r="H697" s="382">
        <f>'Portefeuille SP2'!F722</f>
        <v>0</v>
      </c>
      <c r="I697" s="382"/>
      <c r="J697" s="382">
        <f>'Portefeuille SP2'!D722</f>
        <v>0</v>
      </c>
      <c r="K697" s="385">
        <f>'Portefeuille SP2'!H722</f>
        <v>0</v>
      </c>
      <c r="L697" s="157">
        <f>'Portefeuille SP2'!U722</f>
        <v>0</v>
      </c>
      <c r="M697" s="386"/>
      <c r="N697" s="386"/>
      <c r="O697" s="386"/>
      <c r="P697" s="387">
        <f>'Portefeuille SP2'!M722</f>
        <v>0</v>
      </c>
      <c r="Q697" s="387"/>
      <c r="R697" s="387">
        <f>'Portefeuille SP2'!N722</f>
        <v>0</v>
      </c>
      <c r="S697" s="387"/>
      <c r="T697" s="382">
        <f>'Portefeuille SP2'!R722</f>
        <v>0</v>
      </c>
      <c r="U697" s="387">
        <f>'Portefeuille SP2'!K722</f>
        <v>0</v>
      </c>
      <c r="V697" s="399">
        <f>'Portefeuille SP2'!S722</f>
        <v>0</v>
      </c>
      <c r="W697" s="387"/>
      <c r="X697" s="387"/>
      <c r="Y697" s="387"/>
      <c r="Z697" s="387"/>
      <c r="AA697" s="387"/>
      <c r="AB697" s="387"/>
      <c r="AC697" s="387"/>
      <c r="AD697" s="387"/>
      <c r="AE697" s="400">
        <f>'Portefeuille SP2'!J722</f>
        <v>0</v>
      </c>
      <c r="AF697" s="387"/>
      <c r="AG697" s="387"/>
      <c r="AH697" s="389"/>
      <c r="AI697" s="389"/>
      <c r="AJ697" s="403">
        <f>'Portefeuille SP2'!V722</f>
        <v>0</v>
      </c>
      <c r="AK697" s="403">
        <f>'Portefeuille SP2'!W722</f>
        <v>0</v>
      </c>
      <c r="AL697" s="403">
        <f>'Portefeuille SP2'!X722</f>
        <v>0</v>
      </c>
      <c r="AM697" s="403">
        <f>'Portefeuille SP2'!Y722</f>
        <v>0</v>
      </c>
      <c r="AN697" s="403">
        <f>'Portefeuille SP2'!Z722</f>
        <v>0</v>
      </c>
      <c r="AO697" s="403">
        <f>'Portefeuille SP2'!AA722</f>
        <v>0</v>
      </c>
      <c r="AP697" s="403">
        <f>'Portefeuille SP2'!AB722</f>
        <v>0</v>
      </c>
      <c r="AQ697" s="403">
        <f>'Portefeuille SP2'!AC722</f>
        <v>0</v>
      </c>
      <c r="AR697" s="403">
        <f>'Portefeuille SP2'!AD722</f>
        <v>0</v>
      </c>
      <c r="AS697" s="403">
        <f>'Portefeuille SP2'!AE722</f>
        <v>0</v>
      </c>
      <c r="AT697" s="403">
        <f>'Portefeuille SP2'!AF722</f>
        <v>0</v>
      </c>
      <c r="AU697" s="403">
        <f>'Portefeuille SP2'!AG722</f>
        <v>0</v>
      </c>
      <c r="AV697" s="403">
        <f>'Portefeuille SP2'!AH722</f>
        <v>0</v>
      </c>
      <c r="AW697" s="403">
        <f>'Portefeuille SP2'!AI722</f>
        <v>0</v>
      </c>
      <c r="AX697" s="403">
        <f>'Portefeuille SP2'!AJ722</f>
        <v>0</v>
      </c>
      <c r="AY697" s="403">
        <f>'Portefeuille SP2'!AK722</f>
        <v>0</v>
      </c>
      <c r="AZ697" s="403">
        <f>'Portefeuille SP2'!AL722</f>
        <v>0</v>
      </c>
      <c r="BA697" s="403">
        <f>'Portefeuille SP2'!AM722</f>
        <v>0</v>
      </c>
      <c r="BB697" s="403">
        <f>'Portefeuille SP2'!AN722</f>
        <v>0</v>
      </c>
      <c r="BC697" s="403">
        <f>'Portefeuille SP2'!AO722</f>
        <v>0</v>
      </c>
      <c r="BD697" s="403">
        <f>'Portefeuille SP2'!AP722</f>
        <v>0</v>
      </c>
      <c r="BE697" s="403">
        <f>'Portefeuille SP2'!AQ722</f>
        <v>0</v>
      </c>
      <c r="BF697" s="403">
        <f>'Portefeuille SP2'!AR722</f>
        <v>0</v>
      </c>
      <c r="BG697" s="403" t="e">
        <f>'Portefeuille SP2'!#REF!</f>
        <v>#REF!</v>
      </c>
      <c r="BH697" s="403" t="e">
        <f>'Portefeuille SP2'!#REF!</f>
        <v>#REF!</v>
      </c>
      <c r="BI697" s="403" t="e">
        <f>'Portefeuille SP2'!#REF!</f>
        <v>#REF!</v>
      </c>
      <c r="BJ697" s="403" t="e">
        <f>'Portefeuille SP2'!#REF!</f>
        <v>#REF!</v>
      </c>
      <c r="BK697" s="403" t="e">
        <f>'Portefeuille SP2'!#REF!</f>
        <v>#REF!</v>
      </c>
      <c r="BL697" s="388"/>
      <c r="BM697" s="404">
        <f>'Portefeuille SP2'!L722</f>
        <v>0</v>
      </c>
    </row>
    <row r="698" spans="1:65" ht="15" customHeight="1">
      <c r="A698" s="383">
        <f>'Portefeuille SP2'!B723</f>
        <v>0</v>
      </c>
      <c r="B698" s="390">
        <f>'Portefeuille SP2'!Q723</f>
        <v>0</v>
      </c>
      <c r="C698" s="384"/>
      <c r="D698" s="382">
        <f>'Portefeuille SP2'!E723</f>
        <v>0</v>
      </c>
      <c r="E698" s="382" t="str">
        <f t="shared" si="41"/>
        <v>0</v>
      </c>
      <c r="F698" s="382" t="str">
        <f t="shared" si="42"/>
        <v/>
      </c>
      <c r="G698" s="382">
        <f>'Portefeuille SP2'!C723</f>
        <v>0</v>
      </c>
      <c r="H698" s="382">
        <f>'Portefeuille SP2'!F723</f>
        <v>0</v>
      </c>
      <c r="I698" s="382"/>
      <c r="J698" s="382">
        <f>'Portefeuille SP2'!D723</f>
        <v>0</v>
      </c>
      <c r="K698" s="385">
        <f>'Portefeuille SP2'!H723</f>
        <v>0</v>
      </c>
      <c r="L698" s="157">
        <f>'Portefeuille SP2'!U723</f>
        <v>0</v>
      </c>
      <c r="M698" s="386"/>
      <c r="N698" s="386"/>
      <c r="O698" s="386"/>
      <c r="P698" s="387">
        <f>'Portefeuille SP2'!M723</f>
        <v>0</v>
      </c>
      <c r="Q698" s="387"/>
      <c r="R698" s="387">
        <f>'Portefeuille SP2'!N723</f>
        <v>0</v>
      </c>
      <c r="S698" s="387"/>
      <c r="T698" s="382">
        <f>'Portefeuille SP2'!R723</f>
        <v>0</v>
      </c>
      <c r="U698" s="387">
        <f>'Portefeuille SP2'!K723</f>
        <v>0</v>
      </c>
      <c r="V698" s="399">
        <f>'Portefeuille SP2'!S723</f>
        <v>0</v>
      </c>
      <c r="W698" s="387"/>
      <c r="X698" s="387"/>
      <c r="Y698" s="387"/>
      <c r="Z698" s="387"/>
      <c r="AA698" s="387"/>
      <c r="AB698" s="387"/>
      <c r="AC698" s="387"/>
      <c r="AD698" s="387"/>
      <c r="AE698" s="400">
        <f>'Portefeuille SP2'!J723</f>
        <v>0</v>
      </c>
      <c r="AF698" s="387"/>
      <c r="AG698" s="387"/>
      <c r="AH698" s="389"/>
      <c r="AI698" s="389"/>
      <c r="AJ698" s="403">
        <f>'Portefeuille SP2'!V723</f>
        <v>0</v>
      </c>
      <c r="AK698" s="403">
        <f>'Portefeuille SP2'!W723</f>
        <v>0</v>
      </c>
      <c r="AL698" s="403">
        <f>'Portefeuille SP2'!X723</f>
        <v>0</v>
      </c>
      <c r="AM698" s="403">
        <f>'Portefeuille SP2'!Y723</f>
        <v>0</v>
      </c>
      <c r="AN698" s="403">
        <f>'Portefeuille SP2'!Z723</f>
        <v>0</v>
      </c>
      <c r="AO698" s="403">
        <f>'Portefeuille SP2'!AA723</f>
        <v>0</v>
      </c>
      <c r="AP698" s="403">
        <f>'Portefeuille SP2'!AB723</f>
        <v>0</v>
      </c>
      <c r="AQ698" s="403">
        <f>'Portefeuille SP2'!AC723</f>
        <v>0</v>
      </c>
      <c r="AR698" s="403">
        <f>'Portefeuille SP2'!AD723</f>
        <v>0</v>
      </c>
      <c r="AS698" s="403">
        <f>'Portefeuille SP2'!AE723</f>
        <v>0</v>
      </c>
      <c r="AT698" s="403">
        <f>'Portefeuille SP2'!AF723</f>
        <v>0</v>
      </c>
      <c r="AU698" s="403">
        <f>'Portefeuille SP2'!AG723</f>
        <v>0</v>
      </c>
      <c r="AV698" s="403">
        <f>'Portefeuille SP2'!AH723</f>
        <v>0</v>
      </c>
      <c r="AW698" s="403">
        <f>'Portefeuille SP2'!AI723</f>
        <v>0</v>
      </c>
      <c r="AX698" s="403">
        <f>'Portefeuille SP2'!AJ723</f>
        <v>0</v>
      </c>
      <c r="AY698" s="403">
        <f>'Portefeuille SP2'!AK723</f>
        <v>0</v>
      </c>
      <c r="AZ698" s="403">
        <f>'Portefeuille SP2'!AL723</f>
        <v>0</v>
      </c>
      <c r="BA698" s="403">
        <f>'Portefeuille SP2'!AM723</f>
        <v>0</v>
      </c>
      <c r="BB698" s="403">
        <f>'Portefeuille SP2'!AN723</f>
        <v>0</v>
      </c>
      <c r="BC698" s="403">
        <f>'Portefeuille SP2'!AO723</f>
        <v>0</v>
      </c>
      <c r="BD698" s="403">
        <f>'Portefeuille SP2'!AP723</f>
        <v>0</v>
      </c>
      <c r="BE698" s="403">
        <f>'Portefeuille SP2'!AQ723</f>
        <v>0</v>
      </c>
      <c r="BF698" s="403">
        <f>'Portefeuille SP2'!AR723</f>
        <v>0</v>
      </c>
      <c r="BG698" s="403" t="e">
        <f>'Portefeuille SP2'!#REF!</f>
        <v>#REF!</v>
      </c>
      <c r="BH698" s="403" t="e">
        <f>'Portefeuille SP2'!#REF!</f>
        <v>#REF!</v>
      </c>
      <c r="BI698" s="403" t="e">
        <f>'Portefeuille SP2'!#REF!</f>
        <v>#REF!</v>
      </c>
      <c r="BJ698" s="403" t="e">
        <f>'Portefeuille SP2'!#REF!</f>
        <v>#REF!</v>
      </c>
      <c r="BK698" s="403" t="e">
        <f>'Portefeuille SP2'!#REF!</f>
        <v>#REF!</v>
      </c>
      <c r="BL698" s="388"/>
      <c r="BM698" s="404">
        <f>'Portefeuille SP2'!L723</f>
        <v>0</v>
      </c>
    </row>
    <row r="699" spans="1:65" ht="15" customHeight="1">
      <c r="A699" s="383">
        <f>'Portefeuille SP2'!B724</f>
        <v>0</v>
      </c>
      <c r="B699" s="390">
        <f>'Portefeuille SP2'!Q724</f>
        <v>0</v>
      </c>
      <c r="C699" s="384"/>
      <c r="D699" s="382">
        <f>'Portefeuille SP2'!E724</f>
        <v>0</v>
      </c>
      <c r="E699" s="382" t="str">
        <f t="shared" si="41"/>
        <v>0</v>
      </c>
      <c r="F699" s="382" t="str">
        <f t="shared" si="42"/>
        <v/>
      </c>
      <c r="G699" s="382">
        <f>'Portefeuille SP2'!C724</f>
        <v>0</v>
      </c>
      <c r="H699" s="382">
        <f>'Portefeuille SP2'!F724</f>
        <v>0</v>
      </c>
      <c r="I699" s="382"/>
      <c r="J699" s="382">
        <f>'Portefeuille SP2'!D724</f>
        <v>0</v>
      </c>
      <c r="K699" s="385">
        <f>'Portefeuille SP2'!H724</f>
        <v>0</v>
      </c>
      <c r="L699" s="157">
        <f>'Portefeuille SP2'!U724</f>
        <v>0</v>
      </c>
      <c r="M699" s="386"/>
      <c r="N699" s="386"/>
      <c r="O699" s="386"/>
      <c r="P699" s="387">
        <f>'Portefeuille SP2'!M724</f>
        <v>0</v>
      </c>
      <c r="Q699" s="387"/>
      <c r="R699" s="387">
        <f>'Portefeuille SP2'!N724</f>
        <v>0</v>
      </c>
      <c r="S699" s="387"/>
      <c r="T699" s="382">
        <f>'Portefeuille SP2'!R724</f>
        <v>0</v>
      </c>
      <c r="U699" s="387">
        <f>'Portefeuille SP2'!K724</f>
        <v>0</v>
      </c>
      <c r="V699" s="399">
        <f>'Portefeuille SP2'!S724</f>
        <v>0</v>
      </c>
      <c r="W699" s="387"/>
      <c r="X699" s="387"/>
      <c r="Y699" s="387"/>
      <c r="Z699" s="387"/>
      <c r="AA699" s="387"/>
      <c r="AB699" s="387"/>
      <c r="AC699" s="387"/>
      <c r="AD699" s="387"/>
      <c r="AE699" s="400">
        <f>'Portefeuille SP2'!J724</f>
        <v>0</v>
      </c>
      <c r="AF699" s="387"/>
      <c r="AG699" s="387"/>
      <c r="AH699" s="389"/>
      <c r="AI699" s="389"/>
      <c r="AJ699" s="403">
        <f>'Portefeuille SP2'!V724</f>
        <v>0</v>
      </c>
      <c r="AK699" s="403">
        <f>'Portefeuille SP2'!W724</f>
        <v>0</v>
      </c>
      <c r="AL699" s="403">
        <f>'Portefeuille SP2'!X724</f>
        <v>0</v>
      </c>
      <c r="AM699" s="403">
        <f>'Portefeuille SP2'!Y724</f>
        <v>0</v>
      </c>
      <c r="AN699" s="403">
        <f>'Portefeuille SP2'!Z724</f>
        <v>0</v>
      </c>
      <c r="AO699" s="403">
        <f>'Portefeuille SP2'!AA724</f>
        <v>0</v>
      </c>
      <c r="AP699" s="403">
        <f>'Portefeuille SP2'!AB724</f>
        <v>0</v>
      </c>
      <c r="AQ699" s="403">
        <f>'Portefeuille SP2'!AC724</f>
        <v>0</v>
      </c>
      <c r="AR699" s="403">
        <f>'Portefeuille SP2'!AD724</f>
        <v>0</v>
      </c>
      <c r="AS699" s="403">
        <f>'Portefeuille SP2'!AE724</f>
        <v>0</v>
      </c>
      <c r="AT699" s="403">
        <f>'Portefeuille SP2'!AF724</f>
        <v>0</v>
      </c>
      <c r="AU699" s="403">
        <f>'Portefeuille SP2'!AG724</f>
        <v>0</v>
      </c>
      <c r="AV699" s="403">
        <f>'Portefeuille SP2'!AH724</f>
        <v>0</v>
      </c>
      <c r="AW699" s="403">
        <f>'Portefeuille SP2'!AI724</f>
        <v>0</v>
      </c>
      <c r="AX699" s="403">
        <f>'Portefeuille SP2'!AJ724</f>
        <v>0</v>
      </c>
      <c r="AY699" s="403">
        <f>'Portefeuille SP2'!AK724</f>
        <v>0</v>
      </c>
      <c r="AZ699" s="403">
        <f>'Portefeuille SP2'!AL724</f>
        <v>0</v>
      </c>
      <c r="BA699" s="403">
        <f>'Portefeuille SP2'!AM724</f>
        <v>0</v>
      </c>
      <c r="BB699" s="403">
        <f>'Portefeuille SP2'!AN724</f>
        <v>0</v>
      </c>
      <c r="BC699" s="403">
        <f>'Portefeuille SP2'!AO724</f>
        <v>0</v>
      </c>
      <c r="BD699" s="403">
        <f>'Portefeuille SP2'!AP724</f>
        <v>0</v>
      </c>
      <c r="BE699" s="403">
        <f>'Portefeuille SP2'!AQ724</f>
        <v>0</v>
      </c>
      <c r="BF699" s="403">
        <f>'Portefeuille SP2'!AR724</f>
        <v>0</v>
      </c>
      <c r="BG699" s="403" t="e">
        <f>'Portefeuille SP2'!#REF!</f>
        <v>#REF!</v>
      </c>
      <c r="BH699" s="403" t="e">
        <f>'Portefeuille SP2'!#REF!</f>
        <v>#REF!</v>
      </c>
      <c r="BI699" s="403" t="e">
        <f>'Portefeuille SP2'!#REF!</f>
        <v>#REF!</v>
      </c>
      <c r="BJ699" s="403" t="e">
        <f>'Portefeuille SP2'!#REF!</f>
        <v>#REF!</v>
      </c>
      <c r="BK699" s="403" t="e">
        <f>'Portefeuille SP2'!#REF!</f>
        <v>#REF!</v>
      </c>
      <c r="BL699" s="388"/>
      <c r="BM699" s="404">
        <f>'Portefeuille SP2'!L724</f>
        <v>0</v>
      </c>
    </row>
    <row r="700" spans="1:65" ht="15" customHeight="1">
      <c r="A700" s="383">
        <f>'Portefeuille SP2'!B725</f>
        <v>0</v>
      </c>
      <c r="B700" s="390">
        <f>'Portefeuille SP2'!Q725</f>
        <v>0</v>
      </c>
      <c r="C700" s="384"/>
      <c r="D700" s="382">
        <f>'Portefeuille SP2'!E725</f>
        <v>0</v>
      </c>
      <c r="E700" s="382" t="str">
        <f t="shared" si="41"/>
        <v>0</v>
      </c>
      <c r="F700" s="382" t="str">
        <f t="shared" si="42"/>
        <v/>
      </c>
      <c r="G700" s="382">
        <f>'Portefeuille SP2'!C725</f>
        <v>0</v>
      </c>
      <c r="H700" s="382">
        <f>'Portefeuille SP2'!F725</f>
        <v>0</v>
      </c>
      <c r="I700" s="382"/>
      <c r="J700" s="382">
        <f>'Portefeuille SP2'!D725</f>
        <v>0</v>
      </c>
      <c r="K700" s="385">
        <f>'Portefeuille SP2'!H725</f>
        <v>0</v>
      </c>
      <c r="L700" s="157">
        <f>'Portefeuille SP2'!U725</f>
        <v>0</v>
      </c>
      <c r="M700" s="386"/>
      <c r="N700" s="386"/>
      <c r="O700" s="386"/>
      <c r="P700" s="387">
        <f>'Portefeuille SP2'!M725</f>
        <v>0</v>
      </c>
      <c r="Q700" s="387"/>
      <c r="R700" s="387">
        <f>'Portefeuille SP2'!N725</f>
        <v>0</v>
      </c>
      <c r="S700" s="387"/>
      <c r="T700" s="382">
        <f>'Portefeuille SP2'!R725</f>
        <v>0</v>
      </c>
      <c r="U700" s="387">
        <f>'Portefeuille SP2'!K725</f>
        <v>0</v>
      </c>
      <c r="V700" s="399">
        <f>'Portefeuille SP2'!S725</f>
        <v>0</v>
      </c>
      <c r="W700" s="387"/>
      <c r="X700" s="387"/>
      <c r="Y700" s="387"/>
      <c r="Z700" s="387"/>
      <c r="AA700" s="387"/>
      <c r="AB700" s="387"/>
      <c r="AC700" s="387"/>
      <c r="AD700" s="387"/>
      <c r="AE700" s="400">
        <f>'Portefeuille SP2'!J725</f>
        <v>0</v>
      </c>
      <c r="AF700" s="387"/>
      <c r="AG700" s="387"/>
      <c r="AH700" s="389"/>
      <c r="AI700" s="389"/>
      <c r="AJ700" s="403">
        <f>'Portefeuille SP2'!V725</f>
        <v>0</v>
      </c>
      <c r="AK700" s="403">
        <f>'Portefeuille SP2'!W725</f>
        <v>0</v>
      </c>
      <c r="AL700" s="403">
        <f>'Portefeuille SP2'!X725</f>
        <v>0</v>
      </c>
      <c r="AM700" s="403">
        <f>'Portefeuille SP2'!Y725</f>
        <v>0</v>
      </c>
      <c r="AN700" s="403">
        <f>'Portefeuille SP2'!Z725</f>
        <v>0</v>
      </c>
      <c r="AO700" s="403">
        <f>'Portefeuille SP2'!AA725</f>
        <v>0</v>
      </c>
      <c r="AP700" s="403">
        <f>'Portefeuille SP2'!AB725</f>
        <v>0</v>
      </c>
      <c r="AQ700" s="403">
        <f>'Portefeuille SP2'!AC725</f>
        <v>0</v>
      </c>
      <c r="AR700" s="403">
        <f>'Portefeuille SP2'!AD725</f>
        <v>0</v>
      </c>
      <c r="AS700" s="403">
        <f>'Portefeuille SP2'!AE725</f>
        <v>0</v>
      </c>
      <c r="AT700" s="403">
        <f>'Portefeuille SP2'!AF725</f>
        <v>0</v>
      </c>
      <c r="AU700" s="403">
        <f>'Portefeuille SP2'!AG725</f>
        <v>0</v>
      </c>
      <c r="AV700" s="403">
        <f>'Portefeuille SP2'!AH725</f>
        <v>0</v>
      </c>
      <c r="AW700" s="403">
        <f>'Portefeuille SP2'!AI725</f>
        <v>0</v>
      </c>
      <c r="AX700" s="403">
        <f>'Portefeuille SP2'!AJ725</f>
        <v>0</v>
      </c>
      <c r="AY700" s="403">
        <f>'Portefeuille SP2'!AK725</f>
        <v>0</v>
      </c>
      <c r="AZ700" s="403">
        <f>'Portefeuille SP2'!AL725</f>
        <v>0</v>
      </c>
      <c r="BA700" s="403">
        <f>'Portefeuille SP2'!AM725</f>
        <v>0</v>
      </c>
      <c r="BB700" s="403">
        <f>'Portefeuille SP2'!AN725</f>
        <v>0</v>
      </c>
      <c r="BC700" s="403">
        <f>'Portefeuille SP2'!AO725</f>
        <v>0</v>
      </c>
      <c r="BD700" s="403">
        <f>'Portefeuille SP2'!AP725</f>
        <v>0</v>
      </c>
      <c r="BE700" s="403">
        <f>'Portefeuille SP2'!AQ725</f>
        <v>0</v>
      </c>
      <c r="BF700" s="403">
        <f>'Portefeuille SP2'!AR725</f>
        <v>0</v>
      </c>
      <c r="BG700" s="403" t="e">
        <f>'Portefeuille SP2'!#REF!</f>
        <v>#REF!</v>
      </c>
      <c r="BH700" s="403" t="e">
        <f>'Portefeuille SP2'!#REF!</f>
        <v>#REF!</v>
      </c>
      <c r="BI700" s="403" t="e">
        <f>'Portefeuille SP2'!#REF!</f>
        <v>#REF!</v>
      </c>
      <c r="BJ700" s="403" t="e">
        <f>'Portefeuille SP2'!#REF!</f>
        <v>#REF!</v>
      </c>
      <c r="BK700" s="403" t="e">
        <f>'Portefeuille SP2'!#REF!</f>
        <v>#REF!</v>
      </c>
      <c r="BL700" s="388"/>
      <c r="BM700" s="404">
        <f>'Portefeuille SP2'!L725</f>
        <v>0</v>
      </c>
    </row>
    <row r="701" spans="1:65" ht="15" customHeight="1">
      <c r="A701" s="383">
        <f>'Portefeuille SP2'!B726</f>
        <v>0</v>
      </c>
      <c r="B701" s="390">
        <f>'Portefeuille SP2'!Q726</f>
        <v>0</v>
      </c>
      <c r="C701" s="384"/>
      <c r="D701" s="382">
        <f>'Portefeuille SP2'!E726</f>
        <v>0</v>
      </c>
      <c r="E701" s="382" t="str">
        <f t="shared" si="41"/>
        <v>0</v>
      </c>
      <c r="F701" s="382" t="str">
        <f t="shared" si="42"/>
        <v/>
      </c>
      <c r="G701" s="382">
        <f>'Portefeuille SP2'!C726</f>
        <v>0</v>
      </c>
      <c r="H701" s="382">
        <f>'Portefeuille SP2'!F726</f>
        <v>0</v>
      </c>
      <c r="I701" s="382"/>
      <c r="J701" s="382">
        <f>'Portefeuille SP2'!D726</f>
        <v>0</v>
      </c>
      <c r="K701" s="385">
        <f>'Portefeuille SP2'!H726</f>
        <v>0</v>
      </c>
      <c r="L701" s="157">
        <f>'Portefeuille SP2'!U726</f>
        <v>0</v>
      </c>
      <c r="M701" s="386"/>
      <c r="N701" s="386"/>
      <c r="O701" s="386"/>
      <c r="P701" s="387">
        <f>'Portefeuille SP2'!M726</f>
        <v>0</v>
      </c>
      <c r="Q701" s="387"/>
      <c r="R701" s="387">
        <f>'Portefeuille SP2'!N726</f>
        <v>0</v>
      </c>
      <c r="S701" s="387"/>
      <c r="T701" s="382">
        <f>'Portefeuille SP2'!R726</f>
        <v>0</v>
      </c>
      <c r="U701" s="387">
        <f>'Portefeuille SP2'!K726</f>
        <v>0</v>
      </c>
      <c r="V701" s="399">
        <f>'Portefeuille SP2'!S726</f>
        <v>0</v>
      </c>
      <c r="W701" s="387"/>
      <c r="X701" s="387"/>
      <c r="Y701" s="387"/>
      <c r="Z701" s="387"/>
      <c r="AA701" s="387"/>
      <c r="AB701" s="387"/>
      <c r="AC701" s="387"/>
      <c r="AD701" s="387"/>
      <c r="AE701" s="400">
        <f>'Portefeuille SP2'!J726</f>
        <v>0</v>
      </c>
      <c r="AF701" s="387"/>
      <c r="AG701" s="387"/>
      <c r="AH701" s="389"/>
      <c r="AI701" s="389"/>
      <c r="AJ701" s="403">
        <f>'Portefeuille SP2'!V726</f>
        <v>0</v>
      </c>
      <c r="AK701" s="403">
        <f>'Portefeuille SP2'!W726</f>
        <v>0</v>
      </c>
      <c r="AL701" s="403">
        <f>'Portefeuille SP2'!X726</f>
        <v>0</v>
      </c>
      <c r="AM701" s="403">
        <f>'Portefeuille SP2'!Y726</f>
        <v>0</v>
      </c>
      <c r="AN701" s="403">
        <f>'Portefeuille SP2'!Z726</f>
        <v>0</v>
      </c>
      <c r="AO701" s="403">
        <f>'Portefeuille SP2'!AA726</f>
        <v>0</v>
      </c>
      <c r="AP701" s="403">
        <f>'Portefeuille SP2'!AB726</f>
        <v>0</v>
      </c>
      <c r="AQ701" s="403">
        <f>'Portefeuille SP2'!AC726</f>
        <v>0</v>
      </c>
      <c r="AR701" s="403">
        <f>'Portefeuille SP2'!AD726</f>
        <v>0</v>
      </c>
      <c r="AS701" s="403">
        <f>'Portefeuille SP2'!AE726</f>
        <v>0</v>
      </c>
      <c r="AT701" s="403">
        <f>'Portefeuille SP2'!AF726</f>
        <v>0</v>
      </c>
      <c r="AU701" s="403">
        <f>'Portefeuille SP2'!AG726</f>
        <v>0</v>
      </c>
      <c r="AV701" s="403">
        <f>'Portefeuille SP2'!AH726</f>
        <v>0</v>
      </c>
      <c r="AW701" s="403">
        <f>'Portefeuille SP2'!AI726</f>
        <v>0</v>
      </c>
      <c r="AX701" s="403">
        <f>'Portefeuille SP2'!AJ726</f>
        <v>0</v>
      </c>
      <c r="AY701" s="403">
        <f>'Portefeuille SP2'!AK726</f>
        <v>0</v>
      </c>
      <c r="AZ701" s="403">
        <f>'Portefeuille SP2'!AL726</f>
        <v>0</v>
      </c>
      <c r="BA701" s="403">
        <f>'Portefeuille SP2'!AM726</f>
        <v>0</v>
      </c>
      <c r="BB701" s="403">
        <f>'Portefeuille SP2'!AN726</f>
        <v>0</v>
      </c>
      <c r="BC701" s="403">
        <f>'Portefeuille SP2'!AO726</f>
        <v>0</v>
      </c>
      <c r="BD701" s="403">
        <f>'Portefeuille SP2'!AP726</f>
        <v>0</v>
      </c>
      <c r="BE701" s="403">
        <f>'Portefeuille SP2'!AQ726</f>
        <v>0</v>
      </c>
      <c r="BF701" s="403">
        <f>'Portefeuille SP2'!AR726</f>
        <v>0</v>
      </c>
      <c r="BG701" s="403" t="e">
        <f>'Portefeuille SP2'!#REF!</f>
        <v>#REF!</v>
      </c>
      <c r="BH701" s="403" t="e">
        <f>'Portefeuille SP2'!#REF!</f>
        <v>#REF!</v>
      </c>
      <c r="BI701" s="403" t="e">
        <f>'Portefeuille SP2'!#REF!</f>
        <v>#REF!</v>
      </c>
      <c r="BJ701" s="403" t="e">
        <f>'Portefeuille SP2'!#REF!</f>
        <v>#REF!</v>
      </c>
      <c r="BK701" s="403" t="e">
        <f>'Portefeuille SP2'!#REF!</f>
        <v>#REF!</v>
      </c>
      <c r="BL701" s="388"/>
      <c r="BM701" s="404">
        <f>'Portefeuille SP2'!L726</f>
        <v>0</v>
      </c>
    </row>
    <row r="702" spans="1:65" ht="15" customHeight="1">
      <c r="A702" s="383">
        <f>'Portefeuille SP2'!B727</f>
        <v>0</v>
      </c>
      <c r="B702" s="390">
        <f>'Portefeuille SP2'!Q727</f>
        <v>0</v>
      </c>
      <c r="C702" s="384"/>
      <c r="D702" s="382">
        <f>'Portefeuille SP2'!E727</f>
        <v>0</v>
      </c>
      <c r="E702" s="382" t="str">
        <f t="shared" si="41"/>
        <v>0</v>
      </c>
      <c r="F702" s="382" t="str">
        <f t="shared" si="42"/>
        <v/>
      </c>
      <c r="G702" s="382">
        <f>'Portefeuille SP2'!C727</f>
        <v>0</v>
      </c>
      <c r="H702" s="382">
        <f>'Portefeuille SP2'!F727</f>
        <v>0</v>
      </c>
      <c r="I702" s="382"/>
      <c r="J702" s="382">
        <f>'Portefeuille SP2'!D727</f>
        <v>0</v>
      </c>
      <c r="K702" s="385">
        <f>'Portefeuille SP2'!H727</f>
        <v>0</v>
      </c>
      <c r="L702" s="157">
        <f>'Portefeuille SP2'!U727</f>
        <v>0</v>
      </c>
      <c r="M702" s="386"/>
      <c r="N702" s="386"/>
      <c r="O702" s="386"/>
      <c r="P702" s="387">
        <f>'Portefeuille SP2'!M727</f>
        <v>0</v>
      </c>
      <c r="Q702" s="387"/>
      <c r="R702" s="387">
        <f>'Portefeuille SP2'!N727</f>
        <v>0</v>
      </c>
      <c r="S702" s="387"/>
      <c r="T702" s="382">
        <f>'Portefeuille SP2'!R727</f>
        <v>0</v>
      </c>
      <c r="U702" s="387">
        <f>'Portefeuille SP2'!K727</f>
        <v>0</v>
      </c>
      <c r="V702" s="399">
        <f>'Portefeuille SP2'!S727</f>
        <v>0</v>
      </c>
      <c r="W702" s="387"/>
      <c r="X702" s="387"/>
      <c r="Y702" s="387"/>
      <c r="Z702" s="387"/>
      <c r="AA702" s="387"/>
      <c r="AB702" s="387"/>
      <c r="AC702" s="387"/>
      <c r="AD702" s="387"/>
      <c r="AE702" s="400">
        <f>'Portefeuille SP2'!J727</f>
        <v>0</v>
      </c>
      <c r="AF702" s="387"/>
      <c r="AG702" s="387"/>
      <c r="AH702" s="389"/>
      <c r="AI702" s="389"/>
      <c r="AJ702" s="403">
        <f>'Portefeuille SP2'!V727</f>
        <v>0</v>
      </c>
      <c r="AK702" s="403">
        <f>'Portefeuille SP2'!W727</f>
        <v>0</v>
      </c>
      <c r="AL702" s="403">
        <f>'Portefeuille SP2'!X727</f>
        <v>0</v>
      </c>
      <c r="AM702" s="403">
        <f>'Portefeuille SP2'!Y727</f>
        <v>0</v>
      </c>
      <c r="AN702" s="403">
        <f>'Portefeuille SP2'!Z727</f>
        <v>0</v>
      </c>
      <c r="AO702" s="403">
        <f>'Portefeuille SP2'!AA727</f>
        <v>0</v>
      </c>
      <c r="AP702" s="403">
        <f>'Portefeuille SP2'!AB727</f>
        <v>0</v>
      </c>
      <c r="AQ702" s="403">
        <f>'Portefeuille SP2'!AC727</f>
        <v>0</v>
      </c>
      <c r="AR702" s="403">
        <f>'Portefeuille SP2'!AD727</f>
        <v>0</v>
      </c>
      <c r="AS702" s="403">
        <f>'Portefeuille SP2'!AE727</f>
        <v>0</v>
      </c>
      <c r="AT702" s="403">
        <f>'Portefeuille SP2'!AF727</f>
        <v>0</v>
      </c>
      <c r="AU702" s="403">
        <f>'Portefeuille SP2'!AG727</f>
        <v>0</v>
      </c>
      <c r="AV702" s="403">
        <f>'Portefeuille SP2'!AH727</f>
        <v>0</v>
      </c>
      <c r="AW702" s="403">
        <f>'Portefeuille SP2'!AI727</f>
        <v>0</v>
      </c>
      <c r="AX702" s="403">
        <f>'Portefeuille SP2'!AJ727</f>
        <v>0</v>
      </c>
      <c r="AY702" s="403">
        <f>'Portefeuille SP2'!AK727</f>
        <v>0</v>
      </c>
      <c r="AZ702" s="403">
        <f>'Portefeuille SP2'!AL727</f>
        <v>0</v>
      </c>
      <c r="BA702" s="403">
        <f>'Portefeuille SP2'!AM727</f>
        <v>0</v>
      </c>
      <c r="BB702" s="403">
        <f>'Portefeuille SP2'!AN727</f>
        <v>0</v>
      </c>
      <c r="BC702" s="403">
        <f>'Portefeuille SP2'!AO727</f>
        <v>0</v>
      </c>
      <c r="BD702" s="403">
        <f>'Portefeuille SP2'!AP727</f>
        <v>0</v>
      </c>
      <c r="BE702" s="403">
        <f>'Portefeuille SP2'!AQ727</f>
        <v>0</v>
      </c>
      <c r="BF702" s="403">
        <f>'Portefeuille SP2'!AR727</f>
        <v>0</v>
      </c>
      <c r="BG702" s="403" t="e">
        <f>'Portefeuille SP2'!#REF!</f>
        <v>#REF!</v>
      </c>
      <c r="BH702" s="403" t="e">
        <f>'Portefeuille SP2'!#REF!</f>
        <v>#REF!</v>
      </c>
      <c r="BI702" s="403" t="e">
        <f>'Portefeuille SP2'!#REF!</f>
        <v>#REF!</v>
      </c>
      <c r="BJ702" s="403" t="e">
        <f>'Portefeuille SP2'!#REF!</f>
        <v>#REF!</v>
      </c>
      <c r="BK702" s="403" t="e">
        <f>'Portefeuille SP2'!#REF!</f>
        <v>#REF!</v>
      </c>
      <c r="BL702" s="388"/>
      <c r="BM702" s="404">
        <f>'Portefeuille SP2'!L727</f>
        <v>0</v>
      </c>
    </row>
    <row r="703" spans="1:65" ht="15" customHeight="1">
      <c r="A703" s="383">
        <f>'Portefeuille SP2'!B728</f>
        <v>0</v>
      </c>
      <c r="B703" s="390">
        <f>'Portefeuille SP2'!Q728</f>
        <v>0</v>
      </c>
      <c r="C703" s="384"/>
      <c r="D703" s="382">
        <f>'Portefeuille SP2'!E728</f>
        <v>0</v>
      </c>
      <c r="E703" s="382" t="str">
        <f t="shared" si="41"/>
        <v>0</v>
      </c>
      <c r="F703" s="382" t="str">
        <f t="shared" si="42"/>
        <v/>
      </c>
      <c r="G703" s="382">
        <f>'Portefeuille SP2'!C728</f>
        <v>0</v>
      </c>
      <c r="H703" s="382">
        <f>'Portefeuille SP2'!F728</f>
        <v>0</v>
      </c>
      <c r="I703" s="382"/>
      <c r="J703" s="382">
        <f>'Portefeuille SP2'!D728</f>
        <v>0</v>
      </c>
      <c r="K703" s="385">
        <f>'Portefeuille SP2'!H728</f>
        <v>0</v>
      </c>
      <c r="L703" s="157">
        <f>'Portefeuille SP2'!U728</f>
        <v>0</v>
      </c>
      <c r="M703" s="386"/>
      <c r="N703" s="386"/>
      <c r="O703" s="386"/>
      <c r="P703" s="387">
        <f>'Portefeuille SP2'!M728</f>
        <v>0</v>
      </c>
      <c r="Q703" s="387"/>
      <c r="R703" s="387">
        <f>'Portefeuille SP2'!N728</f>
        <v>0</v>
      </c>
      <c r="S703" s="387"/>
      <c r="T703" s="382">
        <f>'Portefeuille SP2'!R728</f>
        <v>0</v>
      </c>
      <c r="U703" s="387">
        <f>'Portefeuille SP2'!K728</f>
        <v>0</v>
      </c>
      <c r="V703" s="399">
        <f>'Portefeuille SP2'!S728</f>
        <v>0</v>
      </c>
      <c r="W703" s="387"/>
      <c r="X703" s="387"/>
      <c r="Y703" s="387"/>
      <c r="Z703" s="387"/>
      <c r="AA703" s="387"/>
      <c r="AB703" s="387"/>
      <c r="AC703" s="387"/>
      <c r="AD703" s="387"/>
      <c r="AE703" s="400">
        <f>'Portefeuille SP2'!J728</f>
        <v>0</v>
      </c>
      <c r="AF703" s="387"/>
      <c r="AG703" s="387"/>
      <c r="AH703" s="389"/>
      <c r="AI703" s="389"/>
      <c r="AJ703" s="403">
        <f>'Portefeuille SP2'!V728</f>
        <v>0</v>
      </c>
      <c r="AK703" s="403">
        <f>'Portefeuille SP2'!W728</f>
        <v>0</v>
      </c>
      <c r="AL703" s="403">
        <f>'Portefeuille SP2'!X728</f>
        <v>0</v>
      </c>
      <c r="AM703" s="403">
        <f>'Portefeuille SP2'!Y728</f>
        <v>0</v>
      </c>
      <c r="AN703" s="403">
        <f>'Portefeuille SP2'!Z728</f>
        <v>0</v>
      </c>
      <c r="AO703" s="403">
        <f>'Portefeuille SP2'!AA728</f>
        <v>0</v>
      </c>
      <c r="AP703" s="403">
        <f>'Portefeuille SP2'!AB728</f>
        <v>0</v>
      </c>
      <c r="AQ703" s="403">
        <f>'Portefeuille SP2'!AC728</f>
        <v>0</v>
      </c>
      <c r="AR703" s="403">
        <f>'Portefeuille SP2'!AD728</f>
        <v>0</v>
      </c>
      <c r="AS703" s="403">
        <f>'Portefeuille SP2'!AE728</f>
        <v>0</v>
      </c>
      <c r="AT703" s="403">
        <f>'Portefeuille SP2'!AF728</f>
        <v>0</v>
      </c>
      <c r="AU703" s="403">
        <f>'Portefeuille SP2'!AG728</f>
        <v>0</v>
      </c>
      <c r="AV703" s="403">
        <f>'Portefeuille SP2'!AH728</f>
        <v>0</v>
      </c>
      <c r="AW703" s="403">
        <f>'Portefeuille SP2'!AI728</f>
        <v>0</v>
      </c>
      <c r="AX703" s="403">
        <f>'Portefeuille SP2'!AJ728</f>
        <v>0</v>
      </c>
      <c r="AY703" s="403">
        <f>'Portefeuille SP2'!AK728</f>
        <v>0</v>
      </c>
      <c r="AZ703" s="403">
        <f>'Portefeuille SP2'!AL728</f>
        <v>0</v>
      </c>
      <c r="BA703" s="403">
        <f>'Portefeuille SP2'!AM728</f>
        <v>0</v>
      </c>
      <c r="BB703" s="403">
        <f>'Portefeuille SP2'!AN728</f>
        <v>0</v>
      </c>
      <c r="BC703" s="403">
        <f>'Portefeuille SP2'!AO728</f>
        <v>0</v>
      </c>
      <c r="BD703" s="403">
        <f>'Portefeuille SP2'!AP728</f>
        <v>0</v>
      </c>
      <c r="BE703" s="403">
        <f>'Portefeuille SP2'!AQ728</f>
        <v>0</v>
      </c>
      <c r="BF703" s="403">
        <f>'Portefeuille SP2'!AR728</f>
        <v>0</v>
      </c>
      <c r="BG703" s="403" t="e">
        <f>'Portefeuille SP2'!#REF!</f>
        <v>#REF!</v>
      </c>
      <c r="BH703" s="403" t="e">
        <f>'Portefeuille SP2'!#REF!</f>
        <v>#REF!</v>
      </c>
      <c r="BI703" s="403" t="e">
        <f>'Portefeuille SP2'!#REF!</f>
        <v>#REF!</v>
      </c>
      <c r="BJ703" s="403" t="e">
        <f>'Portefeuille SP2'!#REF!</f>
        <v>#REF!</v>
      </c>
      <c r="BK703" s="403" t="e">
        <f>'Portefeuille SP2'!#REF!</f>
        <v>#REF!</v>
      </c>
      <c r="BL703" s="388"/>
      <c r="BM703" s="404">
        <f>'Portefeuille SP2'!L728</f>
        <v>0</v>
      </c>
    </row>
    <row r="704" spans="1:65" ht="15" customHeight="1">
      <c r="A704" s="383">
        <f>'Portefeuille SP2'!B729</f>
        <v>0</v>
      </c>
      <c r="B704" s="390">
        <f>'Portefeuille SP2'!Q729</f>
        <v>0</v>
      </c>
      <c r="C704" s="384"/>
      <c r="D704" s="382">
        <f>'Portefeuille SP2'!E729</f>
        <v>0</v>
      </c>
      <c r="E704" s="382" t="str">
        <f t="shared" si="41"/>
        <v>0</v>
      </c>
      <c r="F704" s="382" t="str">
        <f t="shared" si="42"/>
        <v/>
      </c>
      <c r="G704" s="382">
        <f>'Portefeuille SP2'!C729</f>
        <v>0</v>
      </c>
      <c r="H704" s="382">
        <f>'Portefeuille SP2'!F729</f>
        <v>0</v>
      </c>
      <c r="I704" s="382"/>
      <c r="J704" s="382">
        <f>'Portefeuille SP2'!D729</f>
        <v>0</v>
      </c>
      <c r="K704" s="385">
        <f>'Portefeuille SP2'!H729</f>
        <v>0</v>
      </c>
      <c r="L704" s="157">
        <f>'Portefeuille SP2'!U729</f>
        <v>0</v>
      </c>
      <c r="M704" s="386"/>
      <c r="N704" s="386"/>
      <c r="O704" s="386"/>
      <c r="P704" s="387">
        <f>'Portefeuille SP2'!M729</f>
        <v>0</v>
      </c>
      <c r="Q704" s="387"/>
      <c r="R704" s="387">
        <f>'Portefeuille SP2'!N729</f>
        <v>0</v>
      </c>
      <c r="S704" s="387"/>
      <c r="T704" s="382">
        <f>'Portefeuille SP2'!R729</f>
        <v>0</v>
      </c>
      <c r="U704" s="387">
        <f>'Portefeuille SP2'!K729</f>
        <v>0</v>
      </c>
      <c r="V704" s="399">
        <f>'Portefeuille SP2'!S729</f>
        <v>0</v>
      </c>
      <c r="W704" s="387"/>
      <c r="X704" s="387"/>
      <c r="Y704" s="387"/>
      <c r="Z704" s="387"/>
      <c r="AA704" s="387"/>
      <c r="AB704" s="387"/>
      <c r="AC704" s="387"/>
      <c r="AD704" s="387"/>
      <c r="AE704" s="400">
        <f>'Portefeuille SP2'!J729</f>
        <v>0</v>
      </c>
      <c r="AF704" s="387"/>
      <c r="AG704" s="387"/>
      <c r="AH704" s="389"/>
      <c r="AI704" s="389"/>
      <c r="AJ704" s="403">
        <f>'Portefeuille SP2'!V729</f>
        <v>0</v>
      </c>
      <c r="AK704" s="403">
        <f>'Portefeuille SP2'!W729</f>
        <v>0</v>
      </c>
      <c r="AL704" s="403">
        <f>'Portefeuille SP2'!X729</f>
        <v>0</v>
      </c>
      <c r="AM704" s="403">
        <f>'Portefeuille SP2'!Y729</f>
        <v>0</v>
      </c>
      <c r="AN704" s="403">
        <f>'Portefeuille SP2'!Z729</f>
        <v>0</v>
      </c>
      <c r="AO704" s="403">
        <f>'Portefeuille SP2'!AA729</f>
        <v>0</v>
      </c>
      <c r="AP704" s="403">
        <f>'Portefeuille SP2'!AB729</f>
        <v>0</v>
      </c>
      <c r="AQ704" s="403">
        <f>'Portefeuille SP2'!AC729</f>
        <v>0</v>
      </c>
      <c r="AR704" s="403">
        <f>'Portefeuille SP2'!AD729</f>
        <v>0</v>
      </c>
      <c r="AS704" s="403">
        <f>'Portefeuille SP2'!AE729</f>
        <v>0</v>
      </c>
      <c r="AT704" s="403">
        <f>'Portefeuille SP2'!AF729</f>
        <v>0</v>
      </c>
      <c r="AU704" s="403">
        <f>'Portefeuille SP2'!AG729</f>
        <v>0</v>
      </c>
      <c r="AV704" s="403">
        <f>'Portefeuille SP2'!AH729</f>
        <v>0</v>
      </c>
      <c r="AW704" s="403">
        <f>'Portefeuille SP2'!AI729</f>
        <v>0</v>
      </c>
      <c r="AX704" s="403">
        <f>'Portefeuille SP2'!AJ729</f>
        <v>0</v>
      </c>
      <c r="AY704" s="403">
        <f>'Portefeuille SP2'!AK729</f>
        <v>0</v>
      </c>
      <c r="AZ704" s="403">
        <f>'Portefeuille SP2'!AL729</f>
        <v>0</v>
      </c>
      <c r="BA704" s="403">
        <f>'Portefeuille SP2'!AM729</f>
        <v>0</v>
      </c>
      <c r="BB704" s="403">
        <f>'Portefeuille SP2'!AN729</f>
        <v>0</v>
      </c>
      <c r="BC704" s="403">
        <f>'Portefeuille SP2'!AO729</f>
        <v>0</v>
      </c>
      <c r="BD704" s="403">
        <f>'Portefeuille SP2'!AP729</f>
        <v>0</v>
      </c>
      <c r="BE704" s="403">
        <f>'Portefeuille SP2'!AQ729</f>
        <v>0</v>
      </c>
      <c r="BF704" s="403">
        <f>'Portefeuille SP2'!AR729</f>
        <v>0</v>
      </c>
      <c r="BG704" s="403" t="e">
        <f>'Portefeuille SP2'!#REF!</f>
        <v>#REF!</v>
      </c>
      <c r="BH704" s="403" t="e">
        <f>'Portefeuille SP2'!#REF!</f>
        <v>#REF!</v>
      </c>
      <c r="BI704" s="403" t="e">
        <f>'Portefeuille SP2'!#REF!</f>
        <v>#REF!</v>
      </c>
      <c r="BJ704" s="403" t="e">
        <f>'Portefeuille SP2'!#REF!</f>
        <v>#REF!</v>
      </c>
      <c r="BK704" s="403" t="e">
        <f>'Portefeuille SP2'!#REF!</f>
        <v>#REF!</v>
      </c>
      <c r="BL704" s="388"/>
      <c r="BM704" s="404">
        <f>'Portefeuille SP2'!L729</f>
        <v>0</v>
      </c>
    </row>
    <row r="705" spans="1:65" ht="15" customHeight="1">
      <c r="A705" s="383">
        <f>'Portefeuille SP2'!B730</f>
        <v>0</v>
      </c>
      <c r="B705" s="390">
        <f>'Portefeuille SP2'!Q730</f>
        <v>0</v>
      </c>
      <c r="C705" s="384"/>
      <c r="D705" s="382">
        <f>'Portefeuille SP2'!E730</f>
        <v>0</v>
      </c>
      <c r="E705" s="382" t="str">
        <f t="shared" si="41"/>
        <v>0</v>
      </c>
      <c r="F705" s="382" t="str">
        <f t="shared" si="42"/>
        <v/>
      </c>
      <c r="G705" s="382">
        <f>'Portefeuille SP2'!C730</f>
        <v>0</v>
      </c>
      <c r="H705" s="382">
        <f>'Portefeuille SP2'!F730</f>
        <v>0</v>
      </c>
      <c r="I705" s="382"/>
      <c r="J705" s="382">
        <f>'Portefeuille SP2'!D730</f>
        <v>0</v>
      </c>
      <c r="K705" s="385">
        <f>'Portefeuille SP2'!H730</f>
        <v>0</v>
      </c>
      <c r="L705" s="157">
        <f>'Portefeuille SP2'!U730</f>
        <v>0</v>
      </c>
      <c r="M705" s="386"/>
      <c r="N705" s="386"/>
      <c r="O705" s="386"/>
      <c r="P705" s="387">
        <f>'Portefeuille SP2'!M730</f>
        <v>0</v>
      </c>
      <c r="Q705" s="387"/>
      <c r="R705" s="387">
        <f>'Portefeuille SP2'!N730</f>
        <v>0</v>
      </c>
      <c r="S705" s="387"/>
      <c r="T705" s="382">
        <f>'Portefeuille SP2'!R730</f>
        <v>0</v>
      </c>
      <c r="U705" s="387">
        <f>'Portefeuille SP2'!K730</f>
        <v>0</v>
      </c>
      <c r="V705" s="399">
        <f>'Portefeuille SP2'!S730</f>
        <v>0</v>
      </c>
      <c r="W705" s="387"/>
      <c r="X705" s="387"/>
      <c r="Y705" s="387"/>
      <c r="Z705" s="387"/>
      <c r="AA705" s="387"/>
      <c r="AB705" s="387"/>
      <c r="AC705" s="387"/>
      <c r="AD705" s="387"/>
      <c r="AE705" s="400">
        <f>'Portefeuille SP2'!J730</f>
        <v>0</v>
      </c>
      <c r="AF705" s="387"/>
      <c r="AG705" s="387"/>
      <c r="AH705" s="389"/>
      <c r="AI705" s="389"/>
      <c r="AJ705" s="403">
        <f>'Portefeuille SP2'!V730</f>
        <v>0</v>
      </c>
      <c r="AK705" s="403">
        <f>'Portefeuille SP2'!W730</f>
        <v>0</v>
      </c>
      <c r="AL705" s="403">
        <f>'Portefeuille SP2'!X730</f>
        <v>0</v>
      </c>
      <c r="AM705" s="403">
        <f>'Portefeuille SP2'!Y730</f>
        <v>0</v>
      </c>
      <c r="AN705" s="403">
        <f>'Portefeuille SP2'!Z730</f>
        <v>0</v>
      </c>
      <c r="AO705" s="403">
        <f>'Portefeuille SP2'!AA730</f>
        <v>0</v>
      </c>
      <c r="AP705" s="403">
        <f>'Portefeuille SP2'!AB730</f>
        <v>0</v>
      </c>
      <c r="AQ705" s="403">
        <f>'Portefeuille SP2'!AC730</f>
        <v>0</v>
      </c>
      <c r="AR705" s="403">
        <f>'Portefeuille SP2'!AD730</f>
        <v>0</v>
      </c>
      <c r="AS705" s="403">
        <f>'Portefeuille SP2'!AE730</f>
        <v>0</v>
      </c>
      <c r="AT705" s="403">
        <f>'Portefeuille SP2'!AF730</f>
        <v>0</v>
      </c>
      <c r="AU705" s="403">
        <f>'Portefeuille SP2'!AG730</f>
        <v>0</v>
      </c>
      <c r="AV705" s="403">
        <f>'Portefeuille SP2'!AH730</f>
        <v>0</v>
      </c>
      <c r="AW705" s="403">
        <f>'Portefeuille SP2'!AI730</f>
        <v>0</v>
      </c>
      <c r="AX705" s="403">
        <f>'Portefeuille SP2'!AJ730</f>
        <v>0</v>
      </c>
      <c r="AY705" s="403">
        <f>'Portefeuille SP2'!AK730</f>
        <v>0</v>
      </c>
      <c r="AZ705" s="403">
        <f>'Portefeuille SP2'!AL730</f>
        <v>0</v>
      </c>
      <c r="BA705" s="403">
        <f>'Portefeuille SP2'!AM730</f>
        <v>0</v>
      </c>
      <c r="BB705" s="403">
        <f>'Portefeuille SP2'!AN730</f>
        <v>0</v>
      </c>
      <c r="BC705" s="403">
        <f>'Portefeuille SP2'!AO730</f>
        <v>0</v>
      </c>
      <c r="BD705" s="403">
        <f>'Portefeuille SP2'!AP730</f>
        <v>0</v>
      </c>
      <c r="BE705" s="403">
        <f>'Portefeuille SP2'!AQ730</f>
        <v>0</v>
      </c>
      <c r="BF705" s="403">
        <f>'Portefeuille SP2'!AR730</f>
        <v>0</v>
      </c>
      <c r="BG705" s="403" t="e">
        <f>'Portefeuille SP2'!#REF!</f>
        <v>#REF!</v>
      </c>
      <c r="BH705" s="403" t="e">
        <f>'Portefeuille SP2'!#REF!</f>
        <v>#REF!</v>
      </c>
      <c r="BI705" s="403" t="e">
        <f>'Portefeuille SP2'!#REF!</f>
        <v>#REF!</v>
      </c>
      <c r="BJ705" s="403" t="e">
        <f>'Portefeuille SP2'!#REF!</f>
        <v>#REF!</v>
      </c>
      <c r="BK705" s="403" t="e">
        <f>'Portefeuille SP2'!#REF!</f>
        <v>#REF!</v>
      </c>
      <c r="BL705" s="388"/>
      <c r="BM705" s="404">
        <f>'Portefeuille SP2'!L730</f>
        <v>0</v>
      </c>
    </row>
    <row r="706" spans="1:65" ht="15" customHeight="1">
      <c r="A706" s="383">
        <f>'Portefeuille SP2'!B731</f>
        <v>0</v>
      </c>
      <c r="B706" s="390">
        <f>'Portefeuille SP2'!Q731</f>
        <v>0</v>
      </c>
      <c r="C706" s="384"/>
      <c r="D706" s="382">
        <f>'Portefeuille SP2'!E731</f>
        <v>0</v>
      </c>
      <c r="E706" s="382" t="str">
        <f t="shared" si="41"/>
        <v>0</v>
      </c>
      <c r="F706" s="382" t="str">
        <f t="shared" si="42"/>
        <v/>
      </c>
      <c r="G706" s="382">
        <f>'Portefeuille SP2'!C731</f>
        <v>0</v>
      </c>
      <c r="H706" s="382">
        <f>'Portefeuille SP2'!F731</f>
        <v>0</v>
      </c>
      <c r="I706" s="382"/>
      <c r="J706" s="382">
        <f>'Portefeuille SP2'!D731</f>
        <v>0</v>
      </c>
      <c r="K706" s="385">
        <f>'Portefeuille SP2'!H731</f>
        <v>0</v>
      </c>
      <c r="L706" s="157">
        <f>'Portefeuille SP2'!U731</f>
        <v>0</v>
      </c>
      <c r="M706" s="386"/>
      <c r="N706" s="386"/>
      <c r="O706" s="386"/>
      <c r="P706" s="387">
        <f>'Portefeuille SP2'!M731</f>
        <v>0</v>
      </c>
      <c r="Q706" s="387"/>
      <c r="R706" s="387">
        <f>'Portefeuille SP2'!N731</f>
        <v>0</v>
      </c>
      <c r="S706" s="387"/>
      <c r="T706" s="382">
        <f>'Portefeuille SP2'!R731</f>
        <v>0</v>
      </c>
      <c r="U706" s="387">
        <f>'Portefeuille SP2'!K731</f>
        <v>0</v>
      </c>
      <c r="V706" s="399">
        <f>'Portefeuille SP2'!S731</f>
        <v>0</v>
      </c>
      <c r="W706" s="387"/>
      <c r="X706" s="387"/>
      <c r="Y706" s="387"/>
      <c r="Z706" s="387"/>
      <c r="AA706" s="387"/>
      <c r="AB706" s="387"/>
      <c r="AC706" s="387"/>
      <c r="AD706" s="387"/>
      <c r="AE706" s="400">
        <f>'Portefeuille SP2'!J731</f>
        <v>0</v>
      </c>
      <c r="AF706" s="387"/>
      <c r="AG706" s="387"/>
      <c r="AH706" s="389"/>
      <c r="AI706" s="389"/>
      <c r="AJ706" s="403">
        <f>'Portefeuille SP2'!V731</f>
        <v>0</v>
      </c>
      <c r="AK706" s="403">
        <f>'Portefeuille SP2'!W731</f>
        <v>0</v>
      </c>
      <c r="AL706" s="403">
        <f>'Portefeuille SP2'!X731</f>
        <v>0</v>
      </c>
      <c r="AM706" s="403">
        <f>'Portefeuille SP2'!Y731</f>
        <v>0</v>
      </c>
      <c r="AN706" s="403">
        <f>'Portefeuille SP2'!Z731</f>
        <v>0</v>
      </c>
      <c r="AO706" s="403">
        <f>'Portefeuille SP2'!AA731</f>
        <v>0</v>
      </c>
      <c r="AP706" s="403">
        <f>'Portefeuille SP2'!AB731</f>
        <v>0</v>
      </c>
      <c r="AQ706" s="403">
        <f>'Portefeuille SP2'!AC731</f>
        <v>0</v>
      </c>
      <c r="AR706" s="403">
        <f>'Portefeuille SP2'!AD731</f>
        <v>0</v>
      </c>
      <c r="AS706" s="403">
        <f>'Portefeuille SP2'!AE731</f>
        <v>0</v>
      </c>
      <c r="AT706" s="403">
        <f>'Portefeuille SP2'!AF731</f>
        <v>0</v>
      </c>
      <c r="AU706" s="403">
        <f>'Portefeuille SP2'!AG731</f>
        <v>0</v>
      </c>
      <c r="AV706" s="403">
        <f>'Portefeuille SP2'!AH731</f>
        <v>0</v>
      </c>
      <c r="AW706" s="403">
        <f>'Portefeuille SP2'!AI731</f>
        <v>0</v>
      </c>
      <c r="AX706" s="403">
        <f>'Portefeuille SP2'!AJ731</f>
        <v>0</v>
      </c>
      <c r="AY706" s="403">
        <f>'Portefeuille SP2'!AK731</f>
        <v>0</v>
      </c>
      <c r="AZ706" s="403">
        <f>'Portefeuille SP2'!AL731</f>
        <v>0</v>
      </c>
      <c r="BA706" s="403">
        <f>'Portefeuille SP2'!AM731</f>
        <v>0</v>
      </c>
      <c r="BB706" s="403">
        <f>'Portefeuille SP2'!AN731</f>
        <v>0</v>
      </c>
      <c r="BC706" s="403">
        <f>'Portefeuille SP2'!AO731</f>
        <v>0</v>
      </c>
      <c r="BD706" s="403">
        <f>'Portefeuille SP2'!AP731</f>
        <v>0</v>
      </c>
      <c r="BE706" s="403">
        <f>'Portefeuille SP2'!AQ731</f>
        <v>0</v>
      </c>
      <c r="BF706" s="403">
        <f>'Portefeuille SP2'!AR731</f>
        <v>0</v>
      </c>
      <c r="BG706" s="403" t="e">
        <f>'Portefeuille SP2'!#REF!</f>
        <v>#REF!</v>
      </c>
      <c r="BH706" s="403" t="e">
        <f>'Portefeuille SP2'!#REF!</f>
        <v>#REF!</v>
      </c>
      <c r="BI706" s="403" t="e">
        <f>'Portefeuille SP2'!#REF!</f>
        <v>#REF!</v>
      </c>
      <c r="BJ706" s="403" t="e">
        <f>'Portefeuille SP2'!#REF!</f>
        <v>#REF!</v>
      </c>
      <c r="BK706" s="403" t="e">
        <f>'Portefeuille SP2'!#REF!</f>
        <v>#REF!</v>
      </c>
      <c r="BL706" s="388"/>
      <c r="BM706" s="404">
        <f>'Portefeuille SP2'!L731</f>
        <v>0</v>
      </c>
    </row>
    <row r="707" spans="1:65" ht="15" customHeight="1">
      <c r="A707" s="383">
        <f>'Portefeuille SP2'!B732</f>
        <v>0</v>
      </c>
      <c r="B707" s="390">
        <f>'Portefeuille SP2'!Q732</f>
        <v>0</v>
      </c>
      <c r="C707" s="384"/>
      <c r="D707" s="382">
        <f>'Portefeuille SP2'!E732</f>
        <v>0</v>
      </c>
      <c r="E707" s="382" t="str">
        <f t="shared" si="41"/>
        <v>0</v>
      </c>
      <c r="F707" s="382" t="str">
        <f t="shared" si="42"/>
        <v/>
      </c>
      <c r="G707" s="382">
        <f>'Portefeuille SP2'!C732</f>
        <v>0</v>
      </c>
      <c r="H707" s="382">
        <f>'Portefeuille SP2'!F732</f>
        <v>0</v>
      </c>
      <c r="I707" s="382"/>
      <c r="J707" s="382">
        <f>'Portefeuille SP2'!D732</f>
        <v>0</v>
      </c>
      <c r="K707" s="385">
        <f>'Portefeuille SP2'!H732</f>
        <v>0</v>
      </c>
      <c r="L707" s="157">
        <f>'Portefeuille SP2'!U732</f>
        <v>0</v>
      </c>
      <c r="M707" s="386"/>
      <c r="N707" s="386"/>
      <c r="O707" s="386"/>
      <c r="P707" s="387">
        <f>'Portefeuille SP2'!M732</f>
        <v>0</v>
      </c>
      <c r="Q707" s="387"/>
      <c r="R707" s="387">
        <f>'Portefeuille SP2'!N732</f>
        <v>0</v>
      </c>
      <c r="S707" s="387"/>
      <c r="T707" s="382">
        <f>'Portefeuille SP2'!R732</f>
        <v>0</v>
      </c>
      <c r="U707" s="387">
        <f>'Portefeuille SP2'!K732</f>
        <v>0</v>
      </c>
      <c r="V707" s="399">
        <f>'Portefeuille SP2'!S732</f>
        <v>0</v>
      </c>
      <c r="W707" s="387"/>
      <c r="X707" s="387"/>
      <c r="Y707" s="387"/>
      <c r="Z707" s="387"/>
      <c r="AA707" s="387"/>
      <c r="AB707" s="387"/>
      <c r="AC707" s="387"/>
      <c r="AD707" s="387"/>
      <c r="AE707" s="400">
        <f>'Portefeuille SP2'!J732</f>
        <v>0</v>
      </c>
      <c r="AF707" s="387"/>
      <c r="AG707" s="387"/>
      <c r="AH707" s="389"/>
      <c r="AI707" s="389"/>
      <c r="AJ707" s="403">
        <f>'Portefeuille SP2'!V732</f>
        <v>0</v>
      </c>
      <c r="AK707" s="403">
        <f>'Portefeuille SP2'!W732</f>
        <v>0</v>
      </c>
      <c r="AL707" s="403">
        <f>'Portefeuille SP2'!X732</f>
        <v>0</v>
      </c>
      <c r="AM707" s="403">
        <f>'Portefeuille SP2'!Y732</f>
        <v>0</v>
      </c>
      <c r="AN707" s="403">
        <f>'Portefeuille SP2'!Z732</f>
        <v>0</v>
      </c>
      <c r="AO707" s="403">
        <f>'Portefeuille SP2'!AA732</f>
        <v>0</v>
      </c>
      <c r="AP707" s="403">
        <f>'Portefeuille SP2'!AB732</f>
        <v>0</v>
      </c>
      <c r="AQ707" s="403">
        <f>'Portefeuille SP2'!AC732</f>
        <v>0</v>
      </c>
      <c r="AR707" s="403">
        <f>'Portefeuille SP2'!AD732</f>
        <v>0</v>
      </c>
      <c r="AS707" s="403">
        <f>'Portefeuille SP2'!AE732</f>
        <v>0</v>
      </c>
      <c r="AT707" s="403">
        <f>'Portefeuille SP2'!AF732</f>
        <v>0</v>
      </c>
      <c r="AU707" s="403">
        <f>'Portefeuille SP2'!AG732</f>
        <v>0</v>
      </c>
      <c r="AV707" s="403">
        <f>'Portefeuille SP2'!AH732</f>
        <v>0</v>
      </c>
      <c r="AW707" s="403">
        <f>'Portefeuille SP2'!AI732</f>
        <v>0</v>
      </c>
      <c r="AX707" s="403">
        <f>'Portefeuille SP2'!AJ732</f>
        <v>0</v>
      </c>
      <c r="AY707" s="403">
        <f>'Portefeuille SP2'!AK732</f>
        <v>0</v>
      </c>
      <c r="AZ707" s="403">
        <f>'Portefeuille SP2'!AL732</f>
        <v>0</v>
      </c>
      <c r="BA707" s="403">
        <f>'Portefeuille SP2'!AM732</f>
        <v>0</v>
      </c>
      <c r="BB707" s="403">
        <f>'Portefeuille SP2'!AN732</f>
        <v>0</v>
      </c>
      <c r="BC707" s="403">
        <f>'Portefeuille SP2'!AO732</f>
        <v>0</v>
      </c>
      <c r="BD707" s="403">
        <f>'Portefeuille SP2'!AP732</f>
        <v>0</v>
      </c>
      <c r="BE707" s="403">
        <f>'Portefeuille SP2'!AQ732</f>
        <v>0</v>
      </c>
      <c r="BF707" s="403">
        <f>'Portefeuille SP2'!AR732</f>
        <v>0</v>
      </c>
      <c r="BG707" s="403" t="e">
        <f>'Portefeuille SP2'!#REF!</f>
        <v>#REF!</v>
      </c>
      <c r="BH707" s="403" t="e">
        <f>'Portefeuille SP2'!#REF!</f>
        <v>#REF!</v>
      </c>
      <c r="BI707" s="403" t="e">
        <f>'Portefeuille SP2'!#REF!</f>
        <v>#REF!</v>
      </c>
      <c r="BJ707" s="403" t="e">
        <f>'Portefeuille SP2'!#REF!</f>
        <v>#REF!</v>
      </c>
      <c r="BK707" s="403" t="e">
        <f>'Portefeuille SP2'!#REF!</f>
        <v>#REF!</v>
      </c>
      <c r="BL707" s="388"/>
      <c r="BM707" s="404">
        <f>'Portefeuille SP2'!L732</f>
        <v>0</v>
      </c>
    </row>
    <row r="708" spans="1:65" ht="15" customHeight="1">
      <c r="A708" s="383">
        <f>'Portefeuille SP2'!B733</f>
        <v>0</v>
      </c>
      <c r="B708" s="390">
        <f>'Portefeuille SP2'!Q733</f>
        <v>0</v>
      </c>
      <c r="C708" s="384"/>
      <c r="D708" s="382">
        <f>'Portefeuille SP2'!E733</f>
        <v>0</v>
      </c>
      <c r="E708" s="382" t="str">
        <f t="shared" si="41"/>
        <v>0</v>
      </c>
      <c r="F708" s="382" t="str">
        <f t="shared" si="42"/>
        <v/>
      </c>
      <c r="G708" s="382">
        <f>'Portefeuille SP2'!C733</f>
        <v>0</v>
      </c>
      <c r="H708" s="382">
        <f>'Portefeuille SP2'!F733</f>
        <v>0</v>
      </c>
      <c r="I708" s="382"/>
      <c r="J708" s="382">
        <f>'Portefeuille SP2'!D733</f>
        <v>0</v>
      </c>
      <c r="K708" s="385">
        <f>'Portefeuille SP2'!H733</f>
        <v>0</v>
      </c>
      <c r="L708" s="157">
        <f>'Portefeuille SP2'!U733</f>
        <v>0</v>
      </c>
      <c r="M708" s="386"/>
      <c r="N708" s="386"/>
      <c r="O708" s="386"/>
      <c r="P708" s="387">
        <f>'Portefeuille SP2'!M733</f>
        <v>0</v>
      </c>
      <c r="Q708" s="387"/>
      <c r="R708" s="387">
        <f>'Portefeuille SP2'!N733</f>
        <v>0</v>
      </c>
      <c r="S708" s="387"/>
      <c r="T708" s="382">
        <f>'Portefeuille SP2'!R733</f>
        <v>0</v>
      </c>
      <c r="U708" s="387">
        <f>'Portefeuille SP2'!K733</f>
        <v>0</v>
      </c>
      <c r="V708" s="399">
        <f>'Portefeuille SP2'!S733</f>
        <v>0</v>
      </c>
      <c r="W708" s="387"/>
      <c r="X708" s="387"/>
      <c r="Y708" s="387"/>
      <c r="Z708" s="387"/>
      <c r="AA708" s="387"/>
      <c r="AB708" s="387"/>
      <c r="AC708" s="387"/>
      <c r="AD708" s="387"/>
      <c r="AE708" s="400">
        <f>'Portefeuille SP2'!J733</f>
        <v>0</v>
      </c>
      <c r="AF708" s="387"/>
      <c r="AG708" s="387"/>
      <c r="AH708" s="389"/>
      <c r="AI708" s="389"/>
      <c r="AJ708" s="403">
        <f>'Portefeuille SP2'!V733</f>
        <v>0</v>
      </c>
      <c r="AK708" s="403">
        <f>'Portefeuille SP2'!W733</f>
        <v>0</v>
      </c>
      <c r="AL708" s="403">
        <f>'Portefeuille SP2'!X733</f>
        <v>0</v>
      </c>
      <c r="AM708" s="403">
        <f>'Portefeuille SP2'!Y733</f>
        <v>0</v>
      </c>
      <c r="AN708" s="403">
        <f>'Portefeuille SP2'!Z733</f>
        <v>0</v>
      </c>
      <c r="AO708" s="403">
        <f>'Portefeuille SP2'!AA733</f>
        <v>0</v>
      </c>
      <c r="AP708" s="403">
        <f>'Portefeuille SP2'!AB733</f>
        <v>0</v>
      </c>
      <c r="AQ708" s="403">
        <f>'Portefeuille SP2'!AC733</f>
        <v>0</v>
      </c>
      <c r="AR708" s="403">
        <f>'Portefeuille SP2'!AD733</f>
        <v>0</v>
      </c>
      <c r="AS708" s="403">
        <f>'Portefeuille SP2'!AE733</f>
        <v>0</v>
      </c>
      <c r="AT708" s="403">
        <f>'Portefeuille SP2'!AF733</f>
        <v>0</v>
      </c>
      <c r="AU708" s="403">
        <f>'Portefeuille SP2'!AG733</f>
        <v>0</v>
      </c>
      <c r="AV708" s="403">
        <f>'Portefeuille SP2'!AH733</f>
        <v>0</v>
      </c>
      <c r="AW708" s="403">
        <f>'Portefeuille SP2'!AI733</f>
        <v>0</v>
      </c>
      <c r="AX708" s="403">
        <f>'Portefeuille SP2'!AJ733</f>
        <v>0</v>
      </c>
      <c r="AY708" s="403">
        <f>'Portefeuille SP2'!AK733</f>
        <v>0</v>
      </c>
      <c r="AZ708" s="403">
        <f>'Portefeuille SP2'!AL733</f>
        <v>0</v>
      </c>
      <c r="BA708" s="403">
        <f>'Portefeuille SP2'!AM733</f>
        <v>0</v>
      </c>
      <c r="BB708" s="403">
        <f>'Portefeuille SP2'!AN733</f>
        <v>0</v>
      </c>
      <c r="BC708" s="403">
        <f>'Portefeuille SP2'!AO733</f>
        <v>0</v>
      </c>
      <c r="BD708" s="403">
        <f>'Portefeuille SP2'!AP733</f>
        <v>0</v>
      </c>
      <c r="BE708" s="403">
        <f>'Portefeuille SP2'!AQ733</f>
        <v>0</v>
      </c>
      <c r="BF708" s="403">
        <f>'Portefeuille SP2'!AR733</f>
        <v>0</v>
      </c>
      <c r="BG708" s="403" t="e">
        <f>'Portefeuille SP2'!#REF!</f>
        <v>#REF!</v>
      </c>
      <c r="BH708" s="403" t="e">
        <f>'Portefeuille SP2'!#REF!</f>
        <v>#REF!</v>
      </c>
      <c r="BI708" s="403" t="e">
        <f>'Portefeuille SP2'!#REF!</f>
        <v>#REF!</v>
      </c>
      <c r="BJ708" s="403" t="e">
        <f>'Portefeuille SP2'!#REF!</f>
        <v>#REF!</v>
      </c>
      <c r="BK708" s="403" t="e">
        <f>'Portefeuille SP2'!#REF!</f>
        <v>#REF!</v>
      </c>
      <c r="BL708" s="388"/>
      <c r="BM708" s="404">
        <f>'Portefeuille SP2'!L733</f>
        <v>0</v>
      </c>
    </row>
    <row r="709" spans="1:65" ht="15" customHeight="1">
      <c r="A709" s="383">
        <f>'Portefeuille SP2'!B734</f>
        <v>0</v>
      </c>
      <c r="B709" s="390">
        <f>'Portefeuille SP2'!Q734</f>
        <v>0</v>
      </c>
      <c r="C709" s="384"/>
      <c r="D709" s="382">
        <f>'Portefeuille SP2'!E734</f>
        <v>0</v>
      </c>
      <c r="E709" s="382" t="str">
        <f t="shared" si="41"/>
        <v>0</v>
      </c>
      <c r="F709" s="382" t="str">
        <f t="shared" si="42"/>
        <v/>
      </c>
      <c r="G709" s="382">
        <f>'Portefeuille SP2'!C734</f>
        <v>0</v>
      </c>
      <c r="H709" s="382">
        <f>'Portefeuille SP2'!F734</f>
        <v>0</v>
      </c>
      <c r="I709" s="382"/>
      <c r="J709" s="382">
        <f>'Portefeuille SP2'!D734</f>
        <v>0</v>
      </c>
      <c r="K709" s="385">
        <f>'Portefeuille SP2'!H734</f>
        <v>0</v>
      </c>
      <c r="L709" s="157">
        <f>'Portefeuille SP2'!U734</f>
        <v>0</v>
      </c>
      <c r="M709" s="386"/>
      <c r="N709" s="386"/>
      <c r="O709" s="386"/>
      <c r="P709" s="387">
        <f>'Portefeuille SP2'!M734</f>
        <v>0</v>
      </c>
      <c r="Q709" s="387"/>
      <c r="R709" s="387">
        <f>'Portefeuille SP2'!N734</f>
        <v>0</v>
      </c>
      <c r="S709" s="387"/>
      <c r="T709" s="382">
        <f>'Portefeuille SP2'!R734</f>
        <v>0</v>
      </c>
      <c r="U709" s="387">
        <f>'Portefeuille SP2'!K734</f>
        <v>0</v>
      </c>
      <c r="V709" s="399">
        <f>'Portefeuille SP2'!S734</f>
        <v>0</v>
      </c>
      <c r="W709" s="387"/>
      <c r="X709" s="387"/>
      <c r="Y709" s="387"/>
      <c r="Z709" s="387"/>
      <c r="AA709" s="387"/>
      <c r="AB709" s="387"/>
      <c r="AC709" s="387"/>
      <c r="AD709" s="387"/>
      <c r="AE709" s="400">
        <f>'Portefeuille SP2'!J734</f>
        <v>0</v>
      </c>
      <c r="AF709" s="387"/>
      <c r="AG709" s="387"/>
      <c r="AH709" s="389"/>
      <c r="AI709" s="389"/>
      <c r="AJ709" s="403">
        <f>'Portefeuille SP2'!V734</f>
        <v>0</v>
      </c>
      <c r="AK709" s="403">
        <f>'Portefeuille SP2'!W734</f>
        <v>0</v>
      </c>
      <c r="AL709" s="403">
        <f>'Portefeuille SP2'!X734</f>
        <v>0</v>
      </c>
      <c r="AM709" s="403">
        <f>'Portefeuille SP2'!Y734</f>
        <v>0</v>
      </c>
      <c r="AN709" s="403">
        <f>'Portefeuille SP2'!Z734</f>
        <v>0</v>
      </c>
      <c r="AO709" s="403">
        <f>'Portefeuille SP2'!AA734</f>
        <v>0</v>
      </c>
      <c r="AP709" s="403">
        <f>'Portefeuille SP2'!AB734</f>
        <v>0</v>
      </c>
      <c r="AQ709" s="403">
        <f>'Portefeuille SP2'!AC734</f>
        <v>0</v>
      </c>
      <c r="AR709" s="403">
        <f>'Portefeuille SP2'!AD734</f>
        <v>0</v>
      </c>
      <c r="AS709" s="403">
        <f>'Portefeuille SP2'!AE734</f>
        <v>0</v>
      </c>
      <c r="AT709" s="403">
        <f>'Portefeuille SP2'!AF734</f>
        <v>0</v>
      </c>
      <c r="AU709" s="403">
        <f>'Portefeuille SP2'!AG734</f>
        <v>0</v>
      </c>
      <c r="AV709" s="403">
        <f>'Portefeuille SP2'!AH734</f>
        <v>0</v>
      </c>
      <c r="AW709" s="403">
        <f>'Portefeuille SP2'!AI734</f>
        <v>0</v>
      </c>
      <c r="AX709" s="403">
        <f>'Portefeuille SP2'!AJ734</f>
        <v>0</v>
      </c>
      <c r="AY709" s="403">
        <f>'Portefeuille SP2'!AK734</f>
        <v>0</v>
      </c>
      <c r="AZ709" s="403">
        <f>'Portefeuille SP2'!AL734</f>
        <v>0</v>
      </c>
      <c r="BA709" s="403">
        <f>'Portefeuille SP2'!AM734</f>
        <v>0</v>
      </c>
      <c r="BB709" s="403">
        <f>'Portefeuille SP2'!AN734</f>
        <v>0</v>
      </c>
      <c r="BC709" s="403">
        <f>'Portefeuille SP2'!AO734</f>
        <v>0</v>
      </c>
      <c r="BD709" s="403">
        <f>'Portefeuille SP2'!AP734</f>
        <v>0</v>
      </c>
      <c r="BE709" s="403">
        <f>'Portefeuille SP2'!AQ734</f>
        <v>0</v>
      </c>
      <c r="BF709" s="403">
        <f>'Portefeuille SP2'!AR734</f>
        <v>0</v>
      </c>
      <c r="BG709" s="403" t="e">
        <f>'Portefeuille SP2'!#REF!</f>
        <v>#REF!</v>
      </c>
      <c r="BH709" s="403" t="e">
        <f>'Portefeuille SP2'!#REF!</f>
        <v>#REF!</v>
      </c>
      <c r="BI709" s="403" t="e">
        <f>'Portefeuille SP2'!#REF!</f>
        <v>#REF!</v>
      </c>
      <c r="BJ709" s="403" t="e">
        <f>'Portefeuille SP2'!#REF!</f>
        <v>#REF!</v>
      </c>
      <c r="BK709" s="403" t="e">
        <f>'Portefeuille SP2'!#REF!</f>
        <v>#REF!</v>
      </c>
      <c r="BL709" s="388"/>
      <c r="BM709" s="404">
        <f>'Portefeuille SP2'!L734</f>
        <v>0</v>
      </c>
    </row>
    <row r="710" spans="1:65" ht="15" customHeight="1">
      <c r="A710" s="383">
        <f>'Portefeuille SP2'!B735</f>
        <v>0</v>
      </c>
      <c r="B710" s="390">
        <f>'Portefeuille SP2'!Q735</f>
        <v>0</v>
      </c>
      <c r="C710" s="384"/>
      <c r="D710" s="382">
        <f>'Portefeuille SP2'!E735</f>
        <v>0</v>
      </c>
      <c r="E710" s="382" t="str">
        <f t="shared" si="41"/>
        <v>0</v>
      </c>
      <c r="F710" s="382" t="str">
        <f t="shared" si="42"/>
        <v/>
      </c>
      <c r="G710" s="382">
        <f>'Portefeuille SP2'!C735</f>
        <v>0</v>
      </c>
      <c r="H710" s="382">
        <f>'Portefeuille SP2'!F735</f>
        <v>0</v>
      </c>
      <c r="I710" s="382"/>
      <c r="J710" s="382">
        <f>'Portefeuille SP2'!D735</f>
        <v>0</v>
      </c>
      <c r="K710" s="385">
        <f>'Portefeuille SP2'!H735</f>
        <v>0</v>
      </c>
      <c r="L710" s="157">
        <f>'Portefeuille SP2'!U735</f>
        <v>0</v>
      </c>
      <c r="M710" s="386"/>
      <c r="N710" s="386"/>
      <c r="O710" s="386"/>
      <c r="P710" s="387">
        <f>'Portefeuille SP2'!M735</f>
        <v>0</v>
      </c>
      <c r="Q710" s="387"/>
      <c r="R710" s="387">
        <f>'Portefeuille SP2'!N735</f>
        <v>0</v>
      </c>
      <c r="S710" s="387"/>
      <c r="T710" s="382">
        <f>'Portefeuille SP2'!R735</f>
        <v>0</v>
      </c>
      <c r="U710" s="387">
        <f>'Portefeuille SP2'!K735</f>
        <v>0</v>
      </c>
      <c r="V710" s="399">
        <f>'Portefeuille SP2'!S735</f>
        <v>0</v>
      </c>
      <c r="W710" s="387"/>
      <c r="X710" s="387"/>
      <c r="Y710" s="387"/>
      <c r="Z710" s="387"/>
      <c r="AA710" s="387"/>
      <c r="AB710" s="387"/>
      <c r="AC710" s="387"/>
      <c r="AD710" s="387"/>
      <c r="AE710" s="400">
        <f>'Portefeuille SP2'!J735</f>
        <v>0</v>
      </c>
      <c r="AF710" s="387"/>
      <c r="AG710" s="387"/>
      <c r="AH710" s="389"/>
      <c r="AI710" s="389"/>
      <c r="AJ710" s="403">
        <f>'Portefeuille SP2'!V735</f>
        <v>0</v>
      </c>
      <c r="AK710" s="403">
        <f>'Portefeuille SP2'!W735</f>
        <v>0</v>
      </c>
      <c r="AL710" s="403">
        <f>'Portefeuille SP2'!X735</f>
        <v>0</v>
      </c>
      <c r="AM710" s="403">
        <f>'Portefeuille SP2'!Y735</f>
        <v>0</v>
      </c>
      <c r="AN710" s="403">
        <f>'Portefeuille SP2'!Z735</f>
        <v>0</v>
      </c>
      <c r="AO710" s="403">
        <f>'Portefeuille SP2'!AA735</f>
        <v>0</v>
      </c>
      <c r="AP710" s="403">
        <f>'Portefeuille SP2'!AB735</f>
        <v>0</v>
      </c>
      <c r="AQ710" s="403">
        <f>'Portefeuille SP2'!AC735</f>
        <v>0</v>
      </c>
      <c r="AR710" s="403">
        <f>'Portefeuille SP2'!AD735</f>
        <v>0</v>
      </c>
      <c r="AS710" s="403">
        <f>'Portefeuille SP2'!AE735</f>
        <v>0</v>
      </c>
      <c r="AT710" s="403">
        <f>'Portefeuille SP2'!AF735</f>
        <v>0</v>
      </c>
      <c r="AU710" s="403">
        <f>'Portefeuille SP2'!AG735</f>
        <v>0</v>
      </c>
      <c r="AV710" s="403">
        <f>'Portefeuille SP2'!AH735</f>
        <v>0</v>
      </c>
      <c r="AW710" s="403">
        <f>'Portefeuille SP2'!AI735</f>
        <v>0</v>
      </c>
      <c r="AX710" s="403">
        <f>'Portefeuille SP2'!AJ735</f>
        <v>0</v>
      </c>
      <c r="AY710" s="403">
        <f>'Portefeuille SP2'!AK735</f>
        <v>0</v>
      </c>
      <c r="AZ710" s="403">
        <f>'Portefeuille SP2'!AL735</f>
        <v>0</v>
      </c>
      <c r="BA710" s="403">
        <f>'Portefeuille SP2'!AM735</f>
        <v>0</v>
      </c>
      <c r="BB710" s="403">
        <f>'Portefeuille SP2'!AN735</f>
        <v>0</v>
      </c>
      <c r="BC710" s="403">
        <f>'Portefeuille SP2'!AO735</f>
        <v>0</v>
      </c>
      <c r="BD710" s="403">
        <f>'Portefeuille SP2'!AP735</f>
        <v>0</v>
      </c>
      <c r="BE710" s="403">
        <f>'Portefeuille SP2'!AQ735</f>
        <v>0</v>
      </c>
      <c r="BF710" s="403">
        <f>'Portefeuille SP2'!AR735</f>
        <v>0</v>
      </c>
      <c r="BG710" s="403" t="e">
        <f>'Portefeuille SP2'!#REF!</f>
        <v>#REF!</v>
      </c>
      <c r="BH710" s="403" t="e">
        <f>'Portefeuille SP2'!#REF!</f>
        <v>#REF!</v>
      </c>
      <c r="BI710" s="403" t="e">
        <f>'Portefeuille SP2'!#REF!</f>
        <v>#REF!</v>
      </c>
      <c r="BJ710" s="403" t="e">
        <f>'Portefeuille SP2'!#REF!</f>
        <v>#REF!</v>
      </c>
      <c r="BK710" s="403" t="e">
        <f>'Portefeuille SP2'!#REF!</f>
        <v>#REF!</v>
      </c>
      <c r="BL710" s="388"/>
      <c r="BM710" s="404">
        <f>'Portefeuille SP2'!L735</f>
        <v>0</v>
      </c>
    </row>
    <row r="711" spans="1:65" ht="15" customHeight="1">
      <c r="A711" s="383">
        <f>'Portefeuille SP2'!B736</f>
        <v>0</v>
      </c>
      <c r="B711" s="390">
        <f>'Portefeuille SP2'!Q736</f>
        <v>0</v>
      </c>
      <c r="C711" s="384"/>
      <c r="D711" s="382">
        <f>'Portefeuille SP2'!E736</f>
        <v>0</v>
      </c>
      <c r="E711" s="382" t="str">
        <f t="shared" si="41"/>
        <v>0</v>
      </c>
      <c r="F711" s="382" t="str">
        <f t="shared" si="42"/>
        <v/>
      </c>
      <c r="G711" s="382">
        <f>'Portefeuille SP2'!C736</f>
        <v>0</v>
      </c>
      <c r="H711" s="382">
        <f>'Portefeuille SP2'!F736</f>
        <v>0</v>
      </c>
      <c r="I711" s="382"/>
      <c r="J711" s="382">
        <f>'Portefeuille SP2'!D736</f>
        <v>0</v>
      </c>
      <c r="K711" s="385">
        <f>'Portefeuille SP2'!H736</f>
        <v>0</v>
      </c>
      <c r="L711" s="157">
        <f>'Portefeuille SP2'!U736</f>
        <v>0</v>
      </c>
      <c r="M711" s="386"/>
      <c r="N711" s="386"/>
      <c r="O711" s="386"/>
      <c r="P711" s="387">
        <f>'Portefeuille SP2'!M736</f>
        <v>0</v>
      </c>
      <c r="Q711" s="387"/>
      <c r="R711" s="387">
        <f>'Portefeuille SP2'!N736</f>
        <v>0</v>
      </c>
      <c r="S711" s="387"/>
      <c r="T711" s="382">
        <f>'Portefeuille SP2'!R736</f>
        <v>0</v>
      </c>
      <c r="U711" s="387">
        <f>'Portefeuille SP2'!K736</f>
        <v>0</v>
      </c>
      <c r="V711" s="399">
        <f>'Portefeuille SP2'!S736</f>
        <v>0</v>
      </c>
      <c r="W711" s="387"/>
      <c r="X711" s="387"/>
      <c r="Y711" s="387"/>
      <c r="Z711" s="387"/>
      <c r="AA711" s="387"/>
      <c r="AB711" s="387"/>
      <c r="AC711" s="387"/>
      <c r="AD711" s="387"/>
      <c r="AE711" s="400">
        <f>'Portefeuille SP2'!J736</f>
        <v>0</v>
      </c>
      <c r="AF711" s="387"/>
      <c r="AG711" s="387"/>
      <c r="AH711" s="389"/>
      <c r="AI711" s="389"/>
      <c r="AJ711" s="403">
        <f>'Portefeuille SP2'!V736</f>
        <v>0</v>
      </c>
      <c r="AK711" s="403">
        <f>'Portefeuille SP2'!W736</f>
        <v>0</v>
      </c>
      <c r="AL711" s="403">
        <f>'Portefeuille SP2'!X736</f>
        <v>0</v>
      </c>
      <c r="AM711" s="403">
        <f>'Portefeuille SP2'!Y736</f>
        <v>0</v>
      </c>
      <c r="AN711" s="403">
        <f>'Portefeuille SP2'!Z736</f>
        <v>0</v>
      </c>
      <c r="AO711" s="403">
        <f>'Portefeuille SP2'!AA736</f>
        <v>0</v>
      </c>
      <c r="AP711" s="403">
        <f>'Portefeuille SP2'!AB736</f>
        <v>0</v>
      </c>
      <c r="AQ711" s="403">
        <f>'Portefeuille SP2'!AC736</f>
        <v>0</v>
      </c>
      <c r="AR711" s="403">
        <f>'Portefeuille SP2'!AD736</f>
        <v>0</v>
      </c>
      <c r="AS711" s="403">
        <f>'Portefeuille SP2'!AE736</f>
        <v>0</v>
      </c>
      <c r="AT711" s="403">
        <f>'Portefeuille SP2'!AF736</f>
        <v>0</v>
      </c>
      <c r="AU711" s="403">
        <f>'Portefeuille SP2'!AG736</f>
        <v>0</v>
      </c>
      <c r="AV711" s="403">
        <f>'Portefeuille SP2'!AH736</f>
        <v>0</v>
      </c>
      <c r="AW711" s="403">
        <f>'Portefeuille SP2'!AI736</f>
        <v>0</v>
      </c>
      <c r="AX711" s="403">
        <f>'Portefeuille SP2'!AJ736</f>
        <v>0</v>
      </c>
      <c r="AY711" s="403">
        <f>'Portefeuille SP2'!AK736</f>
        <v>0</v>
      </c>
      <c r="AZ711" s="403">
        <f>'Portefeuille SP2'!AL736</f>
        <v>0</v>
      </c>
      <c r="BA711" s="403">
        <f>'Portefeuille SP2'!AM736</f>
        <v>0</v>
      </c>
      <c r="BB711" s="403">
        <f>'Portefeuille SP2'!AN736</f>
        <v>0</v>
      </c>
      <c r="BC711" s="403">
        <f>'Portefeuille SP2'!AO736</f>
        <v>0</v>
      </c>
      <c r="BD711" s="403">
        <f>'Portefeuille SP2'!AP736</f>
        <v>0</v>
      </c>
      <c r="BE711" s="403">
        <f>'Portefeuille SP2'!AQ736</f>
        <v>0</v>
      </c>
      <c r="BF711" s="403">
        <f>'Portefeuille SP2'!AR736</f>
        <v>0</v>
      </c>
      <c r="BG711" s="403" t="e">
        <f>'Portefeuille SP2'!#REF!</f>
        <v>#REF!</v>
      </c>
      <c r="BH711" s="403" t="e">
        <f>'Portefeuille SP2'!#REF!</f>
        <v>#REF!</v>
      </c>
      <c r="BI711" s="403" t="e">
        <f>'Portefeuille SP2'!#REF!</f>
        <v>#REF!</v>
      </c>
      <c r="BJ711" s="403" t="e">
        <f>'Portefeuille SP2'!#REF!</f>
        <v>#REF!</v>
      </c>
      <c r="BK711" s="403" t="e">
        <f>'Portefeuille SP2'!#REF!</f>
        <v>#REF!</v>
      </c>
      <c r="BL711" s="388"/>
      <c r="BM711" s="404">
        <f>'Portefeuille SP2'!L736</f>
        <v>0</v>
      </c>
    </row>
    <row r="712" spans="1:65" ht="15" customHeight="1">
      <c r="A712" s="383">
        <f>'Portefeuille SP2'!B737</f>
        <v>0</v>
      </c>
      <c r="B712" s="390">
        <f>'Portefeuille SP2'!Q737</f>
        <v>0</v>
      </c>
      <c r="C712" s="384"/>
      <c r="D712" s="382">
        <f>'Portefeuille SP2'!E737</f>
        <v>0</v>
      </c>
      <c r="E712" s="382" t="str">
        <f t="shared" si="41"/>
        <v>0</v>
      </c>
      <c r="F712" s="382" t="str">
        <f t="shared" si="42"/>
        <v/>
      </c>
      <c r="G712" s="382">
        <f>'Portefeuille SP2'!C737</f>
        <v>0</v>
      </c>
      <c r="H712" s="382">
        <f>'Portefeuille SP2'!F737</f>
        <v>0</v>
      </c>
      <c r="I712" s="382"/>
      <c r="J712" s="382">
        <f>'Portefeuille SP2'!D737</f>
        <v>0</v>
      </c>
      <c r="K712" s="385">
        <f>'Portefeuille SP2'!H737</f>
        <v>0</v>
      </c>
      <c r="L712" s="157">
        <f>'Portefeuille SP2'!U737</f>
        <v>0</v>
      </c>
      <c r="M712" s="386"/>
      <c r="N712" s="386"/>
      <c r="O712" s="386"/>
      <c r="P712" s="387">
        <f>'Portefeuille SP2'!M737</f>
        <v>0</v>
      </c>
      <c r="Q712" s="387"/>
      <c r="R712" s="387">
        <f>'Portefeuille SP2'!N737</f>
        <v>0</v>
      </c>
      <c r="S712" s="387"/>
      <c r="T712" s="382">
        <f>'Portefeuille SP2'!R737</f>
        <v>0</v>
      </c>
      <c r="U712" s="387">
        <f>'Portefeuille SP2'!K737</f>
        <v>0</v>
      </c>
      <c r="V712" s="399">
        <f>'Portefeuille SP2'!S737</f>
        <v>0</v>
      </c>
      <c r="W712" s="387"/>
      <c r="X712" s="387"/>
      <c r="Y712" s="387"/>
      <c r="Z712" s="387"/>
      <c r="AA712" s="387"/>
      <c r="AB712" s="387"/>
      <c r="AC712" s="387"/>
      <c r="AD712" s="387"/>
      <c r="AE712" s="400">
        <f>'Portefeuille SP2'!J737</f>
        <v>0</v>
      </c>
      <c r="AF712" s="387"/>
      <c r="AG712" s="387"/>
      <c r="AH712" s="389"/>
      <c r="AI712" s="389"/>
      <c r="AJ712" s="403">
        <f>'Portefeuille SP2'!V737</f>
        <v>0</v>
      </c>
      <c r="AK712" s="403">
        <f>'Portefeuille SP2'!W737</f>
        <v>0</v>
      </c>
      <c r="AL712" s="403">
        <f>'Portefeuille SP2'!X737</f>
        <v>0</v>
      </c>
      <c r="AM712" s="403">
        <f>'Portefeuille SP2'!Y737</f>
        <v>0</v>
      </c>
      <c r="AN712" s="403">
        <f>'Portefeuille SP2'!Z737</f>
        <v>0</v>
      </c>
      <c r="AO712" s="403">
        <f>'Portefeuille SP2'!AA737</f>
        <v>0</v>
      </c>
      <c r="AP712" s="403">
        <f>'Portefeuille SP2'!AB737</f>
        <v>0</v>
      </c>
      <c r="AQ712" s="403">
        <f>'Portefeuille SP2'!AC737</f>
        <v>0</v>
      </c>
      <c r="AR712" s="403">
        <f>'Portefeuille SP2'!AD737</f>
        <v>0</v>
      </c>
      <c r="AS712" s="403">
        <f>'Portefeuille SP2'!AE737</f>
        <v>0</v>
      </c>
      <c r="AT712" s="403">
        <f>'Portefeuille SP2'!AF737</f>
        <v>0</v>
      </c>
      <c r="AU712" s="403">
        <f>'Portefeuille SP2'!AG737</f>
        <v>0</v>
      </c>
      <c r="AV712" s="403">
        <f>'Portefeuille SP2'!AH737</f>
        <v>0</v>
      </c>
      <c r="AW712" s="403">
        <f>'Portefeuille SP2'!AI737</f>
        <v>0</v>
      </c>
      <c r="AX712" s="403">
        <f>'Portefeuille SP2'!AJ737</f>
        <v>0</v>
      </c>
      <c r="AY712" s="403">
        <f>'Portefeuille SP2'!AK737</f>
        <v>0</v>
      </c>
      <c r="AZ712" s="403">
        <f>'Portefeuille SP2'!AL737</f>
        <v>0</v>
      </c>
      <c r="BA712" s="403">
        <f>'Portefeuille SP2'!AM737</f>
        <v>0</v>
      </c>
      <c r="BB712" s="403">
        <f>'Portefeuille SP2'!AN737</f>
        <v>0</v>
      </c>
      <c r="BC712" s="403">
        <f>'Portefeuille SP2'!AO737</f>
        <v>0</v>
      </c>
      <c r="BD712" s="403">
        <f>'Portefeuille SP2'!AP737</f>
        <v>0</v>
      </c>
      <c r="BE712" s="403">
        <f>'Portefeuille SP2'!AQ737</f>
        <v>0</v>
      </c>
      <c r="BF712" s="403">
        <f>'Portefeuille SP2'!AR737</f>
        <v>0</v>
      </c>
      <c r="BG712" s="403" t="e">
        <f>'Portefeuille SP2'!#REF!</f>
        <v>#REF!</v>
      </c>
      <c r="BH712" s="403" t="e">
        <f>'Portefeuille SP2'!#REF!</f>
        <v>#REF!</v>
      </c>
      <c r="BI712" s="403" t="e">
        <f>'Portefeuille SP2'!#REF!</f>
        <v>#REF!</v>
      </c>
      <c r="BJ712" s="403" t="e">
        <f>'Portefeuille SP2'!#REF!</f>
        <v>#REF!</v>
      </c>
      <c r="BK712" s="403" t="e">
        <f>'Portefeuille SP2'!#REF!</f>
        <v>#REF!</v>
      </c>
      <c r="BL712" s="388"/>
      <c r="BM712" s="404">
        <f>'Portefeuille SP2'!L737</f>
        <v>0</v>
      </c>
    </row>
    <row r="713" spans="1:65" ht="15" customHeight="1">
      <c r="A713" s="383">
        <f>'Portefeuille SP2'!B738</f>
        <v>0</v>
      </c>
      <c r="B713" s="390">
        <f>'Portefeuille SP2'!Q738</f>
        <v>0</v>
      </c>
      <c r="C713" s="384"/>
      <c r="D713" s="382">
        <f>'Portefeuille SP2'!E738</f>
        <v>0</v>
      </c>
      <c r="E713" s="382" t="str">
        <f t="shared" ref="E713:E776" si="43">LEFT(J713,3)</f>
        <v>0</v>
      </c>
      <c r="F713" s="382" t="str">
        <f t="shared" ref="F713:F776" si="44">MID(J713, 6, 20)</f>
        <v/>
      </c>
      <c r="G713" s="382">
        <f>'Portefeuille SP2'!C738</f>
        <v>0</v>
      </c>
      <c r="H713" s="382">
        <f>'Portefeuille SP2'!F738</f>
        <v>0</v>
      </c>
      <c r="I713" s="382"/>
      <c r="J713" s="382">
        <f>'Portefeuille SP2'!D738</f>
        <v>0</v>
      </c>
      <c r="K713" s="385">
        <f>'Portefeuille SP2'!H738</f>
        <v>0</v>
      </c>
      <c r="L713" s="157">
        <f>'Portefeuille SP2'!U738</f>
        <v>0</v>
      </c>
      <c r="M713" s="386"/>
      <c r="N713" s="386"/>
      <c r="O713" s="386"/>
      <c r="P713" s="387">
        <f>'Portefeuille SP2'!M738</f>
        <v>0</v>
      </c>
      <c r="Q713" s="387"/>
      <c r="R713" s="387">
        <f>'Portefeuille SP2'!N738</f>
        <v>0</v>
      </c>
      <c r="S713" s="387"/>
      <c r="T713" s="382">
        <f>'Portefeuille SP2'!R738</f>
        <v>0</v>
      </c>
      <c r="U713" s="387">
        <f>'Portefeuille SP2'!K738</f>
        <v>0</v>
      </c>
      <c r="V713" s="399">
        <f>'Portefeuille SP2'!S738</f>
        <v>0</v>
      </c>
      <c r="W713" s="387"/>
      <c r="X713" s="387"/>
      <c r="Y713" s="387"/>
      <c r="Z713" s="387"/>
      <c r="AA713" s="387"/>
      <c r="AB713" s="387"/>
      <c r="AC713" s="387"/>
      <c r="AD713" s="387"/>
      <c r="AE713" s="400">
        <f>'Portefeuille SP2'!J738</f>
        <v>0</v>
      </c>
      <c r="AF713" s="387"/>
      <c r="AG713" s="387"/>
      <c r="AH713" s="389"/>
      <c r="AI713" s="389"/>
      <c r="AJ713" s="403">
        <f>'Portefeuille SP2'!V738</f>
        <v>0</v>
      </c>
      <c r="AK713" s="403">
        <f>'Portefeuille SP2'!W738</f>
        <v>0</v>
      </c>
      <c r="AL713" s="403">
        <f>'Portefeuille SP2'!X738</f>
        <v>0</v>
      </c>
      <c r="AM713" s="403">
        <f>'Portefeuille SP2'!Y738</f>
        <v>0</v>
      </c>
      <c r="AN713" s="403">
        <f>'Portefeuille SP2'!Z738</f>
        <v>0</v>
      </c>
      <c r="AO713" s="403">
        <f>'Portefeuille SP2'!AA738</f>
        <v>0</v>
      </c>
      <c r="AP713" s="403">
        <f>'Portefeuille SP2'!AB738</f>
        <v>0</v>
      </c>
      <c r="AQ713" s="403">
        <f>'Portefeuille SP2'!AC738</f>
        <v>0</v>
      </c>
      <c r="AR713" s="403">
        <f>'Portefeuille SP2'!AD738</f>
        <v>0</v>
      </c>
      <c r="AS713" s="403">
        <f>'Portefeuille SP2'!AE738</f>
        <v>0</v>
      </c>
      <c r="AT713" s="403">
        <f>'Portefeuille SP2'!AF738</f>
        <v>0</v>
      </c>
      <c r="AU713" s="403">
        <f>'Portefeuille SP2'!AG738</f>
        <v>0</v>
      </c>
      <c r="AV713" s="403">
        <f>'Portefeuille SP2'!AH738</f>
        <v>0</v>
      </c>
      <c r="AW713" s="403">
        <f>'Portefeuille SP2'!AI738</f>
        <v>0</v>
      </c>
      <c r="AX713" s="403">
        <f>'Portefeuille SP2'!AJ738</f>
        <v>0</v>
      </c>
      <c r="AY713" s="403">
        <f>'Portefeuille SP2'!AK738</f>
        <v>0</v>
      </c>
      <c r="AZ713" s="403">
        <f>'Portefeuille SP2'!AL738</f>
        <v>0</v>
      </c>
      <c r="BA713" s="403">
        <f>'Portefeuille SP2'!AM738</f>
        <v>0</v>
      </c>
      <c r="BB713" s="403">
        <f>'Portefeuille SP2'!AN738</f>
        <v>0</v>
      </c>
      <c r="BC713" s="403">
        <f>'Portefeuille SP2'!AO738</f>
        <v>0</v>
      </c>
      <c r="BD713" s="403">
        <f>'Portefeuille SP2'!AP738</f>
        <v>0</v>
      </c>
      <c r="BE713" s="403">
        <f>'Portefeuille SP2'!AQ738</f>
        <v>0</v>
      </c>
      <c r="BF713" s="403">
        <f>'Portefeuille SP2'!AR738</f>
        <v>0</v>
      </c>
      <c r="BG713" s="403" t="e">
        <f>'Portefeuille SP2'!#REF!</f>
        <v>#REF!</v>
      </c>
      <c r="BH713" s="403" t="e">
        <f>'Portefeuille SP2'!#REF!</f>
        <v>#REF!</v>
      </c>
      <c r="BI713" s="403" t="e">
        <f>'Portefeuille SP2'!#REF!</f>
        <v>#REF!</v>
      </c>
      <c r="BJ713" s="403" t="e">
        <f>'Portefeuille SP2'!#REF!</f>
        <v>#REF!</v>
      </c>
      <c r="BK713" s="403" t="e">
        <f>'Portefeuille SP2'!#REF!</f>
        <v>#REF!</v>
      </c>
      <c r="BL713" s="388"/>
      <c r="BM713" s="404">
        <f>'Portefeuille SP2'!L738</f>
        <v>0</v>
      </c>
    </row>
    <row r="714" spans="1:65" ht="15" customHeight="1">
      <c r="A714" s="383">
        <f>'Portefeuille SP2'!B739</f>
        <v>0</v>
      </c>
      <c r="B714" s="390">
        <f>'Portefeuille SP2'!Q739</f>
        <v>0</v>
      </c>
      <c r="C714" s="384"/>
      <c r="D714" s="382">
        <f>'Portefeuille SP2'!E739</f>
        <v>0</v>
      </c>
      <c r="E714" s="382" t="str">
        <f t="shared" si="43"/>
        <v>0</v>
      </c>
      <c r="F714" s="382" t="str">
        <f t="shared" si="44"/>
        <v/>
      </c>
      <c r="G714" s="382">
        <f>'Portefeuille SP2'!C739</f>
        <v>0</v>
      </c>
      <c r="H714" s="382">
        <f>'Portefeuille SP2'!F739</f>
        <v>0</v>
      </c>
      <c r="I714" s="382"/>
      <c r="J714" s="382">
        <f>'Portefeuille SP2'!D739</f>
        <v>0</v>
      </c>
      <c r="K714" s="385">
        <f>'Portefeuille SP2'!H739</f>
        <v>0</v>
      </c>
      <c r="L714" s="157">
        <f>'Portefeuille SP2'!U739</f>
        <v>0</v>
      </c>
      <c r="M714" s="386"/>
      <c r="N714" s="386"/>
      <c r="O714" s="386"/>
      <c r="P714" s="387">
        <f>'Portefeuille SP2'!M739</f>
        <v>0</v>
      </c>
      <c r="Q714" s="387"/>
      <c r="R714" s="387">
        <f>'Portefeuille SP2'!N739</f>
        <v>0</v>
      </c>
      <c r="S714" s="387"/>
      <c r="T714" s="382">
        <f>'Portefeuille SP2'!R739</f>
        <v>0</v>
      </c>
      <c r="U714" s="387">
        <f>'Portefeuille SP2'!K739</f>
        <v>0</v>
      </c>
      <c r="V714" s="399">
        <f>'Portefeuille SP2'!S739</f>
        <v>0</v>
      </c>
      <c r="W714" s="387"/>
      <c r="X714" s="387"/>
      <c r="Y714" s="387"/>
      <c r="Z714" s="387"/>
      <c r="AA714" s="387"/>
      <c r="AB714" s="387"/>
      <c r="AC714" s="387"/>
      <c r="AD714" s="387"/>
      <c r="AE714" s="400">
        <f>'Portefeuille SP2'!J739</f>
        <v>0</v>
      </c>
      <c r="AF714" s="387"/>
      <c r="AG714" s="387"/>
      <c r="AH714" s="389"/>
      <c r="AI714" s="389"/>
      <c r="AJ714" s="403">
        <f>'Portefeuille SP2'!V739</f>
        <v>0</v>
      </c>
      <c r="AK714" s="403">
        <f>'Portefeuille SP2'!W739</f>
        <v>0</v>
      </c>
      <c r="AL714" s="403">
        <f>'Portefeuille SP2'!X739</f>
        <v>0</v>
      </c>
      <c r="AM714" s="403">
        <f>'Portefeuille SP2'!Y739</f>
        <v>0</v>
      </c>
      <c r="AN714" s="403">
        <f>'Portefeuille SP2'!Z739</f>
        <v>0</v>
      </c>
      <c r="AO714" s="403">
        <f>'Portefeuille SP2'!AA739</f>
        <v>0</v>
      </c>
      <c r="AP714" s="403">
        <f>'Portefeuille SP2'!AB739</f>
        <v>0</v>
      </c>
      <c r="AQ714" s="403">
        <f>'Portefeuille SP2'!AC739</f>
        <v>0</v>
      </c>
      <c r="AR714" s="403">
        <f>'Portefeuille SP2'!AD739</f>
        <v>0</v>
      </c>
      <c r="AS714" s="403">
        <f>'Portefeuille SP2'!AE739</f>
        <v>0</v>
      </c>
      <c r="AT714" s="403">
        <f>'Portefeuille SP2'!AF739</f>
        <v>0</v>
      </c>
      <c r="AU714" s="403">
        <f>'Portefeuille SP2'!AG739</f>
        <v>0</v>
      </c>
      <c r="AV714" s="403">
        <f>'Portefeuille SP2'!AH739</f>
        <v>0</v>
      </c>
      <c r="AW714" s="403">
        <f>'Portefeuille SP2'!AI739</f>
        <v>0</v>
      </c>
      <c r="AX714" s="403">
        <f>'Portefeuille SP2'!AJ739</f>
        <v>0</v>
      </c>
      <c r="AY714" s="403">
        <f>'Portefeuille SP2'!AK739</f>
        <v>0</v>
      </c>
      <c r="AZ714" s="403">
        <f>'Portefeuille SP2'!AL739</f>
        <v>0</v>
      </c>
      <c r="BA714" s="403">
        <f>'Portefeuille SP2'!AM739</f>
        <v>0</v>
      </c>
      <c r="BB714" s="403">
        <f>'Portefeuille SP2'!AN739</f>
        <v>0</v>
      </c>
      <c r="BC714" s="403">
        <f>'Portefeuille SP2'!AO739</f>
        <v>0</v>
      </c>
      <c r="BD714" s="403">
        <f>'Portefeuille SP2'!AP739</f>
        <v>0</v>
      </c>
      <c r="BE714" s="403">
        <f>'Portefeuille SP2'!AQ739</f>
        <v>0</v>
      </c>
      <c r="BF714" s="403">
        <f>'Portefeuille SP2'!AR739</f>
        <v>0</v>
      </c>
      <c r="BG714" s="403" t="e">
        <f>'Portefeuille SP2'!#REF!</f>
        <v>#REF!</v>
      </c>
      <c r="BH714" s="403" t="e">
        <f>'Portefeuille SP2'!#REF!</f>
        <v>#REF!</v>
      </c>
      <c r="BI714" s="403" t="e">
        <f>'Portefeuille SP2'!#REF!</f>
        <v>#REF!</v>
      </c>
      <c r="BJ714" s="403" t="e">
        <f>'Portefeuille SP2'!#REF!</f>
        <v>#REF!</v>
      </c>
      <c r="BK714" s="403" t="e">
        <f>'Portefeuille SP2'!#REF!</f>
        <v>#REF!</v>
      </c>
      <c r="BL714" s="388"/>
      <c r="BM714" s="404">
        <f>'Portefeuille SP2'!L739</f>
        <v>0</v>
      </c>
    </row>
    <row r="715" spans="1:65" ht="15" customHeight="1">
      <c r="A715" s="383">
        <f>'Portefeuille SP2'!B740</f>
        <v>0</v>
      </c>
      <c r="B715" s="390">
        <f>'Portefeuille SP2'!Q740</f>
        <v>0</v>
      </c>
      <c r="C715" s="384"/>
      <c r="D715" s="382">
        <f>'Portefeuille SP2'!E740</f>
        <v>0</v>
      </c>
      <c r="E715" s="382" t="str">
        <f t="shared" si="43"/>
        <v>0</v>
      </c>
      <c r="F715" s="382" t="str">
        <f t="shared" si="44"/>
        <v/>
      </c>
      <c r="G715" s="382">
        <f>'Portefeuille SP2'!C740</f>
        <v>0</v>
      </c>
      <c r="H715" s="382">
        <f>'Portefeuille SP2'!F740</f>
        <v>0</v>
      </c>
      <c r="I715" s="382"/>
      <c r="J715" s="382">
        <f>'Portefeuille SP2'!D740</f>
        <v>0</v>
      </c>
      <c r="K715" s="385">
        <f>'Portefeuille SP2'!H740</f>
        <v>0</v>
      </c>
      <c r="L715" s="157">
        <f>'Portefeuille SP2'!U740</f>
        <v>0</v>
      </c>
      <c r="M715" s="386"/>
      <c r="N715" s="386"/>
      <c r="O715" s="386"/>
      <c r="P715" s="387">
        <f>'Portefeuille SP2'!M740</f>
        <v>0</v>
      </c>
      <c r="Q715" s="387"/>
      <c r="R715" s="387">
        <f>'Portefeuille SP2'!N740</f>
        <v>0</v>
      </c>
      <c r="S715" s="387"/>
      <c r="T715" s="382">
        <f>'Portefeuille SP2'!R740</f>
        <v>0</v>
      </c>
      <c r="U715" s="387">
        <f>'Portefeuille SP2'!K740</f>
        <v>0</v>
      </c>
      <c r="V715" s="399">
        <f>'Portefeuille SP2'!S740</f>
        <v>0</v>
      </c>
      <c r="W715" s="387"/>
      <c r="X715" s="387"/>
      <c r="Y715" s="387"/>
      <c r="Z715" s="387"/>
      <c r="AA715" s="387"/>
      <c r="AB715" s="387"/>
      <c r="AC715" s="387"/>
      <c r="AD715" s="387"/>
      <c r="AE715" s="400">
        <f>'Portefeuille SP2'!J740</f>
        <v>0</v>
      </c>
      <c r="AF715" s="387"/>
      <c r="AG715" s="387"/>
      <c r="AH715" s="389"/>
      <c r="AI715" s="389"/>
      <c r="AJ715" s="403">
        <f>'Portefeuille SP2'!V740</f>
        <v>0</v>
      </c>
      <c r="AK715" s="403">
        <f>'Portefeuille SP2'!W740</f>
        <v>0</v>
      </c>
      <c r="AL715" s="403">
        <f>'Portefeuille SP2'!X740</f>
        <v>0</v>
      </c>
      <c r="AM715" s="403">
        <f>'Portefeuille SP2'!Y740</f>
        <v>0</v>
      </c>
      <c r="AN715" s="403">
        <f>'Portefeuille SP2'!Z740</f>
        <v>0</v>
      </c>
      <c r="AO715" s="403">
        <f>'Portefeuille SP2'!AA740</f>
        <v>0</v>
      </c>
      <c r="AP715" s="403">
        <f>'Portefeuille SP2'!AB740</f>
        <v>0</v>
      </c>
      <c r="AQ715" s="403">
        <f>'Portefeuille SP2'!AC740</f>
        <v>0</v>
      </c>
      <c r="AR715" s="403">
        <f>'Portefeuille SP2'!AD740</f>
        <v>0</v>
      </c>
      <c r="AS715" s="403">
        <f>'Portefeuille SP2'!AE740</f>
        <v>0</v>
      </c>
      <c r="AT715" s="403">
        <f>'Portefeuille SP2'!AF740</f>
        <v>0</v>
      </c>
      <c r="AU715" s="403">
        <f>'Portefeuille SP2'!AG740</f>
        <v>0</v>
      </c>
      <c r="AV715" s="403">
        <f>'Portefeuille SP2'!AH740</f>
        <v>0</v>
      </c>
      <c r="AW715" s="403">
        <f>'Portefeuille SP2'!AI740</f>
        <v>0</v>
      </c>
      <c r="AX715" s="403">
        <f>'Portefeuille SP2'!AJ740</f>
        <v>0</v>
      </c>
      <c r="AY715" s="403">
        <f>'Portefeuille SP2'!AK740</f>
        <v>0</v>
      </c>
      <c r="AZ715" s="403">
        <f>'Portefeuille SP2'!AL740</f>
        <v>0</v>
      </c>
      <c r="BA715" s="403">
        <f>'Portefeuille SP2'!AM740</f>
        <v>0</v>
      </c>
      <c r="BB715" s="403">
        <f>'Portefeuille SP2'!AN740</f>
        <v>0</v>
      </c>
      <c r="BC715" s="403">
        <f>'Portefeuille SP2'!AO740</f>
        <v>0</v>
      </c>
      <c r="BD715" s="403">
        <f>'Portefeuille SP2'!AP740</f>
        <v>0</v>
      </c>
      <c r="BE715" s="403">
        <f>'Portefeuille SP2'!AQ740</f>
        <v>0</v>
      </c>
      <c r="BF715" s="403">
        <f>'Portefeuille SP2'!AR740</f>
        <v>0</v>
      </c>
      <c r="BG715" s="403" t="e">
        <f>'Portefeuille SP2'!#REF!</f>
        <v>#REF!</v>
      </c>
      <c r="BH715" s="403" t="e">
        <f>'Portefeuille SP2'!#REF!</f>
        <v>#REF!</v>
      </c>
      <c r="BI715" s="403" t="e">
        <f>'Portefeuille SP2'!#REF!</f>
        <v>#REF!</v>
      </c>
      <c r="BJ715" s="403" t="e">
        <f>'Portefeuille SP2'!#REF!</f>
        <v>#REF!</v>
      </c>
      <c r="BK715" s="403" t="e">
        <f>'Portefeuille SP2'!#REF!</f>
        <v>#REF!</v>
      </c>
      <c r="BL715" s="388"/>
      <c r="BM715" s="404">
        <f>'Portefeuille SP2'!L740</f>
        <v>0</v>
      </c>
    </row>
    <row r="716" spans="1:65" ht="15" customHeight="1">
      <c r="A716" s="383">
        <f>'Portefeuille SP2'!B741</f>
        <v>0</v>
      </c>
      <c r="B716" s="390">
        <f>'Portefeuille SP2'!Q741</f>
        <v>0</v>
      </c>
      <c r="C716" s="384"/>
      <c r="D716" s="382">
        <f>'Portefeuille SP2'!E741</f>
        <v>0</v>
      </c>
      <c r="E716" s="382" t="str">
        <f t="shared" si="43"/>
        <v>0</v>
      </c>
      <c r="F716" s="382" t="str">
        <f t="shared" si="44"/>
        <v/>
      </c>
      <c r="G716" s="382">
        <f>'Portefeuille SP2'!C741</f>
        <v>0</v>
      </c>
      <c r="H716" s="382">
        <f>'Portefeuille SP2'!F741</f>
        <v>0</v>
      </c>
      <c r="I716" s="382"/>
      <c r="J716" s="382">
        <f>'Portefeuille SP2'!D741</f>
        <v>0</v>
      </c>
      <c r="K716" s="385">
        <f>'Portefeuille SP2'!H741</f>
        <v>0</v>
      </c>
      <c r="L716" s="157">
        <f>'Portefeuille SP2'!U741</f>
        <v>0</v>
      </c>
      <c r="M716" s="386"/>
      <c r="N716" s="386"/>
      <c r="O716" s="386"/>
      <c r="P716" s="387">
        <f>'Portefeuille SP2'!M741</f>
        <v>0</v>
      </c>
      <c r="Q716" s="387"/>
      <c r="R716" s="387">
        <f>'Portefeuille SP2'!N741</f>
        <v>0</v>
      </c>
      <c r="S716" s="387"/>
      <c r="T716" s="382">
        <f>'Portefeuille SP2'!R741</f>
        <v>0</v>
      </c>
      <c r="U716" s="387">
        <f>'Portefeuille SP2'!K741</f>
        <v>0</v>
      </c>
      <c r="V716" s="399">
        <f>'Portefeuille SP2'!S741</f>
        <v>0</v>
      </c>
      <c r="W716" s="387"/>
      <c r="X716" s="387"/>
      <c r="Y716" s="387"/>
      <c r="Z716" s="387"/>
      <c r="AA716" s="387"/>
      <c r="AB716" s="387"/>
      <c r="AC716" s="387"/>
      <c r="AD716" s="387"/>
      <c r="AE716" s="400">
        <f>'Portefeuille SP2'!J741</f>
        <v>0</v>
      </c>
      <c r="AF716" s="387"/>
      <c r="AG716" s="387"/>
      <c r="AH716" s="389"/>
      <c r="AI716" s="389"/>
      <c r="AJ716" s="403">
        <f>'Portefeuille SP2'!V741</f>
        <v>0</v>
      </c>
      <c r="AK716" s="403">
        <f>'Portefeuille SP2'!W741</f>
        <v>0</v>
      </c>
      <c r="AL716" s="403">
        <f>'Portefeuille SP2'!X741</f>
        <v>0</v>
      </c>
      <c r="AM716" s="403">
        <f>'Portefeuille SP2'!Y741</f>
        <v>0</v>
      </c>
      <c r="AN716" s="403">
        <f>'Portefeuille SP2'!Z741</f>
        <v>0</v>
      </c>
      <c r="AO716" s="403">
        <f>'Portefeuille SP2'!AA741</f>
        <v>0</v>
      </c>
      <c r="AP716" s="403">
        <f>'Portefeuille SP2'!AB741</f>
        <v>0</v>
      </c>
      <c r="AQ716" s="403">
        <f>'Portefeuille SP2'!AC741</f>
        <v>0</v>
      </c>
      <c r="AR716" s="403">
        <f>'Portefeuille SP2'!AD741</f>
        <v>0</v>
      </c>
      <c r="AS716" s="403">
        <f>'Portefeuille SP2'!AE741</f>
        <v>0</v>
      </c>
      <c r="AT716" s="403">
        <f>'Portefeuille SP2'!AF741</f>
        <v>0</v>
      </c>
      <c r="AU716" s="403">
        <f>'Portefeuille SP2'!AG741</f>
        <v>0</v>
      </c>
      <c r="AV716" s="403">
        <f>'Portefeuille SP2'!AH741</f>
        <v>0</v>
      </c>
      <c r="AW716" s="403">
        <f>'Portefeuille SP2'!AI741</f>
        <v>0</v>
      </c>
      <c r="AX716" s="403">
        <f>'Portefeuille SP2'!AJ741</f>
        <v>0</v>
      </c>
      <c r="AY716" s="403">
        <f>'Portefeuille SP2'!AK741</f>
        <v>0</v>
      </c>
      <c r="AZ716" s="403">
        <f>'Portefeuille SP2'!AL741</f>
        <v>0</v>
      </c>
      <c r="BA716" s="403">
        <f>'Portefeuille SP2'!AM741</f>
        <v>0</v>
      </c>
      <c r="BB716" s="403">
        <f>'Portefeuille SP2'!AN741</f>
        <v>0</v>
      </c>
      <c r="BC716" s="403">
        <f>'Portefeuille SP2'!AO741</f>
        <v>0</v>
      </c>
      <c r="BD716" s="403">
        <f>'Portefeuille SP2'!AP741</f>
        <v>0</v>
      </c>
      <c r="BE716" s="403">
        <f>'Portefeuille SP2'!AQ741</f>
        <v>0</v>
      </c>
      <c r="BF716" s="403">
        <f>'Portefeuille SP2'!AR741</f>
        <v>0</v>
      </c>
      <c r="BG716" s="403" t="e">
        <f>'Portefeuille SP2'!#REF!</f>
        <v>#REF!</v>
      </c>
      <c r="BH716" s="403" t="e">
        <f>'Portefeuille SP2'!#REF!</f>
        <v>#REF!</v>
      </c>
      <c r="BI716" s="403" t="e">
        <f>'Portefeuille SP2'!#REF!</f>
        <v>#REF!</v>
      </c>
      <c r="BJ716" s="403" t="e">
        <f>'Portefeuille SP2'!#REF!</f>
        <v>#REF!</v>
      </c>
      <c r="BK716" s="403" t="e">
        <f>'Portefeuille SP2'!#REF!</f>
        <v>#REF!</v>
      </c>
      <c r="BL716" s="388"/>
      <c r="BM716" s="404">
        <f>'Portefeuille SP2'!L741</f>
        <v>0</v>
      </c>
    </row>
    <row r="717" spans="1:65" ht="15" customHeight="1">
      <c r="A717" s="383">
        <f>'Portefeuille SP2'!B742</f>
        <v>0</v>
      </c>
      <c r="B717" s="390">
        <f>'Portefeuille SP2'!Q742</f>
        <v>0</v>
      </c>
      <c r="C717" s="384"/>
      <c r="D717" s="382">
        <f>'Portefeuille SP2'!E742</f>
        <v>0</v>
      </c>
      <c r="E717" s="382" t="str">
        <f t="shared" si="43"/>
        <v>0</v>
      </c>
      <c r="F717" s="382" t="str">
        <f t="shared" si="44"/>
        <v/>
      </c>
      <c r="G717" s="382">
        <f>'Portefeuille SP2'!C742</f>
        <v>0</v>
      </c>
      <c r="H717" s="382">
        <f>'Portefeuille SP2'!F742</f>
        <v>0</v>
      </c>
      <c r="I717" s="382"/>
      <c r="J717" s="382">
        <f>'Portefeuille SP2'!D742</f>
        <v>0</v>
      </c>
      <c r="K717" s="385">
        <f>'Portefeuille SP2'!H742</f>
        <v>0</v>
      </c>
      <c r="L717" s="157">
        <f>'Portefeuille SP2'!U742</f>
        <v>0</v>
      </c>
      <c r="M717" s="386"/>
      <c r="N717" s="386"/>
      <c r="O717" s="386"/>
      <c r="P717" s="387">
        <f>'Portefeuille SP2'!M742</f>
        <v>0</v>
      </c>
      <c r="Q717" s="387"/>
      <c r="R717" s="387">
        <f>'Portefeuille SP2'!N742</f>
        <v>0</v>
      </c>
      <c r="S717" s="387"/>
      <c r="T717" s="382">
        <f>'Portefeuille SP2'!R742</f>
        <v>0</v>
      </c>
      <c r="U717" s="387">
        <f>'Portefeuille SP2'!K742</f>
        <v>0</v>
      </c>
      <c r="V717" s="399">
        <f>'Portefeuille SP2'!S742</f>
        <v>0</v>
      </c>
      <c r="W717" s="387"/>
      <c r="X717" s="387"/>
      <c r="Y717" s="387"/>
      <c r="Z717" s="387"/>
      <c r="AA717" s="387"/>
      <c r="AB717" s="387"/>
      <c r="AC717" s="387"/>
      <c r="AD717" s="387"/>
      <c r="AE717" s="400">
        <f>'Portefeuille SP2'!J742</f>
        <v>0</v>
      </c>
      <c r="AF717" s="387"/>
      <c r="AG717" s="387"/>
      <c r="AH717" s="389"/>
      <c r="AI717" s="389"/>
      <c r="AJ717" s="403">
        <f>'Portefeuille SP2'!V742</f>
        <v>0</v>
      </c>
      <c r="AK717" s="403">
        <f>'Portefeuille SP2'!W742</f>
        <v>0</v>
      </c>
      <c r="AL717" s="403">
        <f>'Portefeuille SP2'!X742</f>
        <v>0</v>
      </c>
      <c r="AM717" s="403">
        <f>'Portefeuille SP2'!Y742</f>
        <v>0</v>
      </c>
      <c r="AN717" s="403">
        <f>'Portefeuille SP2'!Z742</f>
        <v>0</v>
      </c>
      <c r="AO717" s="403">
        <f>'Portefeuille SP2'!AA742</f>
        <v>0</v>
      </c>
      <c r="AP717" s="403">
        <f>'Portefeuille SP2'!AB742</f>
        <v>0</v>
      </c>
      <c r="AQ717" s="403">
        <f>'Portefeuille SP2'!AC742</f>
        <v>0</v>
      </c>
      <c r="AR717" s="403">
        <f>'Portefeuille SP2'!AD742</f>
        <v>0</v>
      </c>
      <c r="AS717" s="403">
        <f>'Portefeuille SP2'!AE742</f>
        <v>0</v>
      </c>
      <c r="AT717" s="403">
        <f>'Portefeuille SP2'!AF742</f>
        <v>0</v>
      </c>
      <c r="AU717" s="403">
        <f>'Portefeuille SP2'!AG742</f>
        <v>0</v>
      </c>
      <c r="AV717" s="403">
        <f>'Portefeuille SP2'!AH742</f>
        <v>0</v>
      </c>
      <c r="AW717" s="403">
        <f>'Portefeuille SP2'!AI742</f>
        <v>0</v>
      </c>
      <c r="AX717" s="403">
        <f>'Portefeuille SP2'!AJ742</f>
        <v>0</v>
      </c>
      <c r="AY717" s="403">
        <f>'Portefeuille SP2'!AK742</f>
        <v>0</v>
      </c>
      <c r="AZ717" s="403">
        <f>'Portefeuille SP2'!AL742</f>
        <v>0</v>
      </c>
      <c r="BA717" s="403">
        <f>'Portefeuille SP2'!AM742</f>
        <v>0</v>
      </c>
      <c r="BB717" s="403">
        <f>'Portefeuille SP2'!AN742</f>
        <v>0</v>
      </c>
      <c r="BC717" s="403">
        <f>'Portefeuille SP2'!AO742</f>
        <v>0</v>
      </c>
      <c r="BD717" s="403">
        <f>'Portefeuille SP2'!AP742</f>
        <v>0</v>
      </c>
      <c r="BE717" s="403">
        <f>'Portefeuille SP2'!AQ742</f>
        <v>0</v>
      </c>
      <c r="BF717" s="403">
        <f>'Portefeuille SP2'!AR742</f>
        <v>0</v>
      </c>
      <c r="BG717" s="403" t="e">
        <f>'Portefeuille SP2'!#REF!</f>
        <v>#REF!</v>
      </c>
      <c r="BH717" s="403" t="e">
        <f>'Portefeuille SP2'!#REF!</f>
        <v>#REF!</v>
      </c>
      <c r="BI717" s="403" t="e">
        <f>'Portefeuille SP2'!#REF!</f>
        <v>#REF!</v>
      </c>
      <c r="BJ717" s="403" t="e">
        <f>'Portefeuille SP2'!#REF!</f>
        <v>#REF!</v>
      </c>
      <c r="BK717" s="403" t="e">
        <f>'Portefeuille SP2'!#REF!</f>
        <v>#REF!</v>
      </c>
      <c r="BL717" s="388"/>
      <c r="BM717" s="404">
        <f>'Portefeuille SP2'!L742</f>
        <v>0</v>
      </c>
    </row>
    <row r="718" spans="1:65" ht="15" customHeight="1">
      <c r="A718" s="383">
        <f>'Portefeuille SP2'!B743</f>
        <v>0</v>
      </c>
      <c r="B718" s="390">
        <f>'Portefeuille SP2'!Q743</f>
        <v>0</v>
      </c>
      <c r="C718" s="384"/>
      <c r="D718" s="382">
        <f>'Portefeuille SP2'!E743</f>
        <v>0</v>
      </c>
      <c r="E718" s="382" t="str">
        <f t="shared" si="43"/>
        <v>0</v>
      </c>
      <c r="F718" s="382" t="str">
        <f t="shared" si="44"/>
        <v/>
      </c>
      <c r="G718" s="382">
        <f>'Portefeuille SP2'!C743</f>
        <v>0</v>
      </c>
      <c r="H718" s="382">
        <f>'Portefeuille SP2'!F743</f>
        <v>0</v>
      </c>
      <c r="I718" s="382"/>
      <c r="J718" s="382">
        <f>'Portefeuille SP2'!D743</f>
        <v>0</v>
      </c>
      <c r="K718" s="385">
        <f>'Portefeuille SP2'!H743</f>
        <v>0</v>
      </c>
      <c r="L718" s="157">
        <f>'Portefeuille SP2'!U743</f>
        <v>0</v>
      </c>
      <c r="M718" s="386"/>
      <c r="N718" s="386"/>
      <c r="O718" s="386"/>
      <c r="P718" s="387">
        <f>'Portefeuille SP2'!M743</f>
        <v>0</v>
      </c>
      <c r="Q718" s="387"/>
      <c r="R718" s="387">
        <f>'Portefeuille SP2'!N743</f>
        <v>0</v>
      </c>
      <c r="S718" s="387"/>
      <c r="T718" s="382">
        <f>'Portefeuille SP2'!R743</f>
        <v>0</v>
      </c>
      <c r="U718" s="387">
        <f>'Portefeuille SP2'!K743</f>
        <v>0</v>
      </c>
      <c r="V718" s="399">
        <f>'Portefeuille SP2'!S743</f>
        <v>0</v>
      </c>
      <c r="W718" s="387"/>
      <c r="X718" s="387"/>
      <c r="Y718" s="387"/>
      <c r="Z718" s="387"/>
      <c r="AA718" s="387"/>
      <c r="AB718" s="387"/>
      <c r="AC718" s="387"/>
      <c r="AD718" s="387"/>
      <c r="AE718" s="400">
        <f>'Portefeuille SP2'!J743</f>
        <v>0</v>
      </c>
      <c r="AF718" s="387"/>
      <c r="AG718" s="387"/>
      <c r="AH718" s="389"/>
      <c r="AI718" s="389"/>
      <c r="AJ718" s="403">
        <f>'Portefeuille SP2'!V743</f>
        <v>0</v>
      </c>
      <c r="AK718" s="403">
        <f>'Portefeuille SP2'!W743</f>
        <v>0</v>
      </c>
      <c r="AL718" s="403">
        <f>'Portefeuille SP2'!X743</f>
        <v>0</v>
      </c>
      <c r="AM718" s="403">
        <f>'Portefeuille SP2'!Y743</f>
        <v>0</v>
      </c>
      <c r="AN718" s="403">
        <f>'Portefeuille SP2'!Z743</f>
        <v>0</v>
      </c>
      <c r="AO718" s="403">
        <f>'Portefeuille SP2'!AA743</f>
        <v>0</v>
      </c>
      <c r="AP718" s="403">
        <f>'Portefeuille SP2'!AB743</f>
        <v>0</v>
      </c>
      <c r="AQ718" s="403">
        <f>'Portefeuille SP2'!AC743</f>
        <v>0</v>
      </c>
      <c r="AR718" s="403">
        <f>'Portefeuille SP2'!AD743</f>
        <v>0</v>
      </c>
      <c r="AS718" s="403">
        <f>'Portefeuille SP2'!AE743</f>
        <v>0</v>
      </c>
      <c r="AT718" s="403">
        <f>'Portefeuille SP2'!AF743</f>
        <v>0</v>
      </c>
      <c r="AU718" s="403">
        <f>'Portefeuille SP2'!AG743</f>
        <v>0</v>
      </c>
      <c r="AV718" s="403">
        <f>'Portefeuille SP2'!AH743</f>
        <v>0</v>
      </c>
      <c r="AW718" s="403">
        <f>'Portefeuille SP2'!AI743</f>
        <v>0</v>
      </c>
      <c r="AX718" s="403">
        <f>'Portefeuille SP2'!AJ743</f>
        <v>0</v>
      </c>
      <c r="AY718" s="403">
        <f>'Portefeuille SP2'!AK743</f>
        <v>0</v>
      </c>
      <c r="AZ718" s="403">
        <f>'Portefeuille SP2'!AL743</f>
        <v>0</v>
      </c>
      <c r="BA718" s="403">
        <f>'Portefeuille SP2'!AM743</f>
        <v>0</v>
      </c>
      <c r="BB718" s="403">
        <f>'Portefeuille SP2'!AN743</f>
        <v>0</v>
      </c>
      <c r="BC718" s="403">
        <f>'Portefeuille SP2'!AO743</f>
        <v>0</v>
      </c>
      <c r="BD718" s="403">
        <f>'Portefeuille SP2'!AP743</f>
        <v>0</v>
      </c>
      <c r="BE718" s="403">
        <f>'Portefeuille SP2'!AQ743</f>
        <v>0</v>
      </c>
      <c r="BF718" s="403">
        <f>'Portefeuille SP2'!AR743</f>
        <v>0</v>
      </c>
      <c r="BG718" s="403" t="e">
        <f>'Portefeuille SP2'!#REF!</f>
        <v>#REF!</v>
      </c>
      <c r="BH718" s="403" t="e">
        <f>'Portefeuille SP2'!#REF!</f>
        <v>#REF!</v>
      </c>
      <c r="BI718" s="403" t="e">
        <f>'Portefeuille SP2'!#REF!</f>
        <v>#REF!</v>
      </c>
      <c r="BJ718" s="403" t="e">
        <f>'Portefeuille SP2'!#REF!</f>
        <v>#REF!</v>
      </c>
      <c r="BK718" s="403" t="e">
        <f>'Portefeuille SP2'!#REF!</f>
        <v>#REF!</v>
      </c>
      <c r="BL718" s="388"/>
      <c r="BM718" s="404">
        <f>'Portefeuille SP2'!L743</f>
        <v>0</v>
      </c>
    </row>
    <row r="719" spans="1:65" ht="15" customHeight="1">
      <c r="A719" s="383">
        <f>'Portefeuille SP2'!B744</f>
        <v>0</v>
      </c>
      <c r="B719" s="390">
        <f>'Portefeuille SP2'!Q744</f>
        <v>0</v>
      </c>
      <c r="C719" s="384"/>
      <c r="D719" s="382">
        <f>'Portefeuille SP2'!E744</f>
        <v>0</v>
      </c>
      <c r="E719" s="382" t="str">
        <f t="shared" si="43"/>
        <v>0</v>
      </c>
      <c r="F719" s="382" t="str">
        <f t="shared" si="44"/>
        <v/>
      </c>
      <c r="G719" s="382">
        <f>'Portefeuille SP2'!C744</f>
        <v>0</v>
      </c>
      <c r="H719" s="382">
        <f>'Portefeuille SP2'!F744</f>
        <v>0</v>
      </c>
      <c r="I719" s="382"/>
      <c r="J719" s="382">
        <f>'Portefeuille SP2'!D744</f>
        <v>0</v>
      </c>
      <c r="K719" s="385">
        <f>'Portefeuille SP2'!H744</f>
        <v>0</v>
      </c>
      <c r="L719" s="157">
        <f>'Portefeuille SP2'!U744</f>
        <v>0</v>
      </c>
      <c r="M719" s="386"/>
      <c r="N719" s="386"/>
      <c r="O719" s="386"/>
      <c r="P719" s="387">
        <f>'Portefeuille SP2'!M744</f>
        <v>0</v>
      </c>
      <c r="Q719" s="387"/>
      <c r="R719" s="387">
        <f>'Portefeuille SP2'!N744</f>
        <v>0</v>
      </c>
      <c r="S719" s="387"/>
      <c r="T719" s="382">
        <f>'Portefeuille SP2'!R744</f>
        <v>0</v>
      </c>
      <c r="U719" s="387">
        <f>'Portefeuille SP2'!K744</f>
        <v>0</v>
      </c>
      <c r="V719" s="399">
        <f>'Portefeuille SP2'!S744</f>
        <v>0</v>
      </c>
      <c r="W719" s="387"/>
      <c r="X719" s="387"/>
      <c r="Y719" s="387"/>
      <c r="Z719" s="387"/>
      <c r="AA719" s="387"/>
      <c r="AB719" s="387"/>
      <c r="AC719" s="387"/>
      <c r="AD719" s="387"/>
      <c r="AE719" s="400">
        <f>'Portefeuille SP2'!J744</f>
        <v>0</v>
      </c>
      <c r="AF719" s="387"/>
      <c r="AG719" s="387"/>
      <c r="AH719" s="389"/>
      <c r="AI719" s="389"/>
      <c r="AJ719" s="403">
        <f>'Portefeuille SP2'!V744</f>
        <v>0</v>
      </c>
      <c r="AK719" s="403">
        <f>'Portefeuille SP2'!W744</f>
        <v>0</v>
      </c>
      <c r="AL719" s="403">
        <f>'Portefeuille SP2'!X744</f>
        <v>0</v>
      </c>
      <c r="AM719" s="403">
        <f>'Portefeuille SP2'!Y744</f>
        <v>0</v>
      </c>
      <c r="AN719" s="403">
        <f>'Portefeuille SP2'!Z744</f>
        <v>0</v>
      </c>
      <c r="AO719" s="403">
        <f>'Portefeuille SP2'!AA744</f>
        <v>0</v>
      </c>
      <c r="AP719" s="403">
        <f>'Portefeuille SP2'!AB744</f>
        <v>0</v>
      </c>
      <c r="AQ719" s="403">
        <f>'Portefeuille SP2'!AC744</f>
        <v>0</v>
      </c>
      <c r="AR719" s="403">
        <f>'Portefeuille SP2'!AD744</f>
        <v>0</v>
      </c>
      <c r="AS719" s="403">
        <f>'Portefeuille SP2'!AE744</f>
        <v>0</v>
      </c>
      <c r="AT719" s="403">
        <f>'Portefeuille SP2'!AF744</f>
        <v>0</v>
      </c>
      <c r="AU719" s="403">
        <f>'Portefeuille SP2'!AG744</f>
        <v>0</v>
      </c>
      <c r="AV719" s="403">
        <f>'Portefeuille SP2'!AH744</f>
        <v>0</v>
      </c>
      <c r="AW719" s="403">
        <f>'Portefeuille SP2'!AI744</f>
        <v>0</v>
      </c>
      <c r="AX719" s="403">
        <f>'Portefeuille SP2'!AJ744</f>
        <v>0</v>
      </c>
      <c r="AY719" s="403">
        <f>'Portefeuille SP2'!AK744</f>
        <v>0</v>
      </c>
      <c r="AZ719" s="403">
        <f>'Portefeuille SP2'!AL744</f>
        <v>0</v>
      </c>
      <c r="BA719" s="403">
        <f>'Portefeuille SP2'!AM744</f>
        <v>0</v>
      </c>
      <c r="BB719" s="403">
        <f>'Portefeuille SP2'!AN744</f>
        <v>0</v>
      </c>
      <c r="BC719" s="403">
        <f>'Portefeuille SP2'!AO744</f>
        <v>0</v>
      </c>
      <c r="BD719" s="403">
        <f>'Portefeuille SP2'!AP744</f>
        <v>0</v>
      </c>
      <c r="BE719" s="403">
        <f>'Portefeuille SP2'!AQ744</f>
        <v>0</v>
      </c>
      <c r="BF719" s="403">
        <f>'Portefeuille SP2'!AR744</f>
        <v>0</v>
      </c>
      <c r="BG719" s="403" t="e">
        <f>'Portefeuille SP2'!#REF!</f>
        <v>#REF!</v>
      </c>
      <c r="BH719" s="403" t="e">
        <f>'Portefeuille SP2'!#REF!</f>
        <v>#REF!</v>
      </c>
      <c r="BI719" s="403" t="e">
        <f>'Portefeuille SP2'!#REF!</f>
        <v>#REF!</v>
      </c>
      <c r="BJ719" s="403" t="e">
        <f>'Portefeuille SP2'!#REF!</f>
        <v>#REF!</v>
      </c>
      <c r="BK719" s="403" t="e">
        <f>'Portefeuille SP2'!#REF!</f>
        <v>#REF!</v>
      </c>
      <c r="BL719" s="388"/>
      <c r="BM719" s="404">
        <f>'Portefeuille SP2'!L744</f>
        <v>0</v>
      </c>
    </row>
    <row r="720" spans="1:65" ht="15" customHeight="1">
      <c r="A720" s="383">
        <f>'Portefeuille SP2'!B745</f>
        <v>0</v>
      </c>
      <c r="B720" s="390">
        <f>'Portefeuille SP2'!Q745</f>
        <v>0</v>
      </c>
      <c r="C720" s="384"/>
      <c r="D720" s="382">
        <f>'Portefeuille SP2'!E745</f>
        <v>0</v>
      </c>
      <c r="E720" s="382" t="str">
        <f t="shared" si="43"/>
        <v>0</v>
      </c>
      <c r="F720" s="382" t="str">
        <f t="shared" si="44"/>
        <v/>
      </c>
      <c r="G720" s="382">
        <f>'Portefeuille SP2'!C745</f>
        <v>0</v>
      </c>
      <c r="H720" s="382">
        <f>'Portefeuille SP2'!F745</f>
        <v>0</v>
      </c>
      <c r="I720" s="382"/>
      <c r="J720" s="382">
        <f>'Portefeuille SP2'!D745</f>
        <v>0</v>
      </c>
      <c r="K720" s="385">
        <f>'Portefeuille SP2'!H745</f>
        <v>0</v>
      </c>
      <c r="L720" s="157">
        <f>'Portefeuille SP2'!U745</f>
        <v>0</v>
      </c>
      <c r="M720" s="386"/>
      <c r="N720" s="386"/>
      <c r="O720" s="386"/>
      <c r="P720" s="387">
        <f>'Portefeuille SP2'!M745</f>
        <v>0</v>
      </c>
      <c r="Q720" s="387"/>
      <c r="R720" s="387">
        <f>'Portefeuille SP2'!N745</f>
        <v>0</v>
      </c>
      <c r="S720" s="387"/>
      <c r="T720" s="382">
        <f>'Portefeuille SP2'!R745</f>
        <v>0</v>
      </c>
      <c r="U720" s="387">
        <f>'Portefeuille SP2'!K745</f>
        <v>0</v>
      </c>
      <c r="V720" s="399">
        <f>'Portefeuille SP2'!S745</f>
        <v>0</v>
      </c>
      <c r="W720" s="387"/>
      <c r="X720" s="387"/>
      <c r="Y720" s="387"/>
      <c r="Z720" s="387"/>
      <c r="AA720" s="387"/>
      <c r="AB720" s="387"/>
      <c r="AC720" s="387"/>
      <c r="AD720" s="387"/>
      <c r="AE720" s="400">
        <f>'Portefeuille SP2'!J745</f>
        <v>0</v>
      </c>
      <c r="AF720" s="387"/>
      <c r="AG720" s="387"/>
      <c r="AH720" s="389"/>
      <c r="AI720" s="389"/>
      <c r="AJ720" s="403">
        <f>'Portefeuille SP2'!V745</f>
        <v>0</v>
      </c>
      <c r="AK720" s="403">
        <f>'Portefeuille SP2'!W745</f>
        <v>0</v>
      </c>
      <c r="AL720" s="403">
        <f>'Portefeuille SP2'!X745</f>
        <v>0</v>
      </c>
      <c r="AM720" s="403">
        <f>'Portefeuille SP2'!Y745</f>
        <v>0</v>
      </c>
      <c r="AN720" s="403">
        <f>'Portefeuille SP2'!Z745</f>
        <v>0</v>
      </c>
      <c r="AO720" s="403">
        <f>'Portefeuille SP2'!AA745</f>
        <v>0</v>
      </c>
      <c r="AP720" s="403">
        <f>'Portefeuille SP2'!AB745</f>
        <v>0</v>
      </c>
      <c r="AQ720" s="403">
        <f>'Portefeuille SP2'!AC745</f>
        <v>0</v>
      </c>
      <c r="AR720" s="403">
        <f>'Portefeuille SP2'!AD745</f>
        <v>0</v>
      </c>
      <c r="AS720" s="403">
        <f>'Portefeuille SP2'!AE745</f>
        <v>0</v>
      </c>
      <c r="AT720" s="403">
        <f>'Portefeuille SP2'!AF745</f>
        <v>0</v>
      </c>
      <c r="AU720" s="403">
        <f>'Portefeuille SP2'!AG745</f>
        <v>0</v>
      </c>
      <c r="AV720" s="403">
        <f>'Portefeuille SP2'!AH745</f>
        <v>0</v>
      </c>
      <c r="AW720" s="403">
        <f>'Portefeuille SP2'!AI745</f>
        <v>0</v>
      </c>
      <c r="AX720" s="403">
        <f>'Portefeuille SP2'!AJ745</f>
        <v>0</v>
      </c>
      <c r="AY720" s="403">
        <f>'Portefeuille SP2'!AK745</f>
        <v>0</v>
      </c>
      <c r="AZ720" s="403">
        <f>'Portefeuille SP2'!AL745</f>
        <v>0</v>
      </c>
      <c r="BA720" s="403">
        <f>'Portefeuille SP2'!AM745</f>
        <v>0</v>
      </c>
      <c r="BB720" s="403">
        <f>'Portefeuille SP2'!AN745</f>
        <v>0</v>
      </c>
      <c r="BC720" s="403">
        <f>'Portefeuille SP2'!AO745</f>
        <v>0</v>
      </c>
      <c r="BD720" s="403">
        <f>'Portefeuille SP2'!AP745</f>
        <v>0</v>
      </c>
      <c r="BE720" s="403">
        <f>'Portefeuille SP2'!AQ745</f>
        <v>0</v>
      </c>
      <c r="BF720" s="403">
        <f>'Portefeuille SP2'!AR745</f>
        <v>0</v>
      </c>
      <c r="BG720" s="403" t="e">
        <f>'Portefeuille SP2'!#REF!</f>
        <v>#REF!</v>
      </c>
      <c r="BH720" s="403" t="e">
        <f>'Portefeuille SP2'!#REF!</f>
        <v>#REF!</v>
      </c>
      <c r="BI720" s="403" t="e">
        <f>'Portefeuille SP2'!#REF!</f>
        <v>#REF!</v>
      </c>
      <c r="BJ720" s="403" t="e">
        <f>'Portefeuille SP2'!#REF!</f>
        <v>#REF!</v>
      </c>
      <c r="BK720" s="403" t="e">
        <f>'Portefeuille SP2'!#REF!</f>
        <v>#REF!</v>
      </c>
      <c r="BL720" s="388"/>
      <c r="BM720" s="404">
        <f>'Portefeuille SP2'!L745</f>
        <v>0</v>
      </c>
    </row>
    <row r="721" spans="1:65" ht="15" customHeight="1">
      <c r="A721" s="383">
        <f>'Portefeuille SP2'!B746</f>
        <v>0</v>
      </c>
      <c r="B721" s="390">
        <f>'Portefeuille SP2'!Q746</f>
        <v>0</v>
      </c>
      <c r="C721" s="384"/>
      <c r="D721" s="382">
        <f>'Portefeuille SP2'!E746</f>
        <v>0</v>
      </c>
      <c r="E721" s="382" t="str">
        <f t="shared" si="43"/>
        <v>0</v>
      </c>
      <c r="F721" s="382" t="str">
        <f t="shared" si="44"/>
        <v/>
      </c>
      <c r="G721" s="382">
        <f>'Portefeuille SP2'!C746</f>
        <v>0</v>
      </c>
      <c r="H721" s="382">
        <f>'Portefeuille SP2'!F746</f>
        <v>0</v>
      </c>
      <c r="I721" s="382"/>
      <c r="J721" s="382">
        <f>'Portefeuille SP2'!D746</f>
        <v>0</v>
      </c>
      <c r="K721" s="385">
        <f>'Portefeuille SP2'!H746</f>
        <v>0</v>
      </c>
      <c r="L721" s="157">
        <f>'Portefeuille SP2'!U746</f>
        <v>0</v>
      </c>
      <c r="M721" s="386"/>
      <c r="N721" s="386"/>
      <c r="O721" s="386"/>
      <c r="P721" s="387">
        <f>'Portefeuille SP2'!M746</f>
        <v>0</v>
      </c>
      <c r="Q721" s="387"/>
      <c r="R721" s="387">
        <f>'Portefeuille SP2'!N746</f>
        <v>0</v>
      </c>
      <c r="S721" s="387"/>
      <c r="T721" s="382">
        <f>'Portefeuille SP2'!R746</f>
        <v>0</v>
      </c>
      <c r="U721" s="387">
        <f>'Portefeuille SP2'!K746</f>
        <v>0</v>
      </c>
      <c r="V721" s="399">
        <f>'Portefeuille SP2'!S746</f>
        <v>0</v>
      </c>
      <c r="W721" s="387"/>
      <c r="X721" s="387"/>
      <c r="Y721" s="387"/>
      <c r="Z721" s="387"/>
      <c r="AA721" s="387"/>
      <c r="AB721" s="387"/>
      <c r="AC721" s="387"/>
      <c r="AD721" s="387"/>
      <c r="AE721" s="400">
        <f>'Portefeuille SP2'!J746</f>
        <v>0</v>
      </c>
      <c r="AF721" s="387"/>
      <c r="AG721" s="387"/>
      <c r="AH721" s="389"/>
      <c r="AI721" s="389"/>
      <c r="AJ721" s="403">
        <f>'Portefeuille SP2'!V746</f>
        <v>0</v>
      </c>
      <c r="AK721" s="403">
        <f>'Portefeuille SP2'!W746</f>
        <v>0</v>
      </c>
      <c r="AL721" s="403">
        <f>'Portefeuille SP2'!X746</f>
        <v>0</v>
      </c>
      <c r="AM721" s="403">
        <f>'Portefeuille SP2'!Y746</f>
        <v>0</v>
      </c>
      <c r="AN721" s="403">
        <f>'Portefeuille SP2'!Z746</f>
        <v>0</v>
      </c>
      <c r="AO721" s="403">
        <f>'Portefeuille SP2'!AA746</f>
        <v>0</v>
      </c>
      <c r="AP721" s="403">
        <f>'Portefeuille SP2'!AB746</f>
        <v>0</v>
      </c>
      <c r="AQ721" s="403">
        <f>'Portefeuille SP2'!AC746</f>
        <v>0</v>
      </c>
      <c r="AR721" s="403">
        <f>'Portefeuille SP2'!AD746</f>
        <v>0</v>
      </c>
      <c r="AS721" s="403">
        <f>'Portefeuille SP2'!AE746</f>
        <v>0</v>
      </c>
      <c r="AT721" s="403">
        <f>'Portefeuille SP2'!AF746</f>
        <v>0</v>
      </c>
      <c r="AU721" s="403">
        <f>'Portefeuille SP2'!AG746</f>
        <v>0</v>
      </c>
      <c r="AV721" s="403">
        <f>'Portefeuille SP2'!AH746</f>
        <v>0</v>
      </c>
      <c r="AW721" s="403">
        <f>'Portefeuille SP2'!AI746</f>
        <v>0</v>
      </c>
      <c r="AX721" s="403">
        <f>'Portefeuille SP2'!AJ746</f>
        <v>0</v>
      </c>
      <c r="AY721" s="403">
        <f>'Portefeuille SP2'!AK746</f>
        <v>0</v>
      </c>
      <c r="AZ721" s="403">
        <f>'Portefeuille SP2'!AL746</f>
        <v>0</v>
      </c>
      <c r="BA721" s="403">
        <f>'Portefeuille SP2'!AM746</f>
        <v>0</v>
      </c>
      <c r="BB721" s="403">
        <f>'Portefeuille SP2'!AN746</f>
        <v>0</v>
      </c>
      <c r="BC721" s="403">
        <f>'Portefeuille SP2'!AO746</f>
        <v>0</v>
      </c>
      <c r="BD721" s="403">
        <f>'Portefeuille SP2'!AP746</f>
        <v>0</v>
      </c>
      <c r="BE721" s="403">
        <f>'Portefeuille SP2'!AQ746</f>
        <v>0</v>
      </c>
      <c r="BF721" s="403">
        <f>'Portefeuille SP2'!AR746</f>
        <v>0</v>
      </c>
      <c r="BG721" s="403" t="e">
        <f>'Portefeuille SP2'!#REF!</f>
        <v>#REF!</v>
      </c>
      <c r="BH721" s="403" t="e">
        <f>'Portefeuille SP2'!#REF!</f>
        <v>#REF!</v>
      </c>
      <c r="BI721" s="403" t="e">
        <f>'Portefeuille SP2'!#REF!</f>
        <v>#REF!</v>
      </c>
      <c r="BJ721" s="403" t="e">
        <f>'Portefeuille SP2'!#REF!</f>
        <v>#REF!</v>
      </c>
      <c r="BK721" s="403" t="e">
        <f>'Portefeuille SP2'!#REF!</f>
        <v>#REF!</v>
      </c>
      <c r="BL721" s="388"/>
      <c r="BM721" s="404">
        <f>'Portefeuille SP2'!L746</f>
        <v>0</v>
      </c>
    </row>
    <row r="722" spans="1:65" ht="15" customHeight="1">
      <c r="A722" s="383">
        <f>'Portefeuille SP2'!B747</f>
        <v>0</v>
      </c>
      <c r="B722" s="390">
        <f>'Portefeuille SP2'!Q747</f>
        <v>0</v>
      </c>
      <c r="C722" s="384"/>
      <c r="D722" s="382">
        <f>'Portefeuille SP2'!E747</f>
        <v>0</v>
      </c>
      <c r="E722" s="382" t="str">
        <f t="shared" si="43"/>
        <v>0</v>
      </c>
      <c r="F722" s="382" t="str">
        <f t="shared" si="44"/>
        <v/>
      </c>
      <c r="G722" s="382">
        <f>'Portefeuille SP2'!C747</f>
        <v>0</v>
      </c>
      <c r="H722" s="382">
        <f>'Portefeuille SP2'!F747</f>
        <v>0</v>
      </c>
      <c r="I722" s="382"/>
      <c r="J722" s="382">
        <f>'Portefeuille SP2'!D747</f>
        <v>0</v>
      </c>
      <c r="K722" s="385">
        <f>'Portefeuille SP2'!H747</f>
        <v>0</v>
      </c>
      <c r="L722" s="157">
        <f>'Portefeuille SP2'!U747</f>
        <v>0</v>
      </c>
      <c r="M722" s="386"/>
      <c r="N722" s="386"/>
      <c r="O722" s="386"/>
      <c r="P722" s="387">
        <f>'Portefeuille SP2'!M747</f>
        <v>0</v>
      </c>
      <c r="Q722" s="387"/>
      <c r="R722" s="387">
        <f>'Portefeuille SP2'!N747</f>
        <v>0</v>
      </c>
      <c r="S722" s="387"/>
      <c r="T722" s="382">
        <f>'Portefeuille SP2'!R747</f>
        <v>0</v>
      </c>
      <c r="U722" s="387">
        <f>'Portefeuille SP2'!K747</f>
        <v>0</v>
      </c>
      <c r="V722" s="399">
        <f>'Portefeuille SP2'!S747</f>
        <v>0</v>
      </c>
      <c r="W722" s="387"/>
      <c r="X722" s="387"/>
      <c r="Y722" s="387"/>
      <c r="Z722" s="387"/>
      <c r="AA722" s="387"/>
      <c r="AB722" s="387"/>
      <c r="AC722" s="387"/>
      <c r="AD722" s="387"/>
      <c r="AE722" s="400">
        <f>'Portefeuille SP2'!J747</f>
        <v>0</v>
      </c>
      <c r="AF722" s="387"/>
      <c r="AG722" s="387"/>
      <c r="AH722" s="389"/>
      <c r="AI722" s="389"/>
      <c r="AJ722" s="403">
        <f>'Portefeuille SP2'!V747</f>
        <v>0</v>
      </c>
      <c r="AK722" s="403">
        <f>'Portefeuille SP2'!W747</f>
        <v>0</v>
      </c>
      <c r="AL722" s="403">
        <f>'Portefeuille SP2'!X747</f>
        <v>0</v>
      </c>
      <c r="AM722" s="403">
        <f>'Portefeuille SP2'!Y747</f>
        <v>0</v>
      </c>
      <c r="AN722" s="403">
        <f>'Portefeuille SP2'!Z747</f>
        <v>0</v>
      </c>
      <c r="AO722" s="403">
        <f>'Portefeuille SP2'!AA747</f>
        <v>0</v>
      </c>
      <c r="AP722" s="403">
        <f>'Portefeuille SP2'!AB747</f>
        <v>0</v>
      </c>
      <c r="AQ722" s="403">
        <f>'Portefeuille SP2'!AC747</f>
        <v>0</v>
      </c>
      <c r="AR722" s="403">
        <f>'Portefeuille SP2'!AD747</f>
        <v>0</v>
      </c>
      <c r="AS722" s="403">
        <f>'Portefeuille SP2'!AE747</f>
        <v>0</v>
      </c>
      <c r="AT722" s="403">
        <f>'Portefeuille SP2'!AF747</f>
        <v>0</v>
      </c>
      <c r="AU722" s="403">
        <f>'Portefeuille SP2'!AG747</f>
        <v>0</v>
      </c>
      <c r="AV722" s="403">
        <f>'Portefeuille SP2'!AH747</f>
        <v>0</v>
      </c>
      <c r="AW722" s="403">
        <f>'Portefeuille SP2'!AI747</f>
        <v>0</v>
      </c>
      <c r="AX722" s="403">
        <f>'Portefeuille SP2'!AJ747</f>
        <v>0</v>
      </c>
      <c r="AY722" s="403">
        <f>'Portefeuille SP2'!AK747</f>
        <v>0</v>
      </c>
      <c r="AZ722" s="403">
        <f>'Portefeuille SP2'!AL747</f>
        <v>0</v>
      </c>
      <c r="BA722" s="403">
        <f>'Portefeuille SP2'!AM747</f>
        <v>0</v>
      </c>
      <c r="BB722" s="403">
        <f>'Portefeuille SP2'!AN747</f>
        <v>0</v>
      </c>
      <c r="BC722" s="403">
        <f>'Portefeuille SP2'!AO747</f>
        <v>0</v>
      </c>
      <c r="BD722" s="403">
        <f>'Portefeuille SP2'!AP747</f>
        <v>0</v>
      </c>
      <c r="BE722" s="403">
        <f>'Portefeuille SP2'!AQ747</f>
        <v>0</v>
      </c>
      <c r="BF722" s="403">
        <f>'Portefeuille SP2'!AR747</f>
        <v>0</v>
      </c>
      <c r="BG722" s="403" t="e">
        <f>'Portefeuille SP2'!#REF!</f>
        <v>#REF!</v>
      </c>
      <c r="BH722" s="403" t="e">
        <f>'Portefeuille SP2'!#REF!</f>
        <v>#REF!</v>
      </c>
      <c r="BI722" s="403" t="e">
        <f>'Portefeuille SP2'!#REF!</f>
        <v>#REF!</v>
      </c>
      <c r="BJ722" s="403" t="e">
        <f>'Portefeuille SP2'!#REF!</f>
        <v>#REF!</v>
      </c>
      <c r="BK722" s="403" t="e">
        <f>'Portefeuille SP2'!#REF!</f>
        <v>#REF!</v>
      </c>
      <c r="BL722" s="388"/>
      <c r="BM722" s="404">
        <f>'Portefeuille SP2'!L747</f>
        <v>0</v>
      </c>
    </row>
    <row r="723" spans="1:65" ht="15" customHeight="1">
      <c r="A723" s="383">
        <f>'Portefeuille SP2'!B748</f>
        <v>0</v>
      </c>
      <c r="B723" s="390">
        <f>'Portefeuille SP2'!Q748</f>
        <v>0</v>
      </c>
      <c r="C723" s="384"/>
      <c r="D723" s="382">
        <f>'Portefeuille SP2'!E748</f>
        <v>0</v>
      </c>
      <c r="E723" s="382" t="str">
        <f t="shared" si="43"/>
        <v>0</v>
      </c>
      <c r="F723" s="382" t="str">
        <f t="shared" si="44"/>
        <v/>
      </c>
      <c r="G723" s="382">
        <f>'Portefeuille SP2'!C748</f>
        <v>0</v>
      </c>
      <c r="H723" s="382">
        <f>'Portefeuille SP2'!F748</f>
        <v>0</v>
      </c>
      <c r="I723" s="382"/>
      <c r="J723" s="382">
        <f>'Portefeuille SP2'!D748</f>
        <v>0</v>
      </c>
      <c r="K723" s="385">
        <f>'Portefeuille SP2'!H748</f>
        <v>0</v>
      </c>
      <c r="L723" s="157">
        <f>'Portefeuille SP2'!U748</f>
        <v>0</v>
      </c>
      <c r="M723" s="386"/>
      <c r="N723" s="386"/>
      <c r="O723" s="386"/>
      <c r="P723" s="387">
        <f>'Portefeuille SP2'!M748</f>
        <v>0</v>
      </c>
      <c r="Q723" s="387"/>
      <c r="R723" s="387">
        <f>'Portefeuille SP2'!N748</f>
        <v>0</v>
      </c>
      <c r="S723" s="387"/>
      <c r="T723" s="382">
        <f>'Portefeuille SP2'!R748</f>
        <v>0</v>
      </c>
      <c r="U723" s="387">
        <f>'Portefeuille SP2'!K748</f>
        <v>0</v>
      </c>
      <c r="V723" s="399">
        <f>'Portefeuille SP2'!S748</f>
        <v>0</v>
      </c>
      <c r="W723" s="387"/>
      <c r="X723" s="387"/>
      <c r="Y723" s="387"/>
      <c r="Z723" s="387"/>
      <c r="AA723" s="387"/>
      <c r="AB723" s="387"/>
      <c r="AC723" s="387"/>
      <c r="AD723" s="387"/>
      <c r="AE723" s="400">
        <f>'Portefeuille SP2'!J748</f>
        <v>0</v>
      </c>
      <c r="AF723" s="387"/>
      <c r="AG723" s="387"/>
      <c r="AH723" s="389"/>
      <c r="AI723" s="389"/>
      <c r="AJ723" s="403">
        <f>'Portefeuille SP2'!V748</f>
        <v>0</v>
      </c>
      <c r="AK723" s="403">
        <f>'Portefeuille SP2'!W748</f>
        <v>0</v>
      </c>
      <c r="AL723" s="403">
        <f>'Portefeuille SP2'!X748</f>
        <v>0</v>
      </c>
      <c r="AM723" s="403">
        <f>'Portefeuille SP2'!Y748</f>
        <v>0</v>
      </c>
      <c r="AN723" s="403">
        <f>'Portefeuille SP2'!Z748</f>
        <v>0</v>
      </c>
      <c r="AO723" s="403">
        <f>'Portefeuille SP2'!AA748</f>
        <v>0</v>
      </c>
      <c r="AP723" s="403">
        <f>'Portefeuille SP2'!AB748</f>
        <v>0</v>
      </c>
      <c r="AQ723" s="403">
        <f>'Portefeuille SP2'!AC748</f>
        <v>0</v>
      </c>
      <c r="AR723" s="403">
        <f>'Portefeuille SP2'!AD748</f>
        <v>0</v>
      </c>
      <c r="AS723" s="403">
        <f>'Portefeuille SP2'!AE748</f>
        <v>0</v>
      </c>
      <c r="AT723" s="403">
        <f>'Portefeuille SP2'!AF748</f>
        <v>0</v>
      </c>
      <c r="AU723" s="403">
        <f>'Portefeuille SP2'!AG748</f>
        <v>0</v>
      </c>
      <c r="AV723" s="403">
        <f>'Portefeuille SP2'!AH748</f>
        <v>0</v>
      </c>
      <c r="AW723" s="403">
        <f>'Portefeuille SP2'!AI748</f>
        <v>0</v>
      </c>
      <c r="AX723" s="403">
        <f>'Portefeuille SP2'!AJ748</f>
        <v>0</v>
      </c>
      <c r="AY723" s="403">
        <f>'Portefeuille SP2'!AK748</f>
        <v>0</v>
      </c>
      <c r="AZ723" s="403">
        <f>'Portefeuille SP2'!AL748</f>
        <v>0</v>
      </c>
      <c r="BA723" s="403">
        <f>'Portefeuille SP2'!AM748</f>
        <v>0</v>
      </c>
      <c r="BB723" s="403">
        <f>'Portefeuille SP2'!AN748</f>
        <v>0</v>
      </c>
      <c r="BC723" s="403">
        <f>'Portefeuille SP2'!AO748</f>
        <v>0</v>
      </c>
      <c r="BD723" s="403">
        <f>'Portefeuille SP2'!AP748</f>
        <v>0</v>
      </c>
      <c r="BE723" s="403">
        <f>'Portefeuille SP2'!AQ748</f>
        <v>0</v>
      </c>
      <c r="BF723" s="403">
        <f>'Portefeuille SP2'!AR748</f>
        <v>0</v>
      </c>
      <c r="BG723" s="403" t="e">
        <f>'Portefeuille SP2'!#REF!</f>
        <v>#REF!</v>
      </c>
      <c r="BH723" s="403" t="e">
        <f>'Portefeuille SP2'!#REF!</f>
        <v>#REF!</v>
      </c>
      <c r="BI723" s="403" t="e">
        <f>'Portefeuille SP2'!#REF!</f>
        <v>#REF!</v>
      </c>
      <c r="BJ723" s="403" t="e">
        <f>'Portefeuille SP2'!#REF!</f>
        <v>#REF!</v>
      </c>
      <c r="BK723" s="403" t="e">
        <f>'Portefeuille SP2'!#REF!</f>
        <v>#REF!</v>
      </c>
      <c r="BL723" s="388"/>
      <c r="BM723" s="404">
        <f>'Portefeuille SP2'!L748</f>
        <v>0</v>
      </c>
    </row>
    <row r="724" spans="1:65" ht="15" customHeight="1">
      <c r="A724" s="383">
        <f>'Portefeuille SP2'!B749</f>
        <v>0</v>
      </c>
      <c r="B724" s="390">
        <f>'Portefeuille SP2'!Q749</f>
        <v>0</v>
      </c>
      <c r="C724" s="384"/>
      <c r="D724" s="382">
        <f>'Portefeuille SP2'!E749</f>
        <v>0</v>
      </c>
      <c r="E724" s="382" t="str">
        <f t="shared" si="43"/>
        <v>0</v>
      </c>
      <c r="F724" s="382" t="str">
        <f t="shared" si="44"/>
        <v/>
      </c>
      <c r="G724" s="382">
        <f>'Portefeuille SP2'!C749</f>
        <v>0</v>
      </c>
      <c r="H724" s="382">
        <f>'Portefeuille SP2'!F749</f>
        <v>0</v>
      </c>
      <c r="I724" s="382"/>
      <c r="J724" s="382">
        <f>'Portefeuille SP2'!D749</f>
        <v>0</v>
      </c>
      <c r="K724" s="385">
        <f>'Portefeuille SP2'!H749</f>
        <v>0</v>
      </c>
      <c r="L724" s="157">
        <f>'Portefeuille SP2'!U749</f>
        <v>0</v>
      </c>
      <c r="M724" s="386"/>
      <c r="N724" s="386"/>
      <c r="O724" s="386"/>
      <c r="P724" s="387">
        <f>'Portefeuille SP2'!M749</f>
        <v>0</v>
      </c>
      <c r="Q724" s="387"/>
      <c r="R724" s="387">
        <f>'Portefeuille SP2'!N749</f>
        <v>0</v>
      </c>
      <c r="S724" s="387"/>
      <c r="T724" s="382">
        <f>'Portefeuille SP2'!R749</f>
        <v>0</v>
      </c>
      <c r="U724" s="387">
        <f>'Portefeuille SP2'!K749</f>
        <v>0</v>
      </c>
      <c r="V724" s="399">
        <f>'Portefeuille SP2'!S749</f>
        <v>0</v>
      </c>
      <c r="W724" s="387"/>
      <c r="X724" s="387"/>
      <c r="Y724" s="387"/>
      <c r="Z724" s="387"/>
      <c r="AA724" s="387"/>
      <c r="AB724" s="387"/>
      <c r="AC724" s="387"/>
      <c r="AD724" s="387"/>
      <c r="AE724" s="400">
        <f>'Portefeuille SP2'!J749</f>
        <v>0</v>
      </c>
      <c r="AF724" s="387"/>
      <c r="AG724" s="387"/>
      <c r="AH724" s="389"/>
      <c r="AI724" s="389"/>
      <c r="AJ724" s="403">
        <f>'Portefeuille SP2'!V749</f>
        <v>0</v>
      </c>
      <c r="AK724" s="403">
        <f>'Portefeuille SP2'!W749</f>
        <v>0</v>
      </c>
      <c r="AL724" s="403">
        <f>'Portefeuille SP2'!X749</f>
        <v>0</v>
      </c>
      <c r="AM724" s="403">
        <f>'Portefeuille SP2'!Y749</f>
        <v>0</v>
      </c>
      <c r="AN724" s="403">
        <f>'Portefeuille SP2'!Z749</f>
        <v>0</v>
      </c>
      <c r="AO724" s="403">
        <f>'Portefeuille SP2'!AA749</f>
        <v>0</v>
      </c>
      <c r="AP724" s="403">
        <f>'Portefeuille SP2'!AB749</f>
        <v>0</v>
      </c>
      <c r="AQ724" s="403">
        <f>'Portefeuille SP2'!AC749</f>
        <v>0</v>
      </c>
      <c r="AR724" s="403">
        <f>'Portefeuille SP2'!AD749</f>
        <v>0</v>
      </c>
      <c r="AS724" s="403">
        <f>'Portefeuille SP2'!AE749</f>
        <v>0</v>
      </c>
      <c r="AT724" s="403">
        <f>'Portefeuille SP2'!AF749</f>
        <v>0</v>
      </c>
      <c r="AU724" s="403">
        <f>'Portefeuille SP2'!AG749</f>
        <v>0</v>
      </c>
      <c r="AV724" s="403">
        <f>'Portefeuille SP2'!AH749</f>
        <v>0</v>
      </c>
      <c r="AW724" s="403">
        <f>'Portefeuille SP2'!AI749</f>
        <v>0</v>
      </c>
      <c r="AX724" s="403">
        <f>'Portefeuille SP2'!AJ749</f>
        <v>0</v>
      </c>
      <c r="AY724" s="403">
        <f>'Portefeuille SP2'!AK749</f>
        <v>0</v>
      </c>
      <c r="AZ724" s="403">
        <f>'Portefeuille SP2'!AL749</f>
        <v>0</v>
      </c>
      <c r="BA724" s="403">
        <f>'Portefeuille SP2'!AM749</f>
        <v>0</v>
      </c>
      <c r="BB724" s="403">
        <f>'Portefeuille SP2'!AN749</f>
        <v>0</v>
      </c>
      <c r="BC724" s="403">
        <f>'Portefeuille SP2'!AO749</f>
        <v>0</v>
      </c>
      <c r="BD724" s="403">
        <f>'Portefeuille SP2'!AP749</f>
        <v>0</v>
      </c>
      <c r="BE724" s="403">
        <f>'Portefeuille SP2'!AQ749</f>
        <v>0</v>
      </c>
      <c r="BF724" s="403">
        <f>'Portefeuille SP2'!AR749</f>
        <v>0</v>
      </c>
      <c r="BG724" s="403" t="e">
        <f>'Portefeuille SP2'!#REF!</f>
        <v>#REF!</v>
      </c>
      <c r="BH724" s="403" t="e">
        <f>'Portefeuille SP2'!#REF!</f>
        <v>#REF!</v>
      </c>
      <c r="BI724" s="403" t="e">
        <f>'Portefeuille SP2'!#REF!</f>
        <v>#REF!</v>
      </c>
      <c r="BJ724" s="403" t="e">
        <f>'Portefeuille SP2'!#REF!</f>
        <v>#REF!</v>
      </c>
      <c r="BK724" s="403" t="e">
        <f>'Portefeuille SP2'!#REF!</f>
        <v>#REF!</v>
      </c>
      <c r="BL724" s="388"/>
      <c r="BM724" s="404">
        <f>'Portefeuille SP2'!L749</f>
        <v>0</v>
      </c>
    </row>
    <row r="725" spans="1:65" ht="15" customHeight="1">
      <c r="A725" s="383">
        <f>'Portefeuille SP2'!B750</f>
        <v>0</v>
      </c>
      <c r="B725" s="390">
        <f>'Portefeuille SP2'!Q750</f>
        <v>0</v>
      </c>
      <c r="C725" s="384"/>
      <c r="D725" s="382">
        <f>'Portefeuille SP2'!E750</f>
        <v>0</v>
      </c>
      <c r="E725" s="382" t="str">
        <f t="shared" si="43"/>
        <v>0</v>
      </c>
      <c r="F725" s="382" t="str">
        <f t="shared" si="44"/>
        <v/>
      </c>
      <c r="G725" s="382">
        <f>'Portefeuille SP2'!C750</f>
        <v>0</v>
      </c>
      <c r="H725" s="382">
        <f>'Portefeuille SP2'!F750</f>
        <v>0</v>
      </c>
      <c r="I725" s="382"/>
      <c r="J725" s="382">
        <f>'Portefeuille SP2'!D750</f>
        <v>0</v>
      </c>
      <c r="K725" s="385">
        <f>'Portefeuille SP2'!H750</f>
        <v>0</v>
      </c>
      <c r="L725" s="157">
        <f>'Portefeuille SP2'!U750</f>
        <v>0</v>
      </c>
      <c r="M725" s="386"/>
      <c r="N725" s="386"/>
      <c r="O725" s="386"/>
      <c r="P725" s="387">
        <f>'Portefeuille SP2'!M750</f>
        <v>0</v>
      </c>
      <c r="Q725" s="387"/>
      <c r="R725" s="387">
        <f>'Portefeuille SP2'!N750</f>
        <v>0</v>
      </c>
      <c r="S725" s="387"/>
      <c r="T725" s="382">
        <f>'Portefeuille SP2'!R750</f>
        <v>0</v>
      </c>
      <c r="U725" s="387">
        <f>'Portefeuille SP2'!K750</f>
        <v>0</v>
      </c>
      <c r="V725" s="399">
        <f>'Portefeuille SP2'!S750</f>
        <v>0</v>
      </c>
      <c r="W725" s="387"/>
      <c r="X725" s="387"/>
      <c r="Y725" s="387"/>
      <c r="Z725" s="387"/>
      <c r="AA725" s="387"/>
      <c r="AB725" s="387"/>
      <c r="AC725" s="387"/>
      <c r="AD725" s="387"/>
      <c r="AE725" s="400">
        <f>'Portefeuille SP2'!J750</f>
        <v>0</v>
      </c>
      <c r="AF725" s="387"/>
      <c r="AG725" s="387"/>
      <c r="AH725" s="389"/>
      <c r="AI725" s="389"/>
      <c r="AJ725" s="403">
        <f>'Portefeuille SP2'!V750</f>
        <v>0</v>
      </c>
      <c r="AK725" s="403">
        <f>'Portefeuille SP2'!W750</f>
        <v>0</v>
      </c>
      <c r="AL725" s="403">
        <f>'Portefeuille SP2'!X750</f>
        <v>0</v>
      </c>
      <c r="AM725" s="403">
        <f>'Portefeuille SP2'!Y750</f>
        <v>0</v>
      </c>
      <c r="AN725" s="403">
        <f>'Portefeuille SP2'!Z750</f>
        <v>0</v>
      </c>
      <c r="AO725" s="403">
        <f>'Portefeuille SP2'!AA750</f>
        <v>0</v>
      </c>
      <c r="AP725" s="403">
        <f>'Portefeuille SP2'!AB750</f>
        <v>0</v>
      </c>
      <c r="AQ725" s="403">
        <f>'Portefeuille SP2'!AC750</f>
        <v>0</v>
      </c>
      <c r="AR725" s="403">
        <f>'Portefeuille SP2'!AD750</f>
        <v>0</v>
      </c>
      <c r="AS725" s="403">
        <f>'Portefeuille SP2'!AE750</f>
        <v>0</v>
      </c>
      <c r="AT725" s="403">
        <f>'Portefeuille SP2'!AF750</f>
        <v>0</v>
      </c>
      <c r="AU725" s="403">
        <f>'Portefeuille SP2'!AG750</f>
        <v>0</v>
      </c>
      <c r="AV725" s="403">
        <f>'Portefeuille SP2'!AH750</f>
        <v>0</v>
      </c>
      <c r="AW725" s="403">
        <f>'Portefeuille SP2'!AI750</f>
        <v>0</v>
      </c>
      <c r="AX725" s="403">
        <f>'Portefeuille SP2'!AJ750</f>
        <v>0</v>
      </c>
      <c r="AY725" s="403">
        <f>'Portefeuille SP2'!AK750</f>
        <v>0</v>
      </c>
      <c r="AZ725" s="403">
        <f>'Portefeuille SP2'!AL750</f>
        <v>0</v>
      </c>
      <c r="BA725" s="403">
        <f>'Portefeuille SP2'!AM750</f>
        <v>0</v>
      </c>
      <c r="BB725" s="403">
        <f>'Portefeuille SP2'!AN750</f>
        <v>0</v>
      </c>
      <c r="BC725" s="403">
        <f>'Portefeuille SP2'!AO750</f>
        <v>0</v>
      </c>
      <c r="BD725" s="403">
        <f>'Portefeuille SP2'!AP750</f>
        <v>0</v>
      </c>
      <c r="BE725" s="403">
        <f>'Portefeuille SP2'!AQ750</f>
        <v>0</v>
      </c>
      <c r="BF725" s="403">
        <f>'Portefeuille SP2'!AR750</f>
        <v>0</v>
      </c>
      <c r="BG725" s="403" t="e">
        <f>'Portefeuille SP2'!#REF!</f>
        <v>#REF!</v>
      </c>
      <c r="BH725" s="403" t="e">
        <f>'Portefeuille SP2'!#REF!</f>
        <v>#REF!</v>
      </c>
      <c r="BI725" s="403" t="e">
        <f>'Portefeuille SP2'!#REF!</f>
        <v>#REF!</v>
      </c>
      <c r="BJ725" s="403" t="e">
        <f>'Portefeuille SP2'!#REF!</f>
        <v>#REF!</v>
      </c>
      <c r="BK725" s="403" t="e">
        <f>'Portefeuille SP2'!#REF!</f>
        <v>#REF!</v>
      </c>
      <c r="BL725" s="388"/>
      <c r="BM725" s="404">
        <f>'Portefeuille SP2'!L750</f>
        <v>0</v>
      </c>
    </row>
    <row r="726" spans="1:65" ht="15" customHeight="1">
      <c r="A726" s="383">
        <f>'Portefeuille SP2'!B751</f>
        <v>0</v>
      </c>
      <c r="B726" s="390">
        <f>'Portefeuille SP2'!Q751</f>
        <v>0</v>
      </c>
      <c r="C726" s="384"/>
      <c r="D726" s="382">
        <f>'Portefeuille SP2'!E751</f>
        <v>0</v>
      </c>
      <c r="E726" s="382" t="str">
        <f t="shared" si="43"/>
        <v>0</v>
      </c>
      <c r="F726" s="382" t="str">
        <f t="shared" si="44"/>
        <v/>
      </c>
      <c r="G726" s="382">
        <f>'Portefeuille SP2'!C751</f>
        <v>0</v>
      </c>
      <c r="H726" s="382">
        <f>'Portefeuille SP2'!F751</f>
        <v>0</v>
      </c>
      <c r="I726" s="382"/>
      <c r="J726" s="382">
        <f>'Portefeuille SP2'!D751</f>
        <v>0</v>
      </c>
      <c r="K726" s="385">
        <f>'Portefeuille SP2'!H751</f>
        <v>0</v>
      </c>
      <c r="L726" s="157">
        <f>'Portefeuille SP2'!U751</f>
        <v>0</v>
      </c>
      <c r="M726" s="386"/>
      <c r="N726" s="386"/>
      <c r="O726" s="386"/>
      <c r="P726" s="387">
        <f>'Portefeuille SP2'!M751</f>
        <v>0</v>
      </c>
      <c r="Q726" s="387"/>
      <c r="R726" s="387">
        <f>'Portefeuille SP2'!N751</f>
        <v>0</v>
      </c>
      <c r="S726" s="387"/>
      <c r="T726" s="382">
        <f>'Portefeuille SP2'!R751</f>
        <v>0</v>
      </c>
      <c r="U726" s="387">
        <f>'Portefeuille SP2'!K751</f>
        <v>0</v>
      </c>
      <c r="V726" s="399">
        <f>'Portefeuille SP2'!S751</f>
        <v>0</v>
      </c>
      <c r="W726" s="387"/>
      <c r="X726" s="387"/>
      <c r="Y726" s="387"/>
      <c r="Z726" s="387"/>
      <c r="AA726" s="387"/>
      <c r="AB726" s="387"/>
      <c r="AC726" s="387"/>
      <c r="AD726" s="387"/>
      <c r="AE726" s="400">
        <f>'Portefeuille SP2'!J751</f>
        <v>0</v>
      </c>
      <c r="AF726" s="387"/>
      <c r="AG726" s="387"/>
      <c r="AH726" s="389"/>
      <c r="AI726" s="389"/>
      <c r="AJ726" s="403">
        <f>'Portefeuille SP2'!V751</f>
        <v>0</v>
      </c>
      <c r="AK726" s="403">
        <f>'Portefeuille SP2'!W751</f>
        <v>0</v>
      </c>
      <c r="AL726" s="403">
        <f>'Portefeuille SP2'!X751</f>
        <v>0</v>
      </c>
      <c r="AM726" s="403">
        <f>'Portefeuille SP2'!Y751</f>
        <v>0</v>
      </c>
      <c r="AN726" s="403">
        <f>'Portefeuille SP2'!Z751</f>
        <v>0</v>
      </c>
      <c r="AO726" s="403">
        <f>'Portefeuille SP2'!AA751</f>
        <v>0</v>
      </c>
      <c r="AP726" s="403">
        <f>'Portefeuille SP2'!AB751</f>
        <v>0</v>
      </c>
      <c r="AQ726" s="403">
        <f>'Portefeuille SP2'!AC751</f>
        <v>0</v>
      </c>
      <c r="AR726" s="403">
        <f>'Portefeuille SP2'!AD751</f>
        <v>0</v>
      </c>
      <c r="AS726" s="403">
        <f>'Portefeuille SP2'!AE751</f>
        <v>0</v>
      </c>
      <c r="AT726" s="403">
        <f>'Portefeuille SP2'!AF751</f>
        <v>0</v>
      </c>
      <c r="AU726" s="403">
        <f>'Portefeuille SP2'!AG751</f>
        <v>0</v>
      </c>
      <c r="AV726" s="403">
        <f>'Portefeuille SP2'!AH751</f>
        <v>0</v>
      </c>
      <c r="AW726" s="403">
        <f>'Portefeuille SP2'!AI751</f>
        <v>0</v>
      </c>
      <c r="AX726" s="403">
        <f>'Portefeuille SP2'!AJ751</f>
        <v>0</v>
      </c>
      <c r="AY726" s="403">
        <f>'Portefeuille SP2'!AK751</f>
        <v>0</v>
      </c>
      <c r="AZ726" s="403">
        <f>'Portefeuille SP2'!AL751</f>
        <v>0</v>
      </c>
      <c r="BA726" s="403">
        <f>'Portefeuille SP2'!AM751</f>
        <v>0</v>
      </c>
      <c r="BB726" s="403">
        <f>'Portefeuille SP2'!AN751</f>
        <v>0</v>
      </c>
      <c r="BC726" s="403">
        <f>'Portefeuille SP2'!AO751</f>
        <v>0</v>
      </c>
      <c r="BD726" s="403">
        <f>'Portefeuille SP2'!AP751</f>
        <v>0</v>
      </c>
      <c r="BE726" s="403">
        <f>'Portefeuille SP2'!AQ751</f>
        <v>0</v>
      </c>
      <c r="BF726" s="403">
        <f>'Portefeuille SP2'!AR751</f>
        <v>0</v>
      </c>
      <c r="BG726" s="403" t="e">
        <f>'Portefeuille SP2'!#REF!</f>
        <v>#REF!</v>
      </c>
      <c r="BH726" s="403" t="e">
        <f>'Portefeuille SP2'!#REF!</f>
        <v>#REF!</v>
      </c>
      <c r="BI726" s="403" t="e">
        <f>'Portefeuille SP2'!#REF!</f>
        <v>#REF!</v>
      </c>
      <c r="BJ726" s="403" t="e">
        <f>'Portefeuille SP2'!#REF!</f>
        <v>#REF!</v>
      </c>
      <c r="BK726" s="403" t="e">
        <f>'Portefeuille SP2'!#REF!</f>
        <v>#REF!</v>
      </c>
      <c r="BL726" s="388"/>
      <c r="BM726" s="404">
        <f>'Portefeuille SP2'!L751</f>
        <v>0</v>
      </c>
    </row>
    <row r="727" spans="1:65" ht="15" customHeight="1">
      <c r="A727" s="383">
        <f>'Portefeuille SP2'!B752</f>
        <v>0</v>
      </c>
      <c r="B727" s="390">
        <f>'Portefeuille SP2'!Q752</f>
        <v>0</v>
      </c>
      <c r="C727" s="384"/>
      <c r="D727" s="382">
        <f>'Portefeuille SP2'!E752</f>
        <v>0</v>
      </c>
      <c r="E727" s="382" t="str">
        <f t="shared" si="43"/>
        <v>0</v>
      </c>
      <c r="F727" s="382" t="str">
        <f t="shared" si="44"/>
        <v/>
      </c>
      <c r="G727" s="382">
        <f>'Portefeuille SP2'!C752</f>
        <v>0</v>
      </c>
      <c r="H727" s="382">
        <f>'Portefeuille SP2'!F752</f>
        <v>0</v>
      </c>
      <c r="I727" s="382"/>
      <c r="J727" s="382">
        <f>'Portefeuille SP2'!D752</f>
        <v>0</v>
      </c>
      <c r="K727" s="385">
        <f>'Portefeuille SP2'!H752</f>
        <v>0</v>
      </c>
      <c r="L727" s="157">
        <f>'Portefeuille SP2'!U752</f>
        <v>0</v>
      </c>
      <c r="M727" s="386"/>
      <c r="N727" s="386"/>
      <c r="O727" s="386"/>
      <c r="P727" s="387">
        <f>'Portefeuille SP2'!M752</f>
        <v>0</v>
      </c>
      <c r="Q727" s="387"/>
      <c r="R727" s="387">
        <f>'Portefeuille SP2'!N752</f>
        <v>0</v>
      </c>
      <c r="S727" s="387"/>
      <c r="T727" s="382">
        <f>'Portefeuille SP2'!R752</f>
        <v>0</v>
      </c>
      <c r="U727" s="387">
        <f>'Portefeuille SP2'!K752</f>
        <v>0</v>
      </c>
      <c r="V727" s="399">
        <f>'Portefeuille SP2'!S752</f>
        <v>0</v>
      </c>
      <c r="W727" s="387"/>
      <c r="X727" s="387"/>
      <c r="Y727" s="387"/>
      <c r="Z727" s="387"/>
      <c r="AA727" s="387"/>
      <c r="AB727" s="387"/>
      <c r="AC727" s="387"/>
      <c r="AD727" s="387"/>
      <c r="AE727" s="400">
        <f>'Portefeuille SP2'!J752</f>
        <v>0</v>
      </c>
      <c r="AF727" s="387"/>
      <c r="AG727" s="387"/>
      <c r="AH727" s="389"/>
      <c r="AI727" s="389"/>
      <c r="AJ727" s="403">
        <f>'Portefeuille SP2'!V752</f>
        <v>0</v>
      </c>
      <c r="AK727" s="403">
        <f>'Portefeuille SP2'!W752</f>
        <v>0</v>
      </c>
      <c r="AL727" s="403">
        <f>'Portefeuille SP2'!X752</f>
        <v>0</v>
      </c>
      <c r="AM727" s="403">
        <f>'Portefeuille SP2'!Y752</f>
        <v>0</v>
      </c>
      <c r="AN727" s="403">
        <f>'Portefeuille SP2'!Z752</f>
        <v>0</v>
      </c>
      <c r="AO727" s="403">
        <f>'Portefeuille SP2'!AA752</f>
        <v>0</v>
      </c>
      <c r="AP727" s="403">
        <f>'Portefeuille SP2'!AB752</f>
        <v>0</v>
      </c>
      <c r="AQ727" s="403">
        <f>'Portefeuille SP2'!AC752</f>
        <v>0</v>
      </c>
      <c r="AR727" s="403">
        <f>'Portefeuille SP2'!AD752</f>
        <v>0</v>
      </c>
      <c r="AS727" s="403">
        <f>'Portefeuille SP2'!AE752</f>
        <v>0</v>
      </c>
      <c r="AT727" s="403">
        <f>'Portefeuille SP2'!AF752</f>
        <v>0</v>
      </c>
      <c r="AU727" s="403">
        <f>'Portefeuille SP2'!AG752</f>
        <v>0</v>
      </c>
      <c r="AV727" s="403">
        <f>'Portefeuille SP2'!AH752</f>
        <v>0</v>
      </c>
      <c r="AW727" s="403">
        <f>'Portefeuille SP2'!AI752</f>
        <v>0</v>
      </c>
      <c r="AX727" s="403">
        <f>'Portefeuille SP2'!AJ752</f>
        <v>0</v>
      </c>
      <c r="AY727" s="403">
        <f>'Portefeuille SP2'!AK752</f>
        <v>0</v>
      </c>
      <c r="AZ727" s="403">
        <f>'Portefeuille SP2'!AL752</f>
        <v>0</v>
      </c>
      <c r="BA727" s="403">
        <f>'Portefeuille SP2'!AM752</f>
        <v>0</v>
      </c>
      <c r="BB727" s="403">
        <f>'Portefeuille SP2'!AN752</f>
        <v>0</v>
      </c>
      <c r="BC727" s="403">
        <f>'Portefeuille SP2'!AO752</f>
        <v>0</v>
      </c>
      <c r="BD727" s="403">
        <f>'Portefeuille SP2'!AP752</f>
        <v>0</v>
      </c>
      <c r="BE727" s="403">
        <f>'Portefeuille SP2'!AQ752</f>
        <v>0</v>
      </c>
      <c r="BF727" s="403">
        <f>'Portefeuille SP2'!AR752</f>
        <v>0</v>
      </c>
      <c r="BG727" s="403" t="e">
        <f>'Portefeuille SP2'!#REF!</f>
        <v>#REF!</v>
      </c>
      <c r="BH727" s="403" t="e">
        <f>'Portefeuille SP2'!#REF!</f>
        <v>#REF!</v>
      </c>
      <c r="BI727" s="403" t="e">
        <f>'Portefeuille SP2'!#REF!</f>
        <v>#REF!</v>
      </c>
      <c r="BJ727" s="403" t="e">
        <f>'Portefeuille SP2'!#REF!</f>
        <v>#REF!</v>
      </c>
      <c r="BK727" s="403" t="e">
        <f>'Portefeuille SP2'!#REF!</f>
        <v>#REF!</v>
      </c>
      <c r="BL727" s="388"/>
      <c r="BM727" s="404">
        <f>'Portefeuille SP2'!L752</f>
        <v>0</v>
      </c>
    </row>
    <row r="728" spans="1:65" ht="15" customHeight="1">
      <c r="A728" s="383">
        <f>'Portefeuille SP2'!B753</f>
        <v>0</v>
      </c>
      <c r="B728" s="390">
        <f>'Portefeuille SP2'!Q753</f>
        <v>0</v>
      </c>
      <c r="C728" s="384"/>
      <c r="D728" s="382">
        <f>'Portefeuille SP2'!E753</f>
        <v>0</v>
      </c>
      <c r="E728" s="382" t="str">
        <f t="shared" si="43"/>
        <v>0</v>
      </c>
      <c r="F728" s="382" t="str">
        <f t="shared" si="44"/>
        <v/>
      </c>
      <c r="G728" s="382">
        <f>'Portefeuille SP2'!C753</f>
        <v>0</v>
      </c>
      <c r="H728" s="382">
        <f>'Portefeuille SP2'!F753</f>
        <v>0</v>
      </c>
      <c r="I728" s="382"/>
      <c r="J728" s="382">
        <f>'Portefeuille SP2'!D753</f>
        <v>0</v>
      </c>
      <c r="K728" s="385">
        <f>'Portefeuille SP2'!H753</f>
        <v>0</v>
      </c>
      <c r="L728" s="157">
        <f>'Portefeuille SP2'!U753</f>
        <v>0</v>
      </c>
      <c r="M728" s="386"/>
      <c r="N728" s="386"/>
      <c r="O728" s="386"/>
      <c r="P728" s="387">
        <f>'Portefeuille SP2'!M753</f>
        <v>0</v>
      </c>
      <c r="Q728" s="387"/>
      <c r="R728" s="387">
        <f>'Portefeuille SP2'!N753</f>
        <v>0</v>
      </c>
      <c r="S728" s="387"/>
      <c r="T728" s="382">
        <f>'Portefeuille SP2'!R753</f>
        <v>0</v>
      </c>
      <c r="U728" s="387">
        <f>'Portefeuille SP2'!K753</f>
        <v>0</v>
      </c>
      <c r="V728" s="399">
        <f>'Portefeuille SP2'!S753</f>
        <v>0</v>
      </c>
      <c r="W728" s="387"/>
      <c r="X728" s="387"/>
      <c r="Y728" s="387"/>
      <c r="Z728" s="387"/>
      <c r="AA728" s="387"/>
      <c r="AB728" s="387"/>
      <c r="AC728" s="387"/>
      <c r="AD728" s="387"/>
      <c r="AE728" s="400">
        <f>'Portefeuille SP2'!J753</f>
        <v>0</v>
      </c>
      <c r="AF728" s="387"/>
      <c r="AG728" s="387"/>
      <c r="AH728" s="389"/>
      <c r="AI728" s="389"/>
      <c r="AJ728" s="403">
        <f>'Portefeuille SP2'!V753</f>
        <v>0</v>
      </c>
      <c r="AK728" s="403">
        <f>'Portefeuille SP2'!W753</f>
        <v>0</v>
      </c>
      <c r="AL728" s="403">
        <f>'Portefeuille SP2'!X753</f>
        <v>0</v>
      </c>
      <c r="AM728" s="403">
        <f>'Portefeuille SP2'!Y753</f>
        <v>0</v>
      </c>
      <c r="AN728" s="403">
        <f>'Portefeuille SP2'!Z753</f>
        <v>0</v>
      </c>
      <c r="AO728" s="403">
        <f>'Portefeuille SP2'!AA753</f>
        <v>0</v>
      </c>
      <c r="AP728" s="403">
        <f>'Portefeuille SP2'!AB753</f>
        <v>0</v>
      </c>
      <c r="AQ728" s="403">
        <f>'Portefeuille SP2'!AC753</f>
        <v>0</v>
      </c>
      <c r="AR728" s="403">
        <f>'Portefeuille SP2'!AD753</f>
        <v>0</v>
      </c>
      <c r="AS728" s="403">
        <f>'Portefeuille SP2'!AE753</f>
        <v>0</v>
      </c>
      <c r="AT728" s="403">
        <f>'Portefeuille SP2'!AF753</f>
        <v>0</v>
      </c>
      <c r="AU728" s="403">
        <f>'Portefeuille SP2'!AG753</f>
        <v>0</v>
      </c>
      <c r="AV728" s="403">
        <f>'Portefeuille SP2'!AH753</f>
        <v>0</v>
      </c>
      <c r="AW728" s="403">
        <f>'Portefeuille SP2'!AI753</f>
        <v>0</v>
      </c>
      <c r="AX728" s="403">
        <f>'Portefeuille SP2'!AJ753</f>
        <v>0</v>
      </c>
      <c r="AY728" s="403">
        <f>'Portefeuille SP2'!AK753</f>
        <v>0</v>
      </c>
      <c r="AZ728" s="403">
        <f>'Portefeuille SP2'!AL753</f>
        <v>0</v>
      </c>
      <c r="BA728" s="403">
        <f>'Portefeuille SP2'!AM753</f>
        <v>0</v>
      </c>
      <c r="BB728" s="403">
        <f>'Portefeuille SP2'!AN753</f>
        <v>0</v>
      </c>
      <c r="BC728" s="403">
        <f>'Portefeuille SP2'!AO753</f>
        <v>0</v>
      </c>
      <c r="BD728" s="403">
        <f>'Portefeuille SP2'!AP753</f>
        <v>0</v>
      </c>
      <c r="BE728" s="403">
        <f>'Portefeuille SP2'!AQ753</f>
        <v>0</v>
      </c>
      <c r="BF728" s="403">
        <f>'Portefeuille SP2'!AR753</f>
        <v>0</v>
      </c>
      <c r="BG728" s="403" t="e">
        <f>'Portefeuille SP2'!#REF!</f>
        <v>#REF!</v>
      </c>
      <c r="BH728" s="403" t="e">
        <f>'Portefeuille SP2'!#REF!</f>
        <v>#REF!</v>
      </c>
      <c r="BI728" s="403" t="e">
        <f>'Portefeuille SP2'!#REF!</f>
        <v>#REF!</v>
      </c>
      <c r="BJ728" s="403" t="e">
        <f>'Portefeuille SP2'!#REF!</f>
        <v>#REF!</v>
      </c>
      <c r="BK728" s="403" t="e">
        <f>'Portefeuille SP2'!#REF!</f>
        <v>#REF!</v>
      </c>
      <c r="BL728" s="388"/>
      <c r="BM728" s="404">
        <f>'Portefeuille SP2'!L753</f>
        <v>0</v>
      </c>
    </row>
    <row r="729" spans="1:65" ht="15" customHeight="1">
      <c r="A729" s="383">
        <f>'Portefeuille SP2'!B754</f>
        <v>0</v>
      </c>
      <c r="B729" s="390">
        <f>'Portefeuille SP2'!Q754</f>
        <v>0</v>
      </c>
      <c r="C729" s="384"/>
      <c r="D729" s="382">
        <f>'Portefeuille SP2'!E754</f>
        <v>0</v>
      </c>
      <c r="E729" s="382" t="str">
        <f t="shared" si="43"/>
        <v>0</v>
      </c>
      <c r="F729" s="382" t="str">
        <f t="shared" si="44"/>
        <v/>
      </c>
      <c r="G729" s="382">
        <f>'Portefeuille SP2'!C754</f>
        <v>0</v>
      </c>
      <c r="H729" s="382">
        <f>'Portefeuille SP2'!F754</f>
        <v>0</v>
      </c>
      <c r="I729" s="382"/>
      <c r="J729" s="382">
        <f>'Portefeuille SP2'!D754</f>
        <v>0</v>
      </c>
      <c r="K729" s="385">
        <f>'Portefeuille SP2'!H754</f>
        <v>0</v>
      </c>
      <c r="L729" s="157">
        <f>'Portefeuille SP2'!U754</f>
        <v>0</v>
      </c>
      <c r="M729" s="386"/>
      <c r="N729" s="386"/>
      <c r="O729" s="386"/>
      <c r="P729" s="387">
        <f>'Portefeuille SP2'!M754</f>
        <v>0</v>
      </c>
      <c r="Q729" s="387"/>
      <c r="R729" s="387">
        <f>'Portefeuille SP2'!N754</f>
        <v>0</v>
      </c>
      <c r="S729" s="387"/>
      <c r="T729" s="382">
        <f>'Portefeuille SP2'!R754</f>
        <v>0</v>
      </c>
      <c r="U729" s="387">
        <f>'Portefeuille SP2'!K754</f>
        <v>0</v>
      </c>
      <c r="V729" s="399">
        <f>'Portefeuille SP2'!S754</f>
        <v>0</v>
      </c>
      <c r="W729" s="387"/>
      <c r="X729" s="387"/>
      <c r="Y729" s="387"/>
      <c r="Z729" s="387"/>
      <c r="AA729" s="387"/>
      <c r="AB729" s="387"/>
      <c r="AC729" s="387"/>
      <c r="AD729" s="387"/>
      <c r="AE729" s="400">
        <f>'Portefeuille SP2'!J754</f>
        <v>0</v>
      </c>
      <c r="AF729" s="387"/>
      <c r="AG729" s="387"/>
      <c r="AH729" s="389"/>
      <c r="AI729" s="389"/>
      <c r="AJ729" s="403">
        <f>'Portefeuille SP2'!V754</f>
        <v>0</v>
      </c>
      <c r="AK729" s="403">
        <f>'Portefeuille SP2'!W754</f>
        <v>0</v>
      </c>
      <c r="AL729" s="403">
        <f>'Portefeuille SP2'!X754</f>
        <v>0</v>
      </c>
      <c r="AM729" s="403">
        <f>'Portefeuille SP2'!Y754</f>
        <v>0</v>
      </c>
      <c r="AN729" s="403">
        <f>'Portefeuille SP2'!Z754</f>
        <v>0</v>
      </c>
      <c r="AO729" s="403">
        <f>'Portefeuille SP2'!AA754</f>
        <v>0</v>
      </c>
      <c r="AP729" s="403">
        <f>'Portefeuille SP2'!AB754</f>
        <v>0</v>
      </c>
      <c r="AQ729" s="403">
        <f>'Portefeuille SP2'!AC754</f>
        <v>0</v>
      </c>
      <c r="AR729" s="403">
        <f>'Portefeuille SP2'!AD754</f>
        <v>0</v>
      </c>
      <c r="AS729" s="403">
        <f>'Portefeuille SP2'!AE754</f>
        <v>0</v>
      </c>
      <c r="AT729" s="403">
        <f>'Portefeuille SP2'!AF754</f>
        <v>0</v>
      </c>
      <c r="AU729" s="403">
        <f>'Portefeuille SP2'!AG754</f>
        <v>0</v>
      </c>
      <c r="AV729" s="403">
        <f>'Portefeuille SP2'!AH754</f>
        <v>0</v>
      </c>
      <c r="AW729" s="403">
        <f>'Portefeuille SP2'!AI754</f>
        <v>0</v>
      </c>
      <c r="AX729" s="403">
        <f>'Portefeuille SP2'!AJ754</f>
        <v>0</v>
      </c>
      <c r="AY729" s="403">
        <f>'Portefeuille SP2'!AK754</f>
        <v>0</v>
      </c>
      <c r="AZ729" s="403">
        <f>'Portefeuille SP2'!AL754</f>
        <v>0</v>
      </c>
      <c r="BA729" s="403">
        <f>'Portefeuille SP2'!AM754</f>
        <v>0</v>
      </c>
      <c r="BB729" s="403">
        <f>'Portefeuille SP2'!AN754</f>
        <v>0</v>
      </c>
      <c r="BC729" s="403">
        <f>'Portefeuille SP2'!AO754</f>
        <v>0</v>
      </c>
      <c r="BD729" s="403">
        <f>'Portefeuille SP2'!AP754</f>
        <v>0</v>
      </c>
      <c r="BE729" s="403">
        <f>'Portefeuille SP2'!AQ754</f>
        <v>0</v>
      </c>
      <c r="BF729" s="403">
        <f>'Portefeuille SP2'!AR754</f>
        <v>0</v>
      </c>
      <c r="BG729" s="403" t="e">
        <f>'Portefeuille SP2'!#REF!</f>
        <v>#REF!</v>
      </c>
      <c r="BH729" s="403" t="e">
        <f>'Portefeuille SP2'!#REF!</f>
        <v>#REF!</v>
      </c>
      <c r="BI729" s="403" t="e">
        <f>'Portefeuille SP2'!#REF!</f>
        <v>#REF!</v>
      </c>
      <c r="BJ729" s="403" t="e">
        <f>'Portefeuille SP2'!#REF!</f>
        <v>#REF!</v>
      </c>
      <c r="BK729" s="403" t="e">
        <f>'Portefeuille SP2'!#REF!</f>
        <v>#REF!</v>
      </c>
      <c r="BL729" s="388"/>
      <c r="BM729" s="404">
        <f>'Portefeuille SP2'!L754</f>
        <v>0</v>
      </c>
    </row>
    <row r="730" spans="1:65" ht="15" customHeight="1">
      <c r="A730" s="383">
        <f>'Portefeuille SP2'!B755</f>
        <v>0</v>
      </c>
      <c r="B730" s="390">
        <f>'Portefeuille SP2'!Q755</f>
        <v>0</v>
      </c>
      <c r="C730" s="384"/>
      <c r="D730" s="382">
        <f>'Portefeuille SP2'!E755</f>
        <v>0</v>
      </c>
      <c r="E730" s="382" t="str">
        <f t="shared" si="43"/>
        <v>0</v>
      </c>
      <c r="F730" s="382" t="str">
        <f t="shared" si="44"/>
        <v/>
      </c>
      <c r="G730" s="382">
        <f>'Portefeuille SP2'!C755</f>
        <v>0</v>
      </c>
      <c r="H730" s="382">
        <f>'Portefeuille SP2'!F755</f>
        <v>0</v>
      </c>
      <c r="I730" s="382"/>
      <c r="J730" s="382">
        <f>'Portefeuille SP2'!D755</f>
        <v>0</v>
      </c>
      <c r="K730" s="385">
        <f>'Portefeuille SP2'!H755</f>
        <v>0</v>
      </c>
      <c r="L730" s="157">
        <f>'Portefeuille SP2'!U755</f>
        <v>0</v>
      </c>
      <c r="M730" s="386"/>
      <c r="N730" s="386"/>
      <c r="O730" s="386"/>
      <c r="P730" s="387">
        <f>'Portefeuille SP2'!M755</f>
        <v>0</v>
      </c>
      <c r="Q730" s="387"/>
      <c r="R730" s="387">
        <f>'Portefeuille SP2'!N755</f>
        <v>0</v>
      </c>
      <c r="S730" s="387"/>
      <c r="T730" s="382">
        <f>'Portefeuille SP2'!R755</f>
        <v>0</v>
      </c>
      <c r="U730" s="387">
        <f>'Portefeuille SP2'!K755</f>
        <v>0</v>
      </c>
      <c r="V730" s="399">
        <f>'Portefeuille SP2'!S755</f>
        <v>0</v>
      </c>
      <c r="W730" s="387"/>
      <c r="X730" s="387"/>
      <c r="Y730" s="387"/>
      <c r="Z730" s="387"/>
      <c r="AA730" s="387"/>
      <c r="AB730" s="387"/>
      <c r="AC730" s="387"/>
      <c r="AD730" s="387"/>
      <c r="AE730" s="400">
        <f>'Portefeuille SP2'!J755</f>
        <v>0</v>
      </c>
      <c r="AF730" s="387"/>
      <c r="AG730" s="387"/>
      <c r="AH730" s="389"/>
      <c r="AI730" s="389"/>
      <c r="AJ730" s="403">
        <f>'Portefeuille SP2'!V755</f>
        <v>0</v>
      </c>
      <c r="AK730" s="403">
        <f>'Portefeuille SP2'!W755</f>
        <v>0</v>
      </c>
      <c r="AL730" s="403">
        <f>'Portefeuille SP2'!X755</f>
        <v>0</v>
      </c>
      <c r="AM730" s="403">
        <f>'Portefeuille SP2'!Y755</f>
        <v>0</v>
      </c>
      <c r="AN730" s="403">
        <f>'Portefeuille SP2'!Z755</f>
        <v>0</v>
      </c>
      <c r="AO730" s="403">
        <f>'Portefeuille SP2'!AA755</f>
        <v>0</v>
      </c>
      <c r="AP730" s="403">
        <f>'Portefeuille SP2'!AB755</f>
        <v>0</v>
      </c>
      <c r="AQ730" s="403">
        <f>'Portefeuille SP2'!AC755</f>
        <v>0</v>
      </c>
      <c r="AR730" s="403">
        <f>'Portefeuille SP2'!AD755</f>
        <v>0</v>
      </c>
      <c r="AS730" s="403">
        <f>'Portefeuille SP2'!AE755</f>
        <v>0</v>
      </c>
      <c r="AT730" s="403">
        <f>'Portefeuille SP2'!AF755</f>
        <v>0</v>
      </c>
      <c r="AU730" s="403">
        <f>'Portefeuille SP2'!AG755</f>
        <v>0</v>
      </c>
      <c r="AV730" s="403">
        <f>'Portefeuille SP2'!AH755</f>
        <v>0</v>
      </c>
      <c r="AW730" s="403">
        <f>'Portefeuille SP2'!AI755</f>
        <v>0</v>
      </c>
      <c r="AX730" s="403">
        <f>'Portefeuille SP2'!AJ755</f>
        <v>0</v>
      </c>
      <c r="AY730" s="403">
        <f>'Portefeuille SP2'!AK755</f>
        <v>0</v>
      </c>
      <c r="AZ730" s="403">
        <f>'Portefeuille SP2'!AL755</f>
        <v>0</v>
      </c>
      <c r="BA730" s="403">
        <f>'Portefeuille SP2'!AM755</f>
        <v>0</v>
      </c>
      <c r="BB730" s="403">
        <f>'Portefeuille SP2'!AN755</f>
        <v>0</v>
      </c>
      <c r="BC730" s="403">
        <f>'Portefeuille SP2'!AO755</f>
        <v>0</v>
      </c>
      <c r="BD730" s="403">
        <f>'Portefeuille SP2'!AP755</f>
        <v>0</v>
      </c>
      <c r="BE730" s="403">
        <f>'Portefeuille SP2'!AQ755</f>
        <v>0</v>
      </c>
      <c r="BF730" s="403">
        <f>'Portefeuille SP2'!AR755</f>
        <v>0</v>
      </c>
      <c r="BG730" s="403" t="e">
        <f>'Portefeuille SP2'!#REF!</f>
        <v>#REF!</v>
      </c>
      <c r="BH730" s="403" t="e">
        <f>'Portefeuille SP2'!#REF!</f>
        <v>#REF!</v>
      </c>
      <c r="BI730" s="403" t="e">
        <f>'Portefeuille SP2'!#REF!</f>
        <v>#REF!</v>
      </c>
      <c r="BJ730" s="403" t="e">
        <f>'Portefeuille SP2'!#REF!</f>
        <v>#REF!</v>
      </c>
      <c r="BK730" s="403" t="e">
        <f>'Portefeuille SP2'!#REF!</f>
        <v>#REF!</v>
      </c>
      <c r="BL730" s="388"/>
      <c r="BM730" s="404">
        <f>'Portefeuille SP2'!L755</f>
        <v>0</v>
      </c>
    </row>
    <row r="731" spans="1:65" ht="15" customHeight="1">
      <c r="A731" s="383">
        <f>'Portefeuille SP2'!B756</f>
        <v>0</v>
      </c>
      <c r="B731" s="390">
        <f>'Portefeuille SP2'!Q756</f>
        <v>0</v>
      </c>
      <c r="C731" s="384"/>
      <c r="D731" s="382">
        <f>'Portefeuille SP2'!E756</f>
        <v>0</v>
      </c>
      <c r="E731" s="382" t="str">
        <f t="shared" si="43"/>
        <v>0</v>
      </c>
      <c r="F731" s="382" t="str">
        <f t="shared" si="44"/>
        <v/>
      </c>
      <c r="G731" s="382">
        <f>'Portefeuille SP2'!C756</f>
        <v>0</v>
      </c>
      <c r="H731" s="382">
        <f>'Portefeuille SP2'!F756</f>
        <v>0</v>
      </c>
      <c r="I731" s="382"/>
      <c r="J731" s="382">
        <f>'Portefeuille SP2'!D756</f>
        <v>0</v>
      </c>
      <c r="K731" s="385">
        <f>'Portefeuille SP2'!H756</f>
        <v>0</v>
      </c>
      <c r="L731" s="157">
        <f>'Portefeuille SP2'!U756</f>
        <v>0</v>
      </c>
      <c r="M731" s="386"/>
      <c r="N731" s="386"/>
      <c r="O731" s="386"/>
      <c r="P731" s="387">
        <f>'Portefeuille SP2'!M756</f>
        <v>0</v>
      </c>
      <c r="Q731" s="387"/>
      <c r="R731" s="387">
        <f>'Portefeuille SP2'!N756</f>
        <v>0</v>
      </c>
      <c r="S731" s="387"/>
      <c r="T731" s="382">
        <f>'Portefeuille SP2'!R756</f>
        <v>0</v>
      </c>
      <c r="U731" s="387">
        <f>'Portefeuille SP2'!K756</f>
        <v>0</v>
      </c>
      <c r="V731" s="399">
        <f>'Portefeuille SP2'!S756</f>
        <v>0</v>
      </c>
      <c r="W731" s="387"/>
      <c r="X731" s="387"/>
      <c r="Y731" s="387"/>
      <c r="Z731" s="387"/>
      <c r="AA731" s="387"/>
      <c r="AB731" s="387"/>
      <c r="AC731" s="387"/>
      <c r="AD731" s="387"/>
      <c r="AE731" s="400">
        <f>'Portefeuille SP2'!J756</f>
        <v>0</v>
      </c>
      <c r="AF731" s="387"/>
      <c r="AG731" s="387"/>
      <c r="AH731" s="389"/>
      <c r="AI731" s="389"/>
      <c r="AJ731" s="403">
        <f>'Portefeuille SP2'!V756</f>
        <v>0</v>
      </c>
      <c r="AK731" s="403">
        <f>'Portefeuille SP2'!W756</f>
        <v>0</v>
      </c>
      <c r="AL731" s="403">
        <f>'Portefeuille SP2'!X756</f>
        <v>0</v>
      </c>
      <c r="AM731" s="403">
        <f>'Portefeuille SP2'!Y756</f>
        <v>0</v>
      </c>
      <c r="AN731" s="403">
        <f>'Portefeuille SP2'!Z756</f>
        <v>0</v>
      </c>
      <c r="AO731" s="403">
        <f>'Portefeuille SP2'!AA756</f>
        <v>0</v>
      </c>
      <c r="AP731" s="403">
        <f>'Portefeuille SP2'!AB756</f>
        <v>0</v>
      </c>
      <c r="AQ731" s="403">
        <f>'Portefeuille SP2'!AC756</f>
        <v>0</v>
      </c>
      <c r="AR731" s="403">
        <f>'Portefeuille SP2'!AD756</f>
        <v>0</v>
      </c>
      <c r="AS731" s="403">
        <f>'Portefeuille SP2'!AE756</f>
        <v>0</v>
      </c>
      <c r="AT731" s="403">
        <f>'Portefeuille SP2'!AF756</f>
        <v>0</v>
      </c>
      <c r="AU731" s="403">
        <f>'Portefeuille SP2'!AG756</f>
        <v>0</v>
      </c>
      <c r="AV731" s="403">
        <f>'Portefeuille SP2'!AH756</f>
        <v>0</v>
      </c>
      <c r="AW731" s="403">
        <f>'Portefeuille SP2'!AI756</f>
        <v>0</v>
      </c>
      <c r="AX731" s="403">
        <f>'Portefeuille SP2'!AJ756</f>
        <v>0</v>
      </c>
      <c r="AY731" s="403">
        <f>'Portefeuille SP2'!AK756</f>
        <v>0</v>
      </c>
      <c r="AZ731" s="403">
        <f>'Portefeuille SP2'!AL756</f>
        <v>0</v>
      </c>
      <c r="BA731" s="403">
        <f>'Portefeuille SP2'!AM756</f>
        <v>0</v>
      </c>
      <c r="BB731" s="403">
        <f>'Portefeuille SP2'!AN756</f>
        <v>0</v>
      </c>
      <c r="BC731" s="403">
        <f>'Portefeuille SP2'!AO756</f>
        <v>0</v>
      </c>
      <c r="BD731" s="403">
        <f>'Portefeuille SP2'!AP756</f>
        <v>0</v>
      </c>
      <c r="BE731" s="403">
        <f>'Portefeuille SP2'!AQ756</f>
        <v>0</v>
      </c>
      <c r="BF731" s="403">
        <f>'Portefeuille SP2'!AR756</f>
        <v>0</v>
      </c>
      <c r="BG731" s="403" t="e">
        <f>'Portefeuille SP2'!#REF!</f>
        <v>#REF!</v>
      </c>
      <c r="BH731" s="403" t="e">
        <f>'Portefeuille SP2'!#REF!</f>
        <v>#REF!</v>
      </c>
      <c r="BI731" s="403" t="e">
        <f>'Portefeuille SP2'!#REF!</f>
        <v>#REF!</v>
      </c>
      <c r="BJ731" s="403" t="e">
        <f>'Portefeuille SP2'!#REF!</f>
        <v>#REF!</v>
      </c>
      <c r="BK731" s="403" t="e">
        <f>'Portefeuille SP2'!#REF!</f>
        <v>#REF!</v>
      </c>
      <c r="BL731" s="388"/>
      <c r="BM731" s="404">
        <f>'Portefeuille SP2'!L756</f>
        <v>0</v>
      </c>
    </row>
    <row r="732" spans="1:65" ht="15" customHeight="1">
      <c r="A732" s="383">
        <f>'Portefeuille SP2'!B757</f>
        <v>0</v>
      </c>
      <c r="B732" s="390">
        <f>'Portefeuille SP2'!Q757</f>
        <v>0</v>
      </c>
      <c r="C732" s="384"/>
      <c r="D732" s="382">
        <f>'Portefeuille SP2'!E757</f>
        <v>0</v>
      </c>
      <c r="E732" s="382" t="str">
        <f t="shared" si="43"/>
        <v>0</v>
      </c>
      <c r="F732" s="382" t="str">
        <f t="shared" si="44"/>
        <v/>
      </c>
      <c r="G732" s="382">
        <f>'Portefeuille SP2'!C757</f>
        <v>0</v>
      </c>
      <c r="H732" s="382">
        <f>'Portefeuille SP2'!F757</f>
        <v>0</v>
      </c>
      <c r="I732" s="382"/>
      <c r="J732" s="382">
        <f>'Portefeuille SP2'!D757</f>
        <v>0</v>
      </c>
      <c r="K732" s="385">
        <f>'Portefeuille SP2'!H757</f>
        <v>0</v>
      </c>
      <c r="L732" s="157">
        <f>'Portefeuille SP2'!U757</f>
        <v>0</v>
      </c>
      <c r="M732" s="386"/>
      <c r="N732" s="386"/>
      <c r="O732" s="386"/>
      <c r="P732" s="387">
        <f>'Portefeuille SP2'!M757</f>
        <v>0</v>
      </c>
      <c r="Q732" s="387"/>
      <c r="R732" s="387">
        <f>'Portefeuille SP2'!N757</f>
        <v>0</v>
      </c>
      <c r="S732" s="387"/>
      <c r="T732" s="382">
        <f>'Portefeuille SP2'!R757</f>
        <v>0</v>
      </c>
      <c r="U732" s="387">
        <f>'Portefeuille SP2'!K757</f>
        <v>0</v>
      </c>
      <c r="V732" s="399">
        <f>'Portefeuille SP2'!S757</f>
        <v>0</v>
      </c>
      <c r="W732" s="387"/>
      <c r="X732" s="387"/>
      <c r="Y732" s="387"/>
      <c r="Z732" s="387"/>
      <c r="AA732" s="387"/>
      <c r="AB732" s="387"/>
      <c r="AC732" s="387"/>
      <c r="AD732" s="387"/>
      <c r="AE732" s="400">
        <f>'Portefeuille SP2'!J757</f>
        <v>0</v>
      </c>
      <c r="AF732" s="387"/>
      <c r="AG732" s="387"/>
      <c r="AH732" s="389"/>
      <c r="AI732" s="389"/>
      <c r="AJ732" s="403">
        <f>'Portefeuille SP2'!V757</f>
        <v>0</v>
      </c>
      <c r="AK732" s="403">
        <f>'Portefeuille SP2'!W757</f>
        <v>0</v>
      </c>
      <c r="AL732" s="403">
        <f>'Portefeuille SP2'!X757</f>
        <v>0</v>
      </c>
      <c r="AM732" s="403">
        <f>'Portefeuille SP2'!Y757</f>
        <v>0</v>
      </c>
      <c r="AN732" s="403">
        <f>'Portefeuille SP2'!Z757</f>
        <v>0</v>
      </c>
      <c r="AO732" s="403">
        <f>'Portefeuille SP2'!AA757</f>
        <v>0</v>
      </c>
      <c r="AP732" s="403">
        <f>'Portefeuille SP2'!AB757</f>
        <v>0</v>
      </c>
      <c r="AQ732" s="403">
        <f>'Portefeuille SP2'!AC757</f>
        <v>0</v>
      </c>
      <c r="AR732" s="403">
        <f>'Portefeuille SP2'!AD757</f>
        <v>0</v>
      </c>
      <c r="AS732" s="403">
        <f>'Portefeuille SP2'!AE757</f>
        <v>0</v>
      </c>
      <c r="AT732" s="403">
        <f>'Portefeuille SP2'!AF757</f>
        <v>0</v>
      </c>
      <c r="AU732" s="403">
        <f>'Portefeuille SP2'!AG757</f>
        <v>0</v>
      </c>
      <c r="AV732" s="403">
        <f>'Portefeuille SP2'!AH757</f>
        <v>0</v>
      </c>
      <c r="AW732" s="403">
        <f>'Portefeuille SP2'!AI757</f>
        <v>0</v>
      </c>
      <c r="AX732" s="403">
        <f>'Portefeuille SP2'!AJ757</f>
        <v>0</v>
      </c>
      <c r="AY732" s="403">
        <f>'Portefeuille SP2'!AK757</f>
        <v>0</v>
      </c>
      <c r="AZ732" s="403">
        <f>'Portefeuille SP2'!AL757</f>
        <v>0</v>
      </c>
      <c r="BA732" s="403">
        <f>'Portefeuille SP2'!AM757</f>
        <v>0</v>
      </c>
      <c r="BB732" s="403">
        <f>'Portefeuille SP2'!AN757</f>
        <v>0</v>
      </c>
      <c r="BC732" s="403">
        <f>'Portefeuille SP2'!AO757</f>
        <v>0</v>
      </c>
      <c r="BD732" s="403">
        <f>'Portefeuille SP2'!AP757</f>
        <v>0</v>
      </c>
      <c r="BE732" s="403">
        <f>'Portefeuille SP2'!AQ757</f>
        <v>0</v>
      </c>
      <c r="BF732" s="403">
        <f>'Portefeuille SP2'!AR757</f>
        <v>0</v>
      </c>
      <c r="BG732" s="403" t="e">
        <f>'Portefeuille SP2'!#REF!</f>
        <v>#REF!</v>
      </c>
      <c r="BH732" s="403" t="e">
        <f>'Portefeuille SP2'!#REF!</f>
        <v>#REF!</v>
      </c>
      <c r="BI732" s="403" t="e">
        <f>'Portefeuille SP2'!#REF!</f>
        <v>#REF!</v>
      </c>
      <c r="BJ732" s="403" t="e">
        <f>'Portefeuille SP2'!#REF!</f>
        <v>#REF!</v>
      </c>
      <c r="BK732" s="403" t="e">
        <f>'Portefeuille SP2'!#REF!</f>
        <v>#REF!</v>
      </c>
      <c r="BL732" s="388"/>
      <c r="BM732" s="404">
        <f>'Portefeuille SP2'!L757</f>
        <v>0</v>
      </c>
    </row>
    <row r="733" spans="1:65" ht="15" customHeight="1">
      <c r="A733" s="383">
        <f>'Portefeuille SP2'!B758</f>
        <v>0</v>
      </c>
      <c r="B733" s="390">
        <f>'Portefeuille SP2'!Q758</f>
        <v>0</v>
      </c>
      <c r="C733" s="384"/>
      <c r="D733" s="382">
        <f>'Portefeuille SP2'!E758</f>
        <v>0</v>
      </c>
      <c r="E733" s="382" t="str">
        <f t="shared" si="43"/>
        <v>0</v>
      </c>
      <c r="F733" s="382" t="str">
        <f t="shared" si="44"/>
        <v/>
      </c>
      <c r="G733" s="382">
        <f>'Portefeuille SP2'!C758</f>
        <v>0</v>
      </c>
      <c r="H733" s="382">
        <f>'Portefeuille SP2'!F758</f>
        <v>0</v>
      </c>
      <c r="I733" s="382"/>
      <c r="J733" s="382">
        <f>'Portefeuille SP2'!D758</f>
        <v>0</v>
      </c>
      <c r="K733" s="385">
        <f>'Portefeuille SP2'!H758</f>
        <v>0</v>
      </c>
      <c r="L733" s="157">
        <f>'Portefeuille SP2'!U758</f>
        <v>0</v>
      </c>
      <c r="M733" s="386"/>
      <c r="N733" s="386"/>
      <c r="O733" s="386"/>
      <c r="P733" s="387">
        <f>'Portefeuille SP2'!M758</f>
        <v>0</v>
      </c>
      <c r="Q733" s="387"/>
      <c r="R733" s="387">
        <f>'Portefeuille SP2'!N758</f>
        <v>0</v>
      </c>
      <c r="S733" s="387"/>
      <c r="T733" s="382">
        <f>'Portefeuille SP2'!R758</f>
        <v>0</v>
      </c>
      <c r="U733" s="387">
        <f>'Portefeuille SP2'!K758</f>
        <v>0</v>
      </c>
      <c r="V733" s="399">
        <f>'Portefeuille SP2'!S758</f>
        <v>0</v>
      </c>
      <c r="W733" s="387"/>
      <c r="X733" s="387"/>
      <c r="Y733" s="387"/>
      <c r="Z733" s="387"/>
      <c r="AA733" s="387"/>
      <c r="AB733" s="387"/>
      <c r="AC733" s="387"/>
      <c r="AD733" s="387"/>
      <c r="AE733" s="400">
        <f>'Portefeuille SP2'!J758</f>
        <v>0</v>
      </c>
      <c r="AF733" s="387"/>
      <c r="AG733" s="387"/>
      <c r="AH733" s="389"/>
      <c r="AI733" s="389"/>
      <c r="AJ733" s="403">
        <f>'Portefeuille SP2'!V758</f>
        <v>0</v>
      </c>
      <c r="AK733" s="403">
        <f>'Portefeuille SP2'!W758</f>
        <v>0</v>
      </c>
      <c r="AL733" s="403">
        <f>'Portefeuille SP2'!X758</f>
        <v>0</v>
      </c>
      <c r="AM733" s="403">
        <f>'Portefeuille SP2'!Y758</f>
        <v>0</v>
      </c>
      <c r="AN733" s="403">
        <f>'Portefeuille SP2'!Z758</f>
        <v>0</v>
      </c>
      <c r="AO733" s="403">
        <f>'Portefeuille SP2'!AA758</f>
        <v>0</v>
      </c>
      <c r="AP733" s="403">
        <f>'Portefeuille SP2'!AB758</f>
        <v>0</v>
      </c>
      <c r="AQ733" s="403">
        <f>'Portefeuille SP2'!AC758</f>
        <v>0</v>
      </c>
      <c r="AR733" s="403">
        <f>'Portefeuille SP2'!AD758</f>
        <v>0</v>
      </c>
      <c r="AS733" s="403">
        <f>'Portefeuille SP2'!AE758</f>
        <v>0</v>
      </c>
      <c r="AT733" s="403">
        <f>'Portefeuille SP2'!AF758</f>
        <v>0</v>
      </c>
      <c r="AU733" s="403">
        <f>'Portefeuille SP2'!AG758</f>
        <v>0</v>
      </c>
      <c r="AV733" s="403">
        <f>'Portefeuille SP2'!AH758</f>
        <v>0</v>
      </c>
      <c r="AW733" s="403">
        <f>'Portefeuille SP2'!AI758</f>
        <v>0</v>
      </c>
      <c r="AX733" s="403">
        <f>'Portefeuille SP2'!AJ758</f>
        <v>0</v>
      </c>
      <c r="AY733" s="403">
        <f>'Portefeuille SP2'!AK758</f>
        <v>0</v>
      </c>
      <c r="AZ733" s="403">
        <f>'Portefeuille SP2'!AL758</f>
        <v>0</v>
      </c>
      <c r="BA733" s="403">
        <f>'Portefeuille SP2'!AM758</f>
        <v>0</v>
      </c>
      <c r="BB733" s="403">
        <f>'Portefeuille SP2'!AN758</f>
        <v>0</v>
      </c>
      <c r="BC733" s="403">
        <f>'Portefeuille SP2'!AO758</f>
        <v>0</v>
      </c>
      <c r="BD733" s="403">
        <f>'Portefeuille SP2'!AP758</f>
        <v>0</v>
      </c>
      <c r="BE733" s="403">
        <f>'Portefeuille SP2'!AQ758</f>
        <v>0</v>
      </c>
      <c r="BF733" s="403">
        <f>'Portefeuille SP2'!AR758</f>
        <v>0</v>
      </c>
      <c r="BG733" s="403" t="e">
        <f>'Portefeuille SP2'!#REF!</f>
        <v>#REF!</v>
      </c>
      <c r="BH733" s="403" t="e">
        <f>'Portefeuille SP2'!#REF!</f>
        <v>#REF!</v>
      </c>
      <c r="BI733" s="403" t="e">
        <f>'Portefeuille SP2'!#REF!</f>
        <v>#REF!</v>
      </c>
      <c r="BJ733" s="403" t="e">
        <f>'Portefeuille SP2'!#REF!</f>
        <v>#REF!</v>
      </c>
      <c r="BK733" s="403" t="e">
        <f>'Portefeuille SP2'!#REF!</f>
        <v>#REF!</v>
      </c>
      <c r="BL733" s="388"/>
      <c r="BM733" s="404">
        <f>'Portefeuille SP2'!L758</f>
        <v>0</v>
      </c>
    </row>
    <row r="734" spans="1:65" ht="15" customHeight="1">
      <c r="A734" s="383">
        <f>'Portefeuille SP2'!B759</f>
        <v>0</v>
      </c>
      <c r="B734" s="390">
        <f>'Portefeuille SP2'!Q759</f>
        <v>0</v>
      </c>
      <c r="C734" s="384"/>
      <c r="D734" s="382">
        <f>'Portefeuille SP2'!E759</f>
        <v>0</v>
      </c>
      <c r="E734" s="382" t="str">
        <f t="shared" si="43"/>
        <v>0</v>
      </c>
      <c r="F734" s="382" t="str">
        <f t="shared" si="44"/>
        <v/>
      </c>
      <c r="G734" s="382">
        <f>'Portefeuille SP2'!C759</f>
        <v>0</v>
      </c>
      <c r="H734" s="382">
        <f>'Portefeuille SP2'!F759</f>
        <v>0</v>
      </c>
      <c r="I734" s="382"/>
      <c r="J734" s="382">
        <f>'Portefeuille SP2'!D759</f>
        <v>0</v>
      </c>
      <c r="K734" s="385">
        <f>'Portefeuille SP2'!H759</f>
        <v>0</v>
      </c>
      <c r="L734" s="157">
        <f>'Portefeuille SP2'!U759</f>
        <v>0</v>
      </c>
      <c r="M734" s="386"/>
      <c r="N734" s="386"/>
      <c r="O734" s="386"/>
      <c r="P734" s="387">
        <f>'Portefeuille SP2'!M759</f>
        <v>0</v>
      </c>
      <c r="Q734" s="387"/>
      <c r="R734" s="387">
        <f>'Portefeuille SP2'!N759</f>
        <v>0</v>
      </c>
      <c r="S734" s="387"/>
      <c r="T734" s="382">
        <f>'Portefeuille SP2'!R759</f>
        <v>0</v>
      </c>
      <c r="U734" s="387">
        <f>'Portefeuille SP2'!K759</f>
        <v>0</v>
      </c>
      <c r="V734" s="399">
        <f>'Portefeuille SP2'!S759</f>
        <v>0</v>
      </c>
      <c r="W734" s="387"/>
      <c r="X734" s="387"/>
      <c r="Y734" s="387"/>
      <c r="Z734" s="387"/>
      <c r="AA734" s="387"/>
      <c r="AB734" s="387"/>
      <c r="AC734" s="387"/>
      <c r="AD734" s="387"/>
      <c r="AE734" s="400">
        <f>'Portefeuille SP2'!J759</f>
        <v>0</v>
      </c>
      <c r="AF734" s="387"/>
      <c r="AG734" s="387"/>
      <c r="AH734" s="389"/>
      <c r="AI734" s="389"/>
      <c r="AJ734" s="403">
        <f>'Portefeuille SP2'!V759</f>
        <v>0</v>
      </c>
      <c r="AK734" s="403">
        <f>'Portefeuille SP2'!W759</f>
        <v>0</v>
      </c>
      <c r="AL734" s="403">
        <f>'Portefeuille SP2'!X759</f>
        <v>0</v>
      </c>
      <c r="AM734" s="403">
        <f>'Portefeuille SP2'!Y759</f>
        <v>0</v>
      </c>
      <c r="AN734" s="403">
        <f>'Portefeuille SP2'!Z759</f>
        <v>0</v>
      </c>
      <c r="AO734" s="403">
        <f>'Portefeuille SP2'!AA759</f>
        <v>0</v>
      </c>
      <c r="AP734" s="403">
        <f>'Portefeuille SP2'!AB759</f>
        <v>0</v>
      </c>
      <c r="AQ734" s="403">
        <f>'Portefeuille SP2'!AC759</f>
        <v>0</v>
      </c>
      <c r="AR734" s="403">
        <f>'Portefeuille SP2'!AD759</f>
        <v>0</v>
      </c>
      <c r="AS734" s="403">
        <f>'Portefeuille SP2'!AE759</f>
        <v>0</v>
      </c>
      <c r="AT734" s="403">
        <f>'Portefeuille SP2'!AF759</f>
        <v>0</v>
      </c>
      <c r="AU734" s="403">
        <f>'Portefeuille SP2'!AG759</f>
        <v>0</v>
      </c>
      <c r="AV734" s="403">
        <f>'Portefeuille SP2'!AH759</f>
        <v>0</v>
      </c>
      <c r="AW734" s="403">
        <f>'Portefeuille SP2'!AI759</f>
        <v>0</v>
      </c>
      <c r="AX734" s="403">
        <f>'Portefeuille SP2'!AJ759</f>
        <v>0</v>
      </c>
      <c r="AY734" s="403">
        <f>'Portefeuille SP2'!AK759</f>
        <v>0</v>
      </c>
      <c r="AZ734" s="403">
        <f>'Portefeuille SP2'!AL759</f>
        <v>0</v>
      </c>
      <c r="BA734" s="403">
        <f>'Portefeuille SP2'!AM759</f>
        <v>0</v>
      </c>
      <c r="BB734" s="403">
        <f>'Portefeuille SP2'!AN759</f>
        <v>0</v>
      </c>
      <c r="BC734" s="403">
        <f>'Portefeuille SP2'!AO759</f>
        <v>0</v>
      </c>
      <c r="BD734" s="403">
        <f>'Portefeuille SP2'!AP759</f>
        <v>0</v>
      </c>
      <c r="BE734" s="403">
        <f>'Portefeuille SP2'!AQ759</f>
        <v>0</v>
      </c>
      <c r="BF734" s="403">
        <f>'Portefeuille SP2'!AR759</f>
        <v>0</v>
      </c>
      <c r="BG734" s="403" t="e">
        <f>'Portefeuille SP2'!#REF!</f>
        <v>#REF!</v>
      </c>
      <c r="BH734" s="403" t="e">
        <f>'Portefeuille SP2'!#REF!</f>
        <v>#REF!</v>
      </c>
      <c r="BI734" s="403" t="e">
        <f>'Portefeuille SP2'!#REF!</f>
        <v>#REF!</v>
      </c>
      <c r="BJ734" s="403" t="e">
        <f>'Portefeuille SP2'!#REF!</f>
        <v>#REF!</v>
      </c>
      <c r="BK734" s="403" t="e">
        <f>'Portefeuille SP2'!#REF!</f>
        <v>#REF!</v>
      </c>
      <c r="BL734" s="388"/>
      <c r="BM734" s="404">
        <f>'Portefeuille SP2'!L759</f>
        <v>0</v>
      </c>
    </row>
    <row r="735" spans="1:65" ht="15" customHeight="1">
      <c r="A735" s="383">
        <f>'Portefeuille SP2'!B760</f>
        <v>0</v>
      </c>
      <c r="B735" s="390">
        <f>'Portefeuille SP2'!Q760</f>
        <v>0</v>
      </c>
      <c r="C735" s="384"/>
      <c r="D735" s="382">
        <f>'Portefeuille SP2'!E760</f>
        <v>0</v>
      </c>
      <c r="E735" s="382" t="str">
        <f t="shared" si="43"/>
        <v>0</v>
      </c>
      <c r="F735" s="382" t="str">
        <f t="shared" si="44"/>
        <v/>
      </c>
      <c r="G735" s="382">
        <f>'Portefeuille SP2'!C760</f>
        <v>0</v>
      </c>
      <c r="H735" s="382">
        <f>'Portefeuille SP2'!F760</f>
        <v>0</v>
      </c>
      <c r="I735" s="382"/>
      <c r="J735" s="382">
        <f>'Portefeuille SP2'!D760</f>
        <v>0</v>
      </c>
      <c r="K735" s="385">
        <f>'Portefeuille SP2'!H760</f>
        <v>0</v>
      </c>
      <c r="L735" s="157">
        <f>'Portefeuille SP2'!U760</f>
        <v>0</v>
      </c>
      <c r="M735" s="386"/>
      <c r="N735" s="386"/>
      <c r="O735" s="386"/>
      <c r="P735" s="387">
        <f>'Portefeuille SP2'!M760</f>
        <v>0</v>
      </c>
      <c r="Q735" s="387"/>
      <c r="R735" s="387">
        <f>'Portefeuille SP2'!N760</f>
        <v>0</v>
      </c>
      <c r="S735" s="387"/>
      <c r="T735" s="382">
        <f>'Portefeuille SP2'!R760</f>
        <v>0</v>
      </c>
      <c r="U735" s="387">
        <f>'Portefeuille SP2'!K760</f>
        <v>0</v>
      </c>
      <c r="V735" s="399">
        <f>'Portefeuille SP2'!S760</f>
        <v>0</v>
      </c>
      <c r="W735" s="387"/>
      <c r="X735" s="387"/>
      <c r="Y735" s="387"/>
      <c r="Z735" s="387"/>
      <c r="AA735" s="387"/>
      <c r="AB735" s="387"/>
      <c r="AC735" s="387"/>
      <c r="AD735" s="387"/>
      <c r="AE735" s="400">
        <f>'Portefeuille SP2'!J760</f>
        <v>0</v>
      </c>
      <c r="AF735" s="387"/>
      <c r="AG735" s="387"/>
      <c r="AH735" s="389"/>
      <c r="AI735" s="389"/>
      <c r="AJ735" s="403">
        <f>'Portefeuille SP2'!V760</f>
        <v>0</v>
      </c>
      <c r="AK735" s="403">
        <f>'Portefeuille SP2'!W760</f>
        <v>0</v>
      </c>
      <c r="AL735" s="403">
        <f>'Portefeuille SP2'!X760</f>
        <v>0</v>
      </c>
      <c r="AM735" s="403">
        <f>'Portefeuille SP2'!Y760</f>
        <v>0</v>
      </c>
      <c r="AN735" s="403">
        <f>'Portefeuille SP2'!Z760</f>
        <v>0</v>
      </c>
      <c r="AO735" s="403">
        <f>'Portefeuille SP2'!AA760</f>
        <v>0</v>
      </c>
      <c r="AP735" s="403">
        <f>'Portefeuille SP2'!AB760</f>
        <v>0</v>
      </c>
      <c r="AQ735" s="403">
        <f>'Portefeuille SP2'!AC760</f>
        <v>0</v>
      </c>
      <c r="AR735" s="403">
        <f>'Portefeuille SP2'!AD760</f>
        <v>0</v>
      </c>
      <c r="AS735" s="403">
        <f>'Portefeuille SP2'!AE760</f>
        <v>0</v>
      </c>
      <c r="AT735" s="403">
        <f>'Portefeuille SP2'!AF760</f>
        <v>0</v>
      </c>
      <c r="AU735" s="403">
        <f>'Portefeuille SP2'!AG760</f>
        <v>0</v>
      </c>
      <c r="AV735" s="403">
        <f>'Portefeuille SP2'!AH760</f>
        <v>0</v>
      </c>
      <c r="AW735" s="403">
        <f>'Portefeuille SP2'!AI760</f>
        <v>0</v>
      </c>
      <c r="AX735" s="403">
        <f>'Portefeuille SP2'!AJ760</f>
        <v>0</v>
      </c>
      <c r="AY735" s="403">
        <f>'Portefeuille SP2'!AK760</f>
        <v>0</v>
      </c>
      <c r="AZ735" s="403">
        <f>'Portefeuille SP2'!AL760</f>
        <v>0</v>
      </c>
      <c r="BA735" s="403">
        <f>'Portefeuille SP2'!AM760</f>
        <v>0</v>
      </c>
      <c r="BB735" s="403">
        <f>'Portefeuille SP2'!AN760</f>
        <v>0</v>
      </c>
      <c r="BC735" s="403">
        <f>'Portefeuille SP2'!AO760</f>
        <v>0</v>
      </c>
      <c r="BD735" s="403">
        <f>'Portefeuille SP2'!AP760</f>
        <v>0</v>
      </c>
      <c r="BE735" s="403">
        <f>'Portefeuille SP2'!AQ760</f>
        <v>0</v>
      </c>
      <c r="BF735" s="403">
        <f>'Portefeuille SP2'!AR760</f>
        <v>0</v>
      </c>
      <c r="BG735" s="403" t="e">
        <f>'Portefeuille SP2'!#REF!</f>
        <v>#REF!</v>
      </c>
      <c r="BH735" s="403" t="e">
        <f>'Portefeuille SP2'!#REF!</f>
        <v>#REF!</v>
      </c>
      <c r="BI735" s="403" t="e">
        <f>'Portefeuille SP2'!#REF!</f>
        <v>#REF!</v>
      </c>
      <c r="BJ735" s="403" t="e">
        <f>'Portefeuille SP2'!#REF!</f>
        <v>#REF!</v>
      </c>
      <c r="BK735" s="403" t="e">
        <f>'Portefeuille SP2'!#REF!</f>
        <v>#REF!</v>
      </c>
      <c r="BL735" s="388"/>
      <c r="BM735" s="404">
        <f>'Portefeuille SP2'!L760</f>
        <v>0</v>
      </c>
    </row>
    <row r="736" spans="1:65" ht="15" customHeight="1">
      <c r="A736" s="383">
        <f>'Portefeuille SP2'!B761</f>
        <v>0</v>
      </c>
      <c r="B736" s="390">
        <f>'Portefeuille SP2'!Q761</f>
        <v>0</v>
      </c>
      <c r="C736" s="384"/>
      <c r="D736" s="382">
        <f>'Portefeuille SP2'!E761</f>
        <v>0</v>
      </c>
      <c r="E736" s="382" t="str">
        <f t="shared" si="43"/>
        <v>0</v>
      </c>
      <c r="F736" s="382" t="str">
        <f t="shared" si="44"/>
        <v/>
      </c>
      <c r="G736" s="382">
        <f>'Portefeuille SP2'!C761</f>
        <v>0</v>
      </c>
      <c r="H736" s="382">
        <f>'Portefeuille SP2'!F761</f>
        <v>0</v>
      </c>
      <c r="I736" s="382"/>
      <c r="J736" s="382">
        <f>'Portefeuille SP2'!D761</f>
        <v>0</v>
      </c>
      <c r="K736" s="385">
        <f>'Portefeuille SP2'!H761</f>
        <v>0</v>
      </c>
      <c r="L736" s="157">
        <f>'Portefeuille SP2'!U761</f>
        <v>0</v>
      </c>
      <c r="M736" s="386"/>
      <c r="N736" s="386"/>
      <c r="O736" s="386"/>
      <c r="P736" s="387">
        <f>'Portefeuille SP2'!M761</f>
        <v>0</v>
      </c>
      <c r="Q736" s="387"/>
      <c r="R736" s="387">
        <f>'Portefeuille SP2'!N761</f>
        <v>0</v>
      </c>
      <c r="S736" s="387"/>
      <c r="T736" s="382">
        <f>'Portefeuille SP2'!R761</f>
        <v>0</v>
      </c>
      <c r="U736" s="387">
        <f>'Portefeuille SP2'!K761</f>
        <v>0</v>
      </c>
      <c r="V736" s="399">
        <f>'Portefeuille SP2'!S761</f>
        <v>0</v>
      </c>
      <c r="W736" s="387"/>
      <c r="X736" s="387"/>
      <c r="Y736" s="387"/>
      <c r="Z736" s="387"/>
      <c r="AA736" s="387"/>
      <c r="AB736" s="387"/>
      <c r="AC736" s="387"/>
      <c r="AD736" s="387"/>
      <c r="AE736" s="400">
        <f>'Portefeuille SP2'!J761</f>
        <v>0</v>
      </c>
      <c r="AF736" s="387"/>
      <c r="AG736" s="387"/>
      <c r="AH736" s="389"/>
      <c r="AI736" s="389"/>
      <c r="AJ736" s="403">
        <f>'Portefeuille SP2'!V761</f>
        <v>0</v>
      </c>
      <c r="AK736" s="403">
        <f>'Portefeuille SP2'!W761</f>
        <v>0</v>
      </c>
      <c r="AL736" s="403">
        <f>'Portefeuille SP2'!X761</f>
        <v>0</v>
      </c>
      <c r="AM736" s="403">
        <f>'Portefeuille SP2'!Y761</f>
        <v>0</v>
      </c>
      <c r="AN736" s="403">
        <f>'Portefeuille SP2'!Z761</f>
        <v>0</v>
      </c>
      <c r="AO736" s="403">
        <f>'Portefeuille SP2'!AA761</f>
        <v>0</v>
      </c>
      <c r="AP736" s="403">
        <f>'Portefeuille SP2'!AB761</f>
        <v>0</v>
      </c>
      <c r="AQ736" s="403">
        <f>'Portefeuille SP2'!AC761</f>
        <v>0</v>
      </c>
      <c r="AR736" s="403">
        <f>'Portefeuille SP2'!AD761</f>
        <v>0</v>
      </c>
      <c r="AS736" s="403">
        <f>'Portefeuille SP2'!AE761</f>
        <v>0</v>
      </c>
      <c r="AT736" s="403">
        <f>'Portefeuille SP2'!AF761</f>
        <v>0</v>
      </c>
      <c r="AU736" s="403">
        <f>'Portefeuille SP2'!AG761</f>
        <v>0</v>
      </c>
      <c r="AV736" s="403">
        <f>'Portefeuille SP2'!AH761</f>
        <v>0</v>
      </c>
      <c r="AW736" s="403">
        <f>'Portefeuille SP2'!AI761</f>
        <v>0</v>
      </c>
      <c r="AX736" s="403">
        <f>'Portefeuille SP2'!AJ761</f>
        <v>0</v>
      </c>
      <c r="AY736" s="403">
        <f>'Portefeuille SP2'!AK761</f>
        <v>0</v>
      </c>
      <c r="AZ736" s="403">
        <f>'Portefeuille SP2'!AL761</f>
        <v>0</v>
      </c>
      <c r="BA736" s="403">
        <f>'Portefeuille SP2'!AM761</f>
        <v>0</v>
      </c>
      <c r="BB736" s="403">
        <f>'Portefeuille SP2'!AN761</f>
        <v>0</v>
      </c>
      <c r="BC736" s="403">
        <f>'Portefeuille SP2'!AO761</f>
        <v>0</v>
      </c>
      <c r="BD736" s="403">
        <f>'Portefeuille SP2'!AP761</f>
        <v>0</v>
      </c>
      <c r="BE736" s="403">
        <f>'Portefeuille SP2'!AQ761</f>
        <v>0</v>
      </c>
      <c r="BF736" s="403">
        <f>'Portefeuille SP2'!AR761</f>
        <v>0</v>
      </c>
      <c r="BG736" s="403" t="e">
        <f>'Portefeuille SP2'!#REF!</f>
        <v>#REF!</v>
      </c>
      <c r="BH736" s="403" t="e">
        <f>'Portefeuille SP2'!#REF!</f>
        <v>#REF!</v>
      </c>
      <c r="BI736" s="403" t="e">
        <f>'Portefeuille SP2'!#REF!</f>
        <v>#REF!</v>
      </c>
      <c r="BJ736" s="403" t="e">
        <f>'Portefeuille SP2'!#REF!</f>
        <v>#REF!</v>
      </c>
      <c r="BK736" s="403" t="e">
        <f>'Portefeuille SP2'!#REF!</f>
        <v>#REF!</v>
      </c>
      <c r="BL736" s="388"/>
      <c r="BM736" s="404">
        <f>'Portefeuille SP2'!L761</f>
        <v>0</v>
      </c>
    </row>
    <row r="737" spans="1:65" ht="15" customHeight="1">
      <c r="A737" s="383">
        <f>'Portefeuille SP2'!B762</f>
        <v>0</v>
      </c>
      <c r="B737" s="390">
        <f>'Portefeuille SP2'!Q762</f>
        <v>0</v>
      </c>
      <c r="C737" s="384"/>
      <c r="D737" s="382">
        <f>'Portefeuille SP2'!E762</f>
        <v>0</v>
      </c>
      <c r="E737" s="382" t="str">
        <f t="shared" si="43"/>
        <v>0</v>
      </c>
      <c r="F737" s="382" t="str">
        <f t="shared" si="44"/>
        <v/>
      </c>
      <c r="G737" s="382">
        <f>'Portefeuille SP2'!C762</f>
        <v>0</v>
      </c>
      <c r="H737" s="382">
        <f>'Portefeuille SP2'!F762</f>
        <v>0</v>
      </c>
      <c r="I737" s="382"/>
      <c r="J737" s="382">
        <f>'Portefeuille SP2'!D762</f>
        <v>0</v>
      </c>
      <c r="K737" s="385">
        <f>'Portefeuille SP2'!H762</f>
        <v>0</v>
      </c>
      <c r="L737" s="157">
        <f>'Portefeuille SP2'!U762</f>
        <v>0</v>
      </c>
      <c r="M737" s="386"/>
      <c r="N737" s="386"/>
      <c r="O737" s="386"/>
      <c r="P737" s="387">
        <f>'Portefeuille SP2'!M762</f>
        <v>0</v>
      </c>
      <c r="Q737" s="387"/>
      <c r="R737" s="387">
        <f>'Portefeuille SP2'!N762</f>
        <v>0</v>
      </c>
      <c r="S737" s="387"/>
      <c r="T737" s="382">
        <f>'Portefeuille SP2'!R762</f>
        <v>0</v>
      </c>
      <c r="U737" s="387">
        <f>'Portefeuille SP2'!K762</f>
        <v>0</v>
      </c>
      <c r="V737" s="399">
        <f>'Portefeuille SP2'!S762</f>
        <v>0</v>
      </c>
      <c r="W737" s="387"/>
      <c r="X737" s="387"/>
      <c r="Y737" s="387"/>
      <c r="Z737" s="387"/>
      <c r="AA737" s="387"/>
      <c r="AB737" s="387"/>
      <c r="AC737" s="387"/>
      <c r="AD737" s="387"/>
      <c r="AE737" s="400">
        <f>'Portefeuille SP2'!J762</f>
        <v>0</v>
      </c>
      <c r="AF737" s="387"/>
      <c r="AG737" s="387"/>
      <c r="AH737" s="389"/>
      <c r="AI737" s="389"/>
      <c r="AJ737" s="403">
        <f>'Portefeuille SP2'!V762</f>
        <v>0</v>
      </c>
      <c r="AK737" s="403">
        <f>'Portefeuille SP2'!W762</f>
        <v>0</v>
      </c>
      <c r="AL737" s="403">
        <f>'Portefeuille SP2'!X762</f>
        <v>0</v>
      </c>
      <c r="AM737" s="403">
        <f>'Portefeuille SP2'!Y762</f>
        <v>0</v>
      </c>
      <c r="AN737" s="403">
        <f>'Portefeuille SP2'!Z762</f>
        <v>0</v>
      </c>
      <c r="AO737" s="403">
        <f>'Portefeuille SP2'!AA762</f>
        <v>0</v>
      </c>
      <c r="AP737" s="403">
        <f>'Portefeuille SP2'!AB762</f>
        <v>0</v>
      </c>
      <c r="AQ737" s="403">
        <f>'Portefeuille SP2'!AC762</f>
        <v>0</v>
      </c>
      <c r="AR737" s="403">
        <f>'Portefeuille SP2'!AD762</f>
        <v>0</v>
      </c>
      <c r="AS737" s="403">
        <f>'Portefeuille SP2'!AE762</f>
        <v>0</v>
      </c>
      <c r="AT737" s="403">
        <f>'Portefeuille SP2'!AF762</f>
        <v>0</v>
      </c>
      <c r="AU737" s="403">
        <f>'Portefeuille SP2'!AG762</f>
        <v>0</v>
      </c>
      <c r="AV737" s="403">
        <f>'Portefeuille SP2'!AH762</f>
        <v>0</v>
      </c>
      <c r="AW737" s="403">
        <f>'Portefeuille SP2'!AI762</f>
        <v>0</v>
      </c>
      <c r="AX737" s="403">
        <f>'Portefeuille SP2'!AJ762</f>
        <v>0</v>
      </c>
      <c r="AY737" s="403">
        <f>'Portefeuille SP2'!AK762</f>
        <v>0</v>
      </c>
      <c r="AZ737" s="403">
        <f>'Portefeuille SP2'!AL762</f>
        <v>0</v>
      </c>
      <c r="BA737" s="403">
        <f>'Portefeuille SP2'!AM762</f>
        <v>0</v>
      </c>
      <c r="BB737" s="403">
        <f>'Portefeuille SP2'!AN762</f>
        <v>0</v>
      </c>
      <c r="BC737" s="403">
        <f>'Portefeuille SP2'!AO762</f>
        <v>0</v>
      </c>
      <c r="BD737" s="403">
        <f>'Portefeuille SP2'!AP762</f>
        <v>0</v>
      </c>
      <c r="BE737" s="403">
        <f>'Portefeuille SP2'!AQ762</f>
        <v>0</v>
      </c>
      <c r="BF737" s="403">
        <f>'Portefeuille SP2'!AR762</f>
        <v>0</v>
      </c>
      <c r="BG737" s="403" t="e">
        <f>'Portefeuille SP2'!#REF!</f>
        <v>#REF!</v>
      </c>
      <c r="BH737" s="403" t="e">
        <f>'Portefeuille SP2'!#REF!</f>
        <v>#REF!</v>
      </c>
      <c r="BI737" s="403" t="e">
        <f>'Portefeuille SP2'!#REF!</f>
        <v>#REF!</v>
      </c>
      <c r="BJ737" s="403" t="e">
        <f>'Portefeuille SP2'!#REF!</f>
        <v>#REF!</v>
      </c>
      <c r="BK737" s="403" t="e">
        <f>'Portefeuille SP2'!#REF!</f>
        <v>#REF!</v>
      </c>
      <c r="BL737" s="388"/>
      <c r="BM737" s="404">
        <f>'Portefeuille SP2'!L762</f>
        <v>0</v>
      </c>
    </row>
    <row r="738" spans="1:65" ht="15" customHeight="1">
      <c r="A738" s="383">
        <f>'Portefeuille SP2'!B763</f>
        <v>0</v>
      </c>
      <c r="B738" s="390">
        <f>'Portefeuille SP2'!Q763</f>
        <v>0</v>
      </c>
      <c r="C738" s="384"/>
      <c r="D738" s="382">
        <f>'Portefeuille SP2'!E763</f>
        <v>0</v>
      </c>
      <c r="E738" s="382" t="str">
        <f t="shared" si="43"/>
        <v>0</v>
      </c>
      <c r="F738" s="382" t="str">
        <f t="shared" si="44"/>
        <v/>
      </c>
      <c r="G738" s="382">
        <f>'Portefeuille SP2'!C763</f>
        <v>0</v>
      </c>
      <c r="H738" s="382">
        <f>'Portefeuille SP2'!F763</f>
        <v>0</v>
      </c>
      <c r="I738" s="382"/>
      <c r="J738" s="382">
        <f>'Portefeuille SP2'!D763</f>
        <v>0</v>
      </c>
      <c r="K738" s="385">
        <f>'Portefeuille SP2'!H763</f>
        <v>0</v>
      </c>
      <c r="L738" s="157">
        <f>'Portefeuille SP2'!U763</f>
        <v>0</v>
      </c>
      <c r="M738" s="386"/>
      <c r="N738" s="386"/>
      <c r="O738" s="386"/>
      <c r="P738" s="387">
        <f>'Portefeuille SP2'!M763</f>
        <v>0</v>
      </c>
      <c r="Q738" s="387"/>
      <c r="R738" s="387">
        <f>'Portefeuille SP2'!N763</f>
        <v>0</v>
      </c>
      <c r="S738" s="387"/>
      <c r="T738" s="382">
        <f>'Portefeuille SP2'!R763</f>
        <v>0</v>
      </c>
      <c r="U738" s="387">
        <f>'Portefeuille SP2'!K763</f>
        <v>0</v>
      </c>
      <c r="V738" s="399">
        <f>'Portefeuille SP2'!S763</f>
        <v>0</v>
      </c>
      <c r="W738" s="387"/>
      <c r="X738" s="387"/>
      <c r="Y738" s="387"/>
      <c r="Z738" s="387"/>
      <c r="AA738" s="387"/>
      <c r="AB738" s="387"/>
      <c r="AC738" s="387"/>
      <c r="AD738" s="387"/>
      <c r="AE738" s="400">
        <f>'Portefeuille SP2'!J763</f>
        <v>0</v>
      </c>
      <c r="AF738" s="387"/>
      <c r="AG738" s="387"/>
      <c r="AH738" s="389"/>
      <c r="AI738" s="389"/>
      <c r="AJ738" s="403">
        <f>'Portefeuille SP2'!V763</f>
        <v>0</v>
      </c>
      <c r="AK738" s="403">
        <f>'Portefeuille SP2'!W763</f>
        <v>0</v>
      </c>
      <c r="AL738" s="403">
        <f>'Portefeuille SP2'!X763</f>
        <v>0</v>
      </c>
      <c r="AM738" s="403">
        <f>'Portefeuille SP2'!Y763</f>
        <v>0</v>
      </c>
      <c r="AN738" s="403">
        <f>'Portefeuille SP2'!Z763</f>
        <v>0</v>
      </c>
      <c r="AO738" s="403">
        <f>'Portefeuille SP2'!AA763</f>
        <v>0</v>
      </c>
      <c r="AP738" s="403">
        <f>'Portefeuille SP2'!AB763</f>
        <v>0</v>
      </c>
      <c r="AQ738" s="403">
        <f>'Portefeuille SP2'!AC763</f>
        <v>0</v>
      </c>
      <c r="AR738" s="403">
        <f>'Portefeuille SP2'!AD763</f>
        <v>0</v>
      </c>
      <c r="AS738" s="403">
        <f>'Portefeuille SP2'!AE763</f>
        <v>0</v>
      </c>
      <c r="AT738" s="403">
        <f>'Portefeuille SP2'!AF763</f>
        <v>0</v>
      </c>
      <c r="AU738" s="403">
        <f>'Portefeuille SP2'!AG763</f>
        <v>0</v>
      </c>
      <c r="AV738" s="403">
        <f>'Portefeuille SP2'!AH763</f>
        <v>0</v>
      </c>
      <c r="AW738" s="403">
        <f>'Portefeuille SP2'!AI763</f>
        <v>0</v>
      </c>
      <c r="AX738" s="403">
        <f>'Portefeuille SP2'!AJ763</f>
        <v>0</v>
      </c>
      <c r="AY738" s="403">
        <f>'Portefeuille SP2'!AK763</f>
        <v>0</v>
      </c>
      <c r="AZ738" s="403">
        <f>'Portefeuille SP2'!AL763</f>
        <v>0</v>
      </c>
      <c r="BA738" s="403">
        <f>'Portefeuille SP2'!AM763</f>
        <v>0</v>
      </c>
      <c r="BB738" s="403">
        <f>'Portefeuille SP2'!AN763</f>
        <v>0</v>
      </c>
      <c r="BC738" s="403">
        <f>'Portefeuille SP2'!AO763</f>
        <v>0</v>
      </c>
      <c r="BD738" s="403">
        <f>'Portefeuille SP2'!AP763</f>
        <v>0</v>
      </c>
      <c r="BE738" s="403">
        <f>'Portefeuille SP2'!AQ763</f>
        <v>0</v>
      </c>
      <c r="BF738" s="403">
        <f>'Portefeuille SP2'!AR763</f>
        <v>0</v>
      </c>
      <c r="BG738" s="403" t="e">
        <f>'Portefeuille SP2'!#REF!</f>
        <v>#REF!</v>
      </c>
      <c r="BH738" s="403" t="e">
        <f>'Portefeuille SP2'!#REF!</f>
        <v>#REF!</v>
      </c>
      <c r="BI738" s="403" t="e">
        <f>'Portefeuille SP2'!#REF!</f>
        <v>#REF!</v>
      </c>
      <c r="BJ738" s="403" t="e">
        <f>'Portefeuille SP2'!#REF!</f>
        <v>#REF!</v>
      </c>
      <c r="BK738" s="403" t="e">
        <f>'Portefeuille SP2'!#REF!</f>
        <v>#REF!</v>
      </c>
      <c r="BL738" s="388"/>
      <c r="BM738" s="404">
        <f>'Portefeuille SP2'!L763</f>
        <v>0</v>
      </c>
    </row>
    <row r="739" spans="1:65" ht="15" customHeight="1">
      <c r="A739" s="383">
        <f>'Portefeuille SP2'!B764</f>
        <v>0</v>
      </c>
      <c r="B739" s="390">
        <f>'Portefeuille SP2'!Q764</f>
        <v>0</v>
      </c>
      <c r="C739" s="384"/>
      <c r="D739" s="382">
        <f>'Portefeuille SP2'!E764</f>
        <v>0</v>
      </c>
      <c r="E739" s="382" t="str">
        <f t="shared" si="43"/>
        <v>0</v>
      </c>
      <c r="F739" s="382" t="str">
        <f t="shared" si="44"/>
        <v/>
      </c>
      <c r="G739" s="382">
        <f>'Portefeuille SP2'!C764</f>
        <v>0</v>
      </c>
      <c r="H739" s="382">
        <f>'Portefeuille SP2'!F764</f>
        <v>0</v>
      </c>
      <c r="I739" s="382"/>
      <c r="J739" s="382">
        <f>'Portefeuille SP2'!D764</f>
        <v>0</v>
      </c>
      <c r="K739" s="385">
        <f>'Portefeuille SP2'!H764</f>
        <v>0</v>
      </c>
      <c r="L739" s="157">
        <f>'Portefeuille SP2'!U764</f>
        <v>0</v>
      </c>
      <c r="M739" s="386"/>
      <c r="N739" s="386"/>
      <c r="O739" s="386"/>
      <c r="P739" s="387">
        <f>'Portefeuille SP2'!M764</f>
        <v>0</v>
      </c>
      <c r="Q739" s="387"/>
      <c r="R739" s="387">
        <f>'Portefeuille SP2'!N764</f>
        <v>0</v>
      </c>
      <c r="S739" s="387"/>
      <c r="T739" s="382">
        <f>'Portefeuille SP2'!R764</f>
        <v>0</v>
      </c>
      <c r="U739" s="387">
        <f>'Portefeuille SP2'!K764</f>
        <v>0</v>
      </c>
      <c r="V739" s="399">
        <f>'Portefeuille SP2'!S764</f>
        <v>0</v>
      </c>
      <c r="W739" s="387"/>
      <c r="X739" s="387"/>
      <c r="Y739" s="387"/>
      <c r="Z739" s="387"/>
      <c r="AA739" s="387"/>
      <c r="AB739" s="387"/>
      <c r="AC739" s="387"/>
      <c r="AD739" s="387"/>
      <c r="AE739" s="400">
        <f>'Portefeuille SP2'!J764</f>
        <v>0</v>
      </c>
      <c r="AF739" s="387"/>
      <c r="AG739" s="387"/>
      <c r="AH739" s="389"/>
      <c r="AI739" s="389"/>
      <c r="AJ739" s="403">
        <f>'Portefeuille SP2'!V764</f>
        <v>0</v>
      </c>
      <c r="AK739" s="403">
        <f>'Portefeuille SP2'!W764</f>
        <v>0</v>
      </c>
      <c r="AL739" s="403">
        <f>'Portefeuille SP2'!X764</f>
        <v>0</v>
      </c>
      <c r="AM739" s="403">
        <f>'Portefeuille SP2'!Y764</f>
        <v>0</v>
      </c>
      <c r="AN739" s="403">
        <f>'Portefeuille SP2'!Z764</f>
        <v>0</v>
      </c>
      <c r="AO739" s="403">
        <f>'Portefeuille SP2'!AA764</f>
        <v>0</v>
      </c>
      <c r="AP739" s="403">
        <f>'Portefeuille SP2'!AB764</f>
        <v>0</v>
      </c>
      <c r="AQ739" s="403">
        <f>'Portefeuille SP2'!AC764</f>
        <v>0</v>
      </c>
      <c r="AR739" s="403">
        <f>'Portefeuille SP2'!AD764</f>
        <v>0</v>
      </c>
      <c r="AS739" s="403">
        <f>'Portefeuille SP2'!AE764</f>
        <v>0</v>
      </c>
      <c r="AT739" s="403">
        <f>'Portefeuille SP2'!AF764</f>
        <v>0</v>
      </c>
      <c r="AU739" s="403">
        <f>'Portefeuille SP2'!AG764</f>
        <v>0</v>
      </c>
      <c r="AV739" s="403">
        <f>'Portefeuille SP2'!AH764</f>
        <v>0</v>
      </c>
      <c r="AW739" s="403">
        <f>'Portefeuille SP2'!AI764</f>
        <v>0</v>
      </c>
      <c r="AX739" s="403">
        <f>'Portefeuille SP2'!AJ764</f>
        <v>0</v>
      </c>
      <c r="AY739" s="403">
        <f>'Portefeuille SP2'!AK764</f>
        <v>0</v>
      </c>
      <c r="AZ739" s="403">
        <f>'Portefeuille SP2'!AL764</f>
        <v>0</v>
      </c>
      <c r="BA739" s="403">
        <f>'Portefeuille SP2'!AM764</f>
        <v>0</v>
      </c>
      <c r="BB739" s="403">
        <f>'Portefeuille SP2'!AN764</f>
        <v>0</v>
      </c>
      <c r="BC739" s="403">
        <f>'Portefeuille SP2'!AO764</f>
        <v>0</v>
      </c>
      <c r="BD739" s="403">
        <f>'Portefeuille SP2'!AP764</f>
        <v>0</v>
      </c>
      <c r="BE739" s="403">
        <f>'Portefeuille SP2'!AQ764</f>
        <v>0</v>
      </c>
      <c r="BF739" s="403">
        <f>'Portefeuille SP2'!AR764</f>
        <v>0</v>
      </c>
      <c r="BG739" s="403" t="e">
        <f>'Portefeuille SP2'!#REF!</f>
        <v>#REF!</v>
      </c>
      <c r="BH739" s="403" t="e">
        <f>'Portefeuille SP2'!#REF!</f>
        <v>#REF!</v>
      </c>
      <c r="BI739" s="403" t="e">
        <f>'Portefeuille SP2'!#REF!</f>
        <v>#REF!</v>
      </c>
      <c r="BJ739" s="403" t="e">
        <f>'Portefeuille SP2'!#REF!</f>
        <v>#REF!</v>
      </c>
      <c r="BK739" s="403" t="e">
        <f>'Portefeuille SP2'!#REF!</f>
        <v>#REF!</v>
      </c>
      <c r="BL739" s="388"/>
      <c r="BM739" s="404">
        <f>'Portefeuille SP2'!L764</f>
        <v>0</v>
      </c>
    </row>
    <row r="740" spans="1:65" ht="15" customHeight="1">
      <c r="A740" s="383">
        <f>'Portefeuille SP2'!B765</f>
        <v>0</v>
      </c>
      <c r="B740" s="390">
        <f>'Portefeuille SP2'!Q765</f>
        <v>0</v>
      </c>
      <c r="C740" s="384"/>
      <c r="D740" s="382">
        <f>'Portefeuille SP2'!E765</f>
        <v>0</v>
      </c>
      <c r="E740" s="382" t="str">
        <f t="shared" si="43"/>
        <v>0</v>
      </c>
      <c r="F740" s="382" t="str">
        <f t="shared" si="44"/>
        <v/>
      </c>
      <c r="G740" s="382">
        <f>'Portefeuille SP2'!C765</f>
        <v>0</v>
      </c>
      <c r="H740" s="382">
        <f>'Portefeuille SP2'!F765</f>
        <v>0</v>
      </c>
      <c r="I740" s="382"/>
      <c r="J740" s="382">
        <f>'Portefeuille SP2'!D765</f>
        <v>0</v>
      </c>
      <c r="K740" s="385">
        <f>'Portefeuille SP2'!H765</f>
        <v>0</v>
      </c>
      <c r="L740" s="157">
        <f>'Portefeuille SP2'!U765</f>
        <v>0</v>
      </c>
      <c r="M740" s="386"/>
      <c r="N740" s="386"/>
      <c r="O740" s="386"/>
      <c r="P740" s="387">
        <f>'Portefeuille SP2'!M765</f>
        <v>0</v>
      </c>
      <c r="Q740" s="387"/>
      <c r="R740" s="387">
        <f>'Portefeuille SP2'!N765</f>
        <v>0</v>
      </c>
      <c r="S740" s="387"/>
      <c r="T740" s="382">
        <f>'Portefeuille SP2'!R765</f>
        <v>0</v>
      </c>
      <c r="U740" s="387">
        <f>'Portefeuille SP2'!K765</f>
        <v>0</v>
      </c>
      <c r="V740" s="399">
        <f>'Portefeuille SP2'!S765</f>
        <v>0</v>
      </c>
      <c r="W740" s="387"/>
      <c r="X740" s="387"/>
      <c r="Y740" s="387"/>
      <c r="Z740" s="387"/>
      <c r="AA740" s="387"/>
      <c r="AB740" s="387"/>
      <c r="AC740" s="387"/>
      <c r="AD740" s="387"/>
      <c r="AE740" s="400">
        <f>'Portefeuille SP2'!J765</f>
        <v>0</v>
      </c>
      <c r="AF740" s="387"/>
      <c r="AG740" s="387"/>
      <c r="AH740" s="389"/>
      <c r="AI740" s="389"/>
      <c r="AJ740" s="403">
        <f>'Portefeuille SP2'!V765</f>
        <v>0</v>
      </c>
      <c r="AK740" s="403">
        <f>'Portefeuille SP2'!W765</f>
        <v>0</v>
      </c>
      <c r="AL740" s="403">
        <f>'Portefeuille SP2'!X765</f>
        <v>0</v>
      </c>
      <c r="AM740" s="403">
        <f>'Portefeuille SP2'!Y765</f>
        <v>0</v>
      </c>
      <c r="AN740" s="403">
        <f>'Portefeuille SP2'!Z765</f>
        <v>0</v>
      </c>
      <c r="AO740" s="403">
        <f>'Portefeuille SP2'!AA765</f>
        <v>0</v>
      </c>
      <c r="AP740" s="403">
        <f>'Portefeuille SP2'!AB765</f>
        <v>0</v>
      </c>
      <c r="AQ740" s="403">
        <f>'Portefeuille SP2'!AC765</f>
        <v>0</v>
      </c>
      <c r="AR740" s="403">
        <f>'Portefeuille SP2'!AD765</f>
        <v>0</v>
      </c>
      <c r="AS740" s="403">
        <f>'Portefeuille SP2'!AE765</f>
        <v>0</v>
      </c>
      <c r="AT740" s="403">
        <f>'Portefeuille SP2'!AF765</f>
        <v>0</v>
      </c>
      <c r="AU740" s="403">
        <f>'Portefeuille SP2'!AG765</f>
        <v>0</v>
      </c>
      <c r="AV740" s="403">
        <f>'Portefeuille SP2'!AH765</f>
        <v>0</v>
      </c>
      <c r="AW740" s="403">
        <f>'Portefeuille SP2'!AI765</f>
        <v>0</v>
      </c>
      <c r="AX740" s="403">
        <f>'Portefeuille SP2'!AJ765</f>
        <v>0</v>
      </c>
      <c r="AY740" s="403">
        <f>'Portefeuille SP2'!AK765</f>
        <v>0</v>
      </c>
      <c r="AZ740" s="403">
        <f>'Portefeuille SP2'!AL765</f>
        <v>0</v>
      </c>
      <c r="BA740" s="403">
        <f>'Portefeuille SP2'!AM765</f>
        <v>0</v>
      </c>
      <c r="BB740" s="403">
        <f>'Portefeuille SP2'!AN765</f>
        <v>0</v>
      </c>
      <c r="BC740" s="403">
        <f>'Portefeuille SP2'!AO765</f>
        <v>0</v>
      </c>
      <c r="BD740" s="403">
        <f>'Portefeuille SP2'!AP765</f>
        <v>0</v>
      </c>
      <c r="BE740" s="403">
        <f>'Portefeuille SP2'!AQ765</f>
        <v>0</v>
      </c>
      <c r="BF740" s="403">
        <f>'Portefeuille SP2'!AR765</f>
        <v>0</v>
      </c>
      <c r="BG740" s="403" t="e">
        <f>'Portefeuille SP2'!#REF!</f>
        <v>#REF!</v>
      </c>
      <c r="BH740" s="403" t="e">
        <f>'Portefeuille SP2'!#REF!</f>
        <v>#REF!</v>
      </c>
      <c r="BI740" s="403" t="e">
        <f>'Portefeuille SP2'!#REF!</f>
        <v>#REF!</v>
      </c>
      <c r="BJ740" s="403" t="e">
        <f>'Portefeuille SP2'!#REF!</f>
        <v>#REF!</v>
      </c>
      <c r="BK740" s="403" t="e">
        <f>'Portefeuille SP2'!#REF!</f>
        <v>#REF!</v>
      </c>
      <c r="BL740" s="388"/>
      <c r="BM740" s="404">
        <f>'Portefeuille SP2'!L765</f>
        <v>0</v>
      </c>
    </row>
    <row r="741" spans="1:65" ht="15" customHeight="1">
      <c r="A741" s="383">
        <f>'Portefeuille SP2'!B766</f>
        <v>0</v>
      </c>
      <c r="B741" s="390">
        <f>'Portefeuille SP2'!Q766</f>
        <v>0</v>
      </c>
      <c r="C741" s="384"/>
      <c r="D741" s="382">
        <f>'Portefeuille SP2'!E766</f>
        <v>0</v>
      </c>
      <c r="E741" s="382" t="str">
        <f t="shared" si="43"/>
        <v>0</v>
      </c>
      <c r="F741" s="382" t="str">
        <f t="shared" si="44"/>
        <v/>
      </c>
      <c r="G741" s="382">
        <f>'Portefeuille SP2'!C766</f>
        <v>0</v>
      </c>
      <c r="H741" s="382">
        <f>'Portefeuille SP2'!F766</f>
        <v>0</v>
      </c>
      <c r="I741" s="382"/>
      <c r="J741" s="382">
        <f>'Portefeuille SP2'!D766</f>
        <v>0</v>
      </c>
      <c r="K741" s="385">
        <f>'Portefeuille SP2'!H766</f>
        <v>0</v>
      </c>
      <c r="L741" s="157">
        <f>'Portefeuille SP2'!U766</f>
        <v>0</v>
      </c>
      <c r="M741" s="386"/>
      <c r="N741" s="386"/>
      <c r="O741" s="386"/>
      <c r="P741" s="387">
        <f>'Portefeuille SP2'!M766</f>
        <v>0</v>
      </c>
      <c r="Q741" s="387"/>
      <c r="R741" s="387">
        <f>'Portefeuille SP2'!N766</f>
        <v>0</v>
      </c>
      <c r="S741" s="387"/>
      <c r="T741" s="382">
        <f>'Portefeuille SP2'!R766</f>
        <v>0</v>
      </c>
      <c r="U741" s="387">
        <f>'Portefeuille SP2'!K766</f>
        <v>0</v>
      </c>
      <c r="V741" s="399">
        <f>'Portefeuille SP2'!S766</f>
        <v>0</v>
      </c>
      <c r="W741" s="387"/>
      <c r="X741" s="387"/>
      <c r="Y741" s="387"/>
      <c r="Z741" s="387"/>
      <c r="AA741" s="387"/>
      <c r="AB741" s="387"/>
      <c r="AC741" s="387"/>
      <c r="AD741" s="387"/>
      <c r="AE741" s="400">
        <f>'Portefeuille SP2'!J766</f>
        <v>0</v>
      </c>
      <c r="AF741" s="387"/>
      <c r="AG741" s="387"/>
      <c r="AH741" s="389"/>
      <c r="AI741" s="389"/>
      <c r="AJ741" s="403">
        <f>'Portefeuille SP2'!V766</f>
        <v>0</v>
      </c>
      <c r="AK741" s="403">
        <f>'Portefeuille SP2'!W766</f>
        <v>0</v>
      </c>
      <c r="AL741" s="403">
        <f>'Portefeuille SP2'!X766</f>
        <v>0</v>
      </c>
      <c r="AM741" s="403">
        <f>'Portefeuille SP2'!Y766</f>
        <v>0</v>
      </c>
      <c r="AN741" s="403">
        <f>'Portefeuille SP2'!Z766</f>
        <v>0</v>
      </c>
      <c r="AO741" s="403">
        <f>'Portefeuille SP2'!AA766</f>
        <v>0</v>
      </c>
      <c r="AP741" s="403">
        <f>'Portefeuille SP2'!AB766</f>
        <v>0</v>
      </c>
      <c r="AQ741" s="403">
        <f>'Portefeuille SP2'!AC766</f>
        <v>0</v>
      </c>
      <c r="AR741" s="403">
        <f>'Portefeuille SP2'!AD766</f>
        <v>0</v>
      </c>
      <c r="AS741" s="403">
        <f>'Portefeuille SP2'!AE766</f>
        <v>0</v>
      </c>
      <c r="AT741" s="403">
        <f>'Portefeuille SP2'!AF766</f>
        <v>0</v>
      </c>
      <c r="AU741" s="403">
        <f>'Portefeuille SP2'!AG766</f>
        <v>0</v>
      </c>
      <c r="AV741" s="403">
        <f>'Portefeuille SP2'!AH766</f>
        <v>0</v>
      </c>
      <c r="AW741" s="403">
        <f>'Portefeuille SP2'!AI766</f>
        <v>0</v>
      </c>
      <c r="AX741" s="403">
        <f>'Portefeuille SP2'!AJ766</f>
        <v>0</v>
      </c>
      <c r="AY741" s="403">
        <f>'Portefeuille SP2'!AK766</f>
        <v>0</v>
      </c>
      <c r="AZ741" s="403">
        <f>'Portefeuille SP2'!AL766</f>
        <v>0</v>
      </c>
      <c r="BA741" s="403">
        <f>'Portefeuille SP2'!AM766</f>
        <v>0</v>
      </c>
      <c r="BB741" s="403">
        <f>'Portefeuille SP2'!AN766</f>
        <v>0</v>
      </c>
      <c r="BC741" s="403">
        <f>'Portefeuille SP2'!AO766</f>
        <v>0</v>
      </c>
      <c r="BD741" s="403">
        <f>'Portefeuille SP2'!AP766</f>
        <v>0</v>
      </c>
      <c r="BE741" s="403">
        <f>'Portefeuille SP2'!AQ766</f>
        <v>0</v>
      </c>
      <c r="BF741" s="403">
        <f>'Portefeuille SP2'!AR766</f>
        <v>0</v>
      </c>
      <c r="BG741" s="403" t="e">
        <f>'Portefeuille SP2'!#REF!</f>
        <v>#REF!</v>
      </c>
      <c r="BH741" s="403" t="e">
        <f>'Portefeuille SP2'!#REF!</f>
        <v>#REF!</v>
      </c>
      <c r="BI741" s="403" t="e">
        <f>'Portefeuille SP2'!#REF!</f>
        <v>#REF!</v>
      </c>
      <c r="BJ741" s="403" t="e">
        <f>'Portefeuille SP2'!#REF!</f>
        <v>#REF!</v>
      </c>
      <c r="BK741" s="403" t="e">
        <f>'Portefeuille SP2'!#REF!</f>
        <v>#REF!</v>
      </c>
      <c r="BL741" s="388"/>
      <c r="BM741" s="404">
        <f>'Portefeuille SP2'!L766</f>
        <v>0</v>
      </c>
    </row>
    <row r="742" spans="1:65" ht="15" customHeight="1">
      <c r="A742" s="383">
        <f>'Portefeuille SP2'!B767</f>
        <v>0</v>
      </c>
      <c r="B742" s="390">
        <f>'Portefeuille SP2'!Q767</f>
        <v>0</v>
      </c>
      <c r="C742" s="384"/>
      <c r="D742" s="382">
        <f>'Portefeuille SP2'!E767</f>
        <v>0</v>
      </c>
      <c r="E742" s="382" t="str">
        <f t="shared" si="43"/>
        <v>0</v>
      </c>
      <c r="F742" s="382" t="str">
        <f t="shared" si="44"/>
        <v/>
      </c>
      <c r="G742" s="382">
        <f>'Portefeuille SP2'!C767</f>
        <v>0</v>
      </c>
      <c r="H742" s="382">
        <f>'Portefeuille SP2'!F767</f>
        <v>0</v>
      </c>
      <c r="I742" s="382"/>
      <c r="J742" s="382">
        <f>'Portefeuille SP2'!D767</f>
        <v>0</v>
      </c>
      <c r="K742" s="385">
        <f>'Portefeuille SP2'!H767</f>
        <v>0</v>
      </c>
      <c r="L742" s="157">
        <f>'Portefeuille SP2'!U767</f>
        <v>0</v>
      </c>
      <c r="M742" s="386"/>
      <c r="N742" s="386"/>
      <c r="O742" s="386"/>
      <c r="P742" s="387">
        <f>'Portefeuille SP2'!M767</f>
        <v>0</v>
      </c>
      <c r="Q742" s="387"/>
      <c r="R742" s="387">
        <f>'Portefeuille SP2'!N767</f>
        <v>0</v>
      </c>
      <c r="S742" s="387"/>
      <c r="T742" s="382">
        <f>'Portefeuille SP2'!R767</f>
        <v>0</v>
      </c>
      <c r="U742" s="387">
        <f>'Portefeuille SP2'!K767</f>
        <v>0</v>
      </c>
      <c r="V742" s="399">
        <f>'Portefeuille SP2'!S767</f>
        <v>0</v>
      </c>
      <c r="W742" s="387"/>
      <c r="X742" s="387"/>
      <c r="Y742" s="387"/>
      <c r="Z742" s="387"/>
      <c r="AA742" s="387"/>
      <c r="AB742" s="387"/>
      <c r="AC742" s="387"/>
      <c r="AD742" s="387"/>
      <c r="AE742" s="400">
        <f>'Portefeuille SP2'!J767</f>
        <v>0</v>
      </c>
      <c r="AF742" s="387"/>
      <c r="AG742" s="387"/>
      <c r="AH742" s="389"/>
      <c r="AI742" s="389"/>
      <c r="AJ742" s="403">
        <f>'Portefeuille SP2'!V767</f>
        <v>0</v>
      </c>
      <c r="AK742" s="403">
        <f>'Portefeuille SP2'!W767</f>
        <v>0</v>
      </c>
      <c r="AL742" s="403">
        <f>'Portefeuille SP2'!X767</f>
        <v>0</v>
      </c>
      <c r="AM742" s="403">
        <f>'Portefeuille SP2'!Y767</f>
        <v>0</v>
      </c>
      <c r="AN742" s="403">
        <f>'Portefeuille SP2'!Z767</f>
        <v>0</v>
      </c>
      <c r="AO742" s="403">
        <f>'Portefeuille SP2'!AA767</f>
        <v>0</v>
      </c>
      <c r="AP742" s="403">
        <f>'Portefeuille SP2'!AB767</f>
        <v>0</v>
      </c>
      <c r="AQ742" s="403">
        <f>'Portefeuille SP2'!AC767</f>
        <v>0</v>
      </c>
      <c r="AR742" s="403">
        <f>'Portefeuille SP2'!AD767</f>
        <v>0</v>
      </c>
      <c r="AS742" s="403">
        <f>'Portefeuille SP2'!AE767</f>
        <v>0</v>
      </c>
      <c r="AT742" s="403">
        <f>'Portefeuille SP2'!AF767</f>
        <v>0</v>
      </c>
      <c r="AU742" s="403">
        <f>'Portefeuille SP2'!AG767</f>
        <v>0</v>
      </c>
      <c r="AV742" s="403">
        <f>'Portefeuille SP2'!AH767</f>
        <v>0</v>
      </c>
      <c r="AW742" s="403">
        <f>'Portefeuille SP2'!AI767</f>
        <v>0</v>
      </c>
      <c r="AX742" s="403">
        <f>'Portefeuille SP2'!AJ767</f>
        <v>0</v>
      </c>
      <c r="AY742" s="403">
        <f>'Portefeuille SP2'!AK767</f>
        <v>0</v>
      </c>
      <c r="AZ742" s="403">
        <f>'Portefeuille SP2'!AL767</f>
        <v>0</v>
      </c>
      <c r="BA742" s="403">
        <f>'Portefeuille SP2'!AM767</f>
        <v>0</v>
      </c>
      <c r="BB742" s="403">
        <f>'Portefeuille SP2'!AN767</f>
        <v>0</v>
      </c>
      <c r="BC742" s="403">
        <f>'Portefeuille SP2'!AO767</f>
        <v>0</v>
      </c>
      <c r="BD742" s="403">
        <f>'Portefeuille SP2'!AP767</f>
        <v>0</v>
      </c>
      <c r="BE742" s="403">
        <f>'Portefeuille SP2'!AQ767</f>
        <v>0</v>
      </c>
      <c r="BF742" s="403">
        <f>'Portefeuille SP2'!AR767</f>
        <v>0</v>
      </c>
      <c r="BG742" s="403" t="e">
        <f>'Portefeuille SP2'!#REF!</f>
        <v>#REF!</v>
      </c>
      <c r="BH742" s="403" t="e">
        <f>'Portefeuille SP2'!#REF!</f>
        <v>#REF!</v>
      </c>
      <c r="BI742" s="403" t="e">
        <f>'Portefeuille SP2'!#REF!</f>
        <v>#REF!</v>
      </c>
      <c r="BJ742" s="403" t="e">
        <f>'Portefeuille SP2'!#REF!</f>
        <v>#REF!</v>
      </c>
      <c r="BK742" s="403" t="e">
        <f>'Portefeuille SP2'!#REF!</f>
        <v>#REF!</v>
      </c>
      <c r="BL742" s="388"/>
      <c r="BM742" s="404">
        <f>'Portefeuille SP2'!L767</f>
        <v>0</v>
      </c>
    </row>
    <row r="743" spans="1:65" ht="15" customHeight="1">
      <c r="A743" s="383">
        <f>'Portefeuille SP2'!B768</f>
        <v>0</v>
      </c>
      <c r="B743" s="390">
        <f>'Portefeuille SP2'!Q768</f>
        <v>0</v>
      </c>
      <c r="C743" s="384"/>
      <c r="D743" s="382">
        <f>'Portefeuille SP2'!E768</f>
        <v>0</v>
      </c>
      <c r="E743" s="382" t="str">
        <f t="shared" si="43"/>
        <v>0</v>
      </c>
      <c r="F743" s="382" t="str">
        <f t="shared" si="44"/>
        <v/>
      </c>
      <c r="G743" s="382">
        <f>'Portefeuille SP2'!C768</f>
        <v>0</v>
      </c>
      <c r="H743" s="382">
        <f>'Portefeuille SP2'!F768</f>
        <v>0</v>
      </c>
      <c r="I743" s="382"/>
      <c r="J743" s="382">
        <f>'Portefeuille SP2'!D768</f>
        <v>0</v>
      </c>
      <c r="K743" s="385">
        <f>'Portefeuille SP2'!H768</f>
        <v>0</v>
      </c>
      <c r="L743" s="157">
        <f>'Portefeuille SP2'!U768</f>
        <v>0</v>
      </c>
      <c r="M743" s="386"/>
      <c r="N743" s="386"/>
      <c r="O743" s="386"/>
      <c r="P743" s="387">
        <f>'Portefeuille SP2'!M768</f>
        <v>0</v>
      </c>
      <c r="Q743" s="387"/>
      <c r="R743" s="387">
        <f>'Portefeuille SP2'!N768</f>
        <v>0</v>
      </c>
      <c r="S743" s="387"/>
      <c r="T743" s="382">
        <f>'Portefeuille SP2'!R768</f>
        <v>0</v>
      </c>
      <c r="U743" s="387">
        <f>'Portefeuille SP2'!K768</f>
        <v>0</v>
      </c>
      <c r="V743" s="399">
        <f>'Portefeuille SP2'!S768</f>
        <v>0</v>
      </c>
      <c r="W743" s="387"/>
      <c r="X743" s="387"/>
      <c r="Y743" s="387"/>
      <c r="Z743" s="387"/>
      <c r="AA743" s="387"/>
      <c r="AB743" s="387"/>
      <c r="AC743" s="387"/>
      <c r="AD743" s="387"/>
      <c r="AE743" s="400">
        <f>'Portefeuille SP2'!J768</f>
        <v>0</v>
      </c>
      <c r="AF743" s="387"/>
      <c r="AG743" s="387"/>
      <c r="AH743" s="389"/>
      <c r="AI743" s="389"/>
      <c r="AJ743" s="403">
        <f>'Portefeuille SP2'!V768</f>
        <v>0</v>
      </c>
      <c r="AK743" s="403">
        <f>'Portefeuille SP2'!W768</f>
        <v>0</v>
      </c>
      <c r="AL743" s="403">
        <f>'Portefeuille SP2'!X768</f>
        <v>0</v>
      </c>
      <c r="AM743" s="403">
        <f>'Portefeuille SP2'!Y768</f>
        <v>0</v>
      </c>
      <c r="AN743" s="403">
        <f>'Portefeuille SP2'!Z768</f>
        <v>0</v>
      </c>
      <c r="AO743" s="403">
        <f>'Portefeuille SP2'!AA768</f>
        <v>0</v>
      </c>
      <c r="AP743" s="403">
        <f>'Portefeuille SP2'!AB768</f>
        <v>0</v>
      </c>
      <c r="AQ743" s="403">
        <f>'Portefeuille SP2'!AC768</f>
        <v>0</v>
      </c>
      <c r="AR743" s="403">
        <f>'Portefeuille SP2'!AD768</f>
        <v>0</v>
      </c>
      <c r="AS743" s="403">
        <f>'Portefeuille SP2'!AE768</f>
        <v>0</v>
      </c>
      <c r="AT743" s="403">
        <f>'Portefeuille SP2'!AF768</f>
        <v>0</v>
      </c>
      <c r="AU743" s="403">
        <f>'Portefeuille SP2'!AG768</f>
        <v>0</v>
      </c>
      <c r="AV743" s="403">
        <f>'Portefeuille SP2'!AH768</f>
        <v>0</v>
      </c>
      <c r="AW743" s="403">
        <f>'Portefeuille SP2'!AI768</f>
        <v>0</v>
      </c>
      <c r="AX743" s="403">
        <f>'Portefeuille SP2'!AJ768</f>
        <v>0</v>
      </c>
      <c r="AY743" s="403">
        <f>'Portefeuille SP2'!AK768</f>
        <v>0</v>
      </c>
      <c r="AZ743" s="403">
        <f>'Portefeuille SP2'!AL768</f>
        <v>0</v>
      </c>
      <c r="BA743" s="403">
        <f>'Portefeuille SP2'!AM768</f>
        <v>0</v>
      </c>
      <c r="BB743" s="403">
        <f>'Portefeuille SP2'!AN768</f>
        <v>0</v>
      </c>
      <c r="BC743" s="403">
        <f>'Portefeuille SP2'!AO768</f>
        <v>0</v>
      </c>
      <c r="BD743" s="403">
        <f>'Portefeuille SP2'!AP768</f>
        <v>0</v>
      </c>
      <c r="BE743" s="403">
        <f>'Portefeuille SP2'!AQ768</f>
        <v>0</v>
      </c>
      <c r="BF743" s="403">
        <f>'Portefeuille SP2'!AR768</f>
        <v>0</v>
      </c>
      <c r="BG743" s="403" t="e">
        <f>'Portefeuille SP2'!#REF!</f>
        <v>#REF!</v>
      </c>
      <c r="BH743" s="403" t="e">
        <f>'Portefeuille SP2'!#REF!</f>
        <v>#REF!</v>
      </c>
      <c r="BI743" s="403" t="e">
        <f>'Portefeuille SP2'!#REF!</f>
        <v>#REF!</v>
      </c>
      <c r="BJ743" s="403" t="e">
        <f>'Portefeuille SP2'!#REF!</f>
        <v>#REF!</v>
      </c>
      <c r="BK743" s="403" t="e">
        <f>'Portefeuille SP2'!#REF!</f>
        <v>#REF!</v>
      </c>
      <c r="BL743" s="388"/>
      <c r="BM743" s="404">
        <f>'Portefeuille SP2'!L768</f>
        <v>0</v>
      </c>
    </row>
    <row r="744" spans="1:65" ht="15" customHeight="1">
      <c r="A744" s="383">
        <f>'Portefeuille SP2'!B769</f>
        <v>0</v>
      </c>
      <c r="B744" s="390">
        <f>'Portefeuille SP2'!Q769</f>
        <v>0</v>
      </c>
      <c r="C744" s="384"/>
      <c r="D744" s="382">
        <f>'Portefeuille SP2'!E769</f>
        <v>0</v>
      </c>
      <c r="E744" s="382" t="str">
        <f t="shared" si="43"/>
        <v>0</v>
      </c>
      <c r="F744" s="382" t="str">
        <f t="shared" si="44"/>
        <v/>
      </c>
      <c r="G744" s="382">
        <f>'Portefeuille SP2'!C769</f>
        <v>0</v>
      </c>
      <c r="H744" s="382">
        <f>'Portefeuille SP2'!F769</f>
        <v>0</v>
      </c>
      <c r="I744" s="382"/>
      <c r="J744" s="382">
        <f>'Portefeuille SP2'!D769</f>
        <v>0</v>
      </c>
      <c r="K744" s="385">
        <f>'Portefeuille SP2'!H769</f>
        <v>0</v>
      </c>
      <c r="L744" s="157">
        <f>'Portefeuille SP2'!U769</f>
        <v>0</v>
      </c>
      <c r="M744" s="386"/>
      <c r="N744" s="386"/>
      <c r="O744" s="386"/>
      <c r="P744" s="387">
        <f>'Portefeuille SP2'!M769</f>
        <v>0</v>
      </c>
      <c r="Q744" s="387"/>
      <c r="R744" s="387">
        <f>'Portefeuille SP2'!N769</f>
        <v>0</v>
      </c>
      <c r="S744" s="387"/>
      <c r="T744" s="382">
        <f>'Portefeuille SP2'!R769</f>
        <v>0</v>
      </c>
      <c r="U744" s="387">
        <f>'Portefeuille SP2'!K769</f>
        <v>0</v>
      </c>
      <c r="V744" s="399">
        <f>'Portefeuille SP2'!S769</f>
        <v>0</v>
      </c>
      <c r="W744" s="387"/>
      <c r="X744" s="387"/>
      <c r="Y744" s="387"/>
      <c r="Z744" s="387"/>
      <c r="AA744" s="387"/>
      <c r="AB744" s="387"/>
      <c r="AC744" s="387"/>
      <c r="AD744" s="387"/>
      <c r="AE744" s="400">
        <f>'Portefeuille SP2'!J769</f>
        <v>0</v>
      </c>
      <c r="AF744" s="387"/>
      <c r="AG744" s="387"/>
      <c r="AH744" s="389"/>
      <c r="AI744" s="389"/>
      <c r="AJ744" s="403">
        <f>'Portefeuille SP2'!V769</f>
        <v>0</v>
      </c>
      <c r="AK744" s="403">
        <f>'Portefeuille SP2'!W769</f>
        <v>0</v>
      </c>
      <c r="AL744" s="403">
        <f>'Portefeuille SP2'!X769</f>
        <v>0</v>
      </c>
      <c r="AM744" s="403">
        <f>'Portefeuille SP2'!Y769</f>
        <v>0</v>
      </c>
      <c r="AN744" s="403">
        <f>'Portefeuille SP2'!Z769</f>
        <v>0</v>
      </c>
      <c r="AO744" s="403">
        <f>'Portefeuille SP2'!AA769</f>
        <v>0</v>
      </c>
      <c r="AP744" s="403">
        <f>'Portefeuille SP2'!AB769</f>
        <v>0</v>
      </c>
      <c r="AQ744" s="403">
        <f>'Portefeuille SP2'!AC769</f>
        <v>0</v>
      </c>
      <c r="AR744" s="403">
        <f>'Portefeuille SP2'!AD769</f>
        <v>0</v>
      </c>
      <c r="AS744" s="403">
        <f>'Portefeuille SP2'!AE769</f>
        <v>0</v>
      </c>
      <c r="AT744" s="403">
        <f>'Portefeuille SP2'!AF769</f>
        <v>0</v>
      </c>
      <c r="AU744" s="403">
        <f>'Portefeuille SP2'!AG769</f>
        <v>0</v>
      </c>
      <c r="AV744" s="403">
        <f>'Portefeuille SP2'!AH769</f>
        <v>0</v>
      </c>
      <c r="AW744" s="403">
        <f>'Portefeuille SP2'!AI769</f>
        <v>0</v>
      </c>
      <c r="AX744" s="403">
        <f>'Portefeuille SP2'!AJ769</f>
        <v>0</v>
      </c>
      <c r="AY744" s="403">
        <f>'Portefeuille SP2'!AK769</f>
        <v>0</v>
      </c>
      <c r="AZ744" s="403">
        <f>'Portefeuille SP2'!AL769</f>
        <v>0</v>
      </c>
      <c r="BA744" s="403">
        <f>'Portefeuille SP2'!AM769</f>
        <v>0</v>
      </c>
      <c r="BB744" s="403">
        <f>'Portefeuille SP2'!AN769</f>
        <v>0</v>
      </c>
      <c r="BC744" s="403">
        <f>'Portefeuille SP2'!AO769</f>
        <v>0</v>
      </c>
      <c r="BD744" s="403">
        <f>'Portefeuille SP2'!AP769</f>
        <v>0</v>
      </c>
      <c r="BE744" s="403">
        <f>'Portefeuille SP2'!AQ769</f>
        <v>0</v>
      </c>
      <c r="BF744" s="403">
        <f>'Portefeuille SP2'!AR769</f>
        <v>0</v>
      </c>
      <c r="BG744" s="403" t="e">
        <f>'Portefeuille SP2'!#REF!</f>
        <v>#REF!</v>
      </c>
      <c r="BH744" s="403" t="e">
        <f>'Portefeuille SP2'!#REF!</f>
        <v>#REF!</v>
      </c>
      <c r="BI744" s="403" t="e">
        <f>'Portefeuille SP2'!#REF!</f>
        <v>#REF!</v>
      </c>
      <c r="BJ744" s="403" t="e">
        <f>'Portefeuille SP2'!#REF!</f>
        <v>#REF!</v>
      </c>
      <c r="BK744" s="403" t="e">
        <f>'Portefeuille SP2'!#REF!</f>
        <v>#REF!</v>
      </c>
      <c r="BL744" s="388"/>
      <c r="BM744" s="404">
        <f>'Portefeuille SP2'!L769</f>
        <v>0</v>
      </c>
    </row>
    <row r="745" spans="1:65" ht="15" customHeight="1">
      <c r="A745" s="383">
        <f>'Portefeuille SP2'!B770</f>
        <v>0</v>
      </c>
      <c r="B745" s="390">
        <f>'Portefeuille SP2'!Q770</f>
        <v>0</v>
      </c>
      <c r="C745" s="384"/>
      <c r="D745" s="382">
        <f>'Portefeuille SP2'!E770</f>
        <v>0</v>
      </c>
      <c r="E745" s="382" t="str">
        <f t="shared" si="43"/>
        <v>0</v>
      </c>
      <c r="F745" s="382" t="str">
        <f t="shared" si="44"/>
        <v/>
      </c>
      <c r="G745" s="382">
        <f>'Portefeuille SP2'!C770</f>
        <v>0</v>
      </c>
      <c r="H745" s="382">
        <f>'Portefeuille SP2'!F770</f>
        <v>0</v>
      </c>
      <c r="I745" s="382"/>
      <c r="J745" s="382">
        <f>'Portefeuille SP2'!D770</f>
        <v>0</v>
      </c>
      <c r="K745" s="385">
        <f>'Portefeuille SP2'!H770</f>
        <v>0</v>
      </c>
      <c r="L745" s="157">
        <f>'Portefeuille SP2'!U770</f>
        <v>0</v>
      </c>
      <c r="M745" s="386"/>
      <c r="N745" s="386"/>
      <c r="O745" s="386"/>
      <c r="P745" s="387">
        <f>'Portefeuille SP2'!M770</f>
        <v>0</v>
      </c>
      <c r="Q745" s="387"/>
      <c r="R745" s="387">
        <f>'Portefeuille SP2'!N770</f>
        <v>0</v>
      </c>
      <c r="S745" s="387"/>
      <c r="T745" s="382">
        <f>'Portefeuille SP2'!R770</f>
        <v>0</v>
      </c>
      <c r="U745" s="387">
        <f>'Portefeuille SP2'!K770</f>
        <v>0</v>
      </c>
      <c r="V745" s="399">
        <f>'Portefeuille SP2'!S770</f>
        <v>0</v>
      </c>
      <c r="W745" s="387"/>
      <c r="X745" s="387"/>
      <c r="Y745" s="387"/>
      <c r="Z745" s="387"/>
      <c r="AA745" s="387"/>
      <c r="AB745" s="387"/>
      <c r="AC745" s="387"/>
      <c r="AD745" s="387"/>
      <c r="AE745" s="400">
        <f>'Portefeuille SP2'!J770</f>
        <v>0</v>
      </c>
      <c r="AF745" s="387"/>
      <c r="AG745" s="387"/>
      <c r="AH745" s="389"/>
      <c r="AI745" s="389"/>
      <c r="AJ745" s="403">
        <f>'Portefeuille SP2'!V770</f>
        <v>0</v>
      </c>
      <c r="AK745" s="403">
        <f>'Portefeuille SP2'!W770</f>
        <v>0</v>
      </c>
      <c r="AL745" s="403">
        <f>'Portefeuille SP2'!X770</f>
        <v>0</v>
      </c>
      <c r="AM745" s="403">
        <f>'Portefeuille SP2'!Y770</f>
        <v>0</v>
      </c>
      <c r="AN745" s="403">
        <f>'Portefeuille SP2'!Z770</f>
        <v>0</v>
      </c>
      <c r="AO745" s="403">
        <f>'Portefeuille SP2'!AA770</f>
        <v>0</v>
      </c>
      <c r="AP745" s="403">
        <f>'Portefeuille SP2'!AB770</f>
        <v>0</v>
      </c>
      <c r="AQ745" s="403">
        <f>'Portefeuille SP2'!AC770</f>
        <v>0</v>
      </c>
      <c r="AR745" s="403">
        <f>'Portefeuille SP2'!AD770</f>
        <v>0</v>
      </c>
      <c r="AS745" s="403">
        <f>'Portefeuille SP2'!AE770</f>
        <v>0</v>
      </c>
      <c r="AT745" s="403">
        <f>'Portefeuille SP2'!AF770</f>
        <v>0</v>
      </c>
      <c r="AU745" s="403">
        <f>'Portefeuille SP2'!AG770</f>
        <v>0</v>
      </c>
      <c r="AV745" s="403">
        <f>'Portefeuille SP2'!AH770</f>
        <v>0</v>
      </c>
      <c r="AW745" s="403">
        <f>'Portefeuille SP2'!AI770</f>
        <v>0</v>
      </c>
      <c r="AX745" s="403">
        <f>'Portefeuille SP2'!AJ770</f>
        <v>0</v>
      </c>
      <c r="AY745" s="403">
        <f>'Portefeuille SP2'!AK770</f>
        <v>0</v>
      </c>
      <c r="AZ745" s="403">
        <f>'Portefeuille SP2'!AL770</f>
        <v>0</v>
      </c>
      <c r="BA745" s="403">
        <f>'Portefeuille SP2'!AM770</f>
        <v>0</v>
      </c>
      <c r="BB745" s="403">
        <f>'Portefeuille SP2'!AN770</f>
        <v>0</v>
      </c>
      <c r="BC745" s="403">
        <f>'Portefeuille SP2'!AO770</f>
        <v>0</v>
      </c>
      <c r="BD745" s="403">
        <f>'Portefeuille SP2'!AP770</f>
        <v>0</v>
      </c>
      <c r="BE745" s="403">
        <f>'Portefeuille SP2'!AQ770</f>
        <v>0</v>
      </c>
      <c r="BF745" s="403">
        <f>'Portefeuille SP2'!AR770</f>
        <v>0</v>
      </c>
      <c r="BG745" s="403" t="e">
        <f>'Portefeuille SP2'!#REF!</f>
        <v>#REF!</v>
      </c>
      <c r="BH745" s="403" t="e">
        <f>'Portefeuille SP2'!#REF!</f>
        <v>#REF!</v>
      </c>
      <c r="BI745" s="403" t="e">
        <f>'Portefeuille SP2'!#REF!</f>
        <v>#REF!</v>
      </c>
      <c r="BJ745" s="403" t="e">
        <f>'Portefeuille SP2'!#REF!</f>
        <v>#REF!</v>
      </c>
      <c r="BK745" s="403" t="e">
        <f>'Portefeuille SP2'!#REF!</f>
        <v>#REF!</v>
      </c>
      <c r="BL745" s="388"/>
      <c r="BM745" s="404">
        <f>'Portefeuille SP2'!L770</f>
        <v>0</v>
      </c>
    </row>
    <row r="746" spans="1:65" ht="15" customHeight="1">
      <c r="A746" s="383">
        <f>'Portefeuille SP2'!B771</f>
        <v>0</v>
      </c>
      <c r="B746" s="390">
        <f>'Portefeuille SP2'!Q771</f>
        <v>0</v>
      </c>
      <c r="C746" s="384"/>
      <c r="D746" s="382">
        <f>'Portefeuille SP2'!E771</f>
        <v>0</v>
      </c>
      <c r="E746" s="382" t="str">
        <f t="shared" si="43"/>
        <v>0</v>
      </c>
      <c r="F746" s="382" t="str">
        <f t="shared" si="44"/>
        <v/>
      </c>
      <c r="G746" s="382">
        <f>'Portefeuille SP2'!C771</f>
        <v>0</v>
      </c>
      <c r="H746" s="382">
        <f>'Portefeuille SP2'!F771</f>
        <v>0</v>
      </c>
      <c r="I746" s="382"/>
      <c r="J746" s="382">
        <f>'Portefeuille SP2'!D771</f>
        <v>0</v>
      </c>
      <c r="K746" s="385">
        <f>'Portefeuille SP2'!H771</f>
        <v>0</v>
      </c>
      <c r="L746" s="157">
        <f>'Portefeuille SP2'!U771</f>
        <v>0</v>
      </c>
      <c r="M746" s="386"/>
      <c r="N746" s="386"/>
      <c r="O746" s="386"/>
      <c r="P746" s="387">
        <f>'Portefeuille SP2'!M771</f>
        <v>0</v>
      </c>
      <c r="Q746" s="387"/>
      <c r="R746" s="387">
        <f>'Portefeuille SP2'!N771</f>
        <v>0</v>
      </c>
      <c r="S746" s="387"/>
      <c r="T746" s="382">
        <f>'Portefeuille SP2'!R771</f>
        <v>0</v>
      </c>
      <c r="U746" s="387">
        <f>'Portefeuille SP2'!K771</f>
        <v>0</v>
      </c>
      <c r="V746" s="399">
        <f>'Portefeuille SP2'!S771</f>
        <v>0</v>
      </c>
      <c r="W746" s="387"/>
      <c r="X746" s="387"/>
      <c r="Y746" s="387"/>
      <c r="Z746" s="387"/>
      <c r="AA746" s="387"/>
      <c r="AB746" s="387"/>
      <c r="AC746" s="387"/>
      <c r="AD746" s="387"/>
      <c r="AE746" s="400">
        <f>'Portefeuille SP2'!J771</f>
        <v>0</v>
      </c>
      <c r="AF746" s="387"/>
      <c r="AG746" s="387"/>
      <c r="AH746" s="389"/>
      <c r="AI746" s="389"/>
      <c r="AJ746" s="403">
        <f>'Portefeuille SP2'!V771</f>
        <v>0</v>
      </c>
      <c r="AK746" s="403">
        <f>'Portefeuille SP2'!W771</f>
        <v>0</v>
      </c>
      <c r="AL746" s="403">
        <f>'Portefeuille SP2'!X771</f>
        <v>0</v>
      </c>
      <c r="AM746" s="403">
        <f>'Portefeuille SP2'!Y771</f>
        <v>0</v>
      </c>
      <c r="AN746" s="403">
        <f>'Portefeuille SP2'!Z771</f>
        <v>0</v>
      </c>
      <c r="AO746" s="403">
        <f>'Portefeuille SP2'!AA771</f>
        <v>0</v>
      </c>
      <c r="AP746" s="403">
        <f>'Portefeuille SP2'!AB771</f>
        <v>0</v>
      </c>
      <c r="AQ746" s="403">
        <f>'Portefeuille SP2'!AC771</f>
        <v>0</v>
      </c>
      <c r="AR746" s="403">
        <f>'Portefeuille SP2'!AD771</f>
        <v>0</v>
      </c>
      <c r="AS746" s="403">
        <f>'Portefeuille SP2'!AE771</f>
        <v>0</v>
      </c>
      <c r="AT746" s="403">
        <f>'Portefeuille SP2'!AF771</f>
        <v>0</v>
      </c>
      <c r="AU746" s="403">
        <f>'Portefeuille SP2'!AG771</f>
        <v>0</v>
      </c>
      <c r="AV746" s="403">
        <f>'Portefeuille SP2'!AH771</f>
        <v>0</v>
      </c>
      <c r="AW746" s="403">
        <f>'Portefeuille SP2'!AI771</f>
        <v>0</v>
      </c>
      <c r="AX746" s="403">
        <f>'Portefeuille SP2'!AJ771</f>
        <v>0</v>
      </c>
      <c r="AY746" s="403">
        <f>'Portefeuille SP2'!AK771</f>
        <v>0</v>
      </c>
      <c r="AZ746" s="403">
        <f>'Portefeuille SP2'!AL771</f>
        <v>0</v>
      </c>
      <c r="BA746" s="403">
        <f>'Portefeuille SP2'!AM771</f>
        <v>0</v>
      </c>
      <c r="BB746" s="403">
        <f>'Portefeuille SP2'!AN771</f>
        <v>0</v>
      </c>
      <c r="BC746" s="403">
        <f>'Portefeuille SP2'!AO771</f>
        <v>0</v>
      </c>
      <c r="BD746" s="403">
        <f>'Portefeuille SP2'!AP771</f>
        <v>0</v>
      </c>
      <c r="BE746" s="403">
        <f>'Portefeuille SP2'!AQ771</f>
        <v>0</v>
      </c>
      <c r="BF746" s="403">
        <f>'Portefeuille SP2'!AR771</f>
        <v>0</v>
      </c>
      <c r="BG746" s="403" t="e">
        <f>'Portefeuille SP2'!#REF!</f>
        <v>#REF!</v>
      </c>
      <c r="BH746" s="403" t="e">
        <f>'Portefeuille SP2'!#REF!</f>
        <v>#REF!</v>
      </c>
      <c r="BI746" s="403" t="e">
        <f>'Portefeuille SP2'!#REF!</f>
        <v>#REF!</v>
      </c>
      <c r="BJ746" s="403" t="e">
        <f>'Portefeuille SP2'!#REF!</f>
        <v>#REF!</v>
      </c>
      <c r="BK746" s="403" t="e">
        <f>'Portefeuille SP2'!#REF!</f>
        <v>#REF!</v>
      </c>
      <c r="BL746" s="388"/>
      <c r="BM746" s="404">
        <f>'Portefeuille SP2'!L771</f>
        <v>0</v>
      </c>
    </row>
    <row r="747" spans="1:65" ht="15" customHeight="1">
      <c r="A747" s="383">
        <f>'Portefeuille SP2'!B772</f>
        <v>0</v>
      </c>
      <c r="B747" s="390">
        <f>'Portefeuille SP2'!Q772</f>
        <v>0</v>
      </c>
      <c r="C747" s="384"/>
      <c r="D747" s="382">
        <f>'Portefeuille SP2'!E772</f>
        <v>0</v>
      </c>
      <c r="E747" s="382" t="str">
        <f t="shared" si="43"/>
        <v>0</v>
      </c>
      <c r="F747" s="382" t="str">
        <f t="shared" si="44"/>
        <v/>
      </c>
      <c r="G747" s="382">
        <f>'Portefeuille SP2'!C772</f>
        <v>0</v>
      </c>
      <c r="H747" s="382">
        <f>'Portefeuille SP2'!F772</f>
        <v>0</v>
      </c>
      <c r="I747" s="382"/>
      <c r="J747" s="382">
        <f>'Portefeuille SP2'!D772</f>
        <v>0</v>
      </c>
      <c r="K747" s="385">
        <f>'Portefeuille SP2'!H772</f>
        <v>0</v>
      </c>
      <c r="L747" s="157">
        <f>'Portefeuille SP2'!U772</f>
        <v>0</v>
      </c>
      <c r="M747" s="386"/>
      <c r="N747" s="386"/>
      <c r="O747" s="386"/>
      <c r="P747" s="387">
        <f>'Portefeuille SP2'!M772</f>
        <v>0</v>
      </c>
      <c r="Q747" s="387"/>
      <c r="R747" s="387">
        <f>'Portefeuille SP2'!N772</f>
        <v>0</v>
      </c>
      <c r="S747" s="387"/>
      <c r="T747" s="382">
        <f>'Portefeuille SP2'!R772</f>
        <v>0</v>
      </c>
      <c r="U747" s="387">
        <f>'Portefeuille SP2'!K772</f>
        <v>0</v>
      </c>
      <c r="V747" s="399">
        <f>'Portefeuille SP2'!S772</f>
        <v>0</v>
      </c>
      <c r="W747" s="387"/>
      <c r="X747" s="387"/>
      <c r="Y747" s="387"/>
      <c r="Z747" s="387"/>
      <c r="AA747" s="387"/>
      <c r="AB747" s="387"/>
      <c r="AC747" s="387"/>
      <c r="AD747" s="387"/>
      <c r="AE747" s="400">
        <f>'Portefeuille SP2'!J772</f>
        <v>0</v>
      </c>
      <c r="AF747" s="387"/>
      <c r="AG747" s="387"/>
      <c r="AH747" s="389"/>
      <c r="AI747" s="389"/>
      <c r="AJ747" s="403">
        <f>'Portefeuille SP2'!V772</f>
        <v>0</v>
      </c>
      <c r="AK747" s="403">
        <f>'Portefeuille SP2'!W772</f>
        <v>0</v>
      </c>
      <c r="AL747" s="403">
        <f>'Portefeuille SP2'!X772</f>
        <v>0</v>
      </c>
      <c r="AM747" s="403">
        <f>'Portefeuille SP2'!Y772</f>
        <v>0</v>
      </c>
      <c r="AN747" s="403">
        <f>'Portefeuille SP2'!Z772</f>
        <v>0</v>
      </c>
      <c r="AO747" s="403">
        <f>'Portefeuille SP2'!AA772</f>
        <v>0</v>
      </c>
      <c r="AP747" s="403">
        <f>'Portefeuille SP2'!AB772</f>
        <v>0</v>
      </c>
      <c r="AQ747" s="403">
        <f>'Portefeuille SP2'!AC772</f>
        <v>0</v>
      </c>
      <c r="AR747" s="403">
        <f>'Portefeuille SP2'!AD772</f>
        <v>0</v>
      </c>
      <c r="AS747" s="403">
        <f>'Portefeuille SP2'!AE772</f>
        <v>0</v>
      </c>
      <c r="AT747" s="403">
        <f>'Portefeuille SP2'!AF772</f>
        <v>0</v>
      </c>
      <c r="AU747" s="403">
        <f>'Portefeuille SP2'!AG772</f>
        <v>0</v>
      </c>
      <c r="AV747" s="403">
        <f>'Portefeuille SP2'!AH772</f>
        <v>0</v>
      </c>
      <c r="AW747" s="403">
        <f>'Portefeuille SP2'!AI772</f>
        <v>0</v>
      </c>
      <c r="AX747" s="403">
        <f>'Portefeuille SP2'!AJ772</f>
        <v>0</v>
      </c>
      <c r="AY747" s="403">
        <f>'Portefeuille SP2'!AK772</f>
        <v>0</v>
      </c>
      <c r="AZ747" s="403">
        <f>'Portefeuille SP2'!AL772</f>
        <v>0</v>
      </c>
      <c r="BA747" s="403">
        <f>'Portefeuille SP2'!AM772</f>
        <v>0</v>
      </c>
      <c r="BB747" s="403">
        <f>'Portefeuille SP2'!AN772</f>
        <v>0</v>
      </c>
      <c r="BC747" s="403">
        <f>'Portefeuille SP2'!AO772</f>
        <v>0</v>
      </c>
      <c r="BD747" s="403">
        <f>'Portefeuille SP2'!AP772</f>
        <v>0</v>
      </c>
      <c r="BE747" s="403">
        <f>'Portefeuille SP2'!AQ772</f>
        <v>0</v>
      </c>
      <c r="BF747" s="403">
        <f>'Portefeuille SP2'!AR772</f>
        <v>0</v>
      </c>
      <c r="BG747" s="403" t="e">
        <f>'Portefeuille SP2'!#REF!</f>
        <v>#REF!</v>
      </c>
      <c r="BH747" s="403" t="e">
        <f>'Portefeuille SP2'!#REF!</f>
        <v>#REF!</v>
      </c>
      <c r="BI747" s="403" t="e">
        <f>'Portefeuille SP2'!#REF!</f>
        <v>#REF!</v>
      </c>
      <c r="BJ747" s="403" t="e">
        <f>'Portefeuille SP2'!#REF!</f>
        <v>#REF!</v>
      </c>
      <c r="BK747" s="403" t="e">
        <f>'Portefeuille SP2'!#REF!</f>
        <v>#REF!</v>
      </c>
      <c r="BL747" s="388"/>
      <c r="BM747" s="404">
        <f>'Portefeuille SP2'!L772</f>
        <v>0</v>
      </c>
    </row>
    <row r="748" spans="1:65" ht="15" customHeight="1">
      <c r="A748" s="383">
        <f>'Portefeuille SP2'!B773</f>
        <v>0</v>
      </c>
      <c r="B748" s="390">
        <f>'Portefeuille SP2'!Q773</f>
        <v>0</v>
      </c>
      <c r="C748" s="384"/>
      <c r="D748" s="382">
        <f>'Portefeuille SP2'!E773</f>
        <v>0</v>
      </c>
      <c r="E748" s="382" t="str">
        <f t="shared" si="43"/>
        <v>0</v>
      </c>
      <c r="F748" s="382" t="str">
        <f t="shared" si="44"/>
        <v/>
      </c>
      <c r="G748" s="382">
        <f>'Portefeuille SP2'!C773</f>
        <v>0</v>
      </c>
      <c r="H748" s="382">
        <f>'Portefeuille SP2'!F773</f>
        <v>0</v>
      </c>
      <c r="I748" s="382"/>
      <c r="J748" s="382">
        <f>'Portefeuille SP2'!D773</f>
        <v>0</v>
      </c>
      <c r="K748" s="385">
        <f>'Portefeuille SP2'!H773</f>
        <v>0</v>
      </c>
      <c r="L748" s="157">
        <f>'Portefeuille SP2'!U773</f>
        <v>0</v>
      </c>
      <c r="M748" s="386"/>
      <c r="N748" s="386"/>
      <c r="O748" s="386"/>
      <c r="P748" s="387">
        <f>'Portefeuille SP2'!M773</f>
        <v>0</v>
      </c>
      <c r="Q748" s="387"/>
      <c r="R748" s="387">
        <f>'Portefeuille SP2'!N773</f>
        <v>0</v>
      </c>
      <c r="S748" s="387"/>
      <c r="T748" s="382">
        <f>'Portefeuille SP2'!R773</f>
        <v>0</v>
      </c>
      <c r="U748" s="387">
        <f>'Portefeuille SP2'!K773</f>
        <v>0</v>
      </c>
      <c r="V748" s="399">
        <f>'Portefeuille SP2'!S773</f>
        <v>0</v>
      </c>
      <c r="W748" s="387"/>
      <c r="X748" s="387"/>
      <c r="Y748" s="387"/>
      <c r="Z748" s="387"/>
      <c r="AA748" s="387"/>
      <c r="AB748" s="387"/>
      <c r="AC748" s="387"/>
      <c r="AD748" s="387"/>
      <c r="AE748" s="400">
        <f>'Portefeuille SP2'!J773</f>
        <v>0</v>
      </c>
      <c r="AF748" s="387"/>
      <c r="AG748" s="387"/>
      <c r="AH748" s="389"/>
      <c r="AI748" s="389"/>
      <c r="AJ748" s="403">
        <f>'Portefeuille SP2'!V773</f>
        <v>0</v>
      </c>
      <c r="AK748" s="403">
        <f>'Portefeuille SP2'!W773</f>
        <v>0</v>
      </c>
      <c r="AL748" s="403">
        <f>'Portefeuille SP2'!X773</f>
        <v>0</v>
      </c>
      <c r="AM748" s="403">
        <f>'Portefeuille SP2'!Y773</f>
        <v>0</v>
      </c>
      <c r="AN748" s="403">
        <f>'Portefeuille SP2'!Z773</f>
        <v>0</v>
      </c>
      <c r="AO748" s="403">
        <f>'Portefeuille SP2'!AA773</f>
        <v>0</v>
      </c>
      <c r="AP748" s="403">
        <f>'Portefeuille SP2'!AB773</f>
        <v>0</v>
      </c>
      <c r="AQ748" s="403">
        <f>'Portefeuille SP2'!AC773</f>
        <v>0</v>
      </c>
      <c r="AR748" s="403">
        <f>'Portefeuille SP2'!AD773</f>
        <v>0</v>
      </c>
      <c r="AS748" s="403">
        <f>'Portefeuille SP2'!AE773</f>
        <v>0</v>
      </c>
      <c r="AT748" s="403">
        <f>'Portefeuille SP2'!AF773</f>
        <v>0</v>
      </c>
      <c r="AU748" s="403">
        <f>'Portefeuille SP2'!AG773</f>
        <v>0</v>
      </c>
      <c r="AV748" s="403">
        <f>'Portefeuille SP2'!AH773</f>
        <v>0</v>
      </c>
      <c r="AW748" s="403">
        <f>'Portefeuille SP2'!AI773</f>
        <v>0</v>
      </c>
      <c r="AX748" s="403">
        <f>'Portefeuille SP2'!AJ773</f>
        <v>0</v>
      </c>
      <c r="AY748" s="403">
        <f>'Portefeuille SP2'!AK773</f>
        <v>0</v>
      </c>
      <c r="AZ748" s="403">
        <f>'Portefeuille SP2'!AL773</f>
        <v>0</v>
      </c>
      <c r="BA748" s="403">
        <f>'Portefeuille SP2'!AM773</f>
        <v>0</v>
      </c>
      <c r="BB748" s="403">
        <f>'Portefeuille SP2'!AN773</f>
        <v>0</v>
      </c>
      <c r="BC748" s="403">
        <f>'Portefeuille SP2'!AO773</f>
        <v>0</v>
      </c>
      <c r="BD748" s="403">
        <f>'Portefeuille SP2'!AP773</f>
        <v>0</v>
      </c>
      <c r="BE748" s="403">
        <f>'Portefeuille SP2'!AQ773</f>
        <v>0</v>
      </c>
      <c r="BF748" s="403">
        <f>'Portefeuille SP2'!AR773</f>
        <v>0</v>
      </c>
      <c r="BG748" s="403" t="e">
        <f>'Portefeuille SP2'!#REF!</f>
        <v>#REF!</v>
      </c>
      <c r="BH748" s="403" t="e">
        <f>'Portefeuille SP2'!#REF!</f>
        <v>#REF!</v>
      </c>
      <c r="BI748" s="403" t="e">
        <f>'Portefeuille SP2'!#REF!</f>
        <v>#REF!</v>
      </c>
      <c r="BJ748" s="403" t="e">
        <f>'Portefeuille SP2'!#REF!</f>
        <v>#REF!</v>
      </c>
      <c r="BK748" s="403" t="e">
        <f>'Portefeuille SP2'!#REF!</f>
        <v>#REF!</v>
      </c>
      <c r="BL748" s="388"/>
      <c r="BM748" s="404">
        <f>'Portefeuille SP2'!L773</f>
        <v>0</v>
      </c>
    </row>
    <row r="749" spans="1:65" ht="15" customHeight="1">
      <c r="A749" s="383">
        <f>'Portefeuille SP2'!B774</f>
        <v>0</v>
      </c>
      <c r="B749" s="390">
        <f>'Portefeuille SP2'!Q774</f>
        <v>0</v>
      </c>
      <c r="C749" s="384"/>
      <c r="D749" s="382">
        <f>'Portefeuille SP2'!E774</f>
        <v>0</v>
      </c>
      <c r="E749" s="382" t="str">
        <f t="shared" si="43"/>
        <v>0</v>
      </c>
      <c r="F749" s="382" t="str">
        <f t="shared" si="44"/>
        <v/>
      </c>
      <c r="G749" s="382">
        <f>'Portefeuille SP2'!C774</f>
        <v>0</v>
      </c>
      <c r="H749" s="382">
        <f>'Portefeuille SP2'!F774</f>
        <v>0</v>
      </c>
      <c r="I749" s="382"/>
      <c r="J749" s="382">
        <f>'Portefeuille SP2'!D774</f>
        <v>0</v>
      </c>
      <c r="K749" s="385">
        <f>'Portefeuille SP2'!H774</f>
        <v>0</v>
      </c>
      <c r="L749" s="157">
        <f>'Portefeuille SP2'!U774</f>
        <v>0</v>
      </c>
      <c r="M749" s="386"/>
      <c r="N749" s="386"/>
      <c r="O749" s="386"/>
      <c r="P749" s="387">
        <f>'Portefeuille SP2'!M774</f>
        <v>0</v>
      </c>
      <c r="Q749" s="387"/>
      <c r="R749" s="387">
        <f>'Portefeuille SP2'!N774</f>
        <v>0</v>
      </c>
      <c r="S749" s="387"/>
      <c r="T749" s="382">
        <f>'Portefeuille SP2'!R774</f>
        <v>0</v>
      </c>
      <c r="U749" s="387">
        <f>'Portefeuille SP2'!K774</f>
        <v>0</v>
      </c>
      <c r="V749" s="399">
        <f>'Portefeuille SP2'!S774</f>
        <v>0</v>
      </c>
      <c r="W749" s="387"/>
      <c r="X749" s="387"/>
      <c r="Y749" s="387"/>
      <c r="Z749" s="387"/>
      <c r="AA749" s="387"/>
      <c r="AB749" s="387"/>
      <c r="AC749" s="387"/>
      <c r="AD749" s="387"/>
      <c r="AE749" s="400">
        <f>'Portefeuille SP2'!J774</f>
        <v>0</v>
      </c>
      <c r="AF749" s="387"/>
      <c r="AG749" s="387"/>
      <c r="AH749" s="389"/>
      <c r="AI749" s="389"/>
      <c r="AJ749" s="403">
        <f>'Portefeuille SP2'!V774</f>
        <v>0</v>
      </c>
      <c r="AK749" s="403">
        <f>'Portefeuille SP2'!W774</f>
        <v>0</v>
      </c>
      <c r="AL749" s="403">
        <f>'Portefeuille SP2'!X774</f>
        <v>0</v>
      </c>
      <c r="AM749" s="403">
        <f>'Portefeuille SP2'!Y774</f>
        <v>0</v>
      </c>
      <c r="AN749" s="403">
        <f>'Portefeuille SP2'!Z774</f>
        <v>0</v>
      </c>
      <c r="AO749" s="403">
        <f>'Portefeuille SP2'!AA774</f>
        <v>0</v>
      </c>
      <c r="AP749" s="403">
        <f>'Portefeuille SP2'!AB774</f>
        <v>0</v>
      </c>
      <c r="AQ749" s="403">
        <f>'Portefeuille SP2'!AC774</f>
        <v>0</v>
      </c>
      <c r="AR749" s="403">
        <f>'Portefeuille SP2'!AD774</f>
        <v>0</v>
      </c>
      <c r="AS749" s="403">
        <f>'Portefeuille SP2'!AE774</f>
        <v>0</v>
      </c>
      <c r="AT749" s="403">
        <f>'Portefeuille SP2'!AF774</f>
        <v>0</v>
      </c>
      <c r="AU749" s="403">
        <f>'Portefeuille SP2'!AG774</f>
        <v>0</v>
      </c>
      <c r="AV749" s="403">
        <f>'Portefeuille SP2'!AH774</f>
        <v>0</v>
      </c>
      <c r="AW749" s="403">
        <f>'Portefeuille SP2'!AI774</f>
        <v>0</v>
      </c>
      <c r="AX749" s="403">
        <f>'Portefeuille SP2'!AJ774</f>
        <v>0</v>
      </c>
      <c r="AY749" s="403">
        <f>'Portefeuille SP2'!AK774</f>
        <v>0</v>
      </c>
      <c r="AZ749" s="403">
        <f>'Portefeuille SP2'!AL774</f>
        <v>0</v>
      </c>
      <c r="BA749" s="403">
        <f>'Portefeuille SP2'!AM774</f>
        <v>0</v>
      </c>
      <c r="BB749" s="403">
        <f>'Portefeuille SP2'!AN774</f>
        <v>0</v>
      </c>
      <c r="BC749" s="403">
        <f>'Portefeuille SP2'!AO774</f>
        <v>0</v>
      </c>
      <c r="BD749" s="403">
        <f>'Portefeuille SP2'!AP774</f>
        <v>0</v>
      </c>
      <c r="BE749" s="403">
        <f>'Portefeuille SP2'!AQ774</f>
        <v>0</v>
      </c>
      <c r="BF749" s="403">
        <f>'Portefeuille SP2'!AR774</f>
        <v>0</v>
      </c>
      <c r="BG749" s="403" t="e">
        <f>'Portefeuille SP2'!#REF!</f>
        <v>#REF!</v>
      </c>
      <c r="BH749" s="403" t="e">
        <f>'Portefeuille SP2'!#REF!</f>
        <v>#REF!</v>
      </c>
      <c r="BI749" s="403" t="e">
        <f>'Portefeuille SP2'!#REF!</f>
        <v>#REF!</v>
      </c>
      <c r="BJ749" s="403" t="e">
        <f>'Portefeuille SP2'!#REF!</f>
        <v>#REF!</v>
      </c>
      <c r="BK749" s="403" t="e">
        <f>'Portefeuille SP2'!#REF!</f>
        <v>#REF!</v>
      </c>
      <c r="BL749" s="388"/>
      <c r="BM749" s="404">
        <f>'Portefeuille SP2'!L774</f>
        <v>0</v>
      </c>
    </row>
    <row r="750" spans="1:65" ht="15" customHeight="1">
      <c r="A750" s="383">
        <f>'Portefeuille SP2'!B775</f>
        <v>0</v>
      </c>
      <c r="B750" s="390">
        <f>'Portefeuille SP2'!Q775</f>
        <v>0</v>
      </c>
      <c r="C750" s="384"/>
      <c r="D750" s="382">
        <f>'Portefeuille SP2'!E775</f>
        <v>0</v>
      </c>
      <c r="E750" s="382" t="str">
        <f t="shared" si="43"/>
        <v>0</v>
      </c>
      <c r="F750" s="382" t="str">
        <f t="shared" si="44"/>
        <v/>
      </c>
      <c r="G750" s="382">
        <f>'Portefeuille SP2'!C775</f>
        <v>0</v>
      </c>
      <c r="H750" s="382">
        <f>'Portefeuille SP2'!F775</f>
        <v>0</v>
      </c>
      <c r="I750" s="382"/>
      <c r="J750" s="382">
        <f>'Portefeuille SP2'!D775</f>
        <v>0</v>
      </c>
      <c r="K750" s="385">
        <f>'Portefeuille SP2'!H775</f>
        <v>0</v>
      </c>
      <c r="L750" s="157">
        <f>'Portefeuille SP2'!U775</f>
        <v>0</v>
      </c>
      <c r="M750" s="386"/>
      <c r="N750" s="386"/>
      <c r="O750" s="386"/>
      <c r="P750" s="387">
        <f>'Portefeuille SP2'!M775</f>
        <v>0</v>
      </c>
      <c r="Q750" s="387"/>
      <c r="R750" s="387">
        <f>'Portefeuille SP2'!N775</f>
        <v>0</v>
      </c>
      <c r="S750" s="387"/>
      <c r="T750" s="382">
        <f>'Portefeuille SP2'!R775</f>
        <v>0</v>
      </c>
      <c r="U750" s="387">
        <f>'Portefeuille SP2'!K775</f>
        <v>0</v>
      </c>
      <c r="V750" s="399">
        <f>'Portefeuille SP2'!S775</f>
        <v>0</v>
      </c>
      <c r="W750" s="387"/>
      <c r="X750" s="387"/>
      <c r="Y750" s="387"/>
      <c r="Z750" s="387"/>
      <c r="AA750" s="387"/>
      <c r="AB750" s="387"/>
      <c r="AC750" s="387"/>
      <c r="AD750" s="387"/>
      <c r="AE750" s="400">
        <f>'Portefeuille SP2'!J775</f>
        <v>0</v>
      </c>
      <c r="AF750" s="387"/>
      <c r="AG750" s="387"/>
      <c r="AH750" s="389"/>
      <c r="AI750" s="389"/>
      <c r="AJ750" s="403">
        <f>'Portefeuille SP2'!V775</f>
        <v>0</v>
      </c>
      <c r="AK750" s="403">
        <f>'Portefeuille SP2'!W775</f>
        <v>0</v>
      </c>
      <c r="AL750" s="403">
        <f>'Portefeuille SP2'!X775</f>
        <v>0</v>
      </c>
      <c r="AM750" s="403">
        <f>'Portefeuille SP2'!Y775</f>
        <v>0</v>
      </c>
      <c r="AN750" s="403">
        <f>'Portefeuille SP2'!Z775</f>
        <v>0</v>
      </c>
      <c r="AO750" s="403">
        <f>'Portefeuille SP2'!AA775</f>
        <v>0</v>
      </c>
      <c r="AP750" s="403">
        <f>'Portefeuille SP2'!AB775</f>
        <v>0</v>
      </c>
      <c r="AQ750" s="403">
        <f>'Portefeuille SP2'!AC775</f>
        <v>0</v>
      </c>
      <c r="AR750" s="403">
        <f>'Portefeuille SP2'!AD775</f>
        <v>0</v>
      </c>
      <c r="AS750" s="403">
        <f>'Portefeuille SP2'!AE775</f>
        <v>0</v>
      </c>
      <c r="AT750" s="403">
        <f>'Portefeuille SP2'!AF775</f>
        <v>0</v>
      </c>
      <c r="AU750" s="403">
        <f>'Portefeuille SP2'!AG775</f>
        <v>0</v>
      </c>
      <c r="AV750" s="403">
        <f>'Portefeuille SP2'!AH775</f>
        <v>0</v>
      </c>
      <c r="AW750" s="403">
        <f>'Portefeuille SP2'!AI775</f>
        <v>0</v>
      </c>
      <c r="AX750" s="403">
        <f>'Portefeuille SP2'!AJ775</f>
        <v>0</v>
      </c>
      <c r="AY750" s="403">
        <f>'Portefeuille SP2'!AK775</f>
        <v>0</v>
      </c>
      <c r="AZ750" s="403">
        <f>'Portefeuille SP2'!AL775</f>
        <v>0</v>
      </c>
      <c r="BA750" s="403">
        <f>'Portefeuille SP2'!AM775</f>
        <v>0</v>
      </c>
      <c r="BB750" s="403">
        <f>'Portefeuille SP2'!AN775</f>
        <v>0</v>
      </c>
      <c r="BC750" s="403">
        <f>'Portefeuille SP2'!AO775</f>
        <v>0</v>
      </c>
      <c r="BD750" s="403">
        <f>'Portefeuille SP2'!AP775</f>
        <v>0</v>
      </c>
      <c r="BE750" s="403">
        <f>'Portefeuille SP2'!AQ775</f>
        <v>0</v>
      </c>
      <c r="BF750" s="403">
        <f>'Portefeuille SP2'!AR775</f>
        <v>0</v>
      </c>
      <c r="BG750" s="403" t="e">
        <f>'Portefeuille SP2'!#REF!</f>
        <v>#REF!</v>
      </c>
      <c r="BH750" s="403" t="e">
        <f>'Portefeuille SP2'!#REF!</f>
        <v>#REF!</v>
      </c>
      <c r="BI750" s="403" t="e">
        <f>'Portefeuille SP2'!#REF!</f>
        <v>#REF!</v>
      </c>
      <c r="BJ750" s="403" t="e">
        <f>'Portefeuille SP2'!#REF!</f>
        <v>#REF!</v>
      </c>
      <c r="BK750" s="403" t="e">
        <f>'Portefeuille SP2'!#REF!</f>
        <v>#REF!</v>
      </c>
      <c r="BL750" s="388"/>
      <c r="BM750" s="404">
        <f>'Portefeuille SP2'!L775</f>
        <v>0</v>
      </c>
    </row>
    <row r="751" spans="1:65" ht="15" customHeight="1">
      <c r="A751" s="383">
        <f>'Portefeuille SP2'!B776</f>
        <v>0</v>
      </c>
      <c r="B751" s="390">
        <f>'Portefeuille SP2'!Q776</f>
        <v>0</v>
      </c>
      <c r="C751" s="384"/>
      <c r="D751" s="382">
        <f>'Portefeuille SP2'!E776</f>
        <v>0</v>
      </c>
      <c r="E751" s="382" t="str">
        <f t="shared" si="43"/>
        <v>0</v>
      </c>
      <c r="F751" s="382" t="str">
        <f t="shared" si="44"/>
        <v/>
      </c>
      <c r="G751" s="382">
        <f>'Portefeuille SP2'!C776</f>
        <v>0</v>
      </c>
      <c r="H751" s="382">
        <f>'Portefeuille SP2'!F776</f>
        <v>0</v>
      </c>
      <c r="I751" s="382"/>
      <c r="J751" s="382">
        <f>'Portefeuille SP2'!D776</f>
        <v>0</v>
      </c>
      <c r="K751" s="385">
        <f>'Portefeuille SP2'!H776</f>
        <v>0</v>
      </c>
      <c r="L751" s="157">
        <f>'Portefeuille SP2'!U776</f>
        <v>0</v>
      </c>
      <c r="M751" s="386"/>
      <c r="N751" s="386"/>
      <c r="O751" s="386"/>
      <c r="P751" s="387">
        <f>'Portefeuille SP2'!M776</f>
        <v>0</v>
      </c>
      <c r="Q751" s="387"/>
      <c r="R751" s="387">
        <f>'Portefeuille SP2'!N776</f>
        <v>0</v>
      </c>
      <c r="S751" s="387"/>
      <c r="T751" s="382">
        <f>'Portefeuille SP2'!R776</f>
        <v>0</v>
      </c>
      <c r="U751" s="387">
        <f>'Portefeuille SP2'!K776</f>
        <v>0</v>
      </c>
      <c r="V751" s="399">
        <f>'Portefeuille SP2'!S776</f>
        <v>0</v>
      </c>
      <c r="W751" s="387"/>
      <c r="X751" s="387"/>
      <c r="Y751" s="387"/>
      <c r="Z751" s="387"/>
      <c r="AA751" s="387"/>
      <c r="AB751" s="387"/>
      <c r="AC751" s="387"/>
      <c r="AD751" s="387"/>
      <c r="AE751" s="400">
        <f>'Portefeuille SP2'!J776</f>
        <v>0</v>
      </c>
      <c r="AF751" s="387"/>
      <c r="AG751" s="387"/>
      <c r="AH751" s="389"/>
      <c r="AI751" s="389"/>
      <c r="AJ751" s="403">
        <f>'Portefeuille SP2'!V776</f>
        <v>0</v>
      </c>
      <c r="AK751" s="403">
        <f>'Portefeuille SP2'!W776</f>
        <v>0</v>
      </c>
      <c r="AL751" s="403">
        <f>'Portefeuille SP2'!X776</f>
        <v>0</v>
      </c>
      <c r="AM751" s="403">
        <f>'Portefeuille SP2'!Y776</f>
        <v>0</v>
      </c>
      <c r="AN751" s="403">
        <f>'Portefeuille SP2'!Z776</f>
        <v>0</v>
      </c>
      <c r="AO751" s="403">
        <f>'Portefeuille SP2'!AA776</f>
        <v>0</v>
      </c>
      <c r="AP751" s="403">
        <f>'Portefeuille SP2'!AB776</f>
        <v>0</v>
      </c>
      <c r="AQ751" s="403">
        <f>'Portefeuille SP2'!AC776</f>
        <v>0</v>
      </c>
      <c r="AR751" s="403">
        <f>'Portefeuille SP2'!AD776</f>
        <v>0</v>
      </c>
      <c r="AS751" s="403">
        <f>'Portefeuille SP2'!AE776</f>
        <v>0</v>
      </c>
      <c r="AT751" s="403">
        <f>'Portefeuille SP2'!AF776</f>
        <v>0</v>
      </c>
      <c r="AU751" s="403">
        <f>'Portefeuille SP2'!AG776</f>
        <v>0</v>
      </c>
      <c r="AV751" s="403">
        <f>'Portefeuille SP2'!AH776</f>
        <v>0</v>
      </c>
      <c r="AW751" s="403">
        <f>'Portefeuille SP2'!AI776</f>
        <v>0</v>
      </c>
      <c r="AX751" s="403">
        <f>'Portefeuille SP2'!AJ776</f>
        <v>0</v>
      </c>
      <c r="AY751" s="403">
        <f>'Portefeuille SP2'!AK776</f>
        <v>0</v>
      </c>
      <c r="AZ751" s="403">
        <f>'Portefeuille SP2'!AL776</f>
        <v>0</v>
      </c>
      <c r="BA751" s="403">
        <f>'Portefeuille SP2'!AM776</f>
        <v>0</v>
      </c>
      <c r="BB751" s="403">
        <f>'Portefeuille SP2'!AN776</f>
        <v>0</v>
      </c>
      <c r="BC751" s="403">
        <f>'Portefeuille SP2'!AO776</f>
        <v>0</v>
      </c>
      <c r="BD751" s="403">
        <f>'Portefeuille SP2'!AP776</f>
        <v>0</v>
      </c>
      <c r="BE751" s="403">
        <f>'Portefeuille SP2'!AQ776</f>
        <v>0</v>
      </c>
      <c r="BF751" s="403">
        <f>'Portefeuille SP2'!AR776</f>
        <v>0</v>
      </c>
      <c r="BG751" s="403" t="e">
        <f>'Portefeuille SP2'!#REF!</f>
        <v>#REF!</v>
      </c>
      <c r="BH751" s="403" t="e">
        <f>'Portefeuille SP2'!#REF!</f>
        <v>#REF!</v>
      </c>
      <c r="BI751" s="403" t="e">
        <f>'Portefeuille SP2'!#REF!</f>
        <v>#REF!</v>
      </c>
      <c r="BJ751" s="403" t="e">
        <f>'Portefeuille SP2'!#REF!</f>
        <v>#REF!</v>
      </c>
      <c r="BK751" s="403" t="e">
        <f>'Portefeuille SP2'!#REF!</f>
        <v>#REF!</v>
      </c>
      <c r="BL751" s="388"/>
      <c r="BM751" s="404">
        <f>'Portefeuille SP2'!L776</f>
        <v>0</v>
      </c>
    </row>
    <row r="752" spans="1:65" ht="15" customHeight="1">
      <c r="A752" s="383">
        <f>'Portefeuille SP2'!B777</f>
        <v>0</v>
      </c>
      <c r="B752" s="390">
        <f>'Portefeuille SP2'!Q777</f>
        <v>0</v>
      </c>
      <c r="C752" s="384"/>
      <c r="D752" s="382">
        <f>'Portefeuille SP2'!E777</f>
        <v>0</v>
      </c>
      <c r="E752" s="382" t="str">
        <f t="shared" si="43"/>
        <v>0</v>
      </c>
      <c r="F752" s="382" t="str">
        <f t="shared" si="44"/>
        <v/>
      </c>
      <c r="G752" s="382">
        <f>'Portefeuille SP2'!C777</f>
        <v>0</v>
      </c>
      <c r="H752" s="382">
        <f>'Portefeuille SP2'!F777</f>
        <v>0</v>
      </c>
      <c r="I752" s="382"/>
      <c r="J752" s="382">
        <f>'Portefeuille SP2'!D777</f>
        <v>0</v>
      </c>
      <c r="K752" s="385">
        <f>'Portefeuille SP2'!H777</f>
        <v>0</v>
      </c>
      <c r="L752" s="157">
        <f>'Portefeuille SP2'!U777</f>
        <v>0</v>
      </c>
      <c r="M752" s="386"/>
      <c r="N752" s="386"/>
      <c r="O752" s="386"/>
      <c r="P752" s="387">
        <f>'Portefeuille SP2'!M777</f>
        <v>0</v>
      </c>
      <c r="Q752" s="387"/>
      <c r="R752" s="387">
        <f>'Portefeuille SP2'!N777</f>
        <v>0</v>
      </c>
      <c r="S752" s="387"/>
      <c r="T752" s="382">
        <f>'Portefeuille SP2'!R777</f>
        <v>0</v>
      </c>
      <c r="U752" s="387">
        <f>'Portefeuille SP2'!K777</f>
        <v>0</v>
      </c>
      <c r="V752" s="399">
        <f>'Portefeuille SP2'!S777</f>
        <v>0</v>
      </c>
      <c r="W752" s="387"/>
      <c r="X752" s="387"/>
      <c r="Y752" s="387"/>
      <c r="Z752" s="387"/>
      <c r="AA752" s="387"/>
      <c r="AB752" s="387"/>
      <c r="AC752" s="387"/>
      <c r="AD752" s="387"/>
      <c r="AE752" s="400">
        <f>'Portefeuille SP2'!J777</f>
        <v>0</v>
      </c>
      <c r="AF752" s="387"/>
      <c r="AG752" s="387"/>
      <c r="AH752" s="389"/>
      <c r="AI752" s="389"/>
      <c r="AJ752" s="403">
        <f>'Portefeuille SP2'!V777</f>
        <v>0</v>
      </c>
      <c r="AK752" s="403">
        <f>'Portefeuille SP2'!W777</f>
        <v>0</v>
      </c>
      <c r="AL752" s="403">
        <f>'Portefeuille SP2'!X777</f>
        <v>0</v>
      </c>
      <c r="AM752" s="403">
        <f>'Portefeuille SP2'!Y777</f>
        <v>0</v>
      </c>
      <c r="AN752" s="403">
        <f>'Portefeuille SP2'!Z777</f>
        <v>0</v>
      </c>
      <c r="AO752" s="403">
        <f>'Portefeuille SP2'!AA777</f>
        <v>0</v>
      </c>
      <c r="AP752" s="403">
        <f>'Portefeuille SP2'!AB777</f>
        <v>0</v>
      </c>
      <c r="AQ752" s="403">
        <f>'Portefeuille SP2'!AC777</f>
        <v>0</v>
      </c>
      <c r="AR752" s="403">
        <f>'Portefeuille SP2'!AD777</f>
        <v>0</v>
      </c>
      <c r="AS752" s="403">
        <f>'Portefeuille SP2'!AE777</f>
        <v>0</v>
      </c>
      <c r="AT752" s="403">
        <f>'Portefeuille SP2'!AF777</f>
        <v>0</v>
      </c>
      <c r="AU752" s="403">
        <f>'Portefeuille SP2'!AG777</f>
        <v>0</v>
      </c>
      <c r="AV752" s="403">
        <f>'Portefeuille SP2'!AH777</f>
        <v>0</v>
      </c>
      <c r="AW752" s="403">
        <f>'Portefeuille SP2'!AI777</f>
        <v>0</v>
      </c>
      <c r="AX752" s="403">
        <f>'Portefeuille SP2'!AJ777</f>
        <v>0</v>
      </c>
      <c r="AY752" s="403">
        <f>'Portefeuille SP2'!AK777</f>
        <v>0</v>
      </c>
      <c r="AZ752" s="403">
        <f>'Portefeuille SP2'!AL777</f>
        <v>0</v>
      </c>
      <c r="BA752" s="403">
        <f>'Portefeuille SP2'!AM777</f>
        <v>0</v>
      </c>
      <c r="BB752" s="403">
        <f>'Portefeuille SP2'!AN777</f>
        <v>0</v>
      </c>
      <c r="BC752" s="403">
        <f>'Portefeuille SP2'!AO777</f>
        <v>0</v>
      </c>
      <c r="BD752" s="403">
        <f>'Portefeuille SP2'!AP777</f>
        <v>0</v>
      </c>
      <c r="BE752" s="403">
        <f>'Portefeuille SP2'!AQ777</f>
        <v>0</v>
      </c>
      <c r="BF752" s="403">
        <f>'Portefeuille SP2'!AR777</f>
        <v>0</v>
      </c>
      <c r="BG752" s="403" t="e">
        <f>'Portefeuille SP2'!#REF!</f>
        <v>#REF!</v>
      </c>
      <c r="BH752" s="403" t="e">
        <f>'Portefeuille SP2'!#REF!</f>
        <v>#REF!</v>
      </c>
      <c r="BI752" s="403" t="e">
        <f>'Portefeuille SP2'!#REF!</f>
        <v>#REF!</v>
      </c>
      <c r="BJ752" s="403" t="e">
        <f>'Portefeuille SP2'!#REF!</f>
        <v>#REF!</v>
      </c>
      <c r="BK752" s="403" t="e">
        <f>'Portefeuille SP2'!#REF!</f>
        <v>#REF!</v>
      </c>
      <c r="BL752" s="388"/>
      <c r="BM752" s="404">
        <f>'Portefeuille SP2'!L777</f>
        <v>0</v>
      </c>
    </row>
    <row r="753" spans="1:65" ht="15" customHeight="1">
      <c r="A753" s="383">
        <f>'Portefeuille SP2'!B778</f>
        <v>0</v>
      </c>
      <c r="B753" s="390">
        <f>'Portefeuille SP2'!Q778</f>
        <v>0</v>
      </c>
      <c r="C753" s="384"/>
      <c r="D753" s="382">
        <f>'Portefeuille SP2'!E778</f>
        <v>0</v>
      </c>
      <c r="E753" s="382" t="str">
        <f t="shared" si="43"/>
        <v>0</v>
      </c>
      <c r="F753" s="382" t="str">
        <f t="shared" si="44"/>
        <v/>
      </c>
      <c r="G753" s="382">
        <f>'Portefeuille SP2'!C778</f>
        <v>0</v>
      </c>
      <c r="H753" s="382">
        <f>'Portefeuille SP2'!F778</f>
        <v>0</v>
      </c>
      <c r="I753" s="382"/>
      <c r="J753" s="382">
        <f>'Portefeuille SP2'!D778</f>
        <v>0</v>
      </c>
      <c r="K753" s="385">
        <f>'Portefeuille SP2'!H778</f>
        <v>0</v>
      </c>
      <c r="L753" s="157">
        <f>'Portefeuille SP2'!U778</f>
        <v>0</v>
      </c>
      <c r="M753" s="386"/>
      <c r="N753" s="386"/>
      <c r="O753" s="386"/>
      <c r="P753" s="387">
        <f>'Portefeuille SP2'!M778</f>
        <v>0</v>
      </c>
      <c r="Q753" s="387"/>
      <c r="R753" s="387">
        <f>'Portefeuille SP2'!N778</f>
        <v>0</v>
      </c>
      <c r="S753" s="387"/>
      <c r="T753" s="382">
        <f>'Portefeuille SP2'!R778</f>
        <v>0</v>
      </c>
      <c r="U753" s="387">
        <f>'Portefeuille SP2'!K778</f>
        <v>0</v>
      </c>
      <c r="V753" s="399">
        <f>'Portefeuille SP2'!S778</f>
        <v>0</v>
      </c>
      <c r="W753" s="387"/>
      <c r="X753" s="387"/>
      <c r="Y753" s="387"/>
      <c r="Z753" s="387"/>
      <c r="AA753" s="387"/>
      <c r="AB753" s="387"/>
      <c r="AC753" s="387"/>
      <c r="AD753" s="387"/>
      <c r="AE753" s="400">
        <f>'Portefeuille SP2'!J778</f>
        <v>0</v>
      </c>
      <c r="AF753" s="387"/>
      <c r="AG753" s="387"/>
      <c r="AH753" s="389"/>
      <c r="AI753" s="389"/>
      <c r="AJ753" s="403">
        <f>'Portefeuille SP2'!V778</f>
        <v>0</v>
      </c>
      <c r="AK753" s="403">
        <f>'Portefeuille SP2'!W778</f>
        <v>0</v>
      </c>
      <c r="AL753" s="403">
        <f>'Portefeuille SP2'!X778</f>
        <v>0</v>
      </c>
      <c r="AM753" s="403">
        <f>'Portefeuille SP2'!Y778</f>
        <v>0</v>
      </c>
      <c r="AN753" s="403">
        <f>'Portefeuille SP2'!Z778</f>
        <v>0</v>
      </c>
      <c r="AO753" s="403">
        <f>'Portefeuille SP2'!AA778</f>
        <v>0</v>
      </c>
      <c r="AP753" s="403">
        <f>'Portefeuille SP2'!AB778</f>
        <v>0</v>
      </c>
      <c r="AQ753" s="403">
        <f>'Portefeuille SP2'!AC778</f>
        <v>0</v>
      </c>
      <c r="AR753" s="403">
        <f>'Portefeuille SP2'!AD778</f>
        <v>0</v>
      </c>
      <c r="AS753" s="403">
        <f>'Portefeuille SP2'!AE778</f>
        <v>0</v>
      </c>
      <c r="AT753" s="403">
        <f>'Portefeuille SP2'!AF778</f>
        <v>0</v>
      </c>
      <c r="AU753" s="403">
        <f>'Portefeuille SP2'!AG778</f>
        <v>0</v>
      </c>
      <c r="AV753" s="403">
        <f>'Portefeuille SP2'!AH778</f>
        <v>0</v>
      </c>
      <c r="AW753" s="403">
        <f>'Portefeuille SP2'!AI778</f>
        <v>0</v>
      </c>
      <c r="AX753" s="403">
        <f>'Portefeuille SP2'!AJ778</f>
        <v>0</v>
      </c>
      <c r="AY753" s="403">
        <f>'Portefeuille SP2'!AK778</f>
        <v>0</v>
      </c>
      <c r="AZ753" s="403">
        <f>'Portefeuille SP2'!AL778</f>
        <v>0</v>
      </c>
      <c r="BA753" s="403">
        <f>'Portefeuille SP2'!AM778</f>
        <v>0</v>
      </c>
      <c r="BB753" s="403">
        <f>'Portefeuille SP2'!AN778</f>
        <v>0</v>
      </c>
      <c r="BC753" s="403">
        <f>'Portefeuille SP2'!AO778</f>
        <v>0</v>
      </c>
      <c r="BD753" s="403">
        <f>'Portefeuille SP2'!AP778</f>
        <v>0</v>
      </c>
      <c r="BE753" s="403">
        <f>'Portefeuille SP2'!AQ778</f>
        <v>0</v>
      </c>
      <c r="BF753" s="403">
        <f>'Portefeuille SP2'!AR778</f>
        <v>0</v>
      </c>
      <c r="BG753" s="403" t="e">
        <f>'Portefeuille SP2'!#REF!</f>
        <v>#REF!</v>
      </c>
      <c r="BH753" s="403" t="e">
        <f>'Portefeuille SP2'!#REF!</f>
        <v>#REF!</v>
      </c>
      <c r="BI753" s="403" t="e">
        <f>'Portefeuille SP2'!#REF!</f>
        <v>#REF!</v>
      </c>
      <c r="BJ753" s="403" t="e">
        <f>'Portefeuille SP2'!#REF!</f>
        <v>#REF!</v>
      </c>
      <c r="BK753" s="403" t="e">
        <f>'Portefeuille SP2'!#REF!</f>
        <v>#REF!</v>
      </c>
      <c r="BL753" s="388"/>
      <c r="BM753" s="404">
        <f>'Portefeuille SP2'!L778</f>
        <v>0</v>
      </c>
    </row>
    <row r="754" spans="1:65" ht="15" customHeight="1">
      <c r="A754" s="383">
        <f>'Portefeuille SP2'!B779</f>
        <v>0</v>
      </c>
      <c r="B754" s="390">
        <f>'Portefeuille SP2'!Q779</f>
        <v>0</v>
      </c>
      <c r="C754" s="384"/>
      <c r="D754" s="382">
        <f>'Portefeuille SP2'!E779</f>
        <v>0</v>
      </c>
      <c r="E754" s="382" t="str">
        <f t="shared" si="43"/>
        <v>0</v>
      </c>
      <c r="F754" s="382" t="str">
        <f t="shared" si="44"/>
        <v/>
      </c>
      <c r="G754" s="382">
        <f>'Portefeuille SP2'!C779</f>
        <v>0</v>
      </c>
      <c r="H754" s="382">
        <f>'Portefeuille SP2'!F779</f>
        <v>0</v>
      </c>
      <c r="I754" s="382"/>
      <c r="J754" s="382">
        <f>'Portefeuille SP2'!D779</f>
        <v>0</v>
      </c>
      <c r="K754" s="385">
        <f>'Portefeuille SP2'!H779</f>
        <v>0</v>
      </c>
      <c r="L754" s="157">
        <f>'Portefeuille SP2'!U779</f>
        <v>0</v>
      </c>
      <c r="M754" s="386"/>
      <c r="N754" s="386"/>
      <c r="O754" s="386"/>
      <c r="P754" s="387">
        <f>'Portefeuille SP2'!M779</f>
        <v>0</v>
      </c>
      <c r="Q754" s="387"/>
      <c r="R754" s="387">
        <f>'Portefeuille SP2'!N779</f>
        <v>0</v>
      </c>
      <c r="S754" s="387"/>
      <c r="T754" s="382">
        <f>'Portefeuille SP2'!R779</f>
        <v>0</v>
      </c>
      <c r="U754" s="387">
        <f>'Portefeuille SP2'!K779</f>
        <v>0</v>
      </c>
      <c r="V754" s="399">
        <f>'Portefeuille SP2'!S779</f>
        <v>0</v>
      </c>
      <c r="W754" s="387"/>
      <c r="X754" s="387"/>
      <c r="Y754" s="387"/>
      <c r="Z754" s="387"/>
      <c r="AA754" s="387"/>
      <c r="AB754" s="387"/>
      <c r="AC754" s="387"/>
      <c r="AD754" s="387"/>
      <c r="AE754" s="400">
        <f>'Portefeuille SP2'!J779</f>
        <v>0</v>
      </c>
      <c r="AF754" s="387"/>
      <c r="AG754" s="387"/>
      <c r="AH754" s="389"/>
      <c r="AI754" s="389"/>
      <c r="AJ754" s="403">
        <f>'Portefeuille SP2'!V779</f>
        <v>0</v>
      </c>
      <c r="AK754" s="403">
        <f>'Portefeuille SP2'!W779</f>
        <v>0</v>
      </c>
      <c r="AL754" s="403">
        <f>'Portefeuille SP2'!X779</f>
        <v>0</v>
      </c>
      <c r="AM754" s="403">
        <f>'Portefeuille SP2'!Y779</f>
        <v>0</v>
      </c>
      <c r="AN754" s="403">
        <f>'Portefeuille SP2'!Z779</f>
        <v>0</v>
      </c>
      <c r="AO754" s="403">
        <f>'Portefeuille SP2'!AA779</f>
        <v>0</v>
      </c>
      <c r="AP754" s="403">
        <f>'Portefeuille SP2'!AB779</f>
        <v>0</v>
      </c>
      <c r="AQ754" s="403">
        <f>'Portefeuille SP2'!AC779</f>
        <v>0</v>
      </c>
      <c r="AR754" s="403">
        <f>'Portefeuille SP2'!AD779</f>
        <v>0</v>
      </c>
      <c r="AS754" s="403">
        <f>'Portefeuille SP2'!AE779</f>
        <v>0</v>
      </c>
      <c r="AT754" s="403">
        <f>'Portefeuille SP2'!AF779</f>
        <v>0</v>
      </c>
      <c r="AU754" s="403">
        <f>'Portefeuille SP2'!AG779</f>
        <v>0</v>
      </c>
      <c r="AV754" s="403">
        <f>'Portefeuille SP2'!AH779</f>
        <v>0</v>
      </c>
      <c r="AW754" s="403">
        <f>'Portefeuille SP2'!AI779</f>
        <v>0</v>
      </c>
      <c r="AX754" s="403">
        <f>'Portefeuille SP2'!AJ779</f>
        <v>0</v>
      </c>
      <c r="AY754" s="403">
        <f>'Portefeuille SP2'!AK779</f>
        <v>0</v>
      </c>
      <c r="AZ754" s="403">
        <f>'Portefeuille SP2'!AL779</f>
        <v>0</v>
      </c>
      <c r="BA754" s="403">
        <f>'Portefeuille SP2'!AM779</f>
        <v>0</v>
      </c>
      <c r="BB754" s="403">
        <f>'Portefeuille SP2'!AN779</f>
        <v>0</v>
      </c>
      <c r="BC754" s="403">
        <f>'Portefeuille SP2'!AO779</f>
        <v>0</v>
      </c>
      <c r="BD754" s="403">
        <f>'Portefeuille SP2'!AP779</f>
        <v>0</v>
      </c>
      <c r="BE754" s="403">
        <f>'Portefeuille SP2'!AQ779</f>
        <v>0</v>
      </c>
      <c r="BF754" s="403">
        <f>'Portefeuille SP2'!AR779</f>
        <v>0</v>
      </c>
      <c r="BG754" s="403" t="e">
        <f>'Portefeuille SP2'!#REF!</f>
        <v>#REF!</v>
      </c>
      <c r="BH754" s="403" t="e">
        <f>'Portefeuille SP2'!#REF!</f>
        <v>#REF!</v>
      </c>
      <c r="BI754" s="403" t="e">
        <f>'Portefeuille SP2'!#REF!</f>
        <v>#REF!</v>
      </c>
      <c r="BJ754" s="403" t="e">
        <f>'Portefeuille SP2'!#REF!</f>
        <v>#REF!</v>
      </c>
      <c r="BK754" s="403" t="e">
        <f>'Portefeuille SP2'!#REF!</f>
        <v>#REF!</v>
      </c>
      <c r="BL754" s="388"/>
      <c r="BM754" s="404">
        <f>'Portefeuille SP2'!L779</f>
        <v>0</v>
      </c>
    </row>
    <row r="755" spans="1:65" ht="15" customHeight="1">
      <c r="A755" s="383">
        <f>'Portefeuille SP2'!B780</f>
        <v>0</v>
      </c>
      <c r="B755" s="390">
        <f>'Portefeuille SP2'!Q780</f>
        <v>0</v>
      </c>
      <c r="C755" s="384"/>
      <c r="D755" s="382">
        <f>'Portefeuille SP2'!E780</f>
        <v>0</v>
      </c>
      <c r="E755" s="382" t="str">
        <f t="shared" si="43"/>
        <v>0</v>
      </c>
      <c r="F755" s="382" t="str">
        <f t="shared" si="44"/>
        <v/>
      </c>
      <c r="G755" s="382">
        <f>'Portefeuille SP2'!C780</f>
        <v>0</v>
      </c>
      <c r="H755" s="382">
        <f>'Portefeuille SP2'!F780</f>
        <v>0</v>
      </c>
      <c r="I755" s="382"/>
      <c r="J755" s="382">
        <f>'Portefeuille SP2'!D780</f>
        <v>0</v>
      </c>
      <c r="K755" s="385">
        <f>'Portefeuille SP2'!H780</f>
        <v>0</v>
      </c>
      <c r="L755" s="157">
        <f>'Portefeuille SP2'!U780</f>
        <v>0</v>
      </c>
      <c r="M755" s="386"/>
      <c r="N755" s="386"/>
      <c r="O755" s="386"/>
      <c r="P755" s="387">
        <f>'Portefeuille SP2'!M780</f>
        <v>0</v>
      </c>
      <c r="Q755" s="387"/>
      <c r="R755" s="387">
        <f>'Portefeuille SP2'!N780</f>
        <v>0</v>
      </c>
      <c r="S755" s="387"/>
      <c r="T755" s="382">
        <f>'Portefeuille SP2'!R780</f>
        <v>0</v>
      </c>
      <c r="U755" s="387">
        <f>'Portefeuille SP2'!K780</f>
        <v>0</v>
      </c>
      <c r="V755" s="399">
        <f>'Portefeuille SP2'!S780</f>
        <v>0</v>
      </c>
      <c r="W755" s="387"/>
      <c r="X755" s="387"/>
      <c r="Y755" s="387"/>
      <c r="Z755" s="387"/>
      <c r="AA755" s="387"/>
      <c r="AB755" s="387"/>
      <c r="AC755" s="387"/>
      <c r="AD755" s="387"/>
      <c r="AE755" s="400">
        <f>'Portefeuille SP2'!J780</f>
        <v>0</v>
      </c>
      <c r="AF755" s="387"/>
      <c r="AG755" s="387"/>
      <c r="AH755" s="389"/>
      <c r="AI755" s="389"/>
      <c r="AJ755" s="403">
        <f>'Portefeuille SP2'!V780</f>
        <v>0</v>
      </c>
      <c r="AK755" s="403">
        <f>'Portefeuille SP2'!W780</f>
        <v>0</v>
      </c>
      <c r="AL755" s="403">
        <f>'Portefeuille SP2'!X780</f>
        <v>0</v>
      </c>
      <c r="AM755" s="403">
        <f>'Portefeuille SP2'!Y780</f>
        <v>0</v>
      </c>
      <c r="AN755" s="403">
        <f>'Portefeuille SP2'!Z780</f>
        <v>0</v>
      </c>
      <c r="AO755" s="403">
        <f>'Portefeuille SP2'!AA780</f>
        <v>0</v>
      </c>
      <c r="AP755" s="403">
        <f>'Portefeuille SP2'!AB780</f>
        <v>0</v>
      </c>
      <c r="AQ755" s="403">
        <f>'Portefeuille SP2'!AC780</f>
        <v>0</v>
      </c>
      <c r="AR755" s="403">
        <f>'Portefeuille SP2'!AD780</f>
        <v>0</v>
      </c>
      <c r="AS755" s="403">
        <f>'Portefeuille SP2'!AE780</f>
        <v>0</v>
      </c>
      <c r="AT755" s="403">
        <f>'Portefeuille SP2'!AF780</f>
        <v>0</v>
      </c>
      <c r="AU755" s="403">
        <f>'Portefeuille SP2'!AG780</f>
        <v>0</v>
      </c>
      <c r="AV755" s="403">
        <f>'Portefeuille SP2'!AH780</f>
        <v>0</v>
      </c>
      <c r="AW755" s="403">
        <f>'Portefeuille SP2'!AI780</f>
        <v>0</v>
      </c>
      <c r="AX755" s="403">
        <f>'Portefeuille SP2'!AJ780</f>
        <v>0</v>
      </c>
      <c r="AY755" s="403">
        <f>'Portefeuille SP2'!AK780</f>
        <v>0</v>
      </c>
      <c r="AZ755" s="403">
        <f>'Portefeuille SP2'!AL780</f>
        <v>0</v>
      </c>
      <c r="BA755" s="403">
        <f>'Portefeuille SP2'!AM780</f>
        <v>0</v>
      </c>
      <c r="BB755" s="403">
        <f>'Portefeuille SP2'!AN780</f>
        <v>0</v>
      </c>
      <c r="BC755" s="403">
        <f>'Portefeuille SP2'!AO780</f>
        <v>0</v>
      </c>
      <c r="BD755" s="403">
        <f>'Portefeuille SP2'!AP780</f>
        <v>0</v>
      </c>
      <c r="BE755" s="403">
        <f>'Portefeuille SP2'!AQ780</f>
        <v>0</v>
      </c>
      <c r="BF755" s="403">
        <f>'Portefeuille SP2'!AR780</f>
        <v>0</v>
      </c>
      <c r="BG755" s="403" t="e">
        <f>'Portefeuille SP2'!#REF!</f>
        <v>#REF!</v>
      </c>
      <c r="BH755" s="403" t="e">
        <f>'Portefeuille SP2'!#REF!</f>
        <v>#REF!</v>
      </c>
      <c r="BI755" s="403" t="e">
        <f>'Portefeuille SP2'!#REF!</f>
        <v>#REF!</v>
      </c>
      <c r="BJ755" s="403" t="e">
        <f>'Portefeuille SP2'!#REF!</f>
        <v>#REF!</v>
      </c>
      <c r="BK755" s="403" t="e">
        <f>'Portefeuille SP2'!#REF!</f>
        <v>#REF!</v>
      </c>
      <c r="BL755" s="388"/>
      <c r="BM755" s="404">
        <f>'Portefeuille SP2'!L780</f>
        <v>0</v>
      </c>
    </row>
    <row r="756" spans="1:65" ht="15" customHeight="1">
      <c r="A756" s="383">
        <f>'Portefeuille SP2'!B781</f>
        <v>0</v>
      </c>
      <c r="B756" s="390">
        <f>'Portefeuille SP2'!Q781</f>
        <v>0</v>
      </c>
      <c r="C756" s="384"/>
      <c r="D756" s="382">
        <f>'Portefeuille SP2'!E781</f>
        <v>0</v>
      </c>
      <c r="E756" s="382" t="str">
        <f t="shared" si="43"/>
        <v>0</v>
      </c>
      <c r="F756" s="382" t="str">
        <f t="shared" si="44"/>
        <v/>
      </c>
      <c r="G756" s="382">
        <f>'Portefeuille SP2'!C781</f>
        <v>0</v>
      </c>
      <c r="H756" s="382">
        <f>'Portefeuille SP2'!F781</f>
        <v>0</v>
      </c>
      <c r="I756" s="382"/>
      <c r="J756" s="382">
        <f>'Portefeuille SP2'!D781</f>
        <v>0</v>
      </c>
      <c r="K756" s="385">
        <f>'Portefeuille SP2'!H781</f>
        <v>0</v>
      </c>
      <c r="L756" s="157">
        <f>'Portefeuille SP2'!U781</f>
        <v>0</v>
      </c>
      <c r="M756" s="386"/>
      <c r="N756" s="386"/>
      <c r="O756" s="386"/>
      <c r="P756" s="387">
        <f>'Portefeuille SP2'!M781</f>
        <v>0</v>
      </c>
      <c r="Q756" s="387"/>
      <c r="R756" s="387">
        <f>'Portefeuille SP2'!N781</f>
        <v>0</v>
      </c>
      <c r="S756" s="387"/>
      <c r="T756" s="382">
        <f>'Portefeuille SP2'!R781</f>
        <v>0</v>
      </c>
      <c r="U756" s="387">
        <f>'Portefeuille SP2'!K781</f>
        <v>0</v>
      </c>
      <c r="V756" s="399">
        <f>'Portefeuille SP2'!S781</f>
        <v>0</v>
      </c>
      <c r="W756" s="387"/>
      <c r="X756" s="387"/>
      <c r="Y756" s="387"/>
      <c r="Z756" s="387"/>
      <c r="AA756" s="387"/>
      <c r="AB756" s="387"/>
      <c r="AC756" s="387"/>
      <c r="AD756" s="387"/>
      <c r="AE756" s="400">
        <f>'Portefeuille SP2'!J781</f>
        <v>0</v>
      </c>
      <c r="AF756" s="387"/>
      <c r="AG756" s="387"/>
      <c r="AH756" s="389"/>
      <c r="AI756" s="389"/>
      <c r="AJ756" s="403">
        <f>'Portefeuille SP2'!V781</f>
        <v>0</v>
      </c>
      <c r="AK756" s="403">
        <f>'Portefeuille SP2'!W781</f>
        <v>0</v>
      </c>
      <c r="AL756" s="403">
        <f>'Portefeuille SP2'!X781</f>
        <v>0</v>
      </c>
      <c r="AM756" s="403">
        <f>'Portefeuille SP2'!Y781</f>
        <v>0</v>
      </c>
      <c r="AN756" s="403">
        <f>'Portefeuille SP2'!Z781</f>
        <v>0</v>
      </c>
      <c r="AO756" s="403">
        <f>'Portefeuille SP2'!AA781</f>
        <v>0</v>
      </c>
      <c r="AP756" s="403">
        <f>'Portefeuille SP2'!AB781</f>
        <v>0</v>
      </c>
      <c r="AQ756" s="403">
        <f>'Portefeuille SP2'!AC781</f>
        <v>0</v>
      </c>
      <c r="AR756" s="403">
        <f>'Portefeuille SP2'!AD781</f>
        <v>0</v>
      </c>
      <c r="AS756" s="403">
        <f>'Portefeuille SP2'!AE781</f>
        <v>0</v>
      </c>
      <c r="AT756" s="403">
        <f>'Portefeuille SP2'!AF781</f>
        <v>0</v>
      </c>
      <c r="AU756" s="403">
        <f>'Portefeuille SP2'!AG781</f>
        <v>0</v>
      </c>
      <c r="AV756" s="403">
        <f>'Portefeuille SP2'!AH781</f>
        <v>0</v>
      </c>
      <c r="AW756" s="403">
        <f>'Portefeuille SP2'!AI781</f>
        <v>0</v>
      </c>
      <c r="AX756" s="403">
        <f>'Portefeuille SP2'!AJ781</f>
        <v>0</v>
      </c>
      <c r="AY756" s="403">
        <f>'Portefeuille SP2'!AK781</f>
        <v>0</v>
      </c>
      <c r="AZ756" s="403">
        <f>'Portefeuille SP2'!AL781</f>
        <v>0</v>
      </c>
      <c r="BA756" s="403">
        <f>'Portefeuille SP2'!AM781</f>
        <v>0</v>
      </c>
      <c r="BB756" s="403">
        <f>'Portefeuille SP2'!AN781</f>
        <v>0</v>
      </c>
      <c r="BC756" s="403">
        <f>'Portefeuille SP2'!AO781</f>
        <v>0</v>
      </c>
      <c r="BD756" s="403">
        <f>'Portefeuille SP2'!AP781</f>
        <v>0</v>
      </c>
      <c r="BE756" s="403">
        <f>'Portefeuille SP2'!AQ781</f>
        <v>0</v>
      </c>
      <c r="BF756" s="403">
        <f>'Portefeuille SP2'!AR781</f>
        <v>0</v>
      </c>
      <c r="BG756" s="403" t="e">
        <f>'Portefeuille SP2'!#REF!</f>
        <v>#REF!</v>
      </c>
      <c r="BH756" s="403" t="e">
        <f>'Portefeuille SP2'!#REF!</f>
        <v>#REF!</v>
      </c>
      <c r="BI756" s="403" t="e">
        <f>'Portefeuille SP2'!#REF!</f>
        <v>#REF!</v>
      </c>
      <c r="BJ756" s="403" t="e">
        <f>'Portefeuille SP2'!#REF!</f>
        <v>#REF!</v>
      </c>
      <c r="BK756" s="403" t="e">
        <f>'Portefeuille SP2'!#REF!</f>
        <v>#REF!</v>
      </c>
      <c r="BL756" s="388"/>
      <c r="BM756" s="404">
        <f>'Portefeuille SP2'!L781</f>
        <v>0</v>
      </c>
    </row>
    <row r="757" spans="1:65" ht="15" customHeight="1">
      <c r="A757" s="383">
        <f>'Portefeuille SP2'!B782</f>
        <v>0</v>
      </c>
      <c r="B757" s="390">
        <f>'Portefeuille SP2'!Q782</f>
        <v>0</v>
      </c>
      <c r="C757" s="384"/>
      <c r="D757" s="382">
        <f>'Portefeuille SP2'!E782</f>
        <v>0</v>
      </c>
      <c r="E757" s="382" t="str">
        <f t="shared" si="43"/>
        <v>0</v>
      </c>
      <c r="F757" s="382" t="str">
        <f t="shared" si="44"/>
        <v/>
      </c>
      <c r="G757" s="382">
        <f>'Portefeuille SP2'!C782</f>
        <v>0</v>
      </c>
      <c r="H757" s="382">
        <f>'Portefeuille SP2'!F782</f>
        <v>0</v>
      </c>
      <c r="I757" s="382"/>
      <c r="J757" s="382">
        <f>'Portefeuille SP2'!D782</f>
        <v>0</v>
      </c>
      <c r="K757" s="385">
        <f>'Portefeuille SP2'!H782</f>
        <v>0</v>
      </c>
      <c r="L757" s="157">
        <f>'Portefeuille SP2'!U782</f>
        <v>0</v>
      </c>
      <c r="M757" s="386"/>
      <c r="N757" s="386"/>
      <c r="O757" s="386"/>
      <c r="P757" s="387">
        <f>'Portefeuille SP2'!M782</f>
        <v>0</v>
      </c>
      <c r="Q757" s="387"/>
      <c r="R757" s="387">
        <f>'Portefeuille SP2'!N782</f>
        <v>0</v>
      </c>
      <c r="S757" s="387"/>
      <c r="T757" s="382">
        <f>'Portefeuille SP2'!R782</f>
        <v>0</v>
      </c>
      <c r="U757" s="387">
        <f>'Portefeuille SP2'!K782</f>
        <v>0</v>
      </c>
      <c r="V757" s="399">
        <f>'Portefeuille SP2'!S782</f>
        <v>0</v>
      </c>
      <c r="W757" s="387"/>
      <c r="X757" s="387"/>
      <c r="Y757" s="387"/>
      <c r="Z757" s="387"/>
      <c r="AA757" s="387"/>
      <c r="AB757" s="387"/>
      <c r="AC757" s="387"/>
      <c r="AD757" s="387"/>
      <c r="AE757" s="400">
        <f>'Portefeuille SP2'!J782</f>
        <v>0</v>
      </c>
      <c r="AF757" s="387"/>
      <c r="AG757" s="387"/>
      <c r="AH757" s="389"/>
      <c r="AI757" s="389"/>
      <c r="AJ757" s="403">
        <f>'Portefeuille SP2'!V782</f>
        <v>0</v>
      </c>
      <c r="AK757" s="403">
        <f>'Portefeuille SP2'!W782</f>
        <v>0</v>
      </c>
      <c r="AL757" s="403">
        <f>'Portefeuille SP2'!X782</f>
        <v>0</v>
      </c>
      <c r="AM757" s="403">
        <f>'Portefeuille SP2'!Y782</f>
        <v>0</v>
      </c>
      <c r="AN757" s="403">
        <f>'Portefeuille SP2'!Z782</f>
        <v>0</v>
      </c>
      <c r="AO757" s="403">
        <f>'Portefeuille SP2'!AA782</f>
        <v>0</v>
      </c>
      <c r="AP757" s="403">
        <f>'Portefeuille SP2'!AB782</f>
        <v>0</v>
      </c>
      <c r="AQ757" s="403">
        <f>'Portefeuille SP2'!AC782</f>
        <v>0</v>
      </c>
      <c r="AR757" s="403">
        <f>'Portefeuille SP2'!AD782</f>
        <v>0</v>
      </c>
      <c r="AS757" s="403">
        <f>'Portefeuille SP2'!AE782</f>
        <v>0</v>
      </c>
      <c r="AT757" s="403">
        <f>'Portefeuille SP2'!AF782</f>
        <v>0</v>
      </c>
      <c r="AU757" s="403">
        <f>'Portefeuille SP2'!AG782</f>
        <v>0</v>
      </c>
      <c r="AV757" s="403">
        <f>'Portefeuille SP2'!AH782</f>
        <v>0</v>
      </c>
      <c r="AW757" s="403">
        <f>'Portefeuille SP2'!AI782</f>
        <v>0</v>
      </c>
      <c r="AX757" s="403">
        <f>'Portefeuille SP2'!AJ782</f>
        <v>0</v>
      </c>
      <c r="AY757" s="403">
        <f>'Portefeuille SP2'!AK782</f>
        <v>0</v>
      </c>
      <c r="AZ757" s="403">
        <f>'Portefeuille SP2'!AL782</f>
        <v>0</v>
      </c>
      <c r="BA757" s="403">
        <f>'Portefeuille SP2'!AM782</f>
        <v>0</v>
      </c>
      <c r="BB757" s="403">
        <f>'Portefeuille SP2'!AN782</f>
        <v>0</v>
      </c>
      <c r="BC757" s="403">
        <f>'Portefeuille SP2'!AO782</f>
        <v>0</v>
      </c>
      <c r="BD757" s="403">
        <f>'Portefeuille SP2'!AP782</f>
        <v>0</v>
      </c>
      <c r="BE757" s="403">
        <f>'Portefeuille SP2'!AQ782</f>
        <v>0</v>
      </c>
      <c r="BF757" s="403">
        <f>'Portefeuille SP2'!AR782</f>
        <v>0</v>
      </c>
      <c r="BG757" s="403" t="e">
        <f>'Portefeuille SP2'!#REF!</f>
        <v>#REF!</v>
      </c>
      <c r="BH757" s="403" t="e">
        <f>'Portefeuille SP2'!#REF!</f>
        <v>#REF!</v>
      </c>
      <c r="BI757" s="403" t="e">
        <f>'Portefeuille SP2'!#REF!</f>
        <v>#REF!</v>
      </c>
      <c r="BJ757" s="403" t="e">
        <f>'Portefeuille SP2'!#REF!</f>
        <v>#REF!</v>
      </c>
      <c r="BK757" s="403" t="e">
        <f>'Portefeuille SP2'!#REF!</f>
        <v>#REF!</v>
      </c>
      <c r="BL757" s="388"/>
      <c r="BM757" s="404">
        <f>'Portefeuille SP2'!L782</f>
        <v>0</v>
      </c>
    </row>
    <row r="758" spans="1:65" ht="15" customHeight="1">
      <c r="A758" s="383">
        <f>'Portefeuille SP2'!B783</f>
        <v>0</v>
      </c>
      <c r="B758" s="390">
        <f>'Portefeuille SP2'!Q783</f>
        <v>0</v>
      </c>
      <c r="C758" s="384"/>
      <c r="D758" s="382">
        <f>'Portefeuille SP2'!E783</f>
        <v>0</v>
      </c>
      <c r="E758" s="382" t="str">
        <f t="shared" si="43"/>
        <v>0</v>
      </c>
      <c r="F758" s="382" t="str">
        <f t="shared" si="44"/>
        <v/>
      </c>
      <c r="G758" s="382">
        <f>'Portefeuille SP2'!C783</f>
        <v>0</v>
      </c>
      <c r="H758" s="382">
        <f>'Portefeuille SP2'!F783</f>
        <v>0</v>
      </c>
      <c r="I758" s="382"/>
      <c r="J758" s="382">
        <f>'Portefeuille SP2'!D783</f>
        <v>0</v>
      </c>
      <c r="K758" s="385">
        <f>'Portefeuille SP2'!H783</f>
        <v>0</v>
      </c>
      <c r="L758" s="157">
        <f>'Portefeuille SP2'!U783</f>
        <v>0</v>
      </c>
      <c r="M758" s="386"/>
      <c r="N758" s="386"/>
      <c r="O758" s="386"/>
      <c r="P758" s="387">
        <f>'Portefeuille SP2'!M783</f>
        <v>0</v>
      </c>
      <c r="Q758" s="387"/>
      <c r="R758" s="387">
        <f>'Portefeuille SP2'!N783</f>
        <v>0</v>
      </c>
      <c r="S758" s="387"/>
      <c r="T758" s="382">
        <f>'Portefeuille SP2'!R783</f>
        <v>0</v>
      </c>
      <c r="U758" s="387">
        <f>'Portefeuille SP2'!K783</f>
        <v>0</v>
      </c>
      <c r="V758" s="399">
        <f>'Portefeuille SP2'!S783</f>
        <v>0</v>
      </c>
      <c r="W758" s="387"/>
      <c r="X758" s="387"/>
      <c r="Y758" s="387"/>
      <c r="Z758" s="387"/>
      <c r="AA758" s="387"/>
      <c r="AB758" s="387"/>
      <c r="AC758" s="387"/>
      <c r="AD758" s="387"/>
      <c r="AE758" s="400">
        <f>'Portefeuille SP2'!J783</f>
        <v>0</v>
      </c>
      <c r="AF758" s="387"/>
      <c r="AG758" s="387"/>
      <c r="AH758" s="389"/>
      <c r="AI758" s="389"/>
      <c r="AJ758" s="403">
        <f>'Portefeuille SP2'!V783</f>
        <v>0</v>
      </c>
      <c r="AK758" s="403">
        <f>'Portefeuille SP2'!W783</f>
        <v>0</v>
      </c>
      <c r="AL758" s="403">
        <f>'Portefeuille SP2'!X783</f>
        <v>0</v>
      </c>
      <c r="AM758" s="403">
        <f>'Portefeuille SP2'!Y783</f>
        <v>0</v>
      </c>
      <c r="AN758" s="403">
        <f>'Portefeuille SP2'!Z783</f>
        <v>0</v>
      </c>
      <c r="AO758" s="403">
        <f>'Portefeuille SP2'!AA783</f>
        <v>0</v>
      </c>
      <c r="AP758" s="403">
        <f>'Portefeuille SP2'!AB783</f>
        <v>0</v>
      </c>
      <c r="AQ758" s="403">
        <f>'Portefeuille SP2'!AC783</f>
        <v>0</v>
      </c>
      <c r="AR758" s="403">
        <f>'Portefeuille SP2'!AD783</f>
        <v>0</v>
      </c>
      <c r="AS758" s="403">
        <f>'Portefeuille SP2'!AE783</f>
        <v>0</v>
      </c>
      <c r="AT758" s="403">
        <f>'Portefeuille SP2'!AF783</f>
        <v>0</v>
      </c>
      <c r="AU758" s="403">
        <f>'Portefeuille SP2'!AG783</f>
        <v>0</v>
      </c>
      <c r="AV758" s="403">
        <f>'Portefeuille SP2'!AH783</f>
        <v>0</v>
      </c>
      <c r="AW758" s="403">
        <f>'Portefeuille SP2'!AI783</f>
        <v>0</v>
      </c>
      <c r="AX758" s="403">
        <f>'Portefeuille SP2'!AJ783</f>
        <v>0</v>
      </c>
      <c r="AY758" s="403">
        <f>'Portefeuille SP2'!AK783</f>
        <v>0</v>
      </c>
      <c r="AZ758" s="403">
        <f>'Portefeuille SP2'!AL783</f>
        <v>0</v>
      </c>
      <c r="BA758" s="403">
        <f>'Portefeuille SP2'!AM783</f>
        <v>0</v>
      </c>
      <c r="BB758" s="403">
        <f>'Portefeuille SP2'!AN783</f>
        <v>0</v>
      </c>
      <c r="BC758" s="403">
        <f>'Portefeuille SP2'!AO783</f>
        <v>0</v>
      </c>
      <c r="BD758" s="403">
        <f>'Portefeuille SP2'!AP783</f>
        <v>0</v>
      </c>
      <c r="BE758" s="403">
        <f>'Portefeuille SP2'!AQ783</f>
        <v>0</v>
      </c>
      <c r="BF758" s="403">
        <f>'Portefeuille SP2'!AR783</f>
        <v>0</v>
      </c>
      <c r="BG758" s="403" t="e">
        <f>'Portefeuille SP2'!#REF!</f>
        <v>#REF!</v>
      </c>
      <c r="BH758" s="403" t="e">
        <f>'Portefeuille SP2'!#REF!</f>
        <v>#REF!</v>
      </c>
      <c r="BI758" s="403" t="e">
        <f>'Portefeuille SP2'!#REF!</f>
        <v>#REF!</v>
      </c>
      <c r="BJ758" s="403" t="e">
        <f>'Portefeuille SP2'!#REF!</f>
        <v>#REF!</v>
      </c>
      <c r="BK758" s="403" t="e">
        <f>'Portefeuille SP2'!#REF!</f>
        <v>#REF!</v>
      </c>
      <c r="BL758" s="388"/>
      <c r="BM758" s="404">
        <f>'Portefeuille SP2'!L783</f>
        <v>0</v>
      </c>
    </row>
    <row r="759" spans="1:65" ht="15" customHeight="1">
      <c r="A759" s="383">
        <f>'Portefeuille SP2'!B784</f>
        <v>0</v>
      </c>
      <c r="B759" s="390">
        <f>'Portefeuille SP2'!Q784</f>
        <v>0</v>
      </c>
      <c r="C759" s="384"/>
      <c r="D759" s="382">
        <f>'Portefeuille SP2'!E784</f>
        <v>0</v>
      </c>
      <c r="E759" s="382" t="str">
        <f t="shared" si="43"/>
        <v>0</v>
      </c>
      <c r="F759" s="382" t="str">
        <f t="shared" si="44"/>
        <v/>
      </c>
      <c r="G759" s="382">
        <f>'Portefeuille SP2'!C784</f>
        <v>0</v>
      </c>
      <c r="H759" s="382">
        <f>'Portefeuille SP2'!F784</f>
        <v>0</v>
      </c>
      <c r="I759" s="382"/>
      <c r="J759" s="382">
        <f>'Portefeuille SP2'!D784</f>
        <v>0</v>
      </c>
      <c r="K759" s="385">
        <f>'Portefeuille SP2'!H784</f>
        <v>0</v>
      </c>
      <c r="L759" s="157">
        <f>'Portefeuille SP2'!U784</f>
        <v>0</v>
      </c>
      <c r="M759" s="386"/>
      <c r="N759" s="386"/>
      <c r="O759" s="386"/>
      <c r="P759" s="387">
        <f>'Portefeuille SP2'!M784</f>
        <v>0</v>
      </c>
      <c r="Q759" s="387"/>
      <c r="R759" s="387">
        <f>'Portefeuille SP2'!N784</f>
        <v>0</v>
      </c>
      <c r="S759" s="387"/>
      <c r="T759" s="382">
        <f>'Portefeuille SP2'!R784</f>
        <v>0</v>
      </c>
      <c r="U759" s="387">
        <f>'Portefeuille SP2'!K784</f>
        <v>0</v>
      </c>
      <c r="V759" s="399">
        <f>'Portefeuille SP2'!S784</f>
        <v>0</v>
      </c>
      <c r="W759" s="387"/>
      <c r="X759" s="387"/>
      <c r="Y759" s="387"/>
      <c r="Z759" s="387"/>
      <c r="AA759" s="387"/>
      <c r="AB759" s="387"/>
      <c r="AC759" s="387"/>
      <c r="AD759" s="387"/>
      <c r="AE759" s="400">
        <f>'Portefeuille SP2'!J784</f>
        <v>0</v>
      </c>
      <c r="AF759" s="387"/>
      <c r="AG759" s="387"/>
      <c r="AH759" s="389"/>
      <c r="AI759" s="389"/>
      <c r="AJ759" s="403">
        <f>'Portefeuille SP2'!V784</f>
        <v>0</v>
      </c>
      <c r="AK759" s="403">
        <f>'Portefeuille SP2'!W784</f>
        <v>0</v>
      </c>
      <c r="AL759" s="403">
        <f>'Portefeuille SP2'!X784</f>
        <v>0</v>
      </c>
      <c r="AM759" s="403">
        <f>'Portefeuille SP2'!Y784</f>
        <v>0</v>
      </c>
      <c r="AN759" s="403">
        <f>'Portefeuille SP2'!Z784</f>
        <v>0</v>
      </c>
      <c r="AO759" s="403">
        <f>'Portefeuille SP2'!AA784</f>
        <v>0</v>
      </c>
      <c r="AP759" s="403">
        <f>'Portefeuille SP2'!AB784</f>
        <v>0</v>
      </c>
      <c r="AQ759" s="403">
        <f>'Portefeuille SP2'!AC784</f>
        <v>0</v>
      </c>
      <c r="AR759" s="403">
        <f>'Portefeuille SP2'!AD784</f>
        <v>0</v>
      </c>
      <c r="AS759" s="403">
        <f>'Portefeuille SP2'!AE784</f>
        <v>0</v>
      </c>
      <c r="AT759" s="403">
        <f>'Portefeuille SP2'!AF784</f>
        <v>0</v>
      </c>
      <c r="AU759" s="403">
        <f>'Portefeuille SP2'!AG784</f>
        <v>0</v>
      </c>
      <c r="AV759" s="403">
        <f>'Portefeuille SP2'!AH784</f>
        <v>0</v>
      </c>
      <c r="AW759" s="403">
        <f>'Portefeuille SP2'!AI784</f>
        <v>0</v>
      </c>
      <c r="AX759" s="403">
        <f>'Portefeuille SP2'!AJ784</f>
        <v>0</v>
      </c>
      <c r="AY759" s="403">
        <f>'Portefeuille SP2'!AK784</f>
        <v>0</v>
      </c>
      <c r="AZ759" s="403">
        <f>'Portefeuille SP2'!AL784</f>
        <v>0</v>
      </c>
      <c r="BA759" s="403">
        <f>'Portefeuille SP2'!AM784</f>
        <v>0</v>
      </c>
      <c r="BB759" s="403">
        <f>'Portefeuille SP2'!AN784</f>
        <v>0</v>
      </c>
      <c r="BC759" s="403">
        <f>'Portefeuille SP2'!AO784</f>
        <v>0</v>
      </c>
      <c r="BD759" s="403">
        <f>'Portefeuille SP2'!AP784</f>
        <v>0</v>
      </c>
      <c r="BE759" s="403">
        <f>'Portefeuille SP2'!AQ784</f>
        <v>0</v>
      </c>
      <c r="BF759" s="403">
        <f>'Portefeuille SP2'!AR784</f>
        <v>0</v>
      </c>
      <c r="BG759" s="403" t="e">
        <f>'Portefeuille SP2'!#REF!</f>
        <v>#REF!</v>
      </c>
      <c r="BH759" s="403" t="e">
        <f>'Portefeuille SP2'!#REF!</f>
        <v>#REF!</v>
      </c>
      <c r="BI759" s="403" t="e">
        <f>'Portefeuille SP2'!#REF!</f>
        <v>#REF!</v>
      </c>
      <c r="BJ759" s="403" t="e">
        <f>'Portefeuille SP2'!#REF!</f>
        <v>#REF!</v>
      </c>
      <c r="BK759" s="403" t="e">
        <f>'Portefeuille SP2'!#REF!</f>
        <v>#REF!</v>
      </c>
      <c r="BL759" s="388"/>
      <c r="BM759" s="404">
        <f>'Portefeuille SP2'!L784</f>
        <v>0</v>
      </c>
    </row>
    <row r="760" spans="1:65" ht="15" customHeight="1">
      <c r="A760" s="383">
        <f>'Portefeuille SP2'!B785</f>
        <v>0</v>
      </c>
      <c r="B760" s="390">
        <f>'Portefeuille SP2'!Q785</f>
        <v>0</v>
      </c>
      <c r="C760" s="384"/>
      <c r="D760" s="382">
        <f>'Portefeuille SP2'!E785</f>
        <v>0</v>
      </c>
      <c r="E760" s="382" t="str">
        <f t="shared" si="43"/>
        <v>0</v>
      </c>
      <c r="F760" s="382" t="str">
        <f t="shared" si="44"/>
        <v/>
      </c>
      <c r="G760" s="382">
        <f>'Portefeuille SP2'!C785</f>
        <v>0</v>
      </c>
      <c r="H760" s="382">
        <f>'Portefeuille SP2'!F785</f>
        <v>0</v>
      </c>
      <c r="I760" s="382"/>
      <c r="J760" s="382">
        <f>'Portefeuille SP2'!D785</f>
        <v>0</v>
      </c>
      <c r="K760" s="385">
        <f>'Portefeuille SP2'!H785</f>
        <v>0</v>
      </c>
      <c r="L760" s="157">
        <f>'Portefeuille SP2'!U785</f>
        <v>0</v>
      </c>
      <c r="M760" s="386"/>
      <c r="N760" s="386"/>
      <c r="O760" s="386"/>
      <c r="P760" s="387">
        <f>'Portefeuille SP2'!M785</f>
        <v>0</v>
      </c>
      <c r="Q760" s="387"/>
      <c r="R760" s="387">
        <f>'Portefeuille SP2'!N785</f>
        <v>0</v>
      </c>
      <c r="S760" s="387"/>
      <c r="T760" s="382">
        <f>'Portefeuille SP2'!R785</f>
        <v>0</v>
      </c>
      <c r="U760" s="387">
        <f>'Portefeuille SP2'!K785</f>
        <v>0</v>
      </c>
      <c r="V760" s="399">
        <f>'Portefeuille SP2'!S785</f>
        <v>0</v>
      </c>
      <c r="W760" s="387"/>
      <c r="X760" s="387"/>
      <c r="Y760" s="387"/>
      <c r="Z760" s="387"/>
      <c r="AA760" s="387"/>
      <c r="AB760" s="387"/>
      <c r="AC760" s="387"/>
      <c r="AD760" s="387"/>
      <c r="AE760" s="400">
        <f>'Portefeuille SP2'!J785</f>
        <v>0</v>
      </c>
      <c r="AF760" s="387"/>
      <c r="AG760" s="387"/>
      <c r="AH760" s="389"/>
      <c r="AI760" s="389"/>
      <c r="AJ760" s="403">
        <f>'Portefeuille SP2'!V785</f>
        <v>0</v>
      </c>
      <c r="AK760" s="403">
        <f>'Portefeuille SP2'!W785</f>
        <v>0</v>
      </c>
      <c r="AL760" s="403">
        <f>'Portefeuille SP2'!X785</f>
        <v>0</v>
      </c>
      <c r="AM760" s="403">
        <f>'Portefeuille SP2'!Y785</f>
        <v>0</v>
      </c>
      <c r="AN760" s="403">
        <f>'Portefeuille SP2'!Z785</f>
        <v>0</v>
      </c>
      <c r="AO760" s="403">
        <f>'Portefeuille SP2'!AA785</f>
        <v>0</v>
      </c>
      <c r="AP760" s="403">
        <f>'Portefeuille SP2'!AB785</f>
        <v>0</v>
      </c>
      <c r="AQ760" s="403">
        <f>'Portefeuille SP2'!AC785</f>
        <v>0</v>
      </c>
      <c r="AR760" s="403">
        <f>'Portefeuille SP2'!AD785</f>
        <v>0</v>
      </c>
      <c r="AS760" s="403">
        <f>'Portefeuille SP2'!AE785</f>
        <v>0</v>
      </c>
      <c r="AT760" s="403">
        <f>'Portefeuille SP2'!AF785</f>
        <v>0</v>
      </c>
      <c r="AU760" s="403">
        <f>'Portefeuille SP2'!AG785</f>
        <v>0</v>
      </c>
      <c r="AV760" s="403">
        <f>'Portefeuille SP2'!AH785</f>
        <v>0</v>
      </c>
      <c r="AW760" s="403">
        <f>'Portefeuille SP2'!AI785</f>
        <v>0</v>
      </c>
      <c r="AX760" s="403">
        <f>'Portefeuille SP2'!AJ785</f>
        <v>0</v>
      </c>
      <c r="AY760" s="403">
        <f>'Portefeuille SP2'!AK785</f>
        <v>0</v>
      </c>
      <c r="AZ760" s="403">
        <f>'Portefeuille SP2'!AL785</f>
        <v>0</v>
      </c>
      <c r="BA760" s="403">
        <f>'Portefeuille SP2'!AM785</f>
        <v>0</v>
      </c>
      <c r="BB760" s="403">
        <f>'Portefeuille SP2'!AN785</f>
        <v>0</v>
      </c>
      <c r="BC760" s="403">
        <f>'Portefeuille SP2'!AO785</f>
        <v>0</v>
      </c>
      <c r="BD760" s="403">
        <f>'Portefeuille SP2'!AP785</f>
        <v>0</v>
      </c>
      <c r="BE760" s="403">
        <f>'Portefeuille SP2'!AQ785</f>
        <v>0</v>
      </c>
      <c r="BF760" s="403">
        <f>'Portefeuille SP2'!AR785</f>
        <v>0</v>
      </c>
      <c r="BG760" s="403" t="e">
        <f>'Portefeuille SP2'!#REF!</f>
        <v>#REF!</v>
      </c>
      <c r="BH760" s="403" t="e">
        <f>'Portefeuille SP2'!#REF!</f>
        <v>#REF!</v>
      </c>
      <c r="BI760" s="403" t="e">
        <f>'Portefeuille SP2'!#REF!</f>
        <v>#REF!</v>
      </c>
      <c r="BJ760" s="403" t="e">
        <f>'Portefeuille SP2'!#REF!</f>
        <v>#REF!</v>
      </c>
      <c r="BK760" s="403" t="e">
        <f>'Portefeuille SP2'!#REF!</f>
        <v>#REF!</v>
      </c>
      <c r="BL760" s="388"/>
      <c r="BM760" s="404">
        <f>'Portefeuille SP2'!L785</f>
        <v>0</v>
      </c>
    </row>
    <row r="761" spans="1:65" ht="15" customHeight="1">
      <c r="A761" s="383">
        <f>'Portefeuille SP2'!B786</f>
        <v>0</v>
      </c>
      <c r="B761" s="390">
        <f>'Portefeuille SP2'!Q786</f>
        <v>0</v>
      </c>
      <c r="C761" s="384"/>
      <c r="D761" s="382">
        <f>'Portefeuille SP2'!E786</f>
        <v>0</v>
      </c>
      <c r="E761" s="382" t="str">
        <f t="shared" si="43"/>
        <v>0</v>
      </c>
      <c r="F761" s="382" t="str">
        <f t="shared" si="44"/>
        <v/>
      </c>
      <c r="G761" s="382">
        <f>'Portefeuille SP2'!C786</f>
        <v>0</v>
      </c>
      <c r="H761" s="382">
        <f>'Portefeuille SP2'!F786</f>
        <v>0</v>
      </c>
      <c r="I761" s="382"/>
      <c r="J761" s="382">
        <f>'Portefeuille SP2'!D786</f>
        <v>0</v>
      </c>
      <c r="K761" s="385">
        <f>'Portefeuille SP2'!H786</f>
        <v>0</v>
      </c>
      <c r="L761" s="157">
        <f>'Portefeuille SP2'!U786</f>
        <v>0</v>
      </c>
      <c r="M761" s="386"/>
      <c r="N761" s="386"/>
      <c r="O761" s="386"/>
      <c r="P761" s="387">
        <f>'Portefeuille SP2'!M786</f>
        <v>0</v>
      </c>
      <c r="Q761" s="387"/>
      <c r="R761" s="387">
        <f>'Portefeuille SP2'!N786</f>
        <v>0</v>
      </c>
      <c r="S761" s="387"/>
      <c r="T761" s="382">
        <f>'Portefeuille SP2'!R786</f>
        <v>0</v>
      </c>
      <c r="U761" s="387">
        <f>'Portefeuille SP2'!K786</f>
        <v>0</v>
      </c>
      <c r="V761" s="399">
        <f>'Portefeuille SP2'!S786</f>
        <v>0</v>
      </c>
      <c r="W761" s="387"/>
      <c r="X761" s="387"/>
      <c r="Y761" s="387"/>
      <c r="Z761" s="387"/>
      <c r="AA761" s="387"/>
      <c r="AB761" s="387"/>
      <c r="AC761" s="387"/>
      <c r="AD761" s="387"/>
      <c r="AE761" s="400">
        <f>'Portefeuille SP2'!J786</f>
        <v>0</v>
      </c>
      <c r="AF761" s="387"/>
      <c r="AG761" s="387"/>
      <c r="AH761" s="389"/>
      <c r="AI761" s="389"/>
      <c r="AJ761" s="403">
        <f>'Portefeuille SP2'!V786</f>
        <v>0</v>
      </c>
      <c r="AK761" s="403">
        <f>'Portefeuille SP2'!W786</f>
        <v>0</v>
      </c>
      <c r="AL761" s="403">
        <f>'Portefeuille SP2'!X786</f>
        <v>0</v>
      </c>
      <c r="AM761" s="403">
        <f>'Portefeuille SP2'!Y786</f>
        <v>0</v>
      </c>
      <c r="AN761" s="403">
        <f>'Portefeuille SP2'!Z786</f>
        <v>0</v>
      </c>
      <c r="AO761" s="403">
        <f>'Portefeuille SP2'!AA786</f>
        <v>0</v>
      </c>
      <c r="AP761" s="403">
        <f>'Portefeuille SP2'!AB786</f>
        <v>0</v>
      </c>
      <c r="AQ761" s="403">
        <f>'Portefeuille SP2'!AC786</f>
        <v>0</v>
      </c>
      <c r="AR761" s="403">
        <f>'Portefeuille SP2'!AD786</f>
        <v>0</v>
      </c>
      <c r="AS761" s="403">
        <f>'Portefeuille SP2'!AE786</f>
        <v>0</v>
      </c>
      <c r="AT761" s="403">
        <f>'Portefeuille SP2'!AF786</f>
        <v>0</v>
      </c>
      <c r="AU761" s="403">
        <f>'Portefeuille SP2'!AG786</f>
        <v>0</v>
      </c>
      <c r="AV761" s="403">
        <f>'Portefeuille SP2'!AH786</f>
        <v>0</v>
      </c>
      <c r="AW761" s="403">
        <f>'Portefeuille SP2'!AI786</f>
        <v>0</v>
      </c>
      <c r="AX761" s="403">
        <f>'Portefeuille SP2'!AJ786</f>
        <v>0</v>
      </c>
      <c r="AY761" s="403">
        <f>'Portefeuille SP2'!AK786</f>
        <v>0</v>
      </c>
      <c r="AZ761" s="403">
        <f>'Portefeuille SP2'!AL786</f>
        <v>0</v>
      </c>
      <c r="BA761" s="403">
        <f>'Portefeuille SP2'!AM786</f>
        <v>0</v>
      </c>
      <c r="BB761" s="403">
        <f>'Portefeuille SP2'!AN786</f>
        <v>0</v>
      </c>
      <c r="BC761" s="403">
        <f>'Portefeuille SP2'!AO786</f>
        <v>0</v>
      </c>
      <c r="BD761" s="403">
        <f>'Portefeuille SP2'!AP786</f>
        <v>0</v>
      </c>
      <c r="BE761" s="403">
        <f>'Portefeuille SP2'!AQ786</f>
        <v>0</v>
      </c>
      <c r="BF761" s="403">
        <f>'Portefeuille SP2'!AR786</f>
        <v>0</v>
      </c>
      <c r="BG761" s="403" t="e">
        <f>'Portefeuille SP2'!#REF!</f>
        <v>#REF!</v>
      </c>
      <c r="BH761" s="403" t="e">
        <f>'Portefeuille SP2'!#REF!</f>
        <v>#REF!</v>
      </c>
      <c r="BI761" s="403" t="e">
        <f>'Portefeuille SP2'!#REF!</f>
        <v>#REF!</v>
      </c>
      <c r="BJ761" s="403" t="e">
        <f>'Portefeuille SP2'!#REF!</f>
        <v>#REF!</v>
      </c>
      <c r="BK761" s="403" t="e">
        <f>'Portefeuille SP2'!#REF!</f>
        <v>#REF!</v>
      </c>
      <c r="BL761" s="388"/>
      <c r="BM761" s="404">
        <f>'Portefeuille SP2'!L786</f>
        <v>0</v>
      </c>
    </row>
    <row r="762" spans="1:65" ht="15" customHeight="1">
      <c r="A762" s="383">
        <f>'Portefeuille SP2'!B787</f>
        <v>0</v>
      </c>
      <c r="B762" s="390">
        <f>'Portefeuille SP2'!Q787</f>
        <v>0</v>
      </c>
      <c r="C762" s="384"/>
      <c r="D762" s="382">
        <f>'Portefeuille SP2'!E787</f>
        <v>0</v>
      </c>
      <c r="E762" s="382" t="str">
        <f t="shared" si="43"/>
        <v>0</v>
      </c>
      <c r="F762" s="382" t="str">
        <f t="shared" si="44"/>
        <v/>
      </c>
      <c r="G762" s="382">
        <f>'Portefeuille SP2'!C787</f>
        <v>0</v>
      </c>
      <c r="H762" s="382">
        <f>'Portefeuille SP2'!F787</f>
        <v>0</v>
      </c>
      <c r="I762" s="382"/>
      <c r="J762" s="382">
        <f>'Portefeuille SP2'!D787</f>
        <v>0</v>
      </c>
      <c r="K762" s="385">
        <f>'Portefeuille SP2'!H787</f>
        <v>0</v>
      </c>
      <c r="L762" s="157">
        <f>'Portefeuille SP2'!U787</f>
        <v>0</v>
      </c>
      <c r="M762" s="386"/>
      <c r="N762" s="386"/>
      <c r="O762" s="386"/>
      <c r="P762" s="387">
        <f>'Portefeuille SP2'!M787</f>
        <v>0</v>
      </c>
      <c r="Q762" s="387"/>
      <c r="R762" s="387">
        <f>'Portefeuille SP2'!N787</f>
        <v>0</v>
      </c>
      <c r="S762" s="387"/>
      <c r="T762" s="382">
        <f>'Portefeuille SP2'!R787</f>
        <v>0</v>
      </c>
      <c r="U762" s="387">
        <f>'Portefeuille SP2'!K787</f>
        <v>0</v>
      </c>
      <c r="V762" s="399">
        <f>'Portefeuille SP2'!S787</f>
        <v>0</v>
      </c>
      <c r="W762" s="387"/>
      <c r="X762" s="387"/>
      <c r="Y762" s="387"/>
      <c r="Z762" s="387"/>
      <c r="AA762" s="387"/>
      <c r="AB762" s="387"/>
      <c r="AC762" s="387"/>
      <c r="AD762" s="387"/>
      <c r="AE762" s="400">
        <f>'Portefeuille SP2'!J787</f>
        <v>0</v>
      </c>
      <c r="AF762" s="387"/>
      <c r="AG762" s="387"/>
      <c r="AH762" s="389"/>
      <c r="AI762" s="389"/>
      <c r="AJ762" s="403">
        <f>'Portefeuille SP2'!V787</f>
        <v>0</v>
      </c>
      <c r="AK762" s="403">
        <f>'Portefeuille SP2'!W787</f>
        <v>0</v>
      </c>
      <c r="AL762" s="403">
        <f>'Portefeuille SP2'!X787</f>
        <v>0</v>
      </c>
      <c r="AM762" s="403">
        <f>'Portefeuille SP2'!Y787</f>
        <v>0</v>
      </c>
      <c r="AN762" s="403">
        <f>'Portefeuille SP2'!Z787</f>
        <v>0</v>
      </c>
      <c r="AO762" s="403">
        <f>'Portefeuille SP2'!AA787</f>
        <v>0</v>
      </c>
      <c r="AP762" s="403">
        <f>'Portefeuille SP2'!AB787</f>
        <v>0</v>
      </c>
      <c r="AQ762" s="403">
        <f>'Portefeuille SP2'!AC787</f>
        <v>0</v>
      </c>
      <c r="AR762" s="403">
        <f>'Portefeuille SP2'!AD787</f>
        <v>0</v>
      </c>
      <c r="AS762" s="403">
        <f>'Portefeuille SP2'!AE787</f>
        <v>0</v>
      </c>
      <c r="AT762" s="403">
        <f>'Portefeuille SP2'!AF787</f>
        <v>0</v>
      </c>
      <c r="AU762" s="403">
        <f>'Portefeuille SP2'!AG787</f>
        <v>0</v>
      </c>
      <c r="AV762" s="403">
        <f>'Portefeuille SP2'!AH787</f>
        <v>0</v>
      </c>
      <c r="AW762" s="403">
        <f>'Portefeuille SP2'!AI787</f>
        <v>0</v>
      </c>
      <c r="AX762" s="403">
        <f>'Portefeuille SP2'!AJ787</f>
        <v>0</v>
      </c>
      <c r="AY762" s="403">
        <f>'Portefeuille SP2'!AK787</f>
        <v>0</v>
      </c>
      <c r="AZ762" s="403">
        <f>'Portefeuille SP2'!AL787</f>
        <v>0</v>
      </c>
      <c r="BA762" s="403">
        <f>'Portefeuille SP2'!AM787</f>
        <v>0</v>
      </c>
      <c r="BB762" s="403">
        <f>'Portefeuille SP2'!AN787</f>
        <v>0</v>
      </c>
      <c r="BC762" s="403">
        <f>'Portefeuille SP2'!AO787</f>
        <v>0</v>
      </c>
      <c r="BD762" s="403">
        <f>'Portefeuille SP2'!AP787</f>
        <v>0</v>
      </c>
      <c r="BE762" s="403">
        <f>'Portefeuille SP2'!AQ787</f>
        <v>0</v>
      </c>
      <c r="BF762" s="403">
        <f>'Portefeuille SP2'!AR787</f>
        <v>0</v>
      </c>
      <c r="BG762" s="403" t="e">
        <f>'Portefeuille SP2'!#REF!</f>
        <v>#REF!</v>
      </c>
      <c r="BH762" s="403" t="e">
        <f>'Portefeuille SP2'!#REF!</f>
        <v>#REF!</v>
      </c>
      <c r="BI762" s="403" t="e">
        <f>'Portefeuille SP2'!#REF!</f>
        <v>#REF!</v>
      </c>
      <c r="BJ762" s="403" t="e">
        <f>'Portefeuille SP2'!#REF!</f>
        <v>#REF!</v>
      </c>
      <c r="BK762" s="403" t="e">
        <f>'Portefeuille SP2'!#REF!</f>
        <v>#REF!</v>
      </c>
      <c r="BL762" s="388"/>
      <c r="BM762" s="404">
        <f>'Portefeuille SP2'!L787</f>
        <v>0</v>
      </c>
    </row>
    <row r="763" spans="1:65" ht="15" customHeight="1">
      <c r="A763" s="383">
        <f>'Portefeuille SP2'!B788</f>
        <v>0</v>
      </c>
      <c r="B763" s="390">
        <f>'Portefeuille SP2'!Q788</f>
        <v>0</v>
      </c>
      <c r="C763" s="384"/>
      <c r="D763" s="382">
        <f>'Portefeuille SP2'!E788</f>
        <v>0</v>
      </c>
      <c r="E763" s="382" t="str">
        <f t="shared" si="43"/>
        <v>0</v>
      </c>
      <c r="F763" s="382" t="str">
        <f t="shared" si="44"/>
        <v/>
      </c>
      <c r="G763" s="382">
        <f>'Portefeuille SP2'!C788</f>
        <v>0</v>
      </c>
      <c r="H763" s="382">
        <f>'Portefeuille SP2'!F788</f>
        <v>0</v>
      </c>
      <c r="I763" s="382"/>
      <c r="J763" s="382">
        <f>'Portefeuille SP2'!D788</f>
        <v>0</v>
      </c>
      <c r="K763" s="385">
        <f>'Portefeuille SP2'!H788</f>
        <v>0</v>
      </c>
      <c r="L763" s="157">
        <f>'Portefeuille SP2'!U788</f>
        <v>0</v>
      </c>
      <c r="M763" s="386"/>
      <c r="N763" s="386"/>
      <c r="O763" s="386"/>
      <c r="P763" s="387">
        <f>'Portefeuille SP2'!M788</f>
        <v>0</v>
      </c>
      <c r="Q763" s="387"/>
      <c r="R763" s="387">
        <f>'Portefeuille SP2'!N788</f>
        <v>0</v>
      </c>
      <c r="S763" s="387"/>
      <c r="T763" s="382">
        <f>'Portefeuille SP2'!R788</f>
        <v>0</v>
      </c>
      <c r="U763" s="387">
        <f>'Portefeuille SP2'!K788</f>
        <v>0</v>
      </c>
      <c r="V763" s="399">
        <f>'Portefeuille SP2'!S788</f>
        <v>0</v>
      </c>
      <c r="W763" s="387"/>
      <c r="X763" s="387"/>
      <c r="Y763" s="387"/>
      <c r="Z763" s="387"/>
      <c r="AA763" s="387"/>
      <c r="AB763" s="387"/>
      <c r="AC763" s="387"/>
      <c r="AD763" s="387"/>
      <c r="AE763" s="400">
        <f>'Portefeuille SP2'!J788</f>
        <v>0</v>
      </c>
      <c r="AF763" s="387"/>
      <c r="AG763" s="387"/>
      <c r="AH763" s="389"/>
      <c r="AI763" s="389"/>
      <c r="AJ763" s="403">
        <f>'Portefeuille SP2'!V788</f>
        <v>0</v>
      </c>
      <c r="AK763" s="403">
        <f>'Portefeuille SP2'!W788</f>
        <v>0</v>
      </c>
      <c r="AL763" s="403">
        <f>'Portefeuille SP2'!X788</f>
        <v>0</v>
      </c>
      <c r="AM763" s="403">
        <f>'Portefeuille SP2'!Y788</f>
        <v>0</v>
      </c>
      <c r="AN763" s="403">
        <f>'Portefeuille SP2'!Z788</f>
        <v>0</v>
      </c>
      <c r="AO763" s="403">
        <f>'Portefeuille SP2'!AA788</f>
        <v>0</v>
      </c>
      <c r="AP763" s="403">
        <f>'Portefeuille SP2'!AB788</f>
        <v>0</v>
      </c>
      <c r="AQ763" s="403">
        <f>'Portefeuille SP2'!AC788</f>
        <v>0</v>
      </c>
      <c r="AR763" s="403">
        <f>'Portefeuille SP2'!AD788</f>
        <v>0</v>
      </c>
      <c r="AS763" s="403">
        <f>'Portefeuille SP2'!AE788</f>
        <v>0</v>
      </c>
      <c r="AT763" s="403">
        <f>'Portefeuille SP2'!AF788</f>
        <v>0</v>
      </c>
      <c r="AU763" s="403">
        <f>'Portefeuille SP2'!AG788</f>
        <v>0</v>
      </c>
      <c r="AV763" s="403">
        <f>'Portefeuille SP2'!AH788</f>
        <v>0</v>
      </c>
      <c r="AW763" s="403">
        <f>'Portefeuille SP2'!AI788</f>
        <v>0</v>
      </c>
      <c r="AX763" s="403">
        <f>'Portefeuille SP2'!AJ788</f>
        <v>0</v>
      </c>
      <c r="AY763" s="403">
        <f>'Portefeuille SP2'!AK788</f>
        <v>0</v>
      </c>
      <c r="AZ763" s="403">
        <f>'Portefeuille SP2'!AL788</f>
        <v>0</v>
      </c>
      <c r="BA763" s="403">
        <f>'Portefeuille SP2'!AM788</f>
        <v>0</v>
      </c>
      <c r="BB763" s="403">
        <f>'Portefeuille SP2'!AN788</f>
        <v>0</v>
      </c>
      <c r="BC763" s="403">
        <f>'Portefeuille SP2'!AO788</f>
        <v>0</v>
      </c>
      <c r="BD763" s="403">
        <f>'Portefeuille SP2'!AP788</f>
        <v>0</v>
      </c>
      <c r="BE763" s="403">
        <f>'Portefeuille SP2'!AQ788</f>
        <v>0</v>
      </c>
      <c r="BF763" s="403">
        <f>'Portefeuille SP2'!AR788</f>
        <v>0</v>
      </c>
      <c r="BG763" s="403" t="e">
        <f>'Portefeuille SP2'!#REF!</f>
        <v>#REF!</v>
      </c>
      <c r="BH763" s="403" t="e">
        <f>'Portefeuille SP2'!#REF!</f>
        <v>#REF!</v>
      </c>
      <c r="BI763" s="403" t="e">
        <f>'Portefeuille SP2'!#REF!</f>
        <v>#REF!</v>
      </c>
      <c r="BJ763" s="403" t="e">
        <f>'Portefeuille SP2'!#REF!</f>
        <v>#REF!</v>
      </c>
      <c r="BK763" s="403" t="e">
        <f>'Portefeuille SP2'!#REF!</f>
        <v>#REF!</v>
      </c>
      <c r="BL763" s="388"/>
      <c r="BM763" s="404">
        <f>'Portefeuille SP2'!L788</f>
        <v>0</v>
      </c>
    </row>
    <row r="764" spans="1:65" ht="15" customHeight="1">
      <c r="A764" s="383">
        <f>'Portefeuille SP2'!B789</f>
        <v>0</v>
      </c>
      <c r="B764" s="390">
        <f>'Portefeuille SP2'!Q789</f>
        <v>0</v>
      </c>
      <c r="C764" s="384"/>
      <c r="D764" s="382">
        <f>'Portefeuille SP2'!E789</f>
        <v>0</v>
      </c>
      <c r="E764" s="382" t="str">
        <f t="shared" si="43"/>
        <v>0</v>
      </c>
      <c r="F764" s="382" t="str">
        <f t="shared" si="44"/>
        <v/>
      </c>
      <c r="G764" s="382">
        <f>'Portefeuille SP2'!C789</f>
        <v>0</v>
      </c>
      <c r="H764" s="382">
        <f>'Portefeuille SP2'!F789</f>
        <v>0</v>
      </c>
      <c r="I764" s="382"/>
      <c r="J764" s="382">
        <f>'Portefeuille SP2'!D789</f>
        <v>0</v>
      </c>
      <c r="K764" s="385">
        <f>'Portefeuille SP2'!H789</f>
        <v>0</v>
      </c>
      <c r="L764" s="157">
        <f>'Portefeuille SP2'!U789</f>
        <v>0</v>
      </c>
      <c r="M764" s="386"/>
      <c r="N764" s="386"/>
      <c r="O764" s="386"/>
      <c r="P764" s="387">
        <f>'Portefeuille SP2'!M789</f>
        <v>0</v>
      </c>
      <c r="Q764" s="387"/>
      <c r="R764" s="387">
        <f>'Portefeuille SP2'!N789</f>
        <v>0</v>
      </c>
      <c r="S764" s="387"/>
      <c r="T764" s="382">
        <f>'Portefeuille SP2'!R789</f>
        <v>0</v>
      </c>
      <c r="U764" s="387">
        <f>'Portefeuille SP2'!K789</f>
        <v>0</v>
      </c>
      <c r="V764" s="399">
        <f>'Portefeuille SP2'!S789</f>
        <v>0</v>
      </c>
      <c r="W764" s="387"/>
      <c r="X764" s="387"/>
      <c r="Y764" s="387"/>
      <c r="Z764" s="387"/>
      <c r="AA764" s="387"/>
      <c r="AB764" s="387"/>
      <c r="AC764" s="387"/>
      <c r="AD764" s="387"/>
      <c r="AE764" s="400">
        <f>'Portefeuille SP2'!J789</f>
        <v>0</v>
      </c>
      <c r="AF764" s="387"/>
      <c r="AG764" s="387"/>
      <c r="AH764" s="389"/>
      <c r="AI764" s="389"/>
      <c r="AJ764" s="403">
        <f>'Portefeuille SP2'!V789</f>
        <v>0</v>
      </c>
      <c r="AK764" s="403">
        <f>'Portefeuille SP2'!W789</f>
        <v>0</v>
      </c>
      <c r="AL764" s="403">
        <f>'Portefeuille SP2'!X789</f>
        <v>0</v>
      </c>
      <c r="AM764" s="403">
        <f>'Portefeuille SP2'!Y789</f>
        <v>0</v>
      </c>
      <c r="AN764" s="403">
        <f>'Portefeuille SP2'!Z789</f>
        <v>0</v>
      </c>
      <c r="AO764" s="403">
        <f>'Portefeuille SP2'!AA789</f>
        <v>0</v>
      </c>
      <c r="AP764" s="403">
        <f>'Portefeuille SP2'!AB789</f>
        <v>0</v>
      </c>
      <c r="AQ764" s="403">
        <f>'Portefeuille SP2'!AC789</f>
        <v>0</v>
      </c>
      <c r="AR764" s="403">
        <f>'Portefeuille SP2'!AD789</f>
        <v>0</v>
      </c>
      <c r="AS764" s="403">
        <f>'Portefeuille SP2'!AE789</f>
        <v>0</v>
      </c>
      <c r="AT764" s="403">
        <f>'Portefeuille SP2'!AF789</f>
        <v>0</v>
      </c>
      <c r="AU764" s="403">
        <f>'Portefeuille SP2'!AG789</f>
        <v>0</v>
      </c>
      <c r="AV764" s="403">
        <f>'Portefeuille SP2'!AH789</f>
        <v>0</v>
      </c>
      <c r="AW764" s="403">
        <f>'Portefeuille SP2'!AI789</f>
        <v>0</v>
      </c>
      <c r="AX764" s="403">
        <f>'Portefeuille SP2'!AJ789</f>
        <v>0</v>
      </c>
      <c r="AY764" s="403">
        <f>'Portefeuille SP2'!AK789</f>
        <v>0</v>
      </c>
      <c r="AZ764" s="403">
        <f>'Portefeuille SP2'!AL789</f>
        <v>0</v>
      </c>
      <c r="BA764" s="403">
        <f>'Portefeuille SP2'!AM789</f>
        <v>0</v>
      </c>
      <c r="BB764" s="403">
        <f>'Portefeuille SP2'!AN789</f>
        <v>0</v>
      </c>
      <c r="BC764" s="403">
        <f>'Portefeuille SP2'!AO789</f>
        <v>0</v>
      </c>
      <c r="BD764" s="403">
        <f>'Portefeuille SP2'!AP789</f>
        <v>0</v>
      </c>
      <c r="BE764" s="403">
        <f>'Portefeuille SP2'!AQ789</f>
        <v>0</v>
      </c>
      <c r="BF764" s="403">
        <f>'Portefeuille SP2'!AR789</f>
        <v>0</v>
      </c>
      <c r="BG764" s="403" t="e">
        <f>'Portefeuille SP2'!#REF!</f>
        <v>#REF!</v>
      </c>
      <c r="BH764" s="403" t="e">
        <f>'Portefeuille SP2'!#REF!</f>
        <v>#REF!</v>
      </c>
      <c r="BI764" s="403" t="e">
        <f>'Portefeuille SP2'!#REF!</f>
        <v>#REF!</v>
      </c>
      <c r="BJ764" s="403" t="e">
        <f>'Portefeuille SP2'!#REF!</f>
        <v>#REF!</v>
      </c>
      <c r="BK764" s="403" t="e">
        <f>'Portefeuille SP2'!#REF!</f>
        <v>#REF!</v>
      </c>
      <c r="BL764" s="388"/>
      <c r="BM764" s="404">
        <f>'Portefeuille SP2'!L789</f>
        <v>0</v>
      </c>
    </row>
    <row r="765" spans="1:65" ht="15" customHeight="1">
      <c r="A765" s="383">
        <f>'Portefeuille SP2'!B790</f>
        <v>0</v>
      </c>
      <c r="B765" s="390">
        <f>'Portefeuille SP2'!Q790</f>
        <v>0</v>
      </c>
      <c r="C765" s="384"/>
      <c r="D765" s="382">
        <f>'Portefeuille SP2'!E790</f>
        <v>0</v>
      </c>
      <c r="E765" s="382" t="str">
        <f t="shared" si="43"/>
        <v>0</v>
      </c>
      <c r="F765" s="382" t="str">
        <f t="shared" si="44"/>
        <v/>
      </c>
      <c r="G765" s="382">
        <f>'Portefeuille SP2'!C790</f>
        <v>0</v>
      </c>
      <c r="H765" s="382">
        <f>'Portefeuille SP2'!F790</f>
        <v>0</v>
      </c>
      <c r="I765" s="382"/>
      <c r="J765" s="382">
        <f>'Portefeuille SP2'!D790</f>
        <v>0</v>
      </c>
      <c r="K765" s="385">
        <f>'Portefeuille SP2'!H790</f>
        <v>0</v>
      </c>
      <c r="L765" s="157">
        <f>'Portefeuille SP2'!U790</f>
        <v>0</v>
      </c>
      <c r="M765" s="386"/>
      <c r="N765" s="386"/>
      <c r="O765" s="386"/>
      <c r="P765" s="387">
        <f>'Portefeuille SP2'!M790</f>
        <v>0</v>
      </c>
      <c r="Q765" s="387"/>
      <c r="R765" s="387">
        <f>'Portefeuille SP2'!N790</f>
        <v>0</v>
      </c>
      <c r="S765" s="387"/>
      <c r="T765" s="382">
        <f>'Portefeuille SP2'!R790</f>
        <v>0</v>
      </c>
      <c r="U765" s="387">
        <f>'Portefeuille SP2'!K790</f>
        <v>0</v>
      </c>
      <c r="V765" s="399">
        <f>'Portefeuille SP2'!S790</f>
        <v>0</v>
      </c>
      <c r="W765" s="387"/>
      <c r="X765" s="387"/>
      <c r="Y765" s="387"/>
      <c r="Z765" s="387"/>
      <c r="AA765" s="387"/>
      <c r="AB765" s="387"/>
      <c r="AC765" s="387"/>
      <c r="AD765" s="387"/>
      <c r="AE765" s="400">
        <f>'Portefeuille SP2'!J790</f>
        <v>0</v>
      </c>
      <c r="AF765" s="387"/>
      <c r="AG765" s="387"/>
      <c r="AH765" s="389"/>
      <c r="AI765" s="389"/>
      <c r="AJ765" s="403">
        <f>'Portefeuille SP2'!V790</f>
        <v>0</v>
      </c>
      <c r="AK765" s="403">
        <f>'Portefeuille SP2'!W790</f>
        <v>0</v>
      </c>
      <c r="AL765" s="403">
        <f>'Portefeuille SP2'!X790</f>
        <v>0</v>
      </c>
      <c r="AM765" s="403">
        <f>'Portefeuille SP2'!Y790</f>
        <v>0</v>
      </c>
      <c r="AN765" s="403">
        <f>'Portefeuille SP2'!Z790</f>
        <v>0</v>
      </c>
      <c r="AO765" s="403">
        <f>'Portefeuille SP2'!AA790</f>
        <v>0</v>
      </c>
      <c r="AP765" s="403">
        <f>'Portefeuille SP2'!AB790</f>
        <v>0</v>
      </c>
      <c r="AQ765" s="403">
        <f>'Portefeuille SP2'!AC790</f>
        <v>0</v>
      </c>
      <c r="AR765" s="403">
        <f>'Portefeuille SP2'!AD790</f>
        <v>0</v>
      </c>
      <c r="AS765" s="403">
        <f>'Portefeuille SP2'!AE790</f>
        <v>0</v>
      </c>
      <c r="AT765" s="403">
        <f>'Portefeuille SP2'!AF790</f>
        <v>0</v>
      </c>
      <c r="AU765" s="403">
        <f>'Portefeuille SP2'!AG790</f>
        <v>0</v>
      </c>
      <c r="AV765" s="403">
        <f>'Portefeuille SP2'!AH790</f>
        <v>0</v>
      </c>
      <c r="AW765" s="403">
        <f>'Portefeuille SP2'!AI790</f>
        <v>0</v>
      </c>
      <c r="AX765" s="403">
        <f>'Portefeuille SP2'!AJ790</f>
        <v>0</v>
      </c>
      <c r="AY765" s="403">
        <f>'Portefeuille SP2'!AK790</f>
        <v>0</v>
      </c>
      <c r="AZ765" s="403">
        <f>'Portefeuille SP2'!AL790</f>
        <v>0</v>
      </c>
      <c r="BA765" s="403">
        <f>'Portefeuille SP2'!AM790</f>
        <v>0</v>
      </c>
      <c r="BB765" s="403">
        <f>'Portefeuille SP2'!AN790</f>
        <v>0</v>
      </c>
      <c r="BC765" s="403">
        <f>'Portefeuille SP2'!AO790</f>
        <v>0</v>
      </c>
      <c r="BD765" s="403">
        <f>'Portefeuille SP2'!AP790</f>
        <v>0</v>
      </c>
      <c r="BE765" s="403">
        <f>'Portefeuille SP2'!AQ790</f>
        <v>0</v>
      </c>
      <c r="BF765" s="403">
        <f>'Portefeuille SP2'!AR790</f>
        <v>0</v>
      </c>
      <c r="BG765" s="403" t="e">
        <f>'Portefeuille SP2'!#REF!</f>
        <v>#REF!</v>
      </c>
      <c r="BH765" s="403" t="e">
        <f>'Portefeuille SP2'!#REF!</f>
        <v>#REF!</v>
      </c>
      <c r="BI765" s="403" t="e">
        <f>'Portefeuille SP2'!#REF!</f>
        <v>#REF!</v>
      </c>
      <c r="BJ765" s="403" t="e">
        <f>'Portefeuille SP2'!#REF!</f>
        <v>#REF!</v>
      </c>
      <c r="BK765" s="403" t="e">
        <f>'Portefeuille SP2'!#REF!</f>
        <v>#REF!</v>
      </c>
      <c r="BL765" s="388"/>
      <c r="BM765" s="404">
        <f>'Portefeuille SP2'!L790</f>
        <v>0</v>
      </c>
    </row>
    <row r="766" spans="1:65" ht="15" customHeight="1">
      <c r="A766" s="383">
        <f>'Portefeuille SP2'!B791</f>
        <v>0</v>
      </c>
      <c r="B766" s="390">
        <f>'Portefeuille SP2'!Q791</f>
        <v>0</v>
      </c>
      <c r="C766" s="384"/>
      <c r="D766" s="382">
        <f>'Portefeuille SP2'!E791</f>
        <v>0</v>
      </c>
      <c r="E766" s="382" t="str">
        <f t="shared" si="43"/>
        <v>0</v>
      </c>
      <c r="F766" s="382" t="str">
        <f t="shared" si="44"/>
        <v/>
      </c>
      <c r="G766" s="382">
        <f>'Portefeuille SP2'!C791</f>
        <v>0</v>
      </c>
      <c r="H766" s="382">
        <f>'Portefeuille SP2'!F791</f>
        <v>0</v>
      </c>
      <c r="I766" s="382"/>
      <c r="J766" s="382">
        <f>'Portefeuille SP2'!D791</f>
        <v>0</v>
      </c>
      <c r="K766" s="385">
        <f>'Portefeuille SP2'!H791</f>
        <v>0</v>
      </c>
      <c r="L766" s="157">
        <f>'Portefeuille SP2'!U791</f>
        <v>0</v>
      </c>
      <c r="M766" s="386"/>
      <c r="N766" s="386"/>
      <c r="O766" s="386"/>
      <c r="P766" s="387">
        <f>'Portefeuille SP2'!M791</f>
        <v>0</v>
      </c>
      <c r="Q766" s="387"/>
      <c r="R766" s="387">
        <f>'Portefeuille SP2'!N791</f>
        <v>0</v>
      </c>
      <c r="S766" s="387"/>
      <c r="T766" s="382">
        <f>'Portefeuille SP2'!R791</f>
        <v>0</v>
      </c>
      <c r="U766" s="387">
        <f>'Portefeuille SP2'!K791</f>
        <v>0</v>
      </c>
      <c r="V766" s="399">
        <f>'Portefeuille SP2'!S791</f>
        <v>0</v>
      </c>
      <c r="W766" s="387"/>
      <c r="X766" s="387"/>
      <c r="Y766" s="387"/>
      <c r="Z766" s="387"/>
      <c r="AA766" s="387"/>
      <c r="AB766" s="387"/>
      <c r="AC766" s="387"/>
      <c r="AD766" s="387"/>
      <c r="AE766" s="400">
        <f>'Portefeuille SP2'!J791</f>
        <v>0</v>
      </c>
      <c r="AF766" s="387"/>
      <c r="AG766" s="387"/>
      <c r="AH766" s="389"/>
      <c r="AI766" s="389"/>
      <c r="AJ766" s="403">
        <f>'Portefeuille SP2'!V791</f>
        <v>0</v>
      </c>
      <c r="AK766" s="403">
        <f>'Portefeuille SP2'!W791</f>
        <v>0</v>
      </c>
      <c r="AL766" s="403">
        <f>'Portefeuille SP2'!X791</f>
        <v>0</v>
      </c>
      <c r="AM766" s="403">
        <f>'Portefeuille SP2'!Y791</f>
        <v>0</v>
      </c>
      <c r="AN766" s="403">
        <f>'Portefeuille SP2'!Z791</f>
        <v>0</v>
      </c>
      <c r="AO766" s="403">
        <f>'Portefeuille SP2'!AA791</f>
        <v>0</v>
      </c>
      <c r="AP766" s="403">
        <f>'Portefeuille SP2'!AB791</f>
        <v>0</v>
      </c>
      <c r="AQ766" s="403">
        <f>'Portefeuille SP2'!AC791</f>
        <v>0</v>
      </c>
      <c r="AR766" s="403">
        <f>'Portefeuille SP2'!AD791</f>
        <v>0</v>
      </c>
      <c r="AS766" s="403">
        <f>'Portefeuille SP2'!AE791</f>
        <v>0</v>
      </c>
      <c r="AT766" s="403">
        <f>'Portefeuille SP2'!AF791</f>
        <v>0</v>
      </c>
      <c r="AU766" s="403">
        <f>'Portefeuille SP2'!AG791</f>
        <v>0</v>
      </c>
      <c r="AV766" s="403">
        <f>'Portefeuille SP2'!AH791</f>
        <v>0</v>
      </c>
      <c r="AW766" s="403">
        <f>'Portefeuille SP2'!AI791</f>
        <v>0</v>
      </c>
      <c r="AX766" s="403">
        <f>'Portefeuille SP2'!AJ791</f>
        <v>0</v>
      </c>
      <c r="AY766" s="403">
        <f>'Portefeuille SP2'!AK791</f>
        <v>0</v>
      </c>
      <c r="AZ766" s="403">
        <f>'Portefeuille SP2'!AL791</f>
        <v>0</v>
      </c>
      <c r="BA766" s="403">
        <f>'Portefeuille SP2'!AM791</f>
        <v>0</v>
      </c>
      <c r="BB766" s="403">
        <f>'Portefeuille SP2'!AN791</f>
        <v>0</v>
      </c>
      <c r="BC766" s="403">
        <f>'Portefeuille SP2'!AO791</f>
        <v>0</v>
      </c>
      <c r="BD766" s="403">
        <f>'Portefeuille SP2'!AP791</f>
        <v>0</v>
      </c>
      <c r="BE766" s="403">
        <f>'Portefeuille SP2'!AQ791</f>
        <v>0</v>
      </c>
      <c r="BF766" s="403">
        <f>'Portefeuille SP2'!AR791</f>
        <v>0</v>
      </c>
      <c r="BG766" s="403" t="e">
        <f>'Portefeuille SP2'!#REF!</f>
        <v>#REF!</v>
      </c>
      <c r="BH766" s="403" t="e">
        <f>'Portefeuille SP2'!#REF!</f>
        <v>#REF!</v>
      </c>
      <c r="BI766" s="403" t="e">
        <f>'Portefeuille SP2'!#REF!</f>
        <v>#REF!</v>
      </c>
      <c r="BJ766" s="403" t="e">
        <f>'Portefeuille SP2'!#REF!</f>
        <v>#REF!</v>
      </c>
      <c r="BK766" s="403" t="e">
        <f>'Portefeuille SP2'!#REF!</f>
        <v>#REF!</v>
      </c>
      <c r="BL766" s="388"/>
      <c r="BM766" s="404">
        <f>'Portefeuille SP2'!L791</f>
        <v>0</v>
      </c>
    </row>
    <row r="767" spans="1:65" ht="15" customHeight="1">
      <c r="A767" s="383">
        <f>'Portefeuille SP2'!B792</f>
        <v>0</v>
      </c>
      <c r="B767" s="390">
        <f>'Portefeuille SP2'!Q792</f>
        <v>0</v>
      </c>
      <c r="C767" s="384"/>
      <c r="D767" s="382">
        <f>'Portefeuille SP2'!E792</f>
        <v>0</v>
      </c>
      <c r="E767" s="382" t="str">
        <f t="shared" si="43"/>
        <v>0</v>
      </c>
      <c r="F767" s="382" t="str">
        <f t="shared" si="44"/>
        <v/>
      </c>
      <c r="G767" s="382">
        <f>'Portefeuille SP2'!C792</f>
        <v>0</v>
      </c>
      <c r="H767" s="382">
        <f>'Portefeuille SP2'!F792</f>
        <v>0</v>
      </c>
      <c r="I767" s="382"/>
      <c r="J767" s="382">
        <f>'Portefeuille SP2'!D792</f>
        <v>0</v>
      </c>
      <c r="K767" s="385">
        <f>'Portefeuille SP2'!H792</f>
        <v>0</v>
      </c>
      <c r="L767" s="157">
        <f>'Portefeuille SP2'!U792</f>
        <v>0</v>
      </c>
      <c r="M767" s="386"/>
      <c r="N767" s="386"/>
      <c r="O767" s="386"/>
      <c r="P767" s="387">
        <f>'Portefeuille SP2'!M792</f>
        <v>0</v>
      </c>
      <c r="Q767" s="387"/>
      <c r="R767" s="387">
        <f>'Portefeuille SP2'!N792</f>
        <v>0</v>
      </c>
      <c r="S767" s="387"/>
      <c r="T767" s="382">
        <f>'Portefeuille SP2'!R792</f>
        <v>0</v>
      </c>
      <c r="U767" s="387">
        <f>'Portefeuille SP2'!K792</f>
        <v>0</v>
      </c>
      <c r="V767" s="399">
        <f>'Portefeuille SP2'!S792</f>
        <v>0</v>
      </c>
      <c r="W767" s="387"/>
      <c r="X767" s="387"/>
      <c r="Y767" s="387"/>
      <c r="Z767" s="387"/>
      <c r="AA767" s="387"/>
      <c r="AB767" s="387"/>
      <c r="AC767" s="387"/>
      <c r="AD767" s="387"/>
      <c r="AE767" s="400">
        <f>'Portefeuille SP2'!J792</f>
        <v>0</v>
      </c>
      <c r="AF767" s="387"/>
      <c r="AG767" s="387"/>
      <c r="AH767" s="389"/>
      <c r="AI767" s="389"/>
      <c r="AJ767" s="403">
        <f>'Portefeuille SP2'!V792</f>
        <v>0</v>
      </c>
      <c r="AK767" s="403">
        <f>'Portefeuille SP2'!W792</f>
        <v>0</v>
      </c>
      <c r="AL767" s="403">
        <f>'Portefeuille SP2'!X792</f>
        <v>0</v>
      </c>
      <c r="AM767" s="403">
        <f>'Portefeuille SP2'!Y792</f>
        <v>0</v>
      </c>
      <c r="AN767" s="403">
        <f>'Portefeuille SP2'!Z792</f>
        <v>0</v>
      </c>
      <c r="AO767" s="403">
        <f>'Portefeuille SP2'!AA792</f>
        <v>0</v>
      </c>
      <c r="AP767" s="403">
        <f>'Portefeuille SP2'!AB792</f>
        <v>0</v>
      </c>
      <c r="AQ767" s="403">
        <f>'Portefeuille SP2'!AC792</f>
        <v>0</v>
      </c>
      <c r="AR767" s="403">
        <f>'Portefeuille SP2'!AD792</f>
        <v>0</v>
      </c>
      <c r="AS767" s="403">
        <f>'Portefeuille SP2'!AE792</f>
        <v>0</v>
      </c>
      <c r="AT767" s="403">
        <f>'Portefeuille SP2'!AF792</f>
        <v>0</v>
      </c>
      <c r="AU767" s="403">
        <f>'Portefeuille SP2'!AG792</f>
        <v>0</v>
      </c>
      <c r="AV767" s="403">
        <f>'Portefeuille SP2'!AH792</f>
        <v>0</v>
      </c>
      <c r="AW767" s="403">
        <f>'Portefeuille SP2'!AI792</f>
        <v>0</v>
      </c>
      <c r="AX767" s="403">
        <f>'Portefeuille SP2'!AJ792</f>
        <v>0</v>
      </c>
      <c r="AY767" s="403">
        <f>'Portefeuille SP2'!AK792</f>
        <v>0</v>
      </c>
      <c r="AZ767" s="403">
        <f>'Portefeuille SP2'!AL792</f>
        <v>0</v>
      </c>
      <c r="BA767" s="403">
        <f>'Portefeuille SP2'!AM792</f>
        <v>0</v>
      </c>
      <c r="BB767" s="403">
        <f>'Portefeuille SP2'!AN792</f>
        <v>0</v>
      </c>
      <c r="BC767" s="403">
        <f>'Portefeuille SP2'!AO792</f>
        <v>0</v>
      </c>
      <c r="BD767" s="403">
        <f>'Portefeuille SP2'!AP792</f>
        <v>0</v>
      </c>
      <c r="BE767" s="403">
        <f>'Portefeuille SP2'!AQ792</f>
        <v>0</v>
      </c>
      <c r="BF767" s="403">
        <f>'Portefeuille SP2'!AR792</f>
        <v>0</v>
      </c>
      <c r="BG767" s="403" t="e">
        <f>'Portefeuille SP2'!#REF!</f>
        <v>#REF!</v>
      </c>
      <c r="BH767" s="403" t="e">
        <f>'Portefeuille SP2'!#REF!</f>
        <v>#REF!</v>
      </c>
      <c r="BI767" s="403" t="e">
        <f>'Portefeuille SP2'!#REF!</f>
        <v>#REF!</v>
      </c>
      <c r="BJ767" s="403" t="e">
        <f>'Portefeuille SP2'!#REF!</f>
        <v>#REF!</v>
      </c>
      <c r="BK767" s="403" t="e">
        <f>'Portefeuille SP2'!#REF!</f>
        <v>#REF!</v>
      </c>
      <c r="BL767" s="388"/>
      <c r="BM767" s="404">
        <f>'Portefeuille SP2'!L792</f>
        <v>0</v>
      </c>
    </row>
    <row r="768" spans="1:65" ht="15" customHeight="1">
      <c r="A768" s="383">
        <f>'Portefeuille SP2'!B793</f>
        <v>0</v>
      </c>
      <c r="B768" s="390">
        <f>'Portefeuille SP2'!Q793</f>
        <v>0</v>
      </c>
      <c r="C768" s="384"/>
      <c r="D768" s="382">
        <f>'Portefeuille SP2'!E793</f>
        <v>0</v>
      </c>
      <c r="E768" s="382" t="str">
        <f t="shared" si="43"/>
        <v>0</v>
      </c>
      <c r="F768" s="382" t="str">
        <f t="shared" si="44"/>
        <v/>
      </c>
      <c r="G768" s="382">
        <f>'Portefeuille SP2'!C793</f>
        <v>0</v>
      </c>
      <c r="H768" s="382">
        <f>'Portefeuille SP2'!F793</f>
        <v>0</v>
      </c>
      <c r="I768" s="382"/>
      <c r="J768" s="382">
        <f>'Portefeuille SP2'!D793</f>
        <v>0</v>
      </c>
      <c r="K768" s="385">
        <f>'Portefeuille SP2'!H793</f>
        <v>0</v>
      </c>
      <c r="L768" s="157">
        <f>'Portefeuille SP2'!U793</f>
        <v>0</v>
      </c>
      <c r="M768" s="386"/>
      <c r="N768" s="386"/>
      <c r="O768" s="386"/>
      <c r="P768" s="387">
        <f>'Portefeuille SP2'!M793</f>
        <v>0</v>
      </c>
      <c r="Q768" s="387"/>
      <c r="R768" s="387">
        <f>'Portefeuille SP2'!N793</f>
        <v>0</v>
      </c>
      <c r="S768" s="387"/>
      <c r="T768" s="382">
        <f>'Portefeuille SP2'!R793</f>
        <v>0</v>
      </c>
      <c r="U768" s="387">
        <f>'Portefeuille SP2'!K793</f>
        <v>0</v>
      </c>
      <c r="V768" s="399">
        <f>'Portefeuille SP2'!S793</f>
        <v>0</v>
      </c>
      <c r="W768" s="387"/>
      <c r="X768" s="387"/>
      <c r="Y768" s="387"/>
      <c r="Z768" s="387"/>
      <c r="AA768" s="387"/>
      <c r="AB768" s="387"/>
      <c r="AC768" s="387"/>
      <c r="AD768" s="387"/>
      <c r="AE768" s="400">
        <f>'Portefeuille SP2'!J793</f>
        <v>0</v>
      </c>
      <c r="AF768" s="387"/>
      <c r="AG768" s="387"/>
      <c r="AH768" s="389"/>
      <c r="AI768" s="389"/>
      <c r="AJ768" s="403">
        <f>'Portefeuille SP2'!V793</f>
        <v>0</v>
      </c>
      <c r="AK768" s="403">
        <f>'Portefeuille SP2'!W793</f>
        <v>0</v>
      </c>
      <c r="AL768" s="403">
        <f>'Portefeuille SP2'!X793</f>
        <v>0</v>
      </c>
      <c r="AM768" s="403">
        <f>'Portefeuille SP2'!Y793</f>
        <v>0</v>
      </c>
      <c r="AN768" s="403">
        <f>'Portefeuille SP2'!Z793</f>
        <v>0</v>
      </c>
      <c r="AO768" s="403">
        <f>'Portefeuille SP2'!AA793</f>
        <v>0</v>
      </c>
      <c r="AP768" s="403">
        <f>'Portefeuille SP2'!AB793</f>
        <v>0</v>
      </c>
      <c r="AQ768" s="403">
        <f>'Portefeuille SP2'!AC793</f>
        <v>0</v>
      </c>
      <c r="AR768" s="403">
        <f>'Portefeuille SP2'!AD793</f>
        <v>0</v>
      </c>
      <c r="AS768" s="403">
        <f>'Portefeuille SP2'!AE793</f>
        <v>0</v>
      </c>
      <c r="AT768" s="403">
        <f>'Portefeuille SP2'!AF793</f>
        <v>0</v>
      </c>
      <c r="AU768" s="403">
        <f>'Portefeuille SP2'!AG793</f>
        <v>0</v>
      </c>
      <c r="AV768" s="403">
        <f>'Portefeuille SP2'!AH793</f>
        <v>0</v>
      </c>
      <c r="AW768" s="403">
        <f>'Portefeuille SP2'!AI793</f>
        <v>0</v>
      </c>
      <c r="AX768" s="403">
        <f>'Portefeuille SP2'!AJ793</f>
        <v>0</v>
      </c>
      <c r="AY768" s="403">
        <f>'Portefeuille SP2'!AK793</f>
        <v>0</v>
      </c>
      <c r="AZ768" s="403">
        <f>'Portefeuille SP2'!AL793</f>
        <v>0</v>
      </c>
      <c r="BA768" s="403">
        <f>'Portefeuille SP2'!AM793</f>
        <v>0</v>
      </c>
      <c r="BB768" s="403">
        <f>'Portefeuille SP2'!AN793</f>
        <v>0</v>
      </c>
      <c r="BC768" s="403">
        <f>'Portefeuille SP2'!AO793</f>
        <v>0</v>
      </c>
      <c r="BD768" s="403">
        <f>'Portefeuille SP2'!AP793</f>
        <v>0</v>
      </c>
      <c r="BE768" s="403">
        <f>'Portefeuille SP2'!AQ793</f>
        <v>0</v>
      </c>
      <c r="BF768" s="403">
        <f>'Portefeuille SP2'!AR793</f>
        <v>0</v>
      </c>
      <c r="BG768" s="403" t="e">
        <f>'Portefeuille SP2'!#REF!</f>
        <v>#REF!</v>
      </c>
      <c r="BH768" s="403" t="e">
        <f>'Portefeuille SP2'!#REF!</f>
        <v>#REF!</v>
      </c>
      <c r="BI768" s="403" t="e">
        <f>'Portefeuille SP2'!#REF!</f>
        <v>#REF!</v>
      </c>
      <c r="BJ768" s="403" t="e">
        <f>'Portefeuille SP2'!#REF!</f>
        <v>#REF!</v>
      </c>
      <c r="BK768" s="403" t="e">
        <f>'Portefeuille SP2'!#REF!</f>
        <v>#REF!</v>
      </c>
      <c r="BL768" s="388"/>
      <c r="BM768" s="404">
        <f>'Portefeuille SP2'!L793</f>
        <v>0</v>
      </c>
    </row>
    <row r="769" spans="1:65" ht="15" customHeight="1">
      <c r="A769" s="383">
        <f>'Portefeuille SP2'!B794</f>
        <v>0</v>
      </c>
      <c r="B769" s="390">
        <f>'Portefeuille SP2'!Q794</f>
        <v>0</v>
      </c>
      <c r="C769" s="384"/>
      <c r="D769" s="382">
        <f>'Portefeuille SP2'!E794</f>
        <v>0</v>
      </c>
      <c r="E769" s="382" t="str">
        <f t="shared" si="43"/>
        <v>0</v>
      </c>
      <c r="F769" s="382" t="str">
        <f t="shared" si="44"/>
        <v/>
      </c>
      <c r="G769" s="382">
        <f>'Portefeuille SP2'!C794</f>
        <v>0</v>
      </c>
      <c r="H769" s="382">
        <f>'Portefeuille SP2'!F794</f>
        <v>0</v>
      </c>
      <c r="I769" s="382"/>
      <c r="J769" s="382">
        <f>'Portefeuille SP2'!D794</f>
        <v>0</v>
      </c>
      <c r="K769" s="385">
        <f>'Portefeuille SP2'!H794</f>
        <v>0</v>
      </c>
      <c r="L769" s="157">
        <f>'Portefeuille SP2'!U794</f>
        <v>0</v>
      </c>
      <c r="M769" s="386"/>
      <c r="N769" s="386"/>
      <c r="O769" s="386"/>
      <c r="P769" s="387">
        <f>'Portefeuille SP2'!M794</f>
        <v>0</v>
      </c>
      <c r="Q769" s="387"/>
      <c r="R769" s="387">
        <f>'Portefeuille SP2'!N794</f>
        <v>0</v>
      </c>
      <c r="S769" s="387"/>
      <c r="T769" s="382">
        <f>'Portefeuille SP2'!R794</f>
        <v>0</v>
      </c>
      <c r="U769" s="387">
        <f>'Portefeuille SP2'!K794</f>
        <v>0</v>
      </c>
      <c r="V769" s="399">
        <f>'Portefeuille SP2'!S794</f>
        <v>0</v>
      </c>
      <c r="W769" s="387"/>
      <c r="X769" s="387"/>
      <c r="Y769" s="387"/>
      <c r="Z769" s="387"/>
      <c r="AA769" s="387"/>
      <c r="AB769" s="387"/>
      <c r="AC769" s="387"/>
      <c r="AD769" s="387"/>
      <c r="AE769" s="400">
        <f>'Portefeuille SP2'!J794</f>
        <v>0</v>
      </c>
      <c r="AF769" s="387"/>
      <c r="AG769" s="387"/>
      <c r="AH769" s="389"/>
      <c r="AI769" s="389"/>
      <c r="AJ769" s="403">
        <f>'Portefeuille SP2'!V794</f>
        <v>0</v>
      </c>
      <c r="AK769" s="403">
        <f>'Portefeuille SP2'!W794</f>
        <v>0</v>
      </c>
      <c r="AL769" s="403">
        <f>'Portefeuille SP2'!X794</f>
        <v>0</v>
      </c>
      <c r="AM769" s="403">
        <f>'Portefeuille SP2'!Y794</f>
        <v>0</v>
      </c>
      <c r="AN769" s="403">
        <f>'Portefeuille SP2'!Z794</f>
        <v>0</v>
      </c>
      <c r="AO769" s="403">
        <f>'Portefeuille SP2'!AA794</f>
        <v>0</v>
      </c>
      <c r="AP769" s="403">
        <f>'Portefeuille SP2'!AB794</f>
        <v>0</v>
      </c>
      <c r="AQ769" s="403">
        <f>'Portefeuille SP2'!AC794</f>
        <v>0</v>
      </c>
      <c r="AR769" s="403">
        <f>'Portefeuille SP2'!AD794</f>
        <v>0</v>
      </c>
      <c r="AS769" s="403">
        <f>'Portefeuille SP2'!AE794</f>
        <v>0</v>
      </c>
      <c r="AT769" s="403">
        <f>'Portefeuille SP2'!AF794</f>
        <v>0</v>
      </c>
      <c r="AU769" s="403">
        <f>'Portefeuille SP2'!AG794</f>
        <v>0</v>
      </c>
      <c r="AV769" s="403">
        <f>'Portefeuille SP2'!AH794</f>
        <v>0</v>
      </c>
      <c r="AW769" s="403">
        <f>'Portefeuille SP2'!AI794</f>
        <v>0</v>
      </c>
      <c r="AX769" s="403">
        <f>'Portefeuille SP2'!AJ794</f>
        <v>0</v>
      </c>
      <c r="AY769" s="403">
        <f>'Portefeuille SP2'!AK794</f>
        <v>0</v>
      </c>
      <c r="AZ769" s="403">
        <f>'Portefeuille SP2'!AL794</f>
        <v>0</v>
      </c>
      <c r="BA769" s="403">
        <f>'Portefeuille SP2'!AM794</f>
        <v>0</v>
      </c>
      <c r="BB769" s="403">
        <f>'Portefeuille SP2'!AN794</f>
        <v>0</v>
      </c>
      <c r="BC769" s="403">
        <f>'Portefeuille SP2'!AO794</f>
        <v>0</v>
      </c>
      <c r="BD769" s="403">
        <f>'Portefeuille SP2'!AP794</f>
        <v>0</v>
      </c>
      <c r="BE769" s="403">
        <f>'Portefeuille SP2'!AQ794</f>
        <v>0</v>
      </c>
      <c r="BF769" s="403">
        <f>'Portefeuille SP2'!AR794</f>
        <v>0</v>
      </c>
      <c r="BG769" s="403" t="e">
        <f>'Portefeuille SP2'!#REF!</f>
        <v>#REF!</v>
      </c>
      <c r="BH769" s="403" t="e">
        <f>'Portefeuille SP2'!#REF!</f>
        <v>#REF!</v>
      </c>
      <c r="BI769" s="403" t="e">
        <f>'Portefeuille SP2'!#REF!</f>
        <v>#REF!</v>
      </c>
      <c r="BJ769" s="403" t="e">
        <f>'Portefeuille SP2'!#REF!</f>
        <v>#REF!</v>
      </c>
      <c r="BK769" s="403" t="e">
        <f>'Portefeuille SP2'!#REF!</f>
        <v>#REF!</v>
      </c>
      <c r="BL769" s="388"/>
      <c r="BM769" s="404">
        <f>'Portefeuille SP2'!L794</f>
        <v>0</v>
      </c>
    </row>
    <row r="770" spans="1:65" ht="15" customHeight="1">
      <c r="A770" s="383">
        <f>'Portefeuille SP2'!B795</f>
        <v>0</v>
      </c>
      <c r="B770" s="390">
        <f>'Portefeuille SP2'!Q795</f>
        <v>0</v>
      </c>
      <c r="C770" s="384"/>
      <c r="D770" s="382">
        <f>'Portefeuille SP2'!E795</f>
        <v>0</v>
      </c>
      <c r="E770" s="382" t="str">
        <f t="shared" si="43"/>
        <v>0</v>
      </c>
      <c r="F770" s="382" t="str">
        <f t="shared" si="44"/>
        <v/>
      </c>
      <c r="G770" s="382">
        <f>'Portefeuille SP2'!C795</f>
        <v>0</v>
      </c>
      <c r="H770" s="382">
        <f>'Portefeuille SP2'!F795</f>
        <v>0</v>
      </c>
      <c r="I770" s="382"/>
      <c r="J770" s="382">
        <f>'Portefeuille SP2'!D795</f>
        <v>0</v>
      </c>
      <c r="K770" s="385">
        <f>'Portefeuille SP2'!H795</f>
        <v>0</v>
      </c>
      <c r="L770" s="157">
        <f>'Portefeuille SP2'!U795</f>
        <v>0</v>
      </c>
      <c r="M770" s="386"/>
      <c r="N770" s="386"/>
      <c r="O770" s="386"/>
      <c r="P770" s="387">
        <f>'Portefeuille SP2'!M795</f>
        <v>0</v>
      </c>
      <c r="Q770" s="387"/>
      <c r="R770" s="387">
        <f>'Portefeuille SP2'!N795</f>
        <v>0</v>
      </c>
      <c r="S770" s="387"/>
      <c r="T770" s="382">
        <f>'Portefeuille SP2'!R795</f>
        <v>0</v>
      </c>
      <c r="U770" s="387">
        <f>'Portefeuille SP2'!K795</f>
        <v>0</v>
      </c>
      <c r="V770" s="399">
        <f>'Portefeuille SP2'!S795</f>
        <v>0</v>
      </c>
      <c r="W770" s="387"/>
      <c r="X770" s="387"/>
      <c r="Y770" s="387"/>
      <c r="Z770" s="387"/>
      <c r="AA770" s="387"/>
      <c r="AB770" s="387"/>
      <c r="AC770" s="387"/>
      <c r="AD770" s="387"/>
      <c r="AE770" s="400">
        <f>'Portefeuille SP2'!J795</f>
        <v>0</v>
      </c>
      <c r="AF770" s="387"/>
      <c r="AG770" s="387"/>
      <c r="AH770" s="389"/>
      <c r="AI770" s="389"/>
      <c r="AJ770" s="403">
        <f>'Portefeuille SP2'!V795</f>
        <v>0</v>
      </c>
      <c r="AK770" s="403">
        <f>'Portefeuille SP2'!W795</f>
        <v>0</v>
      </c>
      <c r="AL770" s="403">
        <f>'Portefeuille SP2'!X795</f>
        <v>0</v>
      </c>
      <c r="AM770" s="403">
        <f>'Portefeuille SP2'!Y795</f>
        <v>0</v>
      </c>
      <c r="AN770" s="403">
        <f>'Portefeuille SP2'!Z795</f>
        <v>0</v>
      </c>
      <c r="AO770" s="403">
        <f>'Portefeuille SP2'!AA795</f>
        <v>0</v>
      </c>
      <c r="AP770" s="403">
        <f>'Portefeuille SP2'!AB795</f>
        <v>0</v>
      </c>
      <c r="AQ770" s="403">
        <f>'Portefeuille SP2'!AC795</f>
        <v>0</v>
      </c>
      <c r="AR770" s="403">
        <f>'Portefeuille SP2'!AD795</f>
        <v>0</v>
      </c>
      <c r="AS770" s="403">
        <f>'Portefeuille SP2'!AE795</f>
        <v>0</v>
      </c>
      <c r="AT770" s="403">
        <f>'Portefeuille SP2'!AF795</f>
        <v>0</v>
      </c>
      <c r="AU770" s="403">
        <f>'Portefeuille SP2'!AG795</f>
        <v>0</v>
      </c>
      <c r="AV770" s="403">
        <f>'Portefeuille SP2'!AH795</f>
        <v>0</v>
      </c>
      <c r="AW770" s="403">
        <f>'Portefeuille SP2'!AI795</f>
        <v>0</v>
      </c>
      <c r="AX770" s="403">
        <f>'Portefeuille SP2'!AJ795</f>
        <v>0</v>
      </c>
      <c r="AY770" s="403">
        <f>'Portefeuille SP2'!AK795</f>
        <v>0</v>
      </c>
      <c r="AZ770" s="403">
        <f>'Portefeuille SP2'!AL795</f>
        <v>0</v>
      </c>
      <c r="BA770" s="403">
        <f>'Portefeuille SP2'!AM795</f>
        <v>0</v>
      </c>
      <c r="BB770" s="403">
        <f>'Portefeuille SP2'!AN795</f>
        <v>0</v>
      </c>
      <c r="BC770" s="403">
        <f>'Portefeuille SP2'!AO795</f>
        <v>0</v>
      </c>
      <c r="BD770" s="403">
        <f>'Portefeuille SP2'!AP795</f>
        <v>0</v>
      </c>
      <c r="BE770" s="403">
        <f>'Portefeuille SP2'!AQ795</f>
        <v>0</v>
      </c>
      <c r="BF770" s="403">
        <f>'Portefeuille SP2'!AR795</f>
        <v>0</v>
      </c>
      <c r="BG770" s="403" t="e">
        <f>'Portefeuille SP2'!#REF!</f>
        <v>#REF!</v>
      </c>
      <c r="BH770" s="403" t="e">
        <f>'Portefeuille SP2'!#REF!</f>
        <v>#REF!</v>
      </c>
      <c r="BI770" s="403" t="e">
        <f>'Portefeuille SP2'!#REF!</f>
        <v>#REF!</v>
      </c>
      <c r="BJ770" s="403" t="e">
        <f>'Portefeuille SP2'!#REF!</f>
        <v>#REF!</v>
      </c>
      <c r="BK770" s="403" t="e">
        <f>'Portefeuille SP2'!#REF!</f>
        <v>#REF!</v>
      </c>
      <c r="BL770" s="388"/>
      <c r="BM770" s="404">
        <f>'Portefeuille SP2'!L795</f>
        <v>0</v>
      </c>
    </row>
    <row r="771" spans="1:65" ht="15" customHeight="1">
      <c r="A771" s="383">
        <f>'Portefeuille SP2'!B796</f>
        <v>0</v>
      </c>
      <c r="B771" s="390">
        <f>'Portefeuille SP2'!Q796</f>
        <v>0</v>
      </c>
      <c r="C771" s="384"/>
      <c r="D771" s="382">
        <f>'Portefeuille SP2'!E796</f>
        <v>0</v>
      </c>
      <c r="E771" s="382" t="str">
        <f t="shared" si="43"/>
        <v>0</v>
      </c>
      <c r="F771" s="382" t="str">
        <f t="shared" si="44"/>
        <v/>
      </c>
      <c r="G771" s="382">
        <f>'Portefeuille SP2'!C796</f>
        <v>0</v>
      </c>
      <c r="H771" s="382">
        <f>'Portefeuille SP2'!F796</f>
        <v>0</v>
      </c>
      <c r="I771" s="382"/>
      <c r="J771" s="382">
        <f>'Portefeuille SP2'!D796</f>
        <v>0</v>
      </c>
      <c r="K771" s="385">
        <f>'Portefeuille SP2'!H796</f>
        <v>0</v>
      </c>
      <c r="L771" s="157">
        <f>'Portefeuille SP2'!U796</f>
        <v>0</v>
      </c>
      <c r="M771" s="386"/>
      <c r="N771" s="386"/>
      <c r="O771" s="386"/>
      <c r="P771" s="387">
        <f>'Portefeuille SP2'!M796</f>
        <v>0</v>
      </c>
      <c r="Q771" s="387"/>
      <c r="R771" s="387">
        <f>'Portefeuille SP2'!N796</f>
        <v>0</v>
      </c>
      <c r="S771" s="387"/>
      <c r="T771" s="382">
        <f>'Portefeuille SP2'!R796</f>
        <v>0</v>
      </c>
      <c r="U771" s="387">
        <f>'Portefeuille SP2'!K796</f>
        <v>0</v>
      </c>
      <c r="V771" s="399">
        <f>'Portefeuille SP2'!S796</f>
        <v>0</v>
      </c>
      <c r="W771" s="387"/>
      <c r="X771" s="387"/>
      <c r="Y771" s="387"/>
      <c r="Z771" s="387"/>
      <c r="AA771" s="387"/>
      <c r="AB771" s="387"/>
      <c r="AC771" s="387"/>
      <c r="AD771" s="387"/>
      <c r="AE771" s="400">
        <f>'Portefeuille SP2'!J796</f>
        <v>0</v>
      </c>
      <c r="AF771" s="387"/>
      <c r="AG771" s="387"/>
      <c r="AH771" s="389"/>
      <c r="AI771" s="389"/>
      <c r="AJ771" s="403">
        <f>'Portefeuille SP2'!V796</f>
        <v>0</v>
      </c>
      <c r="AK771" s="403">
        <f>'Portefeuille SP2'!W796</f>
        <v>0</v>
      </c>
      <c r="AL771" s="403">
        <f>'Portefeuille SP2'!X796</f>
        <v>0</v>
      </c>
      <c r="AM771" s="403">
        <f>'Portefeuille SP2'!Y796</f>
        <v>0</v>
      </c>
      <c r="AN771" s="403">
        <f>'Portefeuille SP2'!Z796</f>
        <v>0</v>
      </c>
      <c r="AO771" s="403">
        <f>'Portefeuille SP2'!AA796</f>
        <v>0</v>
      </c>
      <c r="AP771" s="403">
        <f>'Portefeuille SP2'!AB796</f>
        <v>0</v>
      </c>
      <c r="AQ771" s="403">
        <f>'Portefeuille SP2'!AC796</f>
        <v>0</v>
      </c>
      <c r="AR771" s="403">
        <f>'Portefeuille SP2'!AD796</f>
        <v>0</v>
      </c>
      <c r="AS771" s="403">
        <f>'Portefeuille SP2'!AE796</f>
        <v>0</v>
      </c>
      <c r="AT771" s="403">
        <f>'Portefeuille SP2'!AF796</f>
        <v>0</v>
      </c>
      <c r="AU771" s="403">
        <f>'Portefeuille SP2'!AG796</f>
        <v>0</v>
      </c>
      <c r="AV771" s="403">
        <f>'Portefeuille SP2'!AH796</f>
        <v>0</v>
      </c>
      <c r="AW771" s="403">
        <f>'Portefeuille SP2'!AI796</f>
        <v>0</v>
      </c>
      <c r="AX771" s="403">
        <f>'Portefeuille SP2'!AJ796</f>
        <v>0</v>
      </c>
      <c r="AY771" s="403">
        <f>'Portefeuille SP2'!AK796</f>
        <v>0</v>
      </c>
      <c r="AZ771" s="403">
        <f>'Portefeuille SP2'!AL796</f>
        <v>0</v>
      </c>
      <c r="BA771" s="403">
        <f>'Portefeuille SP2'!AM796</f>
        <v>0</v>
      </c>
      <c r="BB771" s="403">
        <f>'Portefeuille SP2'!AN796</f>
        <v>0</v>
      </c>
      <c r="BC771" s="403">
        <f>'Portefeuille SP2'!AO796</f>
        <v>0</v>
      </c>
      <c r="BD771" s="403">
        <f>'Portefeuille SP2'!AP796</f>
        <v>0</v>
      </c>
      <c r="BE771" s="403">
        <f>'Portefeuille SP2'!AQ796</f>
        <v>0</v>
      </c>
      <c r="BF771" s="403">
        <f>'Portefeuille SP2'!AR796</f>
        <v>0</v>
      </c>
      <c r="BG771" s="403" t="e">
        <f>'Portefeuille SP2'!#REF!</f>
        <v>#REF!</v>
      </c>
      <c r="BH771" s="403" t="e">
        <f>'Portefeuille SP2'!#REF!</f>
        <v>#REF!</v>
      </c>
      <c r="BI771" s="403" t="e">
        <f>'Portefeuille SP2'!#REF!</f>
        <v>#REF!</v>
      </c>
      <c r="BJ771" s="403" t="e">
        <f>'Portefeuille SP2'!#REF!</f>
        <v>#REF!</v>
      </c>
      <c r="BK771" s="403" t="e">
        <f>'Portefeuille SP2'!#REF!</f>
        <v>#REF!</v>
      </c>
      <c r="BL771" s="388"/>
      <c r="BM771" s="404">
        <f>'Portefeuille SP2'!L796</f>
        <v>0</v>
      </c>
    </row>
    <row r="772" spans="1:65" ht="15" customHeight="1">
      <c r="A772" s="383">
        <f>'Portefeuille SP2'!B797</f>
        <v>0</v>
      </c>
      <c r="B772" s="390">
        <f>'Portefeuille SP2'!Q797</f>
        <v>0</v>
      </c>
      <c r="C772" s="384"/>
      <c r="D772" s="382">
        <f>'Portefeuille SP2'!E797</f>
        <v>0</v>
      </c>
      <c r="E772" s="382" t="str">
        <f t="shared" si="43"/>
        <v>0</v>
      </c>
      <c r="F772" s="382" t="str">
        <f t="shared" si="44"/>
        <v/>
      </c>
      <c r="G772" s="382">
        <f>'Portefeuille SP2'!C797</f>
        <v>0</v>
      </c>
      <c r="H772" s="382">
        <f>'Portefeuille SP2'!F797</f>
        <v>0</v>
      </c>
      <c r="I772" s="382"/>
      <c r="J772" s="382">
        <f>'Portefeuille SP2'!D797</f>
        <v>0</v>
      </c>
      <c r="K772" s="385">
        <f>'Portefeuille SP2'!H797</f>
        <v>0</v>
      </c>
      <c r="L772" s="157">
        <f>'Portefeuille SP2'!U797</f>
        <v>0</v>
      </c>
      <c r="M772" s="386"/>
      <c r="N772" s="386"/>
      <c r="O772" s="386"/>
      <c r="P772" s="387">
        <f>'Portefeuille SP2'!M797</f>
        <v>0</v>
      </c>
      <c r="Q772" s="387"/>
      <c r="R772" s="387">
        <f>'Portefeuille SP2'!N797</f>
        <v>0</v>
      </c>
      <c r="S772" s="387"/>
      <c r="T772" s="382">
        <f>'Portefeuille SP2'!R797</f>
        <v>0</v>
      </c>
      <c r="U772" s="387">
        <f>'Portefeuille SP2'!K797</f>
        <v>0</v>
      </c>
      <c r="V772" s="399">
        <f>'Portefeuille SP2'!S797</f>
        <v>0</v>
      </c>
      <c r="W772" s="387"/>
      <c r="X772" s="387"/>
      <c r="Y772" s="387"/>
      <c r="Z772" s="387"/>
      <c r="AA772" s="387"/>
      <c r="AB772" s="387"/>
      <c r="AC772" s="387"/>
      <c r="AD772" s="387"/>
      <c r="AE772" s="400">
        <f>'Portefeuille SP2'!J797</f>
        <v>0</v>
      </c>
      <c r="AF772" s="387"/>
      <c r="AG772" s="387"/>
      <c r="AH772" s="389"/>
      <c r="AI772" s="389"/>
      <c r="AJ772" s="403">
        <f>'Portefeuille SP2'!V797</f>
        <v>0</v>
      </c>
      <c r="AK772" s="403">
        <f>'Portefeuille SP2'!W797</f>
        <v>0</v>
      </c>
      <c r="AL772" s="403">
        <f>'Portefeuille SP2'!X797</f>
        <v>0</v>
      </c>
      <c r="AM772" s="403">
        <f>'Portefeuille SP2'!Y797</f>
        <v>0</v>
      </c>
      <c r="AN772" s="403">
        <f>'Portefeuille SP2'!Z797</f>
        <v>0</v>
      </c>
      <c r="AO772" s="403">
        <f>'Portefeuille SP2'!AA797</f>
        <v>0</v>
      </c>
      <c r="AP772" s="403">
        <f>'Portefeuille SP2'!AB797</f>
        <v>0</v>
      </c>
      <c r="AQ772" s="403">
        <f>'Portefeuille SP2'!AC797</f>
        <v>0</v>
      </c>
      <c r="AR772" s="403">
        <f>'Portefeuille SP2'!AD797</f>
        <v>0</v>
      </c>
      <c r="AS772" s="403">
        <f>'Portefeuille SP2'!AE797</f>
        <v>0</v>
      </c>
      <c r="AT772" s="403">
        <f>'Portefeuille SP2'!AF797</f>
        <v>0</v>
      </c>
      <c r="AU772" s="403">
        <f>'Portefeuille SP2'!AG797</f>
        <v>0</v>
      </c>
      <c r="AV772" s="403">
        <f>'Portefeuille SP2'!AH797</f>
        <v>0</v>
      </c>
      <c r="AW772" s="403">
        <f>'Portefeuille SP2'!AI797</f>
        <v>0</v>
      </c>
      <c r="AX772" s="403">
        <f>'Portefeuille SP2'!AJ797</f>
        <v>0</v>
      </c>
      <c r="AY772" s="403">
        <f>'Portefeuille SP2'!AK797</f>
        <v>0</v>
      </c>
      <c r="AZ772" s="403">
        <f>'Portefeuille SP2'!AL797</f>
        <v>0</v>
      </c>
      <c r="BA772" s="403">
        <f>'Portefeuille SP2'!AM797</f>
        <v>0</v>
      </c>
      <c r="BB772" s="403">
        <f>'Portefeuille SP2'!AN797</f>
        <v>0</v>
      </c>
      <c r="BC772" s="403">
        <f>'Portefeuille SP2'!AO797</f>
        <v>0</v>
      </c>
      <c r="BD772" s="403">
        <f>'Portefeuille SP2'!AP797</f>
        <v>0</v>
      </c>
      <c r="BE772" s="403">
        <f>'Portefeuille SP2'!AQ797</f>
        <v>0</v>
      </c>
      <c r="BF772" s="403">
        <f>'Portefeuille SP2'!AR797</f>
        <v>0</v>
      </c>
      <c r="BG772" s="403" t="e">
        <f>'Portefeuille SP2'!#REF!</f>
        <v>#REF!</v>
      </c>
      <c r="BH772" s="403" t="e">
        <f>'Portefeuille SP2'!#REF!</f>
        <v>#REF!</v>
      </c>
      <c r="BI772" s="403" t="e">
        <f>'Portefeuille SP2'!#REF!</f>
        <v>#REF!</v>
      </c>
      <c r="BJ772" s="403" t="e">
        <f>'Portefeuille SP2'!#REF!</f>
        <v>#REF!</v>
      </c>
      <c r="BK772" s="403" t="e">
        <f>'Portefeuille SP2'!#REF!</f>
        <v>#REF!</v>
      </c>
      <c r="BL772" s="388"/>
      <c r="BM772" s="404">
        <f>'Portefeuille SP2'!L797</f>
        <v>0</v>
      </c>
    </row>
    <row r="773" spans="1:65" ht="15" customHeight="1">
      <c r="A773" s="383">
        <f>'Portefeuille SP2'!B798</f>
        <v>0</v>
      </c>
      <c r="B773" s="390">
        <f>'Portefeuille SP2'!Q798</f>
        <v>0</v>
      </c>
      <c r="C773" s="384"/>
      <c r="D773" s="382">
        <f>'Portefeuille SP2'!E798</f>
        <v>0</v>
      </c>
      <c r="E773" s="382" t="str">
        <f t="shared" si="43"/>
        <v>0</v>
      </c>
      <c r="F773" s="382" t="str">
        <f t="shared" si="44"/>
        <v/>
      </c>
      <c r="G773" s="382">
        <f>'Portefeuille SP2'!C798</f>
        <v>0</v>
      </c>
      <c r="H773" s="382">
        <f>'Portefeuille SP2'!F798</f>
        <v>0</v>
      </c>
      <c r="I773" s="382"/>
      <c r="J773" s="382">
        <f>'Portefeuille SP2'!D798</f>
        <v>0</v>
      </c>
      <c r="K773" s="385">
        <f>'Portefeuille SP2'!H798</f>
        <v>0</v>
      </c>
      <c r="L773" s="157">
        <f>'Portefeuille SP2'!U798</f>
        <v>0</v>
      </c>
      <c r="M773" s="386"/>
      <c r="N773" s="386"/>
      <c r="O773" s="386"/>
      <c r="P773" s="387">
        <f>'Portefeuille SP2'!M798</f>
        <v>0</v>
      </c>
      <c r="Q773" s="387"/>
      <c r="R773" s="387">
        <f>'Portefeuille SP2'!N798</f>
        <v>0</v>
      </c>
      <c r="S773" s="387"/>
      <c r="T773" s="382">
        <f>'Portefeuille SP2'!R798</f>
        <v>0</v>
      </c>
      <c r="U773" s="387">
        <f>'Portefeuille SP2'!K798</f>
        <v>0</v>
      </c>
      <c r="V773" s="399">
        <f>'Portefeuille SP2'!S798</f>
        <v>0</v>
      </c>
      <c r="W773" s="387"/>
      <c r="X773" s="387"/>
      <c r="Y773" s="387"/>
      <c r="Z773" s="387"/>
      <c r="AA773" s="387"/>
      <c r="AB773" s="387"/>
      <c r="AC773" s="387"/>
      <c r="AD773" s="387"/>
      <c r="AE773" s="400">
        <f>'Portefeuille SP2'!J798</f>
        <v>0</v>
      </c>
      <c r="AF773" s="387"/>
      <c r="AG773" s="387"/>
      <c r="AH773" s="389"/>
      <c r="AI773" s="389"/>
      <c r="AJ773" s="403">
        <f>'Portefeuille SP2'!V798</f>
        <v>0</v>
      </c>
      <c r="AK773" s="403">
        <f>'Portefeuille SP2'!W798</f>
        <v>0</v>
      </c>
      <c r="AL773" s="403">
        <f>'Portefeuille SP2'!X798</f>
        <v>0</v>
      </c>
      <c r="AM773" s="403">
        <f>'Portefeuille SP2'!Y798</f>
        <v>0</v>
      </c>
      <c r="AN773" s="403">
        <f>'Portefeuille SP2'!Z798</f>
        <v>0</v>
      </c>
      <c r="AO773" s="403">
        <f>'Portefeuille SP2'!AA798</f>
        <v>0</v>
      </c>
      <c r="AP773" s="403">
        <f>'Portefeuille SP2'!AB798</f>
        <v>0</v>
      </c>
      <c r="AQ773" s="403">
        <f>'Portefeuille SP2'!AC798</f>
        <v>0</v>
      </c>
      <c r="AR773" s="403">
        <f>'Portefeuille SP2'!AD798</f>
        <v>0</v>
      </c>
      <c r="AS773" s="403">
        <f>'Portefeuille SP2'!AE798</f>
        <v>0</v>
      </c>
      <c r="AT773" s="403">
        <f>'Portefeuille SP2'!AF798</f>
        <v>0</v>
      </c>
      <c r="AU773" s="403">
        <f>'Portefeuille SP2'!AG798</f>
        <v>0</v>
      </c>
      <c r="AV773" s="403">
        <f>'Portefeuille SP2'!AH798</f>
        <v>0</v>
      </c>
      <c r="AW773" s="403">
        <f>'Portefeuille SP2'!AI798</f>
        <v>0</v>
      </c>
      <c r="AX773" s="403">
        <f>'Portefeuille SP2'!AJ798</f>
        <v>0</v>
      </c>
      <c r="AY773" s="403">
        <f>'Portefeuille SP2'!AK798</f>
        <v>0</v>
      </c>
      <c r="AZ773" s="403">
        <f>'Portefeuille SP2'!AL798</f>
        <v>0</v>
      </c>
      <c r="BA773" s="403">
        <f>'Portefeuille SP2'!AM798</f>
        <v>0</v>
      </c>
      <c r="BB773" s="403">
        <f>'Portefeuille SP2'!AN798</f>
        <v>0</v>
      </c>
      <c r="BC773" s="403">
        <f>'Portefeuille SP2'!AO798</f>
        <v>0</v>
      </c>
      <c r="BD773" s="403">
        <f>'Portefeuille SP2'!AP798</f>
        <v>0</v>
      </c>
      <c r="BE773" s="403">
        <f>'Portefeuille SP2'!AQ798</f>
        <v>0</v>
      </c>
      <c r="BF773" s="403">
        <f>'Portefeuille SP2'!AR798</f>
        <v>0</v>
      </c>
      <c r="BG773" s="403" t="e">
        <f>'Portefeuille SP2'!#REF!</f>
        <v>#REF!</v>
      </c>
      <c r="BH773" s="403" t="e">
        <f>'Portefeuille SP2'!#REF!</f>
        <v>#REF!</v>
      </c>
      <c r="BI773" s="403" t="e">
        <f>'Portefeuille SP2'!#REF!</f>
        <v>#REF!</v>
      </c>
      <c r="BJ773" s="403" t="e">
        <f>'Portefeuille SP2'!#REF!</f>
        <v>#REF!</v>
      </c>
      <c r="BK773" s="403" t="e">
        <f>'Portefeuille SP2'!#REF!</f>
        <v>#REF!</v>
      </c>
      <c r="BL773" s="388"/>
      <c r="BM773" s="404">
        <f>'Portefeuille SP2'!L798</f>
        <v>0</v>
      </c>
    </row>
    <row r="774" spans="1:65" ht="15" customHeight="1">
      <c r="A774" s="383">
        <f>'Portefeuille SP2'!B799</f>
        <v>0</v>
      </c>
      <c r="B774" s="390">
        <f>'Portefeuille SP2'!Q799</f>
        <v>0</v>
      </c>
      <c r="C774" s="384"/>
      <c r="D774" s="382">
        <f>'Portefeuille SP2'!E799</f>
        <v>0</v>
      </c>
      <c r="E774" s="382" t="str">
        <f t="shared" si="43"/>
        <v>0</v>
      </c>
      <c r="F774" s="382" t="str">
        <f t="shared" si="44"/>
        <v/>
      </c>
      <c r="G774" s="382">
        <f>'Portefeuille SP2'!C799</f>
        <v>0</v>
      </c>
      <c r="H774" s="382">
        <f>'Portefeuille SP2'!F799</f>
        <v>0</v>
      </c>
      <c r="I774" s="382"/>
      <c r="J774" s="382">
        <f>'Portefeuille SP2'!D799</f>
        <v>0</v>
      </c>
      <c r="K774" s="385">
        <f>'Portefeuille SP2'!H799</f>
        <v>0</v>
      </c>
      <c r="L774" s="157">
        <f>'Portefeuille SP2'!U799</f>
        <v>0</v>
      </c>
      <c r="M774" s="386"/>
      <c r="N774" s="386"/>
      <c r="O774" s="386"/>
      <c r="P774" s="387">
        <f>'Portefeuille SP2'!M799</f>
        <v>0</v>
      </c>
      <c r="Q774" s="387"/>
      <c r="R774" s="387">
        <f>'Portefeuille SP2'!N799</f>
        <v>0</v>
      </c>
      <c r="S774" s="387"/>
      <c r="T774" s="382">
        <f>'Portefeuille SP2'!R799</f>
        <v>0</v>
      </c>
      <c r="U774" s="387">
        <f>'Portefeuille SP2'!K799</f>
        <v>0</v>
      </c>
      <c r="V774" s="399">
        <f>'Portefeuille SP2'!S799</f>
        <v>0</v>
      </c>
      <c r="W774" s="387"/>
      <c r="X774" s="387"/>
      <c r="Y774" s="387"/>
      <c r="Z774" s="387"/>
      <c r="AA774" s="387"/>
      <c r="AB774" s="387"/>
      <c r="AC774" s="387"/>
      <c r="AD774" s="387"/>
      <c r="AE774" s="400">
        <f>'Portefeuille SP2'!J799</f>
        <v>0</v>
      </c>
      <c r="AF774" s="387"/>
      <c r="AG774" s="387"/>
      <c r="AH774" s="389"/>
      <c r="AI774" s="389"/>
      <c r="AJ774" s="403">
        <f>'Portefeuille SP2'!V799</f>
        <v>0</v>
      </c>
      <c r="AK774" s="403">
        <f>'Portefeuille SP2'!W799</f>
        <v>0</v>
      </c>
      <c r="AL774" s="403">
        <f>'Portefeuille SP2'!X799</f>
        <v>0</v>
      </c>
      <c r="AM774" s="403">
        <f>'Portefeuille SP2'!Y799</f>
        <v>0</v>
      </c>
      <c r="AN774" s="403">
        <f>'Portefeuille SP2'!Z799</f>
        <v>0</v>
      </c>
      <c r="AO774" s="403">
        <f>'Portefeuille SP2'!AA799</f>
        <v>0</v>
      </c>
      <c r="AP774" s="403">
        <f>'Portefeuille SP2'!AB799</f>
        <v>0</v>
      </c>
      <c r="AQ774" s="403">
        <f>'Portefeuille SP2'!AC799</f>
        <v>0</v>
      </c>
      <c r="AR774" s="403">
        <f>'Portefeuille SP2'!AD799</f>
        <v>0</v>
      </c>
      <c r="AS774" s="403">
        <f>'Portefeuille SP2'!AE799</f>
        <v>0</v>
      </c>
      <c r="AT774" s="403">
        <f>'Portefeuille SP2'!AF799</f>
        <v>0</v>
      </c>
      <c r="AU774" s="403">
        <f>'Portefeuille SP2'!AG799</f>
        <v>0</v>
      </c>
      <c r="AV774" s="403">
        <f>'Portefeuille SP2'!AH799</f>
        <v>0</v>
      </c>
      <c r="AW774" s="403">
        <f>'Portefeuille SP2'!AI799</f>
        <v>0</v>
      </c>
      <c r="AX774" s="403">
        <f>'Portefeuille SP2'!AJ799</f>
        <v>0</v>
      </c>
      <c r="AY774" s="403">
        <f>'Portefeuille SP2'!AK799</f>
        <v>0</v>
      </c>
      <c r="AZ774" s="403">
        <f>'Portefeuille SP2'!AL799</f>
        <v>0</v>
      </c>
      <c r="BA774" s="403">
        <f>'Portefeuille SP2'!AM799</f>
        <v>0</v>
      </c>
      <c r="BB774" s="403">
        <f>'Portefeuille SP2'!AN799</f>
        <v>0</v>
      </c>
      <c r="BC774" s="403">
        <f>'Portefeuille SP2'!AO799</f>
        <v>0</v>
      </c>
      <c r="BD774" s="403">
        <f>'Portefeuille SP2'!AP799</f>
        <v>0</v>
      </c>
      <c r="BE774" s="403">
        <f>'Portefeuille SP2'!AQ799</f>
        <v>0</v>
      </c>
      <c r="BF774" s="403">
        <f>'Portefeuille SP2'!AR799</f>
        <v>0</v>
      </c>
      <c r="BG774" s="403" t="e">
        <f>'Portefeuille SP2'!#REF!</f>
        <v>#REF!</v>
      </c>
      <c r="BH774" s="403" t="e">
        <f>'Portefeuille SP2'!#REF!</f>
        <v>#REF!</v>
      </c>
      <c r="BI774" s="403" t="e">
        <f>'Portefeuille SP2'!#REF!</f>
        <v>#REF!</v>
      </c>
      <c r="BJ774" s="403" t="e">
        <f>'Portefeuille SP2'!#REF!</f>
        <v>#REF!</v>
      </c>
      <c r="BK774" s="403" t="e">
        <f>'Portefeuille SP2'!#REF!</f>
        <v>#REF!</v>
      </c>
      <c r="BL774" s="388"/>
      <c r="BM774" s="404">
        <f>'Portefeuille SP2'!L799</f>
        <v>0</v>
      </c>
    </row>
    <row r="775" spans="1:65" ht="15" customHeight="1">
      <c r="A775" s="383">
        <f>'Portefeuille SP2'!B800</f>
        <v>0</v>
      </c>
      <c r="B775" s="390">
        <f>'Portefeuille SP2'!Q800</f>
        <v>0</v>
      </c>
      <c r="C775" s="384"/>
      <c r="D775" s="382">
        <f>'Portefeuille SP2'!E800</f>
        <v>0</v>
      </c>
      <c r="E775" s="382" t="str">
        <f t="shared" si="43"/>
        <v>0</v>
      </c>
      <c r="F775" s="382" t="str">
        <f t="shared" si="44"/>
        <v/>
      </c>
      <c r="G775" s="382">
        <f>'Portefeuille SP2'!C800</f>
        <v>0</v>
      </c>
      <c r="H775" s="382">
        <f>'Portefeuille SP2'!F800</f>
        <v>0</v>
      </c>
      <c r="I775" s="382"/>
      <c r="J775" s="382">
        <f>'Portefeuille SP2'!D800</f>
        <v>0</v>
      </c>
      <c r="K775" s="385">
        <f>'Portefeuille SP2'!H800</f>
        <v>0</v>
      </c>
      <c r="L775" s="157">
        <f>'Portefeuille SP2'!U800</f>
        <v>0</v>
      </c>
      <c r="M775" s="386"/>
      <c r="N775" s="386"/>
      <c r="O775" s="386"/>
      <c r="P775" s="387">
        <f>'Portefeuille SP2'!M800</f>
        <v>0</v>
      </c>
      <c r="Q775" s="387"/>
      <c r="R775" s="387">
        <f>'Portefeuille SP2'!N800</f>
        <v>0</v>
      </c>
      <c r="S775" s="387"/>
      <c r="T775" s="382">
        <f>'Portefeuille SP2'!R800</f>
        <v>0</v>
      </c>
      <c r="U775" s="387">
        <f>'Portefeuille SP2'!K800</f>
        <v>0</v>
      </c>
      <c r="V775" s="399">
        <f>'Portefeuille SP2'!S800</f>
        <v>0</v>
      </c>
      <c r="W775" s="387"/>
      <c r="X775" s="387"/>
      <c r="Y775" s="387"/>
      <c r="Z775" s="387"/>
      <c r="AA775" s="387"/>
      <c r="AB775" s="387"/>
      <c r="AC775" s="387"/>
      <c r="AD775" s="387"/>
      <c r="AE775" s="400">
        <f>'Portefeuille SP2'!J800</f>
        <v>0</v>
      </c>
      <c r="AF775" s="387"/>
      <c r="AG775" s="387"/>
      <c r="AH775" s="389"/>
      <c r="AI775" s="389"/>
      <c r="AJ775" s="403">
        <f>'Portefeuille SP2'!V800</f>
        <v>0</v>
      </c>
      <c r="AK775" s="403">
        <f>'Portefeuille SP2'!W800</f>
        <v>0</v>
      </c>
      <c r="AL775" s="403">
        <f>'Portefeuille SP2'!X800</f>
        <v>0</v>
      </c>
      <c r="AM775" s="403">
        <f>'Portefeuille SP2'!Y800</f>
        <v>0</v>
      </c>
      <c r="AN775" s="403">
        <f>'Portefeuille SP2'!Z800</f>
        <v>0</v>
      </c>
      <c r="AO775" s="403">
        <f>'Portefeuille SP2'!AA800</f>
        <v>0</v>
      </c>
      <c r="AP775" s="403">
        <f>'Portefeuille SP2'!AB800</f>
        <v>0</v>
      </c>
      <c r="AQ775" s="403">
        <f>'Portefeuille SP2'!AC800</f>
        <v>0</v>
      </c>
      <c r="AR775" s="403">
        <f>'Portefeuille SP2'!AD800</f>
        <v>0</v>
      </c>
      <c r="AS775" s="403">
        <f>'Portefeuille SP2'!AE800</f>
        <v>0</v>
      </c>
      <c r="AT775" s="403">
        <f>'Portefeuille SP2'!AF800</f>
        <v>0</v>
      </c>
      <c r="AU775" s="403">
        <f>'Portefeuille SP2'!AG800</f>
        <v>0</v>
      </c>
      <c r="AV775" s="403">
        <f>'Portefeuille SP2'!AH800</f>
        <v>0</v>
      </c>
      <c r="AW775" s="403">
        <f>'Portefeuille SP2'!AI800</f>
        <v>0</v>
      </c>
      <c r="AX775" s="403">
        <f>'Portefeuille SP2'!AJ800</f>
        <v>0</v>
      </c>
      <c r="AY775" s="403">
        <f>'Portefeuille SP2'!AK800</f>
        <v>0</v>
      </c>
      <c r="AZ775" s="403">
        <f>'Portefeuille SP2'!AL800</f>
        <v>0</v>
      </c>
      <c r="BA775" s="403">
        <f>'Portefeuille SP2'!AM800</f>
        <v>0</v>
      </c>
      <c r="BB775" s="403">
        <f>'Portefeuille SP2'!AN800</f>
        <v>0</v>
      </c>
      <c r="BC775" s="403">
        <f>'Portefeuille SP2'!AO800</f>
        <v>0</v>
      </c>
      <c r="BD775" s="403">
        <f>'Portefeuille SP2'!AP800</f>
        <v>0</v>
      </c>
      <c r="BE775" s="403">
        <f>'Portefeuille SP2'!AQ800</f>
        <v>0</v>
      </c>
      <c r="BF775" s="403">
        <f>'Portefeuille SP2'!AR800</f>
        <v>0</v>
      </c>
      <c r="BG775" s="403" t="e">
        <f>'Portefeuille SP2'!#REF!</f>
        <v>#REF!</v>
      </c>
      <c r="BH775" s="403" t="e">
        <f>'Portefeuille SP2'!#REF!</f>
        <v>#REF!</v>
      </c>
      <c r="BI775" s="403" t="e">
        <f>'Portefeuille SP2'!#REF!</f>
        <v>#REF!</v>
      </c>
      <c r="BJ775" s="403" t="e">
        <f>'Portefeuille SP2'!#REF!</f>
        <v>#REF!</v>
      </c>
      <c r="BK775" s="403" t="e">
        <f>'Portefeuille SP2'!#REF!</f>
        <v>#REF!</v>
      </c>
      <c r="BL775" s="388"/>
      <c r="BM775" s="404">
        <f>'Portefeuille SP2'!L800</f>
        <v>0</v>
      </c>
    </row>
    <row r="776" spans="1:65" ht="15" customHeight="1">
      <c r="A776" s="383">
        <f>'Portefeuille SP2'!B801</f>
        <v>0</v>
      </c>
      <c r="B776" s="390">
        <f>'Portefeuille SP2'!Q801</f>
        <v>0</v>
      </c>
      <c r="C776" s="384"/>
      <c r="D776" s="382">
        <f>'Portefeuille SP2'!E801</f>
        <v>0</v>
      </c>
      <c r="E776" s="382" t="str">
        <f t="shared" si="43"/>
        <v>0</v>
      </c>
      <c r="F776" s="382" t="str">
        <f t="shared" si="44"/>
        <v/>
      </c>
      <c r="G776" s="382">
        <f>'Portefeuille SP2'!C801</f>
        <v>0</v>
      </c>
      <c r="H776" s="382">
        <f>'Portefeuille SP2'!F801</f>
        <v>0</v>
      </c>
      <c r="I776" s="382"/>
      <c r="J776" s="382">
        <f>'Portefeuille SP2'!D801</f>
        <v>0</v>
      </c>
      <c r="K776" s="385">
        <f>'Portefeuille SP2'!H801</f>
        <v>0</v>
      </c>
      <c r="L776" s="157">
        <f>'Portefeuille SP2'!U801</f>
        <v>0</v>
      </c>
      <c r="M776" s="386"/>
      <c r="N776" s="386"/>
      <c r="O776" s="386"/>
      <c r="P776" s="387">
        <f>'Portefeuille SP2'!M801</f>
        <v>0</v>
      </c>
      <c r="Q776" s="387"/>
      <c r="R776" s="387">
        <f>'Portefeuille SP2'!N801</f>
        <v>0</v>
      </c>
      <c r="S776" s="387"/>
      <c r="T776" s="382">
        <f>'Portefeuille SP2'!R801</f>
        <v>0</v>
      </c>
      <c r="U776" s="387">
        <f>'Portefeuille SP2'!K801</f>
        <v>0</v>
      </c>
      <c r="V776" s="399">
        <f>'Portefeuille SP2'!S801</f>
        <v>0</v>
      </c>
      <c r="W776" s="387"/>
      <c r="X776" s="387"/>
      <c r="Y776" s="387"/>
      <c r="Z776" s="387"/>
      <c r="AA776" s="387"/>
      <c r="AB776" s="387"/>
      <c r="AC776" s="387"/>
      <c r="AD776" s="387"/>
      <c r="AE776" s="400">
        <f>'Portefeuille SP2'!J801</f>
        <v>0</v>
      </c>
      <c r="AF776" s="387"/>
      <c r="AG776" s="387"/>
      <c r="AH776" s="389"/>
      <c r="AI776" s="389"/>
      <c r="AJ776" s="403">
        <f>'Portefeuille SP2'!V801</f>
        <v>0</v>
      </c>
      <c r="AK776" s="403">
        <f>'Portefeuille SP2'!W801</f>
        <v>0</v>
      </c>
      <c r="AL776" s="403">
        <f>'Portefeuille SP2'!X801</f>
        <v>0</v>
      </c>
      <c r="AM776" s="403">
        <f>'Portefeuille SP2'!Y801</f>
        <v>0</v>
      </c>
      <c r="AN776" s="403">
        <f>'Portefeuille SP2'!Z801</f>
        <v>0</v>
      </c>
      <c r="AO776" s="403">
        <f>'Portefeuille SP2'!AA801</f>
        <v>0</v>
      </c>
      <c r="AP776" s="403">
        <f>'Portefeuille SP2'!AB801</f>
        <v>0</v>
      </c>
      <c r="AQ776" s="403">
        <f>'Portefeuille SP2'!AC801</f>
        <v>0</v>
      </c>
      <c r="AR776" s="403">
        <f>'Portefeuille SP2'!AD801</f>
        <v>0</v>
      </c>
      <c r="AS776" s="403">
        <f>'Portefeuille SP2'!AE801</f>
        <v>0</v>
      </c>
      <c r="AT776" s="403">
        <f>'Portefeuille SP2'!AF801</f>
        <v>0</v>
      </c>
      <c r="AU776" s="403">
        <f>'Portefeuille SP2'!AG801</f>
        <v>0</v>
      </c>
      <c r="AV776" s="403">
        <f>'Portefeuille SP2'!AH801</f>
        <v>0</v>
      </c>
      <c r="AW776" s="403">
        <f>'Portefeuille SP2'!AI801</f>
        <v>0</v>
      </c>
      <c r="AX776" s="403">
        <f>'Portefeuille SP2'!AJ801</f>
        <v>0</v>
      </c>
      <c r="AY776" s="403">
        <f>'Portefeuille SP2'!AK801</f>
        <v>0</v>
      </c>
      <c r="AZ776" s="403">
        <f>'Portefeuille SP2'!AL801</f>
        <v>0</v>
      </c>
      <c r="BA776" s="403">
        <f>'Portefeuille SP2'!AM801</f>
        <v>0</v>
      </c>
      <c r="BB776" s="403">
        <f>'Portefeuille SP2'!AN801</f>
        <v>0</v>
      </c>
      <c r="BC776" s="403">
        <f>'Portefeuille SP2'!AO801</f>
        <v>0</v>
      </c>
      <c r="BD776" s="403">
        <f>'Portefeuille SP2'!AP801</f>
        <v>0</v>
      </c>
      <c r="BE776" s="403">
        <f>'Portefeuille SP2'!AQ801</f>
        <v>0</v>
      </c>
      <c r="BF776" s="403">
        <f>'Portefeuille SP2'!AR801</f>
        <v>0</v>
      </c>
      <c r="BG776" s="403" t="e">
        <f>'Portefeuille SP2'!#REF!</f>
        <v>#REF!</v>
      </c>
      <c r="BH776" s="403" t="e">
        <f>'Portefeuille SP2'!#REF!</f>
        <v>#REF!</v>
      </c>
      <c r="BI776" s="403" t="e">
        <f>'Portefeuille SP2'!#REF!</f>
        <v>#REF!</v>
      </c>
      <c r="BJ776" s="403" t="e">
        <f>'Portefeuille SP2'!#REF!</f>
        <v>#REF!</v>
      </c>
      <c r="BK776" s="403" t="e">
        <f>'Portefeuille SP2'!#REF!</f>
        <v>#REF!</v>
      </c>
      <c r="BL776" s="388"/>
      <c r="BM776" s="404">
        <f>'Portefeuille SP2'!L801</f>
        <v>0</v>
      </c>
    </row>
    <row r="777" spans="1:65" ht="15" customHeight="1">
      <c r="A777" s="383">
        <f>'Portefeuille SP2'!B802</f>
        <v>0</v>
      </c>
      <c r="B777" s="390">
        <f>'Portefeuille SP2'!Q802</f>
        <v>0</v>
      </c>
      <c r="C777" s="384"/>
      <c r="D777" s="382">
        <f>'Portefeuille SP2'!E802</f>
        <v>0</v>
      </c>
      <c r="E777" s="382" t="str">
        <f t="shared" ref="E777:E801" si="45">LEFT(J777,3)</f>
        <v>0</v>
      </c>
      <c r="F777" s="382" t="str">
        <f t="shared" ref="F777:F801" si="46">MID(J777, 6, 20)</f>
        <v/>
      </c>
      <c r="G777" s="382">
        <f>'Portefeuille SP2'!C802</f>
        <v>0</v>
      </c>
      <c r="H777" s="382">
        <f>'Portefeuille SP2'!F802</f>
        <v>0</v>
      </c>
      <c r="I777" s="382"/>
      <c r="J777" s="382">
        <f>'Portefeuille SP2'!D802</f>
        <v>0</v>
      </c>
      <c r="K777" s="385">
        <f>'Portefeuille SP2'!H802</f>
        <v>0</v>
      </c>
      <c r="L777" s="157">
        <f>'Portefeuille SP2'!U802</f>
        <v>0</v>
      </c>
      <c r="M777" s="386"/>
      <c r="N777" s="386"/>
      <c r="O777" s="386"/>
      <c r="P777" s="387">
        <f>'Portefeuille SP2'!M802</f>
        <v>0</v>
      </c>
      <c r="Q777" s="387"/>
      <c r="R777" s="387">
        <f>'Portefeuille SP2'!N802</f>
        <v>0</v>
      </c>
      <c r="S777" s="387"/>
      <c r="T777" s="382">
        <f>'Portefeuille SP2'!R802</f>
        <v>0</v>
      </c>
      <c r="U777" s="387">
        <f>'Portefeuille SP2'!K802</f>
        <v>0</v>
      </c>
      <c r="V777" s="399">
        <f>'Portefeuille SP2'!S802</f>
        <v>0</v>
      </c>
      <c r="W777" s="387"/>
      <c r="X777" s="387"/>
      <c r="Y777" s="387"/>
      <c r="Z777" s="387"/>
      <c r="AA777" s="387"/>
      <c r="AB777" s="387"/>
      <c r="AC777" s="387"/>
      <c r="AD777" s="387"/>
      <c r="AE777" s="400">
        <f>'Portefeuille SP2'!J802</f>
        <v>0</v>
      </c>
      <c r="AF777" s="387"/>
      <c r="AG777" s="387"/>
      <c r="AH777" s="389"/>
      <c r="AI777" s="389"/>
      <c r="AJ777" s="403">
        <f>'Portefeuille SP2'!V802</f>
        <v>0</v>
      </c>
      <c r="AK777" s="403">
        <f>'Portefeuille SP2'!W802</f>
        <v>0</v>
      </c>
      <c r="AL777" s="403">
        <f>'Portefeuille SP2'!X802</f>
        <v>0</v>
      </c>
      <c r="AM777" s="403">
        <f>'Portefeuille SP2'!Y802</f>
        <v>0</v>
      </c>
      <c r="AN777" s="403">
        <f>'Portefeuille SP2'!Z802</f>
        <v>0</v>
      </c>
      <c r="AO777" s="403">
        <f>'Portefeuille SP2'!AA802</f>
        <v>0</v>
      </c>
      <c r="AP777" s="403">
        <f>'Portefeuille SP2'!AB802</f>
        <v>0</v>
      </c>
      <c r="AQ777" s="403">
        <f>'Portefeuille SP2'!AC802</f>
        <v>0</v>
      </c>
      <c r="AR777" s="403">
        <f>'Portefeuille SP2'!AD802</f>
        <v>0</v>
      </c>
      <c r="AS777" s="403">
        <f>'Portefeuille SP2'!AE802</f>
        <v>0</v>
      </c>
      <c r="AT777" s="403">
        <f>'Portefeuille SP2'!AF802</f>
        <v>0</v>
      </c>
      <c r="AU777" s="403">
        <f>'Portefeuille SP2'!AG802</f>
        <v>0</v>
      </c>
      <c r="AV777" s="403">
        <f>'Portefeuille SP2'!AH802</f>
        <v>0</v>
      </c>
      <c r="AW777" s="403">
        <f>'Portefeuille SP2'!AI802</f>
        <v>0</v>
      </c>
      <c r="AX777" s="403">
        <f>'Portefeuille SP2'!AJ802</f>
        <v>0</v>
      </c>
      <c r="AY777" s="403">
        <f>'Portefeuille SP2'!AK802</f>
        <v>0</v>
      </c>
      <c r="AZ777" s="403">
        <f>'Portefeuille SP2'!AL802</f>
        <v>0</v>
      </c>
      <c r="BA777" s="403">
        <f>'Portefeuille SP2'!AM802</f>
        <v>0</v>
      </c>
      <c r="BB777" s="403">
        <f>'Portefeuille SP2'!AN802</f>
        <v>0</v>
      </c>
      <c r="BC777" s="403">
        <f>'Portefeuille SP2'!AO802</f>
        <v>0</v>
      </c>
      <c r="BD777" s="403">
        <f>'Portefeuille SP2'!AP802</f>
        <v>0</v>
      </c>
      <c r="BE777" s="403">
        <f>'Portefeuille SP2'!AQ802</f>
        <v>0</v>
      </c>
      <c r="BF777" s="403">
        <f>'Portefeuille SP2'!AR802</f>
        <v>0</v>
      </c>
      <c r="BG777" s="403" t="e">
        <f>'Portefeuille SP2'!#REF!</f>
        <v>#REF!</v>
      </c>
      <c r="BH777" s="403" t="e">
        <f>'Portefeuille SP2'!#REF!</f>
        <v>#REF!</v>
      </c>
      <c r="BI777" s="403" t="e">
        <f>'Portefeuille SP2'!#REF!</f>
        <v>#REF!</v>
      </c>
      <c r="BJ777" s="403" t="e">
        <f>'Portefeuille SP2'!#REF!</f>
        <v>#REF!</v>
      </c>
      <c r="BK777" s="403" t="e">
        <f>'Portefeuille SP2'!#REF!</f>
        <v>#REF!</v>
      </c>
      <c r="BL777" s="388"/>
      <c r="BM777" s="404">
        <f>'Portefeuille SP2'!L802</f>
        <v>0</v>
      </c>
    </row>
    <row r="778" spans="1:65" ht="15" customHeight="1">
      <c r="A778" s="383">
        <f>'Portefeuille SP2'!B803</f>
        <v>0</v>
      </c>
      <c r="B778" s="390">
        <f>'Portefeuille SP2'!Q803</f>
        <v>0</v>
      </c>
      <c r="C778" s="384"/>
      <c r="D778" s="382">
        <f>'Portefeuille SP2'!E803</f>
        <v>0</v>
      </c>
      <c r="E778" s="382" t="str">
        <f t="shared" si="45"/>
        <v>0</v>
      </c>
      <c r="F778" s="382" t="str">
        <f t="shared" si="46"/>
        <v/>
      </c>
      <c r="G778" s="382">
        <f>'Portefeuille SP2'!C803</f>
        <v>0</v>
      </c>
      <c r="H778" s="382">
        <f>'Portefeuille SP2'!F803</f>
        <v>0</v>
      </c>
      <c r="I778" s="382"/>
      <c r="J778" s="382">
        <f>'Portefeuille SP2'!D803</f>
        <v>0</v>
      </c>
      <c r="K778" s="385">
        <f>'Portefeuille SP2'!H803</f>
        <v>0</v>
      </c>
      <c r="L778" s="157">
        <f>'Portefeuille SP2'!U803</f>
        <v>0</v>
      </c>
      <c r="M778" s="386"/>
      <c r="N778" s="386"/>
      <c r="O778" s="386"/>
      <c r="P778" s="387">
        <f>'Portefeuille SP2'!M803</f>
        <v>0</v>
      </c>
      <c r="Q778" s="387"/>
      <c r="R778" s="387">
        <f>'Portefeuille SP2'!N803</f>
        <v>0</v>
      </c>
      <c r="S778" s="387"/>
      <c r="T778" s="382">
        <f>'Portefeuille SP2'!R803</f>
        <v>0</v>
      </c>
      <c r="U778" s="387">
        <f>'Portefeuille SP2'!K803</f>
        <v>0</v>
      </c>
      <c r="V778" s="399">
        <f>'Portefeuille SP2'!S803</f>
        <v>0</v>
      </c>
      <c r="W778" s="387"/>
      <c r="X778" s="387"/>
      <c r="Y778" s="387"/>
      <c r="Z778" s="387"/>
      <c r="AA778" s="387"/>
      <c r="AB778" s="387"/>
      <c r="AC778" s="387"/>
      <c r="AD778" s="387"/>
      <c r="AE778" s="400">
        <f>'Portefeuille SP2'!J803</f>
        <v>0</v>
      </c>
      <c r="AF778" s="387"/>
      <c r="AG778" s="387"/>
      <c r="AH778" s="389"/>
      <c r="AI778" s="389"/>
      <c r="AJ778" s="403">
        <f>'Portefeuille SP2'!V803</f>
        <v>0</v>
      </c>
      <c r="AK778" s="403">
        <f>'Portefeuille SP2'!W803</f>
        <v>0</v>
      </c>
      <c r="AL778" s="403">
        <f>'Portefeuille SP2'!X803</f>
        <v>0</v>
      </c>
      <c r="AM778" s="403">
        <f>'Portefeuille SP2'!Y803</f>
        <v>0</v>
      </c>
      <c r="AN778" s="403">
        <f>'Portefeuille SP2'!Z803</f>
        <v>0</v>
      </c>
      <c r="AO778" s="403">
        <f>'Portefeuille SP2'!AA803</f>
        <v>0</v>
      </c>
      <c r="AP778" s="403">
        <f>'Portefeuille SP2'!AB803</f>
        <v>0</v>
      </c>
      <c r="AQ778" s="403">
        <f>'Portefeuille SP2'!AC803</f>
        <v>0</v>
      </c>
      <c r="AR778" s="403">
        <f>'Portefeuille SP2'!AD803</f>
        <v>0</v>
      </c>
      <c r="AS778" s="403">
        <f>'Portefeuille SP2'!AE803</f>
        <v>0</v>
      </c>
      <c r="AT778" s="403">
        <f>'Portefeuille SP2'!AF803</f>
        <v>0</v>
      </c>
      <c r="AU778" s="403">
        <f>'Portefeuille SP2'!AG803</f>
        <v>0</v>
      </c>
      <c r="AV778" s="403">
        <f>'Portefeuille SP2'!AH803</f>
        <v>0</v>
      </c>
      <c r="AW778" s="403">
        <f>'Portefeuille SP2'!AI803</f>
        <v>0</v>
      </c>
      <c r="AX778" s="403">
        <f>'Portefeuille SP2'!AJ803</f>
        <v>0</v>
      </c>
      <c r="AY778" s="403">
        <f>'Portefeuille SP2'!AK803</f>
        <v>0</v>
      </c>
      <c r="AZ778" s="403">
        <f>'Portefeuille SP2'!AL803</f>
        <v>0</v>
      </c>
      <c r="BA778" s="403">
        <f>'Portefeuille SP2'!AM803</f>
        <v>0</v>
      </c>
      <c r="BB778" s="403">
        <f>'Portefeuille SP2'!AN803</f>
        <v>0</v>
      </c>
      <c r="BC778" s="403">
        <f>'Portefeuille SP2'!AO803</f>
        <v>0</v>
      </c>
      <c r="BD778" s="403">
        <f>'Portefeuille SP2'!AP803</f>
        <v>0</v>
      </c>
      <c r="BE778" s="403">
        <f>'Portefeuille SP2'!AQ803</f>
        <v>0</v>
      </c>
      <c r="BF778" s="403">
        <f>'Portefeuille SP2'!AR803</f>
        <v>0</v>
      </c>
      <c r="BG778" s="403" t="e">
        <f>'Portefeuille SP2'!#REF!</f>
        <v>#REF!</v>
      </c>
      <c r="BH778" s="403" t="e">
        <f>'Portefeuille SP2'!#REF!</f>
        <v>#REF!</v>
      </c>
      <c r="BI778" s="403" t="e">
        <f>'Portefeuille SP2'!#REF!</f>
        <v>#REF!</v>
      </c>
      <c r="BJ778" s="403" t="e">
        <f>'Portefeuille SP2'!#REF!</f>
        <v>#REF!</v>
      </c>
      <c r="BK778" s="403" t="e">
        <f>'Portefeuille SP2'!#REF!</f>
        <v>#REF!</v>
      </c>
      <c r="BL778" s="388"/>
      <c r="BM778" s="404">
        <f>'Portefeuille SP2'!L803</f>
        <v>0</v>
      </c>
    </row>
    <row r="779" spans="1:65" ht="15" customHeight="1">
      <c r="A779" s="383">
        <f>'Portefeuille SP2'!B804</f>
        <v>0</v>
      </c>
      <c r="B779" s="390">
        <f>'Portefeuille SP2'!Q804</f>
        <v>0</v>
      </c>
      <c r="C779" s="384"/>
      <c r="D779" s="382">
        <f>'Portefeuille SP2'!E804</f>
        <v>0</v>
      </c>
      <c r="E779" s="382" t="str">
        <f t="shared" si="45"/>
        <v>0</v>
      </c>
      <c r="F779" s="382" t="str">
        <f t="shared" si="46"/>
        <v/>
      </c>
      <c r="G779" s="382">
        <f>'Portefeuille SP2'!C804</f>
        <v>0</v>
      </c>
      <c r="H779" s="382">
        <f>'Portefeuille SP2'!F804</f>
        <v>0</v>
      </c>
      <c r="I779" s="382"/>
      <c r="J779" s="382">
        <f>'Portefeuille SP2'!D804</f>
        <v>0</v>
      </c>
      <c r="K779" s="385">
        <f>'Portefeuille SP2'!H804</f>
        <v>0</v>
      </c>
      <c r="L779" s="157">
        <f>'Portefeuille SP2'!U804</f>
        <v>0</v>
      </c>
      <c r="M779" s="386"/>
      <c r="N779" s="386"/>
      <c r="O779" s="386"/>
      <c r="P779" s="387">
        <f>'Portefeuille SP2'!M804</f>
        <v>0</v>
      </c>
      <c r="Q779" s="387"/>
      <c r="R779" s="387">
        <f>'Portefeuille SP2'!N804</f>
        <v>0</v>
      </c>
      <c r="S779" s="387"/>
      <c r="T779" s="382">
        <f>'Portefeuille SP2'!R804</f>
        <v>0</v>
      </c>
      <c r="U779" s="387">
        <f>'Portefeuille SP2'!K804</f>
        <v>0</v>
      </c>
      <c r="V779" s="399">
        <f>'Portefeuille SP2'!S804</f>
        <v>0</v>
      </c>
      <c r="W779" s="387"/>
      <c r="X779" s="387"/>
      <c r="Y779" s="387"/>
      <c r="Z779" s="387"/>
      <c r="AA779" s="387"/>
      <c r="AB779" s="387"/>
      <c r="AC779" s="387"/>
      <c r="AD779" s="387"/>
      <c r="AE779" s="400">
        <f>'Portefeuille SP2'!J804</f>
        <v>0</v>
      </c>
      <c r="AF779" s="387"/>
      <c r="AG779" s="387"/>
      <c r="AH779" s="389"/>
      <c r="AI779" s="389"/>
      <c r="AJ779" s="403">
        <f>'Portefeuille SP2'!V804</f>
        <v>0</v>
      </c>
      <c r="AK779" s="403">
        <f>'Portefeuille SP2'!W804</f>
        <v>0</v>
      </c>
      <c r="AL779" s="403">
        <f>'Portefeuille SP2'!X804</f>
        <v>0</v>
      </c>
      <c r="AM779" s="403">
        <f>'Portefeuille SP2'!Y804</f>
        <v>0</v>
      </c>
      <c r="AN779" s="403">
        <f>'Portefeuille SP2'!Z804</f>
        <v>0</v>
      </c>
      <c r="AO779" s="403">
        <f>'Portefeuille SP2'!AA804</f>
        <v>0</v>
      </c>
      <c r="AP779" s="403">
        <f>'Portefeuille SP2'!AB804</f>
        <v>0</v>
      </c>
      <c r="AQ779" s="403">
        <f>'Portefeuille SP2'!AC804</f>
        <v>0</v>
      </c>
      <c r="AR779" s="403">
        <f>'Portefeuille SP2'!AD804</f>
        <v>0</v>
      </c>
      <c r="AS779" s="403">
        <f>'Portefeuille SP2'!AE804</f>
        <v>0</v>
      </c>
      <c r="AT779" s="403">
        <f>'Portefeuille SP2'!AF804</f>
        <v>0</v>
      </c>
      <c r="AU779" s="403">
        <f>'Portefeuille SP2'!AG804</f>
        <v>0</v>
      </c>
      <c r="AV779" s="403">
        <f>'Portefeuille SP2'!AH804</f>
        <v>0</v>
      </c>
      <c r="AW779" s="403">
        <f>'Portefeuille SP2'!AI804</f>
        <v>0</v>
      </c>
      <c r="AX779" s="403">
        <f>'Portefeuille SP2'!AJ804</f>
        <v>0</v>
      </c>
      <c r="AY779" s="403">
        <f>'Portefeuille SP2'!AK804</f>
        <v>0</v>
      </c>
      <c r="AZ779" s="403">
        <f>'Portefeuille SP2'!AL804</f>
        <v>0</v>
      </c>
      <c r="BA779" s="403">
        <f>'Portefeuille SP2'!AM804</f>
        <v>0</v>
      </c>
      <c r="BB779" s="403">
        <f>'Portefeuille SP2'!AN804</f>
        <v>0</v>
      </c>
      <c r="BC779" s="403">
        <f>'Portefeuille SP2'!AO804</f>
        <v>0</v>
      </c>
      <c r="BD779" s="403">
        <f>'Portefeuille SP2'!AP804</f>
        <v>0</v>
      </c>
      <c r="BE779" s="403">
        <f>'Portefeuille SP2'!AQ804</f>
        <v>0</v>
      </c>
      <c r="BF779" s="403">
        <f>'Portefeuille SP2'!AR804</f>
        <v>0</v>
      </c>
      <c r="BG779" s="403" t="e">
        <f>'Portefeuille SP2'!#REF!</f>
        <v>#REF!</v>
      </c>
      <c r="BH779" s="403" t="e">
        <f>'Portefeuille SP2'!#REF!</f>
        <v>#REF!</v>
      </c>
      <c r="BI779" s="403" t="e">
        <f>'Portefeuille SP2'!#REF!</f>
        <v>#REF!</v>
      </c>
      <c r="BJ779" s="403" t="e">
        <f>'Portefeuille SP2'!#REF!</f>
        <v>#REF!</v>
      </c>
      <c r="BK779" s="403" t="e">
        <f>'Portefeuille SP2'!#REF!</f>
        <v>#REF!</v>
      </c>
      <c r="BL779" s="388"/>
      <c r="BM779" s="404">
        <f>'Portefeuille SP2'!L804</f>
        <v>0</v>
      </c>
    </row>
    <row r="780" spans="1:65" ht="15" customHeight="1">
      <c r="A780" s="383">
        <f>'Portefeuille SP2'!B805</f>
        <v>0</v>
      </c>
      <c r="B780" s="390">
        <f>'Portefeuille SP2'!Q805</f>
        <v>0</v>
      </c>
      <c r="C780" s="384"/>
      <c r="D780" s="382">
        <f>'Portefeuille SP2'!E805</f>
        <v>0</v>
      </c>
      <c r="E780" s="382" t="str">
        <f t="shared" si="45"/>
        <v>0</v>
      </c>
      <c r="F780" s="382" t="str">
        <f t="shared" si="46"/>
        <v/>
      </c>
      <c r="G780" s="382">
        <f>'Portefeuille SP2'!C805</f>
        <v>0</v>
      </c>
      <c r="H780" s="382">
        <f>'Portefeuille SP2'!F805</f>
        <v>0</v>
      </c>
      <c r="I780" s="382"/>
      <c r="J780" s="382">
        <f>'Portefeuille SP2'!D805</f>
        <v>0</v>
      </c>
      <c r="K780" s="385">
        <f>'Portefeuille SP2'!H805</f>
        <v>0</v>
      </c>
      <c r="L780" s="157">
        <f>'Portefeuille SP2'!U805</f>
        <v>0</v>
      </c>
      <c r="M780" s="386"/>
      <c r="N780" s="386"/>
      <c r="O780" s="386"/>
      <c r="P780" s="387">
        <f>'Portefeuille SP2'!M805</f>
        <v>0</v>
      </c>
      <c r="Q780" s="387"/>
      <c r="R780" s="387">
        <f>'Portefeuille SP2'!N805</f>
        <v>0</v>
      </c>
      <c r="S780" s="387"/>
      <c r="T780" s="382">
        <f>'Portefeuille SP2'!R805</f>
        <v>0</v>
      </c>
      <c r="U780" s="387">
        <f>'Portefeuille SP2'!K805</f>
        <v>0</v>
      </c>
      <c r="V780" s="399">
        <f>'Portefeuille SP2'!S805</f>
        <v>0</v>
      </c>
      <c r="W780" s="387"/>
      <c r="X780" s="387"/>
      <c r="Y780" s="387"/>
      <c r="Z780" s="387"/>
      <c r="AA780" s="387"/>
      <c r="AB780" s="387"/>
      <c r="AC780" s="387"/>
      <c r="AD780" s="387"/>
      <c r="AE780" s="400">
        <f>'Portefeuille SP2'!J805</f>
        <v>0</v>
      </c>
      <c r="AF780" s="387"/>
      <c r="AG780" s="387"/>
      <c r="AH780" s="389"/>
      <c r="AI780" s="389"/>
      <c r="AJ780" s="403">
        <f>'Portefeuille SP2'!V805</f>
        <v>0</v>
      </c>
      <c r="AK780" s="403">
        <f>'Portefeuille SP2'!W805</f>
        <v>0</v>
      </c>
      <c r="AL780" s="403">
        <f>'Portefeuille SP2'!X805</f>
        <v>0</v>
      </c>
      <c r="AM780" s="403">
        <f>'Portefeuille SP2'!Y805</f>
        <v>0</v>
      </c>
      <c r="AN780" s="403">
        <f>'Portefeuille SP2'!Z805</f>
        <v>0</v>
      </c>
      <c r="AO780" s="403">
        <f>'Portefeuille SP2'!AA805</f>
        <v>0</v>
      </c>
      <c r="AP780" s="403">
        <f>'Portefeuille SP2'!AB805</f>
        <v>0</v>
      </c>
      <c r="AQ780" s="403">
        <f>'Portefeuille SP2'!AC805</f>
        <v>0</v>
      </c>
      <c r="AR780" s="403">
        <f>'Portefeuille SP2'!AD805</f>
        <v>0</v>
      </c>
      <c r="AS780" s="403">
        <f>'Portefeuille SP2'!AE805</f>
        <v>0</v>
      </c>
      <c r="AT780" s="403">
        <f>'Portefeuille SP2'!AF805</f>
        <v>0</v>
      </c>
      <c r="AU780" s="403">
        <f>'Portefeuille SP2'!AG805</f>
        <v>0</v>
      </c>
      <c r="AV780" s="403">
        <f>'Portefeuille SP2'!AH805</f>
        <v>0</v>
      </c>
      <c r="AW780" s="403">
        <f>'Portefeuille SP2'!AI805</f>
        <v>0</v>
      </c>
      <c r="AX780" s="403">
        <f>'Portefeuille SP2'!AJ805</f>
        <v>0</v>
      </c>
      <c r="AY780" s="403">
        <f>'Portefeuille SP2'!AK805</f>
        <v>0</v>
      </c>
      <c r="AZ780" s="403">
        <f>'Portefeuille SP2'!AL805</f>
        <v>0</v>
      </c>
      <c r="BA780" s="403">
        <f>'Portefeuille SP2'!AM805</f>
        <v>0</v>
      </c>
      <c r="BB780" s="403">
        <f>'Portefeuille SP2'!AN805</f>
        <v>0</v>
      </c>
      <c r="BC780" s="403">
        <f>'Portefeuille SP2'!AO805</f>
        <v>0</v>
      </c>
      <c r="BD780" s="403">
        <f>'Portefeuille SP2'!AP805</f>
        <v>0</v>
      </c>
      <c r="BE780" s="403">
        <f>'Portefeuille SP2'!AQ805</f>
        <v>0</v>
      </c>
      <c r="BF780" s="403">
        <f>'Portefeuille SP2'!AR805</f>
        <v>0</v>
      </c>
      <c r="BG780" s="403" t="e">
        <f>'Portefeuille SP2'!#REF!</f>
        <v>#REF!</v>
      </c>
      <c r="BH780" s="403" t="e">
        <f>'Portefeuille SP2'!#REF!</f>
        <v>#REF!</v>
      </c>
      <c r="BI780" s="403" t="e">
        <f>'Portefeuille SP2'!#REF!</f>
        <v>#REF!</v>
      </c>
      <c r="BJ780" s="403" t="e">
        <f>'Portefeuille SP2'!#REF!</f>
        <v>#REF!</v>
      </c>
      <c r="BK780" s="403" t="e">
        <f>'Portefeuille SP2'!#REF!</f>
        <v>#REF!</v>
      </c>
      <c r="BL780" s="388"/>
      <c r="BM780" s="404">
        <f>'Portefeuille SP2'!L805</f>
        <v>0</v>
      </c>
    </row>
    <row r="781" spans="1:65" ht="15" customHeight="1">
      <c r="A781" s="383">
        <f>'Portefeuille SP2'!B806</f>
        <v>0</v>
      </c>
      <c r="B781" s="390">
        <f>'Portefeuille SP2'!Q806</f>
        <v>0</v>
      </c>
      <c r="C781" s="384"/>
      <c r="D781" s="382">
        <f>'Portefeuille SP2'!E806</f>
        <v>0</v>
      </c>
      <c r="E781" s="382" t="str">
        <f t="shared" si="45"/>
        <v>0</v>
      </c>
      <c r="F781" s="382" t="str">
        <f t="shared" si="46"/>
        <v/>
      </c>
      <c r="G781" s="382">
        <f>'Portefeuille SP2'!C806</f>
        <v>0</v>
      </c>
      <c r="H781" s="382">
        <f>'Portefeuille SP2'!F806</f>
        <v>0</v>
      </c>
      <c r="I781" s="382"/>
      <c r="J781" s="382">
        <f>'Portefeuille SP2'!D806</f>
        <v>0</v>
      </c>
      <c r="K781" s="385">
        <f>'Portefeuille SP2'!H806</f>
        <v>0</v>
      </c>
      <c r="L781" s="157">
        <f>'Portefeuille SP2'!U806</f>
        <v>0</v>
      </c>
      <c r="M781" s="386"/>
      <c r="N781" s="386"/>
      <c r="O781" s="386"/>
      <c r="P781" s="387">
        <f>'Portefeuille SP2'!M806</f>
        <v>0</v>
      </c>
      <c r="Q781" s="387"/>
      <c r="R781" s="387">
        <f>'Portefeuille SP2'!N806</f>
        <v>0</v>
      </c>
      <c r="S781" s="387"/>
      <c r="T781" s="382">
        <f>'Portefeuille SP2'!R806</f>
        <v>0</v>
      </c>
      <c r="U781" s="387">
        <f>'Portefeuille SP2'!K806</f>
        <v>0</v>
      </c>
      <c r="V781" s="399">
        <f>'Portefeuille SP2'!S806</f>
        <v>0</v>
      </c>
      <c r="W781" s="387"/>
      <c r="X781" s="387"/>
      <c r="Y781" s="387"/>
      <c r="Z781" s="387"/>
      <c r="AA781" s="387"/>
      <c r="AB781" s="387"/>
      <c r="AC781" s="387"/>
      <c r="AD781" s="387"/>
      <c r="AE781" s="400">
        <f>'Portefeuille SP2'!J806</f>
        <v>0</v>
      </c>
      <c r="AF781" s="387"/>
      <c r="AG781" s="387"/>
      <c r="AH781" s="389"/>
      <c r="AI781" s="389"/>
      <c r="AJ781" s="403">
        <f>'Portefeuille SP2'!V806</f>
        <v>0</v>
      </c>
      <c r="AK781" s="403">
        <f>'Portefeuille SP2'!W806</f>
        <v>0</v>
      </c>
      <c r="AL781" s="403">
        <f>'Portefeuille SP2'!X806</f>
        <v>0</v>
      </c>
      <c r="AM781" s="403">
        <f>'Portefeuille SP2'!Y806</f>
        <v>0</v>
      </c>
      <c r="AN781" s="403">
        <f>'Portefeuille SP2'!Z806</f>
        <v>0</v>
      </c>
      <c r="AO781" s="403">
        <f>'Portefeuille SP2'!AA806</f>
        <v>0</v>
      </c>
      <c r="AP781" s="403">
        <f>'Portefeuille SP2'!AB806</f>
        <v>0</v>
      </c>
      <c r="AQ781" s="403">
        <f>'Portefeuille SP2'!AC806</f>
        <v>0</v>
      </c>
      <c r="AR781" s="403">
        <f>'Portefeuille SP2'!AD806</f>
        <v>0</v>
      </c>
      <c r="AS781" s="403">
        <f>'Portefeuille SP2'!AE806</f>
        <v>0</v>
      </c>
      <c r="AT781" s="403">
        <f>'Portefeuille SP2'!AF806</f>
        <v>0</v>
      </c>
      <c r="AU781" s="403">
        <f>'Portefeuille SP2'!AG806</f>
        <v>0</v>
      </c>
      <c r="AV781" s="403">
        <f>'Portefeuille SP2'!AH806</f>
        <v>0</v>
      </c>
      <c r="AW781" s="403">
        <f>'Portefeuille SP2'!AI806</f>
        <v>0</v>
      </c>
      <c r="AX781" s="403">
        <f>'Portefeuille SP2'!AJ806</f>
        <v>0</v>
      </c>
      <c r="AY781" s="403">
        <f>'Portefeuille SP2'!AK806</f>
        <v>0</v>
      </c>
      <c r="AZ781" s="403">
        <f>'Portefeuille SP2'!AL806</f>
        <v>0</v>
      </c>
      <c r="BA781" s="403">
        <f>'Portefeuille SP2'!AM806</f>
        <v>0</v>
      </c>
      <c r="BB781" s="403">
        <f>'Portefeuille SP2'!AN806</f>
        <v>0</v>
      </c>
      <c r="BC781" s="403">
        <f>'Portefeuille SP2'!AO806</f>
        <v>0</v>
      </c>
      <c r="BD781" s="403">
        <f>'Portefeuille SP2'!AP806</f>
        <v>0</v>
      </c>
      <c r="BE781" s="403">
        <f>'Portefeuille SP2'!AQ806</f>
        <v>0</v>
      </c>
      <c r="BF781" s="403">
        <f>'Portefeuille SP2'!AR806</f>
        <v>0</v>
      </c>
      <c r="BG781" s="403" t="e">
        <f>'Portefeuille SP2'!#REF!</f>
        <v>#REF!</v>
      </c>
      <c r="BH781" s="403" t="e">
        <f>'Portefeuille SP2'!#REF!</f>
        <v>#REF!</v>
      </c>
      <c r="BI781" s="403" t="e">
        <f>'Portefeuille SP2'!#REF!</f>
        <v>#REF!</v>
      </c>
      <c r="BJ781" s="403" t="e">
        <f>'Portefeuille SP2'!#REF!</f>
        <v>#REF!</v>
      </c>
      <c r="BK781" s="403" t="e">
        <f>'Portefeuille SP2'!#REF!</f>
        <v>#REF!</v>
      </c>
      <c r="BL781" s="388"/>
      <c r="BM781" s="404">
        <f>'Portefeuille SP2'!L806</f>
        <v>0</v>
      </c>
    </row>
    <row r="782" spans="1:65" ht="15" customHeight="1">
      <c r="A782" s="383">
        <f>'Portefeuille SP2'!B807</f>
        <v>0</v>
      </c>
      <c r="B782" s="390">
        <f>'Portefeuille SP2'!Q807</f>
        <v>0</v>
      </c>
      <c r="C782" s="384"/>
      <c r="D782" s="382">
        <f>'Portefeuille SP2'!E807</f>
        <v>0</v>
      </c>
      <c r="E782" s="382" t="str">
        <f t="shared" si="45"/>
        <v>0</v>
      </c>
      <c r="F782" s="382" t="str">
        <f t="shared" si="46"/>
        <v/>
      </c>
      <c r="G782" s="382">
        <f>'Portefeuille SP2'!C807</f>
        <v>0</v>
      </c>
      <c r="H782" s="382">
        <f>'Portefeuille SP2'!F807</f>
        <v>0</v>
      </c>
      <c r="I782" s="382"/>
      <c r="J782" s="382">
        <f>'Portefeuille SP2'!D807</f>
        <v>0</v>
      </c>
      <c r="K782" s="385">
        <f>'Portefeuille SP2'!H807</f>
        <v>0</v>
      </c>
      <c r="L782" s="157">
        <f>'Portefeuille SP2'!U807</f>
        <v>0</v>
      </c>
      <c r="M782" s="386"/>
      <c r="N782" s="386"/>
      <c r="O782" s="386"/>
      <c r="P782" s="387">
        <f>'Portefeuille SP2'!M807</f>
        <v>0</v>
      </c>
      <c r="Q782" s="387"/>
      <c r="R782" s="387">
        <f>'Portefeuille SP2'!N807</f>
        <v>0</v>
      </c>
      <c r="S782" s="387"/>
      <c r="T782" s="382">
        <f>'Portefeuille SP2'!R807</f>
        <v>0</v>
      </c>
      <c r="U782" s="387">
        <f>'Portefeuille SP2'!K807</f>
        <v>0</v>
      </c>
      <c r="V782" s="399">
        <f>'Portefeuille SP2'!S807</f>
        <v>0</v>
      </c>
      <c r="W782" s="387"/>
      <c r="X782" s="387"/>
      <c r="Y782" s="387"/>
      <c r="Z782" s="387"/>
      <c r="AA782" s="387"/>
      <c r="AB782" s="387"/>
      <c r="AC782" s="387"/>
      <c r="AD782" s="387"/>
      <c r="AE782" s="400">
        <f>'Portefeuille SP2'!J807</f>
        <v>0</v>
      </c>
      <c r="AF782" s="387"/>
      <c r="AG782" s="387"/>
      <c r="AH782" s="389"/>
      <c r="AI782" s="389"/>
      <c r="AJ782" s="403">
        <f>'Portefeuille SP2'!V807</f>
        <v>0</v>
      </c>
      <c r="AK782" s="403">
        <f>'Portefeuille SP2'!W807</f>
        <v>0</v>
      </c>
      <c r="AL782" s="403">
        <f>'Portefeuille SP2'!X807</f>
        <v>0</v>
      </c>
      <c r="AM782" s="403">
        <f>'Portefeuille SP2'!Y807</f>
        <v>0</v>
      </c>
      <c r="AN782" s="403">
        <f>'Portefeuille SP2'!Z807</f>
        <v>0</v>
      </c>
      <c r="AO782" s="403">
        <f>'Portefeuille SP2'!AA807</f>
        <v>0</v>
      </c>
      <c r="AP782" s="403">
        <f>'Portefeuille SP2'!AB807</f>
        <v>0</v>
      </c>
      <c r="AQ782" s="403">
        <f>'Portefeuille SP2'!AC807</f>
        <v>0</v>
      </c>
      <c r="AR782" s="403">
        <f>'Portefeuille SP2'!AD807</f>
        <v>0</v>
      </c>
      <c r="AS782" s="403">
        <f>'Portefeuille SP2'!AE807</f>
        <v>0</v>
      </c>
      <c r="AT782" s="403">
        <f>'Portefeuille SP2'!AF807</f>
        <v>0</v>
      </c>
      <c r="AU782" s="403">
        <f>'Portefeuille SP2'!AG807</f>
        <v>0</v>
      </c>
      <c r="AV782" s="403">
        <f>'Portefeuille SP2'!AH807</f>
        <v>0</v>
      </c>
      <c r="AW782" s="403">
        <f>'Portefeuille SP2'!AI807</f>
        <v>0</v>
      </c>
      <c r="AX782" s="403">
        <f>'Portefeuille SP2'!AJ807</f>
        <v>0</v>
      </c>
      <c r="AY782" s="403">
        <f>'Portefeuille SP2'!AK807</f>
        <v>0</v>
      </c>
      <c r="AZ782" s="403">
        <f>'Portefeuille SP2'!AL807</f>
        <v>0</v>
      </c>
      <c r="BA782" s="403">
        <f>'Portefeuille SP2'!AM807</f>
        <v>0</v>
      </c>
      <c r="BB782" s="403">
        <f>'Portefeuille SP2'!AN807</f>
        <v>0</v>
      </c>
      <c r="BC782" s="403">
        <f>'Portefeuille SP2'!AO807</f>
        <v>0</v>
      </c>
      <c r="BD782" s="403">
        <f>'Portefeuille SP2'!AP807</f>
        <v>0</v>
      </c>
      <c r="BE782" s="403">
        <f>'Portefeuille SP2'!AQ807</f>
        <v>0</v>
      </c>
      <c r="BF782" s="403">
        <f>'Portefeuille SP2'!AR807</f>
        <v>0</v>
      </c>
      <c r="BG782" s="403" t="e">
        <f>'Portefeuille SP2'!#REF!</f>
        <v>#REF!</v>
      </c>
      <c r="BH782" s="403" t="e">
        <f>'Portefeuille SP2'!#REF!</f>
        <v>#REF!</v>
      </c>
      <c r="BI782" s="403" t="e">
        <f>'Portefeuille SP2'!#REF!</f>
        <v>#REF!</v>
      </c>
      <c r="BJ782" s="403" t="e">
        <f>'Portefeuille SP2'!#REF!</f>
        <v>#REF!</v>
      </c>
      <c r="BK782" s="403" t="e">
        <f>'Portefeuille SP2'!#REF!</f>
        <v>#REF!</v>
      </c>
      <c r="BL782" s="388"/>
      <c r="BM782" s="404">
        <f>'Portefeuille SP2'!L807</f>
        <v>0</v>
      </c>
    </row>
    <row r="783" spans="1:65" ht="15" customHeight="1">
      <c r="A783" s="383">
        <f>'Portefeuille SP2'!B808</f>
        <v>0</v>
      </c>
      <c r="B783" s="390">
        <f>'Portefeuille SP2'!Q808</f>
        <v>0</v>
      </c>
      <c r="C783" s="384"/>
      <c r="D783" s="382">
        <f>'Portefeuille SP2'!E808</f>
        <v>0</v>
      </c>
      <c r="E783" s="382" t="str">
        <f t="shared" si="45"/>
        <v>0</v>
      </c>
      <c r="F783" s="382" t="str">
        <f t="shared" si="46"/>
        <v/>
      </c>
      <c r="G783" s="382">
        <f>'Portefeuille SP2'!C808</f>
        <v>0</v>
      </c>
      <c r="H783" s="382">
        <f>'Portefeuille SP2'!F808</f>
        <v>0</v>
      </c>
      <c r="I783" s="382"/>
      <c r="J783" s="382">
        <f>'Portefeuille SP2'!D808</f>
        <v>0</v>
      </c>
      <c r="K783" s="385">
        <f>'Portefeuille SP2'!H808</f>
        <v>0</v>
      </c>
      <c r="L783" s="157">
        <f>'Portefeuille SP2'!U808</f>
        <v>0</v>
      </c>
      <c r="M783" s="386"/>
      <c r="N783" s="386"/>
      <c r="O783" s="386"/>
      <c r="P783" s="387">
        <f>'Portefeuille SP2'!M808</f>
        <v>0</v>
      </c>
      <c r="Q783" s="387"/>
      <c r="R783" s="387">
        <f>'Portefeuille SP2'!N808</f>
        <v>0</v>
      </c>
      <c r="S783" s="387"/>
      <c r="T783" s="382">
        <f>'Portefeuille SP2'!R808</f>
        <v>0</v>
      </c>
      <c r="U783" s="387">
        <f>'Portefeuille SP2'!K808</f>
        <v>0</v>
      </c>
      <c r="V783" s="399">
        <f>'Portefeuille SP2'!S808</f>
        <v>0</v>
      </c>
      <c r="W783" s="387"/>
      <c r="X783" s="387"/>
      <c r="Y783" s="387"/>
      <c r="Z783" s="387"/>
      <c r="AA783" s="387"/>
      <c r="AB783" s="387"/>
      <c r="AC783" s="387"/>
      <c r="AD783" s="387"/>
      <c r="AE783" s="400">
        <f>'Portefeuille SP2'!J808</f>
        <v>0</v>
      </c>
      <c r="AF783" s="387"/>
      <c r="AG783" s="387"/>
      <c r="AH783" s="389"/>
      <c r="AI783" s="389"/>
      <c r="AJ783" s="403">
        <f>'Portefeuille SP2'!V808</f>
        <v>0</v>
      </c>
      <c r="AK783" s="403">
        <f>'Portefeuille SP2'!W808</f>
        <v>0</v>
      </c>
      <c r="AL783" s="403">
        <f>'Portefeuille SP2'!X808</f>
        <v>0</v>
      </c>
      <c r="AM783" s="403">
        <f>'Portefeuille SP2'!Y808</f>
        <v>0</v>
      </c>
      <c r="AN783" s="403">
        <f>'Portefeuille SP2'!Z808</f>
        <v>0</v>
      </c>
      <c r="AO783" s="403">
        <f>'Portefeuille SP2'!AA808</f>
        <v>0</v>
      </c>
      <c r="AP783" s="403">
        <f>'Portefeuille SP2'!AB808</f>
        <v>0</v>
      </c>
      <c r="AQ783" s="403">
        <f>'Portefeuille SP2'!AC808</f>
        <v>0</v>
      </c>
      <c r="AR783" s="403">
        <f>'Portefeuille SP2'!AD808</f>
        <v>0</v>
      </c>
      <c r="AS783" s="403">
        <f>'Portefeuille SP2'!AE808</f>
        <v>0</v>
      </c>
      <c r="AT783" s="403">
        <f>'Portefeuille SP2'!AF808</f>
        <v>0</v>
      </c>
      <c r="AU783" s="403">
        <f>'Portefeuille SP2'!AG808</f>
        <v>0</v>
      </c>
      <c r="AV783" s="403">
        <f>'Portefeuille SP2'!AH808</f>
        <v>0</v>
      </c>
      <c r="AW783" s="403">
        <f>'Portefeuille SP2'!AI808</f>
        <v>0</v>
      </c>
      <c r="AX783" s="403">
        <f>'Portefeuille SP2'!AJ808</f>
        <v>0</v>
      </c>
      <c r="AY783" s="403">
        <f>'Portefeuille SP2'!AK808</f>
        <v>0</v>
      </c>
      <c r="AZ783" s="403">
        <f>'Portefeuille SP2'!AL808</f>
        <v>0</v>
      </c>
      <c r="BA783" s="403">
        <f>'Portefeuille SP2'!AM808</f>
        <v>0</v>
      </c>
      <c r="BB783" s="403">
        <f>'Portefeuille SP2'!AN808</f>
        <v>0</v>
      </c>
      <c r="BC783" s="403">
        <f>'Portefeuille SP2'!AO808</f>
        <v>0</v>
      </c>
      <c r="BD783" s="403">
        <f>'Portefeuille SP2'!AP808</f>
        <v>0</v>
      </c>
      <c r="BE783" s="403">
        <f>'Portefeuille SP2'!AQ808</f>
        <v>0</v>
      </c>
      <c r="BF783" s="403">
        <f>'Portefeuille SP2'!AR808</f>
        <v>0</v>
      </c>
      <c r="BG783" s="403" t="e">
        <f>'Portefeuille SP2'!#REF!</f>
        <v>#REF!</v>
      </c>
      <c r="BH783" s="403" t="e">
        <f>'Portefeuille SP2'!#REF!</f>
        <v>#REF!</v>
      </c>
      <c r="BI783" s="403" t="e">
        <f>'Portefeuille SP2'!#REF!</f>
        <v>#REF!</v>
      </c>
      <c r="BJ783" s="403" t="e">
        <f>'Portefeuille SP2'!#REF!</f>
        <v>#REF!</v>
      </c>
      <c r="BK783" s="403" t="e">
        <f>'Portefeuille SP2'!#REF!</f>
        <v>#REF!</v>
      </c>
      <c r="BL783" s="388"/>
      <c r="BM783" s="404">
        <f>'Portefeuille SP2'!L808</f>
        <v>0</v>
      </c>
    </row>
    <row r="784" spans="1:65" ht="15" customHeight="1">
      <c r="A784" s="383">
        <f>'Portefeuille SP2'!B809</f>
        <v>0</v>
      </c>
      <c r="B784" s="390">
        <f>'Portefeuille SP2'!Q809</f>
        <v>0</v>
      </c>
      <c r="C784" s="384"/>
      <c r="D784" s="382">
        <f>'Portefeuille SP2'!E809</f>
        <v>0</v>
      </c>
      <c r="E784" s="382" t="str">
        <f t="shared" si="45"/>
        <v>0</v>
      </c>
      <c r="F784" s="382" t="str">
        <f t="shared" si="46"/>
        <v/>
      </c>
      <c r="G784" s="382">
        <f>'Portefeuille SP2'!C809</f>
        <v>0</v>
      </c>
      <c r="H784" s="382">
        <f>'Portefeuille SP2'!F809</f>
        <v>0</v>
      </c>
      <c r="I784" s="382"/>
      <c r="J784" s="382">
        <f>'Portefeuille SP2'!D809</f>
        <v>0</v>
      </c>
      <c r="K784" s="385">
        <f>'Portefeuille SP2'!H809</f>
        <v>0</v>
      </c>
      <c r="L784" s="157">
        <f>'Portefeuille SP2'!U809</f>
        <v>0</v>
      </c>
      <c r="M784" s="386"/>
      <c r="N784" s="386"/>
      <c r="O784" s="386"/>
      <c r="P784" s="387">
        <f>'Portefeuille SP2'!M809</f>
        <v>0</v>
      </c>
      <c r="Q784" s="387"/>
      <c r="R784" s="387">
        <f>'Portefeuille SP2'!N809</f>
        <v>0</v>
      </c>
      <c r="S784" s="387"/>
      <c r="T784" s="382">
        <f>'Portefeuille SP2'!R809</f>
        <v>0</v>
      </c>
      <c r="U784" s="387">
        <f>'Portefeuille SP2'!K809</f>
        <v>0</v>
      </c>
      <c r="V784" s="399">
        <f>'Portefeuille SP2'!S809</f>
        <v>0</v>
      </c>
      <c r="W784" s="387"/>
      <c r="X784" s="387"/>
      <c r="Y784" s="387"/>
      <c r="Z784" s="387"/>
      <c r="AA784" s="387"/>
      <c r="AB784" s="387"/>
      <c r="AC784" s="387"/>
      <c r="AD784" s="387"/>
      <c r="AE784" s="400">
        <f>'Portefeuille SP2'!J809</f>
        <v>0</v>
      </c>
      <c r="AF784" s="387"/>
      <c r="AG784" s="387"/>
      <c r="AH784" s="389"/>
      <c r="AI784" s="389"/>
      <c r="AJ784" s="403">
        <f>'Portefeuille SP2'!V809</f>
        <v>0</v>
      </c>
      <c r="AK784" s="403">
        <f>'Portefeuille SP2'!W809</f>
        <v>0</v>
      </c>
      <c r="AL784" s="403">
        <f>'Portefeuille SP2'!X809</f>
        <v>0</v>
      </c>
      <c r="AM784" s="403">
        <f>'Portefeuille SP2'!Y809</f>
        <v>0</v>
      </c>
      <c r="AN784" s="403">
        <f>'Portefeuille SP2'!Z809</f>
        <v>0</v>
      </c>
      <c r="AO784" s="403">
        <f>'Portefeuille SP2'!AA809</f>
        <v>0</v>
      </c>
      <c r="AP784" s="403">
        <f>'Portefeuille SP2'!AB809</f>
        <v>0</v>
      </c>
      <c r="AQ784" s="403">
        <f>'Portefeuille SP2'!AC809</f>
        <v>0</v>
      </c>
      <c r="AR784" s="403">
        <f>'Portefeuille SP2'!AD809</f>
        <v>0</v>
      </c>
      <c r="AS784" s="403">
        <f>'Portefeuille SP2'!AE809</f>
        <v>0</v>
      </c>
      <c r="AT784" s="403">
        <f>'Portefeuille SP2'!AF809</f>
        <v>0</v>
      </c>
      <c r="AU784" s="403">
        <f>'Portefeuille SP2'!AG809</f>
        <v>0</v>
      </c>
      <c r="AV784" s="403">
        <f>'Portefeuille SP2'!AH809</f>
        <v>0</v>
      </c>
      <c r="AW784" s="403">
        <f>'Portefeuille SP2'!AI809</f>
        <v>0</v>
      </c>
      <c r="AX784" s="403">
        <f>'Portefeuille SP2'!AJ809</f>
        <v>0</v>
      </c>
      <c r="AY784" s="403">
        <f>'Portefeuille SP2'!AK809</f>
        <v>0</v>
      </c>
      <c r="AZ784" s="403">
        <f>'Portefeuille SP2'!AL809</f>
        <v>0</v>
      </c>
      <c r="BA784" s="403">
        <f>'Portefeuille SP2'!AM809</f>
        <v>0</v>
      </c>
      <c r="BB784" s="403">
        <f>'Portefeuille SP2'!AN809</f>
        <v>0</v>
      </c>
      <c r="BC784" s="403">
        <f>'Portefeuille SP2'!AO809</f>
        <v>0</v>
      </c>
      <c r="BD784" s="403">
        <f>'Portefeuille SP2'!AP809</f>
        <v>0</v>
      </c>
      <c r="BE784" s="403">
        <f>'Portefeuille SP2'!AQ809</f>
        <v>0</v>
      </c>
      <c r="BF784" s="403">
        <f>'Portefeuille SP2'!AR809</f>
        <v>0</v>
      </c>
      <c r="BG784" s="403" t="e">
        <f>'Portefeuille SP2'!#REF!</f>
        <v>#REF!</v>
      </c>
      <c r="BH784" s="403" t="e">
        <f>'Portefeuille SP2'!#REF!</f>
        <v>#REF!</v>
      </c>
      <c r="BI784" s="403" t="e">
        <f>'Portefeuille SP2'!#REF!</f>
        <v>#REF!</v>
      </c>
      <c r="BJ784" s="403" t="e">
        <f>'Portefeuille SP2'!#REF!</f>
        <v>#REF!</v>
      </c>
      <c r="BK784" s="403" t="e">
        <f>'Portefeuille SP2'!#REF!</f>
        <v>#REF!</v>
      </c>
      <c r="BL784" s="388"/>
      <c r="BM784" s="404">
        <f>'Portefeuille SP2'!L809</f>
        <v>0</v>
      </c>
    </row>
    <row r="785" spans="1:65" ht="15" customHeight="1">
      <c r="A785" s="383">
        <f>'Portefeuille SP2'!B810</f>
        <v>0</v>
      </c>
      <c r="B785" s="390">
        <f>'Portefeuille SP2'!Q810</f>
        <v>0</v>
      </c>
      <c r="C785" s="384"/>
      <c r="D785" s="382">
        <f>'Portefeuille SP2'!E810</f>
        <v>0</v>
      </c>
      <c r="E785" s="382" t="str">
        <f t="shared" si="45"/>
        <v>0</v>
      </c>
      <c r="F785" s="382" t="str">
        <f t="shared" si="46"/>
        <v/>
      </c>
      <c r="G785" s="382">
        <f>'Portefeuille SP2'!C810</f>
        <v>0</v>
      </c>
      <c r="H785" s="382">
        <f>'Portefeuille SP2'!F810</f>
        <v>0</v>
      </c>
      <c r="I785" s="382"/>
      <c r="J785" s="382">
        <f>'Portefeuille SP2'!D810</f>
        <v>0</v>
      </c>
      <c r="K785" s="385">
        <f>'Portefeuille SP2'!H810</f>
        <v>0</v>
      </c>
      <c r="L785" s="157">
        <f>'Portefeuille SP2'!U810</f>
        <v>0</v>
      </c>
      <c r="M785" s="386"/>
      <c r="N785" s="386"/>
      <c r="O785" s="386"/>
      <c r="P785" s="387">
        <f>'Portefeuille SP2'!M810</f>
        <v>0</v>
      </c>
      <c r="Q785" s="387"/>
      <c r="R785" s="387">
        <f>'Portefeuille SP2'!N810</f>
        <v>0</v>
      </c>
      <c r="S785" s="387"/>
      <c r="T785" s="382">
        <f>'Portefeuille SP2'!R810</f>
        <v>0</v>
      </c>
      <c r="U785" s="387">
        <f>'Portefeuille SP2'!K810</f>
        <v>0</v>
      </c>
      <c r="V785" s="399">
        <f>'Portefeuille SP2'!S810</f>
        <v>0</v>
      </c>
      <c r="W785" s="387"/>
      <c r="X785" s="387"/>
      <c r="Y785" s="387"/>
      <c r="Z785" s="387"/>
      <c r="AA785" s="387"/>
      <c r="AB785" s="387"/>
      <c r="AC785" s="387"/>
      <c r="AD785" s="387"/>
      <c r="AE785" s="400">
        <f>'Portefeuille SP2'!J810</f>
        <v>0</v>
      </c>
      <c r="AF785" s="387"/>
      <c r="AG785" s="387"/>
      <c r="AH785" s="389"/>
      <c r="AI785" s="389"/>
      <c r="AJ785" s="403">
        <f>'Portefeuille SP2'!V810</f>
        <v>0</v>
      </c>
      <c r="AK785" s="403">
        <f>'Portefeuille SP2'!W810</f>
        <v>0</v>
      </c>
      <c r="AL785" s="403">
        <f>'Portefeuille SP2'!X810</f>
        <v>0</v>
      </c>
      <c r="AM785" s="403">
        <f>'Portefeuille SP2'!Y810</f>
        <v>0</v>
      </c>
      <c r="AN785" s="403">
        <f>'Portefeuille SP2'!Z810</f>
        <v>0</v>
      </c>
      <c r="AO785" s="403">
        <f>'Portefeuille SP2'!AA810</f>
        <v>0</v>
      </c>
      <c r="AP785" s="403">
        <f>'Portefeuille SP2'!AB810</f>
        <v>0</v>
      </c>
      <c r="AQ785" s="403">
        <f>'Portefeuille SP2'!AC810</f>
        <v>0</v>
      </c>
      <c r="AR785" s="403">
        <f>'Portefeuille SP2'!AD810</f>
        <v>0</v>
      </c>
      <c r="AS785" s="403">
        <f>'Portefeuille SP2'!AE810</f>
        <v>0</v>
      </c>
      <c r="AT785" s="403">
        <f>'Portefeuille SP2'!AF810</f>
        <v>0</v>
      </c>
      <c r="AU785" s="403">
        <f>'Portefeuille SP2'!AG810</f>
        <v>0</v>
      </c>
      <c r="AV785" s="403">
        <f>'Portefeuille SP2'!AH810</f>
        <v>0</v>
      </c>
      <c r="AW785" s="403">
        <f>'Portefeuille SP2'!AI810</f>
        <v>0</v>
      </c>
      <c r="AX785" s="403">
        <f>'Portefeuille SP2'!AJ810</f>
        <v>0</v>
      </c>
      <c r="AY785" s="403">
        <f>'Portefeuille SP2'!AK810</f>
        <v>0</v>
      </c>
      <c r="AZ785" s="403">
        <f>'Portefeuille SP2'!AL810</f>
        <v>0</v>
      </c>
      <c r="BA785" s="403">
        <f>'Portefeuille SP2'!AM810</f>
        <v>0</v>
      </c>
      <c r="BB785" s="403">
        <f>'Portefeuille SP2'!AN810</f>
        <v>0</v>
      </c>
      <c r="BC785" s="403">
        <f>'Portefeuille SP2'!AO810</f>
        <v>0</v>
      </c>
      <c r="BD785" s="403">
        <f>'Portefeuille SP2'!AP810</f>
        <v>0</v>
      </c>
      <c r="BE785" s="403">
        <f>'Portefeuille SP2'!AQ810</f>
        <v>0</v>
      </c>
      <c r="BF785" s="403">
        <f>'Portefeuille SP2'!AR810</f>
        <v>0</v>
      </c>
      <c r="BG785" s="403" t="e">
        <f>'Portefeuille SP2'!#REF!</f>
        <v>#REF!</v>
      </c>
      <c r="BH785" s="403" t="e">
        <f>'Portefeuille SP2'!#REF!</f>
        <v>#REF!</v>
      </c>
      <c r="BI785" s="403" t="e">
        <f>'Portefeuille SP2'!#REF!</f>
        <v>#REF!</v>
      </c>
      <c r="BJ785" s="403" t="e">
        <f>'Portefeuille SP2'!#REF!</f>
        <v>#REF!</v>
      </c>
      <c r="BK785" s="403" t="e">
        <f>'Portefeuille SP2'!#REF!</f>
        <v>#REF!</v>
      </c>
      <c r="BL785" s="388"/>
      <c r="BM785" s="404">
        <f>'Portefeuille SP2'!L810</f>
        <v>0</v>
      </c>
    </row>
    <row r="786" spans="1:65" ht="15" customHeight="1">
      <c r="A786" s="383">
        <f>'Portefeuille SP2'!B811</f>
        <v>0</v>
      </c>
      <c r="B786" s="390">
        <f>'Portefeuille SP2'!Q811</f>
        <v>0</v>
      </c>
      <c r="C786" s="384"/>
      <c r="D786" s="382">
        <f>'Portefeuille SP2'!E811</f>
        <v>0</v>
      </c>
      <c r="E786" s="382" t="str">
        <f t="shared" si="45"/>
        <v>0</v>
      </c>
      <c r="F786" s="382" t="str">
        <f t="shared" si="46"/>
        <v/>
      </c>
      <c r="G786" s="382">
        <f>'Portefeuille SP2'!C811</f>
        <v>0</v>
      </c>
      <c r="H786" s="382">
        <f>'Portefeuille SP2'!F811</f>
        <v>0</v>
      </c>
      <c r="I786" s="382"/>
      <c r="J786" s="382">
        <f>'Portefeuille SP2'!D811</f>
        <v>0</v>
      </c>
      <c r="K786" s="385">
        <f>'Portefeuille SP2'!H811</f>
        <v>0</v>
      </c>
      <c r="L786" s="157">
        <f>'Portefeuille SP2'!U811</f>
        <v>0</v>
      </c>
      <c r="M786" s="386"/>
      <c r="N786" s="386"/>
      <c r="O786" s="386"/>
      <c r="P786" s="387">
        <f>'Portefeuille SP2'!M811</f>
        <v>0</v>
      </c>
      <c r="Q786" s="387"/>
      <c r="R786" s="387">
        <f>'Portefeuille SP2'!N811</f>
        <v>0</v>
      </c>
      <c r="S786" s="387"/>
      <c r="T786" s="382">
        <f>'Portefeuille SP2'!R811</f>
        <v>0</v>
      </c>
      <c r="U786" s="387">
        <f>'Portefeuille SP2'!K811</f>
        <v>0</v>
      </c>
      <c r="V786" s="399">
        <f>'Portefeuille SP2'!S811</f>
        <v>0</v>
      </c>
      <c r="W786" s="387"/>
      <c r="X786" s="387"/>
      <c r="Y786" s="387"/>
      <c r="Z786" s="387"/>
      <c r="AA786" s="387"/>
      <c r="AB786" s="387"/>
      <c r="AC786" s="387"/>
      <c r="AD786" s="387"/>
      <c r="AE786" s="400">
        <f>'Portefeuille SP2'!J811</f>
        <v>0</v>
      </c>
      <c r="AF786" s="387"/>
      <c r="AG786" s="387"/>
      <c r="AH786" s="389"/>
      <c r="AI786" s="389"/>
      <c r="AJ786" s="403">
        <f>'Portefeuille SP2'!V811</f>
        <v>0</v>
      </c>
      <c r="AK786" s="403">
        <f>'Portefeuille SP2'!W811</f>
        <v>0</v>
      </c>
      <c r="AL786" s="403">
        <f>'Portefeuille SP2'!X811</f>
        <v>0</v>
      </c>
      <c r="AM786" s="403">
        <f>'Portefeuille SP2'!Y811</f>
        <v>0</v>
      </c>
      <c r="AN786" s="403">
        <f>'Portefeuille SP2'!Z811</f>
        <v>0</v>
      </c>
      <c r="AO786" s="403">
        <f>'Portefeuille SP2'!AA811</f>
        <v>0</v>
      </c>
      <c r="AP786" s="403">
        <f>'Portefeuille SP2'!AB811</f>
        <v>0</v>
      </c>
      <c r="AQ786" s="403">
        <f>'Portefeuille SP2'!AC811</f>
        <v>0</v>
      </c>
      <c r="AR786" s="403">
        <f>'Portefeuille SP2'!AD811</f>
        <v>0</v>
      </c>
      <c r="AS786" s="403">
        <f>'Portefeuille SP2'!AE811</f>
        <v>0</v>
      </c>
      <c r="AT786" s="403">
        <f>'Portefeuille SP2'!AF811</f>
        <v>0</v>
      </c>
      <c r="AU786" s="403">
        <f>'Portefeuille SP2'!AG811</f>
        <v>0</v>
      </c>
      <c r="AV786" s="403">
        <f>'Portefeuille SP2'!AH811</f>
        <v>0</v>
      </c>
      <c r="AW786" s="403">
        <f>'Portefeuille SP2'!AI811</f>
        <v>0</v>
      </c>
      <c r="AX786" s="403">
        <f>'Portefeuille SP2'!AJ811</f>
        <v>0</v>
      </c>
      <c r="AY786" s="403">
        <f>'Portefeuille SP2'!AK811</f>
        <v>0</v>
      </c>
      <c r="AZ786" s="403">
        <f>'Portefeuille SP2'!AL811</f>
        <v>0</v>
      </c>
      <c r="BA786" s="403">
        <f>'Portefeuille SP2'!AM811</f>
        <v>0</v>
      </c>
      <c r="BB786" s="403">
        <f>'Portefeuille SP2'!AN811</f>
        <v>0</v>
      </c>
      <c r="BC786" s="403">
        <f>'Portefeuille SP2'!AO811</f>
        <v>0</v>
      </c>
      <c r="BD786" s="403">
        <f>'Portefeuille SP2'!AP811</f>
        <v>0</v>
      </c>
      <c r="BE786" s="403">
        <f>'Portefeuille SP2'!AQ811</f>
        <v>0</v>
      </c>
      <c r="BF786" s="403">
        <f>'Portefeuille SP2'!AR811</f>
        <v>0</v>
      </c>
      <c r="BG786" s="403" t="e">
        <f>'Portefeuille SP2'!#REF!</f>
        <v>#REF!</v>
      </c>
      <c r="BH786" s="403" t="e">
        <f>'Portefeuille SP2'!#REF!</f>
        <v>#REF!</v>
      </c>
      <c r="BI786" s="403" t="e">
        <f>'Portefeuille SP2'!#REF!</f>
        <v>#REF!</v>
      </c>
      <c r="BJ786" s="403" t="e">
        <f>'Portefeuille SP2'!#REF!</f>
        <v>#REF!</v>
      </c>
      <c r="BK786" s="403" t="e">
        <f>'Portefeuille SP2'!#REF!</f>
        <v>#REF!</v>
      </c>
      <c r="BL786" s="388"/>
      <c r="BM786" s="404">
        <f>'Portefeuille SP2'!L811</f>
        <v>0</v>
      </c>
    </row>
    <row r="787" spans="1:65" ht="15" customHeight="1">
      <c r="A787" s="383">
        <f>'Portefeuille SP2'!B812</f>
        <v>0</v>
      </c>
      <c r="B787" s="390">
        <f>'Portefeuille SP2'!Q812</f>
        <v>0</v>
      </c>
      <c r="C787" s="384"/>
      <c r="D787" s="382">
        <f>'Portefeuille SP2'!E812</f>
        <v>0</v>
      </c>
      <c r="E787" s="382" t="str">
        <f t="shared" si="45"/>
        <v>0</v>
      </c>
      <c r="F787" s="382" t="str">
        <f t="shared" si="46"/>
        <v/>
      </c>
      <c r="G787" s="382">
        <f>'Portefeuille SP2'!C812</f>
        <v>0</v>
      </c>
      <c r="H787" s="382">
        <f>'Portefeuille SP2'!F812</f>
        <v>0</v>
      </c>
      <c r="I787" s="382"/>
      <c r="J787" s="382">
        <f>'Portefeuille SP2'!D812</f>
        <v>0</v>
      </c>
      <c r="K787" s="385">
        <f>'Portefeuille SP2'!H812</f>
        <v>0</v>
      </c>
      <c r="L787" s="157">
        <f>'Portefeuille SP2'!U812</f>
        <v>0</v>
      </c>
      <c r="M787" s="386"/>
      <c r="N787" s="386"/>
      <c r="O787" s="386"/>
      <c r="P787" s="387">
        <f>'Portefeuille SP2'!M812</f>
        <v>0</v>
      </c>
      <c r="Q787" s="387"/>
      <c r="R787" s="387">
        <f>'Portefeuille SP2'!N812</f>
        <v>0</v>
      </c>
      <c r="S787" s="387"/>
      <c r="T787" s="382">
        <f>'Portefeuille SP2'!R812</f>
        <v>0</v>
      </c>
      <c r="U787" s="387">
        <f>'Portefeuille SP2'!K812</f>
        <v>0</v>
      </c>
      <c r="V787" s="399">
        <f>'Portefeuille SP2'!S812</f>
        <v>0</v>
      </c>
      <c r="W787" s="387"/>
      <c r="X787" s="387"/>
      <c r="Y787" s="387"/>
      <c r="Z787" s="387"/>
      <c r="AA787" s="387"/>
      <c r="AB787" s="387"/>
      <c r="AC787" s="387"/>
      <c r="AD787" s="387"/>
      <c r="AE787" s="400">
        <f>'Portefeuille SP2'!J812</f>
        <v>0</v>
      </c>
      <c r="AF787" s="387"/>
      <c r="AG787" s="387"/>
      <c r="AH787" s="389"/>
      <c r="AI787" s="389"/>
      <c r="AJ787" s="403">
        <f>'Portefeuille SP2'!V812</f>
        <v>0</v>
      </c>
      <c r="AK787" s="403">
        <f>'Portefeuille SP2'!W812</f>
        <v>0</v>
      </c>
      <c r="AL787" s="403">
        <f>'Portefeuille SP2'!X812</f>
        <v>0</v>
      </c>
      <c r="AM787" s="403">
        <f>'Portefeuille SP2'!Y812</f>
        <v>0</v>
      </c>
      <c r="AN787" s="403">
        <f>'Portefeuille SP2'!Z812</f>
        <v>0</v>
      </c>
      <c r="AO787" s="403">
        <f>'Portefeuille SP2'!AA812</f>
        <v>0</v>
      </c>
      <c r="AP787" s="403">
        <f>'Portefeuille SP2'!AB812</f>
        <v>0</v>
      </c>
      <c r="AQ787" s="403">
        <f>'Portefeuille SP2'!AC812</f>
        <v>0</v>
      </c>
      <c r="AR787" s="403">
        <f>'Portefeuille SP2'!AD812</f>
        <v>0</v>
      </c>
      <c r="AS787" s="403">
        <f>'Portefeuille SP2'!AE812</f>
        <v>0</v>
      </c>
      <c r="AT787" s="403">
        <f>'Portefeuille SP2'!AF812</f>
        <v>0</v>
      </c>
      <c r="AU787" s="403">
        <f>'Portefeuille SP2'!AG812</f>
        <v>0</v>
      </c>
      <c r="AV787" s="403">
        <f>'Portefeuille SP2'!AH812</f>
        <v>0</v>
      </c>
      <c r="AW787" s="403">
        <f>'Portefeuille SP2'!AI812</f>
        <v>0</v>
      </c>
      <c r="AX787" s="403">
        <f>'Portefeuille SP2'!AJ812</f>
        <v>0</v>
      </c>
      <c r="AY787" s="403">
        <f>'Portefeuille SP2'!AK812</f>
        <v>0</v>
      </c>
      <c r="AZ787" s="403">
        <f>'Portefeuille SP2'!AL812</f>
        <v>0</v>
      </c>
      <c r="BA787" s="403">
        <f>'Portefeuille SP2'!AM812</f>
        <v>0</v>
      </c>
      <c r="BB787" s="403">
        <f>'Portefeuille SP2'!AN812</f>
        <v>0</v>
      </c>
      <c r="BC787" s="403">
        <f>'Portefeuille SP2'!AO812</f>
        <v>0</v>
      </c>
      <c r="BD787" s="403">
        <f>'Portefeuille SP2'!AP812</f>
        <v>0</v>
      </c>
      <c r="BE787" s="403">
        <f>'Portefeuille SP2'!AQ812</f>
        <v>0</v>
      </c>
      <c r="BF787" s="403">
        <f>'Portefeuille SP2'!AR812</f>
        <v>0</v>
      </c>
      <c r="BG787" s="403" t="e">
        <f>'Portefeuille SP2'!#REF!</f>
        <v>#REF!</v>
      </c>
      <c r="BH787" s="403" t="e">
        <f>'Portefeuille SP2'!#REF!</f>
        <v>#REF!</v>
      </c>
      <c r="BI787" s="403" t="e">
        <f>'Portefeuille SP2'!#REF!</f>
        <v>#REF!</v>
      </c>
      <c r="BJ787" s="403" t="e">
        <f>'Portefeuille SP2'!#REF!</f>
        <v>#REF!</v>
      </c>
      <c r="BK787" s="403" t="e">
        <f>'Portefeuille SP2'!#REF!</f>
        <v>#REF!</v>
      </c>
      <c r="BL787" s="388"/>
      <c r="BM787" s="404">
        <f>'Portefeuille SP2'!L812</f>
        <v>0</v>
      </c>
    </row>
    <row r="788" spans="1:65" ht="15" customHeight="1">
      <c r="A788" s="383">
        <f>'Portefeuille SP2'!B813</f>
        <v>0</v>
      </c>
      <c r="B788" s="390">
        <f>'Portefeuille SP2'!Q813</f>
        <v>0</v>
      </c>
      <c r="C788" s="384"/>
      <c r="D788" s="382">
        <f>'Portefeuille SP2'!E813</f>
        <v>0</v>
      </c>
      <c r="E788" s="382" t="str">
        <f t="shared" si="45"/>
        <v>0</v>
      </c>
      <c r="F788" s="382" t="str">
        <f t="shared" si="46"/>
        <v/>
      </c>
      <c r="G788" s="382">
        <f>'Portefeuille SP2'!C813</f>
        <v>0</v>
      </c>
      <c r="H788" s="382">
        <f>'Portefeuille SP2'!F813</f>
        <v>0</v>
      </c>
      <c r="I788" s="382"/>
      <c r="J788" s="382">
        <f>'Portefeuille SP2'!D813</f>
        <v>0</v>
      </c>
      <c r="K788" s="385">
        <f>'Portefeuille SP2'!H813</f>
        <v>0</v>
      </c>
      <c r="L788" s="157">
        <f>'Portefeuille SP2'!U813</f>
        <v>0</v>
      </c>
      <c r="M788" s="386"/>
      <c r="N788" s="386"/>
      <c r="O788" s="386"/>
      <c r="P788" s="387">
        <f>'Portefeuille SP2'!M813</f>
        <v>0</v>
      </c>
      <c r="Q788" s="387"/>
      <c r="R788" s="387">
        <f>'Portefeuille SP2'!N813</f>
        <v>0</v>
      </c>
      <c r="S788" s="387"/>
      <c r="T788" s="382">
        <f>'Portefeuille SP2'!R813</f>
        <v>0</v>
      </c>
      <c r="U788" s="387">
        <f>'Portefeuille SP2'!K813</f>
        <v>0</v>
      </c>
      <c r="V788" s="399">
        <f>'Portefeuille SP2'!S813</f>
        <v>0</v>
      </c>
      <c r="W788" s="387"/>
      <c r="X788" s="387"/>
      <c r="Y788" s="387"/>
      <c r="Z788" s="387"/>
      <c r="AA788" s="387"/>
      <c r="AB788" s="387"/>
      <c r="AC788" s="387"/>
      <c r="AD788" s="387"/>
      <c r="AE788" s="400">
        <f>'Portefeuille SP2'!J813</f>
        <v>0</v>
      </c>
      <c r="AF788" s="387"/>
      <c r="AG788" s="387"/>
      <c r="AH788" s="389"/>
      <c r="AI788" s="389"/>
      <c r="AJ788" s="403">
        <f>'Portefeuille SP2'!V813</f>
        <v>0</v>
      </c>
      <c r="AK788" s="403">
        <f>'Portefeuille SP2'!W813</f>
        <v>0</v>
      </c>
      <c r="AL788" s="403">
        <f>'Portefeuille SP2'!X813</f>
        <v>0</v>
      </c>
      <c r="AM788" s="403">
        <f>'Portefeuille SP2'!Y813</f>
        <v>0</v>
      </c>
      <c r="AN788" s="403">
        <f>'Portefeuille SP2'!Z813</f>
        <v>0</v>
      </c>
      <c r="AO788" s="403">
        <f>'Portefeuille SP2'!AA813</f>
        <v>0</v>
      </c>
      <c r="AP788" s="403">
        <f>'Portefeuille SP2'!AB813</f>
        <v>0</v>
      </c>
      <c r="AQ788" s="403">
        <f>'Portefeuille SP2'!AC813</f>
        <v>0</v>
      </c>
      <c r="AR788" s="403">
        <f>'Portefeuille SP2'!AD813</f>
        <v>0</v>
      </c>
      <c r="AS788" s="403">
        <f>'Portefeuille SP2'!AE813</f>
        <v>0</v>
      </c>
      <c r="AT788" s="403">
        <f>'Portefeuille SP2'!AF813</f>
        <v>0</v>
      </c>
      <c r="AU788" s="403">
        <f>'Portefeuille SP2'!AG813</f>
        <v>0</v>
      </c>
      <c r="AV788" s="403">
        <f>'Portefeuille SP2'!AH813</f>
        <v>0</v>
      </c>
      <c r="AW788" s="403">
        <f>'Portefeuille SP2'!AI813</f>
        <v>0</v>
      </c>
      <c r="AX788" s="403">
        <f>'Portefeuille SP2'!AJ813</f>
        <v>0</v>
      </c>
      <c r="AY788" s="403">
        <f>'Portefeuille SP2'!AK813</f>
        <v>0</v>
      </c>
      <c r="AZ788" s="403">
        <f>'Portefeuille SP2'!AL813</f>
        <v>0</v>
      </c>
      <c r="BA788" s="403">
        <f>'Portefeuille SP2'!AM813</f>
        <v>0</v>
      </c>
      <c r="BB788" s="403">
        <f>'Portefeuille SP2'!AN813</f>
        <v>0</v>
      </c>
      <c r="BC788" s="403">
        <f>'Portefeuille SP2'!AO813</f>
        <v>0</v>
      </c>
      <c r="BD788" s="403">
        <f>'Portefeuille SP2'!AP813</f>
        <v>0</v>
      </c>
      <c r="BE788" s="403">
        <f>'Portefeuille SP2'!AQ813</f>
        <v>0</v>
      </c>
      <c r="BF788" s="403">
        <f>'Portefeuille SP2'!AR813</f>
        <v>0</v>
      </c>
      <c r="BG788" s="403" t="e">
        <f>'Portefeuille SP2'!#REF!</f>
        <v>#REF!</v>
      </c>
      <c r="BH788" s="403" t="e">
        <f>'Portefeuille SP2'!#REF!</f>
        <v>#REF!</v>
      </c>
      <c r="BI788" s="403" t="e">
        <f>'Portefeuille SP2'!#REF!</f>
        <v>#REF!</v>
      </c>
      <c r="BJ788" s="403" t="e">
        <f>'Portefeuille SP2'!#REF!</f>
        <v>#REF!</v>
      </c>
      <c r="BK788" s="403" t="e">
        <f>'Portefeuille SP2'!#REF!</f>
        <v>#REF!</v>
      </c>
      <c r="BL788" s="388"/>
      <c r="BM788" s="404">
        <f>'Portefeuille SP2'!L813</f>
        <v>0</v>
      </c>
    </row>
    <row r="789" spans="1:65" ht="15" customHeight="1">
      <c r="A789" s="383">
        <f>'Portefeuille SP2'!B814</f>
        <v>0</v>
      </c>
      <c r="B789" s="390">
        <f>'Portefeuille SP2'!Q814</f>
        <v>0</v>
      </c>
      <c r="C789" s="384"/>
      <c r="D789" s="382">
        <f>'Portefeuille SP2'!E814</f>
        <v>0</v>
      </c>
      <c r="E789" s="382" t="str">
        <f t="shared" si="45"/>
        <v>0</v>
      </c>
      <c r="F789" s="382" t="str">
        <f t="shared" si="46"/>
        <v/>
      </c>
      <c r="G789" s="382">
        <f>'Portefeuille SP2'!C814</f>
        <v>0</v>
      </c>
      <c r="H789" s="382">
        <f>'Portefeuille SP2'!F814</f>
        <v>0</v>
      </c>
      <c r="I789" s="382"/>
      <c r="J789" s="382">
        <f>'Portefeuille SP2'!D814</f>
        <v>0</v>
      </c>
      <c r="K789" s="385">
        <f>'Portefeuille SP2'!H814</f>
        <v>0</v>
      </c>
      <c r="L789" s="157">
        <f>'Portefeuille SP2'!U814</f>
        <v>0</v>
      </c>
      <c r="M789" s="386"/>
      <c r="N789" s="386"/>
      <c r="O789" s="386"/>
      <c r="P789" s="387">
        <f>'Portefeuille SP2'!M814</f>
        <v>0</v>
      </c>
      <c r="Q789" s="387"/>
      <c r="R789" s="387">
        <f>'Portefeuille SP2'!N814</f>
        <v>0</v>
      </c>
      <c r="S789" s="387"/>
      <c r="T789" s="382">
        <f>'Portefeuille SP2'!R814</f>
        <v>0</v>
      </c>
      <c r="U789" s="387">
        <f>'Portefeuille SP2'!K814</f>
        <v>0</v>
      </c>
      <c r="V789" s="399">
        <f>'Portefeuille SP2'!S814</f>
        <v>0</v>
      </c>
      <c r="W789" s="387"/>
      <c r="X789" s="387"/>
      <c r="Y789" s="387"/>
      <c r="Z789" s="387"/>
      <c r="AA789" s="387"/>
      <c r="AB789" s="387"/>
      <c r="AC789" s="387"/>
      <c r="AD789" s="387"/>
      <c r="AE789" s="400">
        <f>'Portefeuille SP2'!J814</f>
        <v>0</v>
      </c>
      <c r="AF789" s="387"/>
      <c r="AG789" s="387"/>
      <c r="AH789" s="389"/>
      <c r="AI789" s="389"/>
      <c r="AJ789" s="403">
        <f>'Portefeuille SP2'!V814</f>
        <v>0</v>
      </c>
      <c r="AK789" s="403">
        <f>'Portefeuille SP2'!W814</f>
        <v>0</v>
      </c>
      <c r="AL789" s="403">
        <f>'Portefeuille SP2'!X814</f>
        <v>0</v>
      </c>
      <c r="AM789" s="403">
        <f>'Portefeuille SP2'!Y814</f>
        <v>0</v>
      </c>
      <c r="AN789" s="403">
        <f>'Portefeuille SP2'!Z814</f>
        <v>0</v>
      </c>
      <c r="AO789" s="403">
        <f>'Portefeuille SP2'!AA814</f>
        <v>0</v>
      </c>
      <c r="AP789" s="403">
        <f>'Portefeuille SP2'!AB814</f>
        <v>0</v>
      </c>
      <c r="AQ789" s="403">
        <f>'Portefeuille SP2'!AC814</f>
        <v>0</v>
      </c>
      <c r="AR789" s="403">
        <f>'Portefeuille SP2'!AD814</f>
        <v>0</v>
      </c>
      <c r="AS789" s="403">
        <f>'Portefeuille SP2'!AE814</f>
        <v>0</v>
      </c>
      <c r="AT789" s="403">
        <f>'Portefeuille SP2'!AF814</f>
        <v>0</v>
      </c>
      <c r="AU789" s="403">
        <f>'Portefeuille SP2'!AG814</f>
        <v>0</v>
      </c>
      <c r="AV789" s="403">
        <f>'Portefeuille SP2'!AH814</f>
        <v>0</v>
      </c>
      <c r="AW789" s="403">
        <f>'Portefeuille SP2'!AI814</f>
        <v>0</v>
      </c>
      <c r="AX789" s="403">
        <f>'Portefeuille SP2'!AJ814</f>
        <v>0</v>
      </c>
      <c r="AY789" s="403">
        <f>'Portefeuille SP2'!AK814</f>
        <v>0</v>
      </c>
      <c r="AZ789" s="403">
        <f>'Portefeuille SP2'!AL814</f>
        <v>0</v>
      </c>
      <c r="BA789" s="403">
        <f>'Portefeuille SP2'!AM814</f>
        <v>0</v>
      </c>
      <c r="BB789" s="403">
        <f>'Portefeuille SP2'!AN814</f>
        <v>0</v>
      </c>
      <c r="BC789" s="403">
        <f>'Portefeuille SP2'!AO814</f>
        <v>0</v>
      </c>
      <c r="BD789" s="403">
        <f>'Portefeuille SP2'!AP814</f>
        <v>0</v>
      </c>
      <c r="BE789" s="403">
        <f>'Portefeuille SP2'!AQ814</f>
        <v>0</v>
      </c>
      <c r="BF789" s="403">
        <f>'Portefeuille SP2'!AR814</f>
        <v>0</v>
      </c>
      <c r="BG789" s="403" t="e">
        <f>'Portefeuille SP2'!#REF!</f>
        <v>#REF!</v>
      </c>
      <c r="BH789" s="403" t="e">
        <f>'Portefeuille SP2'!#REF!</f>
        <v>#REF!</v>
      </c>
      <c r="BI789" s="403" t="e">
        <f>'Portefeuille SP2'!#REF!</f>
        <v>#REF!</v>
      </c>
      <c r="BJ789" s="403" t="e">
        <f>'Portefeuille SP2'!#REF!</f>
        <v>#REF!</v>
      </c>
      <c r="BK789" s="403" t="e">
        <f>'Portefeuille SP2'!#REF!</f>
        <v>#REF!</v>
      </c>
      <c r="BL789" s="388"/>
      <c r="BM789" s="404">
        <f>'Portefeuille SP2'!L814</f>
        <v>0</v>
      </c>
    </row>
    <row r="790" spans="1:65" ht="15" customHeight="1">
      <c r="A790" s="383">
        <f>'Portefeuille SP2'!B815</f>
        <v>0</v>
      </c>
      <c r="B790" s="390">
        <f>'Portefeuille SP2'!Q815</f>
        <v>0</v>
      </c>
      <c r="C790" s="384"/>
      <c r="D790" s="382">
        <f>'Portefeuille SP2'!E815</f>
        <v>0</v>
      </c>
      <c r="E790" s="382" t="str">
        <f t="shared" si="45"/>
        <v>0</v>
      </c>
      <c r="F790" s="382" t="str">
        <f t="shared" si="46"/>
        <v/>
      </c>
      <c r="G790" s="382">
        <f>'Portefeuille SP2'!C815</f>
        <v>0</v>
      </c>
      <c r="H790" s="382">
        <f>'Portefeuille SP2'!F815</f>
        <v>0</v>
      </c>
      <c r="I790" s="382"/>
      <c r="J790" s="382">
        <f>'Portefeuille SP2'!D815</f>
        <v>0</v>
      </c>
      <c r="K790" s="385">
        <f>'Portefeuille SP2'!H815</f>
        <v>0</v>
      </c>
      <c r="L790" s="157">
        <f>'Portefeuille SP2'!U815</f>
        <v>0</v>
      </c>
      <c r="M790" s="386"/>
      <c r="N790" s="386"/>
      <c r="O790" s="386"/>
      <c r="P790" s="387">
        <f>'Portefeuille SP2'!M815</f>
        <v>0</v>
      </c>
      <c r="Q790" s="387"/>
      <c r="R790" s="387">
        <f>'Portefeuille SP2'!N815</f>
        <v>0</v>
      </c>
      <c r="S790" s="387"/>
      <c r="T790" s="382">
        <f>'Portefeuille SP2'!R815</f>
        <v>0</v>
      </c>
      <c r="U790" s="387">
        <f>'Portefeuille SP2'!K815</f>
        <v>0</v>
      </c>
      <c r="V790" s="399">
        <f>'Portefeuille SP2'!S815</f>
        <v>0</v>
      </c>
      <c r="W790" s="387"/>
      <c r="X790" s="387"/>
      <c r="Y790" s="387"/>
      <c r="Z790" s="387"/>
      <c r="AA790" s="387"/>
      <c r="AB790" s="387"/>
      <c r="AC790" s="387"/>
      <c r="AD790" s="387"/>
      <c r="AE790" s="400">
        <f>'Portefeuille SP2'!J815</f>
        <v>0</v>
      </c>
      <c r="AF790" s="387"/>
      <c r="AG790" s="387"/>
      <c r="AH790" s="389"/>
      <c r="AI790" s="389"/>
      <c r="AJ790" s="403">
        <f>'Portefeuille SP2'!V815</f>
        <v>0</v>
      </c>
      <c r="AK790" s="403">
        <f>'Portefeuille SP2'!W815</f>
        <v>0</v>
      </c>
      <c r="AL790" s="403">
        <f>'Portefeuille SP2'!X815</f>
        <v>0</v>
      </c>
      <c r="AM790" s="403">
        <f>'Portefeuille SP2'!Y815</f>
        <v>0</v>
      </c>
      <c r="AN790" s="403">
        <f>'Portefeuille SP2'!Z815</f>
        <v>0</v>
      </c>
      <c r="AO790" s="403">
        <f>'Portefeuille SP2'!AA815</f>
        <v>0</v>
      </c>
      <c r="AP790" s="403">
        <f>'Portefeuille SP2'!AB815</f>
        <v>0</v>
      </c>
      <c r="AQ790" s="403">
        <f>'Portefeuille SP2'!AC815</f>
        <v>0</v>
      </c>
      <c r="AR790" s="403">
        <f>'Portefeuille SP2'!AD815</f>
        <v>0</v>
      </c>
      <c r="AS790" s="403">
        <f>'Portefeuille SP2'!AE815</f>
        <v>0</v>
      </c>
      <c r="AT790" s="403">
        <f>'Portefeuille SP2'!AF815</f>
        <v>0</v>
      </c>
      <c r="AU790" s="403">
        <f>'Portefeuille SP2'!AG815</f>
        <v>0</v>
      </c>
      <c r="AV790" s="403">
        <f>'Portefeuille SP2'!AH815</f>
        <v>0</v>
      </c>
      <c r="AW790" s="403">
        <f>'Portefeuille SP2'!AI815</f>
        <v>0</v>
      </c>
      <c r="AX790" s="403">
        <f>'Portefeuille SP2'!AJ815</f>
        <v>0</v>
      </c>
      <c r="AY790" s="403">
        <f>'Portefeuille SP2'!AK815</f>
        <v>0</v>
      </c>
      <c r="AZ790" s="403">
        <f>'Portefeuille SP2'!AL815</f>
        <v>0</v>
      </c>
      <c r="BA790" s="403">
        <f>'Portefeuille SP2'!AM815</f>
        <v>0</v>
      </c>
      <c r="BB790" s="403">
        <f>'Portefeuille SP2'!AN815</f>
        <v>0</v>
      </c>
      <c r="BC790" s="403">
        <f>'Portefeuille SP2'!AO815</f>
        <v>0</v>
      </c>
      <c r="BD790" s="403">
        <f>'Portefeuille SP2'!AP815</f>
        <v>0</v>
      </c>
      <c r="BE790" s="403">
        <f>'Portefeuille SP2'!AQ815</f>
        <v>0</v>
      </c>
      <c r="BF790" s="403">
        <f>'Portefeuille SP2'!AR815</f>
        <v>0</v>
      </c>
      <c r="BG790" s="403" t="e">
        <f>'Portefeuille SP2'!#REF!</f>
        <v>#REF!</v>
      </c>
      <c r="BH790" s="403" t="e">
        <f>'Portefeuille SP2'!#REF!</f>
        <v>#REF!</v>
      </c>
      <c r="BI790" s="403" t="e">
        <f>'Portefeuille SP2'!#REF!</f>
        <v>#REF!</v>
      </c>
      <c r="BJ790" s="403" t="e">
        <f>'Portefeuille SP2'!#REF!</f>
        <v>#REF!</v>
      </c>
      <c r="BK790" s="403" t="e">
        <f>'Portefeuille SP2'!#REF!</f>
        <v>#REF!</v>
      </c>
      <c r="BL790" s="388"/>
      <c r="BM790" s="404">
        <f>'Portefeuille SP2'!L815</f>
        <v>0</v>
      </c>
    </row>
    <row r="791" spans="1:65" ht="15" customHeight="1">
      <c r="A791" s="383">
        <f>'Portefeuille SP2'!B816</f>
        <v>0</v>
      </c>
      <c r="B791" s="390">
        <f>'Portefeuille SP2'!Q816</f>
        <v>0</v>
      </c>
      <c r="C791" s="384"/>
      <c r="D791" s="382">
        <f>'Portefeuille SP2'!E816</f>
        <v>0</v>
      </c>
      <c r="E791" s="382" t="str">
        <f t="shared" si="45"/>
        <v>0</v>
      </c>
      <c r="F791" s="382" t="str">
        <f t="shared" si="46"/>
        <v/>
      </c>
      <c r="G791" s="382">
        <f>'Portefeuille SP2'!C816</f>
        <v>0</v>
      </c>
      <c r="H791" s="382">
        <f>'Portefeuille SP2'!F816</f>
        <v>0</v>
      </c>
      <c r="I791" s="382"/>
      <c r="J791" s="382">
        <f>'Portefeuille SP2'!D816</f>
        <v>0</v>
      </c>
      <c r="K791" s="385">
        <f>'Portefeuille SP2'!H816</f>
        <v>0</v>
      </c>
      <c r="L791" s="157">
        <f>'Portefeuille SP2'!U816</f>
        <v>0</v>
      </c>
      <c r="M791" s="386"/>
      <c r="N791" s="386"/>
      <c r="O791" s="386"/>
      <c r="P791" s="387">
        <f>'Portefeuille SP2'!M816</f>
        <v>0</v>
      </c>
      <c r="Q791" s="387"/>
      <c r="R791" s="387">
        <f>'Portefeuille SP2'!N816</f>
        <v>0</v>
      </c>
      <c r="S791" s="387"/>
      <c r="T791" s="382">
        <f>'Portefeuille SP2'!R816</f>
        <v>0</v>
      </c>
      <c r="U791" s="387">
        <f>'Portefeuille SP2'!K816</f>
        <v>0</v>
      </c>
      <c r="V791" s="399">
        <f>'Portefeuille SP2'!S816</f>
        <v>0</v>
      </c>
      <c r="W791" s="387"/>
      <c r="X791" s="387"/>
      <c r="Y791" s="387"/>
      <c r="Z791" s="387"/>
      <c r="AA791" s="387"/>
      <c r="AB791" s="387"/>
      <c r="AC791" s="387"/>
      <c r="AD791" s="387"/>
      <c r="AE791" s="400">
        <f>'Portefeuille SP2'!J816</f>
        <v>0</v>
      </c>
      <c r="AF791" s="387"/>
      <c r="AG791" s="387"/>
      <c r="AH791" s="389"/>
      <c r="AI791" s="389"/>
      <c r="AJ791" s="403">
        <f>'Portefeuille SP2'!V816</f>
        <v>0</v>
      </c>
      <c r="AK791" s="403">
        <f>'Portefeuille SP2'!W816</f>
        <v>0</v>
      </c>
      <c r="AL791" s="403">
        <f>'Portefeuille SP2'!X816</f>
        <v>0</v>
      </c>
      <c r="AM791" s="403">
        <f>'Portefeuille SP2'!Y816</f>
        <v>0</v>
      </c>
      <c r="AN791" s="403">
        <f>'Portefeuille SP2'!Z816</f>
        <v>0</v>
      </c>
      <c r="AO791" s="403">
        <f>'Portefeuille SP2'!AA816</f>
        <v>0</v>
      </c>
      <c r="AP791" s="403">
        <f>'Portefeuille SP2'!AB816</f>
        <v>0</v>
      </c>
      <c r="AQ791" s="403">
        <f>'Portefeuille SP2'!AC816</f>
        <v>0</v>
      </c>
      <c r="AR791" s="403">
        <f>'Portefeuille SP2'!AD816</f>
        <v>0</v>
      </c>
      <c r="AS791" s="403">
        <f>'Portefeuille SP2'!AE816</f>
        <v>0</v>
      </c>
      <c r="AT791" s="403">
        <f>'Portefeuille SP2'!AF816</f>
        <v>0</v>
      </c>
      <c r="AU791" s="403">
        <f>'Portefeuille SP2'!AG816</f>
        <v>0</v>
      </c>
      <c r="AV791" s="403">
        <f>'Portefeuille SP2'!AH816</f>
        <v>0</v>
      </c>
      <c r="AW791" s="403">
        <f>'Portefeuille SP2'!AI816</f>
        <v>0</v>
      </c>
      <c r="AX791" s="403">
        <f>'Portefeuille SP2'!AJ816</f>
        <v>0</v>
      </c>
      <c r="AY791" s="403">
        <f>'Portefeuille SP2'!AK816</f>
        <v>0</v>
      </c>
      <c r="AZ791" s="403">
        <f>'Portefeuille SP2'!AL816</f>
        <v>0</v>
      </c>
      <c r="BA791" s="403">
        <f>'Portefeuille SP2'!AM816</f>
        <v>0</v>
      </c>
      <c r="BB791" s="403">
        <f>'Portefeuille SP2'!AN816</f>
        <v>0</v>
      </c>
      <c r="BC791" s="403">
        <f>'Portefeuille SP2'!AO816</f>
        <v>0</v>
      </c>
      <c r="BD791" s="403">
        <f>'Portefeuille SP2'!AP816</f>
        <v>0</v>
      </c>
      <c r="BE791" s="403">
        <f>'Portefeuille SP2'!AQ816</f>
        <v>0</v>
      </c>
      <c r="BF791" s="403">
        <f>'Portefeuille SP2'!AR816</f>
        <v>0</v>
      </c>
      <c r="BG791" s="403" t="e">
        <f>'Portefeuille SP2'!#REF!</f>
        <v>#REF!</v>
      </c>
      <c r="BH791" s="403" t="e">
        <f>'Portefeuille SP2'!#REF!</f>
        <v>#REF!</v>
      </c>
      <c r="BI791" s="403" t="e">
        <f>'Portefeuille SP2'!#REF!</f>
        <v>#REF!</v>
      </c>
      <c r="BJ791" s="403" t="e">
        <f>'Portefeuille SP2'!#REF!</f>
        <v>#REF!</v>
      </c>
      <c r="BK791" s="403" t="e">
        <f>'Portefeuille SP2'!#REF!</f>
        <v>#REF!</v>
      </c>
      <c r="BL791" s="388"/>
      <c r="BM791" s="404">
        <f>'Portefeuille SP2'!L816</f>
        <v>0</v>
      </c>
    </row>
    <row r="792" spans="1:65" ht="15" customHeight="1">
      <c r="A792" s="383">
        <f>'Portefeuille SP2'!B817</f>
        <v>0</v>
      </c>
      <c r="B792" s="390">
        <f>'Portefeuille SP2'!Q817</f>
        <v>0</v>
      </c>
      <c r="C792" s="384"/>
      <c r="D792" s="382">
        <f>'Portefeuille SP2'!E817</f>
        <v>0</v>
      </c>
      <c r="E792" s="382" t="str">
        <f t="shared" si="45"/>
        <v>0</v>
      </c>
      <c r="F792" s="382" t="str">
        <f t="shared" si="46"/>
        <v/>
      </c>
      <c r="G792" s="382">
        <f>'Portefeuille SP2'!C817</f>
        <v>0</v>
      </c>
      <c r="H792" s="382">
        <f>'Portefeuille SP2'!F817</f>
        <v>0</v>
      </c>
      <c r="I792" s="382"/>
      <c r="J792" s="382">
        <f>'Portefeuille SP2'!D817</f>
        <v>0</v>
      </c>
      <c r="K792" s="385">
        <f>'Portefeuille SP2'!H817</f>
        <v>0</v>
      </c>
      <c r="L792" s="157">
        <f>'Portefeuille SP2'!U817</f>
        <v>0</v>
      </c>
      <c r="M792" s="386"/>
      <c r="N792" s="386"/>
      <c r="O792" s="386"/>
      <c r="P792" s="387">
        <f>'Portefeuille SP2'!M817</f>
        <v>0</v>
      </c>
      <c r="Q792" s="387"/>
      <c r="R792" s="387">
        <f>'Portefeuille SP2'!N817</f>
        <v>0</v>
      </c>
      <c r="S792" s="387"/>
      <c r="T792" s="382">
        <f>'Portefeuille SP2'!R817</f>
        <v>0</v>
      </c>
      <c r="U792" s="387">
        <f>'Portefeuille SP2'!K817</f>
        <v>0</v>
      </c>
      <c r="V792" s="399">
        <f>'Portefeuille SP2'!S817</f>
        <v>0</v>
      </c>
      <c r="W792" s="387"/>
      <c r="X792" s="387"/>
      <c r="Y792" s="387"/>
      <c r="Z792" s="387"/>
      <c r="AA792" s="387"/>
      <c r="AB792" s="387"/>
      <c r="AC792" s="387"/>
      <c r="AD792" s="387"/>
      <c r="AE792" s="400">
        <f>'Portefeuille SP2'!J817</f>
        <v>0</v>
      </c>
      <c r="AF792" s="387"/>
      <c r="AG792" s="387"/>
      <c r="AH792" s="389"/>
      <c r="AI792" s="389"/>
      <c r="AJ792" s="403">
        <f>'Portefeuille SP2'!V817</f>
        <v>0</v>
      </c>
      <c r="AK792" s="403">
        <f>'Portefeuille SP2'!W817</f>
        <v>0</v>
      </c>
      <c r="AL792" s="403">
        <f>'Portefeuille SP2'!X817</f>
        <v>0</v>
      </c>
      <c r="AM792" s="403">
        <f>'Portefeuille SP2'!Y817</f>
        <v>0</v>
      </c>
      <c r="AN792" s="403">
        <f>'Portefeuille SP2'!Z817</f>
        <v>0</v>
      </c>
      <c r="AO792" s="403">
        <f>'Portefeuille SP2'!AA817</f>
        <v>0</v>
      </c>
      <c r="AP792" s="403">
        <f>'Portefeuille SP2'!AB817</f>
        <v>0</v>
      </c>
      <c r="AQ792" s="403">
        <f>'Portefeuille SP2'!AC817</f>
        <v>0</v>
      </c>
      <c r="AR792" s="403">
        <f>'Portefeuille SP2'!AD817</f>
        <v>0</v>
      </c>
      <c r="AS792" s="403">
        <f>'Portefeuille SP2'!AE817</f>
        <v>0</v>
      </c>
      <c r="AT792" s="403">
        <f>'Portefeuille SP2'!AF817</f>
        <v>0</v>
      </c>
      <c r="AU792" s="403">
        <f>'Portefeuille SP2'!AG817</f>
        <v>0</v>
      </c>
      <c r="AV792" s="403">
        <f>'Portefeuille SP2'!AH817</f>
        <v>0</v>
      </c>
      <c r="AW792" s="403">
        <f>'Portefeuille SP2'!AI817</f>
        <v>0</v>
      </c>
      <c r="AX792" s="403">
        <f>'Portefeuille SP2'!AJ817</f>
        <v>0</v>
      </c>
      <c r="AY792" s="403">
        <f>'Portefeuille SP2'!AK817</f>
        <v>0</v>
      </c>
      <c r="AZ792" s="403">
        <f>'Portefeuille SP2'!AL817</f>
        <v>0</v>
      </c>
      <c r="BA792" s="403">
        <f>'Portefeuille SP2'!AM817</f>
        <v>0</v>
      </c>
      <c r="BB792" s="403">
        <f>'Portefeuille SP2'!AN817</f>
        <v>0</v>
      </c>
      <c r="BC792" s="403">
        <f>'Portefeuille SP2'!AO817</f>
        <v>0</v>
      </c>
      <c r="BD792" s="403">
        <f>'Portefeuille SP2'!AP817</f>
        <v>0</v>
      </c>
      <c r="BE792" s="403">
        <f>'Portefeuille SP2'!AQ817</f>
        <v>0</v>
      </c>
      <c r="BF792" s="403">
        <f>'Portefeuille SP2'!AR817</f>
        <v>0</v>
      </c>
      <c r="BG792" s="403" t="e">
        <f>'Portefeuille SP2'!#REF!</f>
        <v>#REF!</v>
      </c>
      <c r="BH792" s="403" t="e">
        <f>'Portefeuille SP2'!#REF!</f>
        <v>#REF!</v>
      </c>
      <c r="BI792" s="403" t="e">
        <f>'Portefeuille SP2'!#REF!</f>
        <v>#REF!</v>
      </c>
      <c r="BJ792" s="403" t="e">
        <f>'Portefeuille SP2'!#REF!</f>
        <v>#REF!</v>
      </c>
      <c r="BK792" s="403" t="e">
        <f>'Portefeuille SP2'!#REF!</f>
        <v>#REF!</v>
      </c>
      <c r="BL792" s="388"/>
      <c r="BM792" s="404">
        <f>'Portefeuille SP2'!L817</f>
        <v>0</v>
      </c>
    </row>
    <row r="793" spans="1:65" ht="15" customHeight="1">
      <c r="A793" s="383">
        <f>'Portefeuille SP2'!B818</f>
        <v>0</v>
      </c>
      <c r="B793" s="390">
        <f>'Portefeuille SP2'!Q818</f>
        <v>0</v>
      </c>
      <c r="C793" s="384"/>
      <c r="D793" s="382">
        <f>'Portefeuille SP2'!E818</f>
        <v>0</v>
      </c>
      <c r="E793" s="382" t="str">
        <f t="shared" si="45"/>
        <v>0</v>
      </c>
      <c r="F793" s="382" t="str">
        <f t="shared" si="46"/>
        <v/>
      </c>
      <c r="G793" s="382">
        <f>'Portefeuille SP2'!C818</f>
        <v>0</v>
      </c>
      <c r="H793" s="382">
        <f>'Portefeuille SP2'!F818</f>
        <v>0</v>
      </c>
      <c r="I793" s="382"/>
      <c r="J793" s="382">
        <f>'Portefeuille SP2'!D818</f>
        <v>0</v>
      </c>
      <c r="K793" s="385">
        <f>'Portefeuille SP2'!H818</f>
        <v>0</v>
      </c>
      <c r="L793" s="157">
        <f>'Portefeuille SP2'!U818</f>
        <v>0</v>
      </c>
      <c r="M793" s="386"/>
      <c r="N793" s="386"/>
      <c r="O793" s="386"/>
      <c r="P793" s="387">
        <f>'Portefeuille SP2'!M818</f>
        <v>0</v>
      </c>
      <c r="Q793" s="387"/>
      <c r="R793" s="387">
        <f>'Portefeuille SP2'!N818</f>
        <v>0</v>
      </c>
      <c r="S793" s="387"/>
      <c r="T793" s="382">
        <f>'Portefeuille SP2'!R818</f>
        <v>0</v>
      </c>
      <c r="U793" s="387">
        <f>'Portefeuille SP2'!K818</f>
        <v>0</v>
      </c>
      <c r="V793" s="399">
        <f>'Portefeuille SP2'!S818</f>
        <v>0</v>
      </c>
      <c r="W793" s="387"/>
      <c r="X793" s="387"/>
      <c r="Y793" s="387"/>
      <c r="Z793" s="387"/>
      <c r="AA793" s="387"/>
      <c r="AB793" s="387"/>
      <c r="AC793" s="387"/>
      <c r="AD793" s="387"/>
      <c r="AE793" s="400">
        <f>'Portefeuille SP2'!J818</f>
        <v>0</v>
      </c>
      <c r="AF793" s="387"/>
      <c r="AG793" s="387"/>
      <c r="AH793" s="389"/>
      <c r="AI793" s="389"/>
      <c r="AJ793" s="403">
        <f>'Portefeuille SP2'!V818</f>
        <v>0</v>
      </c>
      <c r="AK793" s="403">
        <f>'Portefeuille SP2'!W818</f>
        <v>0</v>
      </c>
      <c r="AL793" s="403">
        <f>'Portefeuille SP2'!X818</f>
        <v>0</v>
      </c>
      <c r="AM793" s="403">
        <f>'Portefeuille SP2'!Y818</f>
        <v>0</v>
      </c>
      <c r="AN793" s="403">
        <f>'Portefeuille SP2'!Z818</f>
        <v>0</v>
      </c>
      <c r="AO793" s="403">
        <f>'Portefeuille SP2'!AA818</f>
        <v>0</v>
      </c>
      <c r="AP793" s="403">
        <f>'Portefeuille SP2'!AB818</f>
        <v>0</v>
      </c>
      <c r="AQ793" s="403">
        <f>'Portefeuille SP2'!AC818</f>
        <v>0</v>
      </c>
      <c r="AR793" s="403">
        <f>'Portefeuille SP2'!AD818</f>
        <v>0</v>
      </c>
      <c r="AS793" s="403">
        <f>'Portefeuille SP2'!AE818</f>
        <v>0</v>
      </c>
      <c r="AT793" s="403">
        <f>'Portefeuille SP2'!AF818</f>
        <v>0</v>
      </c>
      <c r="AU793" s="403">
        <f>'Portefeuille SP2'!AG818</f>
        <v>0</v>
      </c>
      <c r="AV793" s="403">
        <f>'Portefeuille SP2'!AH818</f>
        <v>0</v>
      </c>
      <c r="AW793" s="403">
        <f>'Portefeuille SP2'!AI818</f>
        <v>0</v>
      </c>
      <c r="AX793" s="403">
        <f>'Portefeuille SP2'!AJ818</f>
        <v>0</v>
      </c>
      <c r="AY793" s="403">
        <f>'Portefeuille SP2'!AK818</f>
        <v>0</v>
      </c>
      <c r="AZ793" s="403">
        <f>'Portefeuille SP2'!AL818</f>
        <v>0</v>
      </c>
      <c r="BA793" s="403">
        <f>'Portefeuille SP2'!AM818</f>
        <v>0</v>
      </c>
      <c r="BB793" s="403">
        <f>'Portefeuille SP2'!AN818</f>
        <v>0</v>
      </c>
      <c r="BC793" s="403">
        <f>'Portefeuille SP2'!AO818</f>
        <v>0</v>
      </c>
      <c r="BD793" s="403">
        <f>'Portefeuille SP2'!AP818</f>
        <v>0</v>
      </c>
      <c r="BE793" s="403">
        <f>'Portefeuille SP2'!AQ818</f>
        <v>0</v>
      </c>
      <c r="BF793" s="403">
        <f>'Portefeuille SP2'!AR818</f>
        <v>0</v>
      </c>
      <c r="BG793" s="403" t="e">
        <f>'Portefeuille SP2'!#REF!</f>
        <v>#REF!</v>
      </c>
      <c r="BH793" s="403" t="e">
        <f>'Portefeuille SP2'!#REF!</f>
        <v>#REF!</v>
      </c>
      <c r="BI793" s="403" t="e">
        <f>'Portefeuille SP2'!#REF!</f>
        <v>#REF!</v>
      </c>
      <c r="BJ793" s="403" t="e">
        <f>'Portefeuille SP2'!#REF!</f>
        <v>#REF!</v>
      </c>
      <c r="BK793" s="403" t="e">
        <f>'Portefeuille SP2'!#REF!</f>
        <v>#REF!</v>
      </c>
      <c r="BL793" s="388"/>
      <c r="BM793" s="404">
        <f>'Portefeuille SP2'!L818</f>
        <v>0</v>
      </c>
    </row>
    <row r="794" spans="1:65" ht="15" customHeight="1">
      <c r="A794" s="383">
        <f>'Portefeuille SP2'!B819</f>
        <v>0</v>
      </c>
      <c r="B794" s="390">
        <f>'Portefeuille SP2'!Q819</f>
        <v>0</v>
      </c>
      <c r="C794" s="384"/>
      <c r="D794" s="382">
        <f>'Portefeuille SP2'!E819</f>
        <v>0</v>
      </c>
      <c r="E794" s="382" t="str">
        <f t="shared" si="45"/>
        <v>0</v>
      </c>
      <c r="F794" s="382" t="str">
        <f t="shared" si="46"/>
        <v/>
      </c>
      <c r="G794" s="382">
        <f>'Portefeuille SP2'!C819</f>
        <v>0</v>
      </c>
      <c r="H794" s="382">
        <f>'Portefeuille SP2'!F819</f>
        <v>0</v>
      </c>
      <c r="I794" s="382"/>
      <c r="J794" s="382">
        <f>'Portefeuille SP2'!D819</f>
        <v>0</v>
      </c>
      <c r="K794" s="385">
        <f>'Portefeuille SP2'!H819</f>
        <v>0</v>
      </c>
      <c r="L794" s="157">
        <f>'Portefeuille SP2'!U819</f>
        <v>0</v>
      </c>
      <c r="M794" s="386"/>
      <c r="N794" s="386"/>
      <c r="O794" s="386"/>
      <c r="P794" s="387">
        <f>'Portefeuille SP2'!M819</f>
        <v>0</v>
      </c>
      <c r="Q794" s="387"/>
      <c r="R794" s="387">
        <f>'Portefeuille SP2'!N819</f>
        <v>0</v>
      </c>
      <c r="S794" s="387"/>
      <c r="T794" s="382">
        <f>'Portefeuille SP2'!R819</f>
        <v>0</v>
      </c>
      <c r="U794" s="387">
        <f>'Portefeuille SP2'!K819</f>
        <v>0</v>
      </c>
      <c r="V794" s="399">
        <f>'Portefeuille SP2'!S819</f>
        <v>0</v>
      </c>
      <c r="W794" s="387"/>
      <c r="X794" s="387"/>
      <c r="Y794" s="387"/>
      <c r="Z794" s="387"/>
      <c r="AA794" s="387"/>
      <c r="AB794" s="387"/>
      <c r="AC794" s="387"/>
      <c r="AD794" s="387"/>
      <c r="AE794" s="400">
        <f>'Portefeuille SP2'!J819</f>
        <v>0</v>
      </c>
      <c r="AF794" s="387"/>
      <c r="AG794" s="387"/>
      <c r="AH794" s="389"/>
      <c r="AI794" s="389"/>
      <c r="AJ794" s="403">
        <f>'Portefeuille SP2'!V819</f>
        <v>0</v>
      </c>
      <c r="AK794" s="403">
        <f>'Portefeuille SP2'!W819</f>
        <v>0</v>
      </c>
      <c r="AL794" s="403">
        <f>'Portefeuille SP2'!X819</f>
        <v>0</v>
      </c>
      <c r="AM794" s="403">
        <f>'Portefeuille SP2'!Y819</f>
        <v>0</v>
      </c>
      <c r="AN794" s="403">
        <f>'Portefeuille SP2'!Z819</f>
        <v>0</v>
      </c>
      <c r="AO794" s="403">
        <f>'Portefeuille SP2'!AA819</f>
        <v>0</v>
      </c>
      <c r="AP794" s="403">
        <f>'Portefeuille SP2'!AB819</f>
        <v>0</v>
      </c>
      <c r="AQ794" s="403">
        <f>'Portefeuille SP2'!AC819</f>
        <v>0</v>
      </c>
      <c r="AR794" s="403">
        <f>'Portefeuille SP2'!AD819</f>
        <v>0</v>
      </c>
      <c r="AS794" s="403">
        <f>'Portefeuille SP2'!AE819</f>
        <v>0</v>
      </c>
      <c r="AT794" s="403">
        <f>'Portefeuille SP2'!AF819</f>
        <v>0</v>
      </c>
      <c r="AU794" s="403">
        <f>'Portefeuille SP2'!AG819</f>
        <v>0</v>
      </c>
      <c r="AV794" s="403">
        <f>'Portefeuille SP2'!AH819</f>
        <v>0</v>
      </c>
      <c r="AW794" s="403">
        <f>'Portefeuille SP2'!AI819</f>
        <v>0</v>
      </c>
      <c r="AX794" s="403">
        <f>'Portefeuille SP2'!AJ819</f>
        <v>0</v>
      </c>
      <c r="AY794" s="403">
        <f>'Portefeuille SP2'!AK819</f>
        <v>0</v>
      </c>
      <c r="AZ794" s="403">
        <f>'Portefeuille SP2'!AL819</f>
        <v>0</v>
      </c>
      <c r="BA794" s="403">
        <f>'Portefeuille SP2'!AM819</f>
        <v>0</v>
      </c>
      <c r="BB794" s="403">
        <f>'Portefeuille SP2'!AN819</f>
        <v>0</v>
      </c>
      <c r="BC794" s="403">
        <f>'Portefeuille SP2'!AO819</f>
        <v>0</v>
      </c>
      <c r="BD794" s="403">
        <f>'Portefeuille SP2'!AP819</f>
        <v>0</v>
      </c>
      <c r="BE794" s="403">
        <f>'Portefeuille SP2'!AQ819</f>
        <v>0</v>
      </c>
      <c r="BF794" s="403">
        <f>'Portefeuille SP2'!AR819</f>
        <v>0</v>
      </c>
      <c r="BG794" s="403" t="e">
        <f>'Portefeuille SP2'!#REF!</f>
        <v>#REF!</v>
      </c>
      <c r="BH794" s="403" t="e">
        <f>'Portefeuille SP2'!#REF!</f>
        <v>#REF!</v>
      </c>
      <c r="BI794" s="403" t="e">
        <f>'Portefeuille SP2'!#REF!</f>
        <v>#REF!</v>
      </c>
      <c r="BJ794" s="403" t="e">
        <f>'Portefeuille SP2'!#REF!</f>
        <v>#REF!</v>
      </c>
      <c r="BK794" s="403" t="e">
        <f>'Portefeuille SP2'!#REF!</f>
        <v>#REF!</v>
      </c>
      <c r="BL794" s="388"/>
      <c r="BM794" s="404">
        <f>'Portefeuille SP2'!L819</f>
        <v>0</v>
      </c>
    </row>
    <row r="795" spans="1:65" ht="15" customHeight="1">
      <c r="A795" s="383">
        <f>'Portefeuille SP2'!B820</f>
        <v>0</v>
      </c>
      <c r="B795" s="390">
        <f>'Portefeuille SP2'!Q820</f>
        <v>0</v>
      </c>
      <c r="C795" s="384"/>
      <c r="D795" s="382">
        <f>'Portefeuille SP2'!E820</f>
        <v>0</v>
      </c>
      <c r="E795" s="382" t="str">
        <f t="shared" si="45"/>
        <v>0</v>
      </c>
      <c r="F795" s="382" t="str">
        <f t="shared" si="46"/>
        <v/>
      </c>
      <c r="G795" s="382">
        <f>'Portefeuille SP2'!C820</f>
        <v>0</v>
      </c>
      <c r="H795" s="382">
        <f>'Portefeuille SP2'!F820</f>
        <v>0</v>
      </c>
      <c r="I795" s="382"/>
      <c r="J795" s="382">
        <f>'Portefeuille SP2'!D820</f>
        <v>0</v>
      </c>
      <c r="K795" s="385">
        <f>'Portefeuille SP2'!H820</f>
        <v>0</v>
      </c>
      <c r="L795" s="157">
        <f>'Portefeuille SP2'!U820</f>
        <v>0</v>
      </c>
      <c r="M795" s="386"/>
      <c r="N795" s="386"/>
      <c r="O795" s="386"/>
      <c r="P795" s="387">
        <f>'Portefeuille SP2'!M820</f>
        <v>0</v>
      </c>
      <c r="Q795" s="387"/>
      <c r="R795" s="387">
        <f>'Portefeuille SP2'!N820</f>
        <v>0</v>
      </c>
      <c r="S795" s="387"/>
      <c r="T795" s="382">
        <f>'Portefeuille SP2'!R820</f>
        <v>0</v>
      </c>
      <c r="U795" s="387">
        <f>'Portefeuille SP2'!K820</f>
        <v>0</v>
      </c>
      <c r="V795" s="399">
        <f>'Portefeuille SP2'!S820</f>
        <v>0</v>
      </c>
      <c r="W795" s="387"/>
      <c r="X795" s="387"/>
      <c r="Y795" s="387"/>
      <c r="Z795" s="387"/>
      <c r="AA795" s="387"/>
      <c r="AB795" s="387"/>
      <c r="AC795" s="387"/>
      <c r="AD795" s="387"/>
      <c r="AE795" s="400">
        <f>'Portefeuille SP2'!J820</f>
        <v>0</v>
      </c>
      <c r="AF795" s="387"/>
      <c r="AG795" s="387"/>
      <c r="AH795" s="389"/>
      <c r="AI795" s="389"/>
      <c r="AJ795" s="403">
        <f>'Portefeuille SP2'!V820</f>
        <v>0</v>
      </c>
      <c r="AK795" s="403">
        <f>'Portefeuille SP2'!W820</f>
        <v>0</v>
      </c>
      <c r="AL795" s="403">
        <f>'Portefeuille SP2'!X820</f>
        <v>0</v>
      </c>
      <c r="AM795" s="403">
        <f>'Portefeuille SP2'!Y820</f>
        <v>0</v>
      </c>
      <c r="AN795" s="403">
        <f>'Portefeuille SP2'!Z820</f>
        <v>0</v>
      </c>
      <c r="AO795" s="403">
        <f>'Portefeuille SP2'!AA820</f>
        <v>0</v>
      </c>
      <c r="AP795" s="403">
        <f>'Portefeuille SP2'!AB820</f>
        <v>0</v>
      </c>
      <c r="AQ795" s="403">
        <f>'Portefeuille SP2'!AC820</f>
        <v>0</v>
      </c>
      <c r="AR795" s="403">
        <f>'Portefeuille SP2'!AD820</f>
        <v>0</v>
      </c>
      <c r="AS795" s="403">
        <f>'Portefeuille SP2'!AE820</f>
        <v>0</v>
      </c>
      <c r="AT795" s="403">
        <f>'Portefeuille SP2'!AF820</f>
        <v>0</v>
      </c>
      <c r="AU795" s="403">
        <f>'Portefeuille SP2'!AG820</f>
        <v>0</v>
      </c>
      <c r="AV795" s="403">
        <f>'Portefeuille SP2'!AH820</f>
        <v>0</v>
      </c>
      <c r="AW795" s="403">
        <f>'Portefeuille SP2'!AI820</f>
        <v>0</v>
      </c>
      <c r="AX795" s="403">
        <f>'Portefeuille SP2'!AJ820</f>
        <v>0</v>
      </c>
      <c r="AY795" s="403">
        <f>'Portefeuille SP2'!AK820</f>
        <v>0</v>
      </c>
      <c r="AZ795" s="403">
        <f>'Portefeuille SP2'!AL820</f>
        <v>0</v>
      </c>
      <c r="BA795" s="403">
        <f>'Portefeuille SP2'!AM820</f>
        <v>0</v>
      </c>
      <c r="BB795" s="403">
        <f>'Portefeuille SP2'!AN820</f>
        <v>0</v>
      </c>
      <c r="BC795" s="403">
        <f>'Portefeuille SP2'!AO820</f>
        <v>0</v>
      </c>
      <c r="BD795" s="403">
        <f>'Portefeuille SP2'!AP820</f>
        <v>0</v>
      </c>
      <c r="BE795" s="403">
        <f>'Portefeuille SP2'!AQ820</f>
        <v>0</v>
      </c>
      <c r="BF795" s="403">
        <f>'Portefeuille SP2'!AR820</f>
        <v>0</v>
      </c>
      <c r="BG795" s="403" t="e">
        <f>'Portefeuille SP2'!#REF!</f>
        <v>#REF!</v>
      </c>
      <c r="BH795" s="403" t="e">
        <f>'Portefeuille SP2'!#REF!</f>
        <v>#REF!</v>
      </c>
      <c r="BI795" s="403" t="e">
        <f>'Portefeuille SP2'!#REF!</f>
        <v>#REF!</v>
      </c>
      <c r="BJ795" s="403" t="e">
        <f>'Portefeuille SP2'!#REF!</f>
        <v>#REF!</v>
      </c>
      <c r="BK795" s="403" t="e">
        <f>'Portefeuille SP2'!#REF!</f>
        <v>#REF!</v>
      </c>
      <c r="BL795" s="388"/>
      <c r="BM795" s="404">
        <f>'Portefeuille SP2'!L820</f>
        <v>0</v>
      </c>
    </row>
    <row r="796" spans="1:65" ht="15" customHeight="1">
      <c r="A796" s="383">
        <f>'Portefeuille SP2'!B821</f>
        <v>0</v>
      </c>
      <c r="B796" s="390">
        <f>'Portefeuille SP2'!Q821</f>
        <v>0</v>
      </c>
      <c r="C796" s="384"/>
      <c r="D796" s="382">
        <f>'Portefeuille SP2'!E821</f>
        <v>0</v>
      </c>
      <c r="E796" s="382" t="str">
        <f t="shared" si="45"/>
        <v>0</v>
      </c>
      <c r="F796" s="382" t="str">
        <f t="shared" si="46"/>
        <v/>
      </c>
      <c r="G796" s="382">
        <f>'Portefeuille SP2'!C821</f>
        <v>0</v>
      </c>
      <c r="H796" s="382">
        <f>'Portefeuille SP2'!F821</f>
        <v>0</v>
      </c>
      <c r="I796" s="382"/>
      <c r="J796" s="382">
        <f>'Portefeuille SP2'!D821</f>
        <v>0</v>
      </c>
      <c r="K796" s="385">
        <f>'Portefeuille SP2'!H821</f>
        <v>0</v>
      </c>
      <c r="L796" s="157">
        <f>'Portefeuille SP2'!U821</f>
        <v>0</v>
      </c>
      <c r="M796" s="386"/>
      <c r="N796" s="386"/>
      <c r="O796" s="386"/>
      <c r="P796" s="387">
        <f>'Portefeuille SP2'!M821</f>
        <v>0</v>
      </c>
      <c r="Q796" s="387"/>
      <c r="R796" s="387">
        <f>'Portefeuille SP2'!N821</f>
        <v>0</v>
      </c>
      <c r="S796" s="387"/>
      <c r="T796" s="382">
        <f>'Portefeuille SP2'!R821</f>
        <v>0</v>
      </c>
      <c r="U796" s="387">
        <f>'Portefeuille SP2'!K821</f>
        <v>0</v>
      </c>
      <c r="V796" s="399">
        <f>'Portefeuille SP2'!S821</f>
        <v>0</v>
      </c>
      <c r="W796" s="387"/>
      <c r="X796" s="387"/>
      <c r="Y796" s="387"/>
      <c r="Z796" s="387"/>
      <c r="AA796" s="387"/>
      <c r="AB796" s="387"/>
      <c r="AC796" s="387"/>
      <c r="AD796" s="387"/>
      <c r="AE796" s="400">
        <f>'Portefeuille SP2'!J821</f>
        <v>0</v>
      </c>
      <c r="AF796" s="387"/>
      <c r="AG796" s="387"/>
      <c r="AH796" s="389"/>
      <c r="AI796" s="389"/>
      <c r="AJ796" s="403">
        <f>'Portefeuille SP2'!V821</f>
        <v>0</v>
      </c>
      <c r="AK796" s="403">
        <f>'Portefeuille SP2'!W821</f>
        <v>0</v>
      </c>
      <c r="AL796" s="403">
        <f>'Portefeuille SP2'!X821</f>
        <v>0</v>
      </c>
      <c r="AM796" s="403">
        <f>'Portefeuille SP2'!Y821</f>
        <v>0</v>
      </c>
      <c r="AN796" s="403">
        <f>'Portefeuille SP2'!Z821</f>
        <v>0</v>
      </c>
      <c r="AO796" s="403">
        <f>'Portefeuille SP2'!AA821</f>
        <v>0</v>
      </c>
      <c r="AP796" s="403">
        <f>'Portefeuille SP2'!AB821</f>
        <v>0</v>
      </c>
      <c r="AQ796" s="403">
        <f>'Portefeuille SP2'!AC821</f>
        <v>0</v>
      </c>
      <c r="AR796" s="403">
        <f>'Portefeuille SP2'!AD821</f>
        <v>0</v>
      </c>
      <c r="AS796" s="403">
        <f>'Portefeuille SP2'!AE821</f>
        <v>0</v>
      </c>
      <c r="AT796" s="403">
        <f>'Portefeuille SP2'!AF821</f>
        <v>0</v>
      </c>
      <c r="AU796" s="403">
        <f>'Portefeuille SP2'!AG821</f>
        <v>0</v>
      </c>
      <c r="AV796" s="403">
        <f>'Portefeuille SP2'!AH821</f>
        <v>0</v>
      </c>
      <c r="AW796" s="403">
        <f>'Portefeuille SP2'!AI821</f>
        <v>0</v>
      </c>
      <c r="AX796" s="403">
        <f>'Portefeuille SP2'!AJ821</f>
        <v>0</v>
      </c>
      <c r="AY796" s="403">
        <f>'Portefeuille SP2'!AK821</f>
        <v>0</v>
      </c>
      <c r="AZ796" s="403">
        <f>'Portefeuille SP2'!AL821</f>
        <v>0</v>
      </c>
      <c r="BA796" s="403">
        <f>'Portefeuille SP2'!AM821</f>
        <v>0</v>
      </c>
      <c r="BB796" s="403">
        <f>'Portefeuille SP2'!AN821</f>
        <v>0</v>
      </c>
      <c r="BC796" s="403">
        <f>'Portefeuille SP2'!AO821</f>
        <v>0</v>
      </c>
      <c r="BD796" s="403">
        <f>'Portefeuille SP2'!AP821</f>
        <v>0</v>
      </c>
      <c r="BE796" s="403">
        <f>'Portefeuille SP2'!AQ821</f>
        <v>0</v>
      </c>
      <c r="BF796" s="403">
        <f>'Portefeuille SP2'!AR821</f>
        <v>0</v>
      </c>
      <c r="BG796" s="403" t="e">
        <f>'Portefeuille SP2'!#REF!</f>
        <v>#REF!</v>
      </c>
      <c r="BH796" s="403" t="e">
        <f>'Portefeuille SP2'!#REF!</f>
        <v>#REF!</v>
      </c>
      <c r="BI796" s="403" t="e">
        <f>'Portefeuille SP2'!#REF!</f>
        <v>#REF!</v>
      </c>
      <c r="BJ796" s="403" t="e">
        <f>'Portefeuille SP2'!#REF!</f>
        <v>#REF!</v>
      </c>
      <c r="BK796" s="403" t="e">
        <f>'Portefeuille SP2'!#REF!</f>
        <v>#REF!</v>
      </c>
      <c r="BL796" s="388"/>
      <c r="BM796" s="404">
        <f>'Portefeuille SP2'!L821</f>
        <v>0</v>
      </c>
    </row>
    <row r="797" spans="1:65" ht="15" customHeight="1">
      <c r="A797" s="383">
        <f>'Portefeuille SP2'!B822</f>
        <v>0</v>
      </c>
      <c r="B797" s="390">
        <f>'Portefeuille SP2'!Q822</f>
        <v>0</v>
      </c>
      <c r="C797" s="384"/>
      <c r="D797" s="382">
        <f>'Portefeuille SP2'!E822</f>
        <v>0</v>
      </c>
      <c r="E797" s="382" t="str">
        <f t="shared" si="45"/>
        <v>0</v>
      </c>
      <c r="F797" s="382" t="str">
        <f t="shared" si="46"/>
        <v/>
      </c>
      <c r="G797" s="382">
        <f>'Portefeuille SP2'!C822</f>
        <v>0</v>
      </c>
      <c r="H797" s="382">
        <f>'Portefeuille SP2'!F822</f>
        <v>0</v>
      </c>
      <c r="I797" s="382"/>
      <c r="J797" s="382">
        <f>'Portefeuille SP2'!D822</f>
        <v>0</v>
      </c>
      <c r="K797" s="385">
        <f>'Portefeuille SP2'!H822</f>
        <v>0</v>
      </c>
      <c r="L797" s="157">
        <f>'Portefeuille SP2'!U822</f>
        <v>0</v>
      </c>
      <c r="M797" s="386"/>
      <c r="N797" s="386"/>
      <c r="O797" s="386"/>
      <c r="P797" s="387">
        <f>'Portefeuille SP2'!M822</f>
        <v>0</v>
      </c>
      <c r="Q797" s="387"/>
      <c r="R797" s="387">
        <f>'Portefeuille SP2'!N822</f>
        <v>0</v>
      </c>
      <c r="S797" s="387"/>
      <c r="T797" s="382">
        <f>'Portefeuille SP2'!R822</f>
        <v>0</v>
      </c>
      <c r="U797" s="387">
        <f>'Portefeuille SP2'!K822</f>
        <v>0</v>
      </c>
      <c r="V797" s="399">
        <f>'Portefeuille SP2'!S822</f>
        <v>0</v>
      </c>
      <c r="W797" s="387"/>
      <c r="X797" s="387"/>
      <c r="Y797" s="387"/>
      <c r="Z797" s="387"/>
      <c r="AA797" s="387"/>
      <c r="AB797" s="387"/>
      <c r="AC797" s="387"/>
      <c r="AD797" s="387"/>
      <c r="AE797" s="400">
        <f>'Portefeuille SP2'!J822</f>
        <v>0</v>
      </c>
      <c r="AF797" s="387"/>
      <c r="AG797" s="387"/>
      <c r="AH797" s="389"/>
      <c r="AI797" s="389"/>
      <c r="AJ797" s="403">
        <f>'Portefeuille SP2'!V822</f>
        <v>0</v>
      </c>
      <c r="AK797" s="403">
        <f>'Portefeuille SP2'!W822</f>
        <v>0</v>
      </c>
      <c r="AL797" s="403">
        <f>'Portefeuille SP2'!X822</f>
        <v>0</v>
      </c>
      <c r="AM797" s="403">
        <f>'Portefeuille SP2'!Y822</f>
        <v>0</v>
      </c>
      <c r="AN797" s="403">
        <f>'Portefeuille SP2'!Z822</f>
        <v>0</v>
      </c>
      <c r="AO797" s="403">
        <f>'Portefeuille SP2'!AA822</f>
        <v>0</v>
      </c>
      <c r="AP797" s="403">
        <f>'Portefeuille SP2'!AB822</f>
        <v>0</v>
      </c>
      <c r="AQ797" s="403">
        <f>'Portefeuille SP2'!AC822</f>
        <v>0</v>
      </c>
      <c r="AR797" s="403">
        <f>'Portefeuille SP2'!AD822</f>
        <v>0</v>
      </c>
      <c r="AS797" s="403">
        <f>'Portefeuille SP2'!AE822</f>
        <v>0</v>
      </c>
      <c r="AT797" s="403">
        <f>'Portefeuille SP2'!AF822</f>
        <v>0</v>
      </c>
      <c r="AU797" s="403">
        <f>'Portefeuille SP2'!AG822</f>
        <v>0</v>
      </c>
      <c r="AV797" s="403">
        <f>'Portefeuille SP2'!AH822</f>
        <v>0</v>
      </c>
      <c r="AW797" s="403">
        <f>'Portefeuille SP2'!AI822</f>
        <v>0</v>
      </c>
      <c r="AX797" s="403">
        <f>'Portefeuille SP2'!AJ822</f>
        <v>0</v>
      </c>
      <c r="AY797" s="403">
        <f>'Portefeuille SP2'!AK822</f>
        <v>0</v>
      </c>
      <c r="AZ797" s="403">
        <f>'Portefeuille SP2'!AL822</f>
        <v>0</v>
      </c>
      <c r="BA797" s="403">
        <f>'Portefeuille SP2'!AM822</f>
        <v>0</v>
      </c>
      <c r="BB797" s="403">
        <f>'Portefeuille SP2'!AN822</f>
        <v>0</v>
      </c>
      <c r="BC797" s="403">
        <f>'Portefeuille SP2'!AO822</f>
        <v>0</v>
      </c>
      <c r="BD797" s="403">
        <f>'Portefeuille SP2'!AP822</f>
        <v>0</v>
      </c>
      <c r="BE797" s="403">
        <f>'Portefeuille SP2'!AQ822</f>
        <v>0</v>
      </c>
      <c r="BF797" s="403">
        <f>'Portefeuille SP2'!AR822</f>
        <v>0</v>
      </c>
      <c r="BG797" s="403" t="e">
        <f>'Portefeuille SP2'!#REF!</f>
        <v>#REF!</v>
      </c>
      <c r="BH797" s="403" t="e">
        <f>'Portefeuille SP2'!#REF!</f>
        <v>#REF!</v>
      </c>
      <c r="BI797" s="403" t="e">
        <f>'Portefeuille SP2'!#REF!</f>
        <v>#REF!</v>
      </c>
      <c r="BJ797" s="403" t="e">
        <f>'Portefeuille SP2'!#REF!</f>
        <v>#REF!</v>
      </c>
      <c r="BK797" s="403" t="e">
        <f>'Portefeuille SP2'!#REF!</f>
        <v>#REF!</v>
      </c>
      <c r="BL797" s="388"/>
      <c r="BM797" s="404">
        <f>'Portefeuille SP2'!L822</f>
        <v>0</v>
      </c>
    </row>
    <row r="798" spans="1:65" ht="15" customHeight="1">
      <c r="A798" s="383">
        <f>'Portefeuille SP2'!B823</f>
        <v>0</v>
      </c>
      <c r="B798" s="390">
        <f>'Portefeuille SP2'!Q823</f>
        <v>0</v>
      </c>
      <c r="C798" s="384"/>
      <c r="D798" s="382">
        <f>'Portefeuille SP2'!E823</f>
        <v>0</v>
      </c>
      <c r="E798" s="382" t="str">
        <f t="shared" si="45"/>
        <v>0</v>
      </c>
      <c r="F798" s="382" t="str">
        <f t="shared" si="46"/>
        <v/>
      </c>
      <c r="G798" s="382">
        <f>'Portefeuille SP2'!C823</f>
        <v>0</v>
      </c>
      <c r="H798" s="382">
        <f>'Portefeuille SP2'!F823</f>
        <v>0</v>
      </c>
      <c r="I798" s="382"/>
      <c r="J798" s="382">
        <f>'Portefeuille SP2'!D823</f>
        <v>0</v>
      </c>
      <c r="K798" s="385">
        <f>'Portefeuille SP2'!H823</f>
        <v>0</v>
      </c>
      <c r="L798" s="157">
        <f>'Portefeuille SP2'!U823</f>
        <v>0</v>
      </c>
      <c r="M798" s="386"/>
      <c r="N798" s="386"/>
      <c r="O798" s="386"/>
      <c r="P798" s="387">
        <f>'Portefeuille SP2'!M823</f>
        <v>0</v>
      </c>
      <c r="Q798" s="387"/>
      <c r="R798" s="387">
        <f>'Portefeuille SP2'!N823</f>
        <v>0</v>
      </c>
      <c r="S798" s="387"/>
      <c r="T798" s="382">
        <f>'Portefeuille SP2'!R823</f>
        <v>0</v>
      </c>
      <c r="U798" s="387">
        <f>'Portefeuille SP2'!K823</f>
        <v>0</v>
      </c>
      <c r="V798" s="399">
        <f>'Portefeuille SP2'!S823</f>
        <v>0</v>
      </c>
      <c r="W798" s="387"/>
      <c r="X798" s="387"/>
      <c r="Y798" s="387"/>
      <c r="Z798" s="387"/>
      <c r="AA798" s="387"/>
      <c r="AB798" s="387"/>
      <c r="AC798" s="387"/>
      <c r="AD798" s="387"/>
      <c r="AE798" s="400">
        <f>'Portefeuille SP2'!J823</f>
        <v>0</v>
      </c>
      <c r="AF798" s="387"/>
      <c r="AG798" s="387"/>
      <c r="AH798" s="389"/>
      <c r="AI798" s="389"/>
      <c r="AJ798" s="403">
        <f>'Portefeuille SP2'!V823</f>
        <v>0</v>
      </c>
      <c r="AK798" s="403">
        <f>'Portefeuille SP2'!W823</f>
        <v>0</v>
      </c>
      <c r="AL798" s="403">
        <f>'Portefeuille SP2'!X823</f>
        <v>0</v>
      </c>
      <c r="AM798" s="403">
        <f>'Portefeuille SP2'!Y823</f>
        <v>0</v>
      </c>
      <c r="AN798" s="403">
        <f>'Portefeuille SP2'!Z823</f>
        <v>0</v>
      </c>
      <c r="AO798" s="403">
        <f>'Portefeuille SP2'!AA823</f>
        <v>0</v>
      </c>
      <c r="AP798" s="403">
        <f>'Portefeuille SP2'!AB823</f>
        <v>0</v>
      </c>
      <c r="AQ798" s="403">
        <f>'Portefeuille SP2'!AC823</f>
        <v>0</v>
      </c>
      <c r="AR798" s="403">
        <f>'Portefeuille SP2'!AD823</f>
        <v>0</v>
      </c>
      <c r="AS798" s="403">
        <f>'Portefeuille SP2'!AE823</f>
        <v>0</v>
      </c>
      <c r="AT798" s="403">
        <f>'Portefeuille SP2'!AF823</f>
        <v>0</v>
      </c>
      <c r="AU798" s="403">
        <f>'Portefeuille SP2'!AG823</f>
        <v>0</v>
      </c>
      <c r="AV798" s="403">
        <f>'Portefeuille SP2'!AH823</f>
        <v>0</v>
      </c>
      <c r="AW798" s="403">
        <f>'Portefeuille SP2'!AI823</f>
        <v>0</v>
      </c>
      <c r="AX798" s="403">
        <f>'Portefeuille SP2'!AJ823</f>
        <v>0</v>
      </c>
      <c r="AY798" s="403">
        <f>'Portefeuille SP2'!AK823</f>
        <v>0</v>
      </c>
      <c r="AZ798" s="403">
        <f>'Portefeuille SP2'!AL823</f>
        <v>0</v>
      </c>
      <c r="BA798" s="403">
        <f>'Portefeuille SP2'!AM823</f>
        <v>0</v>
      </c>
      <c r="BB798" s="403">
        <f>'Portefeuille SP2'!AN823</f>
        <v>0</v>
      </c>
      <c r="BC798" s="403">
        <f>'Portefeuille SP2'!AO823</f>
        <v>0</v>
      </c>
      <c r="BD798" s="403">
        <f>'Portefeuille SP2'!AP823</f>
        <v>0</v>
      </c>
      <c r="BE798" s="403">
        <f>'Portefeuille SP2'!AQ823</f>
        <v>0</v>
      </c>
      <c r="BF798" s="403">
        <f>'Portefeuille SP2'!AR823</f>
        <v>0</v>
      </c>
      <c r="BG798" s="403" t="e">
        <f>'Portefeuille SP2'!#REF!</f>
        <v>#REF!</v>
      </c>
      <c r="BH798" s="403" t="e">
        <f>'Portefeuille SP2'!#REF!</f>
        <v>#REF!</v>
      </c>
      <c r="BI798" s="403" t="e">
        <f>'Portefeuille SP2'!#REF!</f>
        <v>#REF!</v>
      </c>
      <c r="BJ798" s="403" t="e">
        <f>'Portefeuille SP2'!#REF!</f>
        <v>#REF!</v>
      </c>
      <c r="BK798" s="403" t="e">
        <f>'Portefeuille SP2'!#REF!</f>
        <v>#REF!</v>
      </c>
      <c r="BL798" s="388"/>
      <c r="BM798" s="404">
        <f>'Portefeuille SP2'!L823</f>
        <v>0</v>
      </c>
    </row>
    <row r="799" spans="1:65" ht="15" customHeight="1">
      <c r="A799" s="383">
        <f>'Portefeuille SP2'!B824</f>
        <v>0</v>
      </c>
      <c r="B799" s="390">
        <f>'Portefeuille SP2'!Q824</f>
        <v>0</v>
      </c>
      <c r="C799" s="384"/>
      <c r="D799" s="382">
        <f>'Portefeuille SP2'!E824</f>
        <v>0</v>
      </c>
      <c r="E799" s="382" t="str">
        <f t="shared" si="45"/>
        <v>0</v>
      </c>
      <c r="F799" s="382" t="str">
        <f t="shared" si="46"/>
        <v/>
      </c>
      <c r="G799" s="382">
        <f>'Portefeuille SP2'!C824</f>
        <v>0</v>
      </c>
      <c r="H799" s="382">
        <f>'Portefeuille SP2'!F824</f>
        <v>0</v>
      </c>
      <c r="I799" s="382"/>
      <c r="J799" s="382">
        <f>'Portefeuille SP2'!D824</f>
        <v>0</v>
      </c>
      <c r="K799" s="385">
        <f>'Portefeuille SP2'!H824</f>
        <v>0</v>
      </c>
      <c r="L799" s="157">
        <f>'Portefeuille SP2'!U824</f>
        <v>0</v>
      </c>
      <c r="M799" s="386"/>
      <c r="N799" s="386"/>
      <c r="O799" s="386"/>
      <c r="P799" s="387">
        <f>'Portefeuille SP2'!M824</f>
        <v>0</v>
      </c>
      <c r="Q799" s="387"/>
      <c r="R799" s="387">
        <f>'Portefeuille SP2'!N824</f>
        <v>0</v>
      </c>
      <c r="S799" s="387"/>
      <c r="T799" s="382">
        <f>'Portefeuille SP2'!R824</f>
        <v>0</v>
      </c>
      <c r="U799" s="387">
        <f>'Portefeuille SP2'!K824</f>
        <v>0</v>
      </c>
      <c r="V799" s="399">
        <f>'Portefeuille SP2'!S824</f>
        <v>0</v>
      </c>
      <c r="W799" s="387"/>
      <c r="X799" s="387"/>
      <c r="Y799" s="387"/>
      <c r="Z799" s="387"/>
      <c r="AA799" s="387"/>
      <c r="AB799" s="387"/>
      <c r="AC799" s="387"/>
      <c r="AD799" s="387"/>
      <c r="AE799" s="400">
        <f>'Portefeuille SP2'!J824</f>
        <v>0</v>
      </c>
      <c r="AF799" s="387"/>
      <c r="AG799" s="387"/>
      <c r="AH799" s="389"/>
      <c r="AI799" s="389"/>
      <c r="AJ799" s="403">
        <f>'Portefeuille SP2'!V824</f>
        <v>0</v>
      </c>
      <c r="AK799" s="403">
        <f>'Portefeuille SP2'!W824</f>
        <v>0</v>
      </c>
      <c r="AL799" s="403">
        <f>'Portefeuille SP2'!X824</f>
        <v>0</v>
      </c>
      <c r="AM799" s="403">
        <f>'Portefeuille SP2'!Y824</f>
        <v>0</v>
      </c>
      <c r="AN799" s="403">
        <f>'Portefeuille SP2'!Z824</f>
        <v>0</v>
      </c>
      <c r="AO799" s="403">
        <f>'Portefeuille SP2'!AA824</f>
        <v>0</v>
      </c>
      <c r="AP799" s="403">
        <f>'Portefeuille SP2'!AB824</f>
        <v>0</v>
      </c>
      <c r="AQ799" s="403">
        <f>'Portefeuille SP2'!AC824</f>
        <v>0</v>
      </c>
      <c r="AR799" s="403">
        <f>'Portefeuille SP2'!AD824</f>
        <v>0</v>
      </c>
      <c r="AS799" s="403">
        <f>'Portefeuille SP2'!AE824</f>
        <v>0</v>
      </c>
      <c r="AT799" s="403">
        <f>'Portefeuille SP2'!AF824</f>
        <v>0</v>
      </c>
      <c r="AU799" s="403">
        <f>'Portefeuille SP2'!AG824</f>
        <v>0</v>
      </c>
      <c r="AV799" s="403">
        <f>'Portefeuille SP2'!AH824</f>
        <v>0</v>
      </c>
      <c r="AW799" s="403">
        <f>'Portefeuille SP2'!AI824</f>
        <v>0</v>
      </c>
      <c r="AX799" s="403">
        <f>'Portefeuille SP2'!AJ824</f>
        <v>0</v>
      </c>
      <c r="AY799" s="403">
        <f>'Portefeuille SP2'!AK824</f>
        <v>0</v>
      </c>
      <c r="AZ799" s="403">
        <f>'Portefeuille SP2'!AL824</f>
        <v>0</v>
      </c>
      <c r="BA799" s="403">
        <f>'Portefeuille SP2'!AM824</f>
        <v>0</v>
      </c>
      <c r="BB799" s="403">
        <f>'Portefeuille SP2'!AN824</f>
        <v>0</v>
      </c>
      <c r="BC799" s="403">
        <f>'Portefeuille SP2'!AO824</f>
        <v>0</v>
      </c>
      <c r="BD799" s="403">
        <f>'Portefeuille SP2'!AP824</f>
        <v>0</v>
      </c>
      <c r="BE799" s="403">
        <f>'Portefeuille SP2'!AQ824</f>
        <v>0</v>
      </c>
      <c r="BF799" s="403">
        <f>'Portefeuille SP2'!AR824</f>
        <v>0</v>
      </c>
      <c r="BG799" s="403" t="e">
        <f>'Portefeuille SP2'!#REF!</f>
        <v>#REF!</v>
      </c>
      <c r="BH799" s="403" t="e">
        <f>'Portefeuille SP2'!#REF!</f>
        <v>#REF!</v>
      </c>
      <c r="BI799" s="403" t="e">
        <f>'Portefeuille SP2'!#REF!</f>
        <v>#REF!</v>
      </c>
      <c r="BJ799" s="403" t="e">
        <f>'Portefeuille SP2'!#REF!</f>
        <v>#REF!</v>
      </c>
      <c r="BK799" s="403" t="e">
        <f>'Portefeuille SP2'!#REF!</f>
        <v>#REF!</v>
      </c>
      <c r="BL799" s="388"/>
      <c r="BM799" s="404">
        <f>'Portefeuille SP2'!L824</f>
        <v>0</v>
      </c>
    </row>
    <row r="800" spans="1:65" ht="15" customHeight="1">
      <c r="A800" s="383">
        <f>'Portefeuille SP2'!B825</f>
        <v>0</v>
      </c>
      <c r="B800" s="390">
        <f>'Portefeuille SP2'!Q825</f>
        <v>0</v>
      </c>
      <c r="C800" s="384"/>
      <c r="D800" s="382">
        <f>'Portefeuille SP2'!E825</f>
        <v>0</v>
      </c>
      <c r="E800" s="382" t="str">
        <f t="shared" si="45"/>
        <v>0</v>
      </c>
      <c r="F800" s="382" t="str">
        <f t="shared" si="46"/>
        <v/>
      </c>
      <c r="G800" s="382">
        <f>'Portefeuille SP2'!C825</f>
        <v>0</v>
      </c>
      <c r="H800" s="382">
        <f>'Portefeuille SP2'!F825</f>
        <v>0</v>
      </c>
      <c r="I800" s="382"/>
      <c r="J800" s="382">
        <f>'Portefeuille SP2'!D825</f>
        <v>0</v>
      </c>
      <c r="K800" s="385">
        <f>'Portefeuille SP2'!H825</f>
        <v>0</v>
      </c>
      <c r="L800" s="157">
        <f>'Portefeuille SP2'!U825</f>
        <v>0</v>
      </c>
      <c r="M800" s="386"/>
      <c r="N800" s="386"/>
      <c r="O800" s="386"/>
      <c r="P800" s="387">
        <f>'Portefeuille SP2'!M825</f>
        <v>0</v>
      </c>
      <c r="Q800" s="387"/>
      <c r="R800" s="387">
        <f>'Portefeuille SP2'!N825</f>
        <v>0</v>
      </c>
      <c r="S800" s="387"/>
      <c r="T800" s="382">
        <f>'Portefeuille SP2'!R825</f>
        <v>0</v>
      </c>
      <c r="U800" s="387">
        <f>'Portefeuille SP2'!K825</f>
        <v>0</v>
      </c>
      <c r="V800" s="399">
        <f>'Portefeuille SP2'!S825</f>
        <v>0</v>
      </c>
      <c r="W800" s="387"/>
      <c r="X800" s="387"/>
      <c r="Y800" s="387"/>
      <c r="Z800" s="387"/>
      <c r="AA800" s="387"/>
      <c r="AB800" s="387"/>
      <c r="AC800" s="387"/>
      <c r="AD800" s="387"/>
      <c r="AE800" s="400">
        <f>'Portefeuille SP2'!J825</f>
        <v>0</v>
      </c>
      <c r="AF800" s="387"/>
      <c r="AG800" s="387"/>
      <c r="AH800" s="389"/>
      <c r="AI800" s="389"/>
      <c r="AJ800" s="403">
        <f>'Portefeuille SP2'!V825</f>
        <v>0</v>
      </c>
      <c r="AK800" s="403">
        <f>'Portefeuille SP2'!W825</f>
        <v>0</v>
      </c>
      <c r="AL800" s="403">
        <f>'Portefeuille SP2'!X825</f>
        <v>0</v>
      </c>
      <c r="AM800" s="403">
        <f>'Portefeuille SP2'!Y825</f>
        <v>0</v>
      </c>
      <c r="AN800" s="403">
        <f>'Portefeuille SP2'!Z825</f>
        <v>0</v>
      </c>
      <c r="AO800" s="403">
        <f>'Portefeuille SP2'!AA825</f>
        <v>0</v>
      </c>
      <c r="AP800" s="403">
        <f>'Portefeuille SP2'!AB825</f>
        <v>0</v>
      </c>
      <c r="AQ800" s="403">
        <f>'Portefeuille SP2'!AC825</f>
        <v>0</v>
      </c>
      <c r="AR800" s="403">
        <f>'Portefeuille SP2'!AD825</f>
        <v>0</v>
      </c>
      <c r="AS800" s="403">
        <f>'Portefeuille SP2'!AE825</f>
        <v>0</v>
      </c>
      <c r="AT800" s="403">
        <f>'Portefeuille SP2'!AF825</f>
        <v>0</v>
      </c>
      <c r="AU800" s="403">
        <f>'Portefeuille SP2'!AG825</f>
        <v>0</v>
      </c>
      <c r="AV800" s="403">
        <f>'Portefeuille SP2'!AH825</f>
        <v>0</v>
      </c>
      <c r="AW800" s="403">
        <f>'Portefeuille SP2'!AI825</f>
        <v>0</v>
      </c>
      <c r="AX800" s="403">
        <f>'Portefeuille SP2'!AJ825</f>
        <v>0</v>
      </c>
      <c r="AY800" s="403">
        <f>'Portefeuille SP2'!AK825</f>
        <v>0</v>
      </c>
      <c r="AZ800" s="403">
        <f>'Portefeuille SP2'!AL825</f>
        <v>0</v>
      </c>
      <c r="BA800" s="403">
        <f>'Portefeuille SP2'!AM825</f>
        <v>0</v>
      </c>
      <c r="BB800" s="403">
        <f>'Portefeuille SP2'!AN825</f>
        <v>0</v>
      </c>
      <c r="BC800" s="403">
        <f>'Portefeuille SP2'!AO825</f>
        <v>0</v>
      </c>
      <c r="BD800" s="403">
        <f>'Portefeuille SP2'!AP825</f>
        <v>0</v>
      </c>
      <c r="BE800" s="403">
        <f>'Portefeuille SP2'!AQ825</f>
        <v>0</v>
      </c>
      <c r="BF800" s="403">
        <f>'Portefeuille SP2'!AR825</f>
        <v>0</v>
      </c>
      <c r="BG800" s="403" t="e">
        <f>'Portefeuille SP2'!#REF!</f>
        <v>#REF!</v>
      </c>
      <c r="BH800" s="403" t="e">
        <f>'Portefeuille SP2'!#REF!</f>
        <v>#REF!</v>
      </c>
      <c r="BI800" s="403" t="e">
        <f>'Portefeuille SP2'!#REF!</f>
        <v>#REF!</v>
      </c>
      <c r="BJ800" s="403" t="e">
        <f>'Portefeuille SP2'!#REF!</f>
        <v>#REF!</v>
      </c>
      <c r="BK800" s="403" t="e">
        <f>'Portefeuille SP2'!#REF!</f>
        <v>#REF!</v>
      </c>
      <c r="BL800" s="388"/>
      <c r="BM800" s="404">
        <f>'Portefeuille SP2'!L825</f>
        <v>0</v>
      </c>
    </row>
    <row r="801" spans="1:65" ht="15" customHeight="1">
      <c r="A801" s="383">
        <f>'Portefeuille SP2'!B826</f>
        <v>0</v>
      </c>
      <c r="B801" s="390">
        <f>'Portefeuille SP2'!Q826</f>
        <v>0</v>
      </c>
      <c r="C801" s="384"/>
      <c r="D801" s="382">
        <f>'Portefeuille SP2'!E826</f>
        <v>0</v>
      </c>
      <c r="E801" s="382" t="str">
        <f t="shared" si="45"/>
        <v>0</v>
      </c>
      <c r="F801" s="382" t="str">
        <f t="shared" si="46"/>
        <v/>
      </c>
      <c r="G801" s="382">
        <f>'Portefeuille SP2'!C826</f>
        <v>0</v>
      </c>
      <c r="H801" s="382">
        <f>'Portefeuille SP2'!F826</f>
        <v>0</v>
      </c>
      <c r="I801" s="382"/>
      <c r="J801" s="382">
        <f>'Portefeuille SP2'!D826</f>
        <v>0</v>
      </c>
      <c r="K801" s="385">
        <f>'Portefeuille SP2'!H826</f>
        <v>0</v>
      </c>
      <c r="L801" s="157">
        <f>'Portefeuille SP2'!U826</f>
        <v>0</v>
      </c>
      <c r="M801" s="386"/>
      <c r="N801" s="386"/>
      <c r="O801" s="386"/>
      <c r="P801" s="387">
        <f>'Portefeuille SP2'!M826</f>
        <v>0</v>
      </c>
      <c r="Q801" s="387"/>
      <c r="R801" s="387">
        <f>'Portefeuille SP2'!N826</f>
        <v>0</v>
      </c>
      <c r="S801" s="387"/>
      <c r="T801" s="382">
        <f>'Portefeuille SP2'!R826</f>
        <v>0</v>
      </c>
      <c r="U801" s="387">
        <f>'Portefeuille SP2'!K826</f>
        <v>0</v>
      </c>
      <c r="V801" s="399">
        <f>'Portefeuille SP2'!S826</f>
        <v>0</v>
      </c>
      <c r="W801" s="387"/>
      <c r="X801" s="387"/>
      <c r="Y801" s="387"/>
      <c r="Z801" s="387"/>
      <c r="AA801" s="387"/>
      <c r="AB801" s="387"/>
      <c r="AC801" s="387"/>
      <c r="AD801" s="387"/>
      <c r="AE801" s="400">
        <f>'Portefeuille SP2'!J826</f>
        <v>0</v>
      </c>
      <c r="AF801" s="387"/>
      <c r="AG801" s="387"/>
      <c r="AH801" s="389"/>
      <c r="AI801" s="389"/>
      <c r="AJ801" s="403">
        <f>'Portefeuille SP2'!V826</f>
        <v>0</v>
      </c>
      <c r="AK801" s="403">
        <f>'Portefeuille SP2'!W826</f>
        <v>0</v>
      </c>
      <c r="AL801" s="403">
        <f>'Portefeuille SP2'!X826</f>
        <v>0</v>
      </c>
      <c r="AM801" s="403">
        <f>'Portefeuille SP2'!Y826</f>
        <v>0</v>
      </c>
      <c r="AN801" s="403">
        <f>'Portefeuille SP2'!Z826</f>
        <v>0</v>
      </c>
      <c r="AO801" s="403">
        <f>'Portefeuille SP2'!AA826</f>
        <v>0</v>
      </c>
      <c r="AP801" s="403">
        <f>'Portefeuille SP2'!AB826</f>
        <v>0</v>
      </c>
      <c r="AQ801" s="403">
        <f>'Portefeuille SP2'!AC826</f>
        <v>0</v>
      </c>
      <c r="AR801" s="403">
        <f>'Portefeuille SP2'!AD826</f>
        <v>0</v>
      </c>
      <c r="AS801" s="403">
        <f>'Portefeuille SP2'!AE826</f>
        <v>0</v>
      </c>
      <c r="AT801" s="403">
        <f>'Portefeuille SP2'!AF826</f>
        <v>0</v>
      </c>
      <c r="AU801" s="403">
        <f>'Portefeuille SP2'!AG826</f>
        <v>0</v>
      </c>
      <c r="AV801" s="403">
        <f>'Portefeuille SP2'!AH826</f>
        <v>0</v>
      </c>
      <c r="AW801" s="403">
        <f>'Portefeuille SP2'!AI826</f>
        <v>0</v>
      </c>
      <c r="AX801" s="403">
        <f>'Portefeuille SP2'!AJ826</f>
        <v>0</v>
      </c>
      <c r="AY801" s="403">
        <f>'Portefeuille SP2'!AK826</f>
        <v>0</v>
      </c>
      <c r="AZ801" s="403">
        <f>'Portefeuille SP2'!AL826</f>
        <v>0</v>
      </c>
      <c r="BA801" s="403">
        <f>'Portefeuille SP2'!AM826</f>
        <v>0</v>
      </c>
      <c r="BB801" s="403">
        <f>'Portefeuille SP2'!AN826</f>
        <v>0</v>
      </c>
      <c r="BC801" s="403">
        <f>'Portefeuille SP2'!AO826</f>
        <v>0</v>
      </c>
      <c r="BD801" s="403">
        <f>'Portefeuille SP2'!AP826</f>
        <v>0</v>
      </c>
      <c r="BE801" s="403">
        <f>'Portefeuille SP2'!AQ826</f>
        <v>0</v>
      </c>
      <c r="BF801" s="403">
        <f>'Portefeuille SP2'!AR826</f>
        <v>0</v>
      </c>
      <c r="BG801" s="403" t="e">
        <f>'Portefeuille SP2'!#REF!</f>
        <v>#REF!</v>
      </c>
      <c r="BH801" s="403" t="e">
        <f>'Portefeuille SP2'!#REF!</f>
        <v>#REF!</v>
      </c>
      <c r="BI801" s="403" t="e">
        <f>'Portefeuille SP2'!#REF!</f>
        <v>#REF!</v>
      </c>
      <c r="BJ801" s="403" t="e">
        <f>'Portefeuille SP2'!#REF!</f>
        <v>#REF!</v>
      </c>
      <c r="BK801" s="403" t="e">
        <f>'Portefeuille SP2'!#REF!</f>
        <v>#REF!</v>
      </c>
      <c r="BL801" s="388"/>
      <c r="BM801" s="404">
        <f>'Portefeuille SP2'!L826</f>
        <v>0</v>
      </c>
    </row>
  </sheetData>
  <autoFilter ref="A4:BM801" xr:uid="{E8B20181-107B-490E-ACDC-BCBFDA2CFE15}"/>
  <mergeCells count="8">
    <mergeCell ref="AJ2:BK2"/>
    <mergeCell ref="AJ3:BK3"/>
    <mergeCell ref="A1:AS1"/>
    <mergeCell ref="B3:K3"/>
    <mergeCell ref="L3:N3"/>
    <mergeCell ref="O3:S3"/>
    <mergeCell ref="T3:AE3"/>
    <mergeCell ref="AF3:AI3"/>
  </mergeCells>
  <conditionalFormatting sqref="L8:L802">
    <cfRule type="cellIs" dxfId="28" priority="1" operator="lessThan">
      <formula>0</formula>
    </cfRule>
    <cfRule type="cellIs" dxfId="27" priority="2" operator="greaterThan">
      <formula>0</formula>
    </cfRule>
    <cfRule type="colorScale" priority="3">
      <colorScale>
        <cfvo type="min"/>
        <cfvo type="percentile" val="50"/>
        <cfvo type="max"/>
        <color rgb="FF63BE7B"/>
        <color rgb="FFFCFCFF"/>
        <color rgb="FFF8696B"/>
      </colorScale>
    </cfRule>
  </conditionalFormatting>
  <conditionalFormatting sqref="O3">
    <cfRule type="cellIs" dxfId="26" priority="23" operator="equal">
      <formula>"TBC"</formula>
    </cfRule>
  </conditionalFormatting>
  <conditionalFormatting sqref="T5:T6">
    <cfRule type="cellIs" dxfId="25" priority="24" operator="equal">
      <formula>#REF!</formula>
    </cfRule>
    <cfRule type="cellIs" dxfId="24" priority="25" operator="equal">
      <formula>$T$1</formula>
    </cfRule>
    <cfRule type="cellIs" dxfId="23" priority="26" operator="equal">
      <formula>#REF!</formula>
    </cfRule>
    <cfRule type="cellIs" dxfId="22" priority="27" operator="equal">
      <formula>#REF!</formula>
    </cfRule>
    <cfRule type="cellIs" dxfId="21" priority="28" operator="equal">
      <formula>#REF!</formula>
    </cfRule>
    <cfRule type="cellIs" dxfId="20" priority="29" operator="equal">
      <formula>#REF!</formula>
    </cfRule>
    <cfRule type="cellIs" dxfId="19" priority="30" operator="equal">
      <formula>#REF!</formula>
    </cfRule>
  </conditionalFormatting>
  <conditionalFormatting sqref="V5">
    <cfRule type="cellIs" dxfId="18" priority="6" operator="equal">
      <formula>"R"</formula>
    </cfRule>
    <cfRule type="cellIs" dxfId="17" priority="7" operator="equal">
      <formula>"V"</formula>
    </cfRule>
    <cfRule type="cellIs" dxfId="16" priority="8" operator="equal">
      <formula>"G"</formula>
    </cfRule>
    <cfRule type="cellIs" dxfId="15" priority="9" operator="equal">
      <formula>"R"</formula>
    </cfRule>
  </conditionalFormatting>
  <conditionalFormatting sqref="W5:AB5">
    <cfRule type="expression" dxfId="14" priority="10" stopIfTrue="1">
      <formula>W5="OK"</formula>
    </cfRule>
    <cfRule type="expression" dxfId="13" priority="11" stopIfTrue="1">
      <formula>W5="K"</formula>
    </cfRule>
    <cfRule type="expression" dxfId="12" priority="12" stopIfTrue="1">
      <formula>W5="V"</formula>
    </cfRule>
    <cfRule type="expression" dxfId="11" priority="13" stopIfTrue="1">
      <formula>W5="G"</formula>
    </cfRule>
    <cfRule type="expression" dxfId="10" priority="14" stopIfTrue="1">
      <formula>W5="R"</formula>
    </cfRule>
  </conditionalFormatting>
  <conditionalFormatting sqref="AC5:AD5">
    <cfRule type="cellIs" dxfId="9" priority="15" operator="equal">
      <formula>"R"</formula>
    </cfRule>
    <cfRule type="cellIs" dxfId="8" priority="16" operator="equal">
      <formula>"V"</formula>
    </cfRule>
    <cfRule type="cellIs" dxfId="7" priority="17" operator="equal">
      <formula>"G"</formula>
    </cfRule>
    <cfRule type="cellIs" dxfId="6" priority="18" operator="equal">
      <formula>"R"</formula>
    </cfRule>
  </conditionalFormatting>
  <conditionalFormatting sqref="AH5:AI5">
    <cfRule type="cellIs" dxfId="5" priority="19" operator="greaterThan">
      <formula>0</formula>
    </cfRule>
    <cfRule type="cellIs" dxfId="4" priority="20" operator="lessThan">
      <formula>-5</formula>
    </cfRule>
    <cfRule type="cellIs" dxfId="3" priority="21" operator="greaterThan">
      <formula>-5</formula>
    </cfRule>
  </conditionalFormatting>
  <conditionalFormatting sqref="AJ6:AK6 AM6 AL5">
    <cfRule type="iconSet" priority="22">
      <iconSet iconSet="3Symbols" showValue="0">
        <cfvo type="percent" val="0"/>
        <cfvo type="percent" val="33"/>
        <cfvo type="percent" val="67"/>
      </iconSet>
    </cfRule>
  </conditionalFormatting>
  <conditionalFormatting sqref="AT6:AU6 AW6 AV5">
    <cfRule type="iconSet" priority="5">
      <iconSet iconSet="3Symbols" showValue="0">
        <cfvo type="percent" val="0"/>
        <cfvo type="percent" val="33"/>
        <cfvo type="percent" val="67"/>
      </iconSet>
    </cfRule>
  </conditionalFormatting>
  <conditionalFormatting sqref="BD6:BE6 BG6 BF5">
    <cfRule type="iconSet" priority="4">
      <iconSet iconSet="3Symbols" showValue="0">
        <cfvo type="percent" val="0"/>
        <cfvo type="percent" val="33"/>
        <cfvo type="percent" val="67"/>
      </iconSet>
    </cfRule>
  </conditionalFormatting>
  <dataValidations count="3">
    <dataValidation type="list" allowBlank="1" showInputMessage="1" showErrorMessage="1" sqref="V5" xr:uid="{7448F539-4223-40E8-A81B-6826D392CE59}">
      <formula1>"LOW,MID,HIGH"</formula1>
    </dataValidation>
    <dataValidation type="list" allowBlank="1" showInputMessage="1" showErrorMessage="1" sqref="D5:D6" xr:uid="{4B62E164-FB8B-466B-BA42-BC1DBC941A28}">
      <formula1>"TH,PTF,PS"</formula1>
    </dataValidation>
    <dataValidation type="list" allowBlank="1" showInputMessage="1" showErrorMessage="1" errorTitle="ERRORE - Valori ammessi:" error="V=Verde - Alta confidenza_x000a_G=Giallo - Media confidenza_x000a_R=Rosso - Bassa confidenza_x000a_K=KO - Proposta rigettata_x000a_OK - Proposta approvata" sqref="W5:AB5" xr:uid="{3E406E9A-6338-49CE-8E48-C0EECF5E9C7D}">
      <formula1>"V,G,R,K,OK"</formula1>
    </dataValidation>
  </dataValidations>
  <hyperlinks>
    <hyperlink ref="C5" location="'A1'!A1" display="A01" xr:uid="{8460781B-FD94-4FB0-A3EF-06594A8E9565}"/>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2">
    <tabColor theme="4"/>
  </sheetPr>
  <dimension ref="A3:Q314"/>
  <sheetViews>
    <sheetView workbookViewId="0"/>
  </sheetViews>
  <sheetFormatPr defaultColWidth="11.42578125" defaultRowHeight="14.45"/>
  <cols>
    <col min="1" max="1" width="16.5703125" customWidth="1"/>
    <col min="17" max="17" width="4" style="31" customWidth="1"/>
  </cols>
  <sheetData>
    <row r="3" spans="1:10">
      <c r="A3" t="s">
        <v>1214</v>
      </c>
      <c r="B3" s="30" t="s">
        <v>1215</v>
      </c>
      <c r="I3" s="12">
        <v>35</v>
      </c>
      <c r="J3" s="83" t="s">
        <v>1216</v>
      </c>
    </row>
    <row r="4" spans="1:10">
      <c r="C4" t="s">
        <v>1217</v>
      </c>
      <c r="E4" t="s">
        <v>1218</v>
      </c>
      <c r="F4" t="s">
        <v>1219</v>
      </c>
      <c r="H4" t="s">
        <v>1220</v>
      </c>
      <c r="I4" t="str">
        <f>"Objectif"</f>
        <v>Objectif</v>
      </c>
      <c r="J4" s="12"/>
    </row>
    <row r="5" spans="1:10">
      <c r="A5" t="str">
        <f>B3&amp;" :P84 EP6FADTXd ATN8"</f>
        <v>BASE+SIL :P84 EP6FADTXd ATN8</v>
      </c>
      <c r="C5" s="47" t="e">
        <f>#REF!</f>
        <v>#REF!</v>
      </c>
      <c r="D5" s="33"/>
      <c r="E5" s="34"/>
      <c r="F5" s="35"/>
      <c r="G5" s="36"/>
      <c r="H5" s="30"/>
      <c r="I5" s="12" t="e">
        <f>C5+I3</f>
        <v>#REF!</v>
      </c>
      <c r="J5" s="41"/>
    </row>
    <row r="6" spans="1:10">
      <c r="A6" s="42" t="s">
        <v>1221</v>
      </c>
      <c r="C6" s="43"/>
      <c r="D6" s="38" t="e">
        <f>IF((G6+N6)&gt;0,C5,C5+G6+N6)</f>
        <v>#REF!</v>
      </c>
      <c r="E6" s="39" t="e">
        <f>IF(G6&gt;0,G6,"")</f>
        <v>#REF!</v>
      </c>
      <c r="F6" s="40" t="e">
        <f>IF(E6&lt;&gt;"","",ABS(G6))</f>
        <v>#REF!</v>
      </c>
      <c r="G6" s="46" t="e">
        <f>#REF!</f>
        <v>#REF!</v>
      </c>
      <c r="H6" s="30"/>
      <c r="I6" s="12" t="e">
        <f>I5</f>
        <v>#REF!</v>
      </c>
      <c r="J6" s="12"/>
    </row>
    <row r="7" spans="1:10">
      <c r="A7" s="42" t="str">
        <f>B3&amp;" : P64€ EP6 ATN8"&amp;" (Réf)"</f>
        <v>BASE+SIL : P64€ EP6 ATN8 (Réf)</v>
      </c>
      <c r="C7" s="37" t="e">
        <f>C5+G6</f>
        <v>#REF!</v>
      </c>
      <c r="D7" s="38"/>
      <c r="E7" s="39"/>
      <c r="F7" s="40"/>
      <c r="G7" s="46"/>
      <c r="H7" s="49"/>
      <c r="I7" s="12" t="e">
        <f t="shared" ref="I7:I15" si="0">I6</f>
        <v>#REF!</v>
      </c>
      <c r="J7" s="41"/>
    </row>
    <row r="8" spans="1:10">
      <c r="A8" s="42" t="s">
        <v>1222</v>
      </c>
      <c r="C8" s="43"/>
      <c r="D8" s="38" t="e">
        <f>IF(G8&gt;0,C7,C7+G8)</f>
        <v>#REF!</v>
      </c>
      <c r="E8" s="39" t="e">
        <f>IF(G8&gt;0,G8,"")</f>
        <v>#REF!</v>
      </c>
      <c r="F8" s="40" t="e">
        <f>IF(E8&lt;&gt;"","",ABS(G8))</f>
        <v>#REF!</v>
      </c>
      <c r="G8" s="46" t="e">
        <f>#REF!</f>
        <v>#REF!</v>
      </c>
      <c r="H8" s="30"/>
      <c r="I8" s="12" t="e">
        <f t="shared" si="0"/>
        <v>#REF!</v>
      </c>
      <c r="J8" s="41"/>
    </row>
    <row r="9" spans="1:10">
      <c r="A9" s="42" t="s">
        <v>1223</v>
      </c>
      <c r="C9" s="37"/>
      <c r="D9" s="38" t="e">
        <f>IF(G9&gt;0,D8,D8+G9)</f>
        <v>#REF!</v>
      </c>
      <c r="E9" s="39" t="e">
        <f>IF(G9&gt;0,G9,"")</f>
        <v>#REF!</v>
      </c>
      <c r="F9" s="40" t="e">
        <f>IF(E9&lt;&gt;"","",ABS(G9))</f>
        <v>#REF!</v>
      </c>
      <c r="G9" s="46" t="e">
        <f>#REF!</f>
        <v>#REF!</v>
      </c>
      <c r="H9" s="49"/>
      <c r="I9" s="12" t="e">
        <f t="shared" si="0"/>
        <v>#REF!</v>
      </c>
      <c r="J9" s="41"/>
    </row>
    <row r="10" spans="1:10">
      <c r="A10" s="42" t="s">
        <v>1224</v>
      </c>
      <c r="C10" s="37"/>
      <c r="D10" s="38" t="e">
        <f>IF(G9&gt;0,D9+G9+IF(G10&gt;0,0,G10),IF(G10&gt;0,D9,D9+G10))</f>
        <v>#REF!</v>
      </c>
      <c r="E10" s="39" t="e">
        <f>IF(G10&gt;0,G10,"")</f>
        <v>#REF!</v>
      </c>
      <c r="F10" s="40"/>
      <c r="G10" s="46" t="e">
        <f>#REF!</f>
        <v>#REF!</v>
      </c>
      <c r="H10" s="49"/>
      <c r="I10" s="12" t="e">
        <f t="shared" si="0"/>
        <v>#REF!</v>
      </c>
      <c r="J10" s="41"/>
    </row>
    <row r="11" spans="1:10">
      <c r="A11" s="42" t="s">
        <v>1225</v>
      </c>
      <c r="C11" s="37" t="e">
        <f>SUM(G$8:G10)+C$7</f>
        <v>#REF!</v>
      </c>
      <c r="D11" s="38"/>
      <c r="E11" s="39"/>
      <c r="F11" s="40"/>
      <c r="G11" s="46"/>
      <c r="H11" s="49"/>
      <c r="I11" s="12" t="e">
        <f t="shared" si="0"/>
        <v>#REF!</v>
      </c>
      <c r="J11" s="41"/>
    </row>
    <row r="12" spans="1:10">
      <c r="A12" s="42" t="s">
        <v>1226</v>
      </c>
      <c r="C12" s="37"/>
      <c r="D12" s="38" t="e">
        <f>IF(G12&gt;0,C11,C11+G12)</f>
        <v>#REF!</v>
      </c>
      <c r="E12" s="39" t="e">
        <f>IF(G12&gt;0,G12,"")</f>
        <v>#REF!</v>
      </c>
      <c r="F12" s="40" t="e">
        <f>IF(E12&lt;&gt;"","",ABS(G12))</f>
        <v>#REF!</v>
      </c>
      <c r="G12" s="46" t="e">
        <f>#REF!</f>
        <v>#REF!</v>
      </c>
      <c r="H12" s="30"/>
      <c r="I12" s="12" t="e">
        <f t="shared" si="0"/>
        <v>#REF!</v>
      </c>
      <c r="J12" s="41"/>
    </row>
    <row r="13" spans="1:10">
      <c r="A13" s="42" t="s">
        <v>1227</v>
      </c>
      <c r="C13" s="37"/>
      <c r="D13" s="38" t="e">
        <f>IF(G12&gt;0,D12+G12+IF(G13&gt;0,0,G13),IF(G13&gt;0,D12,D12+G13))</f>
        <v>#REF!</v>
      </c>
      <c r="E13" s="39" t="e">
        <f>IF(G13&gt;0,G13,"")</f>
        <v>#REF!</v>
      </c>
      <c r="F13" s="40" t="e">
        <f>IF(E13&lt;&gt;"","",ABS(G13))</f>
        <v>#REF!</v>
      </c>
      <c r="G13" s="46" t="e">
        <f>#REF!</f>
        <v>#REF!</v>
      </c>
      <c r="H13" s="30"/>
      <c r="I13" s="12" t="e">
        <f t="shared" si="0"/>
        <v>#REF!</v>
      </c>
      <c r="J13" s="41"/>
    </row>
    <row r="14" spans="1:10">
      <c r="A14" t="s">
        <v>1228</v>
      </c>
      <c r="C14" s="37" t="e">
        <f>SUM(G12:G13)+C11</f>
        <v>#REF!</v>
      </c>
      <c r="D14" s="38"/>
      <c r="E14" s="39"/>
      <c r="F14" s="40"/>
      <c r="G14" s="44"/>
      <c r="H14" s="30"/>
      <c r="I14" s="12" t="e">
        <f t="shared" si="0"/>
        <v>#REF!</v>
      </c>
    </row>
    <row r="15" spans="1:10">
      <c r="A15" s="42"/>
      <c r="C15" s="37"/>
      <c r="D15" s="38" t="e">
        <f>IF(G15&gt;0,C14,C14+G15)</f>
        <v>#REF!</v>
      </c>
      <c r="E15" s="39" t="str">
        <f>IF(G15&gt;0,G15,"")</f>
        <v/>
      </c>
      <c r="F15" s="40">
        <f>IF(E15&lt;&gt;"","",ABS(G15))</f>
        <v>0</v>
      </c>
      <c r="G15" s="44"/>
      <c r="H15" s="30"/>
      <c r="I15" s="12" t="e">
        <f t="shared" si="0"/>
        <v>#REF!</v>
      </c>
      <c r="J15" s="41"/>
    </row>
    <row r="53" spans="1:9">
      <c r="A53" t="s">
        <v>1214</v>
      </c>
      <c r="B53" s="30" t="s">
        <v>1229</v>
      </c>
      <c r="I53" s="30">
        <f>'casc P64 EP6 BASE'!I53+'casc P64 EP6 SIL'!I53</f>
        <v>17</v>
      </c>
    </row>
    <row r="54" spans="1:9">
      <c r="C54" t="s">
        <v>1217</v>
      </c>
      <c r="E54" t="s">
        <v>1218</v>
      </c>
      <c r="F54" t="s">
        <v>1219</v>
      </c>
      <c r="H54" t="s">
        <v>1220</v>
      </c>
      <c r="I54" t="str">
        <f>"Objectif"</f>
        <v>Objectif</v>
      </c>
    </row>
    <row r="55" spans="1:9">
      <c r="A55" t="str">
        <f>B53&amp;" :P84 EP6FADTXd ATN8"</f>
        <v>ICDV Base+SIL :P84 EP6FADTXd ATN8</v>
      </c>
      <c r="C55" s="47" t="e">
        <f>#REF!</f>
        <v>#REF!</v>
      </c>
      <c r="D55" s="33"/>
      <c r="E55" s="34"/>
      <c r="F55" s="35"/>
      <c r="G55" s="36"/>
      <c r="H55" s="30"/>
      <c r="I55" s="12" t="e">
        <f>C55+I53</f>
        <v>#REF!</v>
      </c>
    </row>
    <row r="56" spans="1:9">
      <c r="A56" s="42" t="s">
        <v>1230</v>
      </c>
      <c r="C56" s="43"/>
      <c r="D56" s="38" t="e">
        <f>IF((G56+N56)&gt;0,C55,C55+G56+N56)</f>
        <v>#REF!</v>
      </c>
      <c r="E56" s="39" t="e">
        <f>IF(G56&gt;0,G56,"")</f>
        <v>#REF!</v>
      </c>
      <c r="F56" s="40" t="e">
        <f>IF(E56&lt;&gt;"","",ABS(G56))</f>
        <v>#REF!</v>
      </c>
      <c r="G56" s="46" t="e">
        <f>#REF!</f>
        <v>#REF!</v>
      </c>
      <c r="H56" s="30"/>
      <c r="I56" s="12" t="e">
        <f>I55</f>
        <v>#REF!</v>
      </c>
    </row>
    <row r="57" spans="1:9">
      <c r="A57" s="42" t="str">
        <f>B53&amp;" : P64€ EP6 ATN8"&amp;" (Réf)"</f>
        <v>ICDV Base+SIL : P64€ EP6 ATN8 (Réf)</v>
      </c>
      <c r="C57" s="37" t="e">
        <f>C55+G56</f>
        <v>#REF!</v>
      </c>
      <c r="D57" s="38"/>
      <c r="E57" s="39"/>
      <c r="F57" s="40"/>
      <c r="G57" s="46"/>
      <c r="H57" s="49"/>
      <c r="I57" s="12" t="e">
        <f t="shared" ref="I57:I65" si="1">I56</f>
        <v>#REF!</v>
      </c>
    </row>
    <row r="58" spans="1:9">
      <c r="A58" s="42" t="s">
        <v>1222</v>
      </c>
      <c r="C58" s="43"/>
      <c r="D58" s="38" t="e">
        <f>IF(G58&gt;0,C57,C57+G58)</f>
        <v>#REF!</v>
      </c>
      <c r="E58" s="39" t="e">
        <f>IF(G58&gt;0,G58,"")</f>
        <v>#REF!</v>
      </c>
      <c r="F58" s="40" t="e">
        <f>IF(E58&lt;&gt;"","",ABS(G58))</f>
        <v>#REF!</v>
      </c>
      <c r="G58" s="46" t="e">
        <f>#REF!</f>
        <v>#REF!</v>
      </c>
      <c r="H58" s="30"/>
      <c r="I58" s="12" t="e">
        <f t="shared" si="1"/>
        <v>#REF!</v>
      </c>
    </row>
    <row r="59" spans="1:9">
      <c r="A59" s="42" t="s">
        <v>1224</v>
      </c>
      <c r="C59" s="43"/>
      <c r="D59" s="38" t="e">
        <f>IF(G58&gt;0,D58+G58+IF(G59&gt;0,0,G59),IF(G59&gt;0,D58,D58+G59))</f>
        <v>#REF!</v>
      </c>
      <c r="E59" s="39" t="e">
        <f>IF(G59&gt;0,G59,"")</f>
        <v>#REF!</v>
      </c>
      <c r="F59" s="40" t="e">
        <f>IF(E59&lt;&gt;"","",ABS(G59))</f>
        <v>#REF!</v>
      </c>
      <c r="G59" s="46" t="e">
        <f>#REF!</f>
        <v>#REF!</v>
      </c>
      <c r="H59" s="30"/>
      <c r="I59" s="12" t="e">
        <f t="shared" si="1"/>
        <v>#REF!</v>
      </c>
    </row>
    <row r="60" spans="1:9">
      <c r="A60" s="42" t="s">
        <v>1231</v>
      </c>
      <c r="C60" s="37" t="e">
        <f>SUM(G58:G59)+C57</f>
        <v>#REF!</v>
      </c>
      <c r="D60" s="38"/>
      <c r="E60" s="39"/>
      <c r="F60" s="40"/>
      <c r="G60" s="44"/>
      <c r="H60" s="49"/>
      <c r="I60" s="12" t="e">
        <f>I58</f>
        <v>#REF!</v>
      </c>
    </row>
    <row r="61" spans="1:9">
      <c r="A61" s="42" t="s">
        <v>1223</v>
      </c>
      <c r="C61" s="37"/>
      <c r="D61" s="38" t="e">
        <f>IF(G61&gt;0,C60,C60+G61)</f>
        <v>#REF!</v>
      </c>
      <c r="E61" s="39" t="e">
        <f>IF(G61&gt;0,G61,"")</f>
        <v>#REF!</v>
      </c>
      <c r="F61" s="40" t="e">
        <f>IF(E61&lt;&gt;"","",ABS(G61))</f>
        <v>#REF!</v>
      </c>
      <c r="G61" s="46" t="e">
        <f>#REF!</f>
        <v>#REF!</v>
      </c>
      <c r="H61" s="49"/>
      <c r="I61" s="12" t="e">
        <f t="shared" si="1"/>
        <v>#REF!</v>
      </c>
    </row>
    <row r="62" spans="1:9">
      <c r="A62" s="42" t="s">
        <v>1226</v>
      </c>
      <c r="C62" s="37"/>
      <c r="D62" s="38" t="e">
        <f>IF(G61&gt;0,D61+G61+IF(G62&gt;0,0,G62),IF(G62&gt;0,D61,D61+G62))</f>
        <v>#REF!</v>
      </c>
      <c r="E62" s="39" t="e">
        <f>IF(G62&gt;0,G62,"")</f>
        <v>#REF!</v>
      </c>
      <c r="F62" s="40" t="e">
        <f>IF(E62&lt;&gt;"","",ABS(G62))</f>
        <v>#REF!</v>
      </c>
      <c r="G62" s="46" t="e">
        <f>#REF!</f>
        <v>#REF!</v>
      </c>
      <c r="H62" s="30"/>
      <c r="I62" s="12" t="e">
        <f t="shared" si="1"/>
        <v>#REF!</v>
      </c>
    </row>
    <row r="63" spans="1:9">
      <c r="A63" s="42" t="s">
        <v>1227</v>
      </c>
      <c r="C63" s="37"/>
      <c r="D63" s="38" t="e">
        <f>IF(G62&gt;0,D62+G62+IF(G63&gt;0,0,G63),IF(G63&gt;0,D62,D62+G63))</f>
        <v>#REF!</v>
      </c>
      <c r="E63" s="39" t="e">
        <f>IF(G63&gt;0,G63,"")</f>
        <v>#REF!</v>
      </c>
      <c r="F63" s="40" t="e">
        <f>IF(E63&lt;&gt;"","",ABS(G63))</f>
        <v>#REF!</v>
      </c>
      <c r="G63" s="46" t="e">
        <f>#REF!</f>
        <v>#REF!</v>
      </c>
      <c r="H63" s="30"/>
      <c r="I63" s="12" t="e">
        <f t="shared" si="1"/>
        <v>#REF!</v>
      </c>
    </row>
    <row r="64" spans="1:9">
      <c r="A64" t="s">
        <v>1232</v>
      </c>
      <c r="C64" s="37" t="e">
        <f>SUM(G61:G63)+C60</f>
        <v>#REF!</v>
      </c>
      <c r="D64" s="38"/>
      <c r="E64" s="39"/>
      <c r="F64" s="40"/>
      <c r="G64" s="44"/>
      <c r="H64" s="30"/>
      <c r="I64" s="12" t="e">
        <f t="shared" si="1"/>
        <v>#REF!</v>
      </c>
    </row>
    <row r="65" spans="1:9">
      <c r="A65" s="42"/>
      <c r="C65" s="37"/>
      <c r="D65" s="38" t="e">
        <f>IF(G65&gt;0,C64,C64+G65)</f>
        <v>#REF!</v>
      </c>
      <c r="E65" s="39" t="str">
        <f>IF(G65&gt;0,G65,"")</f>
        <v/>
      </c>
      <c r="F65" s="40">
        <f>IF(E65&lt;&gt;"","",ABS(G65))</f>
        <v>0</v>
      </c>
      <c r="G65" s="44"/>
      <c r="H65" s="30"/>
      <c r="I65" s="12" t="e">
        <f t="shared" si="1"/>
        <v>#REF!</v>
      </c>
    </row>
    <row r="91" spans="1:9">
      <c r="A91" t="s">
        <v>1214</v>
      </c>
      <c r="B91" s="30" t="s">
        <v>1233</v>
      </c>
      <c r="I91" s="49">
        <f>'casc P64 EP6 BASE'!I91+'casc P64 EP6 SIL'!I91</f>
        <v>28</v>
      </c>
    </row>
    <row r="92" spans="1:9">
      <c r="C92" t="s">
        <v>1217</v>
      </c>
      <c r="E92" t="s">
        <v>1218</v>
      </c>
      <c r="F92" t="s">
        <v>1219</v>
      </c>
      <c r="H92" t="s">
        <v>1220</v>
      </c>
      <c r="I92" t="s">
        <v>1234</v>
      </c>
    </row>
    <row r="93" spans="1:9">
      <c r="A93" t="s">
        <v>1235</v>
      </c>
      <c r="C93" s="47" t="e">
        <f>#REF!+#REF!+#REF!</f>
        <v>#REF!</v>
      </c>
      <c r="D93" s="33"/>
      <c r="E93" s="34"/>
      <c r="F93" s="35"/>
      <c r="G93" s="36"/>
      <c r="H93" s="30"/>
      <c r="I93" s="12" t="e">
        <f>C93+I91</f>
        <v>#REF!</v>
      </c>
    </row>
    <row r="94" spans="1:9">
      <c r="A94" s="42" t="s">
        <v>1230</v>
      </c>
      <c r="C94" s="43"/>
      <c r="D94" s="38" t="e">
        <f>IF(G94&gt;0,C93,C93+G94)</f>
        <v>#REF!</v>
      </c>
      <c r="E94" s="39" t="e">
        <f>IF(G94&gt;0,G94,"")</f>
        <v>#REF!</v>
      </c>
      <c r="F94" s="40" t="e">
        <f>IF(E94&lt;&gt;"","",ABS(G94))</f>
        <v>#REF!</v>
      </c>
      <c r="G94" s="46" t="e">
        <f>#REF!</f>
        <v>#REF!</v>
      </c>
      <c r="H94" s="30"/>
      <c r="I94" s="12" t="e">
        <f t="shared" ref="I94:I102" si="2">I93</f>
        <v>#REF!</v>
      </c>
    </row>
    <row r="95" spans="1:9">
      <c r="A95" s="42" t="s">
        <v>1236</v>
      </c>
      <c r="C95" s="37" t="e">
        <f>C93+G94+N94</f>
        <v>#REF!</v>
      </c>
      <c r="D95" s="38"/>
      <c r="E95" s="39" t="str">
        <f>IF(G95&gt;0,G95,"")</f>
        <v/>
      </c>
      <c r="F95" s="40">
        <f>IF(E95&lt;&gt;"","",ABS(G95))</f>
        <v>0</v>
      </c>
      <c r="G95" s="46"/>
      <c r="H95" s="30"/>
      <c r="I95" s="12" t="e">
        <f t="shared" si="2"/>
        <v>#REF!</v>
      </c>
    </row>
    <row r="96" spans="1:9">
      <c r="A96" s="42" t="s">
        <v>1222</v>
      </c>
      <c r="C96" s="43"/>
      <c r="D96" s="38" t="e">
        <f>IF(G96&gt;0,C95,C95+G96)</f>
        <v>#REF!</v>
      </c>
      <c r="E96" s="39" t="e">
        <f>IF(G96&gt;0,G96,"")</f>
        <v>#REF!</v>
      </c>
      <c r="F96" s="40" t="e">
        <f>IF(E96&lt;&gt;"","",ABS(G96))</f>
        <v>#REF!</v>
      </c>
      <c r="G96" s="44" t="e">
        <f>#REF!</f>
        <v>#REF!</v>
      </c>
      <c r="H96" s="30"/>
      <c r="I96" s="12" t="e">
        <f t="shared" si="2"/>
        <v>#REF!</v>
      </c>
    </row>
    <row r="97" spans="1:9">
      <c r="A97" s="42" t="s">
        <v>1224</v>
      </c>
      <c r="C97" s="43"/>
      <c r="D97" s="38" t="e">
        <f>IF(G96&gt;0,D96+G96+IF(G97&gt;0,0,G97),IF(G97&gt;0,D96,D96+G97))</f>
        <v>#REF!</v>
      </c>
      <c r="E97" s="39" t="e">
        <f>IF(G97&gt;0,G97,"")</f>
        <v>#REF!</v>
      </c>
      <c r="F97" s="40" t="e">
        <f>IF(E97&lt;&gt;"","",ABS(G97))</f>
        <v>#REF!</v>
      </c>
      <c r="G97" s="44" t="e">
        <f>#REF!</f>
        <v>#REF!</v>
      </c>
      <c r="H97" s="30"/>
      <c r="I97" s="12" t="e">
        <f t="shared" si="2"/>
        <v>#REF!</v>
      </c>
    </row>
    <row r="98" spans="1:9">
      <c r="A98" s="42" t="s">
        <v>1237</v>
      </c>
      <c r="C98" s="45" t="e">
        <f>C95+SUM(G96:G97)</f>
        <v>#REF!</v>
      </c>
      <c r="D98" s="38"/>
      <c r="E98" s="39" t="e">
        <f>IF(G99&gt;0,G99,"")</f>
        <v>#REF!</v>
      </c>
      <c r="F98" s="40"/>
      <c r="G98" s="46"/>
      <c r="H98" s="30"/>
      <c r="I98" s="12" t="e">
        <f t="shared" si="2"/>
        <v>#REF!</v>
      </c>
    </row>
    <row r="99" spans="1:9">
      <c r="A99" s="42" t="s">
        <v>1223</v>
      </c>
      <c r="C99" s="37"/>
      <c r="D99" s="38" t="e">
        <f>IF((G99+N99)&gt;0,C98,C98+G99+N99)</f>
        <v>#REF!</v>
      </c>
      <c r="E99" s="39" t="e">
        <f>IF(G99&gt;0,G99,"")</f>
        <v>#REF!</v>
      </c>
      <c r="F99" s="40" t="e">
        <f>IF(E99&lt;&gt;"","",ABS(G99))</f>
        <v>#REF!</v>
      </c>
      <c r="G99" s="44" t="e">
        <f>#REF!</f>
        <v>#REF!</v>
      </c>
      <c r="H99" s="30"/>
      <c r="I99" s="12" t="e">
        <f t="shared" si="2"/>
        <v>#REF!</v>
      </c>
    </row>
    <row r="100" spans="1:9">
      <c r="A100" s="42" t="s">
        <v>1226</v>
      </c>
      <c r="C100" s="37"/>
      <c r="D100" s="38" t="e">
        <f>IF((G99+N99)&gt;0,D99+G99+N99+IF((G100+N100)&gt;0,0,G100+N100),IF((G100+N100)&gt;0,D99,D99+G100+N100))</f>
        <v>#REF!</v>
      </c>
      <c r="E100" s="39" t="e">
        <f>IF(G100&gt;0,G100,"")</f>
        <v>#REF!</v>
      </c>
      <c r="F100" s="40" t="e">
        <f>IF(E100&lt;&gt;"","",ABS(G100))</f>
        <v>#REF!</v>
      </c>
      <c r="G100" s="44" t="e">
        <f>#REF!</f>
        <v>#REF!</v>
      </c>
      <c r="H100" s="30"/>
      <c r="I100" s="12" t="e">
        <f t="shared" si="2"/>
        <v>#REF!</v>
      </c>
    </row>
    <row r="101" spans="1:9">
      <c r="A101" s="42" t="s">
        <v>1227</v>
      </c>
      <c r="C101" s="37"/>
      <c r="D101" s="38" t="e">
        <f>IF((G100+N100)&gt;0,D100+G100+N100+IF((G101+N101)&gt;0,0,G101+N101),IF((G101+N101)&gt;0,D100,D100+G101+N101))</f>
        <v>#REF!</v>
      </c>
      <c r="E101" s="39" t="e">
        <f>IF(G101&gt;0,G101,"")</f>
        <v>#REF!</v>
      </c>
      <c r="F101" s="40" t="e">
        <f>IF(E101&lt;&gt;"","",ABS(G101))</f>
        <v>#REF!</v>
      </c>
      <c r="G101" s="44" t="e">
        <f>#REF!</f>
        <v>#REF!</v>
      </c>
      <c r="H101" s="30"/>
      <c r="I101" s="12" t="e">
        <f t="shared" si="2"/>
        <v>#REF!</v>
      </c>
    </row>
    <row r="102" spans="1:9">
      <c r="A102" t="s">
        <v>1238</v>
      </c>
      <c r="C102" s="45" t="e">
        <f>C98+SUM(G99:G101)</f>
        <v>#REF!</v>
      </c>
      <c r="D102" s="38"/>
      <c r="E102" s="39"/>
      <c r="F102" s="40"/>
      <c r="G102" s="44"/>
      <c r="H102" s="30"/>
      <c r="I102" s="12" t="e">
        <f t="shared" si="2"/>
        <v>#REF!</v>
      </c>
    </row>
    <row r="128" spans="1:9">
      <c r="A128" t="s">
        <v>1214</v>
      </c>
      <c r="B128" s="30" t="s">
        <v>1239</v>
      </c>
      <c r="I128" s="12">
        <f>'[6]A3 P51€'!K113+'[6]A3 P51€'!K112</f>
        <v>1.5</v>
      </c>
    </row>
    <row r="129" spans="1:9">
      <c r="C129" t="s">
        <v>1217</v>
      </c>
      <c r="E129" t="s">
        <v>1218</v>
      </c>
      <c r="F129" t="s">
        <v>1219</v>
      </c>
      <c r="I129" t="str">
        <f>"Objectif "&amp;ROUND(I130,0)&amp;" kg"</f>
        <v>Objectif 160 kg</v>
      </c>
    </row>
    <row r="130" spans="1:9">
      <c r="A130" t="str">
        <f>B128&amp;" : T9 EB2ADTS MB6 STTd niv2"</f>
        <v>SCEG (hors BVH) : T9 EB2ADTS MB6 STTd niv2</v>
      </c>
      <c r="C130" s="47">
        <f>'[6]A3 P51€'!C113+'[6]A3 P51€'!C112</f>
        <v>158.00650000000005</v>
      </c>
      <c r="D130" s="33"/>
      <c r="E130" s="34"/>
      <c r="F130" s="35"/>
      <c r="G130" s="36"/>
      <c r="H130" s="30"/>
      <c r="I130" s="12">
        <f>C130+I128</f>
        <v>159.50650000000005</v>
      </c>
    </row>
    <row r="131" spans="1:9">
      <c r="A131" s="42" t="s">
        <v>1230</v>
      </c>
      <c r="C131" s="43"/>
      <c r="D131" s="38" t="e">
        <f>IF((G131+N131)&gt;0,C130,C130+G131+N131)</f>
        <v>#REF!</v>
      </c>
      <c r="E131" s="39" t="e">
        <f>IF(G131&gt;0,G131,"")</f>
        <v>#REF!</v>
      </c>
      <c r="F131" s="40" t="e">
        <f>IF(E131&lt;&gt;"","",ABS(G131))</f>
        <v>#REF!</v>
      </c>
      <c r="G131" s="44" t="e">
        <f>'[6]A3 P51€'!C140-'[6]A3 P51€'!C141</f>
        <v>#REF!</v>
      </c>
      <c r="H131" s="30"/>
      <c r="I131" s="12">
        <f>I130</f>
        <v>159.50650000000005</v>
      </c>
    </row>
    <row r="132" spans="1:9">
      <c r="A132" s="42" t="str">
        <f>B128&amp;" : P5 EB2ADTS MB6 STTd"&amp;" (Réf)"</f>
        <v>SCEG (hors BVH) : P5 EB2ADTS MB6 STTd (Réf)</v>
      </c>
      <c r="C132" s="45" t="e">
        <f>C130+G131+N131</f>
        <v>#REF!</v>
      </c>
      <c r="D132" s="38"/>
      <c r="E132" s="39" t="str">
        <f>IF(G132&gt;0,G132,"")</f>
        <v/>
      </c>
      <c r="F132" s="40">
        <f>IF(E132&lt;&gt;"","",ABS(G132))</f>
        <v>0</v>
      </c>
      <c r="G132" s="46"/>
      <c r="H132" s="30"/>
      <c r="I132" s="12">
        <f t="shared" ref="I132:I140" si="3">I131</f>
        <v>159.50650000000005</v>
      </c>
    </row>
    <row r="133" spans="1:9">
      <c r="A133" s="42" t="s">
        <v>1222</v>
      </c>
      <c r="C133" s="43"/>
      <c r="D133" s="38" t="e">
        <f>IF((G133+N133)&gt;0,C132,C132+G133+N133)</f>
        <v>#REF!</v>
      </c>
      <c r="E133" s="39" t="e">
        <f>IF(G133&gt;0,G133,"")</f>
        <v>#REF!</v>
      </c>
      <c r="F133" s="40" t="e">
        <f>IF(E133&lt;&gt;"","",ABS(G133))</f>
        <v>#REF!</v>
      </c>
      <c r="G133" s="46" t="e">
        <f>'[6]A3 P51€'!E140-'[6]A3 P51€'!E141</f>
        <v>#REF!</v>
      </c>
      <c r="H133" s="30"/>
      <c r="I133" s="12">
        <f t="shared" si="3"/>
        <v>159.50650000000005</v>
      </c>
    </row>
    <row r="134" spans="1:9">
      <c r="A134" s="42" t="s">
        <v>1224</v>
      </c>
      <c r="C134" s="43"/>
      <c r="D134" s="38" t="e">
        <f>IF(G133&gt;0,D133+G133+IF(G134&gt;0,0,G134),IF(G134&gt;0,D133,D133+G134))</f>
        <v>#REF!</v>
      </c>
      <c r="E134" s="39" t="e">
        <f>IF(G134&gt;0,G134,"")</f>
        <v>#REF!</v>
      </c>
      <c r="F134" s="40" t="e">
        <f>IF(E134&lt;&gt;"","",ABS(G134))</f>
        <v>#REF!</v>
      </c>
      <c r="G134" s="44" t="e">
        <f>#REF!</f>
        <v>#REF!</v>
      </c>
      <c r="H134" s="30"/>
      <c r="I134" s="12">
        <f t="shared" si="3"/>
        <v>159.50650000000005</v>
      </c>
    </row>
    <row r="135" spans="1:9">
      <c r="A135" s="42" t="str">
        <f>B128&amp;" : P5 EB2ADTS MB6 STTd  (prévisionnel)"</f>
        <v>SCEG (hors BVH) : P5 EB2ADTS MB6 STTd  (prévisionnel)</v>
      </c>
      <c r="C135" s="45" t="e">
        <f>C132+SUM(G133:G133)</f>
        <v>#REF!</v>
      </c>
      <c r="D135" s="38"/>
      <c r="E135" s="39" t="str">
        <f t="shared" ref="E135:E140" si="4">IF(G135&gt;0,G135,"")</f>
        <v/>
      </c>
      <c r="F135" s="40">
        <f t="shared" ref="F135:F140" si="5">IF(E135&lt;&gt;"","",ABS(G135))</f>
        <v>0</v>
      </c>
      <c r="G135" s="46"/>
      <c r="H135" s="30"/>
      <c r="I135" s="12">
        <f>I133</f>
        <v>159.50650000000005</v>
      </c>
    </row>
    <row r="136" spans="1:9">
      <c r="A136" s="42" t="s">
        <v>1223</v>
      </c>
      <c r="C136" s="37"/>
      <c r="D136" s="38" t="e">
        <f>IF((G136+N136)&gt;0,C135,C135+G136+N136)</f>
        <v>#REF!</v>
      </c>
      <c r="E136" s="39" t="e">
        <f t="shared" si="4"/>
        <v>#REF!</v>
      </c>
      <c r="F136" s="40" t="e">
        <f t="shared" si="5"/>
        <v>#REF!</v>
      </c>
      <c r="G136" s="46" t="e">
        <f>'[6]A3 P51€'!F140-'[6]A3 P51€'!F141</f>
        <v>#REF!</v>
      </c>
      <c r="H136" s="30"/>
      <c r="I136" s="12">
        <f t="shared" si="3"/>
        <v>159.50650000000005</v>
      </c>
    </row>
    <row r="137" spans="1:9">
      <c r="A137" s="42" t="s">
        <v>1226</v>
      </c>
      <c r="C137" s="37"/>
      <c r="D137" s="38" t="e">
        <f>IF((G136+N136)&gt;0,D136+G136+N136+IF((G137+N137)&gt;0,0,G137+N137),IF((G137+N137)&gt;0,D136,D136+G137+N137))</f>
        <v>#REF!</v>
      </c>
      <c r="E137" s="39" t="e">
        <f t="shared" si="4"/>
        <v>#REF!</v>
      </c>
      <c r="F137" s="40" t="e">
        <f t="shared" si="5"/>
        <v>#REF!</v>
      </c>
      <c r="G137" s="46" t="e">
        <f>'[6]A3 P51€'!H140-'[6]A3 P51€'!H141</f>
        <v>#REF!</v>
      </c>
      <c r="H137" s="30"/>
      <c r="I137" s="12">
        <f t="shared" si="3"/>
        <v>159.50650000000005</v>
      </c>
    </row>
    <row r="138" spans="1:9">
      <c r="A138" s="42" t="s">
        <v>1240</v>
      </c>
      <c r="C138" s="37"/>
      <c r="D138" s="38" t="e">
        <f>IF((G137+N137)&gt;0,D137+G137+N137+IF((G138+N138)&gt;0,0,G138+N138),IF((G138+N138)&gt;0,D137,D137+G138+N138))</f>
        <v>#REF!</v>
      </c>
      <c r="E138" s="39" t="e">
        <f t="shared" si="4"/>
        <v>#REF!</v>
      </c>
      <c r="F138" s="40" t="e">
        <f t="shared" si="5"/>
        <v>#REF!</v>
      </c>
      <c r="G138" s="46" t="e">
        <f>'[6]A3 P51€'!I140-'[6]A3 P51€'!I141</f>
        <v>#REF!</v>
      </c>
      <c r="H138" s="30"/>
      <c r="I138" s="12">
        <f t="shared" si="3"/>
        <v>159.50650000000005</v>
      </c>
    </row>
    <row r="139" spans="1:9">
      <c r="A139" t="str">
        <f>B128&amp;" : P5 EB2ADTS MB6 STTd  (Potentiel)"</f>
        <v>SCEG (hors BVH) : P5 EB2ADTS MB6 STTd  (Potentiel)</v>
      </c>
      <c r="C139" s="37" t="e">
        <f>C135+SUM(G136:G138)</f>
        <v>#REF!</v>
      </c>
      <c r="D139" s="38"/>
      <c r="E139" s="39" t="str">
        <f t="shared" si="4"/>
        <v/>
      </c>
      <c r="F139" s="40">
        <f t="shared" si="5"/>
        <v>0</v>
      </c>
      <c r="G139" s="46"/>
      <c r="H139" s="30"/>
      <c r="I139" s="12">
        <f t="shared" si="3"/>
        <v>159.50650000000005</v>
      </c>
    </row>
    <row r="140" spans="1:9">
      <c r="A140" s="42"/>
      <c r="C140" s="37"/>
      <c r="D140" s="38"/>
      <c r="E140" s="39" t="str">
        <f t="shared" si="4"/>
        <v/>
      </c>
      <c r="F140" s="40">
        <f t="shared" si="5"/>
        <v>0</v>
      </c>
      <c r="G140" s="46"/>
      <c r="H140" s="30"/>
      <c r="I140" s="12">
        <f t="shared" si="3"/>
        <v>159.50650000000005</v>
      </c>
    </row>
    <row r="166" spans="1:15">
      <c r="A166" t="s">
        <v>1214</v>
      </c>
      <c r="B166" s="30" t="s">
        <v>1241</v>
      </c>
      <c r="I166" s="12" t="e">
        <f>'[6]A3 P51€'!K106-'[6]A3 P51€'!K107</f>
        <v>#REF!</v>
      </c>
    </row>
    <row r="167" spans="1:15">
      <c r="C167" t="s">
        <v>1217</v>
      </c>
      <c r="E167" t="s">
        <v>1218</v>
      </c>
      <c r="F167" t="s">
        <v>1219</v>
      </c>
      <c r="I167" t="e">
        <f>"Objectif "&amp;ROUND(I168,0)&amp;" kg"</f>
        <v>#REF!</v>
      </c>
      <c r="L167" t="s">
        <v>1242</v>
      </c>
      <c r="M167" t="s">
        <v>1243</v>
      </c>
      <c r="N167" t="s">
        <v>1244</v>
      </c>
      <c r="O167" t="s">
        <v>1245</v>
      </c>
    </row>
    <row r="168" spans="1:15">
      <c r="A168" t="str">
        <f>B166&amp;" : T9 EB2ADTS MB6 STTd niv2"</f>
        <v>SOEE (hors BVH) : T9 EB2ADTS MB6 STTd niv2</v>
      </c>
      <c r="C168" s="47">
        <f>'[6]A3 P51€'!C106-'[6]A3 P51€'!C107</f>
        <v>181.09970000000001</v>
      </c>
      <c r="D168" s="33"/>
      <c r="E168" s="34"/>
      <c r="F168" s="35"/>
      <c r="G168" s="36"/>
      <c r="H168" s="30"/>
      <c r="I168" s="12" t="e">
        <f>C168+I166</f>
        <v>#REF!</v>
      </c>
      <c r="J168" s="12"/>
      <c r="L168" s="48"/>
      <c r="M168" s="48"/>
      <c r="N168" s="36"/>
    </row>
    <row r="169" spans="1:15">
      <c r="A169" s="42" t="s">
        <v>1230</v>
      </c>
      <c r="C169" s="43"/>
      <c r="D169" s="38" t="e">
        <f>IF((G169+N169)&gt;0,C168,C168+G169+N169)</f>
        <v>#REF!</v>
      </c>
      <c r="E169" s="39" t="e">
        <f>IF(G169&gt;0,G169,"")</f>
        <v>#REF!</v>
      </c>
      <c r="F169" s="40" t="e">
        <f>IF(E169&lt;&gt;"","",ABS(G169))</f>
        <v>#REF!</v>
      </c>
      <c r="G169" s="44" t="e">
        <f>'[6]A3 P51€'!C136-'[6]A3 P51€'!C137</f>
        <v>#REF!</v>
      </c>
      <c r="H169" s="30"/>
      <c r="I169" s="12" t="e">
        <f>I168</f>
        <v>#REF!</v>
      </c>
      <c r="J169" s="12"/>
      <c r="L169" s="39" t="str">
        <f>IF(N169&gt;0,N169,"")</f>
        <v/>
      </c>
      <c r="M169" s="40">
        <f>IF(L169&lt;&gt;"","",ABS(N169))</f>
        <v>0</v>
      </c>
      <c r="N169" s="46"/>
    </row>
    <row r="170" spans="1:15">
      <c r="A170" s="42" t="str">
        <f>B166&amp;" : P5 EB2ADTS MB6 STTd"&amp;" (Réf)"</f>
        <v>SOEE (hors BVH) : P5 EB2ADTS MB6 STTd (Réf)</v>
      </c>
      <c r="C170" s="45" t="e">
        <f>C168+G169+N169</f>
        <v>#REF!</v>
      </c>
      <c r="D170" s="38"/>
      <c r="E170" s="39" t="str">
        <f>IF(G170&gt;0,G170,"")</f>
        <v/>
      </c>
      <c r="F170" s="40">
        <f>IF(E170&lt;&gt;"","",ABS(G170))</f>
        <v>0</v>
      </c>
      <c r="G170" s="46"/>
      <c r="H170" s="30"/>
      <c r="I170" s="12" t="e">
        <f t="shared" ref="I170:I177" si="6">I169</f>
        <v>#REF!</v>
      </c>
      <c r="J170" s="12"/>
      <c r="L170" s="50"/>
      <c r="M170" s="50"/>
      <c r="N170" s="46"/>
    </row>
    <row r="171" spans="1:15">
      <c r="A171" s="42" t="s">
        <v>1222</v>
      </c>
      <c r="C171" s="43"/>
      <c r="D171" s="38" t="e">
        <f>IF((G171+N171)&gt;0,C170,C170+G171+N171)</f>
        <v>#REF!</v>
      </c>
      <c r="E171" s="39" t="e">
        <f>IF(G171&gt;0,G171,"")</f>
        <v>#REF!</v>
      </c>
      <c r="F171" s="40" t="e">
        <f>IF(E171&lt;&gt;"","",ABS(G171))</f>
        <v>#REF!</v>
      </c>
      <c r="G171" s="46" t="e">
        <f>'[6]A3 P51€'!E136-'[6]A3 P51€'!E137</f>
        <v>#REF!</v>
      </c>
      <c r="H171" s="30"/>
      <c r="I171" s="12" t="e">
        <f t="shared" si="6"/>
        <v>#REF!</v>
      </c>
      <c r="J171" s="12"/>
      <c r="L171" s="39" t="str">
        <f>IF(N171&gt;0,N171,"")</f>
        <v/>
      </c>
      <c r="M171" s="40">
        <f>IF(L171&lt;&gt;"","",ABS(N171))</f>
        <v>0</v>
      </c>
      <c r="N171" s="44"/>
    </row>
    <row r="172" spans="1:15">
      <c r="A172" s="42" t="str">
        <f>B166&amp;" : P5 EB2ADTS MB6 STTd  (prévisionnel)"</f>
        <v>SOEE (hors BVH) : P5 EB2ADTS MB6 STTd  (prévisionnel)</v>
      </c>
      <c r="C172" s="45" t="e">
        <f>C170+SUM(G171:G171)</f>
        <v>#REF!</v>
      </c>
      <c r="D172" s="38"/>
      <c r="E172" s="39" t="str">
        <f t="shared" ref="E172:E177" si="7">IF(G172&gt;0,G172,"")</f>
        <v/>
      </c>
      <c r="F172" s="40">
        <f t="shared" ref="F172:F177" si="8">IF(E172&lt;&gt;"","",ABS(G172))</f>
        <v>0</v>
      </c>
      <c r="G172" s="46"/>
      <c r="H172" s="30"/>
      <c r="I172" s="12" t="e">
        <f t="shared" si="6"/>
        <v>#REF!</v>
      </c>
      <c r="L172" s="39" t="str">
        <f>IF(N172&gt;0,N172,"")</f>
        <v/>
      </c>
      <c r="M172" s="40">
        <f>IF(L172&lt;&gt;"","",ABS(N172))</f>
        <v>0</v>
      </c>
      <c r="N172" s="46"/>
    </row>
    <row r="173" spans="1:15">
      <c r="A173" s="42" t="s">
        <v>1223</v>
      </c>
      <c r="C173" s="37"/>
      <c r="D173" s="38" t="e">
        <f>IF((G173+N173)&gt;0,C172,C172+G173+N173)</f>
        <v>#REF!</v>
      </c>
      <c r="E173" s="39" t="e">
        <f t="shared" si="7"/>
        <v>#REF!</v>
      </c>
      <c r="F173" s="40" t="e">
        <f t="shared" si="8"/>
        <v>#REF!</v>
      </c>
      <c r="G173" s="46" t="e">
        <f>'[6]A3 P51€'!F136-'[6]A3 P51€'!F137</f>
        <v>#REF!</v>
      </c>
      <c r="H173" s="30"/>
      <c r="I173" s="12" t="e">
        <f t="shared" si="6"/>
        <v>#REF!</v>
      </c>
      <c r="J173" s="12"/>
      <c r="L173" s="50"/>
      <c r="M173" s="50"/>
      <c r="N173" s="46"/>
    </row>
    <row r="174" spans="1:15">
      <c r="A174" s="42" t="s">
        <v>1226</v>
      </c>
      <c r="C174" s="37"/>
      <c r="D174" s="38" t="e">
        <f>IF((G173+N173)&gt;0,D173+G173+N173+IF((G174+N174)&gt;0,0,G174+N174),IF((G174+N174)&gt;0,D173,D173+G174+N174))</f>
        <v>#REF!</v>
      </c>
      <c r="E174" s="39" t="e">
        <f t="shared" si="7"/>
        <v>#REF!</v>
      </c>
      <c r="F174" s="40" t="e">
        <f t="shared" si="8"/>
        <v>#REF!</v>
      </c>
      <c r="G174" s="44" t="e">
        <f>'[6]A3 P51€'!H136-'[6]A3 P51€'!H137</f>
        <v>#REF!</v>
      </c>
      <c r="H174" s="30"/>
      <c r="I174" s="12" t="e">
        <f t="shared" si="6"/>
        <v>#REF!</v>
      </c>
      <c r="J174" s="12"/>
      <c r="L174" s="39" t="str">
        <f>IF(N174&gt;0,N174,"")</f>
        <v/>
      </c>
      <c r="M174" s="40">
        <f>IF(L174&lt;&gt;"","",ABS(N174))</f>
        <v>0</v>
      </c>
      <c r="N174" s="44"/>
    </row>
    <row r="175" spans="1:15">
      <c r="A175" s="42" t="s">
        <v>1240</v>
      </c>
      <c r="C175" s="37"/>
      <c r="D175" s="38" t="e">
        <f>IF((G174+N174)&gt;0,D174+G174+N174+IF((G175+N175)&gt;0,0,G175+N175),IF((G175+N175)&gt;0,D174,D174+G175+N175))</f>
        <v>#REF!</v>
      </c>
      <c r="E175" s="39" t="e">
        <f t="shared" si="7"/>
        <v>#REF!</v>
      </c>
      <c r="F175" s="40" t="e">
        <f t="shared" si="8"/>
        <v>#REF!</v>
      </c>
      <c r="G175" s="46" t="e">
        <f>'[6]A3 P51€'!I136-'[6]A3 P51€'!I137</f>
        <v>#REF!</v>
      </c>
      <c r="H175" s="30"/>
      <c r="I175" s="12" t="e">
        <f t="shared" si="6"/>
        <v>#REF!</v>
      </c>
      <c r="J175" s="12"/>
      <c r="L175" s="39"/>
      <c r="M175" s="40"/>
      <c r="N175" s="44"/>
    </row>
    <row r="176" spans="1:15">
      <c r="A176" t="str">
        <f>B166&amp;" : P5 EB2ADTS MB6 STTd  (Potentiel)"</f>
        <v>SOEE (hors BVH) : P5 EB2ADTS MB6 STTd  (Potentiel)</v>
      </c>
      <c r="C176" s="37" t="e">
        <f>C172+SUM(G173:G175)</f>
        <v>#REF!</v>
      </c>
      <c r="D176" s="38"/>
      <c r="E176" s="39" t="str">
        <f t="shared" si="7"/>
        <v/>
      </c>
      <c r="F176" s="40">
        <f t="shared" si="8"/>
        <v>0</v>
      </c>
      <c r="G176" s="46"/>
      <c r="H176" s="30"/>
      <c r="I176" s="12" t="e">
        <f t="shared" si="6"/>
        <v>#REF!</v>
      </c>
      <c r="J176" s="12"/>
      <c r="L176" s="50"/>
      <c r="M176" s="50"/>
      <c r="N176" s="44"/>
    </row>
    <row r="177" spans="1:13">
      <c r="A177" s="42"/>
      <c r="C177" s="37"/>
      <c r="D177" s="38"/>
      <c r="E177" s="39" t="str">
        <f t="shared" si="7"/>
        <v/>
      </c>
      <c r="F177" s="40">
        <f t="shared" si="8"/>
        <v>0</v>
      </c>
      <c r="G177" s="46"/>
      <c r="H177" s="30"/>
      <c r="I177" s="12" t="e">
        <f t="shared" si="6"/>
        <v>#REF!</v>
      </c>
      <c r="J177" s="12"/>
      <c r="L177" s="39" t="str">
        <f>IF(N177&gt;0,N177,"")</f>
        <v/>
      </c>
      <c r="M177" s="40">
        <f>IF(L177&lt;&gt;"","",ABS(N177))</f>
        <v>0</v>
      </c>
    </row>
    <row r="204" spans="1:15">
      <c r="A204" t="s">
        <v>1214</v>
      </c>
      <c r="B204" s="30" t="s">
        <v>1239</v>
      </c>
      <c r="I204" s="12" t="e">
        <f>'[6]A3 P51€'!K227+'[6]A3 P51€'!K226</f>
        <v>#REF!</v>
      </c>
    </row>
    <row r="205" spans="1:15">
      <c r="C205" t="s">
        <v>1217</v>
      </c>
      <c r="E205" t="s">
        <v>1218</v>
      </c>
      <c r="F205" t="s">
        <v>1219</v>
      </c>
      <c r="I205" t="e">
        <f>"Objectif "&amp;ROUND(I206,0)&amp;" kg"</f>
        <v>#REF!</v>
      </c>
      <c r="L205" t="s">
        <v>1242</v>
      </c>
      <c r="M205" t="s">
        <v>1243</v>
      </c>
      <c r="N205" t="s">
        <v>1244</v>
      </c>
      <c r="O205" t="s">
        <v>1245</v>
      </c>
    </row>
    <row r="206" spans="1:15">
      <c r="A206" t="str">
        <f>B204&amp;" : T9 EB2ADTS MB6 STTd niv2"</f>
        <v>SCEG (hors BVH) : T9 EB2ADTS MB6 STTd niv2</v>
      </c>
      <c r="C206" s="47" t="e">
        <f>'[6]A3 P51€'!C227+'[6]A3 P51€'!C226</f>
        <v>#REF!</v>
      </c>
      <c r="D206" s="33"/>
      <c r="E206" s="34"/>
      <c r="F206" s="35"/>
      <c r="G206" s="36"/>
      <c r="H206" s="30"/>
      <c r="I206" s="12" t="e">
        <f>C206+I204</f>
        <v>#REF!</v>
      </c>
      <c r="J206" s="12"/>
      <c r="L206" s="48"/>
      <c r="M206" s="48"/>
      <c r="N206" s="36"/>
    </row>
    <row r="207" spans="1:15">
      <c r="A207" s="42" t="s">
        <v>1230</v>
      </c>
      <c r="C207" s="43"/>
      <c r="D207" s="38" t="e">
        <f>IF((G207+N207)&gt;0,C206,C206+G207+N207)</f>
        <v>#REF!</v>
      </c>
      <c r="E207" s="39" t="e">
        <f>IF(G207&gt;0,G207,"")</f>
        <v>#REF!</v>
      </c>
      <c r="F207" s="40" t="e">
        <f>IF(E207&lt;&gt;"","",ABS(G207))</f>
        <v>#REF!</v>
      </c>
      <c r="G207" s="44" t="e">
        <f>'[6]A3 P51€'!C254-'[6]A3 P51€'!C255</f>
        <v>#REF!</v>
      </c>
      <c r="H207" s="30"/>
      <c r="I207" s="12" t="e">
        <f>I206</f>
        <v>#REF!</v>
      </c>
      <c r="J207" s="12"/>
      <c r="L207" s="39" t="str">
        <f>IF(N207&gt;0,N207,"")</f>
        <v/>
      </c>
      <c r="M207" s="40">
        <f>IF(L207&lt;&gt;"","",ABS(N207))</f>
        <v>0</v>
      </c>
      <c r="N207" s="46"/>
    </row>
    <row r="208" spans="1:15">
      <c r="A208" s="42" t="str">
        <f>B204&amp;" : P5 EB2ADTS MB6 STTd"&amp;" (Réf)"</f>
        <v>SCEG (hors BVH) : P5 EB2ADTS MB6 STTd (Réf)</v>
      </c>
      <c r="C208" s="45" t="e">
        <f>C206+G207+N207</f>
        <v>#REF!</v>
      </c>
      <c r="D208" s="38"/>
      <c r="E208" s="39" t="str">
        <f>IF(G208&gt;0,G208,"")</f>
        <v/>
      </c>
      <c r="F208" s="40">
        <f>IF(E208&lt;&gt;"","",ABS(G208))</f>
        <v>0</v>
      </c>
      <c r="G208" s="46"/>
      <c r="H208" s="30"/>
      <c r="I208" s="12" t="e">
        <f t="shared" ref="I208:I215" si="9">I207</f>
        <v>#REF!</v>
      </c>
      <c r="J208" s="12"/>
      <c r="L208" s="50"/>
      <c r="M208" s="50"/>
      <c r="N208" s="46"/>
    </row>
    <row r="209" spans="1:13">
      <c r="A209" s="42" t="s">
        <v>1222</v>
      </c>
      <c r="C209" s="43"/>
      <c r="D209" s="38" t="e">
        <f>IF((G209+N209)&gt;0,C208,C208+G209+N209)</f>
        <v>#REF!</v>
      </c>
      <c r="E209" s="39" t="e">
        <f>IF(G209&gt;0,G209,"")</f>
        <v>#REF!</v>
      </c>
      <c r="F209" s="40" t="e">
        <f>IF(E209&lt;&gt;"","",ABS(G209))</f>
        <v>#REF!</v>
      </c>
      <c r="G209" s="46" t="e">
        <f>'[6]A3 P51€'!E254-'[6]A3 P51€'!E255</f>
        <v>#REF!</v>
      </c>
      <c r="H209" s="30"/>
      <c r="I209" s="12" t="e">
        <f t="shared" si="9"/>
        <v>#REF!</v>
      </c>
      <c r="J209" s="12"/>
      <c r="L209" s="39" t="str">
        <f>IF(N209&gt;0,N209,"")</f>
        <v/>
      </c>
      <c r="M209" s="40">
        <f>IF(L209&lt;&gt;"","",ABS(N209))</f>
        <v>0</v>
      </c>
    </row>
    <row r="210" spans="1:13">
      <c r="A210" s="42" t="str">
        <f>B204&amp;" : P5 EB2ADTS MB6 STTd  (prévisionnel)"</f>
        <v>SCEG (hors BVH) : P5 EB2ADTS MB6 STTd  (prévisionnel)</v>
      </c>
      <c r="C210" s="45" t="e">
        <f>C208+SUM(G209:G209)</f>
        <v>#REF!</v>
      </c>
      <c r="D210" s="38"/>
      <c r="E210" s="39" t="str">
        <f t="shared" ref="E210:E215" si="10">IF(G210&gt;0,G210,"")</f>
        <v/>
      </c>
      <c r="F210" s="40">
        <f t="shared" ref="F210:F215" si="11">IF(E210&lt;&gt;"","",ABS(G210))</f>
        <v>0</v>
      </c>
      <c r="G210" s="46"/>
      <c r="H210" s="30"/>
      <c r="I210" s="12" t="e">
        <f t="shared" si="9"/>
        <v>#REF!</v>
      </c>
      <c r="L210" s="39" t="str">
        <f>IF(N210&gt;0,N210,"")</f>
        <v/>
      </c>
      <c r="M210" s="40">
        <f>IF(L210&lt;&gt;"","",ABS(N210))</f>
        <v>0</v>
      </c>
    </row>
    <row r="211" spans="1:13">
      <c r="A211" s="42" t="s">
        <v>1223</v>
      </c>
      <c r="C211" s="37"/>
      <c r="D211" s="38" t="e">
        <f>IF((G211+N211)&gt;0,C210,C210+G211+N211)</f>
        <v>#REF!</v>
      </c>
      <c r="E211" s="39" t="e">
        <f t="shared" si="10"/>
        <v>#REF!</v>
      </c>
      <c r="F211" s="40" t="e">
        <f t="shared" si="11"/>
        <v>#REF!</v>
      </c>
      <c r="G211" s="46" t="e">
        <f>'[6]A3 P51€'!F254-'[6]A3 P51€'!F255</f>
        <v>#REF!</v>
      </c>
      <c r="H211" s="30"/>
      <c r="I211" s="12" t="e">
        <f t="shared" si="9"/>
        <v>#REF!</v>
      </c>
      <c r="J211" s="12"/>
      <c r="L211" s="50"/>
      <c r="M211" s="50"/>
    </row>
    <row r="212" spans="1:13">
      <c r="A212" s="42" t="s">
        <v>1226</v>
      </c>
      <c r="C212" s="37"/>
      <c r="D212" s="38" t="e">
        <f>IF((G211+N211)&gt;0,D211+G211+N211+IF((G212+N212)&gt;0,0,G212+N212),IF((G212+N212)&gt;0,D211,D211+G212+N212))</f>
        <v>#REF!</v>
      </c>
      <c r="E212" s="39" t="e">
        <f t="shared" si="10"/>
        <v>#REF!</v>
      </c>
      <c r="F212" s="40" t="e">
        <f t="shared" si="11"/>
        <v>#REF!</v>
      </c>
      <c r="G212" s="46" t="e">
        <f>'[6]A3 P51€'!H254-'[6]A3 P51€'!H255</f>
        <v>#REF!</v>
      </c>
      <c r="H212" s="30"/>
      <c r="I212" s="12" t="e">
        <f t="shared" si="9"/>
        <v>#REF!</v>
      </c>
      <c r="J212" s="12"/>
      <c r="L212" s="39" t="str">
        <f>IF(N212&gt;0,N212,"")</f>
        <v/>
      </c>
      <c r="M212" s="40">
        <f>IF(L212&lt;&gt;"","",ABS(N212))</f>
        <v>0</v>
      </c>
    </row>
    <row r="213" spans="1:13">
      <c r="A213" s="42" t="s">
        <v>1240</v>
      </c>
      <c r="C213" s="37"/>
      <c r="D213" s="38" t="e">
        <f>IF((G212+N212)&gt;0,D212+G212+N212+IF((G213+N213)&gt;0,0,G213+N213),IF((G213+N213)&gt;0,D212,D212+G213+N213))</f>
        <v>#REF!</v>
      </c>
      <c r="E213" s="39" t="e">
        <f t="shared" si="10"/>
        <v>#REF!</v>
      </c>
      <c r="F213" s="40" t="e">
        <f t="shared" si="11"/>
        <v>#REF!</v>
      </c>
      <c r="G213" s="46" t="e">
        <f>'[6]A3 P51€'!I254-'[6]A3 P51€'!I255</f>
        <v>#REF!</v>
      </c>
      <c r="H213" s="30"/>
      <c r="I213" s="12" t="e">
        <f t="shared" si="9"/>
        <v>#REF!</v>
      </c>
      <c r="J213" s="12"/>
      <c r="L213" s="39"/>
      <c r="M213" s="40"/>
    </row>
    <row r="214" spans="1:13">
      <c r="A214" t="str">
        <f>B204&amp;" : P5 EB2ADTS MB6 STTd  (Potentiel)"</f>
        <v>SCEG (hors BVH) : P5 EB2ADTS MB6 STTd  (Potentiel)</v>
      </c>
      <c r="C214" s="37" t="e">
        <f>C210+SUM(G211:G213)</f>
        <v>#REF!</v>
      </c>
      <c r="D214" s="38"/>
      <c r="E214" s="39" t="str">
        <f t="shared" si="10"/>
        <v/>
      </c>
      <c r="F214" s="40">
        <f t="shared" si="11"/>
        <v>0</v>
      </c>
      <c r="G214" s="46"/>
      <c r="H214" s="30"/>
      <c r="I214" s="12" t="e">
        <f t="shared" si="9"/>
        <v>#REF!</v>
      </c>
      <c r="J214" s="12"/>
      <c r="L214" s="50"/>
      <c r="M214" s="50"/>
    </row>
    <row r="215" spans="1:13">
      <c r="A215" s="42"/>
      <c r="C215" s="37"/>
      <c r="D215" s="38"/>
      <c r="E215" s="39" t="str">
        <f t="shared" si="10"/>
        <v/>
      </c>
      <c r="F215" s="40">
        <f t="shared" si="11"/>
        <v>0</v>
      </c>
      <c r="G215" s="46"/>
      <c r="H215" s="30"/>
      <c r="I215" s="12" t="e">
        <f t="shared" si="9"/>
        <v>#REF!</v>
      </c>
      <c r="J215" s="12"/>
      <c r="L215" s="39" t="str">
        <f>IF(N215&gt;0,N215,"")</f>
        <v/>
      </c>
      <c r="M215" s="40">
        <f>IF(L215&lt;&gt;"","",ABS(N215))</f>
        <v>0</v>
      </c>
    </row>
    <row r="241" spans="1:15">
      <c r="A241" t="s">
        <v>1214</v>
      </c>
      <c r="B241" s="30" t="s">
        <v>1241</v>
      </c>
      <c r="I241" s="12" t="e">
        <f>'[6]A3 P51€'!K220-'[6]A3 P51€'!K221</f>
        <v>#REF!</v>
      </c>
    </row>
    <row r="242" spans="1:15">
      <c r="C242" t="s">
        <v>1217</v>
      </c>
      <c r="E242" t="s">
        <v>1218</v>
      </c>
      <c r="F242" t="s">
        <v>1219</v>
      </c>
      <c r="I242" t="e">
        <f>"Objectif "&amp;ROUND(I243,0)&amp;" kg"</f>
        <v>#REF!</v>
      </c>
      <c r="L242" t="s">
        <v>1242</v>
      </c>
      <c r="M242" t="s">
        <v>1243</v>
      </c>
      <c r="N242" t="s">
        <v>1244</v>
      </c>
      <c r="O242" t="s">
        <v>1245</v>
      </c>
    </row>
    <row r="243" spans="1:15">
      <c r="A243" t="str">
        <f>B241&amp;" : T9 EB2ADTS MB6 STTd niv2"</f>
        <v>SOEE (hors BVH) : T9 EB2ADTS MB6 STTd niv2</v>
      </c>
      <c r="C243" s="47" t="e">
        <f>'[6]A3 P51€'!C220-'[6]A3 P51€'!C221</f>
        <v>#REF!</v>
      </c>
      <c r="D243" s="33"/>
      <c r="E243" s="34"/>
      <c r="F243" s="35"/>
      <c r="G243" s="36"/>
      <c r="H243" s="30"/>
      <c r="I243" s="12" t="e">
        <f>C243+I241</f>
        <v>#REF!</v>
      </c>
      <c r="J243" s="12"/>
      <c r="L243" s="48"/>
      <c r="M243" s="48"/>
      <c r="N243" s="36"/>
    </row>
    <row r="244" spans="1:15">
      <c r="A244" s="42" t="s">
        <v>1230</v>
      </c>
      <c r="C244" s="43"/>
      <c r="D244" s="38" t="e">
        <f>IF((G244+N244)&gt;0,C243,C243+G244+N244)</f>
        <v>#REF!</v>
      </c>
      <c r="E244" s="39" t="e">
        <f>IF(G244&gt;0,G244,"")</f>
        <v>#REF!</v>
      </c>
      <c r="F244" s="40" t="e">
        <f>IF(E244&lt;&gt;"","",ABS(G244))</f>
        <v>#REF!</v>
      </c>
      <c r="G244" s="44" t="e">
        <f>'[6]A3 P51€'!C250-'[6]A3 P51€'!C251</f>
        <v>#REF!</v>
      </c>
      <c r="H244" s="30"/>
      <c r="I244" s="12" t="e">
        <f>I243</f>
        <v>#REF!</v>
      </c>
      <c r="J244" s="12"/>
      <c r="L244" s="39" t="str">
        <f>IF(N244&gt;0,N244,"")</f>
        <v/>
      </c>
      <c r="M244" s="40">
        <f>IF(L244&lt;&gt;"","",ABS(N244))</f>
        <v>0</v>
      </c>
      <c r="N244" s="46"/>
    </row>
    <row r="245" spans="1:15">
      <c r="A245" s="42" t="str">
        <f>B241&amp;" : P5 EB2ADTS MB6 STTd"&amp;" (Réf)"</f>
        <v>SOEE (hors BVH) : P5 EB2ADTS MB6 STTd (Réf)</v>
      </c>
      <c r="C245" s="45" t="e">
        <f>C243+G244+N244</f>
        <v>#REF!</v>
      </c>
      <c r="D245" s="38"/>
      <c r="E245" s="39" t="str">
        <f>IF(G245&gt;0,G245,"")</f>
        <v/>
      </c>
      <c r="F245" s="40">
        <f>IF(E245&lt;&gt;"","",ABS(G245))</f>
        <v>0</v>
      </c>
      <c r="G245" s="46"/>
      <c r="H245" s="30"/>
      <c r="I245" s="12" t="e">
        <f t="shared" ref="I245:I252" si="12">I244</f>
        <v>#REF!</v>
      </c>
      <c r="J245" s="12"/>
      <c r="L245" s="50"/>
      <c r="M245" s="50"/>
      <c r="N245" s="46"/>
    </row>
    <row r="246" spans="1:15">
      <c r="A246" s="42" t="s">
        <v>1222</v>
      </c>
      <c r="C246" s="43"/>
      <c r="D246" s="38" t="e">
        <f>IF((G246+N246)&gt;0,C245,C245+G246+N246)</f>
        <v>#REF!</v>
      </c>
      <c r="E246" s="39" t="e">
        <f>IF(G246&gt;0,G246,"")</f>
        <v>#REF!</v>
      </c>
      <c r="F246" s="40" t="e">
        <f>IF(E246&lt;&gt;"","",ABS(G246))</f>
        <v>#REF!</v>
      </c>
      <c r="G246" s="46" t="e">
        <f>'[6]A3 P51€'!E250-'[6]A3 P51€'!E251</f>
        <v>#REF!</v>
      </c>
      <c r="H246" s="30"/>
      <c r="I246" s="12" t="e">
        <f t="shared" si="12"/>
        <v>#REF!</v>
      </c>
      <c r="J246" s="12"/>
      <c r="L246" s="39" t="str">
        <f>IF(N246&gt;0,N246,"")</f>
        <v/>
      </c>
      <c r="M246" s="40">
        <f>IF(L246&lt;&gt;"","",ABS(N246))</f>
        <v>0</v>
      </c>
      <c r="N246" s="44"/>
    </row>
    <row r="247" spans="1:15">
      <c r="A247" s="42" t="str">
        <f>B241&amp;" : P5 EB2ADTS MB6 STTd  (prévisionnel)"</f>
        <v>SOEE (hors BVH) : P5 EB2ADTS MB6 STTd  (prévisionnel)</v>
      </c>
      <c r="C247" s="45" t="e">
        <f>C245+SUM(G246:G246)</f>
        <v>#REF!</v>
      </c>
      <c r="D247" s="38"/>
      <c r="E247" s="39" t="str">
        <f t="shared" ref="E247:E252" si="13">IF(G247&gt;0,G247,"")</f>
        <v/>
      </c>
      <c r="F247" s="40">
        <f t="shared" ref="F247:F252" si="14">IF(E247&lt;&gt;"","",ABS(G247))</f>
        <v>0</v>
      </c>
      <c r="G247" s="46"/>
      <c r="H247" s="30"/>
      <c r="I247" s="12" t="e">
        <f t="shared" si="12"/>
        <v>#REF!</v>
      </c>
      <c r="L247" s="39" t="str">
        <f>IF(N247&gt;0,N247,"")</f>
        <v/>
      </c>
      <c r="M247" s="40">
        <f>IF(L247&lt;&gt;"","",ABS(N247))</f>
        <v>0</v>
      </c>
      <c r="N247" s="46"/>
    </row>
    <row r="248" spans="1:15">
      <c r="A248" s="42" t="s">
        <v>1223</v>
      </c>
      <c r="C248" s="37"/>
      <c r="D248" s="38" t="e">
        <f>IF((G248+N248)&gt;0,C247,C247+G248+N248)</f>
        <v>#REF!</v>
      </c>
      <c r="E248" s="39" t="e">
        <f t="shared" si="13"/>
        <v>#REF!</v>
      </c>
      <c r="F248" s="40" t="e">
        <f t="shared" si="14"/>
        <v>#REF!</v>
      </c>
      <c r="G248" s="46" t="e">
        <f>'[6]A3 P51€'!F250-'[6]A3 P51€'!F251</f>
        <v>#REF!</v>
      </c>
      <c r="H248" s="30"/>
      <c r="I248" s="12" t="e">
        <f t="shared" si="12"/>
        <v>#REF!</v>
      </c>
      <c r="J248" s="12"/>
      <c r="L248" s="50"/>
      <c r="M248" s="50"/>
      <c r="N248" s="46"/>
    </row>
    <row r="249" spans="1:15">
      <c r="A249" s="42" t="s">
        <v>1226</v>
      </c>
      <c r="C249" s="37"/>
      <c r="D249" s="38" t="e">
        <f>IF((G248+N248)&gt;0,D248+G248+N248+IF((G249+N249)&gt;0,0,G249+N249),IF((G249+N249)&gt;0,D248,D248+G249+N249))</f>
        <v>#REF!</v>
      </c>
      <c r="E249" s="39" t="e">
        <f t="shared" si="13"/>
        <v>#REF!</v>
      </c>
      <c r="F249" s="40" t="e">
        <f t="shared" si="14"/>
        <v>#REF!</v>
      </c>
      <c r="G249" s="44" t="e">
        <f>'[6]A3 P51€'!H250-'[6]A3 P51€'!H251</f>
        <v>#REF!</v>
      </c>
      <c r="H249" s="30"/>
      <c r="I249" s="12" t="e">
        <f t="shared" si="12"/>
        <v>#REF!</v>
      </c>
      <c r="J249" s="12"/>
      <c r="L249" s="39" t="str">
        <f>IF(N249&gt;0,N249,"")</f>
        <v/>
      </c>
      <c r="M249" s="40">
        <f>IF(L249&lt;&gt;"","",ABS(N249))</f>
        <v>0</v>
      </c>
      <c r="N249" s="44"/>
    </row>
    <row r="250" spans="1:15">
      <c r="A250" s="42" t="s">
        <v>1240</v>
      </c>
      <c r="C250" s="37"/>
      <c r="D250" s="38" t="e">
        <f>IF((G249+N249)&gt;0,D249+G249+N249+IF((G250+N250)&gt;0,0,G250+N250),IF((G250+N250)&gt;0,D249,D249+G250+N250))</f>
        <v>#REF!</v>
      </c>
      <c r="E250" s="39" t="e">
        <f t="shared" si="13"/>
        <v>#REF!</v>
      </c>
      <c r="F250" s="40" t="e">
        <f t="shared" si="14"/>
        <v>#REF!</v>
      </c>
      <c r="G250" s="46" t="e">
        <f>'[6]A3 P51€'!I250-'[6]A3 P51€'!I251</f>
        <v>#REF!</v>
      </c>
      <c r="H250" s="30"/>
      <c r="I250" s="12" t="e">
        <f t="shared" si="12"/>
        <v>#REF!</v>
      </c>
      <c r="J250" s="12"/>
      <c r="L250" s="39"/>
      <c r="M250" s="40"/>
      <c r="N250" s="44"/>
    </row>
    <row r="251" spans="1:15">
      <c r="A251" t="str">
        <f>B241&amp;" : P5 EB2ADTS MB6 STTd  (Potentiel)"</f>
        <v>SOEE (hors BVH) : P5 EB2ADTS MB6 STTd  (Potentiel)</v>
      </c>
      <c r="C251" s="37" t="e">
        <f>C247+SUM(G248:G250)</f>
        <v>#REF!</v>
      </c>
      <c r="D251" s="38"/>
      <c r="E251" s="39" t="str">
        <f t="shared" si="13"/>
        <v/>
      </c>
      <c r="F251" s="40">
        <f t="shared" si="14"/>
        <v>0</v>
      </c>
      <c r="G251" s="46"/>
      <c r="H251" s="30"/>
      <c r="I251" s="12" t="e">
        <f t="shared" si="12"/>
        <v>#REF!</v>
      </c>
      <c r="J251" s="12"/>
      <c r="L251" s="50"/>
      <c r="M251" s="50"/>
      <c r="N251" s="44"/>
    </row>
    <row r="252" spans="1:15">
      <c r="A252" s="42"/>
      <c r="C252" s="37"/>
      <c r="D252" s="38"/>
      <c r="E252" s="39" t="str">
        <f t="shared" si="13"/>
        <v/>
      </c>
      <c r="F252" s="40">
        <f t="shared" si="14"/>
        <v>0</v>
      </c>
      <c r="G252" s="46"/>
      <c r="H252" s="30"/>
      <c r="I252" s="12" t="e">
        <f t="shared" si="12"/>
        <v>#REF!</v>
      </c>
      <c r="J252" s="12"/>
      <c r="L252" s="39" t="str">
        <f>IF(N252&gt;0,N252,"")</f>
        <v/>
      </c>
      <c r="M252" s="40">
        <f>IF(L252&lt;&gt;"","",ABS(N252))</f>
        <v>0</v>
      </c>
      <c r="N252" s="46"/>
    </row>
    <row r="278" spans="1:15">
      <c r="A278" t="s">
        <v>1214</v>
      </c>
      <c r="B278" s="30" t="s">
        <v>1246</v>
      </c>
      <c r="I278" s="12" t="e">
        <f>'[6]A3 P51€'!K228-'[6]A3 P51€'!K229</f>
        <v>#REF!</v>
      </c>
    </row>
    <row r="279" spans="1:15">
      <c r="C279" t="s">
        <v>1217</v>
      </c>
      <c r="E279" t="s">
        <v>1218</v>
      </c>
      <c r="F279" t="s">
        <v>1219</v>
      </c>
      <c r="I279" t="e">
        <f>"Objectif "&amp;ROUND(I280,0)&amp;" kg"</f>
        <v>#REF!</v>
      </c>
      <c r="L279" t="s">
        <v>1242</v>
      </c>
      <c r="M279" t="s">
        <v>1243</v>
      </c>
      <c r="N279" t="s">
        <v>1244</v>
      </c>
      <c r="O279" t="s">
        <v>1245</v>
      </c>
    </row>
    <row r="280" spans="1:15">
      <c r="A280" t="str">
        <f>B278&amp;" : T9 EB2ADTS MB6 STTd niv2"</f>
        <v>SPCS (hors BVH) : T9 EB2ADTS MB6 STTd niv2</v>
      </c>
      <c r="C280" s="32" t="e">
        <f>'[6]A3 P51€'!C228-'[6]A3 P51€'!C229</f>
        <v>#REF!</v>
      </c>
      <c r="D280" s="33"/>
      <c r="E280" s="34"/>
      <c r="F280" s="35"/>
      <c r="G280" s="36"/>
      <c r="H280" s="30"/>
      <c r="I280" s="12" t="e">
        <f>C280+I278</f>
        <v>#REF!</v>
      </c>
      <c r="J280" s="12"/>
      <c r="L280" s="48"/>
      <c r="M280" s="48"/>
      <c r="N280" s="36"/>
    </row>
    <row r="281" spans="1:15">
      <c r="A281" s="42" t="s">
        <v>1230</v>
      </c>
      <c r="C281" s="43"/>
      <c r="D281" s="38" t="e">
        <f>IF((G281+N281)&gt;0,C280,C280+G281+N281)</f>
        <v>#REF!</v>
      </c>
      <c r="E281" s="39" t="e">
        <f>IF(G281&gt;0,G281,"")</f>
        <v>#REF!</v>
      </c>
      <c r="F281" s="40" t="e">
        <f>IF(E281&lt;&gt;"","",ABS(G281))</f>
        <v>#REF!</v>
      </c>
      <c r="G281" s="46" t="e">
        <f>'[6]A3 P51€'!C258-'[6]A3 P51€'!C259</f>
        <v>#REF!</v>
      </c>
      <c r="H281" s="30"/>
      <c r="I281" s="12" t="e">
        <f>I280</f>
        <v>#REF!</v>
      </c>
      <c r="J281" s="12"/>
      <c r="L281" s="39" t="str">
        <f>IF(N281&gt;0,N281,"")</f>
        <v/>
      </c>
      <c r="M281" s="40">
        <f>IF(L281&lt;&gt;"","",ABS(N281))</f>
        <v>0</v>
      </c>
      <c r="N281" s="46"/>
    </row>
    <row r="282" spans="1:15">
      <c r="A282" s="42" t="str">
        <f>B278&amp;" : P5 EB2ADTS MB6 STTd"&amp;" (Réf)"</f>
        <v>SPCS (hors BVH) : P5 EB2ADTS MB6 STTd (Réf)</v>
      </c>
      <c r="C282" s="37" t="e">
        <f>C280+G281+N281</f>
        <v>#REF!</v>
      </c>
      <c r="D282" s="38"/>
      <c r="E282" s="39" t="str">
        <f>IF(G282&gt;0,G282,"")</f>
        <v/>
      </c>
      <c r="F282" s="40">
        <f>IF(E282&lt;&gt;"","",ABS(G282))</f>
        <v>0</v>
      </c>
      <c r="G282" s="46"/>
      <c r="H282" s="30"/>
      <c r="I282" s="12" t="e">
        <f t="shared" ref="I282:I289" si="15">I281</f>
        <v>#REF!</v>
      </c>
      <c r="J282" s="12"/>
      <c r="L282" s="50"/>
      <c r="M282" s="50"/>
      <c r="N282" s="46"/>
    </row>
    <row r="283" spans="1:15">
      <c r="A283" s="42" t="s">
        <v>1222</v>
      </c>
      <c r="C283" s="43"/>
      <c r="D283" s="38" t="e">
        <f>IF((G283+N283)&gt;0,C282,C282+G283+N283)</f>
        <v>#REF!</v>
      </c>
      <c r="E283" s="39" t="e">
        <f>IF(G283&gt;0,G283,"")</f>
        <v>#REF!</v>
      </c>
      <c r="F283" s="40" t="e">
        <f>IF(E283&lt;&gt;"","",ABS(G283))</f>
        <v>#REF!</v>
      </c>
      <c r="G283" s="44" t="e">
        <f>'[6]A3 P51€'!E258-'[6]A3 P51€'!E259</f>
        <v>#REF!</v>
      </c>
      <c r="H283" s="30"/>
      <c r="I283" s="12" t="e">
        <f t="shared" si="15"/>
        <v>#REF!</v>
      </c>
      <c r="J283" s="12"/>
      <c r="L283" s="39" t="str">
        <f>IF(N283&gt;0,N283,"")</f>
        <v/>
      </c>
      <c r="M283" s="40">
        <f>IF(L283&lt;&gt;"","",ABS(N283))</f>
        <v>0</v>
      </c>
      <c r="N283" s="44"/>
    </row>
    <row r="284" spans="1:15">
      <c r="A284" s="42" t="str">
        <f>B278&amp;" : P5 EB2ADTS MB6 STTd  (prévisionnel)"</f>
        <v>SPCS (hors BVH) : P5 EB2ADTS MB6 STTd  (prévisionnel)</v>
      </c>
      <c r="C284" s="45" t="e">
        <f>C282+SUM(G283:G283)</f>
        <v>#REF!</v>
      </c>
      <c r="D284" s="38"/>
      <c r="E284" s="39" t="str">
        <f t="shared" ref="E284:E289" si="16">IF(G284&gt;0,G284,"")</f>
        <v/>
      </c>
      <c r="F284" s="40">
        <f t="shared" ref="F284:F289" si="17">IF(E284&lt;&gt;"","",ABS(G284))</f>
        <v>0</v>
      </c>
      <c r="G284" s="46"/>
      <c r="H284" s="30"/>
      <c r="I284" s="12" t="e">
        <f t="shared" si="15"/>
        <v>#REF!</v>
      </c>
      <c r="J284" s="12"/>
      <c r="L284" s="39" t="str">
        <f>IF(N284&gt;0,N284,"")</f>
        <v/>
      </c>
      <c r="M284" s="40">
        <f>IF(L284&lt;&gt;"","",ABS(N284))</f>
        <v>0</v>
      </c>
      <c r="N284" s="46"/>
    </row>
    <row r="285" spans="1:15">
      <c r="A285" s="42" t="s">
        <v>1223</v>
      </c>
      <c r="C285" s="37"/>
      <c r="D285" s="38" t="e">
        <f>IF((G285+N285)&gt;0,C284,C284+G285+N285)</f>
        <v>#REF!</v>
      </c>
      <c r="E285" s="39" t="e">
        <f t="shared" si="16"/>
        <v>#REF!</v>
      </c>
      <c r="F285" s="40" t="e">
        <f t="shared" si="17"/>
        <v>#REF!</v>
      </c>
      <c r="G285" s="46" t="e">
        <f>'[6]A3 P51€'!F258-'[6]A3 P51€'!F259</f>
        <v>#REF!</v>
      </c>
      <c r="H285" s="30"/>
      <c r="I285" s="12" t="e">
        <f t="shared" si="15"/>
        <v>#REF!</v>
      </c>
      <c r="J285" s="12"/>
      <c r="L285" s="50"/>
      <c r="M285" s="50"/>
      <c r="N285" s="46"/>
    </row>
    <row r="286" spans="1:15">
      <c r="A286" s="42" t="s">
        <v>1226</v>
      </c>
      <c r="C286" s="37"/>
      <c r="D286" s="38" t="e">
        <f>IF((G285+N285)&gt;0,D285+G285+N285+IF((G286+N286)&gt;0,0,G286+N286),IF((G286+N286)&gt;0,D285,D285+G286+N286))</f>
        <v>#REF!</v>
      </c>
      <c r="E286" s="39" t="e">
        <f t="shared" si="16"/>
        <v>#REF!</v>
      </c>
      <c r="F286" s="40" t="e">
        <f t="shared" si="17"/>
        <v>#REF!</v>
      </c>
      <c r="G286" s="44" t="e">
        <f>'[6]A3 P51€'!H258-'[6]A3 P51€'!H259</f>
        <v>#REF!</v>
      </c>
      <c r="H286" s="30"/>
      <c r="I286" s="12" t="e">
        <f t="shared" si="15"/>
        <v>#REF!</v>
      </c>
      <c r="J286" s="12"/>
      <c r="L286" s="39" t="str">
        <f>IF(N286&gt;0,N286,"")</f>
        <v/>
      </c>
      <c r="M286" s="40">
        <f>IF(L286&lt;&gt;"","",ABS(N286))</f>
        <v>0</v>
      </c>
      <c r="N286" s="44"/>
    </row>
    <row r="287" spans="1:15">
      <c r="A287" s="42" t="s">
        <v>1240</v>
      </c>
      <c r="C287" s="37"/>
      <c r="D287" s="38" t="e">
        <f>IF((G286+N286)&gt;0,D286+G286+N286+IF((G287+N287)&gt;0,0,G287+N287),IF((G287+N287)&gt;0,D286,D286+G287+N287))</f>
        <v>#REF!</v>
      </c>
      <c r="E287" s="39" t="e">
        <f t="shared" si="16"/>
        <v>#REF!</v>
      </c>
      <c r="F287" s="40" t="e">
        <f t="shared" si="17"/>
        <v>#REF!</v>
      </c>
      <c r="G287" s="46" t="e">
        <f>'[6]A3 P51€'!I258-'[6]A3 P51€'!I259</f>
        <v>#REF!</v>
      </c>
      <c r="H287" s="30"/>
      <c r="I287" s="12" t="e">
        <f t="shared" si="15"/>
        <v>#REF!</v>
      </c>
      <c r="J287" s="12"/>
      <c r="L287" s="39"/>
      <c r="M287" s="40"/>
      <c r="N287" s="44"/>
    </row>
    <row r="288" spans="1:15">
      <c r="A288" t="str">
        <f>B278&amp;" : P5 EB2ADTS MB6 STTd  (Potentiel)"</f>
        <v>SPCS (hors BVH) : P5 EB2ADTS MB6 STTd  (Potentiel)</v>
      </c>
      <c r="C288" s="37" t="e">
        <f>C284+SUM(G285:G287)</f>
        <v>#REF!</v>
      </c>
      <c r="D288" s="38"/>
      <c r="E288" s="39" t="str">
        <f t="shared" si="16"/>
        <v/>
      </c>
      <c r="F288" s="40">
        <f t="shared" si="17"/>
        <v>0</v>
      </c>
      <c r="G288" s="46"/>
      <c r="H288" s="30"/>
      <c r="I288" s="12" t="e">
        <f t="shared" si="15"/>
        <v>#REF!</v>
      </c>
      <c r="J288" s="12"/>
      <c r="L288" s="50"/>
      <c r="M288" s="50"/>
      <c r="N288" s="44"/>
    </row>
    <row r="289" spans="1:13">
      <c r="A289" s="42"/>
      <c r="C289" s="37"/>
      <c r="D289" s="38"/>
      <c r="E289" s="39" t="str">
        <f t="shared" si="16"/>
        <v/>
      </c>
      <c r="F289" s="40">
        <f t="shared" si="17"/>
        <v>0</v>
      </c>
      <c r="G289" s="46"/>
      <c r="H289" s="30"/>
      <c r="I289" s="12" t="e">
        <f t="shared" si="15"/>
        <v>#REF!</v>
      </c>
      <c r="J289" s="12"/>
      <c r="L289" s="39" t="str">
        <f>IF(N289&gt;0,N289,"")</f>
        <v/>
      </c>
      <c r="M289" s="40">
        <f>IF(L289&lt;&gt;"","",ABS(N289))</f>
        <v>0</v>
      </c>
    </row>
    <row r="314" spans="1:1">
      <c r="A314" s="51" t="s">
        <v>1247</v>
      </c>
    </row>
  </sheetData>
  <conditionalFormatting sqref="A314">
    <cfRule type="cellIs" dxfId="2" priority="1" stopIfTrue="1" operator="equal">
      <formula>0</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3">
    <tabColor theme="4"/>
  </sheetPr>
  <dimension ref="A3:Q238"/>
  <sheetViews>
    <sheetView workbookViewId="0"/>
  </sheetViews>
  <sheetFormatPr defaultColWidth="11.42578125" defaultRowHeight="14.45"/>
  <cols>
    <col min="1" max="1" width="16.5703125" customWidth="1"/>
    <col min="17" max="17" width="4" style="31" customWidth="1"/>
  </cols>
  <sheetData>
    <row r="3" spans="1:10">
      <c r="A3" t="s">
        <v>1214</v>
      </c>
      <c r="B3" s="30" t="s">
        <v>1248</v>
      </c>
      <c r="I3" s="12">
        <f>-5+I53+I91</f>
        <v>-20</v>
      </c>
      <c r="J3" s="83" t="s">
        <v>1216</v>
      </c>
    </row>
    <row r="4" spans="1:10">
      <c r="C4" t="s">
        <v>1217</v>
      </c>
      <c r="E4" t="s">
        <v>1218</v>
      </c>
      <c r="F4" t="s">
        <v>1219</v>
      </c>
      <c r="H4" t="s">
        <v>1220</v>
      </c>
      <c r="I4" t="str">
        <f>"Objectif"</f>
        <v>Objectif</v>
      </c>
      <c r="J4" s="12"/>
    </row>
    <row r="5" spans="1:10">
      <c r="A5" t="str">
        <f>B3&amp;" :P84 EP6FADTXd ATN8"</f>
        <v>P64 EP6 SIL :P84 EP6FADTXd ATN8</v>
      </c>
      <c r="C5" s="47" t="e">
        <f>#REF!</f>
        <v>#REF!</v>
      </c>
      <c r="D5" s="33"/>
      <c r="E5" s="34"/>
      <c r="F5" s="35"/>
      <c r="G5" s="36"/>
      <c r="H5" s="30"/>
      <c r="I5" s="12" t="e">
        <f>C5+I3</f>
        <v>#REF!</v>
      </c>
      <c r="J5" s="41"/>
    </row>
    <row r="6" spans="1:10">
      <c r="A6" s="42" t="s">
        <v>1230</v>
      </c>
      <c r="C6" s="43"/>
      <c r="D6" s="38" t="e">
        <f>IF((G6+N6)&gt;0,C5,C5+G6+N6)</f>
        <v>#REF!</v>
      </c>
      <c r="E6" s="39" t="e">
        <f>IF(G6&gt;0,G6,"")</f>
        <v>#REF!</v>
      </c>
      <c r="F6" s="40" t="e">
        <f>IF(E6&lt;&gt;"","",ABS(G6))</f>
        <v>#REF!</v>
      </c>
      <c r="G6" s="46" t="e">
        <f>#REF!</f>
        <v>#REF!</v>
      </c>
      <c r="H6" s="30"/>
      <c r="I6" s="12" t="e">
        <f>I5</f>
        <v>#REF!</v>
      </c>
      <c r="J6" s="12"/>
    </row>
    <row r="7" spans="1:10">
      <c r="A7" s="42" t="str">
        <f>B3&amp;" : P64€ EP6 ATN8"&amp;" (Réf)"</f>
        <v>P64 EP6 SIL : P64€ EP6 ATN8 (Réf)</v>
      </c>
      <c r="C7" s="37" t="e">
        <f>C5+G6</f>
        <v>#REF!</v>
      </c>
      <c r="D7" s="38"/>
      <c r="E7" s="39"/>
      <c r="F7" s="40"/>
      <c r="G7" s="46"/>
      <c r="H7" s="49"/>
      <c r="I7" s="12" t="e">
        <f t="shared" ref="I7:I15" si="0">I6</f>
        <v>#REF!</v>
      </c>
      <c r="J7" s="41"/>
    </row>
    <row r="8" spans="1:10">
      <c r="A8" s="42" t="s">
        <v>1222</v>
      </c>
      <c r="C8" s="43"/>
      <c r="D8" s="38" t="e">
        <f>IF(G8&gt;0,C7,C7+G8)</f>
        <v>#REF!</v>
      </c>
      <c r="E8" s="39" t="e">
        <f>IF(G8&gt;0,G8,"")</f>
        <v>#REF!</v>
      </c>
      <c r="F8" s="40" t="e">
        <f>IF(E8&lt;&gt;"","",ABS(G8))</f>
        <v>#REF!</v>
      </c>
      <c r="G8" s="46" t="e">
        <f>#REF!</f>
        <v>#REF!</v>
      </c>
      <c r="H8" s="30"/>
      <c r="I8" s="12" t="e">
        <f t="shared" si="0"/>
        <v>#REF!</v>
      </c>
      <c r="J8" s="41"/>
    </row>
    <row r="9" spans="1:10">
      <c r="A9" s="42" t="s">
        <v>1223</v>
      </c>
      <c r="C9" s="43"/>
      <c r="D9" s="38" t="e">
        <f>IF(G9&gt;0,D8,D8+G9)</f>
        <v>#REF!</v>
      </c>
      <c r="E9" s="39"/>
      <c r="F9" s="40" t="e">
        <f>IF(E9&lt;&gt;"","",ABS(G9))</f>
        <v>#REF!</v>
      </c>
      <c r="G9" s="46" t="e">
        <f>#REF!</f>
        <v>#REF!</v>
      </c>
      <c r="H9" s="30"/>
      <c r="I9" s="12" t="e">
        <f t="shared" si="0"/>
        <v>#REF!</v>
      </c>
      <c r="J9" s="41"/>
    </row>
    <row r="10" spans="1:10">
      <c r="A10" s="42" t="s">
        <v>1224</v>
      </c>
      <c r="C10" s="43"/>
      <c r="D10" s="38" t="e">
        <f>IF(G9&gt;0,D9+G9+IF(G10&gt;0,0,G10),IF(G10&gt;0,D9,D9+G10))</f>
        <v>#REF!</v>
      </c>
      <c r="E10" s="39" t="e">
        <f>IF(G10&gt;0,G10,"")</f>
        <v>#REF!</v>
      </c>
      <c r="F10" s="40" t="e">
        <f>IF(E10&lt;&gt;"","",ABS(G10))</f>
        <v>#REF!</v>
      </c>
      <c r="G10" s="46" t="e">
        <f>#REF!</f>
        <v>#REF!</v>
      </c>
      <c r="H10" s="30"/>
      <c r="I10" s="12" t="e">
        <f t="shared" si="0"/>
        <v>#REF!</v>
      </c>
      <c r="J10" s="41"/>
    </row>
    <row r="11" spans="1:10">
      <c r="A11" s="42" t="str">
        <f>B3&amp;" : P64€ EP6 ATN8"&amp;" (Potentiel)"</f>
        <v>P64 EP6 SIL : P64€ EP6 ATN8 (Potentiel)</v>
      </c>
      <c r="C11" s="37" t="e">
        <f>SUM(G8:G10)+C7</f>
        <v>#REF!</v>
      </c>
      <c r="D11" s="38"/>
      <c r="E11" s="39"/>
      <c r="F11" s="40"/>
      <c r="G11" s="44"/>
      <c r="H11" s="49"/>
      <c r="I11" s="12" t="e">
        <f t="shared" si="0"/>
        <v>#REF!</v>
      </c>
      <c r="J11" s="41"/>
    </row>
    <row r="12" spans="1:10">
      <c r="A12" s="42" t="s">
        <v>1226</v>
      </c>
      <c r="C12" s="37"/>
      <c r="D12" s="38" t="e">
        <f>IF(G12&gt;0,C11,C11+G12)</f>
        <v>#REF!</v>
      </c>
      <c r="E12" s="39" t="e">
        <f>IF(G12&gt;0,G12,"")</f>
        <v>#REF!</v>
      </c>
      <c r="F12" s="40" t="e">
        <f>IF(E12&lt;&gt;"","",ABS(G12))</f>
        <v>#REF!</v>
      </c>
      <c r="G12" s="46" t="e">
        <f>#REF!</f>
        <v>#REF!</v>
      </c>
      <c r="H12" s="30"/>
      <c r="I12" s="12" t="e">
        <f t="shared" si="0"/>
        <v>#REF!</v>
      </c>
      <c r="J12" s="41"/>
    </row>
    <row r="13" spans="1:10">
      <c r="A13" s="42" t="s">
        <v>1227</v>
      </c>
      <c r="C13" s="37"/>
      <c r="D13" s="38" t="e">
        <f>IF(G12&gt;0,D12+G12+IF(G13&gt;0,0,G13),IF(G13&gt;0,D12,D12+G13))</f>
        <v>#REF!</v>
      </c>
      <c r="E13" s="39" t="e">
        <f>IF(G13&gt;0,G13,"")</f>
        <v>#REF!</v>
      </c>
      <c r="F13" s="40" t="e">
        <f>IF(E13&lt;&gt;"","",ABS(G13))</f>
        <v>#REF!</v>
      </c>
      <c r="G13" s="46" t="e">
        <f>#REF!</f>
        <v>#REF!</v>
      </c>
      <c r="H13" s="30"/>
      <c r="I13" s="12" t="e">
        <f t="shared" si="0"/>
        <v>#REF!</v>
      </c>
      <c r="J13" s="41"/>
    </row>
    <row r="14" spans="1:10">
      <c r="A14" s="42" t="str">
        <f>B3&amp;" : P64€ EP6 ATN8"&amp;" (Potentiel)"</f>
        <v>P64 EP6 SIL : P64€ EP6 ATN8 (Potentiel)</v>
      </c>
      <c r="C14" s="37" t="e">
        <f>SUM(G12:G13)+C11</f>
        <v>#REF!</v>
      </c>
      <c r="D14" s="38"/>
      <c r="E14" s="39"/>
      <c r="F14" s="40"/>
      <c r="G14" s="44"/>
      <c r="H14" s="30"/>
      <c r="I14" s="12" t="e">
        <f t="shared" si="0"/>
        <v>#REF!</v>
      </c>
    </row>
    <row r="15" spans="1:10">
      <c r="A15" s="42"/>
      <c r="C15" s="37"/>
      <c r="D15" s="38" t="e">
        <f>IF(G15&gt;0,C14,C14+G15)</f>
        <v>#REF!</v>
      </c>
      <c r="E15" s="39" t="str">
        <f>IF(G15&gt;0,G15,"")</f>
        <v/>
      </c>
      <c r="F15" s="40">
        <f>IF(E15&lt;&gt;"","",ABS(G15))</f>
        <v>0</v>
      </c>
      <c r="G15" s="44"/>
      <c r="H15" s="30"/>
      <c r="I15" s="12" t="e">
        <f t="shared" si="0"/>
        <v>#REF!</v>
      </c>
      <c r="J15" s="41"/>
    </row>
    <row r="53" spans="1:9">
      <c r="A53" t="s">
        <v>1214</v>
      </c>
      <c r="B53" s="30" t="s">
        <v>1249</v>
      </c>
      <c r="I53">
        <v>-10</v>
      </c>
    </row>
    <row r="54" spans="1:9">
      <c r="C54" t="s">
        <v>1217</v>
      </c>
      <c r="E54" t="s">
        <v>1218</v>
      </c>
      <c r="F54" t="s">
        <v>1219</v>
      </c>
      <c r="H54" t="s">
        <v>1220</v>
      </c>
      <c r="I54" t="str">
        <f>"Objectif"</f>
        <v>Objectif</v>
      </c>
    </row>
    <row r="55" spans="1:9">
      <c r="A55" t="str">
        <f>B53&amp;" :P84 EP6FADTXd ATN8"</f>
        <v>ICDV/SIL :P84 EP6FADTXd ATN8</v>
      </c>
      <c r="C55" s="47">
        <v>98</v>
      </c>
      <c r="D55" s="33"/>
      <c r="E55" s="34"/>
      <c r="F55" s="35"/>
      <c r="G55" s="36"/>
      <c r="H55" s="30"/>
      <c r="I55" s="12">
        <f>C55+I53</f>
        <v>88</v>
      </c>
    </row>
    <row r="56" spans="1:9">
      <c r="A56" s="42" t="s">
        <v>1230</v>
      </c>
      <c r="C56" s="43"/>
      <c r="D56" s="38" t="e">
        <f>IF((G56+N56)&gt;0,C55,C55+G56+N56)</f>
        <v>#REF!</v>
      </c>
      <c r="E56" s="39" t="e">
        <f>IF(G56&gt;0,G56,"")</f>
        <v>#REF!</v>
      </c>
      <c r="F56" s="40" t="e">
        <f>IF(E56&lt;&gt;"","",ABS(G56))</f>
        <v>#REF!</v>
      </c>
      <c r="G56" s="46" t="e">
        <f>#REF!</f>
        <v>#REF!</v>
      </c>
      <c r="H56" s="30"/>
      <c r="I56" s="12">
        <f>I55</f>
        <v>88</v>
      </c>
    </row>
    <row r="57" spans="1:9">
      <c r="A57" s="42" t="str">
        <f>B53&amp;" : P64€ EP6 ATN8"&amp;" (Réf)"</f>
        <v>ICDV/SIL : P64€ EP6 ATN8 (Réf)</v>
      </c>
      <c r="C57" s="37" t="e">
        <f>C55+G56</f>
        <v>#REF!</v>
      </c>
      <c r="D57" s="38"/>
      <c r="E57" s="39"/>
      <c r="F57" s="40"/>
      <c r="G57" s="46"/>
      <c r="H57" s="49"/>
      <c r="I57" s="12">
        <f t="shared" ref="I57:I65" si="1">I56</f>
        <v>88</v>
      </c>
    </row>
    <row r="58" spans="1:9">
      <c r="A58" s="42" t="s">
        <v>1222</v>
      </c>
      <c r="C58" s="43"/>
      <c r="D58" s="38" t="e">
        <f>IF(G58&gt;0,C57,C57+G58)</f>
        <v>#REF!</v>
      </c>
      <c r="E58" s="39" t="e">
        <f>IF(G58&gt;0,G58,"")</f>
        <v>#REF!</v>
      </c>
      <c r="F58" s="40" t="e">
        <f>IF(E58&lt;&gt;"","",ABS(G58))</f>
        <v>#REF!</v>
      </c>
      <c r="G58" s="46" t="e">
        <f>#REF!</f>
        <v>#REF!</v>
      </c>
      <c r="H58" s="30"/>
      <c r="I58" s="12">
        <f t="shared" si="1"/>
        <v>88</v>
      </c>
    </row>
    <row r="59" spans="1:9">
      <c r="A59" s="42" t="s">
        <v>1224</v>
      </c>
      <c r="C59" s="43"/>
      <c r="D59" s="38" t="e">
        <f>IF(G58&gt;0,D58+G58+IF(G59&gt;0,0,G59),IF(G59&gt;0,D58,D58+G59))</f>
        <v>#REF!</v>
      </c>
      <c r="E59" s="39" t="e">
        <f>IF(G59&gt;0,G59,"")</f>
        <v>#REF!</v>
      </c>
      <c r="F59" s="40" t="e">
        <f>IF(E59&lt;&gt;"","",ABS(G59))</f>
        <v>#REF!</v>
      </c>
      <c r="G59" s="46" t="e">
        <f>#REF!</f>
        <v>#REF!</v>
      </c>
      <c r="H59" s="30"/>
      <c r="I59" s="12">
        <f t="shared" si="1"/>
        <v>88</v>
      </c>
    </row>
    <row r="60" spans="1:9">
      <c r="A60" s="42" t="str">
        <f>B53&amp;" : P64€ EP6 ATN8"&amp;" (Potentiel)"</f>
        <v>ICDV/SIL : P64€ EP6 ATN8 (Potentiel)</v>
      </c>
      <c r="C60" s="37" t="e">
        <f>SUM(G58:G59)+C57</f>
        <v>#REF!</v>
      </c>
      <c r="D60" s="38"/>
      <c r="E60" s="39"/>
      <c r="F60" s="40"/>
      <c r="G60" s="44"/>
      <c r="H60" s="49"/>
      <c r="I60" s="12">
        <f>I58</f>
        <v>88</v>
      </c>
    </row>
    <row r="61" spans="1:9">
      <c r="A61" s="42" t="s">
        <v>1223</v>
      </c>
      <c r="C61" s="37"/>
      <c r="D61" s="38" t="e">
        <f>IF(G61&gt;0,C60,C60+G61)</f>
        <v>#REF!</v>
      </c>
      <c r="E61" s="39" t="e">
        <f>IF(G61&gt;0,G61,"")</f>
        <v>#REF!</v>
      </c>
      <c r="F61" s="40" t="e">
        <f>IF(E61&lt;&gt;"","",ABS(G61))</f>
        <v>#REF!</v>
      </c>
      <c r="G61" s="46" t="e">
        <f>#REF!</f>
        <v>#REF!</v>
      </c>
      <c r="H61" s="49"/>
      <c r="I61" s="12">
        <f t="shared" si="1"/>
        <v>88</v>
      </c>
    </row>
    <row r="62" spans="1:9">
      <c r="A62" s="42" t="s">
        <v>1226</v>
      </c>
      <c r="C62" s="37"/>
      <c r="D62" s="38" t="e">
        <f>IF(G61&gt;0,D61+G61+IF(G62&gt;0,0,G62),IF(G62&gt;0,D61,D61+G62))</f>
        <v>#REF!</v>
      </c>
      <c r="E62" s="39" t="e">
        <f>IF(G62&gt;0,G62,"")</f>
        <v>#REF!</v>
      </c>
      <c r="F62" s="40" t="e">
        <f>IF(E62&lt;&gt;"","",ABS(G62))</f>
        <v>#REF!</v>
      </c>
      <c r="G62" s="46" t="e">
        <f>#REF!</f>
        <v>#REF!</v>
      </c>
      <c r="H62" s="30"/>
      <c r="I62" s="12">
        <f t="shared" si="1"/>
        <v>88</v>
      </c>
    </row>
    <row r="63" spans="1:9">
      <c r="A63" s="42" t="s">
        <v>1227</v>
      </c>
      <c r="C63" s="37"/>
      <c r="D63" s="38" t="e">
        <f>IF(G62&gt;0,D62+G62+IF(G63&gt;0,0,G63),IF(G63&gt;0,D62,D62+G63))</f>
        <v>#REF!</v>
      </c>
      <c r="E63" s="39" t="e">
        <f>IF(G63&gt;0,G63,"")</f>
        <v>#REF!</v>
      </c>
      <c r="F63" s="40" t="e">
        <f>IF(E63&lt;&gt;"","",ABS(G63))</f>
        <v>#REF!</v>
      </c>
      <c r="G63" s="46" t="e">
        <f>#REF!</f>
        <v>#REF!</v>
      </c>
      <c r="H63" s="30"/>
      <c r="I63" s="12">
        <f t="shared" si="1"/>
        <v>88</v>
      </c>
    </row>
    <row r="64" spans="1:9">
      <c r="A64" s="42" t="str">
        <f>B53&amp;" : P64€ EP6 ATN8"&amp;" (Potentiel Max)"</f>
        <v>ICDV/SIL : P64€ EP6 ATN8 (Potentiel Max)</v>
      </c>
      <c r="C64" s="37" t="e">
        <f>SUM(G61:G63)+C60</f>
        <v>#REF!</v>
      </c>
      <c r="D64" s="38"/>
      <c r="E64" s="39"/>
      <c r="F64" s="40"/>
      <c r="G64" s="44"/>
      <c r="H64" s="30"/>
      <c r="I64" s="12">
        <f t="shared" si="1"/>
        <v>88</v>
      </c>
    </row>
    <row r="65" spans="1:9">
      <c r="A65" s="42"/>
      <c r="C65" s="37"/>
      <c r="D65" s="38" t="e">
        <f>IF(G65&gt;0,C64,C64+G65)</f>
        <v>#REF!</v>
      </c>
      <c r="E65" s="39" t="str">
        <f>IF(G65&gt;0,G65,"")</f>
        <v/>
      </c>
      <c r="F65" s="40">
        <f>IF(E65&lt;&gt;"","",ABS(G65))</f>
        <v>0</v>
      </c>
      <c r="G65" s="44"/>
      <c r="H65" s="30"/>
      <c r="I65" s="12">
        <f t="shared" si="1"/>
        <v>88</v>
      </c>
    </row>
    <row r="91" spans="1:9">
      <c r="A91" t="s">
        <v>1214</v>
      </c>
      <c r="B91" s="30" t="s">
        <v>1250</v>
      </c>
      <c r="I91" s="49">
        <v>-5</v>
      </c>
    </row>
    <row r="92" spans="1:9">
      <c r="C92" t="s">
        <v>1217</v>
      </c>
      <c r="E92" t="s">
        <v>1218</v>
      </c>
      <c r="F92" t="s">
        <v>1219</v>
      </c>
      <c r="H92" t="s">
        <v>1220</v>
      </c>
      <c r="I92" t="s">
        <v>1234</v>
      </c>
    </row>
    <row r="93" spans="1:9">
      <c r="A93" t="str">
        <f>B91&amp;" :P84 EP6FADTXd ATN8"</f>
        <v>DCHM/SIL :P84 EP6FADTXd ATN8</v>
      </c>
      <c r="C93" s="47" t="e">
        <f>SUM(#REF!,#REF!,#REF!)</f>
        <v>#REF!</v>
      </c>
      <c r="D93" s="33"/>
      <c r="E93" s="34"/>
      <c r="F93" s="35"/>
      <c r="G93" s="36"/>
      <c r="H93" s="30"/>
      <c r="I93" s="12" t="e">
        <f>C93+I91</f>
        <v>#REF!</v>
      </c>
    </row>
    <row r="94" spans="1:9">
      <c r="A94" s="42" t="s">
        <v>1230</v>
      </c>
      <c r="C94" s="43"/>
      <c r="D94" s="38" t="e">
        <f>IF(G94&gt;0,C93,C93+G94)</f>
        <v>#REF!</v>
      </c>
      <c r="E94" s="39" t="e">
        <f>IF(G94&gt;0,G94,"")</f>
        <v>#REF!</v>
      </c>
      <c r="F94" s="40" t="e">
        <f>IF(E94&lt;&gt;"","",ABS(G94))</f>
        <v>#REF!</v>
      </c>
      <c r="G94" s="46" t="e">
        <f>#REF!</f>
        <v>#REF!</v>
      </c>
      <c r="H94" s="30"/>
      <c r="I94" s="12" t="e">
        <f t="shared" ref="I94:I102" si="2">I93</f>
        <v>#REF!</v>
      </c>
    </row>
    <row r="95" spans="1:9">
      <c r="A95" s="42" t="str">
        <f>B91&amp;" : P64€ EP6 ATN8"&amp;" (Réf)"</f>
        <v>DCHM/SIL : P64€ EP6 ATN8 (Réf)</v>
      </c>
      <c r="C95" s="37" t="e">
        <f>C93+G94+N94</f>
        <v>#REF!</v>
      </c>
      <c r="D95" s="38"/>
      <c r="E95" s="39" t="str">
        <f>IF(G95&gt;0,G95,"")</f>
        <v/>
      </c>
      <c r="F95" s="40">
        <f>IF(E95&lt;&gt;"","",ABS(G95))</f>
        <v>0</v>
      </c>
      <c r="G95" s="46"/>
      <c r="H95" s="30"/>
      <c r="I95" s="12" t="e">
        <f t="shared" si="2"/>
        <v>#REF!</v>
      </c>
    </row>
    <row r="96" spans="1:9">
      <c r="A96" s="42" t="s">
        <v>1222</v>
      </c>
      <c r="C96" s="43"/>
      <c r="D96" s="38" t="e">
        <f>IF(G96&gt;0,C95,C95+G96)</f>
        <v>#REF!</v>
      </c>
      <c r="E96" s="39" t="e">
        <f>IF(G96&gt;0,G96,"")</f>
        <v>#REF!</v>
      </c>
      <c r="F96" s="40" t="e">
        <f>IF(E96&lt;&gt;"","",ABS(G96))</f>
        <v>#REF!</v>
      </c>
      <c r="G96" s="44" t="e">
        <f>#REF!</f>
        <v>#REF!</v>
      </c>
      <c r="H96" s="30"/>
      <c r="I96" s="12" t="e">
        <f t="shared" si="2"/>
        <v>#REF!</v>
      </c>
    </row>
    <row r="97" spans="1:9">
      <c r="A97" s="42" t="s">
        <v>1224</v>
      </c>
      <c r="C97" s="43"/>
      <c r="D97" s="38" t="e">
        <f>IF(G96&gt;0,D96+G96+IF(G97&gt;0,0,G97),IF(G97&gt;0,D96,D96+G97))</f>
        <v>#REF!</v>
      </c>
      <c r="E97" s="39" t="e">
        <f>IF(G97&gt;0,G97,"")</f>
        <v>#REF!</v>
      </c>
      <c r="F97" s="40" t="e">
        <f>IF(E97&lt;&gt;"","",ABS(G97))</f>
        <v>#REF!</v>
      </c>
      <c r="G97" s="44" t="e">
        <f>#REF!</f>
        <v>#REF!</v>
      </c>
      <c r="H97" s="30"/>
      <c r="I97" s="12" t="e">
        <f t="shared" si="2"/>
        <v>#REF!</v>
      </c>
    </row>
    <row r="98" spans="1:9">
      <c r="A98" s="42" t="str">
        <f>B91&amp;" : P64€ EP6 ATN8"&amp;" (Potentiel)"</f>
        <v>DCHM/SIL : P64€ EP6 ATN8 (Potentiel)</v>
      </c>
      <c r="C98" s="45" t="e">
        <f>C95+SUM(G96:G97)</f>
        <v>#REF!</v>
      </c>
      <c r="D98" s="38"/>
      <c r="E98" s="39" t="e">
        <f>IF(G99&gt;0,G99,"")</f>
        <v>#REF!</v>
      </c>
      <c r="F98" s="40"/>
      <c r="G98" s="46"/>
      <c r="H98" s="30"/>
      <c r="I98" s="12" t="e">
        <f t="shared" si="2"/>
        <v>#REF!</v>
      </c>
    </row>
    <row r="99" spans="1:9">
      <c r="A99" s="42" t="s">
        <v>1223</v>
      </c>
      <c r="C99" s="37"/>
      <c r="D99" s="38" t="e">
        <f>IF((G99+N99)&gt;0,C98,C98+G99+N99)</f>
        <v>#REF!</v>
      </c>
      <c r="E99" s="39" t="e">
        <f>IF(G99&gt;0,G99,"")</f>
        <v>#REF!</v>
      </c>
      <c r="F99" s="40" t="e">
        <f>IF(E99&lt;&gt;"","",ABS(G99))</f>
        <v>#REF!</v>
      </c>
      <c r="G99" s="44" t="e">
        <f>#REF!</f>
        <v>#REF!</v>
      </c>
      <c r="H99" s="30"/>
      <c r="I99" s="12" t="e">
        <f t="shared" si="2"/>
        <v>#REF!</v>
      </c>
    </row>
    <row r="100" spans="1:9">
      <c r="A100" s="42" t="s">
        <v>1226</v>
      </c>
      <c r="C100" s="37"/>
      <c r="D100" s="38" t="e">
        <f>IF((G99+N99)&gt;0,D99+G99+N99+IF((G100+N100)&gt;0,0,G100+N100),IF((G100+N100)&gt;0,D99,D99+G100+N100))</f>
        <v>#REF!</v>
      </c>
      <c r="E100" s="39" t="e">
        <f>IF(G100&gt;0,G100,"")</f>
        <v>#REF!</v>
      </c>
      <c r="F100" s="40" t="e">
        <f>IF(E100&lt;&gt;"","",ABS(G100))</f>
        <v>#REF!</v>
      </c>
      <c r="G100" s="44" t="e">
        <f>#REF!</f>
        <v>#REF!</v>
      </c>
      <c r="H100" s="30"/>
      <c r="I100" s="12" t="e">
        <f t="shared" si="2"/>
        <v>#REF!</v>
      </c>
    </row>
    <row r="101" spans="1:9">
      <c r="A101" s="42" t="s">
        <v>1227</v>
      </c>
      <c r="C101" s="37"/>
      <c r="D101" s="38" t="e">
        <f>IF((G100+N100)&gt;0,D100+G100+N100+IF((G101+N101)&gt;0,0,G101+N101),IF((G101+N101)&gt;0,D100,D100+G101+N101))</f>
        <v>#REF!</v>
      </c>
      <c r="E101" s="39" t="e">
        <f>IF(G101&gt;0,G101,"")</f>
        <v>#REF!</v>
      </c>
      <c r="F101" s="40" t="e">
        <f>IF(E101&lt;&gt;"","",ABS(G101))</f>
        <v>#REF!</v>
      </c>
      <c r="G101" s="44" t="e">
        <f>#REF!</f>
        <v>#REF!</v>
      </c>
      <c r="H101" s="30"/>
      <c r="I101" s="12" t="e">
        <f t="shared" si="2"/>
        <v>#REF!</v>
      </c>
    </row>
    <row r="102" spans="1:9">
      <c r="A102" s="42" t="str">
        <f>B91&amp;" : P64€ EP6 ATN8"&amp;" (Potentiel Max)"</f>
        <v>DCHM/SIL : P64€ EP6 ATN8 (Potentiel Max)</v>
      </c>
      <c r="C102" s="45" t="e">
        <f>C98+SUM(G99:G101)</f>
        <v>#REF!</v>
      </c>
      <c r="D102" s="38"/>
      <c r="E102" s="39"/>
      <c r="F102" s="40"/>
      <c r="G102" s="44"/>
      <c r="H102" s="30"/>
      <c r="I102" s="12" t="e">
        <f t="shared" si="2"/>
        <v>#REF!</v>
      </c>
    </row>
    <row r="128" spans="1:9">
      <c r="A128" t="s">
        <v>1214</v>
      </c>
      <c r="B128" s="30" t="s">
        <v>1239</v>
      </c>
      <c r="I128" s="12">
        <f>'[6]A3 P51€'!K113+'[6]A3 P51€'!K112</f>
        <v>1.5</v>
      </c>
    </row>
    <row r="129" spans="1:15">
      <c r="C129" t="s">
        <v>1217</v>
      </c>
      <c r="E129" t="s">
        <v>1218</v>
      </c>
      <c r="F129" t="s">
        <v>1219</v>
      </c>
      <c r="I129" t="str">
        <f>"Objectif "&amp;ROUND(I130,0)&amp;" kg"</f>
        <v>Objectif 160 kg</v>
      </c>
      <c r="L129" t="s">
        <v>1242</v>
      </c>
      <c r="M129" t="s">
        <v>1243</v>
      </c>
      <c r="N129" t="s">
        <v>1244</v>
      </c>
      <c r="O129" t="s">
        <v>1245</v>
      </c>
    </row>
    <row r="130" spans="1:15">
      <c r="A130" t="str">
        <f>B128&amp;" : T9 EB2ADTS MB6 STTd niv2"</f>
        <v>SCEG (hors BVH) : T9 EB2ADTS MB6 STTd niv2</v>
      </c>
      <c r="C130" s="47">
        <f>'[6]A3 P51€'!C113+'[6]A3 P51€'!C112</f>
        <v>158.00650000000005</v>
      </c>
      <c r="D130" s="33"/>
      <c r="E130" s="34"/>
      <c r="F130" s="35"/>
      <c r="G130" s="36"/>
      <c r="H130" s="30"/>
      <c r="I130" s="12">
        <f>C130+I128</f>
        <v>159.50650000000005</v>
      </c>
      <c r="J130" s="12"/>
      <c r="L130" s="48"/>
      <c r="M130" s="48"/>
      <c r="N130" s="36"/>
    </row>
    <row r="131" spans="1:15">
      <c r="A131" s="42" t="s">
        <v>1230</v>
      </c>
      <c r="C131" s="43"/>
      <c r="D131" s="38" t="e">
        <f>IF((G131+N131)&gt;0,C130,C130+G131+N131)</f>
        <v>#REF!</v>
      </c>
      <c r="E131" s="39" t="e">
        <f>IF(G131&gt;0,G131,"")</f>
        <v>#REF!</v>
      </c>
      <c r="F131" s="40" t="e">
        <f>IF(E131&lt;&gt;"","",ABS(G131))</f>
        <v>#REF!</v>
      </c>
      <c r="G131" s="44" t="e">
        <f>'[6]A3 P51€'!C140-'[6]A3 P51€'!C141</f>
        <v>#REF!</v>
      </c>
      <c r="H131" s="30"/>
      <c r="I131" s="12">
        <f>I130</f>
        <v>159.50650000000005</v>
      </c>
      <c r="J131" s="12"/>
      <c r="L131" s="39" t="str">
        <f>IF(N131&gt;0,N131,"")</f>
        <v/>
      </c>
      <c r="M131" s="40">
        <f>IF(L131&lt;&gt;"","",ABS(N131))</f>
        <v>0</v>
      </c>
      <c r="N131" s="46"/>
    </row>
    <row r="132" spans="1:15">
      <c r="A132" s="42" t="str">
        <f>B128&amp;" : P5 EB2ADTS MB6 STTd"&amp;" (Réf)"</f>
        <v>SCEG (hors BVH) : P5 EB2ADTS MB6 STTd (Réf)</v>
      </c>
      <c r="C132" s="45" t="e">
        <f>C130+G131+N131</f>
        <v>#REF!</v>
      </c>
      <c r="D132" s="38"/>
      <c r="E132" s="39" t="str">
        <f>IF(G132&gt;0,G132,"")</f>
        <v/>
      </c>
      <c r="F132" s="40">
        <f>IF(E132&lt;&gt;"","",ABS(G132))</f>
        <v>0</v>
      </c>
      <c r="G132" s="46"/>
      <c r="H132" s="30"/>
      <c r="I132" s="12">
        <f t="shared" ref="I132:I139" si="3">I131</f>
        <v>159.50650000000005</v>
      </c>
      <c r="J132" s="12"/>
      <c r="L132" s="50"/>
      <c r="M132" s="50"/>
      <c r="N132" s="46"/>
    </row>
    <row r="133" spans="1:15">
      <c r="A133" s="42" t="s">
        <v>1222</v>
      </c>
      <c r="C133" s="43"/>
      <c r="D133" s="38" t="e">
        <f>IF((G133+N133)&gt;0,C132,C132+G133+N133)</f>
        <v>#REF!</v>
      </c>
      <c r="E133" s="39" t="e">
        <f>IF(G133&gt;0,G133,"")</f>
        <v>#REF!</v>
      </c>
      <c r="F133" s="40" t="e">
        <f>IF(E133&lt;&gt;"","",ABS(G133))</f>
        <v>#REF!</v>
      </c>
      <c r="G133" s="46" t="e">
        <f>'[6]A3 P51€'!E140-'[6]A3 P51€'!E141</f>
        <v>#REF!</v>
      </c>
      <c r="H133" s="30"/>
      <c r="I133" s="12">
        <f t="shared" si="3"/>
        <v>159.50650000000005</v>
      </c>
      <c r="J133" s="12"/>
      <c r="L133" s="39" t="str">
        <f>IF(N133&gt;0,N133,"")</f>
        <v/>
      </c>
      <c r="M133" s="40">
        <f>IF(L133&lt;&gt;"","",ABS(N133))</f>
        <v>0</v>
      </c>
      <c r="N133" s="44"/>
    </row>
    <row r="134" spans="1:15">
      <c r="A134" s="42" t="str">
        <f>B128&amp;" : P5 EB2ADTS MB6 STTd  (prévisionnel)"</f>
        <v>SCEG (hors BVH) : P5 EB2ADTS MB6 STTd  (prévisionnel)</v>
      </c>
      <c r="C134" s="45" t="e">
        <f>C132+SUM(G133:G133)</f>
        <v>#REF!</v>
      </c>
      <c r="D134" s="38"/>
      <c r="E134" s="39" t="str">
        <f t="shared" ref="E134:E139" si="4">IF(G134&gt;0,G134,"")</f>
        <v/>
      </c>
      <c r="F134" s="40">
        <f t="shared" ref="F134:F139" si="5">IF(E134&lt;&gt;"","",ABS(G134))</f>
        <v>0</v>
      </c>
      <c r="G134" s="46"/>
      <c r="H134" s="30"/>
      <c r="I134" s="12">
        <f t="shared" si="3"/>
        <v>159.50650000000005</v>
      </c>
      <c r="L134" s="39" t="str">
        <f>IF(N134&gt;0,N134,"")</f>
        <v/>
      </c>
      <c r="M134" s="40">
        <f>IF(L134&lt;&gt;"","",ABS(N134))</f>
        <v>0</v>
      </c>
      <c r="N134" s="46"/>
    </row>
    <row r="135" spans="1:15">
      <c r="A135" s="42" t="s">
        <v>1223</v>
      </c>
      <c r="C135" s="37"/>
      <c r="D135" s="38" t="e">
        <f>IF((G135+N135)&gt;0,C134,C134+G135+N135)</f>
        <v>#REF!</v>
      </c>
      <c r="E135" s="39" t="e">
        <f t="shared" si="4"/>
        <v>#REF!</v>
      </c>
      <c r="F135" s="40" t="e">
        <f t="shared" si="5"/>
        <v>#REF!</v>
      </c>
      <c r="G135" s="46" t="e">
        <f>'[6]A3 P51€'!F140-'[6]A3 P51€'!F141</f>
        <v>#REF!</v>
      </c>
      <c r="H135" s="30"/>
      <c r="I135" s="12">
        <f t="shared" si="3"/>
        <v>159.50650000000005</v>
      </c>
      <c r="J135" s="12"/>
      <c r="L135" s="50"/>
      <c r="M135" s="50"/>
      <c r="N135" s="46"/>
    </row>
    <row r="136" spans="1:15">
      <c r="A136" s="42" t="s">
        <v>1226</v>
      </c>
      <c r="C136" s="37"/>
      <c r="D136" s="38" t="e">
        <f>IF((G135+N135)&gt;0,D135+G135+N135+IF((G136+N136)&gt;0,0,G136+N136),IF((G136+N136)&gt;0,D135,D135+G136+N136))</f>
        <v>#REF!</v>
      </c>
      <c r="E136" s="39" t="e">
        <f t="shared" si="4"/>
        <v>#REF!</v>
      </c>
      <c r="F136" s="40" t="e">
        <f t="shared" si="5"/>
        <v>#REF!</v>
      </c>
      <c r="G136" s="46" t="e">
        <f>'[6]A3 P51€'!H140-'[6]A3 P51€'!H141</f>
        <v>#REF!</v>
      </c>
      <c r="H136" s="30"/>
      <c r="I136" s="12">
        <f t="shared" si="3"/>
        <v>159.50650000000005</v>
      </c>
      <c r="J136" s="12"/>
      <c r="L136" s="39" t="str">
        <f>IF(N136&gt;0,N136,"")</f>
        <v/>
      </c>
      <c r="M136" s="40">
        <f>IF(L136&lt;&gt;"","",ABS(N136))</f>
        <v>0</v>
      </c>
      <c r="N136" s="44"/>
    </row>
    <row r="137" spans="1:15">
      <c r="A137" s="42" t="s">
        <v>1240</v>
      </c>
      <c r="C137" s="37"/>
      <c r="D137" s="38" t="e">
        <f>IF((G136+N136)&gt;0,D136+G136+N136+IF((G137+N137)&gt;0,0,G137+N137),IF((G137+N137)&gt;0,D136,D136+G137+N137))</f>
        <v>#REF!</v>
      </c>
      <c r="E137" s="39" t="e">
        <f t="shared" si="4"/>
        <v>#REF!</v>
      </c>
      <c r="F137" s="40" t="e">
        <f t="shared" si="5"/>
        <v>#REF!</v>
      </c>
      <c r="G137" s="46" t="e">
        <f>'[6]A3 P51€'!I140-'[6]A3 P51€'!I141</f>
        <v>#REF!</v>
      </c>
      <c r="H137" s="30"/>
      <c r="I137" s="12">
        <f t="shared" si="3"/>
        <v>159.50650000000005</v>
      </c>
      <c r="J137" s="12"/>
      <c r="L137" s="39"/>
      <c r="M137" s="40"/>
      <c r="N137" s="44"/>
    </row>
    <row r="138" spans="1:15">
      <c r="A138" t="str">
        <f>B128&amp;" : P5 EB2ADTS MB6 STTd  (Potentiel)"</f>
        <v>SCEG (hors BVH) : P5 EB2ADTS MB6 STTd  (Potentiel)</v>
      </c>
      <c r="C138" s="37" t="e">
        <f>C134+SUM(G135:G137)</f>
        <v>#REF!</v>
      </c>
      <c r="D138" s="38"/>
      <c r="E138" s="39" t="str">
        <f t="shared" si="4"/>
        <v/>
      </c>
      <c r="F138" s="40">
        <f t="shared" si="5"/>
        <v>0</v>
      </c>
      <c r="G138" s="46"/>
      <c r="H138" s="30"/>
      <c r="I138" s="12">
        <f t="shared" si="3"/>
        <v>159.50650000000005</v>
      </c>
      <c r="J138" s="12"/>
      <c r="L138" s="50"/>
      <c r="M138" s="50"/>
      <c r="N138" s="44"/>
    </row>
    <row r="139" spans="1:15">
      <c r="A139" s="42"/>
      <c r="C139" s="37"/>
      <c r="D139" s="38"/>
      <c r="E139" s="39" t="str">
        <f t="shared" si="4"/>
        <v/>
      </c>
      <c r="F139" s="40">
        <f t="shared" si="5"/>
        <v>0</v>
      </c>
      <c r="G139" s="46"/>
      <c r="H139" s="30"/>
      <c r="I139" s="12">
        <f t="shared" si="3"/>
        <v>159.50650000000005</v>
      </c>
      <c r="J139" s="12"/>
      <c r="L139" s="39" t="str">
        <f>IF(N139&gt;0,N139,"")</f>
        <v/>
      </c>
      <c r="M139" s="40">
        <f>IF(L139&lt;&gt;"","",ABS(N139))</f>
        <v>0</v>
      </c>
      <c r="N139" s="46"/>
    </row>
    <row r="165" spans="1:15">
      <c r="A165" t="s">
        <v>1214</v>
      </c>
      <c r="B165" s="30" t="s">
        <v>1241</v>
      </c>
      <c r="I165" s="12" t="e">
        <f>'[6]A3 P51€'!K106-'[6]A3 P51€'!K107</f>
        <v>#REF!</v>
      </c>
    </row>
    <row r="166" spans="1:15">
      <c r="C166" t="s">
        <v>1217</v>
      </c>
      <c r="E166" t="s">
        <v>1218</v>
      </c>
      <c r="F166" t="s">
        <v>1219</v>
      </c>
      <c r="I166" t="e">
        <f>"Objectif "&amp;ROUND(I167,0)&amp;" kg"</f>
        <v>#REF!</v>
      </c>
      <c r="L166" t="s">
        <v>1242</v>
      </c>
      <c r="M166" t="s">
        <v>1243</v>
      </c>
      <c r="N166" t="s">
        <v>1244</v>
      </c>
      <c r="O166" t="s">
        <v>1245</v>
      </c>
    </row>
    <row r="167" spans="1:15">
      <c r="A167" t="str">
        <f>B165&amp;" : T9 EB2ADTS MB6 STTd niv2"</f>
        <v>SOEE (hors BVH) : T9 EB2ADTS MB6 STTd niv2</v>
      </c>
      <c r="C167" s="47">
        <f>'[6]A3 P51€'!C106-'[6]A3 P51€'!C107</f>
        <v>181.09970000000001</v>
      </c>
      <c r="D167" s="33"/>
      <c r="E167" s="34"/>
      <c r="F167" s="35"/>
      <c r="G167" s="36"/>
      <c r="H167" s="30"/>
      <c r="I167" s="12" t="e">
        <f>C167+I165</f>
        <v>#REF!</v>
      </c>
      <c r="J167" s="12"/>
      <c r="L167" s="48"/>
      <c r="M167" s="48"/>
      <c r="N167" s="36"/>
    </row>
    <row r="168" spans="1:15">
      <c r="A168" s="42" t="s">
        <v>1230</v>
      </c>
      <c r="C168" s="43"/>
      <c r="D168" s="38" t="e">
        <f>IF((G168+N168)&gt;0,C167,C167+G168+N168)</f>
        <v>#REF!</v>
      </c>
      <c r="E168" s="39" t="e">
        <f>IF(G168&gt;0,G168,"")</f>
        <v>#REF!</v>
      </c>
      <c r="F168" s="40" t="e">
        <f>IF(E168&lt;&gt;"","",ABS(G168))</f>
        <v>#REF!</v>
      </c>
      <c r="G168" s="44" t="e">
        <f>'[6]A3 P51€'!C136-'[6]A3 P51€'!C137</f>
        <v>#REF!</v>
      </c>
      <c r="H168" s="30"/>
      <c r="I168" s="12" t="e">
        <f>I167</f>
        <v>#REF!</v>
      </c>
      <c r="J168" s="12"/>
      <c r="L168" s="39" t="str">
        <f>IF(N168&gt;0,N168,"")</f>
        <v/>
      </c>
      <c r="M168" s="40">
        <f>IF(L168&lt;&gt;"","",ABS(N168))</f>
        <v>0</v>
      </c>
      <c r="N168" s="46"/>
    </row>
    <row r="169" spans="1:15">
      <c r="A169" s="42" t="str">
        <f>B165&amp;" : P5 EB2ADTS MB6 STTd"&amp;" (Réf)"</f>
        <v>SOEE (hors BVH) : P5 EB2ADTS MB6 STTd (Réf)</v>
      </c>
      <c r="C169" s="45" t="e">
        <f>C167+G168+N168</f>
        <v>#REF!</v>
      </c>
      <c r="D169" s="38"/>
      <c r="E169" s="39" t="str">
        <f>IF(G169&gt;0,G169,"")</f>
        <v/>
      </c>
      <c r="F169" s="40">
        <f>IF(E169&lt;&gt;"","",ABS(G169))</f>
        <v>0</v>
      </c>
      <c r="G169" s="46"/>
      <c r="H169" s="30"/>
      <c r="I169" s="12" t="e">
        <f t="shared" ref="I169:I176" si="6">I168</f>
        <v>#REF!</v>
      </c>
      <c r="J169" s="12"/>
      <c r="L169" s="50"/>
      <c r="M169" s="50"/>
      <c r="N169" s="46"/>
    </row>
    <row r="170" spans="1:15">
      <c r="A170" s="42" t="s">
        <v>1222</v>
      </c>
      <c r="C170" s="43"/>
      <c r="D170" s="38" t="e">
        <f>IF((G170+N170)&gt;0,C169,C169+G170+N170)</f>
        <v>#REF!</v>
      </c>
      <c r="E170" s="39" t="e">
        <f>IF(G170&gt;0,G170,"")</f>
        <v>#REF!</v>
      </c>
      <c r="F170" s="40" t="e">
        <f>IF(E170&lt;&gt;"","",ABS(G170))</f>
        <v>#REF!</v>
      </c>
      <c r="G170" s="46" t="e">
        <f>'[6]A3 P51€'!E136-'[6]A3 P51€'!E137</f>
        <v>#REF!</v>
      </c>
      <c r="H170" s="30"/>
      <c r="I170" s="12" t="e">
        <f t="shared" si="6"/>
        <v>#REF!</v>
      </c>
      <c r="J170" s="12"/>
      <c r="L170" s="39" t="str">
        <f>IF(N170&gt;0,N170,"")</f>
        <v/>
      </c>
      <c r="M170" s="40">
        <f>IF(L170&lt;&gt;"","",ABS(N170))</f>
        <v>0</v>
      </c>
      <c r="N170" s="44"/>
    </row>
    <row r="171" spans="1:15">
      <c r="A171" s="42" t="str">
        <f>B165&amp;" : P5 EB2ADTS MB6 STTd  (prévisionnel)"</f>
        <v>SOEE (hors BVH) : P5 EB2ADTS MB6 STTd  (prévisionnel)</v>
      </c>
      <c r="C171" s="45" t="e">
        <f>C169+SUM(G170:G170)</f>
        <v>#REF!</v>
      </c>
      <c r="D171" s="38"/>
      <c r="E171" s="39" t="str">
        <f t="shared" ref="E171:E176" si="7">IF(G171&gt;0,G171,"")</f>
        <v/>
      </c>
      <c r="F171" s="40">
        <f t="shared" ref="F171:F176" si="8">IF(E171&lt;&gt;"","",ABS(G171))</f>
        <v>0</v>
      </c>
      <c r="G171" s="46"/>
      <c r="H171" s="30"/>
      <c r="I171" s="12" t="e">
        <f t="shared" si="6"/>
        <v>#REF!</v>
      </c>
      <c r="L171" s="39" t="str">
        <f>IF(N171&gt;0,N171,"")</f>
        <v/>
      </c>
      <c r="M171" s="40">
        <f>IF(L171&lt;&gt;"","",ABS(N171))</f>
        <v>0</v>
      </c>
      <c r="N171" s="46"/>
    </row>
    <row r="172" spans="1:15">
      <c r="A172" s="42" t="s">
        <v>1223</v>
      </c>
      <c r="C172" s="37"/>
      <c r="D172" s="38" t="e">
        <f>IF((G172+N172)&gt;0,C171,C171+G172+N172)</f>
        <v>#REF!</v>
      </c>
      <c r="E172" s="39" t="e">
        <f t="shared" si="7"/>
        <v>#REF!</v>
      </c>
      <c r="F172" s="40" t="e">
        <f t="shared" si="8"/>
        <v>#REF!</v>
      </c>
      <c r="G172" s="46" t="e">
        <f>'[6]A3 P51€'!F136-'[6]A3 P51€'!F137</f>
        <v>#REF!</v>
      </c>
      <c r="H172" s="30"/>
      <c r="I172" s="12" t="e">
        <f t="shared" si="6"/>
        <v>#REF!</v>
      </c>
      <c r="J172" s="12"/>
      <c r="L172" s="50"/>
      <c r="M172" s="50"/>
      <c r="N172" s="46"/>
    </row>
    <row r="173" spans="1:15">
      <c r="A173" s="42" t="s">
        <v>1226</v>
      </c>
      <c r="C173" s="37"/>
      <c r="D173" s="38" t="e">
        <f>IF((G172+N172)&gt;0,D172+G172+N172+IF((G173+N173)&gt;0,0,G173+N173),IF((G173+N173)&gt;0,D172,D172+G173+N173))</f>
        <v>#REF!</v>
      </c>
      <c r="E173" s="39" t="e">
        <f t="shared" si="7"/>
        <v>#REF!</v>
      </c>
      <c r="F173" s="40" t="e">
        <f t="shared" si="8"/>
        <v>#REF!</v>
      </c>
      <c r="G173" s="44" t="e">
        <f>'[6]A3 P51€'!H136-'[6]A3 P51€'!H137</f>
        <v>#REF!</v>
      </c>
      <c r="H173" s="30"/>
      <c r="I173" s="12" t="e">
        <f t="shared" si="6"/>
        <v>#REF!</v>
      </c>
      <c r="J173" s="12"/>
      <c r="L173" s="39" t="str">
        <f>IF(N173&gt;0,N173,"")</f>
        <v/>
      </c>
      <c r="M173" s="40">
        <f>IF(L173&lt;&gt;"","",ABS(N173))</f>
        <v>0</v>
      </c>
      <c r="N173" s="44"/>
    </row>
    <row r="174" spans="1:15">
      <c r="A174" s="42" t="s">
        <v>1240</v>
      </c>
      <c r="C174" s="37"/>
      <c r="D174" s="38" t="e">
        <f>IF((G173+N173)&gt;0,D173+G173+N173+IF((G174+N174)&gt;0,0,G174+N174),IF((G174+N174)&gt;0,D173,D173+G174+N174))</f>
        <v>#REF!</v>
      </c>
      <c r="E174" s="39" t="e">
        <f t="shared" si="7"/>
        <v>#REF!</v>
      </c>
      <c r="F174" s="40" t="e">
        <f t="shared" si="8"/>
        <v>#REF!</v>
      </c>
      <c r="G174" s="46" t="e">
        <f>'[6]A3 P51€'!I136-'[6]A3 P51€'!I137</f>
        <v>#REF!</v>
      </c>
      <c r="H174" s="30"/>
      <c r="I174" s="12" t="e">
        <f t="shared" si="6"/>
        <v>#REF!</v>
      </c>
      <c r="J174" s="12"/>
      <c r="L174" s="39"/>
      <c r="M174" s="40"/>
      <c r="N174" s="44"/>
    </row>
    <row r="175" spans="1:15">
      <c r="A175" t="str">
        <f>B165&amp;" : P5 EB2ADTS MB6 STTd  (Potentiel)"</f>
        <v>SOEE (hors BVH) : P5 EB2ADTS MB6 STTd  (Potentiel)</v>
      </c>
      <c r="C175" s="37" t="e">
        <f>C171+SUM(G172:G174)</f>
        <v>#REF!</v>
      </c>
      <c r="D175" s="38"/>
      <c r="E175" s="39" t="str">
        <f t="shared" si="7"/>
        <v/>
      </c>
      <c r="F175" s="40">
        <f t="shared" si="8"/>
        <v>0</v>
      </c>
      <c r="G175" s="46"/>
      <c r="H175" s="30"/>
      <c r="I175" s="12" t="e">
        <f t="shared" si="6"/>
        <v>#REF!</v>
      </c>
      <c r="J175" s="12"/>
      <c r="L175" s="50"/>
      <c r="M175" s="50"/>
      <c r="N175" s="44"/>
    </row>
    <row r="176" spans="1:15">
      <c r="A176" s="42"/>
      <c r="C176" s="37"/>
      <c r="D176" s="38"/>
      <c r="E176" s="39" t="str">
        <f t="shared" si="7"/>
        <v/>
      </c>
      <c r="F176" s="40">
        <f t="shared" si="8"/>
        <v>0</v>
      </c>
      <c r="G176" s="46"/>
      <c r="H176" s="30"/>
      <c r="I176" s="12" t="e">
        <f t="shared" si="6"/>
        <v>#REF!</v>
      </c>
      <c r="J176" s="12"/>
      <c r="L176" s="39" t="str">
        <f>IF(N176&gt;0,N176,"")</f>
        <v/>
      </c>
      <c r="M176" s="40">
        <f>IF(L176&lt;&gt;"","",ABS(N176))</f>
        <v>0</v>
      </c>
      <c r="N176" s="46"/>
    </row>
    <row r="202" spans="1:15">
      <c r="A202" t="s">
        <v>1214</v>
      </c>
      <c r="B202" s="30" t="s">
        <v>1246</v>
      </c>
      <c r="I202" s="12" t="e">
        <f>'[6]A3 P51€'!K114-'[6]A3 P51€'!K115</f>
        <v>#REF!</v>
      </c>
    </row>
    <row r="203" spans="1:15">
      <c r="C203" t="s">
        <v>1217</v>
      </c>
      <c r="E203" t="s">
        <v>1218</v>
      </c>
      <c r="F203" t="s">
        <v>1219</v>
      </c>
      <c r="I203" t="e">
        <f>"Objectif "&amp;ROUND(I204,0)&amp;" kg"</f>
        <v>#REF!</v>
      </c>
      <c r="L203" t="s">
        <v>1242</v>
      </c>
      <c r="M203" t="s">
        <v>1243</v>
      </c>
      <c r="N203" t="s">
        <v>1244</v>
      </c>
      <c r="O203" t="s">
        <v>1245</v>
      </c>
    </row>
    <row r="204" spans="1:15">
      <c r="A204" t="str">
        <f>B202&amp;" : T9 EB2ADTS MB6 STTd niv2"</f>
        <v>SPCS (hors BVH) : T9 EB2ADTS MB6 STTd niv2</v>
      </c>
      <c r="C204" s="32">
        <f>'[6]A3 P51€'!C114-'[6]A3 P51€'!C115</f>
        <v>88.845399999999998</v>
      </c>
      <c r="D204" s="33"/>
      <c r="E204" s="34"/>
      <c r="F204" s="35"/>
      <c r="G204" s="36"/>
      <c r="H204" s="30"/>
      <c r="I204" s="12" t="e">
        <f>C204+I202</f>
        <v>#REF!</v>
      </c>
      <c r="J204" s="12"/>
      <c r="L204" s="48"/>
      <c r="M204" s="48"/>
      <c r="N204" s="36"/>
    </row>
    <row r="205" spans="1:15">
      <c r="A205" s="42" t="s">
        <v>1230</v>
      </c>
      <c r="C205" s="43"/>
      <c r="D205" s="38" t="e">
        <f>IF((G205+N205)&gt;0,C204,C204+G205+N205)</f>
        <v>#REF!</v>
      </c>
      <c r="E205" s="39" t="e">
        <f>IF(G205&gt;0,G205,"")</f>
        <v>#REF!</v>
      </c>
      <c r="F205" s="40" t="e">
        <f>IF(E205&lt;&gt;"","",ABS(G205))</f>
        <v>#REF!</v>
      </c>
      <c r="G205" s="46" t="e">
        <f>'[6]A3 P51€'!C144-'[6]A3 P51€'!C145</f>
        <v>#REF!</v>
      </c>
      <c r="H205" s="30"/>
      <c r="I205" s="12" t="e">
        <f>I204</f>
        <v>#REF!</v>
      </c>
      <c r="J205" s="12"/>
      <c r="L205" s="39" t="str">
        <f>IF(N205&gt;0,N205,"")</f>
        <v/>
      </c>
      <c r="M205" s="40">
        <f>IF(L205&lt;&gt;"","",ABS(N205))</f>
        <v>0</v>
      </c>
      <c r="N205" s="46"/>
    </row>
    <row r="206" spans="1:15">
      <c r="A206" s="42" t="str">
        <f>B202&amp;" : P5 EB2ADTS MB6 STTd"&amp;" (Réf)"</f>
        <v>SPCS (hors BVH) : P5 EB2ADTS MB6 STTd (Réf)</v>
      </c>
      <c r="C206" s="37" t="e">
        <f>C204+G205+N205</f>
        <v>#REF!</v>
      </c>
      <c r="D206" s="38"/>
      <c r="E206" s="39" t="str">
        <f>IF(G206&gt;0,G206,"")</f>
        <v/>
      </c>
      <c r="F206" s="40">
        <f>IF(E206&lt;&gt;"","",ABS(G206))</f>
        <v>0</v>
      </c>
      <c r="G206" s="46"/>
      <c r="H206" s="30"/>
      <c r="I206" s="12" t="e">
        <f t="shared" ref="I206:I213" si="9">I205</f>
        <v>#REF!</v>
      </c>
      <c r="J206" s="12"/>
      <c r="L206" s="50"/>
      <c r="M206" s="50"/>
      <c r="N206" s="46"/>
    </row>
    <row r="207" spans="1:15">
      <c r="A207" s="42" t="s">
        <v>1222</v>
      </c>
      <c r="C207" s="43"/>
      <c r="D207" s="38" t="e">
        <f>IF((G207+N207)&gt;0,C206,C206+G207+N207)</f>
        <v>#REF!</v>
      </c>
      <c r="E207" s="39" t="e">
        <f>IF(G207&gt;0,G207,"")</f>
        <v>#REF!</v>
      </c>
      <c r="F207" s="40" t="e">
        <f>IF(E207&lt;&gt;"","",ABS(G207))</f>
        <v>#REF!</v>
      </c>
      <c r="G207" s="44" t="e">
        <f>'[6]A3 P51€'!E144-'[6]A3 P51€'!E145</f>
        <v>#REF!</v>
      </c>
      <c r="H207" s="30"/>
      <c r="I207" s="12" t="e">
        <f t="shared" si="9"/>
        <v>#REF!</v>
      </c>
      <c r="J207" s="12"/>
      <c r="L207" s="39" t="str">
        <f>IF(N207&gt;0,N207,"")</f>
        <v/>
      </c>
      <c r="M207" s="40">
        <f>IF(L207&lt;&gt;"","",ABS(N207))</f>
        <v>0</v>
      </c>
      <c r="N207" s="44"/>
    </row>
    <row r="208" spans="1:15">
      <c r="A208" s="42" t="str">
        <f>B202&amp;" : P5 EB2ADTS MB6 STTd  (prévisionnel)"</f>
        <v>SPCS (hors BVH) : P5 EB2ADTS MB6 STTd  (prévisionnel)</v>
      </c>
      <c r="C208" s="45" t="e">
        <f>C206+SUM(G207:G207)</f>
        <v>#REF!</v>
      </c>
      <c r="D208" s="38"/>
      <c r="E208" s="39" t="str">
        <f t="shared" ref="E208:E213" si="10">IF(G208&gt;0,G208,"")</f>
        <v/>
      </c>
      <c r="F208" s="40">
        <f t="shared" ref="F208:F213" si="11">IF(E208&lt;&gt;"","",ABS(G208))</f>
        <v>0</v>
      </c>
      <c r="G208" s="46"/>
      <c r="H208" s="30"/>
      <c r="I208" s="12" t="e">
        <f t="shared" si="9"/>
        <v>#REF!</v>
      </c>
      <c r="J208" s="12"/>
      <c r="L208" s="39" t="str">
        <f>IF(N208&gt;0,N208,"")</f>
        <v/>
      </c>
      <c r="M208" s="40">
        <f>IF(L208&lt;&gt;"","",ABS(N208))</f>
        <v>0</v>
      </c>
      <c r="N208" s="46"/>
    </row>
    <row r="209" spans="1:13">
      <c r="A209" s="42" t="s">
        <v>1223</v>
      </c>
      <c r="C209" s="37"/>
      <c r="D209" s="38" t="e">
        <f>IF((G209+N209)&gt;0,C208,C208+G209+N209)</f>
        <v>#REF!</v>
      </c>
      <c r="E209" s="39" t="e">
        <f t="shared" si="10"/>
        <v>#REF!</v>
      </c>
      <c r="F209" s="40" t="e">
        <f t="shared" si="11"/>
        <v>#REF!</v>
      </c>
      <c r="G209" s="46" t="e">
        <f>'[6]A3 P51€'!F144-'[6]A3 P51€'!F145</f>
        <v>#REF!</v>
      </c>
      <c r="H209" s="30"/>
      <c r="I209" s="12" t="e">
        <f t="shared" si="9"/>
        <v>#REF!</v>
      </c>
      <c r="J209" s="12"/>
      <c r="L209" s="50"/>
      <c r="M209" s="50"/>
    </row>
    <row r="210" spans="1:13">
      <c r="A210" s="42" t="s">
        <v>1226</v>
      </c>
      <c r="C210" s="37"/>
      <c r="D210" s="38" t="e">
        <f>IF((G209+N209)&gt;0,D209+G209+N209+IF((G210+N210)&gt;0,0,G210+N210),IF((G210+N210)&gt;0,D209,D209+G210+N210))</f>
        <v>#REF!</v>
      </c>
      <c r="E210" s="39" t="e">
        <f t="shared" si="10"/>
        <v>#REF!</v>
      </c>
      <c r="F210" s="40" t="e">
        <f t="shared" si="11"/>
        <v>#REF!</v>
      </c>
      <c r="G210" s="44" t="e">
        <f>'[6]A3 P51€'!H144-'[6]A3 P51€'!H145</f>
        <v>#REF!</v>
      </c>
      <c r="H210" s="30"/>
      <c r="I210" s="12" t="e">
        <f t="shared" si="9"/>
        <v>#REF!</v>
      </c>
      <c r="J210" s="12"/>
      <c r="L210" s="39" t="str">
        <f>IF(N210&gt;0,N210,"")</f>
        <v/>
      </c>
      <c r="M210" s="40">
        <f>IF(L210&lt;&gt;"","",ABS(N210))</f>
        <v>0</v>
      </c>
    </row>
    <row r="211" spans="1:13">
      <c r="A211" s="42" t="s">
        <v>1240</v>
      </c>
      <c r="C211" s="37"/>
      <c r="D211" s="38" t="e">
        <f>IF((G210+N210)&gt;0,D210+G210+N210+IF((G211+N211)&gt;0,0,G211+N211),IF((G211+N211)&gt;0,D210,D210+G211+N211))</f>
        <v>#REF!</v>
      </c>
      <c r="E211" s="39" t="e">
        <f t="shared" si="10"/>
        <v>#REF!</v>
      </c>
      <c r="F211" s="40" t="e">
        <f t="shared" si="11"/>
        <v>#REF!</v>
      </c>
      <c r="G211" s="46" t="e">
        <f>'[6]A3 P51€'!I144-'[6]A3 P51€'!I145</f>
        <v>#REF!</v>
      </c>
      <c r="H211" s="30"/>
      <c r="I211" s="12" t="e">
        <f t="shared" si="9"/>
        <v>#REF!</v>
      </c>
      <c r="J211" s="12"/>
      <c r="L211" s="39"/>
      <c r="M211" s="40"/>
    </row>
    <row r="212" spans="1:13">
      <c r="A212" t="str">
        <f>B202&amp;" : P5 EB2ADTS MB6 STTd  (Potentiel)"</f>
        <v>SPCS (hors BVH) : P5 EB2ADTS MB6 STTd  (Potentiel)</v>
      </c>
      <c r="C212" s="37" t="e">
        <f>C208+SUM(G209:G211)</f>
        <v>#REF!</v>
      </c>
      <c r="D212" s="38"/>
      <c r="E212" s="39" t="str">
        <f t="shared" si="10"/>
        <v/>
      </c>
      <c r="F212" s="40">
        <f t="shared" si="11"/>
        <v>0</v>
      </c>
      <c r="G212" s="46"/>
      <c r="H212" s="30"/>
      <c r="I212" s="12" t="e">
        <f t="shared" si="9"/>
        <v>#REF!</v>
      </c>
      <c r="J212" s="12"/>
      <c r="L212" s="50"/>
      <c r="M212" s="50"/>
    </row>
    <row r="213" spans="1:13">
      <c r="A213" s="42"/>
      <c r="C213" s="37"/>
      <c r="D213" s="38"/>
      <c r="E213" s="39" t="str">
        <f t="shared" si="10"/>
        <v/>
      </c>
      <c r="F213" s="40">
        <f t="shared" si="11"/>
        <v>0</v>
      </c>
      <c r="G213" s="46"/>
      <c r="H213" s="30"/>
      <c r="I213" s="12" t="e">
        <f t="shared" si="9"/>
        <v>#REF!</v>
      </c>
      <c r="J213" s="12"/>
      <c r="L213" s="39" t="str">
        <f>IF(N213&gt;0,N213,"")</f>
        <v/>
      </c>
      <c r="M213" s="40">
        <f>IF(L213&lt;&gt;"","",ABS(N213))</f>
        <v>0</v>
      </c>
    </row>
    <row r="238" spans="1:1">
      <c r="A238" s="51" t="s">
        <v>1247</v>
      </c>
    </row>
  </sheetData>
  <conditionalFormatting sqref="A238">
    <cfRule type="cellIs" dxfId="1" priority="1" stopIfTrue="1" operator="equal">
      <formula>0</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4">
    <tabColor theme="4"/>
  </sheetPr>
  <dimension ref="A3:Q314"/>
  <sheetViews>
    <sheetView workbookViewId="0"/>
  </sheetViews>
  <sheetFormatPr defaultColWidth="11.42578125" defaultRowHeight="14.45"/>
  <cols>
    <col min="1" max="1" width="16.5703125" customWidth="1"/>
    <col min="17" max="17" width="4" style="31" customWidth="1"/>
  </cols>
  <sheetData>
    <row r="3" spans="1:9">
      <c r="A3" t="s">
        <v>1214</v>
      </c>
      <c r="B3" s="30" t="s">
        <v>1251</v>
      </c>
      <c r="I3" s="12">
        <f>I53+I91</f>
        <v>60</v>
      </c>
    </row>
    <row r="4" spans="1:9">
      <c r="C4" t="s">
        <v>1217</v>
      </c>
      <c r="E4" t="s">
        <v>1218</v>
      </c>
      <c r="F4" t="s">
        <v>1219</v>
      </c>
      <c r="H4" t="s">
        <v>1220</v>
      </c>
      <c r="I4" t="s">
        <v>1252</v>
      </c>
    </row>
    <row r="5" spans="1:9">
      <c r="A5" t="s">
        <v>1253</v>
      </c>
      <c r="C5" s="47">
        <f>549.9</f>
        <v>549.9</v>
      </c>
      <c r="D5" s="33"/>
      <c r="E5" s="34"/>
      <c r="F5" s="35"/>
      <c r="G5" s="36"/>
      <c r="H5" s="30"/>
      <c r="I5" s="12">
        <f>C5+I3</f>
        <v>609.9</v>
      </c>
    </row>
    <row r="6" spans="1:9">
      <c r="A6" s="42" t="s">
        <v>1230</v>
      </c>
      <c r="C6" s="43"/>
      <c r="D6" s="38" t="e">
        <f>IF((G6+N6)&gt;0,C5,C5+G6+N6)</f>
        <v>#REF!</v>
      </c>
      <c r="E6" s="39" t="e">
        <f>IF(G6&gt;0,G6,"")</f>
        <v>#REF!</v>
      </c>
      <c r="F6" s="40" t="e">
        <f>IF(E6&lt;&gt;"","",ABS(G6))</f>
        <v>#REF!</v>
      </c>
      <c r="G6" s="46" t="e">
        <f>#REF!</f>
        <v>#REF!</v>
      </c>
      <c r="H6" s="30"/>
      <c r="I6" s="12">
        <f>I5</f>
        <v>609.9</v>
      </c>
    </row>
    <row r="7" spans="1:9">
      <c r="A7" s="42" t="s">
        <v>1254</v>
      </c>
      <c r="C7" s="37" t="e">
        <f>C5+G6</f>
        <v>#REF!</v>
      </c>
      <c r="D7" s="38"/>
      <c r="E7" s="39"/>
      <c r="F7" s="40"/>
      <c r="G7" s="46"/>
      <c r="H7" s="49"/>
      <c r="I7" s="12">
        <f t="shared" ref="I7:I15" si="0">I6</f>
        <v>609.9</v>
      </c>
    </row>
    <row r="8" spans="1:9">
      <c r="A8" s="42" t="s">
        <v>1222</v>
      </c>
      <c r="C8" s="43"/>
      <c r="D8" s="38" t="e">
        <f>IF(G8&gt;0,C7,C7+G8)</f>
        <v>#REF!</v>
      </c>
      <c r="E8" s="39" t="e">
        <f>IF(G8&gt;0,G8,"")</f>
        <v>#REF!</v>
      </c>
      <c r="F8" s="40" t="e">
        <f>IF(E8&lt;&gt;"","",ABS(G8))</f>
        <v>#REF!</v>
      </c>
      <c r="G8" s="46" t="e">
        <f>#REF!</f>
        <v>#REF!</v>
      </c>
      <c r="H8" s="30"/>
      <c r="I8" s="12">
        <f t="shared" si="0"/>
        <v>609.9</v>
      </c>
    </row>
    <row r="9" spans="1:9">
      <c r="A9" s="42" t="s">
        <v>1223</v>
      </c>
      <c r="C9" s="43"/>
      <c r="D9" s="38" t="e">
        <f>IF(G9&gt;0,D8,D8+G9)</f>
        <v>#REF!</v>
      </c>
      <c r="E9" s="39"/>
      <c r="F9" s="40" t="e">
        <f>IF(E9&lt;&gt;"","",ABS(G9))</f>
        <v>#REF!</v>
      </c>
      <c r="G9" s="46" t="e">
        <f>#REF!</f>
        <v>#REF!</v>
      </c>
      <c r="H9" s="30"/>
      <c r="I9" s="12">
        <f t="shared" si="0"/>
        <v>609.9</v>
      </c>
    </row>
    <row r="10" spans="1:9">
      <c r="A10" s="42" t="s">
        <v>1224</v>
      </c>
      <c r="C10" s="43"/>
      <c r="D10" s="38" t="e">
        <f>IF(G9&gt;0,D9+G9+IF(G10&gt;0,0,G10),IF(G10&gt;0,D9,D9+G10))</f>
        <v>#REF!</v>
      </c>
      <c r="E10" s="39" t="e">
        <f>IF(G10&gt;0,G10,"")</f>
        <v>#REF!</v>
      </c>
      <c r="F10" s="40" t="e">
        <f>IF(E10&lt;&gt;"","",ABS(G10))</f>
        <v>#REF!</v>
      </c>
      <c r="G10" s="46" t="e">
        <f>#REF!</f>
        <v>#REF!</v>
      </c>
      <c r="H10" s="30"/>
      <c r="I10" s="12">
        <f t="shared" si="0"/>
        <v>609.9</v>
      </c>
    </row>
    <row r="11" spans="1:9">
      <c r="A11" s="42" t="s">
        <v>1255</v>
      </c>
      <c r="C11" s="37" t="e">
        <f>SUM(G8:G10)+C7</f>
        <v>#REF!</v>
      </c>
      <c r="D11" s="38"/>
      <c r="E11" s="39"/>
      <c r="F11" s="40"/>
      <c r="G11" s="44"/>
      <c r="H11" s="49"/>
      <c r="I11" s="12">
        <f t="shared" si="0"/>
        <v>609.9</v>
      </c>
    </row>
    <row r="12" spans="1:9">
      <c r="A12" s="42" t="s">
        <v>1226</v>
      </c>
      <c r="C12" s="37"/>
      <c r="D12" s="38" t="e">
        <f>IF(G12&gt;0,C11,C11+G12)</f>
        <v>#REF!</v>
      </c>
      <c r="E12" s="39" t="e">
        <f>IF(G12&gt;0,G12,"")</f>
        <v>#REF!</v>
      </c>
      <c r="F12" s="40" t="e">
        <f>IF(E12&lt;&gt;"","",ABS(G12))</f>
        <v>#REF!</v>
      </c>
      <c r="G12" s="46" t="e">
        <f>#REF!</f>
        <v>#REF!</v>
      </c>
      <c r="H12" s="30"/>
      <c r="I12" s="12">
        <f t="shared" si="0"/>
        <v>609.9</v>
      </c>
    </row>
    <row r="13" spans="1:9">
      <c r="A13" s="42" t="s">
        <v>1227</v>
      </c>
      <c r="C13" s="37"/>
      <c r="D13" s="38" t="e">
        <f>IF(G12&gt;0,D12+G12+IF(G13&gt;0,0,G13),IF(G13&gt;0,D12,D12+G13))</f>
        <v>#REF!</v>
      </c>
      <c r="E13" s="39" t="e">
        <f>IF(G13&gt;0,G13,"")</f>
        <v>#REF!</v>
      </c>
      <c r="F13" s="40" t="e">
        <f>IF(E13&lt;&gt;"","",ABS(G13))</f>
        <v>#REF!</v>
      </c>
      <c r="G13" s="46" t="e">
        <f>#REF!</f>
        <v>#REF!</v>
      </c>
      <c r="H13" s="30"/>
      <c r="I13" s="12">
        <f t="shared" si="0"/>
        <v>609.9</v>
      </c>
    </row>
    <row r="14" spans="1:9">
      <c r="A14" t="s">
        <v>1256</v>
      </c>
      <c r="C14" s="37" t="e">
        <f>SUM(G12:G13)+C11</f>
        <v>#REF!</v>
      </c>
      <c r="D14" s="38"/>
      <c r="E14" s="39"/>
      <c r="F14" s="40"/>
      <c r="G14" s="44"/>
      <c r="H14" s="30"/>
      <c r="I14" s="12">
        <f t="shared" si="0"/>
        <v>609.9</v>
      </c>
    </row>
    <row r="15" spans="1:9">
      <c r="A15" s="42"/>
      <c r="C15" s="37"/>
      <c r="D15" s="38" t="e">
        <f>IF(G15&gt;0,C14,C14+G15)</f>
        <v>#REF!</v>
      </c>
      <c r="E15" s="39" t="str">
        <f>IF(G15&gt;0,G15,"")</f>
        <v/>
      </c>
      <c r="F15" s="40">
        <f>IF(E15&lt;&gt;"","",ABS(G15))</f>
        <v>0</v>
      </c>
      <c r="G15" s="44"/>
      <c r="H15" s="30"/>
      <c r="I15" s="12">
        <f t="shared" si="0"/>
        <v>609.9</v>
      </c>
    </row>
    <row r="53" spans="1:9">
      <c r="A53" t="s">
        <v>1214</v>
      </c>
      <c r="B53" s="30" t="s">
        <v>1257</v>
      </c>
      <c r="I53">
        <v>27</v>
      </c>
    </row>
    <row r="54" spans="1:9">
      <c r="C54" t="s">
        <v>1217</v>
      </c>
      <c r="E54" t="s">
        <v>1218</v>
      </c>
      <c r="F54" t="s">
        <v>1219</v>
      </c>
      <c r="H54" t="s">
        <v>1220</v>
      </c>
      <c r="I54" t="str">
        <f>"Objectif"</f>
        <v>Objectif</v>
      </c>
    </row>
    <row r="55" spans="1:9">
      <c r="A55" t="str">
        <f>B53&amp;" :P84 EP6FADTXd ATN8"</f>
        <v>ICDV/BASE :P84 EP6FADTXd ATN8</v>
      </c>
      <c r="C55" s="47">
        <v>227</v>
      </c>
      <c r="D55" s="33"/>
      <c r="E55" s="34"/>
      <c r="F55" s="35"/>
      <c r="G55" s="36"/>
      <c r="H55" s="30"/>
      <c r="I55" s="12">
        <f>C55+I53</f>
        <v>254</v>
      </c>
    </row>
    <row r="56" spans="1:9">
      <c r="A56" s="42" t="s">
        <v>1230</v>
      </c>
      <c r="C56" s="43"/>
      <c r="D56" s="38" t="e">
        <f>IF((G56+N56)&gt;0,C55,C55+G56+N56)</f>
        <v>#REF!</v>
      </c>
      <c r="E56" s="39" t="e">
        <f>IF(G56&gt;0,G56,"")</f>
        <v>#REF!</v>
      </c>
      <c r="F56" s="40" t="e">
        <f>IF(E56&lt;&gt;"","",ABS(G56))</f>
        <v>#REF!</v>
      </c>
      <c r="G56" s="46" t="e">
        <f>#REF!</f>
        <v>#REF!</v>
      </c>
      <c r="H56" s="30"/>
      <c r="I56" s="12">
        <f>I55</f>
        <v>254</v>
      </c>
    </row>
    <row r="57" spans="1:9">
      <c r="A57" s="42" t="str">
        <f>B53&amp;" : P64€ EP6 ATN8"&amp;" (Réf)"</f>
        <v>ICDV/BASE : P64€ EP6 ATN8 (Réf)</v>
      </c>
      <c r="C57" s="37" t="e">
        <f>C55+G56</f>
        <v>#REF!</v>
      </c>
      <c r="D57" s="38"/>
      <c r="E57" s="39"/>
      <c r="F57" s="40"/>
      <c r="G57" s="46"/>
      <c r="H57" s="49"/>
      <c r="I57" s="12">
        <f t="shared" ref="I57:I65" si="1">I56</f>
        <v>254</v>
      </c>
    </row>
    <row r="58" spans="1:9">
      <c r="A58" s="42" t="s">
        <v>1222</v>
      </c>
      <c r="C58" s="43"/>
      <c r="D58" s="38" t="e">
        <f>IF(G58&gt;0,C57,C57+G58)</f>
        <v>#REF!</v>
      </c>
      <c r="E58" s="39" t="e">
        <f>IF(G58&gt;0,G58,"")</f>
        <v>#REF!</v>
      </c>
      <c r="F58" s="40" t="e">
        <f>IF(E58&lt;&gt;"","",ABS(G58))</f>
        <v>#REF!</v>
      </c>
      <c r="G58" s="46" t="e">
        <f>#REF!</f>
        <v>#REF!</v>
      </c>
      <c r="H58" s="30"/>
      <c r="I58" s="12">
        <f t="shared" si="1"/>
        <v>254</v>
      </c>
    </row>
    <row r="59" spans="1:9">
      <c r="A59" s="42" t="s">
        <v>1224</v>
      </c>
      <c r="C59" s="43"/>
      <c r="D59" s="38" t="e">
        <f>IF(G58&gt;0,D58+G58+IF(G59&gt;0,0,G59),IF(G59&gt;0,D58,D58+G59))</f>
        <v>#REF!</v>
      </c>
      <c r="E59" s="39" t="e">
        <f>IF(G59&gt;0,G59,"")</f>
        <v>#REF!</v>
      </c>
      <c r="F59" s="40" t="e">
        <f>IF(E59&lt;&gt;"","",ABS(G59))</f>
        <v>#REF!</v>
      </c>
      <c r="G59" s="46" t="e">
        <f>#REF!</f>
        <v>#REF!</v>
      </c>
      <c r="H59" s="30"/>
      <c r="I59" s="12">
        <f t="shared" si="1"/>
        <v>254</v>
      </c>
    </row>
    <row r="60" spans="1:9">
      <c r="A60" s="42" t="s">
        <v>1258</v>
      </c>
      <c r="C60" s="37" t="e">
        <f>SUM(G58:G59)+C57</f>
        <v>#REF!</v>
      </c>
      <c r="D60" s="38"/>
      <c r="E60" s="39"/>
      <c r="F60" s="40"/>
      <c r="G60" s="44"/>
      <c r="H60" s="49"/>
      <c r="I60" s="12">
        <f>I58</f>
        <v>254</v>
      </c>
    </row>
    <row r="61" spans="1:9">
      <c r="A61" s="42" t="s">
        <v>1223</v>
      </c>
      <c r="C61" s="37"/>
      <c r="D61" s="38" t="e">
        <f>IF(G61&gt;0,C60,C60+G61)</f>
        <v>#REF!</v>
      </c>
      <c r="E61" s="39" t="e">
        <f>IF(G61&gt;0,G61,"")</f>
        <v>#REF!</v>
      </c>
      <c r="F61" s="40" t="e">
        <f>IF(E61&lt;&gt;"","",ABS(G61))</f>
        <v>#REF!</v>
      </c>
      <c r="G61" s="46" t="e">
        <f>#REF!</f>
        <v>#REF!</v>
      </c>
      <c r="H61" s="49"/>
      <c r="I61" s="12">
        <f t="shared" si="1"/>
        <v>254</v>
      </c>
    </row>
    <row r="62" spans="1:9">
      <c r="A62" s="42" t="s">
        <v>1226</v>
      </c>
      <c r="C62" s="37"/>
      <c r="D62" s="38" t="e">
        <f>IF(G61&gt;0,D61+G61+IF(G62&gt;0,0,G62),IF(G62&gt;0,D61,D61+G62))</f>
        <v>#REF!</v>
      </c>
      <c r="E62" s="39" t="e">
        <f>IF(G62&gt;0,G62,"")</f>
        <v>#REF!</v>
      </c>
      <c r="F62" s="40" t="e">
        <f>IF(E62&lt;&gt;"","",ABS(G62))</f>
        <v>#REF!</v>
      </c>
      <c r="G62" s="46" t="e">
        <f>#REF!</f>
        <v>#REF!</v>
      </c>
      <c r="H62" s="30"/>
      <c r="I62" s="12">
        <f t="shared" si="1"/>
        <v>254</v>
      </c>
    </row>
    <row r="63" spans="1:9">
      <c r="A63" s="42" t="s">
        <v>1227</v>
      </c>
      <c r="C63" s="37"/>
      <c r="D63" s="38" t="e">
        <f>IF(G62&gt;0,D62+G62+IF(G63&gt;0,0,G63),IF(G63&gt;0,D62,D62+G63))</f>
        <v>#REF!</v>
      </c>
      <c r="E63" s="39" t="e">
        <f>IF(G63&gt;0,G63,"")</f>
        <v>#REF!</v>
      </c>
      <c r="F63" s="40" t="e">
        <f>IF(E63&lt;&gt;"","",ABS(G63))</f>
        <v>#REF!</v>
      </c>
      <c r="G63" s="46" t="e">
        <f>#REF!</f>
        <v>#REF!</v>
      </c>
      <c r="H63" s="30"/>
      <c r="I63" s="12">
        <f t="shared" si="1"/>
        <v>254</v>
      </c>
    </row>
    <row r="64" spans="1:9">
      <c r="A64" t="s">
        <v>1259</v>
      </c>
      <c r="C64" s="37" t="e">
        <f>SUM(G61:G63)+C60</f>
        <v>#REF!</v>
      </c>
      <c r="D64" s="38"/>
      <c r="E64" s="39"/>
      <c r="F64" s="40"/>
      <c r="G64" s="44"/>
      <c r="H64" s="30"/>
      <c r="I64" s="12">
        <f t="shared" si="1"/>
        <v>254</v>
      </c>
    </row>
    <row r="65" spans="1:9">
      <c r="A65" s="42"/>
      <c r="C65" s="37"/>
      <c r="D65" s="38" t="e">
        <f>IF(G65&gt;0,C64,C64+G65)</f>
        <v>#REF!</v>
      </c>
      <c r="E65" s="39" t="str">
        <f>IF(G65&gt;0,G65,"")</f>
        <v/>
      </c>
      <c r="F65" s="40">
        <f>IF(E65&lt;&gt;"","",ABS(G65))</f>
        <v>0</v>
      </c>
      <c r="G65" s="44"/>
      <c r="H65" s="30"/>
      <c r="I65" s="12">
        <f t="shared" si="1"/>
        <v>254</v>
      </c>
    </row>
    <row r="91" spans="1:9">
      <c r="A91" t="s">
        <v>1214</v>
      </c>
      <c r="B91" s="30" t="s">
        <v>1260</v>
      </c>
      <c r="I91" s="12">
        <v>33</v>
      </c>
    </row>
    <row r="92" spans="1:9">
      <c r="C92" t="s">
        <v>1217</v>
      </c>
      <c r="E92" t="s">
        <v>1218</v>
      </c>
      <c r="F92" t="s">
        <v>1219</v>
      </c>
      <c r="H92" t="s">
        <v>1220</v>
      </c>
      <c r="I92" t="s">
        <v>1234</v>
      </c>
    </row>
    <row r="93" spans="1:9">
      <c r="A93" t="s">
        <v>1261</v>
      </c>
      <c r="C93" s="47">
        <v>219</v>
      </c>
      <c r="D93" s="33"/>
      <c r="E93" s="34"/>
      <c r="F93" s="35"/>
      <c r="G93" s="36"/>
      <c r="H93" s="30"/>
      <c r="I93" s="12">
        <f>C93+I91</f>
        <v>252</v>
      </c>
    </row>
    <row r="94" spans="1:9">
      <c r="A94" s="42" t="s">
        <v>1230</v>
      </c>
      <c r="C94" s="43"/>
      <c r="D94" s="38" t="e">
        <f>IF(G94&gt;0,C93,C93+G94)</f>
        <v>#REF!</v>
      </c>
      <c r="E94" s="39" t="e">
        <f>IF(G94&gt;0,G94,"")</f>
        <v>#REF!</v>
      </c>
      <c r="F94" s="40" t="e">
        <f>IF(E94&lt;&gt;"","",ABS(G94))</f>
        <v>#REF!</v>
      </c>
      <c r="G94" s="46" t="e">
        <f>#REF!</f>
        <v>#REF!</v>
      </c>
      <c r="H94" s="30"/>
      <c r="I94" s="12">
        <f t="shared" ref="I94:I102" si="2">I93</f>
        <v>252</v>
      </c>
    </row>
    <row r="95" spans="1:9">
      <c r="A95" s="42" t="s">
        <v>1262</v>
      </c>
      <c r="C95" s="37" t="e">
        <f>C93+G94+N94</f>
        <v>#REF!</v>
      </c>
      <c r="D95" s="38"/>
      <c r="E95" s="39" t="str">
        <f>IF(G95&gt;0,G95,"")</f>
        <v/>
      </c>
      <c r="F95" s="40">
        <f>IF(E95&lt;&gt;"","",ABS(G95))</f>
        <v>0</v>
      </c>
      <c r="G95" s="46"/>
      <c r="H95" s="30"/>
      <c r="I95" s="12">
        <f t="shared" si="2"/>
        <v>252</v>
      </c>
    </row>
    <row r="96" spans="1:9">
      <c r="A96" s="42" t="s">
        <v>1222</v>
      </c>
      <c r="C96" s="43"/>
      <c r="D96" s="38" t="e">
        <f>IF(G96&gt;0,C95,C95+G96)</f>
        <v>#REF!</v>
      </c>
      <c r="E96" s="39" t="e">
        <f>IF(G96&gt;0,G96,"")</f>
        <v>#REF!</v>
      </c>
      <c r="F96" s="40" t="e">
        <f>IF(E96&lt;&gt;"","",ABS(G96))</f>
        <v>#REF!</v>
      </c>
      <c r="G96" s="44" t="e">
        <f>#REF!</f>
        <v>#REF!</v>
      </c>
      <c r="H96" s="30"/>
      <c r="I96" s="12">
        <f t="shared" si="2"/>
        <v>252</v>
      </c>
    </row>
    <row r="97" spans="1:9">
      <c r="A97" s="42" t="s">
        <v>1224</v>
      </c>
      <c r="C97" s="43"/>
      <c r="D97" s="38" t="e">
        <f>IF(G96&gt;0,D96+G96+IF(G97&gt;0,0,G97),IF(G97&gt;0,D96,D96+G97))</f>
        <v>#REF!</v>
      </c>
      <c r="E97" s="39" t="e">
        <f>IF(G97&gt;0,G97,"")</f>
        <v>#REF!</v>
      </c>
      <c r="F97" s="40" t="e">
        <f>IF(E97&lt;&gt;"","",ABS(G97))</f>
        <v>#REF!</v>
      </c>
      <c r="G97" s="44" t="e">
        <f>#REF!</f>
        <v>#REF!</v>
      </c>
      <c r="H97" s="30"/>
      <c r="I97" s="12">
        <f t="shared" si="2"/>
        <v>252</v>
      </c>
    </row>
    <row r="98" spans="1:9">
      <c r="A98" s="42" t="s">
        <v>1263</v>
      </c>
      <c r="C98" s="45" t="e">
        <f>C95+SUM(G96:G97)</f>
        <v>#REF!</v>
      </c>
      <c r="D98" s="38"/>
      <c r="E98" s="39" t="e">
        <f>IF(G99&gt;0,G99,"")</f>
        <v>#REF!</v>
      </c>
      <c r="F98" s="40"/>
      <c r="G98" s="46"/>
      <c r="H98" s="30"/>
      <c r="I98" s="12">
        <f t="shared" si="2"/>
        <v>252</v>
      </c>
    </row>
    <row r="99" spans="1:9">
      <c r="A99" s="42" t="s">
        <v>1223</v>
      </c>
      <c r="C99" s="37"/>
      <c r="D99" s="38" t="e">
        <f>IF((G99+N99)&gt;0,C98,C98+G99+N99)</f>
        <v>#REF!</v>
      </c>
      <c r="E99" s="39" t="e">
        <f>IF(G99&gt;0,G99,"")</f>
        <v>#REF!</v>
      </c>
      <c r="F99" s="40" t="e">
        <f>IF(E99&lt;&gt;"","",ABS(G99))</f>
        <v>#REF!</v>
      </c>
      <c r="G99" s="44" t="e">
        <f>#REF!</f>
        <v>#REF!</v>
      </c>
      <c r="H99" s="30"/>
      <c r="I99" s="12">
        <f t="shared" si="2"/>
        <v>252</v>
      </c>
    </row>
    <row r="100" spans="1:9">
      <c r="A100" s="42" t="s">
        <v>1226</v>
      </c>
      <c r="C100" s="37"/>
      <c r="D100" s="38" t="e">
        <f>IF((G99+N99)&gt;0,D99+G99+N99+IF((G100+N100)&gt;0,0,G100+N100),IF((G100+N100)&gt;0,D99,D99+G100+N100))</f>
        <v>#REF!</v>
      </c>
      <c r="E100" s="39" t="e">
        <f>IF(G100&gt;0,G100,"")</f>
        <v>#REF!</v>
      </c>
      <c r="F100" s="40" t="e">
        <f>IF(E100&lt;&gt;"","",ABS(G100))</f>
        <v>#REF!</v>
      </c>
      <c r="G100" s="44" t="e">
        <f>#REF!</f>
        <v>#REF!</v>
      </c>
      <c r="H100" s="30"/>
      <c r="I100" s="12">
        <f t="shared" si="2"/>
        <v>252</v>
      </c>
    </row>
    <row r="101" spans="1:9">
      <c r="A101" s="42" t="s">
        <v>1227</v>
      </c>
      <c r="C101" s="37"/>
      <c r="D101" s="38" t="e">
        <f>IF((G100+N100)&gt;0,D100+G100+N100+IF((G101+N101)&gt;0,0,G101+N101),IF((G101+N101)&gt;0,D100,D100+G101+N101))</f>
        <v>#REF!</v>
      </c>
      <c r="E101" s="39" t="e">
        <f>IF(G101&gt;0,G101,"")</f>
        <v>#REF!</v>
      </c>
      <c r="F101" s="40" t="e">
        <f>IF(E101&lt;&gt;"","",ABS(G101))</f>
        <v>#REF!</v>
      </c>
      <c r="G101" s="44" t="e">
        <f>#REF!</f>
        <v>#REF!</v>
      </c>
      <c r="H101" s="30"/>
      <c r="I101" s="12">
        <f t="shared" si="2"/>
        <v>252</v>
      </c>
    </row>
    <row r="102" spans="1:9">
      <c r="A102" t="s">
        <v>1264</v>
      </c>
      <c r="C102" s="45" t="e">
        <f>C98+SUM(G99:G101)</f>
        <v>#REF!</v>
      </c>
      <c r="D102" s="38"/>
      <c r="E102" s="39"/>
      <c r="F102" s="40"/>
      <c r="G102" s="44"/>
      <c r="H102" s="30"/>
      <c r="I102" s="12">
        <f t="shared" si="2"/>
        <v>252</v>
      </c>
    </row>
    <row r="128" spans="1:9">
      <c r="A128" t="s">
        <v>1214</v>
      </c>
      <c r="B128" s="30" t="s">
        <v>1239</v>
      </c>
      <c r="I128" s="12">
        <f>'[6]A3 P51€'!K113+'[6]A3 P51€'!K112</f>
        <v>1.5</v>
      </c>
    </row>
    <row r="129" spans="1:9">
      <c r="C129" t="s">
        <v>1217</v>
      </c>
      <c r="E129" t="s">
        <v>1218</v>
      </c>
      <c r="F129" t="s">
        <v>1219</v>
      </c>
      <c r="I129" t="str">
        <f>"Objectif "&amp;ROUND(I130,0)&amp;" kg"</f>
        <v>Objectif 160 kg</v>
      </c>
    </row>
    <row r="130" spans="1:9">
      <c r="A130" t="str">
        <f>B128&amp;" : T9 EB2ADTS MB6 STTd niv2"</f>
        <v>SCEG (hors BVH) : T9 EB2ADTS MB6 STTd niv2</v>
      </c>
      <c r="C130" s="47">
        <f>'[6]A3 P51€'!C113+'[6]A3 P51€'!C112</f>
        <v>158.00650000000005</v>
      </c>
      <c r="D130" s="33"/>
      <c r="E130" s="34"/>
      <c r="F130" s="35"/>
      <c r="G130" s="36"/>
      <c r="H130" s="30"/>
      <c r="I130" s="12">
        <f>C130+I128</f>
        <v>159.50650000000005</v>
      </c>
    </row>
    <row r="131" spans="1:9">
      <c r="A131" s="42" t="s">
        <v>1230</v>
      </c>
      <c r="C131" s="43"/>
      <c r="D131" s="38" t="e">
        <f>IF((G131+N131)&gt;0,C130,C130+G131+N131)</f>
        <v>#REF!</v>
      </c>
      <c r="E131" s="39" t="e">
        <f>IF(G131&gt;0,G131,"")</f>
        <v>#REF!</v>
      </c>
      <c r="F131" s="40" t="e">
        <f>IF(E131&lt;&gt;"","",ABS(G131))</f>
        <v>#REF!</v>
      </c>
      <c r="G131" s="44" t="e">
        <f>'[6]A3 P51€'!C140-'[6]A3 P51€'!C141</f>
        <v>#REF!</v>
      </c>
      <c r="H131" s="30"/>
      <c r="I131" s="12">
        <f>I130</f>
        <v>159.50650000000005</v>
      </c>
    </row>
    <row r="132" spans="1:9">
      <c r="A132" s="42" t="str">
        <f>B128&amp;" : P5 EB2ADTS MB6 STTd"&amp;" (Réf)"</f>
        <v>SCEG (hors BVH) : P5 EB2ADTS MB6 STTd (Réf)</v>
      </c>
      <c r="C132" s="45" t="e">
        <f>C130+G131+N131</f>
        <v>#REF!</v>
      </c>
      <c r="D132" s="38"/>
      <c r="E132" s="39" t="str">
        <f>IF(G132&gt;0,G132,"")</f>
        <v/>
      </c>
      <c r="F132" s="40">
        <f>IF(E132&lt;&gt;"","",ABS(G132))</f>
        <v>0</v>
      </c>
      <c r="G132" s="46"/>
      <c r="H132" s="30"/>
      <c r="I132" s="12">
        <f t="shared" ref="I132:I140" si="3">I131</f>
        <v>159.50650000000005</v>
      </c>
    </row>
    <row r="133" spans="1:9">
      <c r="A133" s="42" t="s">
        <v>1222</v>
      </c>
      <c r="C133" s="43"/>
      <c r="D133" s="38" t="e">
        <f>IF((G133+N133)&gt;0,C132,C132+G133+N133)</f>
        <v>#REF!</v>
      </c>
      <c r="E133" s="39" t="e">
        <f>IF(G133&gt;0,G133,"")</f>
        <v>#REF!</v>
      </c>
      <c r="F133" s="40" t="e">
        <f>IF(E133&lt;&gt;"","",ABS(G133))</f>
        <v>#REF!</v>
      </c>
      <c r="G133" s="46" t="e">
        <f>'[6]A3 P51€'!E140-'[6]A3 P51€'!E141</f>
        <v>#REF!</v>
      </c>
      <c r="H133" s="30"/>
      <c r="I133" s="12">
        <f t="shared" si="3"/>
        <v>159.50650000000005</v>
      </c>
    </row>
    <row r="134" spans="1:9">
      <c r="A134" s="42" t="s">
        <v>1224</v>
      </c>
      <c r="C134" s="43"/>
      <c r="D134" s="38" t="e">
        <f>IF(G133&gt;0,D133+G133+IF(G134&gt;0,0,G134),IF(G134&gt;0,D133,D133+G134))</f>
        <v>#REF!</v>
      </c>
      <c r="E134" s="39" t="e">
        <f>IF(G134&gt;0,G134,"")</f>
        <v>#REF!</v>
      </c>
      <c r="F134" s="40" t="e">
        <f>IF(E134&lt;&gt;"","",ABS(G134))</f>
        <v>#REF!</v>
      </c>
      <c r="G134" s="44" t="e">
        <f>#REF!</f>
        <v>#REF!</v>
      </c>
      <c r="H134" s="30"/>
      <c r="I134" s="12">
        <f t="shared" si="3"/>
        <v>159.50650000000005</v>
      </c>
    </row>
    <row r="135" spans="1:9">
      <c r="A135" s="42" t="str">
        <f>B128&amp;" : P5 EB2ADTS MB6 STTd  (prévisionnel)"</f>
        <v>SCEG (hors BVH) : P5 EB2ADTS MB6 STTd  (prévisionnel)</v>
      </c>
      <c r="C135" s="45" t="e">
        <f>C132+SUM(G133:G133)</f>
        <v>#REF!</v>
      </c>
      <c r="D135" s="38"/>
      <c r="E135" s="39" t="str">
        <f t="shared" ref="E135:E140" si="4">IF(G135&gt;0,G135,"")</f>
        <v/>
      </c>
      <c r="F135" s="40">
        <f t="shared" ref="F135:F140" si="5">IF(E135&lt;&gt;"","",ABS(G135))</f>
        <v>0</v>
      </c>
      <c r="G135" s="46"/>
      <c r="H135" s="30"/>
      <c r="I135" s="12">
        <f>I133</f>
        <v>159.50650000000005</v>
      </c>
    </row>
    <row r="136" spans="1:9">
      <c r="A136" s="42" t="s">
        <v>1223</v>
      </c>
      <c r="C136" s="37"/>
      <c r="D136" s="38" t="e">
        <f>IF((G136+N136)&gt;0,C135,C135+G136+N136)</f>
        <v>#REF!</v>
      </c>
      <c r="E136" s="39" t="e">
        <f t="shared" si="4"/>
        <v>#REF!</v>
      </c>
      <c r="F136" s="40" t="e">
        <f t="shared" si="5"/>
        <v>#REF!</v>
      </c>
      <c r="G136" s="46" t="e">
        <f>'[6]A3 P51€'!F140-'[6]A3 P51€'!F141</f>
        <v>#REF!</v>
      </c>
      <c r="H136" s="30"/>
      <c r="I136" s="12">
        <f t="shared" si="3"/>
        <v>159.50650000000005</v>
      </c>
    </row>
    <row r="137" spans="1:9">
      <c r="A137" s="42" t="s">
        <v>1226</v>
      </c>
      <c r="C137" s="37"/>
      <c r="D137" s="38" t="e">
        <f>IF((G136+N136)&gt;0,D136+G136+N136+IF((G137+N137)&gt;0,0,G137+N137),IF((G137+N137)&gt;0,D136,D136+G137+N137))</f>
        <v>#REF!</v>
      </c>
      <c r="E137" s="39" t="e">
        <f t="shared" si="4"/>
        <v>#REF!</v>
      </c>
      <c r="F137" s="40" t="e">
        <f t="shared" si="5"/>
        <v>#REF!</v>
      </c>
      <c r="G137" s="46" t="e">
        <f>'[6]A3 P51€'!H140-'[6]A3 P51€'!H141</f>
        <v>#REF!</v>
      </c>
      <c r="H137" s="30"/>
      <c r="I137" s="12">
        <f t="shared" si="3"/>
        <v>159.50650000000005</v>
      </c>
    </row>
    <row r="138" spans="1:9">
      <c r="A138" s="42" t="s">
        <v>1240</v>
      </c>
      <c r="C138" s="37"/>
      <c r="D138" s="38" t="e">
        <f>IF((G137+N137)&gt;0,D137+G137+N137+IF((G138+N138)&gt;0,0,G138+N138),IF((G138+N138)&gt;0,D137,D137+G138+N138))</f>
        <v>#REF!</v>
      </c>
      <c r="E138" s="39" t="e">
        <f t="shared" si="4"/>
        <v>#REF!</v>
      </c>
      <c r="F138" s="40" t="e">
        <f t="shared" si="5"/>
        <v>#REF!</v>
      </c>
      <c r="G138" s="46" t="e">
        <f>'[6]A3 P51€'!I140-'[6]A3 P51€'!I141</f>
        <v>#REF!</v>
      </c>
      <c r="H138" s="30"/>
      <c r="I138" s="12">
        <f t="shared" si="3"/>
        <v>159.50650000000005</v>
      </c>
    </row>
    <row r="139" spans="1:9">
      <c r="A139" t="str">
        <f>B128&amp;" : P5 EB2ADTS MB6 STTd  (Potentiel)"</f>
        <v>SCEG (hors BVH) : P5 EB2ADTS MB6 STTd  (Potentiel)</v>
      </c>
      <c r="C139" s="37" t="e">
        <f>C135+SUM(G136:G138)</f>
        <v>#REF!</v>
      </c>
      <c r="D139" s="38"/>
      <c r="E139" s="39" t="str">
        <f t="shared" si="4"/>
        <v/>
      </c>
      <c r="F139" s="40">
        <f t="shared" si="5"/>
        <v>0</v>
      </c>
      <c r="G139" s="46"/>
      <c r="H139" s="30"/>
      <c r="I139" s="12">
        <f t="shared" si="3"/>
        <v>159.50650000000005</v>
      </c>
    </row>
    <row r="140" spans="1:9">
      <c r="A140" s="42"/>
      <c r="C140" s="37"/>
      <c r="D140" s="38"/>
      <c r="E140" s="39" t="str">
        <f t="shared" si="4"/>
        <v/>
      </c>
      <c r="F140" s="40">
        <f t="shared" si="5"/>
        <v>0</v>
      </c>
      <c r="G140" s="46"/>
      <c r="H140" s="30"/>
      <c r="I140" s="12">
        <f t="shared" si="3"/>
        <v>159.50650000000005</v>
      </c>
    </row>
    <row r="166" spans="1:15">
      <c r="A166" t="s">
        <v>1214</v>
      </c>
      <c r="B166" s="30" t="s">
        <v>1241</v>
      </c>
      <c r="I166" s="12" t="e">
        <f>'[6]A3 P51€'!K106-'[6]A3 P51€'!K107</f>
        <v>#REF!</v>
      </c>
    </row>
    <row r="167" spans="1:15">
      <c r="C167" t="s">
        <v>1217</v>
      </c>
      <c r="E167" t="s">
        <v>1218</v>
      </c>
      <c r="F167" t="s">
        <v>1219</v>
      </c>
      <c r="I167" t="e">
        <f>"Objectif "&amp;ROUND(I168,0)&amp;" kg"</f>
        <v>#REF!</v>
      </c>
      <c r="L167" t="s">
        <v>1242</v>
      </c>
      <c r="M167" t="s">
        <v>1243</v>
      </c>
      <c r="N167" t="s">
        <v>1244</v>
      </c>
      <c r="O167" t="s">
        <v>1245</v>
      </c>
    </row>
    <row r="168" spans="1:15">
      <c r="A168" t="str">
        <f>B166&amp;" : T9 EB2ADTS MB6 STTd niv2"</f>
        <v>SOEE (hors BVH) : T9 EB2ADTS MB6 STTd niv2</v>
      </c>
      <c r="C168" s="47">
        <f>'[6]A3 P51€'!C106-'[6]A3 P51€'!C107</f>
        <v>181.09970000000001</v>
      </c>
      <c r="D168" s="33"/>
      <c r="E168" s="34"/>
      <c r="F168" s="35"/>
      <c r="G168" s="36"/>
      <c r="H168" s="30"/>
      <c r="I168" s="12" t="e">
        <f>C168+I166</f>
        <v>#REF!</v>
      </c>
      <c r="J168" s="12"/>
      <c r="L168" s="48"/>
      <c r="M168" s="48"/>
      <c r="N168" s="36"/>
    </row>
    <row r="169" spans="1:15">
      <c r="A169" s="42" t="s">
        <v>1230</v>
      </c>
      <c r="C169" s="43"/>
      <c r="D169" s="38" t="e">
        <f>IF((G169+N169)&gt;0,C168,C168+G169+N169)</f>
        <v>#REF!</v>
      </c>
      <c r="E169" s="39" t="e">
        <f>IF(G169&gt;0,G169,"")</f>
        <v>#REF!</v>
      </c>
      <c r="F169" s="40" t="e">
        <f>IF(E169&lt;&gt;"","",ABS(G169))</f>
        <v>#REF!</v>
      </c>
      <c r="G169" s="44" t="e">
        <f>'[6]A3 P51€'!C136-'[6]A3 P51€'!C137</f>
        <v>#REF!</v>
      </c>
      <c r="H169" s="30"/>
      <c r="I169" s="12" t="e">
        <f>I168</f>
        <v>#REF!</v>
      </c>
      <c r="J169" s="12"/>
      <c r="L169" s="39" t="str">
        <f>IF(N169&gt;0,N169,"")</f>
        <v/>
      </c>
      <c r="M169" s="40">
        <f>IF(L169&lt;&gt;"","",ABS(N169))</f>
        <v>0</v>
      </c>
      <c r="N169" s="46"/>
    </row>
    <row r="170" spans="1:15">
      <c r="A170" s="42" t="str">
        <f>B166&amp;" : P5 EB2ADTS MB6 STTd"&amp;" (Réf)"</f>
        <v>SOEE (hors BVH) : P5 EB2ADTS MB6 STTd (Réf)</v>
      </c>
      <c r="C170" s="45" t="e">
        <f>C168+G169+N169</f>
        <v>#REF!</v>
      </c>
      <c r="D170" s="38"/>
      <c r="E170" s="39" t="str">
        <f>IF(G170&gt;0,G170,"")</f>
        <v/>
      </c>
      <c r="F170" s="40">
        <f>IF(E170&lt;&gt;"","",ABS(G170))</f>
        <v>0</v>
      </c>
      <c r="G170" s="46"/>
      <c r="H170" s="30"/>
      <c r="I170" s="12" t="e">
        <f t="shared" ref="I170:I177" si="6">I169</f>
        <v>#REF!</v>
      </c>
      <c r="J170" s="12"/>
      <c r="L170" s="50"/>
      <c r="M170" s="50"/>
      <c r="N170" s="46"/>
    </row>
    <row r="171" spans="1:15">
      <c r="A171" s="42" t="s">
        <v>1222</v>
      </c>
      <c r="C171" s="43"/>
      <c r="D171" s="38" t="e">
        <f>IF((G171+N171)&gt;0,C170,C170+G171+N171)</f>
        <v>#REF!</v>
      </c>
      <c r="E171" s="39" t="e">
        <f>IF(G171&gt;0,G171,"")</f>
        <v>#REF!</v>
      </c>
      <c r="F171" s="40" t="e">
        <f>IF(E171&lt;&gt;"","",ABS(G171))</f>
        <v>#REF!</v>
      </c>
      <c r="G171" s="46" t="e">
        <f>'[6]A3 P51€'!E136-'[6]A3 P51€'!E137</f>
        <v>#REF!</v>
      </c>
      <c r="H171" s="30"/>
      <c r="I171" s="12" t="e">
        <f t="shared" si="6"/>
        <v>#REF!</v>
      </c>
      <c r="J171" s="12"/>
      <c r="L171" s="39" t="str">
        <f>IF(N171&gt;0,N171,"")</f>
        <v/>
      </c>
      <c r="M171" s="40">
        <f>IF(L171&lt;&gt;"","",ABS(N171))</f>
        <v>0</v>
      </c>
      <c r="N171" s="44"/>
    </row>
    <row r="172" spans="1:15">
      <c r="A172" s="42" t="str">
        <f>B166&amp;" : P5 EB2ADTS MB6 STTd  (prévisionnel)"</f>
        <v>SOEE (hors BVH) : P5 EB2ADTS MB6 STTd  (prévisionnel)</v>
      </c>
      <c r="C172" s="45" t="e">
        <f>C170+SUM(G171:G171)</f>
        <v>#REF!</v>
      </c>
      <c r="D172" s="38"/>
      <c r="E172" s="39" t="str">
        <f t="shared" ref="E172:E177" si="7">IF(G172&gt;0,G172,"")</f>
        <v/>
      </c>
      <c r="F172" s="40">
        <f t="shared" ref="F172:F177" si="8">IF(E172&lt;&gt;"","",ABS(G172))</f>
        <v>0</v>
      </c>
      <c r="G172" s="46"/>
      <c r="H172" s="30"/>
      <c r="I172" s="12" t="e">
        <f t="shared" si="6"/>
        <v>#REF!</v>
      </c>
      <c r="L172" s="39" t="str">
        <f>IF(N172&gt;0,N172,"")</f>
        <v/>
      </c>
      <c r="M172" s="40">
        <f>IF(L172&lt;&gt;"","",ABS(N172))</f>
        <v>0</v>
      </c>
      <c r="N172" s="46"/>
    </row>
    <row r="173" spans="1:15">
      <c r="A173" s="42" t="s">
        <v>1223</v>
      </c>
      <c r="C173" s="37"/>
      <c r="D173" s="38" t="e">
        <f>IF((G173+N173)&gt;0,C172,C172+G173+N173)</f>
        <v>#REF!</v>
      </c>
      <c r="E173" s="39" t="e">
        <f t="shared" si="7"/>
        <v>#REF!</v>
      </c>
      <c r="F173" s="40" t="e">
        <f t="shared" si="8"/>
        <v>#REF!</v>
      </c>
      <c r="G173" s="46" t="e">
        <f>'[6]A3 P51€'!F136-'[6]A3 P51€'!F137</f>
        <v>#REF!</v>
      </c>
      <c r="H173" s="30"/>
      <c r="I173" s="12" t="e">
        <f t="shared" si="6"/>
        <v>#REF!</v>
      </c>
      <c r="J173" s="12"/>
      <c r="L173" s="50"/>
      <c r="M173" s="50"/>
      <c r="N173" s="46"/>
    </row>
    <row r="174" spans="1:15">
      <c r="A174" s="42" t="s">
        <v>1226</v>
      </c>
      <c r="C174" s="37"/>
      <c r="D174" s="38" t="e">
        <f>IF((G173+N173)&gt;0,D173+G173+N173+IF((G174+N174)&gt;0,0,G174+N174),IF((G174+N174)&gt;0,D173,D173+G174+N174))</f>
        <v>#REF!</v>
      </c>
      <c r="E174" s="39" t="e">
        <f t="shared" si="7"/>
        <v>#REF!</v>
      </c>
      <c r="F174" s="40" t="e">
        <f t="shared" si="8"/>
        <v>#REF!</v>
      </c>
      <c r="G174" s="44" t="e">
        <f>'[6]A3 P51€'!H136-'[6]A3 P51€'!H137</f>
        <v>#REF!</v>
      </c>
      <c r="H174" s="30"/>
      <c r="I174" s="12" t="e">
        <f t="shared" si="6"/>
        <v>#REF!</v>
      </c>
      <c r="J174" s="12"/>
      <c r="L174" s="39" t="str">
        <f>IF(N174&gt;0,N174,"")</f>
        <v/>
      </c>
      <c r="M174" s="40">
        <f>IF(L174&lt;&gt;"","",ABS(N174))</f>
        <v>0</v>
      </c>
      <c r="N174" s="44"/>
    </row>
    <row r="175" spans="1:15">
      <c r="A175" s="42" t="s">
        <v>1240</v>
      </c>
      <c r="C175" s="37"/>
      <c r="D175" s="38" t="e">
        <f>IF((G174+N174)&gt;0,D174+G174+N174+IF((G175+N175)&gt;0,0,G175+N175),IF((G175+N175)&gt;0,D174,D174+G175+N175))</f>
        <v>#REF!</v>
      </c>
      <c r="E175" s="39" t="e">
        <f t="shared" si="7"/>
        <v>#REF!</v>
      </c>
      <c r="F175" s="40" t="e">
        <f t="shared" si="8"/>
        <v>#REF!</v>
      </c>
      <c r="G175" s="46" t="e">
        <f>'[6]A3 P51€'!I136-'[6]A3 P51€'!I137</f>
        <v>#REF!</v>
      </c>
      <c r="H175" s="30"/>
      <c r="I175" s="12" t="e">
        <f t="shared" si="6"/>
        <v>#REF!</v>
      </c>
      <c r="J175" s="12"/>
      <c r="L175" s="39"/>
      <c r="M175" s="40"/>
      <c r="N175" s="44"/>
    </row>
    <row r="176" spans="1:15">
      <c r="A176" t="str">
        <f>B166&amp;" : P5 EB2ADTS MB6 STTd  (Potentiel)"</f>
        <v>SOEE (hors BVH) : P5 EB2ADTS MB6 STTd  (Potentiel)</v>
      </c>
      <c r="C176" s="37" t="e">
        <f>C172+SUM(G173:G175)</f>
        <v>#REF!</v>
      </c>
      <c r="D176" s="38"/>
      <c r="E176" s="39" t="str">
        <f t="shared" si="7"/>
        <v/>
      </c>
      <c r="F176" s="40">
        <f t="shared" si="8"/>
        <v>0</v>
      </c>
      <c r="G176" s="46"/>
      <c r="H176" s="30"/>
      <c r="I176" s="12" t="e">
        <f t="shared" si="6"/>
        <v>#REF!</v>
      </c>
      <c r="J176" s="12"/>
      <c r="L176" s="50"/>
      <c r="M176" s="50"/>
      <c r="N176" s="44"/>
    </row>
    <row r="177" spans="1:13">
      <c r="A177" s="42"/>
      <c r="C177" s="37"/>
      <c r="D177" s="38"/>
      <c r="E177" s="39" t="str">
        <f t="shared" si="7"/>
        <v/>
      </c>
      <c r="F177" s="40">
        <f t="shared" si="8"/>
        <v>0</v>
      </c>
      <c r="G177" s="46"/>
      <c r="H177" s="30"/>
      <c r="I177" s="12" t="e">
        <f t="shared" si="6"/>
        <v>#REF!</v>
      </c>
      <c r="J177" s="12"/>
      <c r="L177" s="39" t="str">
        <f>IF(N177&gt;0,N177,"")</f>
        <v/>
      </c>
      <c r="M177" s="40">
        <f>IF(L177&lt;&gt;"","",ABS(N177))</f>
        <v>0</v>
      </c>
    </row>
    <row r="204" spans="1:15">
      <c r="A204" t="s">
        <v>1214</v>
      </c>
      <c r="B204" s="30" t="s">
        <v>1239</v>
      </c>
      <c r="I204" s="12" t="e">
        <f>'[6]A3 P51€'!K227+'[6]A3 P51€'!K226</f>
        <v>#REF!</v>
      </c>
    </row>
    <row r="205" spans="1:15">
      <c r="C205" t="s">
        <v>1217</v>
      </c>
      <c r="E205" t="s">
        <v>1218</v>
      </c>
      <c r="F205" t="s">
        <v>1219</v>
      </c>
      <c r="I205" t="e">
        <f>"Objectif "&amp;ROUND(I206,0)&amp;" kg"</f>
        <v>#REF!</v>
      </c>
      <c r="L205" t="s">
        <v>1242</v>
      </c>
      <c r="M205" t="s">
        <v>1243</v>
      </c>
      <c r="N205" t="s">
        <v>1244</v>
      </c>
      <c r="O205" t="s">
        <v>1245</v>
      </c>
    </row>
    <row r="206" spans="1:15">
      <c r="A206" t="str">
        <f>B204&amp;" : T9 EB2ADTS MB6 STTd niv2"</f>
        <v>SCEG (hors BVH) : T9 EB2ADTS MB6 STTd niv2</v>
      </c>
      <c r="C206" s="47" t="e">
        <f>'[6]A3 P51€'!C227+'[6]A3 P51€'!C226</f>
        <v>#REF!</v>
      </c>
      <c r="D206" s="33"/>
      <c r="E206" s="34"/>
      <c r="F206" s="35"/>
      <c r="G206" s="36"/>
      <c r="H206" s="30"/>
      <c r="I206" s="12" t="e">
        <f>C206+I204</f>
        <v>#REF!</v>
      </c>
      <c r="J206" s="12"/>
      <c r="L206" s="48"/>
      <c r="M206" s="48"/>
      <c r="N206" s="36"/>
    </row>
    <row r="207" spans="1:15">
      <c r="A207" s="42" t="s">
        <v>1230</v>
      </c>
      <c r="C207" s="43"/>
      <c r="D207" s="38" t="e">
        <f>IF((G207+N207)&gt;0,C206,C206+G207+N207)</f>
        <v>#REF!</v>
      </c>
      <c r="E207" s="39" t="e">
        <f>IF(G207&gt;0,G207,"")</f>
        <v>#REF!</v>
      </c>
      <c r="F207" s="40" t="e">
        <f>IF(E207&lt;&gt;"","",ABS(G207))</f>
        <v>#REF!</v>
      </c>
      <c r="G207" s="44" t="e">
        <f>'[6]A3 P51€'!C254-'[6]A3 P51€'!C255</f>
        <v>#REF!</v>
      </c>
      <c r="H207" s="30"/>
      <c r="I207" s="12" t="e">
        <f>I206</f>
        <v>#REF!</v>
      </c>
      <c r="J207" s="12"/>
      <c r="L207" s="39" t="str">
        <f>IF(N207&gt;0,N207,"")</f>
        <v/>
      </c>
      <c r="M207" s="40">
        <f>IF(L207&lt;&gt;"","",ABS(N207))</f>
        <v>0</v>
      </c>
      <c r="N207" s="46"/>
    </row>
    <row r="208" spans="1:15">
      <c r="A208" s="42" t="str">
        <f>B204&amp;" : P5 EB2ADTS MB6 STTd"&amp;" (Réf)"</f>
        <v>SCEG (hors BVH) : P5 EB2ADTS MB6 STTd (Réf)</v>
      </c>
      <c r="C208" s="45" t="e">
        <f>C206+G207+N207</f>
        <v>#REF!</v>
      </c>
      <c r="D208" s="38"/>
      <c r="E208" s="39" t="str">
        <f>IF(G208&gt;0,G208,"")</f>
        <v/>
      </c>
      <c r="F208" s="40">
        <f>IF(E208&lt;&gt;"","",ABS(G208))</f>
        <v>0</v>
      </c>
      <c r="G208" s="46"/>
      <c r="H208" s="30"/>
      <c r="I208" s="12" t="e">
        <f t="shared" ref="I208:I215" si="9">I207</f>
        <v>#REF!</v>
      </c>
      <c r="J208" s="12"/>
      <c r="L208" s="50"/>
      <c r="M208" s="50"/>
      <c r="N208" s="46"/>
    </row>
    <row r="209" spans="1:13">
      <c r="A209" s="42" t="s">
        <v>1222</v>
      </c>
      <c r="C209" s="43"/>
      <c r="D209" s="38" t="e">
        <f>IF((G209+N209)&gt;0,C208,C208+G209+N209)</f>
        <v>#REF!</v>
      </c>
      <c r="E209" s="39" t="e">
        <f>IF(G209&gt;0,G209,"")</f>
        <v>#REF!</v>
      </c>
      <c r="F209" s="40" t="e">
        <f>IF(E209&lt;&gt;"","",ABS(G209))</f>
        <v>#REF!</v>
      </c>
      <c r="G209" s="46" t="e">
        <f>'[6]A3 P51€'!E254-'[6]A3 P51€'!E255</f>
        <v>#REF!</v>
      </c>
      <c r="H209" s="30"/>
      <c r="I209" s="12" t="e">
        <f t="shared" si="9"/>
        <v>#REF!</v>
      </c>
      <c r="J209" s="12"/>
      <c r="L209" s="39" t="str">
        <f>IF(N209&gt;0,N209,"")</f>
        <v/>
      </c>
      <c r="M209" s="40">
        <f>IF(L209&lt;&gt;"","",ABS(N209))</f>
        <v>0</v>
      </c>
    </row>
    <row r="210" spans="1:13">
      <c r="A210" s="42" t="str">
        <f>B204&amp;" : P5 EB2ADTS MB6 STTd  (prévisionnel)"</f>
        <v>SCEG (hors BVH) : P5 EB2ADTS MB6 STTd  (prévisionnel)</v>
      </c>
      <c r="C210" s="45" t="e">
        <f>C208+SUM(G209:G209)</f>
        <v>#REF!</v>
      </c>
      <c r="D210" s="38"/>
      <c r="E210" s="39" t="str">
        <f t="shared" ref="E210:E215" si="10">IF(G210&gt;0,G210,"")</f>
        <v/>
      </c>
      <c r="F210" s="40">
        <f t="shared" ref="F210:F215" si="11">IF(E210&lt;&gt;"","",ABS(G210))</f>
        <v>0</v>
      </c>
      <c r="G210" s="46"/>
      <c r="H210" s="30"/>
      <c r="I210" s="12" t="e">
        <f t="shared" si="9"/>
        <v>#REF!</v>
      </c>
      <c r="L210" s="39" t="str">
        <f>IF(N210&gt;0,N210,"")</f>
        <v/>
      </c>
      <c r="M210" s="40">
        <f>IF(L210&lt;&gt;"","",ABS(N210))</f>
        <v>0</v>
      </c>
    </row>
    <row r="211" spans="1:13">
      <c r="A211" s="42" t="s">
        <v>1223</v>
      </c>
      <c r="C211" s="37"/>
      <c r="D211" s="38" t="e">
        <f>IF((G211+N211)&gt;0,C210,C210+G211+N211)</f>
        <v>#REF!</v>
      </c>
      <c r="E211" s="39" t="e">
        <f t="shared" si="10"/>
        <v>#REF!</v>
      </c>
      <c r="F211" s="40" t="e">
        <f t="shared" si="11"/>
        <v>#REF!</v>
      </c>
      <c r="G211" s="46" t="e">
        <f>'[6]A3 P51€'!F254-'[6]A3 P51€'!F255</f>
        <v>#REF!</v>
      </c>
      <c r="H211" s="30"/>
      <c r="I211" s="12" t="e">
        <f t="shared" si="9"/>
        <v>#REF!</v>
      </c>
      <c r="J211" s="12"/>
      <c r="L211" s="50"/>
      <c r="M211" s="50"/>
    </row>
    <row r="212" spans="1:13">
      <c r="A212" s="42" t="s">
        <v>1226</v>
      </c>
      <c r="C212" s="37"/>
      <c r="D212" s="38" t="e">
        <f>IF((G211+N211)&gt;0,D211+G211+N211+IF((G212+N212)&gt;0,0,G212+N212),IF((G212+N212)&gt;0,D211,D211+G212+N212))</f>
        <v>#REF!</v>
      </c>
      <c r="E212" s="39" t="e">
        <f t="shared" si="10"/>
        <v>#REF!</v>
      </c>
      <c r="F212" s="40" t="e">
        <f t="shared" si="11"/>
        <v>#REF!</v>
      </c>
      <c r="G212" s="46" t="e">
        <f>'[6]A3 P51€'!H254-'[6]A3 P51€'!H255</f>
        <v>#REF!</v>
      </c>
      <c r="H212" s="30"/>
      <c r="I212" s="12" t="e">
        <f t="shared" si="9"/>
        <v>#REF!</v>
      </c>
      <c r="J212" s="12"/>
      <c r="L212" s="39" t="str">
        <f>IF(N212&gt;0,N212,"")</f>
        <v/>
      </c>
      <c r="M212" s="40">
        <f>IF(L212&lt;&gt;"","",ABS(N212))</f>
        <v>0</v>
      </c>
    </row>
    <row r="213" spans="1:13">
      <c r="A213" s="42" t="s">
        <v>1240</v>
      </c>
      <c r="C213" s="37"/>
      <c r="D213" s="38" t="e">
        <f>IF((G212+N212)&gt;0,D212+G212+N212+IF((G213+N213)&gt;0,0,G213+N213),IF((G213+N213)&gt;0,D212,D212+G213+N213))</f>
        <v>#REF!</v>
      </c>
      <c r="E213" s="39" t="e">
        <f t="shared" si="10"/>
        <v>#REF!</v>
      </c>
      <c r="F213" s="40" t="e">
        <f t="shared" si="11"/>
        <v>#REF!</v>
      </c>
      <c r="G213" s="46" t="e">
        <f>'[6]A3 P51€'!I254-'[6]A3 P51€'!I255</f>
        <v>#REF!</v>
      </c>
      <c r="H213" s="30"/>
      <c r="I213" s="12" t="e">
        <f t="shared" si="9"/>
        <v>#REF!</v>
      </c>
      <c r="J213" s="12"/>
      <c r="L213" s="39"/>
      <c r="M213" s="40"/>
    </row>
    <row r="214" spans="1:13">
      <c r="A214" t="str">
        <f>B204&amp;" : P5 EB2ADTS MB6 STTd  (Potentiel)"</f>
        <v>SCEG (hors BVH) : P5 EB2ADTS MB6 STTd  (Potentiel)</v>
      </c>
      <c r="C214" s="37" t="e">
        <f>C210+SUM(G211:G213)</f>
        <v>#REF!</v>
      </c>
      <c r="D214" s="38"/>
      <c r="E214" s="39" t="str">
        <f t="shared" si="10"/>
        <v/>
      </c>
      <c r="F214" s="40">
        <f t="shared" si="11"/>
        <v>0</v>
      </c>
      <c r="G214" s="46"/>
      <c r="H214" s="30"/>
      <c r="I214" s="12" t="e">
        <f t="shared" si="9"/>
        <v>#REF!</v>
      </c>
      <c r="J214" s="12"/>
      <c r="L214" s="50"/>
      <c r="M214" s="50"/>
    </row>
    <row r="215" spans="1:13">
      <c r="A215" s="42"/>
      <c r="C215" s="37"/>
      <c r="D215" s="38"/>
      <c r="E215" s="39" t="str">
        <f t="shared" si="10"/>
        <v/>
      </c>
      <c r="F215" s="40">
        <f t="shared" si="11"/>
        <v>0</v>
      </c>
      <c r="G215" s="46"/>
      <c r="H215" s="30"/>
      <c r="I215" s="12" t="e">
        <f t="shared" si="9"/>
        <v>#REF!</v>
      </c>
      <c r="J215" s="12"/>
      <c r="L215" s="39" t="str">
        <f>IF(N215&gt;0,N215,"")</f>
        <v/>
      </c>
      <c r="M215" s="40">
        <f>IF(L215&lt;&gt;"","",ABS(N215))</f>
        <v>0</v>
      </c>
    </row>
    <row r="241" spans="1:15">
      <c r="A241" t="s">
        <v>1214</v>
      </c>
      <c r="B241" s="30" t="s">
        <v>1241</v>
      </c>
      <c r="I241" s="12" t="e">
        <f>'[6]A3 P51€'!K220-'[6]A3 P51€'!K221</f>
        <v>#REF!</v>
      </c>
    </row>
    <row r="242" spans="1:15">
      <c r="C242" t="s">
        <v>1217</v>
      </c>
      <c r="E242" t="s">
        <v>1218</v>
      </c>
      <c r="F242" t="s">
        <v>1219</v>
      </c>
      <c r="I242" t="e">
        <f>"Objectif "&amp;ROUND(I243,0)&amp;" kg"</f>
        <v>#REF!</v>
      </c>
      <c r="L242" t="s">
        <v>1242</v>
      </c>
      <c r="M242" t="s">
        <v>1243</v>
      </c>
      <c r="N242" t="s">
        <v>1244</v>
      </c>
      <c r="O242" t="s">
        <v>1245</v>
      </c>
    </row>
    <row r="243" spans="1:15">
      <c r="A243" t="str">
        <f>B241&amp;" : T9 EB2ADTS MB6 STTd niv2"</f>
        <v>SOEE (hors BVH) : T9 EB2ADTS MB6 STTd niv2</v>
      </c>
      <c r="C243" s="47" t="e">
        <f>'[6]A3 P51€'!C220-'[6]A3 P51€'!C221</f>
        <v>#REF!</v>
      </c>
      <c r="D243" s="33"/>
      <c r="E243" s="34"/>
      <c r="F243" s="35"/>
      <c r="G243" s="36"/>
      <c r="H243" s="30"/>
      <c r="I243" s="12" t="e">
        <f>C243+I241</f>
        <v>#REF!</v>
      </c>
      <c r="J243" s="12"/>
      <c r="L243" s="48"/>
      <c r="M243" s="48"/>
      <c r="N243" s="36"/>
    </row>
    <row r="244" spans="1:15">
      <c r="A244" s="42" t="s">
        <v>1230</v>
      </c>
      <c r="C244" s="43"/>
      <c r="D244" s="38" t="e">
        <f>IF((G244+N244)&gt;0,C243,C243+G244+N244)</f>
        <v>#REF!</v>
      </c>
      <c r="E244" s="39" t="e">
        <f>IF(G244&gt;0,G244,"")</f>
        <v>#REF!</v>
      </c>
      <c r="F244" s="40" t="e">
        <f>IF(E244&lt;&gt;"","",ABS(G244))</f>
        <v>#REF!</v>
      </c>
      <c r="G244" s="44" t="e">
        <f>'[6]A3 P51€'!C250-'[6]A3 P51€'!C251</f>
        <v>#REF!</v>
      </c>
      <c r="H244" s="30"/>
      <c r="I244" s="12" t="e">
        <f>I243</f>
        <v>#REF!</v>
      </c>
      <c r="J244" s="12"/>
      <c r="L244" s="39" t="str">
        <f>IF(N244&gt;0,N244,"")</f>
        <v/>
      </c>
      <c r="M244" s="40">
        <f>IF(L244&lt;&gt;"","",ABS(N244))</f>
        <v>0</v>
      </c>
      <c r="N244" s="46"/>
    </row>
    <row r="245" spans="1:15">
      <c r="A245" s="42" t="str">
        <f>B241&amp;" : P5 EB2ADTS MB6 STTd"&amp;" (Réf)"</f>
        <v>SOEE (hors BVH) : P5 EB2ADTS MB6 STTd (Réf)</v>
      </c>
      <c r="C245" s="45" t="e">
        <f>C243+G244+N244</f>
        <v>#REF!</v>
      </c>
      <c r="D245" s="38"/>
      <c r="E245" s="39" t="str">
        <f>IF(G245&gt;0,G245,"")</f>
        <v/>
      </c>
      <c r="F245" s="40">
        <f>IF(E245&lt;&gt;"","",ABS(G245))</f>
        <v>0</v>
      </c>
      <c r="G245" s="46"/>
      <c r="H245" s="30"/>
      <c r="I245" s="12" t="e">
        <f t="shared" ref="I245:I252" si="12">I244</f>
        <v>#REF!</v>
      </c>
      <c r="J245" s="12"/>
      <c r="L245" s="50"/>
      <c r="M245" s="50"/>
      <c r="N245" s="46"/>
    </row>
    <row r="246" spans="1:15">
      <c r="A246" s="42" t="s">
        <v>1222</v>
      </c>
      <c r="C246" s="43"/>
      <c r="D246" s="38" t="e">
        <f>IF((G246+N246)&gt;0,C245,C245+G246+N246)</f>
        <v>#REF!</v>
      </c>
      <c r="E246" s="39" t="e">
        <f>IF(G246&gt;0,G246,"")</f>
        <v>#REF!</v>
      </c>
      <c r="F246" s="40" t="e">
        <f>IF(E246&lt;&gt;"","",ABS(G246))</f>
        <v>#REF!</v>
      </c>
      <c r="G246" s="46" t="e">
        <f>'[6]A3 P51€'!E250-'[6]A3 P51€'!E251</f>
        <v>#REF!</v>
      </c>
      <c r="H246" s="30"/>
      <c r="I246" s="12" t="e">
        <f t="shared" si="12"/>
        <v>#REF!</v>
      </c>
      <c r="J246" s="12"/>
      <c r="L246" s="39" t="str">
        <f>IF(N246&gt;0,N246,"")</f>
        <v/>
      </c>
      <c r="M246" s="40">
        <f>IF(L246&lt;&gt;"","",ABS(N246))</f>
        <v>0</v>
      </c>
      <c r="N246" s="44"/>
    </row>
    <row r="247" spans="1:15">
      <c r="A247" s="42" t="str">
        <f>B241&amp;" : P5 EB2ADTS MB6 STTd  (prévisionnel)"</f>
        <v>SOEE (hors BVH) : P5 EB2ADTS MB6 STTd  (prévisionnel)</v>
      </c>
      <c r="C247" s="45" t="e">
        <f>C245+SUM(G246:G246)</f>
        <v>#REF!</v>
      </c>
      <c r="D247" s="38"/>
      <c r="E247" s="39" t="str">
        <f t="shared" ref="E247:E252" si="13">IF(G247&gt;0,G247,"")</f>
        <v/>
      </c>
      <c r="F247" s="40">
        <f t="shared" ref="F247:F252" si="14">IF(E247&lt;&gt;"","",ABS(G247))</f>
        <v>0</v>
      </c>
      <c r="G247" s="46"/>
      <c r="H247" s="30"/>
      <c r="I247" s="12" t="e">
        <f t="shared" si="12"/>
        <v>#REF!</v>
      </c>
      <c r="L247" s="39" t="str">
        <f>IF(N247&gt;0,N247,"")</f>
        <v/>
      </c>
      <c r="M247" s="40">
        <f>IF(L247&lt;&gt;"","",ABS(N247))</f>
        <v>0</v>
      </c>
      <c r="N247" s="46"/>
    </row>
    <row r="248" spans="1:15">
      <c r="A248" s="42" t="s">
        <v>1223</v>
      </c>
      <c r="C248" s="37"/>
      <c r="D248" s="38" t="e">
        <f>IF((G248+N248)&gt;0,C247,C247+G248+N248)</f>
        <v>#REF!</v>
      </c>
      <c r="E248" s="39" t="e">
        <f t="shared" si="13"/>
        <v>#REF!</v>
      </c>
      <c r="F248" s="40" t="e">
        <f t="shared" si="14"/>
        <v>#REF!</v>
      </c>
      <c r="G248" s="46" t="e">
        <f>'[6]A3 P51€'!F250-'[6]A3 P51€'!F251</f>
        <v>#REF!</v>
      </c>
      <c r="H248" s="30"/>
      <c r="I248" s="12" t="e">
        <f t="shared" si="12"/>
        <v>#REF!</v>
      </c>
      <c r="J248" s="12"/>
      <c r="L248" s="50"/>
      <c r="M248" s="50"/>
      <c r="N248" s="46"/>
    </row>
    <row r="249" spans="1:15">
      <c r="A249" s="42" t="s">
        <v>1226</v>
      </c>
      <c r="C249" s="37"/>
      <c r="D249" s="38" t="e">
        <f>IF((G248+N248)&gt;0,D248+G248+N248+IF((G249+N249)&gt;0,0,G249+N249),IF((G249+N249)&gt;0,D248,D248+G249+N249))</f>
        <v>#REF!</v>
      </c>
      <c r="E249" s="39" t="e">
        <f t="shared" si="13"/>
        <v>#REF!</v>
      </c>
      <c r="F249" s="40" t="e">
        <f t="shared" si="14"/>
        <v>#REF!</v>
      </c>
      <c r="G249" s="44" t="e">
        <f>'[6]A3 P51€'!H250-'[6]A3 P51€'!H251</f>
        <v>#REF!</v>
      </c>
      <c r="H249" s="30"/>
      <c r="I249" s="12" t="e">
        <f t="shared" si="12"/>
        <v>#REF!</v>
      </c>
      <c r="J249" s="12"/>
      <c r="L249" s="39" t="str">
        <f>IF(N249&gt;0,N249,"")</f>
        <v/>
      </c>
      <c r="M249" s="40">
        <f>IF(L249&lt;&gt;"","",ABS(N249))</f>
        <v>0</v>
      </c>
      <c r="N249" s="44"/>
    </row>
    <row r="250" spans="1:15">
      <c r="A250" s="42" t="s">
        <v>1240</v>
      </c>
      <c r="C250" s="37"/>
      <c r="D250" s="38" t="e">
        <f>IF((G249+N249)&gt;0,D249+G249+N249+IF((G250+N250)&gt;0,0,G250+N250),IF((G250+N250)&gt;0,D249,D249+G250+N250))</f>
        <v>#REF!</v>
      </c>
      <c r="E250" s="39" t="e">
        <f t="shared" si="13"/>
        <v>#REF!</v>
      </c>
      <c r="F250" s="40" t="e">
        <f t="shared" si="14"/>
        <v>#REF!</v>
      </c>
      <c r="G250" s="46" t="e">
        <f>'[6]A3 P51€'!I250-'[6]A3 P51€'!I251</f>
        <v>#REF!</v>
      </c>
      <c r="H250" s="30"/>
      <c r="I250" s="12" t="e">
        <f t="shared" si="12"/>
        <v>#REF!</v>
      </c>
      <c r="J250" s="12"/>
      <c r="L250" s="39"/>
      <c r="M250" s="40"/>
      <c r="N250" s="44"/>
    </row>
    <row r="251" spans="1:15">
      <c r="A251" t="str">
        <f>B241&amp;" : P5 EB2ADTS MB6 STTd  (Potentiel)"</f>
        <v>SOEE (hors BVH) : P5 EB2ADTS MB6 STTd  (Potentiel)</v>
      </c>
      <c r="C251" s="37" t="e">
        <f>C247+SUM(G248:G250)</f>
        <v>#REF!</v>
      </c>
      <c r="D251" s="38"/>
      <c r="E251" s="39" t="str">
        <f t="shared" si="13"/>
        <v/>
      </c>
      <c r="F251" s="40">
        <f t="shared" si="14"/>
        <v>0</v>
      </c>
      <c r="G251" s="46"/>
      <c r="H251" s="30"/>
      <c r="I251" s="12" t="e">
        <f t="shared" si="12"/>
        <v>#REF!</v>
      </c>
      <c r="J251" s="12"/>
      <c r="L251" s="50"/>
      <c r="M251" s="50"/>
      <c r="N251" s="44"/>
    </row>
    <row r="252" spans="1:15">
      <c r="A252" s="42"/>
      <c r="C252" s="37"/>
      <c r="D252" s="38"/>
      <c r="E252" s="39" t="str">
        <f t="shared" si="13"/>
        <v/>
      </c>
      <c r="F252" s="40">
        <f t="shared" si="14"/>
        <v>0</v>
      </c>
      <c r="G252" s="46"/>
      <c r="H252" s="30"/>
      <c r="I252" s="12" t="e">
        <f t="shared" si="12"/>
        <v>#REF!</v>
      </c>
      <c r="J252" s="12"/>
      <c r="L252" s="39" t="str">
        <f>IF(N252&gt;0,N252,"")</f>
        <v/>
      </c>
      <c r="M252" s="40">
        <f>IF(L252&lt;&gt;"","",ABS(N252))</f>
        <v>0</v>
      </c>
      <c r="N252" s="46"/>
    </row>
    <row r="278" spans="1:15">
      <c r="A278" t="s">
        <v>1214</v>
      </c>
      <c r="B278" s="30" t="s">
        <v>1246</v>
      </c>
      <c r="I278" s="12" t="e">
        <f>'[6]A3 P51€'!K228-'[6]A3 P51€'!K229</f>
        <v>#REF!</v>
      </c>
    </row>
    <row r="279" spans="1:15">
      <c r="C279" t="s">
        <v>1217</v>
      </c>
      <c r="E279" t="s">
        <v>1218</v>
      </c>
      <c r="F279" t="s">
        <v>1219</v>
      </c>
      <c r="I279" t="e">
        <f>"Objectif "&amp;ROUND(I280,0)&amp;" kg"</f>
        <v>#REF!</v>
      </c>
      <c r="L279" t="s">
        <v>1242</v>
      </c>
      <c r="M279" t="s">
        <v>1243</v>
      </c>
      <c r="N279" t="s">
        <v>1244</v>
      </c>
      <c r="O279" t="s">
        <v>1245</v>
      </c>
    </row>
    <row r="280" spans="1:15">
      <c r="A280" t="str">
        <f>B278&amp;" : T9 EB2ADTS MB6 STTd niv2"</f>
        <v>SPCS (hors BVH) : T9 EB2ADTS MB6 STTd niv2</v>
      </c>
      <c r="C280" s="32" t="e">
        <f>'[6]A3 P51€'!C228-'[6]A3 P51€'!C229</f>
        <v>#REF!</v>
      </c>
      <c r="D280" s="33"/>
      <c r="E280" s="34"/>
      <c r="F280" s="35"/>
      <c r="G280" s="36"/>
      <c r="H280" s="30"/>
      <c r="I280" s="12" t="e">
        <f>C280+I278</f>
        <v>#REF!</v>
      </c>
      <c r="J280" s="12"/>
      <c r="L280" s="48"/>
      <c r="M280" s="48"/>
      <c r="N280" s="36"/>
    </row>
    <row r="281" spans="1:15">
      <c r="A281" s="42" t="s">
        <v>1230</v>
      </c>
      <c r="C281" s="43"/>
      <c r="D281" s="38" t="e">
        <f>IF((G281+N281)&gt;0,C280,C280+G281+N281)</f>
        <v>#REF!</v>
      </c>
      <c r="E281" s="39" t="e">
        <f>IF(G281&gt;0,G281,"")</f>
        <v>#REF!</v>
      </c>
      <c r="F281" s="40" t="e">
        <f>IF(E281&lt;&gt;"","",ABS(G281))</f>
        <v>#REF!</v>
      </c>
      <c r="G281" s="46" t="e">
        <f>'[6]A3 P51€'!C258-'[6]A3 P51€'!C259</f>
        <v>#REF!</v>
      </c>
      <c r="H281" s="30"/>
      <c r="I281" s="12" t="e">
        <f>I280</f>
        <v>#REF!</v>
      </c>
      <c r="J281" s="12"/>
      <c r="L281" s="39" t="str">
        <f>IF(N281&gt;0,N281,"")</f>
        <v/>
      </c>
      <c r="M281" s="40">
        <f>IF(L281&lt;&gt;"","",ABS(N281))</f>
        <v>0</v>
      </c>
      <c r="N281" s="46"/>
    </row>
    <row r="282" spans="1:15">
      <c r="A282" s="42" t="str">
        <f>B278&amp;" : P5 EB2ADTS MB6 STTd"&amp;" (Réf)"</f>
        <v>SPCS (hors BVH) : P5 EB2ADTS MB6 STTd (Réf)</v>
      </c>
      <c r="C282" s="37" t="e">
        <f>C280+G281+N281</f>
        <v>#REF!</v>
      </c>
      <c r="D282" s="38"/>
      <c r="E282" s="39" t="str">
        <f>IF(G282&gt;0,G282,"")</f>
        <v/>
      </c>
      <c r="F282" s="40">
        <f>IF(E282&lt;&gt;"","",ABS(G282))</f>
        <v>0</v>
      </c>
      <c r="G282" s="46"/>
      <c r="H282" s="30"/>
      <c r="I282" s="12" t="e">
        <f t="shared" ref="I282:I289" si="15">I281</f>
        <v>#REF!</v>
      </c>
      <c r="J282" s="12"/>
      <c r="L282" s="50"/>
      <c r="M282" s="50"/>
      <c r="N282" s="46"/>
    </row>
    <row r="283" spans="1:15">
      <c r="A283" s="42" t="s">
        <v>1222</v>
      </c>
      <c r="C283" s="43"/>
      <c r="D283" s="38" t="e">
        <f>IF((G283+N283)&gt;0,C282,C282+G283+N283)</f>
        <v>#REF!</v>
      </c>
      <c r="E283" s="39" t="e">
        <f>IF(G283&gt;0,G283,"")</f>
        <v>#REF!</v>
      </c>
      <c r="F283" s="40" t="e">
        <f>IF(E283&lt;&gt;"","",ABS(G283))</f>
        <v>#REF!</v>
      </c>
      <c r="G283" s="44" t="e">
        <f>'[6]A3 P51€'!E258-'[6]A3 P51€'!E259</f>
        <v>#REF!</v>
      </c>
      <c r="H283" s="30"/>
      <c r="I283" s="12" t="e">
        <f t="shared" si="15"/>
        <v>#REF!</v>
      </c>
      <c r="J283" s="12"/>
      <c r="L283" s="39" t="str">
        <f>IF(N283&gt;0,N283,"")</f>
        <v/>
      </c>
      <c r="M283" s="40">
        <f>IF(L283&lt;&gt;"","",ABS(N283))</f>
        <v>0</v>
      </c>
      <c r="N283" s="44"/>
    </row>
    <row r="284" spans="1:15">
      <c r="A284" s="42" t="str">
        <f>B278&amp;" : P5 EB2ADTS MB6 STTd  (prévisionnel)"</f>
        <v>SPCS (hors BVH) : P5 EB2ADTS MB6 STTd  (prévisionnel)</v>
      </c>
      <c r="C284" s="45" t="e">
        <f>C282+SUM(G283:G283)</f>
        <v>#REF!</v>
      </c>
      <c r="D284" s="38"/>
      <c r="E284" s="39" t="str">
        <f t="shared" ref="E284:E289" si="16">IF(G284&gt;0,G284,"")</f>
        <v/>
      </c>
      <c r="F284" s="40">
        <f t="shared" ref="F284:F289" si="17">IF(E284&lt;&gt;"","",ABS(G284))</f>
        <v>0</v>
      </c>
      <c r="G284" s="46"/>
      <c r="H284" s="30"/>
      <c r="I284" s="12" t="e">
        <f t="shared" si="15"/>
        <v>#REF!</v>
      </c>
      <c r="J284" s="12"/>
      <c r="L284" s="39" t="str">
        <f>IF(N284&gt;0,N284,"")</f>
        <v/>
      </c>
      <c r="M284" s="40">
        <f>IF(L284&lt;&gt;"","",ABS(N284))</f>
        <v>0</v>
      </c>
      <c r="N284" s="46"/>
    </row>
    <row r="285" spans="1:15">
      <c r="A285" s="42" t="s">
        <v>1223</v>
      </c>
      <c r="C285" s="37"/>
      <c r="D285" s="38" t="e">
        <f>IF((G285+N285)&gt;0,C284,C284+G285+N285)</f>
        <v>#REF!</v>
      </c>
      <c r="E285" s="39" t="e">
        <f t="shared" si="16"/>
        <v>#REF!</v>
      </c>
      <c r="F285" s="40" t="e">
        <f t="shared" si="17"/>
        <v>#REF!</v>
      </c>
      <c r="G285" s="46" t="e">
        <f>'[6]A3 P51€'!F258-'[6]A3 P51€'!F259</f>
        <v>#REF!</v>
      </c>
      <c r="H285" s="30"/>
      <c r="I285" s="12" t="e">
        <f t="shared" si="15"/>
        <v>#REF!</v>
      </c>
      <c r="J285" s="12"/>
      <c r="L285" s="50"/>
      <c r="M285" s="50"/>
      <c r="N285" s="46"/>
    </row>
    <row r="286" spans="1:15">
      <c r="A286" s="42" t="s">
        <v>1226</v>
      </c>
      <c r="C286" s="37"/>
      <c r="D286" s="38" t="e">
        <f>IF((G285+N285)&gt;0,D285+G285+N285+IF((G286+N286)&gt;0,0,G286+N286),IF((G286+N286)&gt;0,D285,D285+G286+N286))</f>
        <v>#REF!</v>
      </c>
      <c r="E286" s="39" t="e">
        <f t="shared" si="16"/>
        <v>#REF!</v>
      </c>
      <c r="F286" s="40" t="e">
        <f t="shared" si="17"/>
        <v>#REF!</v>
      </c>
      <c r="G286" s="44" t="e">
        <f>'[6]A3 P51€'!H258-'[6]A3 P51€'!H259</f>
        <v>#REF!</v>
      </c>
      <c r="H286" s="30"/>
      <c r="I286" s="12" t="e">
        <f t="shared" si="15"/>
        <v>#REF!</v>
      </c>
      <c r="J286" s="12"/>
      <c r="L286" s="39" t="str">
        <f>IF(N286&gt;0,N286,"")</f>
        <v/>
      </c>
      <c r="M286" s="40">
        <f>IF(L286&lt;&gt;"","",ABS(N286))</f>
        <v>0</v>
      </c>
      <c r="N286" s="44"/>
    </row>
    <row r="287" spans="1:15">
      <c r="A287" s="42" t="s">
        <v>1240</v>
      </c>
      <c r="C287" s="37"/>
      <c r="D287" s="38" t="e">
        <f>IF((G286+N286)&gt;0,D286+G286+N286+IF((G287+N287)&gt;0,0,G287+N287),IF((G287+N287)&gt;0,D286,D286+G287+N287))</f>
        <v>#REF!</v>
      </c>
      <c r="E287" s="39" t="e">
        <f t="shared" si="16"/>
        <v>#REF!</v>
      </c>
      <c r="F287" s="40" t="e">
        <f t="shared" si="17"/>
        <v>#REF!</v>
      </c>
      <c r="G287" s="46" t="e">
        <f>'[6]A3 P51€'!I258-'[6]A3 P51€'!I259</f>
        <v>#REF!</v>
      </c>
      <c r="H287" s="30"/>
      <c r="I287" s="12" t="e">
        <f t="shared" si="15"/>
        <v>#REF!</v>
      </c>
      <c r="J287" s="12"/>
      <c r="L287" s="39"/>
      <c r="M287" s="40"/>
      <c r="N287" s="44"/>
    </row>
    <row r="288" spans="1:15">
      <c r="A288" t="str">
        <f>B278&amp;" : P5 EB2ADTS MB6 STTd  (Potentiel)"</f>
        <v>SPCS (hors BVH) : P5 EB2ADTS MB6 STTd  (Potentiel)</v>
      </c>
      <c r="C288" s="37" t="e">
        <f>C284+SUM(G285:G287)</f>
        <v>#REF!</v>
      </c>
      <c r="D288" s="38"/>
      <c r="E288" s="39" t="str">
        <f t="shared" si="16"/>
        <v/>
      </c>
      <c r="F288" s="40">
        <f t="shared" si="17"/>
        <v>0</v>
      </c>
      <c r="G288" s="46"/>
      <c r="H288" s="30"/>
      <c r="I288" s="12" t="e">
        <f t="shared" si="15"/>
        <v>#REF!</v>
      </c>
      <c r="J288" s="12"/>
      <c r="L288" s="50"/>
      <c r="M288" s="50"/>
      <c r="N288" s="44"/>
    </row>
    <row r="289" spans="1:13">
      <c r="A289" s="42"/>
      <c r="C289" s="37"/>
      <c r="D289" s="38"/>
      <c r="E289" s="39" t="str">
        <f t="shared" si="16"/>
        <v/>
      </c>
      <c r="F289" s="40">
        <f t="shared" si="17"/>
        <v>0</v>
      </c>
      <c r="G289" s="46"/>
      <c r="H289" s="30"/>
      <c r="I289" s="12" t="e">
        <f t="shared" si="15"/>
        <v>#REF!</v>
      </c>
      <c r="J289" s="12"/>
      <c r="L289" s="39" t="str">
        <f>IF(N289&gt;0,N289,"")</f>
        <v/>
      </c>
      <c r="M289" s="40">
        <f>IF(L289&lt;&gt;"","",ABS(N289))</f>
        <v>0</v>
      </c>
    </row>
    <row r="314" spans="1:1">
      <c r="A314" s="51" t="s">
        <v>1247</v>
      </c>
    </row>
  </sheetData>
  <conditionalFormatting sqref="A314">
    <cfRule type="cellIs" dxfId="0" priority="1" stopIfTrue="1" operator="equal">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5">
    <tabColor theme="4"/>
  </sheetPr>
  <dimension ref="A2:Z57"/>
  <sheetViews>
    <sheetView workbookViewId="0"/>
  </sheetViews>
  <sheetFormatPr defaultColWidth="11.42578125" defaultRowHeight="13.15"/>
  <cols>
    <col min="1" max="1" width="13.42578125" style="52" customWidth="1"/>
    <col min="2" max="2" width="15.28515625" style="52" customWidth="1"/>
    <col min="3" max="8" width="11.42578125" style="52"/>
    <col min="9" max="9" width="28.140625" style="52" customWidth="1"/>
    <col min="10" max="10" width="2.28515625" style="56" customWidth="1"/>
    <col min="11" max="18" width="11.42578125" style="52"/>
    <col min="19" max="19" width="32.5703125" style="52" customWidth="1"/>
    <col min="20" max="20" width="2.28515625" style="56" customWidth="1"/>
    <col min="21" max="16384" width="11.42578125" style="52"/>
  </cols>
  <sheetData>
    <row r="2" spans="22:26">
      <c r="W2" s="53" t="s">
        <v>1265</v>
      </c>
      <c r="X2" s="53" t="s">
        <v>1265</v>
      </c>
      <c r="Y2" s="53" t="s">
        <v>1265</v>
      </c>
      <c r="Z2" s="53" t="s">
        <v>1265</v>
      </c>
    </row>
    <row r="3" spans="22:26">
      <c r="V3" s="53" t="s">
        <v>1234</v>
      </c>
      <c r="W3" s="54">
        <v>-0.01</v>
      </c>
      <c r="X3" s="54">
        <v>0.01</v>
      </c>
      <c r="Y3" s="54">
        <v>0.02</v>
      </c>
      <c r="Z3" s="54">
        <v>0.03</v>
      </c>
    </row>
    <row r="4" spans="22:26">
      <c r="V4" s="53">
        <v>1191</v>
      </c>
      <c r="W4" s="55">
        <f>$V4*0.99</f>
        <v>1179.0899999999999</v>
      </c>
      <c r="X4" s="55">
        <f>$V4*1.01</f>
        <v>1202.9100000000001</v>
      </c>
      <c r="Y4" s="55">
        <f>$V4*1.02</f>
        <v>1214.82</v>
      </c>
      <c r="Z4" s="55">
        <f>$V4*1.03</f>
        <v>1226.73</v>
      </c>
    </row>
    <row r="5" spans="22:26">
      <c r="V5" s="53" t="s">
        <v>1266</v>
      </c>
      <c r="W5" s="55">
        <f>W4-$V4</f>
        <v>-11.910000000000082</v>
      </c>
      <c r="X5" s="55">
        <f>X4-$V4</f>
        <v>11.910000000000082</v>
      </c>
      <c r="Y5" s="55">
        <f>Y4-$V4</f>
        <v>23.819999999999936</v>
      </c>
      <c r="Z5" s="55">
        <f>Z4-$V4</f>
        <v>35.730000000000018</v>
      </c>
    </row>
    <row r="7" spans="22:26">
      <c r="V7" s="53" t="s">
        <v>1234</v>
      </c>
      <c r="W7" s="54">
        <v>-0.01</v>
      </c>
      <c r="X7" s="54">
        <v>0.01</v>
      </c>
      <c r="Y7" s="54">
        <v>0.02</v>
      </c>
      <c r="Z7" s="54">
        <v>0.03</v>
      </c>
    </row>
    <row r="8" spans="22:26">
      <c r="V8" s="53">
        <v>1224</v>
      </c>
      <c r="W8" s="55">
        <f>$V8*0.99</f>
        <v>1211.76</v>
      </c>
      <c r="X8" s="55">
        <f>$V8*1.01</f>
        <v>1236.24</v>
      </c>
      <c r="Y8" s="55">
        <f>$V8*1.02</f>
        <v>1248.48</v>
      </c>
      <c r="Z8" s="55">
        <f>$V8*1.03</f>
        <v>1260.72</v>
      </c>
    </row>
    <row r="9" spans="22:26">
      <c r="V9" s="53" t="s">
        <v>1266</v>
      </c>
      <c r="W9" s="55">
        <f>W8-$V8</f>
        <v>-12.240000000000009</v>
      </c>
      <c r="X9" s="55">
        <f>X8-$V8</f>
        <v>12.240000000000009</v>
      </c>
      <c r="Y9" s="55">
        <f>Y8-$V8</f>
        <v>24.480000000000018</v>
      </c>
      <c r="Z9" s="55">
        <f>Z8-$V8</f>
        <v>36.720000000000027</v>
      </c>
    </row>
    <row r="28" spans="1:18">
      <c r="B28" s="577" t="s">
        <v>1267</v>
      </c>
      <c r="C28" s="577"/>
      <c r="D28" s="577"/>
      <c r="E28" s="577"/>
      <c r="L28" s="577" t="s">
        <v>1267</v>
      </c>
      <c r="M28" s="577"/>
      <c r="N28" s="577"/>
      <c r="O28" s="577"/>
    </row>
    <row r="29" spans="1:18" ht="39.6">
      <c r="A29" s="57" t="s">
        <v>1268</v>
      </c>
      <c r="B29" s="58" t="s">
        <v>32</v>
      </c>
      <c r="C29" s="59" t="s">
        <v>1269</v>
      </c>
      <c r="D29" s="60" t="s">
        <v>1270</v>
      </c>
      <c r="E29" s="61" t="s">
        <v>1271</v>
      </c>
      <c r="F29" s="62" t="s">
        <v>1272</v>
      </c>
      <c r="G29" s="63" t="s">
        <v>1273</v>
      </c>
      <c r="H29" s="58" t="s">
        <v>1234</v>
      </c>
      <c r="K29" s="64" t="s">
        <v>1274</v>
      </c>
      <c r="L29" s="58" t="str">
        <f>B29</f>
        <v>Date</v>
      </c>
      <c r="M29" s="59" t="str">
        <f t="shared" ref="M29:R29" si="0">C29</f>
        <v>REFERENCE</v>
      </c>
      <c r="N29" s="60" t="str">
        <f t="shared" si="0"/>
        <v>Prévisionnel (REF+1/2Risk+P1)</v>
      </c>
      <c r="O29" s="61" t="str">
        <f t="shared" si="0"/>
        <v>Potentiel (Prévi + P2)</v>
      </c>
      <c r="P29" s="62" t="str">
        <f t="shared" si="0"/>
        <v>Potentiel (Prévi + P2 + P3)</v>
      </c>
      <c r="Q29" s="65" t="s">
        <v>1273</v>
      </c>
      <c r="R29" s="58" t="str">
        <f t="shared" si="0"/>
        <v>Objectif</v>
      </c>
    </row>
    <row r="30" spans="1:18">
      <c r="B30" s="66" t="str">
        <f ca="1">YEAR(TODAY())&amp;"/"&amp;"S"&amp;WEEKNUM(TODAY())</f>
        <v>2026/S19</v>
      </c>
      <c r="C30" s="67" t="e">
        <f>#REF!</f>
        <v>#REF!</v>
      </c>
      <c r="D30" s="67" t="e">
        <f>C30+#REF!/2+#REF!+#REF!+#REF!</f>
        <v>#REF!</v>
      </c>
      <c r="E30" s="67" t="e">
        <f>D30+#REF!+#REF!</f>
        <v>#REF!</v>
      </c>
      <c r="F30" s="67" t="e">
        <f>E30+#REF!+#REF!+#REF!+#REF!+#REF!+#REF!</f>
        <v>#REF!</v>
      </c>
      <c r="G30" s="67" t="e">
        <f>F30+#REF!+#REF!</f>
        <v>#REF!</v>
      </c>
      <c r="H30" s="67">
        <f>1435+40</f>
        <v>1475</v>
      </c>
      <c r="L30" s="68" t="str">
        <f ca="1">YEAR(TODAY())&amp;"/"&amp;"S"&amp;WEEKNUM(TODAY())</f>
        <v>2026/S19</v>
      </c>
      <c r="M30" s="67" t="e">
        <f>#REF!</f>
        <v>#REF!</v>
      </c>
      <c r="N30" s="67" t="e">
        <f>#REF!</f>
        <v>#REF!</v>
      </c>
      <c r="O30" s="67" t="e">
        <f>N30+#REF!</f>
        <v>#REF!</v>
      </c>
      <c r="P30" s="67" t="e">
        <f>O30+#REF!+#REF!+#REF!</f>
        <v>#REF!</v>
      </c>
      <c r="Q30" s="67" t="e">
        <f>P30+#REF!</f>
        <v>#REF!</v>
      </c>
      <c r="R30" s="67" t="e">
        <f>#REF!</f>
        <v>#REF!</v>
      </c>
    </row>
    <row r="33" spans="2:25" ht="39.6">
      <c r="B33" s="58" t="str">
        <f t="shared" ref="B33:H33" si="1">B29</f>
        <v>Date</v>
      </c>
      <c r="C33" s="59" t="str">
        <f t="shared" si="1"/>
        <v>REFERENCE</v>
      </c>
      <c r="D33" s="60" t="str">
        <f t="shared" si="1"/>
        <v>Prévisionnel (REF+1/2Risk+P1)</v>
      </c>
      <c r="E33" s="61" t="str">
        <f t="shared" si="1"/>
        <v>Potentiel (Prévi + P2)</v>
      </c>
      <c r="F33" s="62" t="str">
        <f t="shared" si="1"/>
        <v>Potentiel (Prévi + P2 + P3)</v>
      </c>
      <c r="G33" s="63" t="str">
        <f>G29</f>
        <v>P4</v>
      </c>
      <c r="H33" s="58" t="str">
        <f t="shared" si="1"/>
        <v>Objectif</v>
      </c>
      <c r="I33" s="58" t="s">
        <v>1275</v>
      </c>
      <c r="J33" s="70"/>
      <c r="K33" s="69"/>
      <c r="L33" s="58" t="str">
        <f t="shared" ref="L33:R33" si="2">L29</f>
        <v>Date</v>
      </c>
      <c r="M33" s="59" t="str">
        <f t="shared" si="2"/>
        <v>REFERENCE</v>
      </c>
      <c r="N33" s="60" t="str">
        <f t="shared" si="2"/>
        <v>Prévisionnel (REF+1/2Risk+P1)</v>
      </c>
      <c r="O33" s="61" t="str">
        <f t="shared" si="2"/>
        <v>Potentiel (Prévi + P2)</v>
      </c>
      <c r="P33" s="62" t="str">
        <f t="shared" si="2"/>
        <v>Potentiel (Prévi + P2 + P3)</v>
      </c>
      <c r="Q33" s="65" t="str">
        <f>Q29</f>
        <v>P4</v>
      </c>
      <c r="R33" s="58" t="str">
        <f t="shared" si="2"/>
        <v>Objectif</v>
      </c>
      <c r="S33" s="71" t="s">
        <v>1275</v>
      </c>
      <c r="T33" s="70"/>
      <c r="V33" s="52" t="s">
        <v>1276</v>
      </c>
      <c r="W33" s="52" t="s">
        <v>1277</v>
      </c>
      <c r="X33" s="52" t="s">
        <v>1278</v>
      </c>
      <c r="Y33" s="52" t="s">
        <v>1279</v>
      </c>
    </row>
    <row r="34" spans="2:25">
      <c r="B34" s="66" t="s">
        <v>1280</v>
      </c>
      <c r="C34" s="73">
        <v>1496.4229999999998</v>
      </c>
      <c r="D34" s="73">
        <f>1513.053-14</f>
        <v>1499.0530000000001</v>
      </c>
      <c r="E34" s="73">
        <v>1467.7549999999999</v>
      </c>
      <c r="F34" s="73">
        <v>1408.6689999999999</v>
      </c>
      <c r="G34" s="73">
        <v>1408.6689999999999</v>
      </c>
      <c r="H34" s="74">
        <v>1400</v>
      </c>
      <c r="I34" s="75"/>
      <c r="J34" s="76"/>
      <c r="K34" s="72"/>
      <c r="L34" s="66" t="s">
        <v>1280</v>
      </c>
      <c r="M34" s="73">
        <v>608.1</v>
      </c>
      <c r="N34" s="73">
        <v>628.9</v>
      </c>
      <c r="O34" s="73">
        <v>621.28199999999993</v>
      </c>
      <c r="P34" s="73">
        <v>591.42699999999991</v>
      </c>
      <c r="Q34" s="73">
        <v>591.42699999999991</v>
      </c>
      <c r="R34" s="74">
        <v>550</v>
      </c>
      <c r="S34" s="75"/>
      <c r="T34" s="76"/>
      <c r="V34" s="77">
        <f t="shared" ref="V34:Y41" si="3">W$8</f>
        <v>1211.76</v>
      </c>
      <c r="W34" s="77">
        <f t="shared" si="3"/>
        <v>1236.24</v>
      </c>
      <c r="X34" s="77">
        <f t="shared" si="3"/>
        <v>1248.48</v>
      </c>
      <c r="Y34" s="77">
        <f t="shared" si="3"/>
        <v>1260.72</v>
      </c>
    </row>
    <row r="35" spans="2:25">
      <c r="B35" s="66" t="s">
        <v>1281</v>
      </c>
      <c r="C35" s="73">
        <v>1453.8906678765879</v>
      </c>
      <c r="D35" s="73">
        <f>1470.52066787659-14</f>
        <v>1456.5206678765901</v>
      </c>
      <c r="E35" s="73">
        <v>1425.2226678765878</v>
      </c>
      <c r="F35" s="73">
        <v>1366.1366678765878</v>
      </c>
      <c r="G35" s="73">
        <v>1366.1366678765878</v>
      </c>
      <c r="H35" s="74">
        <v>1400</v>
      </c>
      <c r="I35" s="75"/>
      <c r="J35" s="76"/>
      <c r="K35" s="78"/>
      <c r="L35" s="68"/>
      <c r="M35" s="73"/>
      <c r="N35" s="73"/>
      <c r="O35" s="73"/>
      <c r="P35" s="73"/>
      <c r="Q35" s="73"/>
      <c r="R35" s="74"/>
      <c r="S35" s="75"/>
      <c r="T35" s="76"/>
      <c r="V35" s="77">
        <f t="shared" si="3"/>
        <v>1211.76</v>
      </c>
      <c r="W35" s="77">
        <f t="shared" si="3"/>
        <v>1236.24</v>
      </c>
      <c r="X35" s="77">
        <f t="shared" si="3"/>
        <v>1248.48</v>
      </c>
      <c r="Y35" s="77">
        <f t="shared" si="3"/>
        <v>1260.72</v>
      </c>
    </row>
    <row r="36" spans="2:25" ht="26.45">
      <c r="B36" s="66" t="s">
        <v>1282</v>
      </c>
      <c r="C36" s="73">
        <v>1468.8906678765879</v>
      </c>
      <c r="D36" s="73">
        <f>1480.83066787659-15</f>
        <v>1465.83066787659</v>
      </c>
      <c r="E36" s="73">
        <v>1420.302667876588</v>
      </c>
      <c r="F36" s="73">
        <v>1371.697667876588</v>
      </c>
      <c r="G36" s="73">
        <v>1371.697667876588</v>
      </c>
      <c r="H36" s="74">
        <v>1400</v>
      </c>
      <c r="I36" s="86" t="s">
        <v>1283</v>
      </c>
      <c r="J36" s="76"/>
      <c r="K36" s="78"/>
      <c r="L36" s="68"/>
      <c r="M36" s="73"/>
      <c r="N36" s="73"/>
      <c r="O36" s="73"/>
      <c r="P36" s="73"/>
      <c r="Q36" s="73"/>
      <c r="R36" s="74"/>
      <c r="S36" s="75"/>
      <c r="T36" s="76"/>
      <c r="V36" s="77">
        <f t="shared" si="3"/>
        <v>1211.76</v>
      </c>
      <c r="W36" s="77">
        <f t="shared" si="3"/>
        <v>1236.24</v>
      </c>
      <c r="X36" s="77">
        <f t="shared" si="3"/>
        <v>1248.48</v>
      </c>
      <c r="Y36" s="77">
        <f t="shared" si="3"/>
        <v>1260.72</v>
      </c>
    </row>
    <row r="37" spans="2:25">
      <c r="B37" s="66" t="s">
        <v>1284</v>
      </c>
      <c r="C37" s="73">
        <v>1510.6990000000001</v>
      </c>
      <c r="D37" s="73">
        <f>1513.929-14</f>
        <v>1499.9290000000001</v>
      </c>
      <c r="E37" s="73">
        <v>1473.6010000000001</v>
      </c>
      <c r="F37" s="73">
        <v>1422.9960000000001</v>
      </c>
      <c r="G37" s="73">
        <v>1422.9960000000001</v>
      </c>
      <c r="H37" s="74">
        <v>1400</v>
      </c>
      <c r="I37" s="75"/>
      <c r="J37" s="76"/>
      <c r="K37" s="78"/>
      <c r="L37" s="68" t="s">
        <v>1284</v>
      </c>
      <c r="M37" s="73">
        <v>613.04999999999995</v>
      </c>
      <c r="N37" s="73">
        <v>626.34999999999991</v>
      </c>
      <c r="O37" s="73">
        <v>621.9319999999999</v>
      </c>
      <c r="P37" s="73">
        <v>588.77699999999993</v>
      </c>
      <c r="Q37" s="73">
        <v>588.77699999999993</v>
      </c>
      <c r="R37" s="74">
        <v>550</v>
      </c>
      <c r="S37" s="75"/>
      <c r="T37" s="76"/>
      <c r="V37" s="77">
        <f t="shared" si="3"/>
        <v>1211.76</v>
      </c>
      <c r="W37" s="77">
        <f t="shared" si="3"/>
        <v>1236.24</v>
      </c>
      <c r="X37" s="77">
        <f t="shared" si="3"/>
        <v>1248.48</v>
      </c>
      <c r="Y37" s="77">
        <f t="shared" si="3"/>
        <v>1260.72</v>
      </c>
    </row>
    <row r="38" spans="2:25">
      <c r="B38" s="66" t="s">
        <v>1285</v>
      </c>
      <c r="C38" s="73">
        <v>1510.6990000000001</v>
      </c>
      <c r="D38" s="73">
        <f>1513.929-14</f>
        <v>1499.9290000000001</v>
      </c>
      <c r="E38" s="73">
        <v>1473.6010000000001</v>
      </c>
      <c r="F38" s="73">
        <v>1422.9960000000001</v>
      </c>
      <c r="G38" s="73">
        <v>1422.9960000000001</v>
      </c>
      <c r="H38" s="74">
        <v>1400</v>
      </c>
      <c r="I38" s="75"/>
      <c r="J38" s="76"/>
      <c r="K38" s="78"/>
      <c r="L38" s="68"/>
      <c r="M38" s="73"/>
      <c r="N38" s="73"/>
      <c r="O38" s="73"/>
      <c r="P38" s="73"/>
      <c r="Q38" s="73"/>
      <c r="R38" s="74"/>
      <c r="S38" s="75"/>
      <c r="T38" s="76"/>
      <c r="V38" s="77">
        <f t="shared" si="3"/>
        <v>1211.76</v>
      </c>
      <c r="W38" s="77">
        <f t="shared" si="3"/>
        <v>1236.24</v>
      </c>
      <c r="X38" s="77">
        <f t="shared" si="3"/>
        <v>1248.48</v>
      </c>
      <c r="Y38" s="77">
        <f t="shared" si="3"/>
        <v>1260.72</v>
      </c>
    </row>
    <row r="39" spans="2:25">
      <c r="B39" s="66" t="s">
        <v>1286</v>
      </c>
      <c r="C39" s="73">
        <v>1514.2171184668991</v>
      </c>
      <c r="D39" s="73">
        <v>1498.4421184668993</v>
      </c>
      <c r="E39" s="73">
        <v>1459.0141184668992</v>
      </c>
      <c r="F39" s="73">
        <v>1421.8691184668992</v>
      </c>
      <c r="G39" s="73">
        <v>1421.8691184668992</v>
      </c>
      <c r="H39" s="74">
        <v>1400</v>
      </c>
      <c r="I39" s="75"/>
      <c r="J39" s="76"/>
      <c r="K39" s="78"/>
      <c r="L39" s="68"/>
      <c r="M39" s="73"/>
      <c r="N39" s="73"/>
      <c r="O39" s="73"/>
      <c r="P39" s="73"/>
      <c r="Q39" s="73"/>
      <c r="R39" s="74"/>
      <c r="S39" s="75"/>
      <c r="T39" s="76"/>
      <c r="V39" s="77">
        <f t="shared" si="3"/>
        <v>1211.76</v>
      </c>
      <c r="W39" s="77">
        <f t="shared" si="3"/>
        <v>1236.24</v>
      </c>
      <c r="X39" s="77">
        <f t="shared" si="3"/>
        <v>1248.48</v>
      </c>
      <c r="Y39" s="77">
        <f t="shared" si="3"/>
        <v>1260.72</v>
      </c>
    </row>
    <row r="40" spans="2:25">
      <c r="B40" s="66" t="s">
        <v>1287</v>
      </c>
      <c r="C40" s="73">
        <v>1514.2171184668991</v>
      </c>
      <c r="D40" s="73">
        <v>1498.4421184668993</v>
      </c>
      <c r="E40" s="73">
        <v>1459.0141184668992</v>
      </c>
      <c r="F40" s="73">
        <v>1421.8691184668992</v>
      </c>
      <c r="G40" s="73">
        <v>1421.8691184668992</v>
      </c>
      <c r="H40" s="74">
        <v>1400</v>
      </c>
      <c r="I40" s="75"/>
      <c r="J40" s="76"/>
      <c r="K40" s="78"/>
      <c r="L40" s="68"/>
      <c r="M40" s="73"/>
      <c r="N40" s="73"/>
      <c r="O40" s="73"/>
      <c r="P40" s="73"/>
      <c r="Q40" s="73"/>
      <c r="R40" s="74"/>
      <c r="S40" s="75"/>
      <c r="T40" s="76"/>
      <c r="V40" s="77">
        <f t="shared" si="3"/>
        <v>1211.76</v>
      </c>
      <c r="W40" s="77">
        <f t="shared" si="3"/>
        <v>1236.24</v>
      </c>
      <c r="X40" s="77">
        <f t="shared" si="3"/>
        <v>1248.48</v>
      </c>
      <c r="Y40" s="77">
        <f t="shared" si="3"/>
        <v>1260.72</v>
      </c>
    </row>
    <row r="41" spans="2:25">
      <c r="B41" s="66" t="s">
        <v>1288</v>
      </c>
      <c r="C41" s="73">
        <v>1514.417118466899</v>
      </c>
      <c r="D41" s="73">
        <v>1492.2971184668991</v>
      </c>
      <c r="E41" s="73">
        <v>1479.299118466899</v>
      </c>
      <c r="F41" s="73">
        <v>1445.7691184668993</v>
      </c>
      <c r="G41" s="73">
        <v>1445.7691184668993</v>
      </c>
      <c r="H41" s="74">
        <v>1475</v>
      </c>
      <c r="I41" s="75"/>
      <c r="J41" s="76"/>
      <c r="K41" s="78"/>
      <c r="L41" s="68"/>
      <c r="M41" s="73"/>
      <c r="N41" s="73"/>
      <c r="O41" s="73"/>
      <c r="P41" s="73"/>
      <c r="Q41" s="73"/>
      <c r="R41" s="74"/>
      <c r="S41" s="75"/>
      <c r="T41" s="76"/>
      <c r="V41" s="77">
        <f t="shared" si="3"/>
        <v>1211.76</v>
      </c>
      <c r="W41" s="77">
        <f t="shared" si="3"/>
        <v>1236.24</v>
      </c>
      <c r="X41" s="77">
        <f t="shared" si="3"/>
        <v>1248.48</v>
      </c>
      <c r="Y41" s="77">
        <f t="shared" si="3"/>
        <v>1260.72</v>
      </c>
    </row>
    <row r="42" spans="2:25">
      <c r="B42" s="66" t="s">
        <v>1289</v>
      </c>
      <c r="C42" s="73"/>
      <c r="D42" s="73"/>
      <c r="E42" s="73"/>
      <c r="F42" s="73"/>
      <c r="G42" s="73"/>
      <c r="H42" s="74"/>
      <c r="I42" s="75"/>
      <c r="J42" s="76"/>
      <c r="K42" s="105"/>
      <c r="L42" s="68"/>
      <c r="M42" s="73"/>
      <c r="N42" s="73"/>
      <c r="O42" s="73"/>
      <c r="P42" s="73"/>
      <c r="Q42" s="73"/>
      <c r="R42" s="74"/>
      <c r="S42" s="75"/>
      <c r="T42" s="76"/>
      <c r="V42" s="77"/>
      <c r="W42" s="77"/>
      <c r="X42" s="77"/>
      <c r="Y42" s="77"/>
    </row>
    <row r="43" spans="2:25">
      <c r="B43" s="66" t="s">
        <v>1290</v>
      </c>
      <c r="C43" s="73"/>
      <c r="D43" s="73"/>
      <c r="E43" s="73"/>
      <c r="F43" s="73"/>
      <c r="G43" s="73"/>
      <c r="H43" s="74"/>
      <c r="I43" s="75"/>
      <c r="J43" s="76"/>
      <c r="K43" s="105"/>
      <c r="L43" s="68"/>
      <c r="M43" s="73"/>
      <c r="N43" s="73"/>
      <c r="O43" s="73"/>
      <c r="P43" s="73"/>
      <c r="Q43" s="73"/>
      <c r="R43" s="74"/>
      <c r="S43" s="75"/>
      <c r="T43" s="76"/>
      <c r="V43" s="77"/>
      <c r="W43" s="77"/>
      <c r="X43" s="77"/>
      <c r="Y43" s="77"/>
    </row>
    <row r="44" spans="2:25">
      <c r="B44" s="66" t="s">
        <v>1291</v>
      </c>
      <c r="C44" s="73"/>
      <c r="D44" s="73"/>
      <c r="E44" s="73"/>
      <c r="F44" s="73"/>
      <c r="G44" s="73"/>
      <c r="H44" s="74"/>
      <c r="I44" s="75"/>
      <c r="J44" s="76"/>
      <c r="K44" s="105"/>
      <c r="L44" s="68"/>
      <c r="M44" s="73"/>
      <c r="N44" s="73"/>
      <c r="O44" s="73"/>
      <c r="P44" s="73"/>
      <c r="Q44" s="73"/>
      <c r="R44" s="74"/>
      <c r="S44" s="75"/>
      <c r="T44" s="76"/>
      <c r="V44" s="77"/>
      <c r="W44" s="77"/>
      <c r="X44" s="77"/>
      <c r="Y44" s="77"/>
    </row>
    <row r="55" spans="2:25">
      <c r="B55" s="66"/>
      <c r="C55" s="73"/>
      <c r="D55" s="73"/>
      <c r="E55" s="73"/>
      <c r="F55" s="73"/>
      <c r="G55" s="73"/>
      <c r="H55" s="74"/>
      <c r="I55" s="75"/>
      <c r="J55" s="76"/>
      <c r="K55" s="79"/>
      <c r="L55" s="66"/>
      <c r="M55" s="73"/>
      <c r="N55" s="73"/>
      <c r="O55" s="73"/>
      <c r="P55" s="73"/>
      <c r="Q55" s="73"/>
      <c r="R55" s="74"/>
      <c r="S55" s="75"/>
      <c r="T55" s="76"/>
      <c r="V55" s="77">
        <f t="shared" ref="V55:Y57" si="4">W$8</f>
        <v>1211.76</v>
      </c>
      <c r="W55" s="77">
        <f t="shared" si="4"/>
        <v>1236.24</v>
      </c>
      <c r="X55" s="77">
        <f t="shared" si="4"/>
        <v>1248.48</v>
      </c>
      <c r="Y55" s="77">
        <f t="shared" si="4"/>
        <v>1260.72</v>
      </c>
    </row>
    <row r="56" spans="2:25">
      <c r="B56" s="68"/>
      <c r="C56" s="80"/>
      <c r="D56" s="81"/>
      <c r="E56" s="81"/>
      <c r="F56" s="73"/>
      <c r="G56" s="73"/>
      <c r="H56" s="74"/>
      <c r="I56" s="75"/>
      <c r="L56" s="68"/>
      <c r="M56" s="80"/>
      <c r="N56" s="81"/>
      <c r="O56" s="81"/>
      <c r="P56" s="73"/>
      <c r="Q56" s="73"/>
      <c r="R56" s="74"/>
      <c r="S56" s="75"/>
      <c r="V56" s="77">
        <f t="shared" si="4"/>
        <v>1211.76</v>
      </c>
      <c r="W56" s="77">
        <f t="shared" si="4"/>
        <v>1236.24</v>
      </c>
      <c r="X56" s="77">
        <f t="shared" si="4"/>
        <v>1248.48</v>
      </c>
      <c r="Y56" s="77">
        <f t="shared" si="4"/>
        <v>1260.72</v>
      </c>
    </row>
    <row r="57" spans="2:25">
      <c r="B57" s="578" t="s">
        <v>1292</v>
      </c>
      <c r="C57" s="579"/>
      <c r="D57" s="579"/>
      <c r="E57" s="579"/>
      <c r="F57" s="579"/>
      <c r="G57" s="579"/>
      <c r="H57" s="580"/>
      <c r="I57" s="82"/>
      <c r="L57" s="578" t="s">
        <v>1292</v>
      </c>
      <c r="M57" s="579"/>
      <c r="N57" s="579"/>
      <c r="O57" s="579"/>
      <c r="P57" s="579"/>
      <c r="Q57" s="579"/>
      <c r="R57" s="580"/>
      <c r="S57" s="82"/>
      <c r="V57" s="77">
        <f t="shared" si="4"/>
        <v>1211.76</v>
      </c>
      <c r="W57" s="77">
        <f t="shared" si="4"/>
        <v>1236.24</v>
      </c>
      <c r="X57" s="77">
        <f t="shared" si="4"/>
        <v>1248.48</v>
      </c>
      <c r="Y57" s="77">
        <f t="shared" si="4"/>
        <v>1260.72</v>
      </c>
    </row>
  </sheetData>
  <mergeCells count="4">
    <mergeCell ref="B28:E28"/>
    <mergeCell ref="L28:O28"/>
    <mergeCell ref="B57:H57"/>
    <mergeCell ref="L57:R5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1">
    <outlinePr summaryBelow="0"/>
  </sheetPr>
  <dimension ref="A1:BY118"/>
  <sheetViews>
    <sheetView zoomScale="80" zoomScaleNormal="80" workbookViewId="0">
      <pane xSplit="1" ySplit="2" topLeftCell="Y3" activePane="bottomRight" state="frozen"/>
      <selection pane="bottomRight" activeCell="Y5" sqref="Y5"/>
      <selection pane="bottomLeft" activeCell="A3" sqref="A3"/>
      <selection pane="topRight" activeCell="B1" sqref="B1"/>
    </sheetView>
  </sheetViews>
  <sheetFormatPr defaultColWidth="11.42578125" defaultRowHeight="14.45" outlineLevelRow="1"/>
  <cols>
    <col min="1" max="1" width="16.28515625" customWidth="1"/>
    <col min="2" max="2" width="8.7109375" style="112" customWidth="1"/>
    <col min="3" max="3" width="5.140625" style="117" bestFit="1" customWidth="1"/>
    <col min="4" max="4" width="5.42578125" style="117" bestFit="1" customWidth="1"/>
    <col min="5" max="5" width="8.7109375" style="112" customWidth="1"/>
    <col min="6" max="6" width="5.42578125" style="117" bestFit="1" customWidth="1"/>
    <col min="7" max="7" width="4.7109375" style="117" bestFit="1" customWidth="1"/>
    <col min="8" max="8" width="8.7109375" style="113" customWidth="1"/>
    <col min="9" max="9" width="5.5703125" style="128" bestFit="1" customWidth="1"/>
    <col min="10" max="10" width="5.42578125" style="128" bestFit="1" customWidth="1"/>
    <col min="11" max="11" width="8.7109375" style="113" customWidth="1"/>
    <col min="12" max="13" width="5.28515625" style="128" bestFit="1" customWidth="1"/>
    <col min="14" max="14" width="8.7109375" style="113" customWidth="1"/>
    <col min="15" max="15" width="6.85546875" style="128" bestFit="1" customWidth="1"/>
    <col min="16" max="16" width="6.7109375" style="128" bestFit="1" customWidth="1"/>
    <col min="17" max="17" width="8.7109375" style="113" customWidth="1"/>
    <col min="18" max="18" width="5.7109375" style="128" customWidth="1"/>
    <col min="19" max="19" width="5.7109375" style="128" bestFit="1" customWidth="1"/>
    <col min="20" max="20" width="3.28515625" customWidth="1"/>
    <col min="21" max="21" width="8.7109375" style="112" customWidth="1"/>
    <col min="22" max="22" width="5.140625" style="117" customWidth="1"/>
    <col min="23" max="23" width="5" style="117" customWidth="1"/>
    <col min="24" max="24" width="8.7109375" style="112" customWidth="1"/>
    <col min="25" max="26" width="4.7109375" style="117" customWidth="1"/>
    <col min="27" max="27" width="8.7109375" style="113" customWidth="1"/>
    <col min="28" max="28" width="5.5703125" style="128" customWidth="1"/>
    <col min="29" max="29" width="5.42578125" style="128" customWidth="1"/>
    <col min="30" max="30" width="8.7109375" style="113" customWidth="1"/>
    <col min="31" max="32" width="5.28515625" style="128" customWidth="1"/>
    <col min="33" max="33" width="8.7109375" style="113" customWidth="1"/>
    <col min="34" max="34" width="6.140625" style="128" customWidth="1"/>
    <col min="35" max="35" width="7.28515625" style="128" customWidth="1"/>
    <col min="36" max="36" width="8.7109375" style="113" customWidth="1"/>
    <col min="37" max="38" width="5.7109375" style="128" customWidth="1"/>
    <col min="39" max="39" width="4.85546875" style="128" customWidth="1"/>
    <col min="40" max="40" width="12" customWidth="1"/>
    <col min="41" max="41" width="9.7109375" style="113" customWidth="1"/>
    <col min="42" max="42" width="9.42578125" style="128" customWidth="1"/>
    <col min="43" max="43" width="6.5703125" style="128" customWidth="1"/>
    <col min="44" max="44" width="9.7109375" style="113" customWidth="1"/>
    <col min="45" max="46" width="5.42578125" style="128" customWidth="1"/>
    <col min="47" max="47" width="6.85546875" style="128" bestFit="1" customWidth="1"/>
    <col min="48" max="49" width="5.42578125" style="128" customWidth="1"/>
    <col min="50" max="50" width="7.7109375" style="113" customWidth="1"/>
    <col min="51" max="51" width="5.85546875" style="128" customWidth="1"/>
    <col min="52" max="52" width="6.140625" style="128" customWidth="1"/>
    <col min="53" max="53" width="9.5703125" style="113" customWidth="1"/>
    <col min="54" max="55" width="5.7109375" style="128" customWidth="1"/>
    <col min="56" max="56" width="6.85546875" style="113" customWidth="1"/>
    <col min="57" max="57" width="5.7109375" style="130" customWidth="1"/>
    <col min="58" max="58" width="6.28515625" style="130" customWidth="1"/>
    <col min="59" max="59" width="4" customWidth="1"/>
    <col min="60" max="60" width="6.7109375" bestFit="1" customWidth="1"/>
    <col min="61" max="61" width="5.7109375" bestFit="1" customWidth="1"/>
    <col min="62" max="62" width="5.42578125" bestFit="1" customWidth="1"/>
    <col min="63" max="63" width="9.5703125" bestFit="1" customWidth="1"/>
    <col min="64" max="64" width="4.85546875" bestFit="1" customWidth="1"/>
    <col min="65" max="65" width="4.7109375" bestFit="1" customWidth="1"/>
    <col min="66" max="66" width="6.85546875" bestFit="1" customWidth="1"/>
    <col min="67" max="68" width="4.7109375" customWidth="1"/>
    <col min="69" max="69" width="6.7109375" bestFit="1" customWidth="1"/>
    <col min="70" max="70" width="5.7109375" bestFit="1" customWidth="1"/>
    <col min="71" max="71" width="5.42578125" bestFit="1" customWidth="1"/>
    <col min="72" max="72" width="9.5703125" bestFit="1" customWidth="1"/>
    <col min="73" max="73" width="5.140625" bestFit="1" customWidth="1"/>
    <col min="74" max="74" width="5.42578125" bestFit="1" customWidth="1"/>
    <col min="75" max="75" width="6.85546875" bestFit="1" customWidth="1"/>
    <col min="76" max="76" width="5.7109375" bestFit="1" customWidth="1"/>
    <col min="77" max="77" width="5.5703125" bestFit="1" customWidth="1"/>
  </cols>
  <sheetData>
    <row r="1" spans="1:77">
      <c r="B1" s="581" t="s">
        <v>1293</v>
      </c>
      <c r="C1" s="581"/>
      <c r="D1" s="581"/>
      <c r="E1" s="581"/>
      <c r="F1" s="581"/>
      <c r="G1" s="581"/>
      <c r="H1" s="581"/>
      <c r="I1" s="581"/>
      <c r="J1" s="581"/>
      <c r="K1" s="581"/>
      <c r="L1" s="581"/>
      <c r="M1" s="581"/>
      <c r="N1" s="581"/>
      <c r="O1" s="581"/>
      <c r="P1" s="581"/>
      <c r="Q1" s="581"/>
      <c r="R1" s="581"/>
      <c r="S1" s="581"/>
      <c r="U1" s="582" t="s">
        <v>1294</v>
      </c>
      <c r="V1" s="582"/>
      <c r="W1" s="582"/>
      <c r="X1" s="582"/>
      <c r="Y1" s="582"/>
      <c r="Z1" s="582"/>
      <c r="AA1" s="582"/>
      <c r="AB1" s="582"/>
      <c r="AC1" s="582"/>
      <c r="AD1" s="582"/>
      <c r="AE1" s="582"/>
      <c r="AF1" s="582"/>
      <c r="AG1" s="582"/>
      <c r="AH1" s="582"/>
      <c r="AI1" s="582"/>
      <c r="AJ1" s="582"/>
      <c r="AK1" s="582"/>
      <c r="AL1" s="582"/>
      <c r="AM1" s="112"/>
      <c r="AO1" s="581" t="s">
        <v>1293</v>
      </c>
      <c r="AP1" s="581"/>
      <c r="AQ1" s="581"/>
      <c r="AR1" s="581"/>
      <c r="AS1" s="581"/>
      <c r="AT1" s="581"/>
      <c r="AU1" s="581"/>
      <c r="AV1" s="581"/>
      <c r="AW1" s="581"/>
      <c r="AX1" s="581"/>
      <c r="AY1" s="581"/>
      <c r="AZ1" s="581"/>
      <c r="BA1" s="581"/>
      <c r="BB1" s="581"/>
      <c r="BC1" s="581"/>
      <c r="BD1" s="581"/>
      <c r="BE1" s="581"/>
      <c r="BF1" s="581"/>
      <c r="BH1" s="582" t="s">
        <v>1294</v>
      </c>
      <c r="BI1" s="582"/>
      <c r="BJ1" s="582"/>
      <c r="BK1" s="582"/>
      <c r="BL1" s="582"/>
      <c r="BM1" s="582"/>
      <c r="BN1" s="582"/>
      <c r="BO1" s="582"/>
      <c r="BP1" s="582"/>
      <c r="BQ1" s="582"/>
      <c r="BR1" s="582"/>
      <c r="BS1" s="582"/>
      <c r="BT1" s="582"/>
      <c r="BU1" s="582"/>
      <c r="BV1" s="582"/>
      <c r="BW1" s="582"/>
      <c r="BX1" s="582"/>
      <c r="BY1" s="582"/>
    </row>
    <row r="2" spans="1:77">
      <c r="B2" s="583" t="s">
        <v>4</v>
      </c>
      <c r="C2" s="584"/>
      <c r="D2" s="584"/>
      <c r="E2" s="584"/>
      <c r="F2" s="584"/>
      <c r="G2" s="585"/>
      <c r="H2" s="586" t="s">
        <v>7</v>
      </c>
      <c r="I2" s="587"/>
      <c r="J2" s="587"/>
      <c r="K2" s="587"/>
      <c r="L2" s="587"/>
      <c r="M2" s="588"/>
      <c r="N2" s="589" t="s">
        <v>1295</v>
      </c>
      <c r="O2" s="590"/>
      <c r="P2" s="590"/>
      <c r="Q2" s="590"/>
      <c r="R2" s="590"/>
      <c r="S2" s="591"/>
      <c r="U2" s="583" t="s">
        <v>4</v>
      </c>
      <c r="V2" s="584"/>
      <c r="W2" s="584"/>
      <c r="X2" s="584"/>
      <c r="Y2" s="584"/>
      <c r="Z2" s="585"/>
      <c r="AA2" s="586" t="s">
        <v>7</v>
      </c>
      <c r="AB2" s="587"/>
      <c r="AC2" s="587"/>
      <c r="AD2" s="587"/>
      <c r="AE2" s="587"/>
      <c r="AF2" s="588"/>
      <c r="AG2" s="589" t="s">
        <v>1295</v>
      </c>
      <c r="AH2" s="590"/>
      <c r="AI2" s="590"/>
      <c r="AJ2" s="590"/>
      <c r="AK2" s="590"/>
      <c r="AL2" s="591"/>
      <c r="AM2" s="112"/>
      <c r="AO2" s="583" t="s">
        <v>4</v>
      </c>
      <c r="AP2" s="584"/>
      <c r="AQ2" s="584"/>
      <c r="AR2" s="584"/>
      <c r="AS2" s="584"/>
      <c r="AT2" s="585"/>
      <c r="AU2" s="129"/>
      <c r="AV2" s="129"/>
      <c r="AW2" s="129"/>
      <c r="AX2" s="586" t="s">
        <v>7</v>
      </c>
      <c r="AY2" s="587"/>
      <c r="AZ2" s="587"/>
      <c r="BA2" s="587"/>
      <c r="BB2" s="587"/>
      <c r="BC2" s="587"/>
      <c r="BD2" s="587"/>
      <c r="BE2" s="587"/>
      <c r="BF2" s="588"/>
      <c r="BH2" s="583" t="s">
        <v>4</v>
      </c>
      <c r="BI2" s="584"/>
      <c r="BJ2" s="584"/>
      <c r="BK2" s="584"/>
      <c r="BL2" s="584"/>
      <c r="BM2" s="585"/>
      <c r="BN2" s="129"/>
      <c r="BO2" s="129"/>
      <c r="BP2" s="129"/>
      <c r="BQ2" s="586" t="s">
        <v>7</v>
      </c>
      <c r="BR2" s="587"/>
      <c r="BS2" s="587"/>
      <c r="BT2" s="587"/>
      <c r="BU2" s="587"/>
      <c r="BV2" s="587"/>
      <c r="BW2" s="587"/>
      <c r="BX2" s="587"/>
      <c r="BY2" s="588"/>
    </row>
    <row r="3" spans="1:77" ht="33" customHeight="1">
      <c r="A3" s="134" t="s">
        <v>1296</v>
      </c>
      <c r="B3" s="110" t="s">
        <v>1297</v>
      </c>
      <c r="C3" s="116" t="s">
        <v>1298</v>
      </c>
      <c r="D3" s="116" t="s">
        <v>1299</v>
      </c>
      <c r="E3" s="110" t="s">
        <v>1300</v>
      </c>
      <c r="F3" s="116" t="s">
        <v>1301</v>
      </c>
      <c r="G3" s="116" t="s">
        <v>1302</v>
      </c>
      <c r="H3" s="110" t="s">
        <v>1297</v>
      </c>
      <c r="I3" s="116" t="s">
        <v>1298</v>
      </c>
      <c r="J3" s="116" t="s">
        <v>1299</v>
      </c>
      <c r="K3" s="118" t="s">
        <v>1300</v>
      </c>
      <c r="L3" s="119" t="s">
        <v>1301</v>
      </c>
      <c r="M3" s="120" t="s">
        <v>1302</v>
      </c>
      <c r="N3" s="110" t="s">
        <v>1297</v>
      </c>
      <c r="O3" s="116" t="s">
        <v>1298</v>
      </c>
      <c r="P3" s="116" t="s">
        <v>1299</v>
      </c>
      <c r="Q3" s="118" t="s">
        <v>1300</v>
      </c>
      <c r="R3" s="119" t="s">
        <v>1301</v>
      </c>
      <c r="S3" s="120" t="s">
        <v>1302</v>
      </c>
      <c r="U3" s="111" t="s">
        <v>1297</v>
      </c>
      <c r="V3" s="117" t="s">
        <v>1298</v>
      </c>
      <c r="W3" s="117" t="s">
        <v>1299</v>
      </c>
      <c r="X3" s="111" t="s">
        <v>1300</v>
      </c>
      <c r="Y3" s="117" t="s">
        <v>1301</v>
      </c>
      <c r="Z3" s="117" t="s">
        <v>1302</v>
      </c>
      <c r="AA3" s="111" t="s">
        <v>1297</v>
      </c>
      <c r="AB3" s="117" t="s">
        <v>1298</v>
      </c>
      <c r="AC3" s="117" t="s">
        <v>1299</v>
      </c>
      <c r="AD3" s="135" t="s">
        <v>1300</v>
      </c>
      <c r="AE3" s="121" t="s">
        <v>1301</v>
      </c>
      <c r="AF3" s="123" t="s">
        <v>1302</v>
      </c>
      <c r="AG3" s="111" t="s">
        <v>1297</v>
      </c>
      <c r="AH3" s="117" t="s">
        <v>1298</v>
      </c>
      <c r="AI3" s="117" t="s">
        <v>1299</v>
      </c>
      <c r="AJ3" s="135" t="s">
        <v>1300</v>
      </c>
      <c r="AK3" s="121" t="s">
        <v>1301</v>
      </c>
      <c r="AL3" s="123" t="s">
        <v>1302</v>
      </c>
      <c r="AM3" s="117"/>
      <c r="AN3" s="134" t="s">
        <v>1296</v>
      </c>
      <c r="AO3" s="118" t="s">
        <v>1297</v>
      </c>
      <c r="AP3" s="119" t="s">
        <v>1298</v>
      </c>
      <c r="AQ3" s="120" t="s">
        <v>1299</v>
      </c>
      <c r="AR3" s="129" t="s">
        <v>1300</v>
      </c>
      <c r="AS3" s="119" t="s">
        <v>1301</v>
      </c>
      <c r="AT3" s="120" t="s">
        <v>1302</v>
      </c>
      <c r="AU3" s="129" t="s">
        <v>1303</v>
      </c>
      <c r="AV3" s="119" t="s">
        <v>1304</v>
      </c>
      <c r="AW3" s="120" t="s">
        <v>1305</v>
      </c>
      <c r="AX3" s="118" t="s">
        <v>1297</v>
      </c>
      <c r="AY3" s="119" t="s">
        <v>1298</v>
      </c>
      <c r="AZ3" s="120" t="s">
        <v>1299</v>
      </c>
      <c r="BA3" s="118" t="s">
        <v>1300</v>
      </c>
      <c r="BB3" s="119" t="s">
        <v>1301</v>
      </c>
      <c r="BC3" s="120" t="s">
        <v>1302</v>
      </c>
      <c r="BD3" s="129" t="s">
        <v>1303</v>
      </c>
      <c r="BE3" s="119" t="s">
        <v>1304</v>
      </c>
      <c r="BF3" s="120" t="s">
        <v>1305</v>
      </c>
      <c r="BH3" s="118" t="s">
        <v>1297</v>
      </c>
      <c r="BI3" s="119" t="s">
        <v>1298</v>
      </c>
      <c r="BJ3" s="120" t="s">
        <v>1299</v>
      </c>
      <c r="BK3" s="129" t="s">
        <v>1300</v>
      </c>
      <c r="BL3" s="119" t="s">
        <v>1301</v>
      </c>
      <c r="BM3" s="120" t="s">
        <v>1302</v>
      </c>
      <c r="BN3" s="129" t="s">
        <v>1303</v>
      </c>
      <c r="BO3" s="119" t="s">
        <v>1304</v>
      </c>
      <c r="BP3" s="120" t="s">
        <v>1305</v>
      </c>
      <c r="BQ3" s="118" t="s">
        <v>1297</v>
      </c>
      <c r="BR3" s="119" t="s">
        <v>1298</v>
      </c>
      <c r="BS3" s="120" t="s">
        <v>1299</v>
      </c>
      <c r="BT3" s="118" t="s">
        <v>1300</v>
      </c>
      <c r="BU3" s="119" t="s">
        <v>1301</v>
      </c>
      <c r="BV3" s="120" t="s">
        <v>1302</v>
      </c>
      <c r="BW3" s="129" t="s">
        <v>1303</v>
      </c>
      <c r="BX3" s="119" t="s">
        <v>1304</v>
      </c>
      <c r="BY3" s="120" t="s">
        <v>1305</v>
      </c>
    </row>
    <row r="4" spans="1:77" outlineLevel="1">
      <c r="A4" t="s">
        <v>1306</v>
      </c>
      <c r="B4" s="138" t="e">
        <f>SUMIFS('Portefeuille SP2'!$U:$U,'Portefeuille SP2'!#REF!,1,'Portefeuille SP2'!$Q:$Q,"IN PROGRESS",'Portefeuille SP2'!#REF!,"G",'Portefeuille SP2'!$D:$D,$A4,'Portefeuille SP2'!#REF!,"S")</f>
        <v>#REF!</v>
      </c>
      <c r="C4" s="125" t="e">
        <f>SUMIFS('Portefeuille SP2'!#REF!,'Portefeuille SP2'!#REF!,1,'Portefeuille SP2'!$Q:$Q,"IN PROGRESS",'Portefeuille SP2'!#REF!,"G",'Portefeuille SP2'!$D:$D,$A4,'Portefeuille SP2'!#REF!,"S")</f>
        <v>#REF!</v>
      </c>
      <c r="D4" s="123" t="e">
        <f>SUMIFS('Portefeuille SP2'!#REF!,'Portefeuille SP2'!#REF!,1,'Portefeuille SP2'!$Q:$Q,"IN PROGRESS",'Portefeuille SP2'!#REF!,"G",'Portefeuille SP2'!$D:$D,$A4,'Portefeuille SP2'!#REF!,"S")</f>
        <v>#REF!</v>
      </c>
      <c r="E4" s="135" t="e">
        <f>SUMIFS('Portefeuille SP2'!$U:$U,'Portefeuille SP2'!#REF!,1,'Portefeuille SP2'!$Q:$Q,"IN PROGRESS",'Portefeuille SP2'!#REF!,"R",'Portefeuille SP2'!$D:$D,$A4,'Portefeuille SP2'!#REF!,"S")</f>
        <v>#REF!</v>
      </c>
      <c r="F4" s="125" t="e">
        <f>SUMIFS('Portefeuille SP2'!#REF!,'Portefeuille SP2'!#REF!,1,'Portefeuille SP2'!$Q:$Q,"IN PROGRESS",'Portefeuille SP2'!#REF!,"R",'Portefeuille SP2'!$D:$D,$A4,'Portefeuille SP2'!#REF!,"S")</f>
        <v>#REF!</v>
      </c>
      <c r="G4" s="121" t="e">
        <f>SUMIFS('Portefeuille SP2'!#REF!,'Portefeuille SP2'!#REF!,1,'Portefeuille SP2'!$Q:$Q,"IN PROGRESS",'Portefeuille SP2'!#REF!,"R",'Portefeuille SP2'!$D:$D,$A4,'Portefeuille SP2'!#REF!,"S")</f>
        <v>#REF!</v>
      </c>
      <c r="H4" s="135" t="e">
        <f>SUMIFS('Portefeuille SP2'!$U:$U,'Portefeuille SP2'!#REF!,1,'Portefeuille SP2'!$Q:$Q,"DECIDED",'Portefeuille SP2'!#REF!,"G",'Portefeuille SP2'!$D:$D,$A4,'Portefeuille SP2'!#REF!,"S",'Portefeuille SP2'!#REF!,"=")</f>
        <v>#REF!</v>
      </c>
      <c r="I4" s="121" t="e">
        <f>SUMIFS('Portefeuille SP2'!#REF!,'Portefeuille SP2'!#REF!,1,'Portefeuille SP2'!$Q:$Q,"DECIDED",'Portefeuille SP2'!#REF!,"G",'Portefeuille SP2'!$D:$D,$A4,'Portefeuille SP2'!#REF!,"S",'Portefeuille SP2'!#REF!,"=")</f>
        <v>#REF!</v>
      </c>
      <c r="J4" s="121" t="e">
        <f>SUMIFS('Portefeuille SP2'!#REF!,'Portefeuille SP2'!#REF!,1,'Portefeuille SP2'!$Q:$Q,"DECIDED",'Portefeuille SP2'!#REF!,"G",'Portefeuille SP2'!$D:$D,$A4,'Portefeuille SP2'!#REF!,"S",'Portefeuille SP2'!#REF!,"=")</f>
        <v>#REF!</v>
      </c>
      <c r="K4" s="135" t="e">
        <f>SUMIFS('Portefeuille SP2'!$U:$U,'Portefeuille SP2'!#REF!,1,'Portefeuille SP2'!$Q:$Q,"DECIDED",'Portefeuille SP2'!#REF!,"R",'Portefeuille SP2'!$D:$D,$A4,'Portefeuille SP2'!#REF!,"S",'Portefeuille SP2'!#REF!,"=")</f>
        <v>#REF!</v>
      </c>
      <c r="L4" s="125" t="e">
        <f>SUMIFS('Portefeuille SP2'!#REF!,'Portefeuille SP2'!#REF!,1,'Portefeuille SP2'!$Q:$Q,"DECIDED",'Portefeuille SP2'!#REF!,"R",'Portefeuille SP2'!$D:$D,$A4,'Portefeuille SP2'!#REF!,"S",'Portefeuille SP2'!#REF!,"=")</f>
        <v>#REF!</v>
      </c>
      <c r="M4" s="121" t="e">
        <f>SUMIFS('Portefeuille SP2'!#REF!,'Portefeuille SP2'!#REF!,1,'Portefeuille SP2'!$Q:$Q,"DECIDED",'Portefeuille SP2'!#REF!,"R",'Portefeuille SP2'!$D:$D,$A4,'Portefeuille SP2'!#REF!,"S",'Portefeuille SP2'!#REF!,"=")</f>
        <v>#REF!</v>
      </c>
      <c r="N4" s="135" t="e">
        <f>SUMIFS('Portefeuille SP2'!$U:$U,'Portefeuille SP2'!#REF!,1,'Portefeuille SP2'!$Q:$Q,"DECIDED",'Portefeuille SP2'!#REF!,"G",'Portefeuille SP2'!$D:$D,$A4,'Portefeuille SP2'!#REF!,"S",'Portefeuille SP2'!#REF!,"&lt;&gt;")</f>
        <v>#REF!</v>
      </c>
      <c r="O4" s="125" t="e">
        <f>SUMIFS('Portefeuille SP2'!#REF!,'Portefeuille SP2'!#REF!,1,'Portefeuille SP2'!$Q:$Q,"DECIDED",'Portefeuille SP2'!#REF!,"G",'Portefeuille SP2'!$D:$D,$A4,'Portefeuille SP2'!#REF!,"S",'Portefeuille SP2'!#REF!,"&lt;&gt;")</f>
        <v>#REF!</v>
      </c>
      <c r="P4" s="121" t="e">
        <f>SUMIFS('Portefeuille SP2'!#REF!,'Portefeuille SP2'!#REF!,1,'Portefeuille SP2'!$Q:$Q,"DECIDED",'Portefeuille SP2'!#REF!,"G",'Portefeuille SP2'!$D:$D,$A4,'Portefeuille SP2'!#REF!,"S",'Portefeuille SP2'!#REF!,"&lt;&gt;")</f>
        <v>#REF!</v>
      </c>
      <c r="Q4" s="135" t="e">
        <f>SUMIFS('Portefeuille SP2'!$U:$U,'Portefeuille SP2'!#REF!,1,'Portefeuille SP2'!$Q:$Q,"DECIDED",'Portefeuille SP2'!#REF!,"R",'Portefeuille SP2'!$D:$D,$A4,'Portefeuille SP2'!#REF!,"S",'Portefeuille SP2'!#REF!,"&lt;&gt;")</f>
        <v>#REF!</v>
      </c>
      <c r="R4" s="125" t="e">
        <f>SUMIFS('Portefeuille SP2'!#REF!,'Portefeuille SP2'!#REF!,1,'Portefeuille SP2'!$Q:$Q,"DECIDED",'Portefeuille SP2'!#REF!,"R",'Portefeuille SP2'!$D:$D,$A4,'Portefeuille SP2'!#REF!,"S",'Portefeuille SP2'!#REF!,"&lt;&gt;")</f>
        <v>#REF!</v>
      </c>
      <c r="S4" s="123" t="e">
        <f>SUMIFS('Portefeuille SP2'!#REF!,'Portefeuille SP2'!#REF!,1,'Portefeuille SP2'!$Q:$Q,"DECIDED",'Portefeuille SP2'!#REF!,"R",'Portefeuille SP2'!$D:$D,$A4,'Portefeuille SP2'!#REF!,"S",'Portefeuille SP2'!#REF!,"&lt;&gt;")</f>
        <v>#REF!</v>
      </c>
      <c r="U4" s="135" t="e">
        <f>SUMIFS('Portefeuille SP2'!$U:$U,'Portefeuille SP2'!#REF!,1,'Portefeuille SP2'!$Q:$Q,"IN PROGRESS",'Portefeuille SP2'!#REF!,"G",'Portefeuille SP2'!$D:$D,$A4,'Portefeuille SP2'!#REF!,"O")</f>
        <v>#REF!</v>
      </c>
      <c r="V4" s="125" t="e">
        <f>SUMIFS('Portefeuille SP2'!#REF!,'Portefeuille SP2'!#REF!,1,'Portefeuille SP2'!$Q:$Q,"IN PROGRESS",'Portefeuille SP2'!#REF!,"G",'Portefeuille SP2'!$D:$D,$A4,'Portefeuille SP2'!#REF!,"o")</f>
        <v>#REF!</v>
      </c>
      <c r="W4" s="121" t="e">
        <f>SUMIFS('Portefeuille SP2'!#REF!,'Portefeuille SP2'!#REF!,1,'Portefeuille SP2'!$Q:$Q,"IN PROGRESS",'Portefeuille SP2'!#REF!,"G",'Portefeuille SP2'!$D:$D,$A4,'Portefeuille SP2'!#REF!,"o")</f>
        <v>#REF!</v>
      </c>
      <c r="X4" s="135" t="e">
        <f>SUMIFS('Portefeuille SP2'!$U:$U,'Portefeuille SP2'!#REF!,1,'Portefeuille SP2'!$Q:$Q,"IN PROGRESS",'Portefeuille SP2'!#REF!,"R",'Portefeuille SP2'!$D:$D,$A4,'Portefeuille SP2'!#REF!,"o")</f>
        <v>#REF!</v>
      </c>
      <c r="Y4" s="125" t="e">
        <f>SUMIFS('Portefeuille SP2'!#REF!,'Portefeuille SP2'!#REF!,1,'Portefeuille SP2'!$Q:$Q,"IN PROGRESS",'Portefeuille SP2'!#REF!,"R",'Portefeuille SP2'!$D:$D,$A4,'Portefeuille SP2'!#REF!,"o")</f>
        <v>#REF!</v>
      </c>
      <c r="Z4" s="121" t="e">
        <f>SUMIFS('Portefeuille SP2'!#REF!,'Portefeuille SP2'!#REF!,1,'Portefeuille SP2'!$Q:$Q,"IN PROGRESS",'Portefeuille SP2'!#REF!,"R",'Portefeuille SP2'!$D:$D,$A4,'Portefeuille SP2'!#REF!,"o")</f>
        <v>#REF!</v>
      </c>
      <c r="AA4" s="135" t="e">
        <f>SUMIFS('Portefeuille SP2'!$U:$U,'Portefeuille SP2'!#REF!,1,'Portefeuille SP2'!$Q:$Q,"DECIDED",'Portefeuille SP2'!#REF!,"G",'Portefeuille SP2'!$D:$D,$A4,'Portefeuille SP2'!#REF!,"o",'Portefeuille SP2'!#REF!,"=")</f>
        <v>#REF!</v>
      </c>
      <c r="AB4" s="125" t="e">
        <f>SUMIFS('Portefeuille SP2'!#REF!,'Portefeuille SP2'!#REF!,1,'Portefeuille SP2'!$Q:$Q,"DECIDED",'Portefeuille SP2'!#REF!,"G",'Portefeuille SP2'!$D:$D,$A4,'Portefeuille SP2'!#REF!,"o",'Portefeuille SP2'!#REF!,"=")</f>
        <v>#REF!</v>
      </c>
      <c r="AC4" s="121" t="e">
        <f>SUMIFS('Portefeuille SP2'!#REF!,'Portefeuille SP2'!#REF!,1,'Portefeuille SP2'!$Q:$Q,"DECIDED",'Portefeuille SP2'!#REF!,"G",'Portefeuille SP2'!$D:$D,$A4,'Portefeuille SP2'!#REF!,"o",'Portefeuille SP2'!#REF!,"=")</f>
        <v>#REF!</v>
      </c>
      <c r="AD4" s="135" t="e">
        <f>SUMIFS('Portefeuille SP2'!$U:$U,'Portefeuille SP2'!#REF!,1,'Portefeuille SP2'!$Q:$Q,"DECIDED",'Portefeuille SP2'!#REF!,"R",'Portefeuille SP2'!$D:$D,$A4,'Portefeuille SP2'!#REF!,"o",'Portefeuille SP2'!#REF!,"=")</f>
        <v>#REF!</v>
      </c>
      <c r="AE4" s="125" t="e">
        <f>SUMIFS('Portefeuille SP2'!#REF!,'Portefeuille SP2'!#REF!,1,'Portefeuille SP2'!$Q:$Q,"DECIDED",'Portefeuille SP2'!#REF!,"R",'Portefeuille SP2'!$D:$D,$A4,'Portefeuille SP2'!#REF!,"o",'Portefeuille SP2'!#REF!,"=")</f>
        <v>#REF!</v>
      </c>
      <c r="AF4" s="121" t="e">
        <f>SUMIFS('Portefeuille SP2'!#REF!,'Portefeuille SP2'!#REF!,1,'Portefeuille SP2'!$Q:$Q,"DECIDED",'Portefeuille SP2'!#REF!,"R",'Portefeuille SP2'!$D:$D,$A4,'Portefeuille SP2'!#REF!,"o",'Portefeuille SP2'!#REF!,"=")</f>
        <v>#REF!</v>
      </c>
      <c r="AG4" s="135" t="e">
        <f>SUMIFS('Portefeuille SP2'!$U:$U,'Portefeuille SP2'!#REF!,1,'Portefeuille SP2'!$Q:$Q,"DECIDED",'Portefeuille SP2'!#REF!,"G",'Portefeuille SP2'!$D:$D,$A4,'Portefeuille SP2'!#REF!,"o",'Portefeuille SP2'!#REF!,"&lt;&gt;")</f>
        <v>#REF!</v>
      </c>
      <c r="AH4" s="125" t="e">
        <f>SUMIFS('Portefeuille SP2'!#REF!,'Portefeuille SP2'!#REF!,1,'Portefeuille SP2'!$Q:$Q,"DECIDED",'Portefeuille SP2'!#REF!,"G",'Portefeuille SP2'!$D:$D,$A4,'Portefeuille SP2'!#REF!,"o",'Portefeuille SP2'!#REF!,"&lt;&gt;")</f>
        <v>#REF!</v>
      </c>
      <c r="AI4" s="121" t="e">
        <f>SUMIFS('Portefeuille SP2'!#REF!,'Portefeuille SP2'!#REF!,1,'Portefeuille SP2'!$Q:$Q,"DECIDED",'Portefeuille SP2'!#REF!,"G",'Portefeuille SP2'!$D:$D,$A4,'Portefeuille SP2'!#REF!,"o",'Portefeuille SP2'!#REF!,"&lt;&gt;")</f>
        <v>#REF!</v>
      </c>
      <c r="AJ4" s="135" t="e">
        <f>SUMIFS('Portefeuille SP2'!$U:$U,'Portefeuille SP2'!#REF!,1,'Portefeuille SP2'!$Q:$Q,"DECIDED",'Portefeuille SP2'!#REF!,"R",'Portefeuille SP2'!$D:$D,$A4,'Portefeuille SP2'!#REF!,"o",'Portefeuille SP2'!#REF!,"&lt;&gt;")</f>
        <v>#REF!</v>
      </c>
      <c r="AK4" s="125" t="e">
        <f>SUMIFS('Portefeuille SP2'!#REF!,'Portefeuille SP2'!#REF!,1,'Portefeuille SP2'!$Q:$Q,"DECIDED",'Portefeuille SP2'!#REF!,"R",'Portefeuille SP2'!$D:$D,$A4,'Portefeuille SP2'!#REF!,"o",'Portefeuille SP2'!#REF!,"&lt;&gt;")</f>
        <v>#REF!</v>
      </c>
      <c r="AL4" s="121" t="e">
        <f>SUMIFS('Portefeuille SP2'!#REF!,'Portefeuille SP2'!#REF!,1,'Portefeuille SP2'!$Q:$Q,"DECIDED",'Portefeuille SP2'!#REF!,"R",'Portefeuille SP2'!$D:$D,$A4,'Portefeuille SP2'!#REF!,"o",'Portefeuille SP2'!#REF!,"&lt;&gt;")</f>
        <v>#REF!</v>
      </c>
      <c r="AM4" s="117"/>
      <c r="AN4" t="s">
        <v>1274</v>
      </c>
      <c r="AO4" s="111" t="e">
        <f t="shared" ref="AO4:AT4" si="0">B4</f>
        <v>#REF!</v>
      </c>
      <c r="AP4" s="125" t="e">
        <f t="shared" si="0"/>
        <v>#REF!</v>
      </c>
      <c r="AQ4" s="123" t="e">
        <f t="shared" si="0"/>
        <v>#REF!</v>
      </c>
      <c r="AR4" s="112" t="e">
        <f t="shared" si="0"/>
        <v>#REF!</v>
      </c>
      <c r="AS4" s="125" t="e">
        <f t="shared" si="0"/>
        <v>#REF!</v>
      </c>
      <c r="AT4" s="123" t="e">
        <f t="shared" si="0"/>
        <v>#REF!</v>
      </c>
      <c r="AU4" s="112" t="e">
        <f>AO4+AR4</f>
        <v>#REF!</v>
      </c>
      <c r="AV4" s="125" t="e">
        <f t="shared" ref="AV4:AV12" si="1">AP4+AS4</f>
        <v>#REF!</v>
      </c>
      <c r="AW4" s="123" t="e">
        <f t="shared" ref="AW4:AW12" si="2">AQ4+AT4</f>
        <v>#REF!</v>
      </c>
      <c r="AX4" s="111" t="e">
        <f t="shared" ref="AX4:BC4" si="3">H4</f>
        <v>#REF!</v>
      </c>
      <c r="AY4" s="125" t="e">
        <f t="shared" si="3"/>
        <v>#REF!</v>
      </c>
      <c r="AZ4" s="123" t="e">
        <f t="shared" si="3"/>
        <v>#REF!</v>
      </c>
      <c r="BA4" s="111" t="e">
        <f t="shared" si="3"/>
        <v>#REF!</v>
      </c>
      <c r="BB4" s="125" t="e">
        <f t="shared" si="3"/>
        <v>#REF!</v>
      </c>
      <c r="BC4" s="123" t="e">
        <f t="shared" si="3"/>
        <v>#REF!</v>
      </c>
      <c r="BD4" s="112" t="e">
        <f>AX4+BA4</f>
        <v>#REF!</v>
      </c>
      <c r="BE4" s="125" t="e">
        <f t="shared" ref="BE4:BF12" si="4">AY4+BB4</f>
        <v>#REF!</v>
      </c>
      <c r="BF4" s="123" t="e">
        <f t="shared" si="4"/>
        <v>#REF!</v>
      </c>
      <c r="BH4" s="135" t="e">
        <f t="shared" ref="BH4:BM4" si="5">U4</f>
        <v>#REF!</v>
      </c>
      <c r="BI4" s="125" t="e">
        <f t="shared" si="5"/>
        <v>#REF!</v>
      </c>
      <c r="BJ4" s="123" t="e">
        <f t="shared" si="5"/>
        <v>#REF!</v>
      </c>
      <c r="BK4" s="135" t="e">
        <f t="shared" si="5"/>
        <v>#REF!</v>
      </c>
      <c r="BL4" s="125" t="e">
        <f t="shared" si="5"/>
        <v>#REF!</v>
      </c>
      <c r="BM4" s="123" t="e">
        <f t="shared" si="5"/>
        <v>#REF!</v>
      </c>
      <c r="BN4" s="112" t="e">
        <f>BH4+BK4</f>
        <v>#REF!</v>
      </c>
      <c r="BO4" s="125" t="e">
        <f t="shared" ref="BO4:BO12" si="6">BI4+BL4</f>
        <v>#REF!</v>
      </c>
      <c r="BP4" s="123" t="e">
        <f t="shared" ref="BP4:BP12" si="7">BJ4+BM4</f>
        <v>#REF!</v>
      </c>
      <c r="BQ4" s="135" t="e">
        <f t="shared" ref="BQ4:BV4" si="8">AA4</f>
        <v>#REF!</v>
      </c>
      <c r="BR4" s="125" t="e">
        <f t="shared" si="8"/>
        <v>#REF!</v>
      </c>
      <c r="BS4" s="123" t="e">
        <f t="shared" si="8"/>
        <v>#REF!</v>
      </c>
      <c r="BT4" s="135" t="e">
        <f t="shared" si="8"/>
        <v>#REF!</v>
      </c>
      <c r="BU4" s="125" t="e">
        <f t="shared" si="8"/>
        <v>#REF!</v>
      </c>
      <c r="BV4" s="123" t="e">
        <f t="shared" si="8"/>
        <v>#REF!</v>
      </c>
      <c r="BW4" s="135" t="e">
        <f>BQ4+BT4</f>
        <v>#REF!</v>
      </c>
      <c r="BX4" s="125" t="e">
        <f t="shared" ref="BX4:BX12" si="9">BR4+BU4</f>
        <v>#REF!</v>
      </c>
      <c r="BY4" s="123" t="e">
        <f t="shared" ref="BY4:BY12" si="10">BS4+BV4</f>
        <v>#REF!</v>
      </c>
    </row>
    <row r="5" spans="1:77" outlineLevel="1">
      <c r="A5" t="s">
        <v>1307</v>
      </c>
      <c r="B5" s="139" t="e">
        <f>SUMIFS('Portefeuille SP2'!$U:$U,'Portefeuille SP2'!#REF!,1,'Portefeuille SP2'!$Q:$Q,"IN PROGRESS",'Portefeuille SP2'!#REF!,"G",'Portefeuille SP2'!$D:$D,$A5,'Portefeuille SP2'!#REF!,"S")</f>
        <v>#REF!</v>
      </c>
      <c r="C5" s="126" t="e">
        <f>SUMIFS('Portefeuille SP2'!#REF!,'Portefeuille SP2'!#REF!,1,'Portefeuille SP2'!$Q:$Q,"IN PROGRESS",'Portefeuille SP2'!#REF!,"G",'Portefeuille SP2'!$D:$D,$A5,'Portefeuille SP2'!#REF!,"S")</f>
        <v>#REF!</v>
      </c>
      <c r="D5" s="122" t="e">
        <f>SUMIFS('Portefeuille SP2'!#REF!,'Portefeuille SP2'!#REF!,1,'Portefeuille SP2'!$Q:$Q,"IN PROGRESS",'Portefeuille SP2'!#REF!,"G",'Portefeuille SP2'!$D:$D,$A5,'Portefeuille SP2'!#REF!,"S")</f>
        <v>#REF!</v>
      </c>
      <c r="E5" s="111" t="e">
        <f>SUMIFS('Portefeuille SP2'!$U:$U,'Portefeuille SP2'!#REF!,1,'Portefeuille SP2'!$Q:$Q,"IN PROGRESS",'Portefeuille SP2'!#REF!,"R",'Portefeuille SP2'!$D:$D,$A5,'Portefeuille SP2'!#REF!,"S")</f>
        <v>#REF!</v>
      </c>
      <c r="F5" s="126" t="e">
        <f>SUMIFS('Portefeuille SP2'!#REF!,'Portefeuille SP2'!#REF!,1,'Portefeuille SP2'!$Q:$Q,"IN PROGRESS",'Portefeuille SP2'!#REF!,"R",'Portefeuille SP2'!$D:$D,$A5,'Portefeuille SP2'!#REF!,"S")</f>
        <v>#REF!</v>
      </c>
      <c r="G5" s="117" t="e">
        <f>SUMIFS('Portefeuille SP2'!#REF!,'Portefeuille SP2'!#REF!,1,'Portefeuille SP2'!$Q:$Q,"IN PROGRESS",'Portefeuille SP2'!#REF!,"R",'Portefeuille SP2'!$D:$D,$A5,'Portefeuille SP2'!#REF!,"S")</f>
        <v>#REF!</v>
      </c>
      <c r="H5" s="111" t="e">
        <f>SUMIFS('Portefeuille SP2'!$U:$U,'Portefeuille SP2'!#REF!,1,'Portefeuille SP2'!$Q:$Q,"DECIDED",'Portefeuille SP2'!#REF!,"G",'Portefeuille SP2'!$D:$D,$A5,'Portefeuille SP2'!#REF!,"S",'Portefeuille SP2'!#REF!,"=")</f>
        <v>#REF!</v>
      </c>
      <c r="I5" s="117" t="e">
        <f>SUMIFS('Portefeuille SP2'!#REF!,'Portefeuille SP2'!#REF!,1,'Portefeuille SP2'!$Q:$Q,"DECIDED",'Portefeuille SP2'!#REF!,"G",'Portefeuille SP2'!$D:$D,$A5,'Portefeuille SP2'!#REF!,"S",'Portefeuille SP2'!#REF!,"=")</f>
        <v>#REF!</v>
      </c>
      <c r="J5" s="117" t="e">
        <f>SUMIFS('Portefeuille SP2'!#REF!,'Portefeuille SP2'!#REF!,1,'Portefeuille SP2'!$Q:$Q,"DECIDED",'Portefeuille SP2'!#REF!,"G",'Portefeuille SP2'!$D:$D,$A5,'Portefeuille SP2'!#REF!,"S",'Portefeuille SP2'!#REF!,"=")</f>
        <v>#REF!</v>
      </c>
      <c r="K5" s="111" t="e">
        <f>SUMIFS('Portefeuille SP2'!$U:$U,'Portefeuille SP2'!#REF!,1,'Portefeuille SP2'!$Q:$Q,"DECIDED",'Portefeuille SP2'!#REF!,"R",'Portefeuille SP2'!$D:$D,$A5,'Portefeuille SP2'!#REF!,"S",'Portefeuille SP2'!#REF!,"=")</f>
        <v>#REF!</v>
      </c>
      <c r="L5" s="126" t="e">
        <f>SUMIFS('Portefeuille SP2'!#REF!,'Portefeuille SP2'!#REF!,1,'Portefeuille SP2'!$Q:$Q,"DECIDED",'Portefeuille SP2'!#REF!,"R",'Portefeuille SP2'!$D:$D,$A5,'Portefeuille SP2'!#REF!,"S",'Portefeuille SP2'!#REF!,"=")</f>
        <v>#REF!</v>
      </c>
      <c r="M5" s="117" t="e">
        <f>SUMIFS('Portefeuille SP2'!#REF!,'Portefeuille SP2'!#REF!,1,'Portefeuille SP2'!$Q:$Q,"DECIDED",'Portefeuille SP2'!#REF!,"R",'Portefeuille SP2'!$D:$D,$A5,'Portefeuille SP2'!#REF!,"S",'Portefeuille SP2'!#REF!,"=")</f>
        <v>#REF!</v>
      </c>
      <c r="N5" s="111" t="e">
        <f>SUMIFS('Portefeuille SP2'!$U:$U,'Portefeuille SP2'!#REF!,1,'Portefeuille SP2'!$Q:$Q,"DECIDED",'Portefeuille SP2'!#REF!,"G",'Portefeuille SP2'!$D:$D,$A5,'Portefeuille SP2'!#REF!,"S",'Portefeuille SP2'!#REF!,"&lt;&gt;")</f>
        <v>#REF!</v>
      </c>
      <c r="O5" s="126" t="e">
        <f>SUMIFS('Portefeuille SP2'!#REF!,'Portefeuille SP2'!#REF!,1,'Portefeuille SP2'!$Q:$Q,"DECIDED",'Portefeuille SP2'!#REF!,"G",'Portefeuille SP2'!$D:$D,$A5,'Portefeuille SP2'!#REF!,"S",'Portefeuille SP2'!#REF!,"&lt;&gt;")</f>
        <v>#REF!</v>
      </c>
      <c r="P5" s="117" t="e">
        <f>SUMIFS('Portefeuille SP2'!#REF!,'Portefeuille SP2'!#REF!,1,'Portefeuille SP2'!$Q:$Q,"DECIDED",'Portefeuille SP2'!#REF!,"G",'Portefeuille SP2'!$D:$D,$A5,'Portefeuille SP2'!#REF!,"S",'Portefeuille SP2'!#REF!,"&lt;&gt;")</f>
        <v>#REF!</v>
      </c>
      <c r="Q5" s="111" t="e">
        <f>SUMIFS('Portefeuille SP2'!$U:$U,'Portefeuille SP2'!#REF!,1,'Portefeuille SP2'!$Q:$Q,"DECIDED",'Portefeuille SP2'!#REF!,"R",'Portefeuille SP2'!$D:$D,$A5,'Portefeuille SP2'!#REF!,"S",'Portefeuille SP2'!#REF!,"&lt;&gt;")</f>
        <v>#REF!</v>
      </c>
      <c r="R5" s="126" t="e">
        <f>SUMIFS('Portefeuille SP2'!#REF!,'Portefeuille SP2'!#REF!,1,'Portefeuille SP2'!$Q:$Q,"DECIDED",'Portefeuille SP2'!#REF!,"R",'Portefeuille SP2'!$D:$D,$A5,'Portefeuille SP2'!#REF!,"S",'Portefeuille SP2'!#REF!,"&lt;&gt;")</f>
        <v>#REF!</v>
      </c>
      <c r="S5" s="122" t="e">
        <f>SUMIFS('Portefeuille SP2'!#REF!,'Portefeuille SP2'!#REF!,1,'Portefeuille SP2'!$Q:$Q,"DECIDED",'Portefeuille SP2'!#REF!,"R",'Portefeuille SP2'!$D:$D,$A5,'Portefeuille SP2'!#REF!,"S",'Portefeuille SP2'!#REF!,"&lt;&gt;")</f>
        <v>#REF!</v>
      </c>
      <c r="U5" s="111" t="e">
        <f>SUMIFS('Portefeuille SP2'!$U:$U,'Portefeuille SP2'!#REF!,1,'Portefeuille SP2'!$Q:$Q,"IN PROGRESS",'Portefeuille SP2'!#REF!,"G",'Portefeuille SP2'!$D:$D,$A5,'Portefeuille SP2'!#REF!,"O")</f>
        <v>#REF!</v>
      </c>
      <c r="V5" s="126" t="e">
        <f>SUMIFS('Portefeuille SP2'!#REF!,'Portefeuille SP2'!#REF!,1,'Portefeuille SP2'!$Q:$Q,"IN PROGRESS",'Portefeuille SP2'!#REF!,"G",'Portefeuille SP2'!$D:$D,$A5,'Portefeuille SP2'!#REF!,"o")</f>
        <v>#REF!</v>
      </c>
      <c r="W5" s="117" t="e">
        <f>SUMIFS('Portefeuille SP2'!#REF!,'Portefeuille SP2'!#REF!,1,'Portefeuille SP2'!$Q:$Q,"IN PROGRESS",'Portefeuille SP2'!#REF!,"G",'Portefeuille SP2'!$D:$D,$A5,'Portefeuille SP2'!#REF!,"o")</f>
        <v>#REF!</v>
      </c>
      <c r="X5" s="111" t="e">
        <f>SUMIFS('Portefeuille SP2'!$U:$U,'Portefeuille SP2'!#REF!,1,'Portefeuille SP2'!$Q:$Q,"IN PROGRESS",'Portefeuille SP2'!#REF!,"R",'Portefeuille SP2'!$D:$D,$A5,'Portefeuille SP2'!#REF!,"o")</f>
        <v>#REF!</v>
      </c>
      <c r="Y5" s="126" t="e">
        <f>SUMIFS('Portefeuille SP2'!#REF!,'Portefeuille SP2'!#REF!,1,'Portefeuille SP2'!$Q:$Q,"IN PROGRESS",'Portefeuille SP2'!#REF!,"R",'Portefeuille SP2'!$D:$D,$A5,'Portefeuille SP2'!#REF!,"o")</f>
        <v>#REF!</v>
      </c>
      <c r="Z5" s="117" t="e">
        <f>SUMIFS('Portefeuille SP2'!#REF!,'Portefeuille SP2'!#REF!,1,'Portefeuille SP2'!$Q:$Q,"IN PROGRESS",'Portefeuille SP2'!#REF!,"R",'Portefeuille SP2'!$D:$D,$A5,'Portefeuille SP2'!#REF!,"o")</f>
        <v>#REF!</v>
      </c>
      <c r="AA5" s="111" t="e">
        <f>SUMIFS('Portefeuille SP2'!$U:$U,'Portefeuille SP2'!#REF!,1,'Portefeuille SP2'!$Q:$Q,"DECIDED",'Portefeuille SP2'!#REF!,"G",'Portefeuille SP2'!$D:$D,$A5,'Portefeuille SP2'!#REF!,"o",'Portefeuille SP2'!#REF!,"=")</f>
        <v>#REF!</v>
      </c>
      <c r="AB5" s="126" t="e">
        <f>SUMIFS('Portefeuille SP2'!#REF!,'Portefeuille SP2'!#REF!,1,'Portefeuille SP2'!$Q:$Q,"DECIDED",'Portefeuille SP2'!#REF!,"G",'Portefeuille SP2'!$D:$D,$A5,'Portefeuille SP2'!#REF!,"o",'Portefeuille SP2'!#REF!,"=")</f>
        <v>#REF!</v>
      </c>
      <c r="AC5" s="117" t="e">
        <f>SUMIFS('Portefeuille SP2'!#REF!,'Portefeuille SP2'!#REF!,1,'Portefeuille SP2'!$Q:$Q,"DECIDED",'Portefeuille SP2'!#REF!,"G",'Portefeuille SP2'!$D:$D,$A5,'Portefeuille SP2'!#REF!,"o",'Portefeuille SP2'!#REF!,"=")</f>
        <v>#REF!</v>
      </c>
      <c r="AD5" s="111" t="e">
        <f>SUMIFS('Portefeuille SP2'!$U:$U,'Portefeuille SP2'!#REF!,1,'Portefeuille SP2'!$Q:$Q,"DECIDED",'Portefeuille SP2'!#REF!,"R",'Portefeuille SP2'!$D:$D,$A5,'Portefeuille SP2'!#REF!,"o",'Portefeuille SP2'!#REF!,"=")</f>
        <v>#REF!</v>
      </c>
      <c r="AE5" s="126" t="e">
        <f>SUMIFS('Portefeuille SP2'!#REF!,'Portefeuille SP2'!#REF!,1,'Portefeuille SP2'!$Q:$Q,"DECIDED",'Portefeuille SP2'!#REF!,"R",'Portefeuille SP2'!$D:$D,$A5,'Portefeuille SP2'!#REF!,"o",'Portefeuille SP2'!#REF!,"=")</f>
        <v>#REF!</v>
      </c>
      <c r="AF5" s="117" t="e">
        <f>SUMIFS('Portefeuille SP2'!#REF!,'Portefeuille SP2'!#REF!,1,'Portefeuille SP2'!$Q:$Q,"DECIDED",'Portefeuille SP2'!#REF!,"R",'Portefeuille SP2'!$D:$D,$A5,'Portefeuille SP2'!#REF!,"o",'Portefeuille SP2'!#REF!,"=")</f>
        <v>#REF!</v>
      </c>
      <c r="AG5" s="111" t="e">
        <f>SUMIFS('Portefeuille SP2'!$U:$U,'Portefeuille SP2'!#REF!,1,'Portefeuille SP2'!$Q:$Q,"DECIDED",'Portefeuille SP2'!#REF!,"G",'Portefeuille SP2'!$D:$D,$A5,'Portefeuille SP2'!#REF!,"o",'Portefeuille SP2'!#REF!,"&lt;&gt;")</f>
        <v>#REF!</v>
      </c>
      <c r="AH5" s="126" t="e">
        <f>SUMIFS('Portefeuille SP2'!#REF!,'Portefeuille SP2'!#REF!,1,'Portefeuille SP2'!$Q:$Q,"DECIDED",'Portefeuille SP2'!#REF!,"G",'Portefeuille SP2'!$D:$D,$A5,'Portefeuille SP2'!#REF!,"o",'Portefeuille SP2'!#REF!,"&lt;&gt;")</f>
        <v>#REF!</v>
      </c>
      <c r="AI5" s="117" t="e">
        <f>SUMIFS('Portefeuille SP2'!#REF!,'Portefeuille SP2'!#REF!,1,'Portefeuille SP2'!$Q:$Q,"DECIDED",'Portefeuille SP2'!#REF!,"G",'Portefeuille SP2'!$D:$D,$A5,'Portefeuille SP2'!#REF!,"o",'Portefeuille SP2'!#REF!,"&lt;&gt;")</f>
        <v>#REF!</v>
      </c>
      <c r="AJ5" s="111" t="e">
        <f>SUMIFS('Portefeuille SP2'!$U:$U,'Portefeuille SP2'!#REF!,1,'Portefeuille SP2'!$Q:$Q,"DECIDED",'Portefeuille SP2'!#REF!,"R",'Portefeuille SP2'!$D:$D,$A5,'Portefeuille SP2'!#REF!,"o",'Portefeuille SP2'!#REF!,"&lt;&gt;")</f>
        <v>#REF!</v>
      </c>
      <c r="AK5" s="126" t="e">
        <f>SUMIFS('Portefeuille SP2'!#REF!,'Portefeuille SP2'!#REF!,1,'Portefeuille SP2'!$Q:$Q,"DECIDED",'Portefeuille SP2'!#REF!,"R",'Portefeuille SP2'!$D:$D,$A5,'Portefeuille SP2'!#REF!,"o",'Portefeuille SP2'!#REF!,"&lt;&gt;")</f>
        <v>#REF!</v>
      </c>
      <c r="AL5" s="117" t="e">
        <f>SUMIFS('Portefeuille SP2'!#REF!,'Portefeuille SP2'!#REF!,1,'Portefeuille SP2'!$Q:$Q,"DECIDED",'Portefeuille SP2'!#REF!,"R",'Portefeuille SP2'!$D:$D,$A5,'Portefeuille SP2'!#REF!,"o",'Portefeuille SP2'!#REF!,"&lt;&gt;")</f>
        <v>#REF!</v>
      </c>
      <c r="AM5" s="117"/>
      <c r="AN5" t="s">
        <v>1308</v>
      </c>
      <c r="AO5" s="111" t="e">
        <f t="shared" ref="AO5:AT5" si="11">B11</f>
        <v>#REF!</v>
      </c>
      <c r="AP5" s="126" t="e">
        <f t="shared" si="11"/>
        <v>#REF!</v>
      </c>
      <c r="AQ5" s="122" t="e">
        <f t="shared" si="11"/>
        <v>#REF!</v>
      </c>
      <c r="AR5" s="112" t="e">
        <f t="shared" si="11"/>
        <v>#REF!</v>
      </c>
      <c r="AS5" s="126" t="e">
        <f t="shared" si="11"/>
        <v>#REF!</v>
      </c>
      <c r="AT5" s="122" t="e">
        <f t="shared" si="11"/>
        <v>#REF!</v>
      </c>
      <c r="AU5" s="112" t="e">
        <f t="shared" ref="AU5:AU12" si="12">AO5+AR5</f>
        <v>#REF!</v>
      </c>
      <c r="AV5" s="126" t="e">
        <f t="shared" si="1"/>
        <v>#REF!</v>
      </c>
      <c r="AW5" s="122" t="e">
        <f t="shared" si="2"/>
        <v>#REF!</v>
      </c>
      <c r="AX5" s="111" t="e">
        <f t="shared" ref="AX5:BC5" si="13">H11</f>
        <v>#REF!</v>
      </c>
      <c r="AY5" s="126" t="e">
        <f t="shared" si="13"/>
        <v>#REF!</v>
      </c>
      <c r="AZ5" s="122" t="e">
        <f t="shared" si="13"/>
        <v>#REF!</v>
      </c>
      <c r="BA5" s="111" t="e">
        <f t="shared" si="13"/>
        <v>#REF!</v>
      </c>
      <c r="BB5" s="126" t="e">
        <f t="shared" si="13"/>
        <v>#REF!</v>
      </c>
      <c r="BC5" s="122" t="e">
        <f t="shared" si="13"/>
        <v>#REF!</v>
      </c>
      <c r="BD5" s="112" t="e">
        <f t="shared" ref="BD5:BD12" si="14">AX5+BA5</f>
        <v>#REF!</v>
      </c>
      <c r="BE5" s="126" t="e">
        <f t="shared" si="4"/>
        <v>#REF!</v>
      </c>
      <c r="BF5" s="122" t="e">
        <f t="shared" si="4"/>
        <v>#REF!</v>
      </c>
      <c r="BH5" s="111" t="e">
        <f t="shared" ref="BH5:BM5" si="15">U11</f>
        <v>#REF!</v>
      </c>
      <c r="BI5" s="126" t="e">
        <f t="shared" si="15"/>
        <v>#REF!</v>
      </c>
      <c r="BJ5" s="122" t="e">
        <f t="shared" si="15"/>
        <v>#REF!</v>
      </c>
      <c r="BK5" s="111" t="e">
        <f t="shared" si="15"/>
        <v>#REF!</v>
      </c>
      <c r="BL5" s="126" t="e">
        <f t="shared" si="15"/>
        <v>#REF!</v>
      </c>
      <c r="BM5" s="122" t="e">
        <f t="shared" si="15"/>
        <v>#REF!</v>
      </c>
      <c r="BN5" s="112" t="e">
        <f t="shared" ref="BN5:BN12" si="16">BH5+BK5</f>
        <v>#REF!</v>
      </c>
      <c r="BO5" s="126" t="e">
        <f t="shared" si="6"/>
        <v>#REF!</v>
      </c>
      <c r="BP5" s="122" t="e">
        <f t="shared" si="7"/>
        <v>#REF!</v>
      </c>
      <c r="BQ5" s="111" t="e">
        <f t="shared" ref="BQ5:BV5" si="17">AA11</f>
        <v>#REF!</v>
      </c>
      <c r="BR5" s="126" t="e">
        <f t="shared" si="17"/>
        <v>#REF!</v>
      </c>
      <c r="BS5" s="122" t="e">
        <f t="shared" si="17"/>
        <v>#REF!</v>
      </c>
      <c r="BT5" s="111" t="e">
        <f t="shared" si="17"/>
        <v>#REF!</v>
      </c>
      <c r="BU5" s="126" t="e">
        <f t="shared" si="17"/>
        <v>#REF!</v>
      </c>
      <c r="BV5" s="122" t="e">
        <f t="shared" si="17"/>
        <v>#REF!</v>
      </c>
      <c r="BW5" s="111" t="e">
        <f t="shared" ref="BW5:BW12" si="18">BQ5+BT5</f>
        <v>#REF!</v>
      </c>
      <c r="BX5" s="126" t="e">
        <f t="shared" si="9"/>
        <v>#REF!</v>
      </c>
      <c r="BY5" s="122" t="e">
        <f t="shared" si="10"/>
        <v>#REF!</v>
      </c>
    </row>
    <row r="6" spans="1:77" outlineLevel="1">
      <c r="A6" t="s">
        <v>1309</v>
      </c>
      <c r="B6" s="139" t="e">
        <f>SUMIFS('Portefeuille SP2'!$U:$U,'Portefeuille SP2'!#REF!,1,'Portefeuille SP2'!$Q:$Q,"IN PROGRESS",'Portefeuille SP2'!#REF!,"G",'Portefeuille SP2'!$D:$D,$A6,'Portefeuille SP2'!#REF!,"S")</f>
        <v>#REF!</v>
      </c>
      <c r="C6" s="126" t="e">
        <f>SUMIFS('Portefeuille SP2'!#REF!,'Portefeuille SP2'!#REF!,1,'Portefeuille SP2'!$Q:$Q,"IN PROGRESS",'Portefeuille SP2'!#REF!,"G",'Portefeuille SP2'!$D:$D,$A6,'Portefeuille SP2'!#REF!,"S")</f>
        <v>#REF!</v>
      </c>
      <c r="D6" s="122" t="e">
        <f>SUMIFS('Portefeuille SP2'!#REF!,'Portefeuille SP2'!#REF!,1,'Portefeuille SP2'!$Q:$Q,"IN PROGRESS",'Portefeuille SP2'!#REF!,"G",'Portefeuille SP2'!$D:$D,$A6,'Portefeuille SP2'!#REF!,"S")</f>
        <v>#REF!</v>
      </c>
      <c r="E6" s="111" t="e">
        <f>SUMIFS('Portefeuille SP2'!$U:$U,'Portefeuille SP2'!#REF!,1,'Portefeuille SP2'!$Q:$Q,"IN PROGRESS",'Portefeuille SP2'!#REF!,"R",'Portefeuille SP2'!$D:$D,$A6,'Portefeuille SP2'!#REF!,"S")</f>
        <v>#REF!</v>
      </c>
      <c r="F6" s="126" t="e">
        <f>SUMIFS('Portefeuille SP2'!#REF!,'Portefeuille SP2'!#REF!,1,'Portefeuille SP2'!$Q:$Q,"IN PROGRESS",'Portefeuille SP2'!#REF!,"R",'Portefeuille SP2'!$D:$D,$A6,'Portefeuille SP2'!#REF!,"S")</f>
        <v>#REF!</v>
      </c>
      <c r="G6" s="117" t="e">
        <f>SUMIFS('Portefeuille SP2'!#REF!,'Portefeuille SP2'!#REF!,1,'Portefeuille SP2'!$Q:$Q,"IN PROGRESS",'Portefeuille SP2'!#REF!,"R",'Portefeuille SP2'!$D:$D,$A6,'Portefeuille SP2'!#REF!,"S")</f>
        <v>#REF!</v>
      </c>
      <c r="H6" s="111" t="e">
        <f>SUMIFS('Portefeuille SP2'!$U:$U,'Portefeuille SP2'!#REF!,1,'Portefeuille SP2'!$Q:$Q,"DECIDED",'Portefeuille SP2'!#REF!,"G",'Portefeuille SP2'!$D:$D,$A6,'Portefeuille SP2'!#REF!,"S",'Portefeuille SP2'!#REF!,"=")</f>
        <v>#REF!</v>
      </c>
      <c r="I6" s="117" t="e">
        <f>SUMIFS('Portefeuille SP2'!#REF!,'Portefeuille SP2'!#REF!,1,'Portefeuille SP2'!$Q:$Q,"DECIDED",'Portefeuille SP2'!#REF!,"G",'Portefeuille SP2'!$D:$D,$A6,'Portefeuille SP2'!#REF!,"S",'Portefeuille SP2'!#REF!,"=")</f>
        <v>#REF!</v>
      </c>
      <c r="J6" s="117" t="e">
        <f>SUMIFS('Portefeuille SP2'!#REF!,'Portefeuille SP2'!#REF!,1,'Portefeuille SP2'!$Q:$Q,"DECIDED",'Portefeuille SP2'!#REF!,"G",'Portefeuille SP2'!$D:$D,$A6,'Portefeuille SP2'!#REF!,"S",'Portefeuille SP2'!#REF!,"=")</f>
        <v>#REF!</v>
      </c>
      <c r="K6" s="111" t="e">
        <f>SUMIFS('Portefeuille SP2'!$U:$U,'Portefeuille SP2'!#REF!,1,'Portefeuille SP2'!$Q:$Q,"DECIDED",'Portefeuille SP2'!#REF!,"R",'Portefeuille SP2'!$D:$D,$A6,'Portefeuille SP2'!#REF!,"S",'Portefeuille SP2'!#REF!,"=")</f>
        <v>#REF!</v>
      </c>
      <c r="L6" s="126" t="e">
        <f>SUMIFS('Portefeuille SP2'!#REF!,'Portefeuille SP2'!#REF!,1,'Portefeuille SP2'!$Q:$Q,"DECIDED",'Portefeuille SP2'!#REF!,"R",'Portefeuille SP2'!$D:$D,$A6,'Portefeuille SP2'!#REF!,"S",'Portefeuille SP2'!#REF!,"=")</f>
        <v>#REF!</v>
      </c>
      <c r="M6" s="117" t="e">
        <f>SUMIFS('Portefeuille SP2'!#REF!,'Portefeuille SP2'!#REF!,1,'Portefeuille SP2'!$Q:$Q,"DECIDED",'Portefeuille SP2'!#REF!,"R",'Portefeuille SP2'!$D:$D,$A6,'Portefeuille SP2'!#REF!,"S",'Portefeuille SP2'!#REF!,"=")</f>
        <v>#REF!</v>
      </c>
      <c r="N6" s="111" t="e">
        <f>SUMIFS('Portefeuille SP2'!$U:$U,'Portefeuille SP2'!#REF!,1,'Portefeuille SP2'!$Q:$Q,"DECIDED",'Portefeuille SP2'!#REF!,"G",'Portefeuille SP2'!$D:$D,$A6,'Portefeuille SP2'!#REF!,"S",'Portefeuille SP2'!#REF!,"&lt;&gt;")</f>
        <v>#REF!</v>
      </c>
      <c r="O6" s="126" t="e">
        <f>SUMIFS('Portefeuille SP2'!#REF!,'Portefeuille SP2'!#REF!,1,'Portefeuille SP2'!$Q:$Q,"DECIDED",'Portefeuille SP2'!#REF!,"G",'Portefeuille SP2'!$D:$D,$A6,'Portefeuille SP2'!#REF!,"S",'Portefeuille SP2'!#REF!,"&lt;&gt;")</f>
        <v>#REF!</v>
      </c>
      <c r="P6" s="117" t="e">
        <f>SUMIFS('Portefeuille SP2'!#REF!,'Portefeuille SP2'!#REF!,1,'Portefeuille SP2'!$Q:$Q,"DECIDED",'Portefeuille SP2'!#REF!,"G",'Portefeuille SP2'!$D:$D,$A6,'Portefeuille SP2'!#REF!,"S",'Portefeuille SP2'!#REF!,"&lt;&gt;")</f>
        <v>#REF!</v>
      </c>
      <c r="Q6" s="111" t="e">
        <f>SUMIFS('Portefeuille SP2'!$U:$U,'Portefeuille SP2'!#REF!,1,'Portefeuille SP2'!$Q:$Q,"DECIDED",'Portefeuille SP2'!#REF!,"R",'Portefeuille SP2'!$D:$D,$A6,'Portefeuille SP2'!#REF!,"S",'Portefeuille SP2'!#REF!,"&lt;&gt;")</f>
        <v>#REF!</v>
      </c>
      <c r="R6" s="126" t="e">
        <f>SUMIFS('Portefeuille SP2'!#REF!,'Portefeuille SP2'!#REF!,1,'Portefeuille SP2'!$Q:$Q,"DECIDED",'Portefeuille SP2'!#REF!,"R",'Portefeuille SP2'!$D:$D,$A6,'Portefeuille SP2'!#REF!,"S",'Portefeuille SP2'!#REF!,"&lt;&gt;")</f>
        <v>#REF!</v>
      </c>
      <c r="S6" s="122" t="e">
        <f>SUMIFS('Portefeuille SP2'!#REF!,'Portefeuille SP2'!#REF!,1,'Portefeuille SP2'!$Q:$Q,"DECIDED",'Portefeuille SP2'!#REF!,"R",'Portefeuille SP2'!$D:$D,$A6,'Portefeuille SP2'!#REF!,"S",'Portefeuille SP2'!#REF!,"&lt;&gt;")</f>
        <v>#REF!</v>
      </c>
      <c r="U6" s="111" t="e">
        <f>SUMIFS('Portefeuille SP2'!$U:$U,'Portefeuille SP2'!#REF!,1,'Portefeuille SP2'!$Q:$Q,"IN PROGRESS",'Portefeuille SP2'!#REF!,"G",'Portefeuille SP2'!$D:$D,$A6,'Portefeuille SP2'!#REF!,"O")</f>
        <v>#REF!</v>
      </c>
      <c r="V6" s="126" t="e">
        <f>SUMIFS('Portefeuille SP2'!#REF!,'Portefeuille SP2'!#REF!,1,'Portefeuille SP2'!$Q:$Q,"IN PROGRESS",'Portefeuille SP2'!#REF!,"G",'Portefeuille SP2'!$D:$D,$A6,'Portefeuille SP2'!#REF!,"o")</f>
        <v>#REF!</v>
      </c>
      <c r="W6" s="117" t="e">
        <f>SUMIFS('Portefeuille SP2'!#REF!,'Portefeuille SP2'!#REF!,1,'Portefeuille SP2'!$Q:$Q,"IN PROGRESS",'Portefeuille SP2'!#REF!,"G",'Portefeuille SP2'!$D:$D,$A6,'Portefeuille SP2'!#REF!,"o")</f>
        <v>#REF!</v>
      </c>
      <c r="X6" s="111" t="e">
        <f>SUMIFS('Portefeuille SP2'!$U:$U,'Portefeuille SP2'!#REF!,1,'Portefeuille SP2'!$Q:$Q,"IN PROGRESS",'Portefeuille SP2'!#REF!,"R",'Portefeuille SP2'!$D:$D,$A6,'Portefeuille SP2'!#REF!,"o")</f>
        <v>#REF!</v>
      </c>
      <c r="Y6" s="126" t="e">
        <f>SUMIFS('Portefeuille SP2'!#REF!,'Portefeuille SP2'!#REF!,1,'Portefeuille SP2'!$Q:$Q,"IN PROGRESS",'Portefeuille SP2'!#REF!,"R",'Portefeuille SP2'!$D:$D,$A6,'Portefeuille SP2'!#REF!,"o")</f>
        <v>#REF!</v>
      </c>
      <c r="Z6" s="117" t="e">
        <f>SUMIFS('Portefeuille SP2'!#REF!,'Portefeuille SP2'!#REF!,1,'Portefeuille SP2'!$Q:$Q,"IN PROGRESS",'Portefeuille SP2'!#REF!,"R",'Portefeuille SP2'!$D:$D,$A6,'Portefeuille SP2'!#REF!,"o")</f>
        <v>#REF!</v>
      </c>
      <c r="AA6" s="111" t="e">
        <f>SUMIFS('Portefeuille SP2'!$U:$U,'Portefeuille SP2'!#REF!,1,'Portefeuille SP2'!$Q:$Q,"DECIDED",'Portefeuille SP2'!#REF!,"G",'Portefeuille SP2'!$D:$D,$A6,'Portefeuille SP2'!#REF!,"o",'Portefeuille SP2'!#REF!,"=")</f>
        <v>#REF!</v>
      </c>
      <c r="AB6" s="126" t="e">
        <f>SUMIFS('Portefeuille SP2'!#REF!,'Portefeuille SP2'!#REF!,1,'Portefeuille SP2'!$Q:$Q,"DECIDED",'Portefeuille SP2'!#REF!,"G",'Portefeuille SP2'!$D:$D,$A6,'Portefeuille SP2'!#REF!,"o",'Portefeuille SP2'!#REF!,"=")</f>
        <v>#REF!</v>
      </c>
      <c r="AC6" s="117" t="e">
        <f>SUMIFS('Portefeuille SP2'!#REF!,'Portefeuille SP2'!#REF!,1,'Portefeuille SP2'!$Q:$Q,"DECIDED",'Portefeuille SP2'!#REF!,"G",'Portefeuille SP2'!$D:$D,$A6,'Portefeuille SP2'!#REF!,"o",'Portefeuille SP2'!#REF!,"=")</f>
        <v>#REF!</v>
      </c>
      <c r="AD6" s="111" t="e">
        <f>SUMIFS('Portefeuille SP2'!$U:$U,'Portefeuille SP2'!#REF!,1,'Portefeuille SP2'!$Q:$Q,"DECIDED",'Portefeuille SP2'!#REF!,"R",'Portefeuille SP2'!$D:$D,$A6,'Portefeuille SP2'!#REF!,"o",'Portefeuille SP2'!#REF!,"=")</f>
        <v>#REF!</v>
      </c>
      <c r="AE6" s="126" t="e">
        <f>SUMIFS('Portefeuille SP2'!#REF!,'Portefeuille SP2'!#REF!,1,'Portefeuille SP2'!$Q:$Q,"DECIDED",'Portefeuille SP2'!#REF!,"R",'Portefeuille SP2'!$D:$D,$A6,'Portefeuille SP2'!#REF!,"o",'Portefeuille SP2'!#REF!,"=")</f>
        <v>#REF!</v>
      </c>
      <c r="AF6" s="117" t="e">
        <f>SUMIFS('Portefeuille SP2'!#REF!,'Portefeuille SP2'!#REF!,1,'Portefeuille SP2'!$Q:$Q,"DECIDED",'Portefeuille SP2'!#REF!,"R",'Portefeuille SP2'!$D:$D,$A6,'Portefeuille SP2'!#REF!,"o",'Portefeuille SP2'!#REF!,"=")</f>
        <v>#REF!</v>
      </c>
      <c r="AG6" s="111" t="e">
        <f>SUMIFS('Portefeuille SP2'!$U:$U,'Portefeuille SP2'!#REF!,1,'Portefeuille SP2'!$Q:$Q,"DECIDED",'Portefeuille SP2'!#REF!,"G",'Portefeuille SP2'!$D:$D,$A6,'Portefeuille SP2'!#REF!,"o",'Portefeuille SP2'!#REF!,"&lt;&gt;")</f>
        <v>#REF!</v>
      </c>
      <c r="AH6" s="126" t="e">
        <f>SUMIFS('Portefeuille SP2'!#REF!,'Portefeuille SP2'!#REF!,1,'Portefeuille SP2'!$Q:$Q,"DECIDED",'Portefeuille SP2'!#REF!,"G",'Portefeuille SP2'!$D:$D,$A6,'Portefeuille SP2'!#REF!,"o",'Portefeuille SP2'!#REF!,"&lt;&gt;")</f>
        <v>#REF!</v>
      </c>
      <c r="AI6" s="117" t="e">
        <f>SUMIFS('Portefeuille SP2'!#REF!,'Portefeuille SP2'!#REF!,1,'Portefeuille SP2'!$Q:$Q,"DECIDED",'Portefeuille SP2'!#REF!,"G",'Portefeuille SP2'!$D:$D,$A6,'Portefeuille SP2'!#REF!,"o",'Portefeuille SP2'!#REF!,"&lt;&gt;")</f>
        <v>#REF!</v>
      </c>
      <c r="AJ6" s="111" t="e">
        <f>SUMIFS('Portefeuille SP2'!$U:$U,'Portefeuille SP2'!#REF!,1,'Portefeuille SP2'!$Q:$Q,"DECIDED",'Portefeuille SP2'!#REF!,"R",'Portefeuille SP2'!$D:$D,$A6,'Portefeuille SP2'!#REF!,"o",'Portefeuille SP2'!#REF!,"&lt;&gt;")</f>
        <v>#REF!</v>
      </c>
      <c r="AK6" s="126" t="e">
        <f>SUMIFS('Portefeuille SP2'!#REF!,'Portefeuille SP2'!#REF!,1,'Portefeuille SP2'!$Q:$Q,"DECIDED",'Portefeuille SP2'!#REF!,"R",'Portefeuille SP2'!$D:$D,$A6,'Portefeuille SP2'!#REF!,"o",'Portefeuille SP2'!#REF!,"&lt;&gt;")</f>
        <v>#REF!</v>
      </c>
      <c r="AL6" s="117" t="e">
        <f>SUMIFS('Portefeuille SP2'!#REF!,'Portefeuille SP2'!#REF!,1,'Portefeuille SP2'!$Q:$Q,"DECIDED",'Portefeuille SP2'!#REF!,"R",'Portefeuille SP2'!$D:$D,$A6,'Portefeuille SP2'!#REF!,"o",'Portefeuille SP2'!#REF!,"&lt;&gt;")</f>
        <v>#REF!</v>
      </c>
      <c r="AM6" s="117"/>
      <c r="AN6" t="s">
        <v>150</v>
      </c>
      <c r="AO6" s="111" t="e">
        <f t="shared" ref="AO6:AT6" si="19">B14</f>
        <v>#REF!</v>
      </c>
      <c r="AP6" s="126" t="e">
        <f t="shared" si="19"/>
        <v>#REF!</v>
      </c>
      <c r="AQ6" s="122" t="e">
        <f t="shared" si="19"/>
        <v>#REF!</v>
      </c>
      <c r="AR6" s="112" t="e">
        <f t="shared" si="19"/>
        <v>#REF!</v>
      </c>
      <c r="AS6" s="126" t="e">
        <f t="shared" si="19"/>
        <v>#REF!</v>
      </c>
      <c r="AT6" s="122" t="e">
        <f t="shared" si="19"/>
        <v>#REF!</v>
      </c>
      <c r="AU6" s="112" t="e">
        <f t="shared" si="12"/>
        <v>#REF!</v>
      </c>
      <c r="AV6" s="126" t="e">
        <f t="shared" si="1"/>
        <v>#REF!</v>
      </c>
      <c r="AW6" s="122" t="e">
        <f t="shared" si="2"/>
        <v>#REF!</v>
      </c>
      <c r="AX6" s="111" t="e">
        <f t="shared" ref="AX6:BC6" si="20">H14</f>
        <v>#REF!</v>
      </c>
      <c r="AY6" s="126" t="e">
        <f t="shared" si="20"/>
        <v>#REF!</v>
      </c>
      <c r="AZ6" s="122" t="e">
        <f t="shared" si="20"/>
        <v>#REF!</v>
      </c>
      <c r="BA6" s="111" t="e">
        <f t="shared" si="20"/>
        <v>#REF!</v>
      </c>
      <c r="BB6" s="126" t="e">
        <f t="shared" si="20"/>
        <v>#REF!</v>
      </c>
      <c r="BC6" s="122" t="e">
        <f t="shared" si="20"/>
        <v>#REF!</v>
      </c>
      <c r="BD6" s="112" t="e">
        <f t="shared" si="14"/>
        <v>#REF!</v>
      </c>
      <c r="BE6" s="126" t="e">
        <f t="shared" si="4"/>
        <v>#REF!</v>
      </c>
      <c r="BF6" s="122" t="e">
        <f t="shared" si="4"/>
        <v>#REF!</v>
      </c>
      <c r="BH6" s="111" t="e">
        <f t="shared" ref="BH6:BM6" si="21">U14</f>
        <v>#REF!</v>
      </c>
      <c r="BI6" s="126" t="e">
        <f t="shared" si="21"/>
        <v>#REF!</v>
      </c>
      <c r="BJ6" s="122" t="e">
        <f t="shared" si="21"/>
        <v>#REF!</v>
      </c>
      <c r="BK6" s="111" t="e">
        <f t="shared" si="21"/>
        <v>#REF!</v>
      </c>
      <c r="BL6" s="126" t="e">
        <f t="shared" si="21"/>
        <v>#REF!</v>
      </c>
      <c r="BM6" s="122" t="e">
        <f t="shared" si="21"/>
        <v>#REF!</v>
      </c>
      <c r="BN6" s="112" t="e">
        <f t="shared" si="16"/>
        <v>#REF!</v>
      </c>
      <c r="BO6" s="126" t="e">
        <f t="shared" si="6"/>
        <v>#REF!</v>
      </c>
      <c r="BP6" s="122" t="e">
        <f t="shared" si="7"/>
        <v>#REF!</v>
      </c>
      <c r="BQ6" s="111" t="e">
        <f t="shared" ref="BQ6:BV6" si="22">AA14</f>
        <v>#REF!</v>
      </c>
      <c r="BR6" s="126" t="e">
        <f t="shared" si="22"/>
        <v>#REF!</v>
      </c>
      <c r="BS6" s="122" t="e">
        <f t="shared" si="22"/>
        <v>#REF!</v>
      </c>
      <c r="BT6" s="111" t="e">
        <f t="shared" si="22"/>
        <v>#REF!</v>
      </c>
      <c r="BU6" s="126" t="e">
        <f t="shared" si="22"/>
        <v>#REF!</v>
      </c>
      <c r="BV6" s="122" t="e">
        <f t="shared" si="22"/>
        <v>#REF!</v>
      </c>
      <c r="BW6" s="111" t="e">
        <f t="shared" si="18"/>
        <v>#REF!</v>
      </c>
      <c r="BX6" s="126" t="e">
        <f t="shared" si="9"/>
        <v>#REF!</v>
      </c>
      <c r="BY6" s="122" t="e">
        <f t="shared" si="10"/>
        <v>#REF!</v>
      </c>
    </row>
    <row r="7" spans="1:77" outlineLevel="1">
      <c r="A7" t="s">
        <v>1310</v>
      </c>
      <c r="B7" s="139" t="e">
        <f>SUMIFS('Portefeuille SP2'!$U:$U,'Portefeuille SP2'!#REF!,1,'Portefeuille SP2'!$Q:$Q,"IN PROGRESS",'Portefeuille SP2'!#REF!,"G",'Portefeuille SP2'!$D:$D,$A7,'Portefeuille SP2'!#REF!,"S")</f>
        <v>#REF!</v>
      </c>
      <c r="C7" s="126" t="e">
        <f>SUMIFS('Portefeuille SP2'!#REF!,'Portefeuille SP2'!#REF!,1,'Portefeuille SP2'!$Q:$Q,"IN PROGRESS",'Portefeuille SP2'!#REF!,"G",'Portefeuille SP2'!$D:$D,$A7,'Portefeuille SP2'!#REF!,"S")</f>
        <v>#REF!</v>
      </c>
      <c r="D7" s="122" t="e">
        <f>SUMIFS('Portefeuille SP2'!#REF!,'Portefeuille SP2'!#REF!,1,'Portefeuille SP2'!$Q:$Q,"IN PROGRESS",'Portefeuille SP2'!#REF!,"G",'Portefeuille SP2'!$D:$D,$A7,'Portefeuille SP2'!#REF!,"S")</f>
        <v>#REF!</v>
      </c>
      <c r="E7" s="111" t="e">
        <f>SUMIFS('Portefeuille SP2'!$U:$U,'Portefeuille SP2'!#REF!,1,'Portefeuille SP2'!$Q:$Q,"IN PROGRESS",'Portefeuille SP2'!#REF!,"R",'Portefeuille SP2'!$D:$D,$A7,'Portefeuille SP2'!#REF!,"S")</f>
        <v>#REF!</v>
      </c>
      <c r="F7" s="126" t="e">
        <f>SUMIFS('Portefeuille SP2'!#REF!,'Portefeuille SP2'!#REF!,1,'Portefeuille SP2'!$Q:$Q,"IN PROGRESS",'Portefeuille SP2'!#REF!,"R",'Portefeuille SP2'!$D:$D,$A7,'Portefeuille SP2'!#REF!,"S")</f>
        <v>#REF!</v>
      </c>
      <c r="G7" s="117" t="e">
        <f>SUMIFS('Portefeuille SP2'!#REF!,'Portefeuille SP2'!#REF!,1,'Portefeuille SP2'!$Q:$Q,"IN PROGRESS",'Portefeuille SP2'!#REF!,"R",'Portefeuille SP2'!$D:$D,$A7,'Portefeuille SP2'!#REF!,"S")</f>
        <v>#REF!</v>
      </c>
      <c r="H7" s="111" t="e">
        <f>SUMIFS('Portefeuille SP2'!$U:$U,'Portefeuille SP2'!#REF!,1,'Portefeuille SP2'!$Q:$Q,"DECIDED",'Portefeuille SP2'!#REF!,"G",'Portefeuille SP2'!$D:$D,$A7,'Portefeuille SP2'!#REF!,"S",'Portefeuille SP2'!#REF!,"=")</f>
        <v>#REF!</v>
      </c>
      <c r="I7" s="117" t="e">
        <f>SUMIFS('Portefeuille SP2'!#REF!,'Portefeuille SP2'!#REF!,1,'Portefeuille SP2'!$Q:$Q,"DECIDED",'Portefeuille SP2'!#REF!,"G",'Portefeuille SP2'!$D:$D,$A7,'Portefeuille SP2'!#REF!,"S",'Portefeuille SP2'!#REF!,"=")</f>
        <v>#REF!</v>
      </c>
      <c r="J7" s="117" t="e">
        <f>SUMIFS('Portefeuille SP2'!#REF!,'Portefeuille SP2'!#REF!,1,'Portefeuille SP2'!$Q:$Q,"DECIDED",'Portefeuille SP2'!#REF!,"G",'Portefeuille SP2'!$D:$D,$A7,'Portefeuille SP2'!#REF!,"S",'Portefeuille SP2'!#REF!,"=")</f>
        <v>#REF!</v>
      </c>
      <c r="K7" s="111" t="e">
        <f>SUMIFS('Portefeuille SP2'!$U:$U,'Portefeuille SP2'!#REF!,1,'Portefeuille SP2'!$Q:$Q,"DECIDED",'Portefeuille SP2'!#REF!,"R",'Portefeuille SP2'!$D:$D,$A7,'Portefeuille SP2'!#REF!,"S",'Portefeuille SP2'!#REF!,"=")</f>
        <v>#REF!</v>
      </c>
      <c r="L7" s="126" t="e">
        <f>SUMIFS('Portefeuille SP2'!#REF!,'Portefeuille SP2'!#REF!,1,'Portefeuille SP2'!$Q:$Q,"DECIDED",'Portefeuille SP2'!#REF!,"R",'Portefeuille SP2'!$D:$D,$A7,'Portefeuille SP2'!#REF!,"S",'Portefeuille SP2'!#REF!,"=")</f>
        <v>#REF!</v>
      </c>
      <c r="M7" s="117" t="e">
        <f>SUMIFS('Portefeuille SP2'!#REF!,'Portefeuille SP2'!#REF!,1,'Portefeuille SP2'!$Q:$Q,"DECIDED",'Portefeuille SP2'!#REF!,"R",'Portefeuille SP2'!$D:$D,$A7,'Portefeuille SP2'!#REF!,"S",'Portefeuille SP2'!#REF!,"=")</f>
        <v>#REF!</v>
      </c>
      <c r="N7" s="111" t="e">
        <f>SUMIFS('Portefeuille SP2'!$U:$U,'Portefeuille SP2'!#REF!,1,'Portefeuille SP2'!$Q:$Q,"DECIDED",'Portefeuille SP2'!#REF!,"G",'Portefeuille SP2'!$D:$D,$A7,'Portefeuille SP2'!#REF!,"S",'Portefeuille SP2'!#REF!,"&lt;&gt;")</f>
        <v>#REF!</v>
      </c>
      <c r="O7" s="126" t="e">
        <f>SUMIFS('Portefeuille SP2'!#REF!,'Portefeuille SP2'!#REF!,1,'Portefeuille SP2'!$Q:$Q,"DECIDED",'Portefeuille SP2'!#REF!,"G",'Portefeuille SP2'!$D:$D,$A7,'Portefeuille SP2'!#REF!,"S",'Portefeuille SP2'!#REF!,"&lt;&gt;")</f>
        <v>#REF!</v>
      </c>
      <c r="P7" s="117" t="e">
        <f>SUMIFS('Portefeuille SP2'!#REF!,'Portefeuille SP2'!#REF!,1,'Portefeuille SP2'!$Q:$Q,"DECIDED",'Portefeuille SP2'!#REF!,"G",'Portefeuille SP2'!$D:$D,$A7,'Portefeuille SP2'!#REF!,"S",'Portefeuille SP2'!#REF!,"&lt;&gt;")</f>
        <v>#REF!</v>
      </c>
      <c r="Q7" s="111" t="e">
        <f>SUMIFS('Portefeuille SP2'!$U:$U,'Portefeuille SP2'!#REF!,1,'Portefeuille SP2'!$Q:$Q,"DECIDED",'Portefeuille SP2'!#REF!,"R",'Portefeuille SP2'!$D:$D,$A7,'Portefeuille SP2'!#REF!,"S",'Portefeuille SP2'!#REF!,"&lt;&gt;")</f>
        <v>#REF!</v>
      </c>
      <c r="R7" s="126" t="e">
        <f>SUMIFS('Portefeuille SP2'!#REF!,'Portefeuille SP2'!#REF!,1,'Portefeuille SP2'!$Q:$Q,"DECIDED",'Portefeuille SP2'!#REF!,"R",'Portefeuille SP2'!$D:$D,$A7,'Portefeuille SP2'!#REF!,"S",'Portefeuille SP2'!#REF!,"&lt;&gt;")</f>
        <v>#REF!</v>
      </c>
      <c r="S7" s="122" t="e">
        <f>SUMIFS('Portefeuille SP2'!#REF!,'Portefeuille SP2'!#REF!,1,'Portefeuille SP2'!$Q:$Q,"DECIDED",'Portefeuille SP2'!#REF!,"R",'Portefeuille SP2'!$D:$D,$A7,'Portefeuille SP2'!#REF!,"S",'Portefeuille SP2'!#REF!,"&lt;&gt;")</f>
        <v>#REF!</v>
      </c>
      <c r="U7" s="111" t="e">
        <f>SUMIFS('Portefeuille SP2'!$U:$U,'Portefeuille SP2'!#REF!,1,'Portefeuille SP2'!$Q:$Q,"IN PROGRESS",'Portefeuille SP2'!#REF!,"G",'Portefeuille SP2'!$D:$D,$A7,'Portefeuille SP2'!#REF!,"O")</f>
        <v>#REF!</v>
      </c>
      <c r="V7" s="126" t="e">
        <f>SUMIFS('Portefeuille SP2'!#REF!,'Portefeuille SP2'!#REF!,1,'Portefeuille SP2'!$Q:$Q,"IN PROGRESS",'Portefeuille SP2'!#REF!,"G",'Portefeuille SP2'!$D:$D,$A7,'Portefeuille SP2'!#REF!,"o")</f>
        <v>#REF!</v>
      </c>
      <c r="W7" s="117" t="e">
        <f>SUMIFS('Portefeuille SP2'!#REF!,'Portefeuille SP2'!#REF!,1,'Portefeuille SP2'!$Q:$Q,"IN PROGRESS",'Portefeuille SP2'!#REF!,"G",'Portefeuille SP2'!$D:$D,$A7,'Portefeuille SP2'!#REF!,"o")</f>
        <v>#REF!</v>
      </c>
      <c r="X7" s="111" t="e">
        <f>SUMIFS('Portefeuille SP2'!$U:$U,'Portefeuille SP2'!#REF!,1,'Portefeuille SP2'!$Q:$Q,"IN PROGRESS",'Portefeuille SP2'!#REF!,"R",'Portefeuille SP2'!$D:$D,$A7,'Portefeuille SP2'!#REF!,"o")</f>
        <v>#REF!</v>
      </c>
      <c r="Y7" s="126" t="e">
        <f>SUMIFS('Portefeuille SP2'!#REF!,'Portefeuille SP2'!#REF!,1,'Portefeuille SP2'!$Q:$Q,"IN PROGRESS",'Portefeuille SP2'!#REF!,"R",'Portefeuille SP2'!$D:$D,$A7,'Portefeuille SP2'!#REF!,"o")</f>
        <v>#REF!</v>
      </c>
      <c r="Z7" s="117" t="e">
        <f>SUMIFS('Portefeuille SP2'!#REF!,'Portefeuille SP2'!#REF!,1,'Portefeuille SP2'!$Q:$Q,"IN PROGRESS",'Portefeuille SP2'!#REF!,"R",'Portefeuille SP2'!$D:$D,$A7,'Portefeuille SP2'!#REF!,"o")</f>
        <v>#REF!</v>
      </c>
      <c r="AA7" s="111" t="e">
        <f>SUMIFS('Portefeuille SP2'!$U:$U,'Portefeuille SP2'!#REF!,1,'Portefeuille SP2'!$Q:$Q,"DECIDED",'Portefeuille SP2'!#REF!,"G",'Portefeuille SP2'!$D:$D,$A7,'Portefeuille SP2'!#REF!,"o",'Portefeuille SP2'!#REF!,"=")</f>
        <v>#REF!</v>
      </c>
      <c r="AB7" s="126" t="e">
        <f>SUMIFS('Portefeuille SP2'!#REF!,'Portefeuille SP2'!#REF!,1,'Portefeuille SP2'!$Q:$Q,"DECIDED",'Portefeuille SP2'!#REF!,"G",'Portefeuille SP2'!$D:$D,$A7,'Portefeuille SP2'!#REF!,"o",'Portefeuille SP2'!#REF!,"=")</f>
        <v>#REF!</v>
      </c>
      <c r="AC7" s="117" t="e">
        <f>SUMIFS('Portefeuille SP2'!#REF!,'Portefeuille SP2'!#REF!,1,'Portefeuille SP2'!$Q:$Q,"DECIDED",'Portefeuille SP2'!#REF!,"G",'Portefeuille SP2'!$D:$D,$A7,'Portefeuille SP2'!#REF!,"o",'Portefeuille SP2'!#REF!,"=")</f>
        <v>#REF!</v>
      </c>
      <c r="AD7" s="111" t="e">
        <f>SUMIFS('Portefeuille SP2'!$U:$U,'Portefeuille SP2'!#REF!,1,'Portefeuille SP2'!$Q:$Q,"DECIDED",'Portefeuille SP2'!#REF!,"R",'Portefeuille SP2'!$D:$D,$A7,'Portefeuille SP2'!#REF!,"o",'Portefeuille SP2'!#REF!,"=")</f>
        <v>#REF!</v>
      </c>
      <c r="AE7" s="126" t="e">
        <f>SUMIFS('Portefeuille SP2'!#REF!,'Portefeuille SP2'!#REF!,1,'Portefeuille SP2'!$Q:$Q,"DECIDED",'Portefeuille SP2'!#REF!,"R",'Portefeuille SP2'!$D:$D,$A7,'Portefeuille SP2'!#REF!,"o",'Portefeuille SP2'!#REF!,"=")</f>
        <v>#REF!</v>
      </c>
      <c r="AF7" s="117" t="e">
        <f>SUMIFS('Portefeuille SP2'!#REF!,'Portefeuille SP2'!#REF!,1,'Portefeuille SP2'!$Q:$Q,"DECIDED",'Portefeuille SP2'!#REF!,"R",'Portefeuille SP2'!$D:$D,$A7,'Portefeuille SP2'!#REF!,"o",'Portefeuille SP2'!#REF!,"=")</f>
        <v>#REF!</v>
      </c>
      <c r="AG7" s="111" t="e">
        <f>SUMIFS('Portefeuille SP2'!$U:$U,'Portefeuille SP2'!#REF!,1,'Portefeuille SP2'!$Q:$Q,"DECIDED",'Portefeuille SP2'!#REF!,"G",'Portefeuille SP2'!$D:$D,$A7,'Portefeuille SP2'!#REF!,"o",'Portefeuille SP2'!#REF!,"&lt;&gt;")</f>
        <v>#REF!</v>
      </c>
      <c r="AH7" s="126" t="e">
        <f>SUMIFS('Portefeuille SP2'!#REF!,'Portefeuille SP2'!#REF!,1,'Portefeuille SP2'!$Q:$Q,"DECIDED",'Portefeuille SP2'!#REF!,"G",'Portefeuille SP2'!$D:$D,$A7,'Portefeuille SP2'!#REF!,"o",'Portefeuille SP2'!#REF!,"&lt;&gt;")</f>
        <v>#REF!</v>
      </c>
      <c r="AI7" s="117" t="e">
        <f>SUMIFS('Portefeuille SP2'!#REF!,'Portefeuille SP2'!#REF!,1,'Portefeuille SP2'!$Q:$Q,"DECIDED",'Portefeuille SP2'!#REF!,"G",'Portefeuille SP2'!$D:$D,$A7,'Portefeuille SP2'!#REF!,"o",'Portefeuille SP2'!#REF!,"&lt;&gt;")</f>
        <v>#REF!</v>
      </c>
      <c r="AJ7" s="111" t="e">
        <f>SUMIFS('Portefeuille SP2'!$U:$U,'Portefeuille SP2'!#REF!,1,'Portefeuille SP2'!$Q:$Q,"DECIDED",'Portefeuille SP2'!#REF!,"R",'Portefeuille SP2'!$D:$D,$A7,'Portefeuille SP2'!#REF!,"o",'Portefeuille SP2'!#REF!,"&lt;&gt;")</f>
        <v>#REF!</v>
      </c>
      <c r="AK7" s="126" t="e">
        <f>SUMIFS('Portefeuille SP2'!#REF!,'Portefeuille SP2'!#REF!,1,'Portefeuille SP2'!$Q:$Q,"DECIDED",'Portefeuille SP2'!#REF!,"R",'Portefeuille SP2'!$D:$D,$A7,'Portefeuille SP2'!#REF!,"o",'Portefeuille SP2'!#REF!,"&lt;&gt;")</f>
        <v>#REF!</v>
      </c>
      <c r="AL7" s="117" t="e">
        <f>SUMIFS('Portefeuille SP2'!#REF!,'Portefeuille SP2'!#REF!,1,'Portefeuille SP2'!$Q:$Q,"DECIDED",'Portefeuille SP2'!#REF!,"R",'Portefeuille SP2'!$D:$D,$A7,'Portefeuille SP2'!#REF!,"o",'Portefeuille SP2'!#REF!,"&lt;&gt;")</f>
        <v>#REF!</v>
      </c>
      <c r="AM7" s="117"/>
      <c r="AN7" t="s">
        <v>1311</v>
      </c>
      <c r="AO7" s="111" t="e">
        <f t="shared" ref="AO7:AT7" si="23">B12</f>
        <v>#REF!</v>
      </c>
      <c r="AP7" s="126" t="e">
        <f t="shared" si="23"/>
        <v>#REF!</v>
      </c>
      <c r="AQ7" s="122" t="e">
        <f t="shared" si="23"/>
        <v>#REF!</v>
      </c>
      <c r="AR7" s="112" t="e">
        <f t="shared" si="23"/>
        <v>#REF!</v>
      </c>
      <c r="AS7" s="126" t="e">
        <f t="shared" si="23"/>
        <v>#REF!</v>
      </c>
      <c r="AT7" s="122" t="e">
        <f t="shared" si="23"/>
        <v>#REF!</v>
      </c>
      <c r="AU7" s="112" t="e">
        <f t="shared" si="12"/>
        <v>#REF!</v>
      </c>
      <c r="AV7" s="126" t="e">
        <f t="shared" si="1"/>
        <v>#REF!</v>
      </c>
      <c r="AW7" s="122" t="e">
        <f t="shared" si="2"/>
        <v>#REF!</v>
      </c>
      <c r="AX7" s="111" t="e">
        <f t="shared" ref="AX7:BC7" si="24">H12</f>
        <v>#REF!</v>
      </c>
      <c r="AY7" s="126" t="e">
        <f t="shared" si="24"/>
        <v>#REF!</v>
      </c>
      <c r="AZ7" s="122" t="e">
        <f t="shared" si="24"/>
        <v>#REF!</v>
      </c>
      <c r="BA7" s="111" t="e">
        <f t="shared" si="24"/>
        <v>#REF!</v>
      </c>
      <c r="BB7" s="126" t="e">
        <f t="shared" si="24"/>
        <v>#REF!</v>
      </c>
      <c r="BC7" s="122" t="e">
        <f t="shared" si="24"/>
        <v>#REF!</v>
      </c>
      <c r="BD7" s="112" t="e">
        <f t="shared" si="14"/>
        <v>#REF!</v>
      </c>
      <c r="BE7" s="126" t="e">
        <f t="shared" si="4"/>
        <v>#REF!</v>
      </c>
      <c r="BF7" s="122" t="e">
        <f t="shared" si="4"/>
        <v>#REF!</v>
      </c>
      <c r="BH7" s="111" t="e">
        <f t="shared" ref="BH7:BM7" si="25">U12</f>
        <v>#REF!</v>
      </c>
      <c r="BI7" s="126" t="e">
        <f t="shared" si="25"/>
        <v>#REF!</v>
      </c>
      <c r="BJ7" s="122" t="e">
        <f t="shared" si="25"/>
        <v>#REF!</v>
      </c>
      <c r="BK7" s="111" t="e">
        <f t="shared" si="25"/>
        <v>#REF!</v>
      </c>
      <c r="BL7" s="126" t="e">
        <f t="shared" si="25"/>
        <v>#REF!</v>
      </c>
      <c r="BM7" s="122" t="e">
        <f t="shared" si="25"/>
        <v>#REF!</v>
      </c>
      <c r="BN7" s="112" t="e">
        <f t="shared" si="16"/>
        <v>#REF!</v>
      </c>
      <c r="BO7" s="126" t="e">
        <f t="shared" si="6"/>
        <v>#REF!</v>
      </c>
      <c r="BP7" s="122" t="e">
        <f t="shared" si="7"/>
        <v>#REF!</v>
      </c>
      <c r="BQ7" s="111" t="e">
        <f t="shared" ref="BQ7:BV7" si="26">AA12</f>
        <v>#REF!</v>
      </c>
      <c r="BR7" s="126" t="e">
        <f t="shared" si="26"/>
        <v>#REF!</v>
      </c>
      <c r="BS7" s="122" t="e">
        <f t="shared" si="26"/>
        <v>#REF!</v>
      </c>
      <c r="BT7" s="111" t="e">
        <f t="shared" si="26"/>
        <v>#REF!</v>
      </c>
      <c r="BU7" s="126" t="e">
        <f t="shared" si="26"/>
        <v>#REF!</v>
      </c>
      <c r="BV7" s="122" t="e">
        <f t="shared" si="26"/>
        <v>#REF!</v>
      </c>
      <c r="BW7" s="111" t="e">
        <f t="shared" si="18"/>
        <v>#REF!</v>
      </c>
      <c r="BX7" s="126" t="e">
        <f t="shared" si="9"/>
        <v>#REF!</v>
      </c>
      <c r="BY7" s="122" t="e">
        <f t="shared" si="10"/>
        <v>#REF!</v>
      </c>
    </row>
    <row r="8" spans="1:77" outlineLevel="1">
      <c r="A8" t="s">
        <v>1312</v>
      </c>
      <c r="B8" s="139" t="e">
        <f>SUMIFS('Portefeuille SP2'!$U:$U,'Portefeuille SP2'!#REF!,1,'Portefeuille SP2'!$Q:$Q,"IN PROGRESS",'Portefeuille SP2'!#REF!,"G",'Portefeuille SP2'!$D:$D,$A8,'Portefeuille SP2'!#REF!,"S")</f>
        <v>#REF!</v>
      </c>
      <c r="C8" s="126" t="e">
        <f>SUMIFS('Portefeuille SP2'!#REF!,'Portefeuille SP2'!#REF!,1,'Portefeuille SP2'!$Q:$Q,"IN PROGRESS",'Portefeuille SP2'!#REF!,"G",'Portefeuille SP2'!$D:$D,$A8,'Portefeuille SP2'!#REF!,"S")</f>
        <v>#REF!</v>
      </c>
      <c r="D8" s="122" t="e">
        <f>SUMIFS('Portefeuille SP2'!#REF!,'Portefeuille SP2'!#REF!,1,'Portefeuille SP2'!$Q:$Q,"IN PROGRESS",'Portefeuille SP2'!#REF!,"G",'Portefeuille SP2'!$D:$D,$A8,'Portefeuille SP2'!#REF!,"S")</f>
        <v>#REF!</v>
      </c>
      <c r="E8" s="111" t="e">
        <f>SUMIFS('Portefeuille SP2'!$U:$U,'Portefeuille SP2'!#REF!,1,'Portefeuille SP2'!$Q:$Q,"IN PROGRESS",'Portefeuille SP2'!#REF!,"R",'Portefeuille SP2'!$D:$D,$A8,'Portefeuille SP2'!#REF!,"S")</f>
        <v>#REF!</v>
      </c>
      <c r="F8" s="126" t="e">
        <f>SUMIFS('Portefeuille SP2'!#REF!,'Portefeuille SP2'!#REF!,1,'Portefeuille SP2'!$Q:$Q,"IN PROGRESS",'Portefeuille SP2'!#REF!,"R",'Portefeuille SP2'!$D:$D,$A8,'Portefeuille SP2'!#REF!,"S")</f>
        <v>#REF!</v>
      </c>
      <c r="G8" s="117" t="e">
        <f>SUMIFS('Portefeuille SP2'!#REF!,'Portefeuille SP2'!#REF!,1,'Portefeuille SP2'!$Q:$Q,"IN PROGRESS",'Portefeuille SP2'!#REF!,"R",'Portefeuille SP2'!$D:$D,$A8,'Portefeuille SP2'!#REF!,"S")</f>
        <v>#REF!</v>
      </c>
      <c r="H8" s="111" t="e">
        <f>SUMIFS('Portefeuille SP2'!$U:$U,'Portefeuille SP2'!#REF!,1,'Portefeuille SP2'!$Q:$Q,"DECIDED",'Portefeuille SP2'!#REF!,"G",'Portefeuille SP2'!$D:$D,$A8,'Portefeuille SP2'!#REF!,"S",'Portefeuille SP2'!#REF!,"=")</f>
        <v>#REF!</v>
      </c>
      <c r="I8" s="117" t="e">
        <f>SUMIFS('Portefeuille SP2'!#REF!,'Portefeuille SP2'!#REF!,1,'Portefeuille SP2'!$Q:$Q,"DECIDED",'Portefeuille SP2'!#REF!,"G",'Portefeuille SP2'!$D:$D,$A8,'Portefeuille SP2'!#REF!,"S",'Portefeuille SP2'!#REF!,"=")</f>
        <v>#REF!</v>
      </c>
      <c r="J8" s="117" t="e">
        <f>SUMIFS('Portefeuille SP2'!#REF!,'Portefeuille SP2'!#REF!,1,'Portefeuille SP2'!$Q:$Q,"DECIDED",'Portefeuille SP2'!#REF!,"G",'Portefeuille SP2'!$D:$D,$A8,'Portefeuille SP2'!#REF!,"S",'Portefeuille SP2'!#REF!,"=")</f>
        <v>#REF!</v>
      </c>
      <c r="K8" s="111" t="e">
        <f>SUMIFS('Portefeuille SP2'!$U:$U,'Portefeuille SP2'!#REF!,1,'Portefeuille SP2'!$Q:$Q,"DECIDED",'Portefeuille SP2'!#REF!,"R",'Portefeuille SP2'!$D:$D,$A8,'Portefeuille SP2'!#REF!,"S",'Portefeuille SP2'!#REF!,"=")</f>
        <v>#REF!</v>
      </c>
      <c r="L8" s="126" t="e">
        <f>SUMIFS('Portefeuille SP2'!#REF!,'Portefeuille SP2'!#REF!,1,'Portefeuille SP2'!$Q:$Q,"DECIDED",'Portefeuille SP2'!#REF!,"R",'Portefeuille SP2'!$D:$D,$A8,'Portefeuille SP2'!#REF!,"S",'Portefeuille SP2'!#REF!,"=")</f>
        <v>#REF!</v>
      </c>
      <c r="M8" s="117" t="e">
        <f>SUMIFS('Portefeuille SP2'!#REF!,'Portefeuille SP2'!#REF!,1,'Portefeuille SP2'!$Q:$Q,"DECIDED",'Portefeuille SP2'!#REF!,"R",'Portefeuille SP2'!$D:$D,$A8,'Portefeuille SP2'!#REF!,"S",'Portefeuille SP2'!#REF!,"=")</f>
        <v>#REF!</v>
      </c>
      <c r="N8" s="111" t="e">
        <f>SUMIFS('Portefeuille SP2'!$U:$U,'Portefeuille SP2'!#REF!,1,'Portefeuille SP2'!$Q:$Q,"DECIDED",'Portefeuille SP2'!#REF!,"G",'Portefeuille SP2'!$D:$D,$A8,'Portefeuille SP2'!#REF!,"S",'Portefeuille SP2'!#REF!,"&lt;&gt;")</f>
        <v>#REF!</v>
      </c>
      <c r="O8" s="126" t="e">
        <f>SUMIFS('Portefeuille SP2'!#REF!,'Portefeuille SP2'!#REF!,1,'Portefeuille SP2'!$Q:$Q,"DECIDED",'Portefeuille SP2'!#REF!,"G",'Portefeuille SP2'!$D:$D,$A8,'Portefeuille SP2'!#REF!,"S",'Portefeuille SP2'!#REF!,"&lt;&gt;")</f>
        <v>#REF!</v>
      </c>
      <c r="P8" s="117" t="e">
        <f>SUMIFS('Portefeuille SP2'!#REF!,'Portefeuille SP2'!#REF!,1,'Portefeuille SP2'!$Q:$Q,"DECIDED",'Portefeuille SP2'!#REF!,"G",'Portefeuille SP2'!$D:$D,$A8,'Portefeuille SP2'!#REF!,"S",'Portefeuille SP2'!#REF!,"&lt;&gt;")</f>
        <v>#REF!</v>
      </c>
      <c r="Q8" s="111" t="e">
        <f>SUMIFS('Portefeuille SP2'!$U:$U,'Portefeuille SP2'!#REF!,1,'Portefeuille SP2'!$Q:$Q,"DECIDED",'Portefeuille SP2'!#REF!,"R",'Portefeuille SP2'!$D:$D,$A8,'Portefeuille SP2'!#REF!,"S",'Portefeuille SP2'!#REF!,"&lt;&gt;")</f>
        <v>#REF!</v>
      </c>
      <c r="R8" s="126" t="e">
        <f>SUMIFS('Portefeuille SP2'!#REF!,'Portefeuille SP2'!#REF!,1,'Portefeuille SP2'!$Q:$Q,"DECIDED",'Portefeuille SP2'!#REF!,"R",'Portefeuille SP2'!$D:$D,$A8,'Portefeuille SP2'!#REF!,"S",'Portefeuille SP2'!#REF!,"&lt;&gt;")</f>
        <v>#REF!</v>
      </c>
      <c r="S8" s="122" t="e">
        <f>SUMIFS('Portefeuille SP2'!#REF!,'Portefeuille SP2'!#REF!,1,'Portefeuille SP2'!$Q:$Q,"DECIDED",'Portefeuille SP2'!#REF!,"R",'Portefeuille SP2'!$D:$D,$A8,'Portefeuille SP2'!#REF!,"S",'Portefeuille SP2'!#REF!,"&lt;&gt;")</f>
        <v>#REF!</v>
      </c>
      <c r="U8" s="111" t="e">
        <f>SUMIFS('Portefeuille SP2'!$U:$U,'Portefeuille SP2'!#REF!,1,'Portefeuille SP2'!$Q:$Q,"IN PROGRESS",'Portefeuille SP2'!#REF!,"G",'Portefeuille SP2'!$D:$D,$A8,'Portefeuille SP2'!#REF!,"O")</f>
        <v>#REF!</v>
      </c>
      <c r="V8" s="126" t="e">
        <f>SUMIFS('Portefeuille SP2'!#REF!,'Portefeuille SP2'!#REF!,1,'Portefeuille SP2'!$Q:$Q,"IN PROGRESS",'Portefeuille SP2'!#REF!,"G",'Portefeuille SP2'!$D:$D,$A8,'Portefeuille SP2'!#REF!,"o")</f>
        <v>#REF!</v>
      </c>
      <c r="W8" s="117" t="e">
        <f>SUMIFS('Portefeuille SP2'!#REF!,'Portefeuille SP2'!#REF!,1,'Portefeuille SP2'!$Q:$Q,"IN PROGRESS",'Portefeuille SP2'!#REF!,"G",'Portefeuille SP2'!$D:$D,$A8,'Portefeuille SP2'!#REF!,"o")</f>
        <v>#REF!</v>
      </c>
      <c r="X8" s="111" t="e">
        <f>SUMIFS('Portefeuille SP2'!$U:$U,'Portefeuille SP2'!#REF!,1,'Portefeuille SP2'!$Q:$Q,"IN PROGRESS",'Portefeuille SP2'!#REF!,"R",'Portefeuille SP2'!$D:$D,$A8,'Portefeuille SP2'!#REF!,"o")</f>
        <v>#REF!</v>
      </c>
      <c r="Y8" s="126" t="e">
        <f>SUMIFS('Portefeuille SP2'!#REF!,'Portefeuille SP2'!#REF!,1,'Portefeuille SP2'!$Q:$Q,"IN PROGRESS",'Portefeuille SP2'!#REF!,"R",'Portefeuille SP2'!$D:$D,$A8,'Portefeuille SP2'!#REF!,"o")</f>
        <v>#REF!</v>
      </c>
      <c r="Z8" s="117" t="e">
        <f>SUMIFS('Portefeuille SP2'!#REF!,'Portefeuille SP2'!#REF!,1,'Portefeuille SP2'!$Q:$Q,"IN PROGRESS",'Portefeuille SP2'!#REF!,"R",'Portefeuille SP2'!$D:$D,$A8,'Portefeuille SP2'!#REF!,"o")</f>
        <v>#REF!</v>
      </c>
      <c r="AA8" s="111" t="e">
        <f>SUMIFS('Portefeuille SP2'!$U:$U,'Portefeuille SP2'!#REF!,1,'Portefeuille SP2'!$Q:$Q,"DECIDED",'Portefeuille SP2'!#REF!,"G",'Portefeuille SP2'!$D:$D,$A8,'Portefeuille SP2'!#REF!,"o",'Portefeuille SP2'!#REF!,"=")</f>
        <v>#REF!</v>
      </c>
      <c r="AB8" s="126" t="e">
        <f>SUMIFS('Portefeuille SP2'!#REF!,'Portefeuille SP2'!#REF!,1,'Portefeuille SP2'!$Q:$Q,"DECIDED",'Portefeuille SP2'!#REF!,"G",'Portefeuille SP2'!$D:$D,$A8,'Portefeuille SP2'!#REF!,"o",'Portefeuille SP2'!#REF!,"=")</f>
        <v>#REF!</v>
      </c>
      <c r="AC8" s="117" t="e">
        <f>SUMIFS('Portefeuille SP2'!#REF!,'Portefeuille SP2'!#REF!,1,'Portefeuille SP2'!$Q:$Q,"DECIDED",'Portefeuille SP2'!#REF!,"G",'Portefeuille SP2'!$D:$D,$A8,'Portefeuille SP2'!#REF!,"o",'Portefeuille SP2'!#REF!,"=")</f>
        <v>#REF!</v>
      </c>
      <c r="AD8" s="111" t="e">
        <f>SUMIFS('Portefeuille SP2'!$U:$U,'Portefeuille SP2'!#REF!,1,'Portefeuille SP2'!$Q:$Q,"DECIDED",'Portefeuille SP2'!#REF!,"R",'Portefeuille SP2'!$D:$D,$A8,'Portefeuille SP2'!#REF!,"o",'Portefeuille SP2'!#REF!,"=")</f>
        <v>#REF!</v>
      </c>
      <c r="AE8" s="126" t="e">
        <f>SUMIFS('Portefeuille SP2'!#REF!,'Portefeuille SP2'!#REF!,1,'Portefeuille SP2'!$Q:$Q,"DECIDED",'Portefeuille SP2'!#REF!,"R",'Portefeuille SP2'!$D:$D,$A8,'Portefeuille SP2'!#REF!,"o",'Portefeuille SP2'!#REF!,"=")</f>
        <v>#REF!</v>
      </c>
      <c r="AF8" s="117" t="e">
        <f>SUMIFS('Portefeuille SP2'!#REF!,'Portefeuille SP2'!#REF!,1,'Portefeuille SP2'!$Q:$Q,"DECIDED",'Portefeuille SP2'!#REF!,"R",'Portefeuille SP2'!$D:$D,$A8,'Portefeuille SP2'!#REF!,"o",'Portefeuille SP2'!#REF!,"=")</f>
        <v>#REF!</v>
      </c>
      <c r="AG8" s="111" t="e">
        <f>SUMIFS('Portefeuille SP2'!$U:$U,'Portefeuille SP2'!#REF!,1,'Portefeuille SP2'!$Q:$Q,"DECIDED",'Portefeuille SP2'!#REF!,"G",'Portefeuille SP2'!$D:$D,$A8,'Portefeuille SP2'!#REF!,"o",'Portefeuille SP2'!#REF!,"&lt;&gt;")</f>
        <v>#REF!</v>
      </c>
      <c r="AH8" s="126" t="e">
        <f>SUMIFS('Portefeuille SP2'!#REF!,'Portefeuille SP2'!#REF!,1,'Portefeuille SP2'!$Q:$Q,"DECIDED",'Portefeuille SP2'!#REF!,"G",'Portefeuille SP2'!$D:$D,$A8,'Portefeuille SP2'!#REF!,"o",'Portefeuille SP2'!#REF!,"&lt;&gt;")</f>
        <v>#REF!</v>
      </c>
      <c r="AI8" s="117" t="e">
        <f>SUMIFS('Portefeuille SP2'!#REF!,'Portefeuille SP2'!#REF!,1,'Portefeuille SP2'!$Q:$Q,"DECIDED",'Portefeuille SP2'!#REF!,"G",'Portefeuille SP2'!$D:$D,$A8,'Portefeuille SP2'!#REF!,"o",'Portefeuille SP2'!#REF!,"&lt;&gt;")</f>
        <v>#REF!</v>
      </c>
      <c r="AJ8" s="111" t="e">
        <f>SUMIFS('Portefeuille SP2'!$U:$U,'Portefeuille SP2'!#REF!,1,'Portefeuille SP2'!$Q:$Q,"DECIDED",'Portefeuille SP2'!#REF!,"R",'Portefeuille SP2'!$D:$D,$A8,'Portefeuille SP2'!#REF!,"o",'Portefeuille SP2'!#REF!,"&lt;&gt;")</f>
        <v>#REF!</v>
      </c>
      <c r="AK8" s="126" t="e">
        <f>SUMIFS('Portefeuille SP2'!#REF!,'Portefeuille SP2'!#REF!,1,'Portefeuille SP2'!$Q:$Q,"DECIDED",'Portefeuille SP2'!#REF!,"R",'Portefeuille SP2'!$D:$D,$A8,'Portefeuille SP2'!#REF!,"o",'Portefeuille SP2'!#REF!,"&lt;&gt;")</f>
        <v>#REF!</v>
      </c>
      <c r="AL8" s="117" t="e">
        <f>SUMIFS('Portefeuille SP2'!#REF!,'Portefeuille SP2'!#REF!,1,'Portefeuille SP2'!$Q:$Q,"DECIDED",'Portefeuille SP2'!#REF!,"R",'Portefeuille SP2'!$D:$D,$A8,'Portefeuille SP2'!#REF!,"o",'Portefeuille SP2'!#REF!,"&lt;&gt;")</f>
        <v>#REF!</v>
      </c>
      <c r="AM8" s="117"/>
      <c r="AN8" t="s">
        <v>1307</v>
      </c>
      <c r="AO8" s="111" t="e">
        <f>B5+B7+B8+B9+B10+B17+B18</f>
        <v>#REF!</v>
      </c>
      <c r="AP8" s="126" t="e">
        <f>C5+C7+C8+C9+C10+C17</f>
        <v>#REF!</v>
      </c>
      <c r="AQ8" s="122" t="e">
        <f>D5+D7+D8+D9+D10+D17</f>
        <v>#REF!</v>
      </c>
      <c r="AR8" s="112" t="e">
        <f>E5+E7+E8+E9+E10+E17+E18</f>
        <v>#REF!</v>
      </c>
      <c r="AS8" s="126" t="e">
        <f>F5+F7+F8+F9+F10+F17</f>
        <v>#REF!</v>
      </c>
      <c r="AT8" s="122" t="e">
        <f>G5+G7+G8+G9+G10+G17</f>
        <v>#REF!</v>
      </c>
      <c r="AU8" s="112" t="e">
        <f t="shared" si="12"/>
        <v>#REF!</v>
      </c>
      <c r="AV8" s="126" t="e">
        <f t="shared" si="1"/>
        <v>#REF!</v>
      </c>
      <c r="AW8" s="122" t="e">
        <f t="shared" si="2"/>
        <v>#REF!</v>
      </c>
      <c r="AX8" s="111" t="e">
        <f t="shared" ref="AX8:BC8" si="27">H5+H7+H8+H9+H10+H17+H18</f>
        <v>#REF!</v>
      </c>
      <c r="AY8" s="126" t="e">
        <f t="shared" si="27"/>
        <v>#REF!</v>
      </c>
      <c r="AZ8" s="122" t="e">
        <f t="shared" si="27"/>
        <v>#REF!</v>
      </c>
      <c r="BA8" s="111" t="e">
        <f t="shared" si="27"/>
        <v>#REF!</v>
      </c>
      <c r="BB8" s="126" t="e">
        <f t="shared" si="27"/>
        <v>#REF!</v>
      </c>
      <c r="BC8" s="122" t="e">
        <f t="shared" si="27"/>
        <v>#REF!</v>
      </c>
      <c r="BD8" s="112" t="e">
        <f t="shared" si="14"/>
        <v>#REF!</v>
      </c>
      <c r="BE8" s="126" t="e">
        <f t="shared" si="4"/>
        <v>#REF!</v>
      </c>
      <c r="BF8" s="122" t="e">
        <f t="shared" si="4"/>
        <v>#REF!</v>
      </c>
      <c r="BH8" s="111" t="e">
        <f t="shared" ref="BH8:BM8" si="28">U5+U7+U8+U9+U10+U17+U18</f>
        <v>#REF!</v>
      </c>
      <c r="BI8" s="126" t="e">
        <f t="shared" si="28"/>
        <v>#REF!</v>
      </c>
      <c r="BJ8" s="122" t="e">
        <f t="shared" si="28"/>
        <v>#REF!</v>
      </c>
      <c r="BK8" s="111" t="e">
        <f t="shared" si="28"/>
        <v>#REF!</v>
      </c>
      <c r="BL8" s="126" t="e">
        <f t="shared" si="28"/>
        <v>#REF!</v>
      </c>
      <c r="BM8" s="122" t="e">
        <f t="shared" si="28"/>
        <v>#REF!</v>
      </c>
      <c r="BN8" s="112" t="e">
        <f t="shared" si="16"/>
        <v>#REF!</v>
      </c>
      <c r="BO8" s="126" t="e">
        <f t="shared" si="6"/>
        <v>#REF!</v>
      </c>
      <c r="BP8" s="122" t="e">
        <f t="shared" si="7"/>
        <v>#REF!</v>
      </c>
      <c r="BQ8" s="111" t="e">
        <f t="shared" ref="BQ8:BV8" si="29">AA5+AA7+AA8+AA9+AA10+AA17+AA18</f>
        <v>#REF!</v>
      </c>
      <c r="BR8" s="126" t="e">
        <f t="shared" si="29"/>
        <v>#REF!</v>
      </c>
      <c r="BS8" s="122" t="e">
        <f t="shared" si="29"/>
        <v>#REF!</v>
      </c>
      <c r="BT8" s="111" t="e">
        <f t="shared" si="29"/>
        <v>#REF!</v>
      </c>
      <c r="BU8" s="126" t="e">
        <f t="shared" si="29"/>
        <v>#REF!</v>
      </c>
      <c r="BV8" s="122" t="e">
        <f t="shared" si="29"/>
        <v>#REF!</v>
      </c>
      <c r="BW8" s="111" t="e">
        <f t="shared" si="18"/>
        <v>#REF!</v>
      </c>
      <c r="BX8" s="126" t="e">
        <f t="shared" si="9"/>
        <v>#REF!</v>
      </c>
      <c r="BY8" s="122" t="e">
        <f t="shared" si="10"/>
        <v>#REF!</v>
      </c>
    </row>
    <row r="9" spans="1:77" outlineLevel="1">
      <c r="A9" t="s">
        <v>1313</v>
      </c>
      <c r="B9" s="139" t="e">
        <f>SUMIFS('Portefeuille SP2'!$U:$U,'Portefeuille SP2'!#REF!,1,'Portefeuille SP2'!$Q:$Q,"IN PROGRESS",'Portefeuille SP2'!#REF!,"G",'Portefeuille SP2'!$D:$D,$A9,'Portefeuille SP2'!#REF!,"S")</f>
        <v>#REF!</v>
      </c>
      <c r="C9" s="126" t="e">
        <f>SUMIFS('Portefeuille SP2'!#REF!,'Portefeuille SP2'!#REF!,1,'Portefeuille SP2'!$Q:$Q,"IN PROGRESS",'Portefeuille SP2'!#REF!,"G",'Portefeuille SP2'!$D:$D,$A9,'Portefeuille SP2'!#REF!,"S")</f>
        <v>#REF!</v>
      </c>
      <c r="D9" s="122" t="e">
        <f>SUMIFS('Portefeuille SP2'!#REF!,'Portefeuille SP2'!#REF!,1,'Portefeuille SP2'!$Q:$Q,"IN PROGRESS",'Portefeuille SP2'!#REF!,"G",'Portefeuille SP2'!$D:$D,$A9,'Portefeuille SP2'!#REF!,"S")</f>
        <v>#REF!</v>
      </c>
      <c r="E9" s="111" t="e">
        <f>SUMIFS('Portefeuille SP2'!$U:$U,'Portefeuille SP2'!#REF!,1,'Portefeuille SP2'!$Q:$Q,"IN PROGRESS",'Portefeuille SP2'!#REF!,"R",'Portefeuille SP2'!$D:$D,$A9,'Portefeuille SP2'!#REF!,"S")</f>
        <v>#REF!</v>
      </c>
      <c r="F9" s="126" t="e">
        <f>SUMIFS('Portefeuille SP2'!#REF!,'Portefeuille SP2'!#REF!,1,'Portefeuille SP2'!$Q:$Q,"IN PROGRESS",'Portefeuille SP2'!#REF!,"R",'Portefeuille SP2'!$D:$D,$A9,'Portefeuille SP2'!#REF!,"S")</f>
        <v>#REF!</v>
      </c>
      <c r="G9" s="117" t="e">
        <f>SUMIFS('Portefeuille SP2'!#REF!,'Portefeuille SP2'!#REF!,1,'Portefeuille SP2'!$Q:$Q,"IN PROGRESS",'Portefeuille SP2'!#REF!,"R",'Portefeuille SP2'!$D:$D,$A9,'Portefeuille SP2'!#REF!,"S")</f>
        <v>#REF!</v>
      </c>
      <c r="H9" s="111" t="e">
        <f>SUMIFS('Portefeuille SP2'!$U:$U,'Portefeuille SP2'!#REF!,1,'Portefeuille SP2'!$Q:$Q,"DECIDED",'Portefeuille SP2'!#REF!,"G",'Portefeuille SP2'!$D:$D,$A9,'Portefeuille SP2'!#REF!,"S",'Portefeuille SP2'!#REF!,"=")</f>
        <v>#REF!</v>
      </c>
      <c r="I9" s="117" t="e">
        <f>SUMIFS('Portefeuille SP2'!#REF!,'Portefeuille SP2'!#REF!,1,'Portefeuille SP2'!$Q:$Q,"DECIDED",'Portefeuille SP2'!#REF!,"G",'Portefeuille SP2'!$D:$D,$A9,'Portefeuille SP2'!#REF!,"S",'Portefeuille SP2'!#REF!,"=")</f>
        <v>#REF!</v>
      </c>
      <c r="J9" s="117" t="e">
        <f>SUMIFS('Portefeuille SP2'!#REF!,'Portefeuille SP2'!#REF!,1,'Portefeuille SP2'!$Q:$Q,"DECIDED",'Portefeuille SP2'!#REF!,"G",'Portefeuille SP2'!$D:$D,$A9,'Portefeuille SP2'!#REF!,"S",'Portefeuille SP2'!#REF!,"=")</f>
        <v>#REF!</v>
      </c>
      <c r="K9" s="111" t="e">
        <f>SUMIFS('Portefeuille SP2'!$U:$U,'Portefeuille SP2'!#REF!,1,'Portefeuille SP2'!$Q:$Q,"DECIDED",'Portefeuille SP2'!#REF!,"R",'Portefeuille SP2'!$D:$D,$A9,'Portefeuille SP2'!#REF!,"S",'Portefeuille SP2'!#REF!,"=")</f>
        <v>#REF!</v>
      </c>
      <c r="L9" s="126" t="e">
        <f>SUMIFS('Portefeuille SP2'!#REF!,'Portefeuille SP2'!#REF!,1,'Portefeuille SP2'!$Q:$Q,"DECIDED",'Portefeuille SP2'!#REF!,"R",'Portefeuille SP2'!$D:$D,$A9,'Portefeuille SP2'!#REF!,"S",'Portefeuille SP2'!#REF!,"=")</f>
        <v>#REF!</v>
      </c>
      <c r="M9" s="117" t="e">
        <f>SUMIFS('Portefeuille SP2'!#REF!,'Portefeuille SP2'!#REF!,1,'Portefeuille SP2'!$Q:$Q,"DECIDED",'Portefeuille SP2'!#REF!,"R",'Portefeuille SP2'!$D:$D,$A9,'Portefeuille SP2'!#REF!,"S",'Portefeuille SP2'!#REF!,"=")</f>
        <v>#REF!</v>
      </c>
      <c r="N9" s="111" t="e">
        <f>SUMIFS('Portefeuille SP2'!$U:$U,'Portefeuille SP2'!#REF!,1,'Portefeuille SP2'!$Q:$Q,"DECIDED",'Portefeuille SP2'!#REF!,"G",'Portefeuille SP2'!$D:$D,$A9,'Portefeuille SP2'!#REF!,"S",'Portefeuille SP2'!#REF!,"&lt;&gt;")</f>
        <v>#REF!</v>
      </c>
      <c r="O9" s="126" t="e">
        <f>SUMIFS('Portefeuille SP2'!#REF!,'Portefeuille SP2'!#REF!,1,'Portefeuille SP2'!$Q:$Q,"DECIDED",'Portefeuille SP2'!#REF!,"G",'Portefeuille SP2'!$D:$D,$A9,'Portefeuille SP2'!#REF!,"S",'Portefeuille SP2'!#REF!,"&lt;&gt;")</f>
        <v>#REF!</v>
      </c>
      <c r="P9" s="117" t="e">
        <f>SUMIFS('Portefeuille SP2'!#REF!,'Portefeuille SP2'!#REF!,1,'Portefeuille SP2'!$Q:$Q,"DECIDED",'Portefeuille SP2'!#REF!,"G",'Portefeuille SP2'!$D:$D,$A9,'Portefeuille SP2'!#REF!,"S",'Portefeuille SP2'!#REF!,"&lt;&gt;")</f>
        <v>#REF!</v>
      </c>
      <c r="Q9" s="111" t="e">
        <f>SUMIFS('Portefeuille SP2'!$U:$U,'Portefeuille SP2'!#REF!,1,'Portefeuille SP2'!$Q:$Q,"DECIDED",'Portefeuille SP2'!#REF!,"R",'Portefeuille SP2'!$D:$D,$A9,'Portefeuille SP2'!#REF!,"S",'Portefeuille SP2'!#REF!,"&lt;&gt;")</f>
        <v>#REF!</v>
      </c>
      <c r="R9" s="126" t="e">
        <f>SUMIFS('Portefeuille SP2'!#REF!,'Portefeuille SP2'!#REF!,1,'Portefeuille SP2'!$Q:$Q,"DECIDED",'Portefeuille SP2'!#REF!,"R",'Portefeuille SP2'!$D:$D,$A9,'Portefeuille SP2'!#REF!,"S",'Portefeuille SP2'!#REF!,"&lt;&gt;")</f>
        <v>#REF!</v>
      </c>
      <c r="S9" s="122" t="e">
        <f>SUMIFS('Portefeuille SP2'!#REF!,'Portefeuille SP2'!#REF!,1,'Portefeuille SP2'!$Q:$Q,"DECIDED",'Portefeuille SP2'!#REF!,"R",'Portefeuille SP2'!$D:$D,$A9,'Portefeuille SP2'!#REF!,"S",'Portefeuille SP2'!#REF!,"&lt;&gt;")</f>
        <v>#REF!</v>
      </c>
      <c r="U9" s="111" t="e">
        <f>SUMIFS('Portefeuille SP2'!$U:$U,'Portefeuille SP2'!#REF!,1,'Portefeuille SP2'!$Q:$Q,"IN PROGRESS",'Portefeuille SP2'!#REF!,"G",'Portefeuille SP2'!$D:$D,$A9,'Portefeuille SP2'!#REF!,"O")</f>
        <v>#REF!</v>
      </c>
      <c r="V9" s="126" t="e">
        <f>SUMIFS('Portefeuille SP2'!#REF!,'Portefeuille SP2'!#REF!,1,'Portefeuille SP2'!$Q:$Q,"IN PROGRESS",'Portefeuille SP2'!#REF!,"G",'Portefeuille SP2'!$D:$D,$A9,'Portefeuille SP2'!#REF!,"o")</f>
        <v>#REF!</v>
      </c>
      <c r="W9" s="117" t="e">
        <f>SUMIFS('Portefeuille SP2'!#REF!,'Portefeuille SP2'!#REF!,1,'Portefeuille SP2'!$Q:$Q,"IN PROGRESS",'Portefeuille SP2'!#REF!,"G",'Portefeuille SP2'!$D:$D,$A9,'Portefeuille SP2'!#REF!,"o")</f>
        <v>#REF!</v>
      </c>
      <c r="X9" s="111" t="e">
        <f>SUMIFS('Portefeuille SP2'!$U:$U,'Portefeuille SP2'!#REF!,1,'Portefeuille SP2'!$Q:$Q,"IN PROGRESS",'Portefeuille SP2'!#REF!,"R",'Portefeuille SP2'!$D:$D,$A9,'Portefeuille SP2'!#REF!,"o")</f>
        <v>#REF!</v>
      </c>
      <c r="Y9" s="126" t="e">
        <f>SUMIFS('Portefeuille SP2'!#REF!,'Portefeuille SP2'!#REF!,1,'Portefeuille SP2'!$Q:$Q,"IN PROGRESS",'Portefeuille SP2'!#REF!,"R",'Portefeuille SP2'!$D:$D,$A9,'Portefeuille SP2'!#REF!,"o")</f>
        <v>#REF!</v>
      </c>
      <c r="Z9" s="117" t="e">
        <f>SUMIFS('Portefeuille SP2'!#REF!,'Portefeuille SP2'!#REF!,1,'Portefeuille SP2'!$Q:$Q,"IN PROGRESS",'Portefeuille SP2'!#REF!,"R",'Portefeuille SP2'!$D:$D,$A9,'Portefeuille SP2'!#REF!,"o")</f>
        <v>#REF!</v>
      </c>
      <c r="AA9" s="111" t="e">
        <f>SUMIFS('Portefeuille SP2'!$U:$U,'Portefeuille SP2'!#REF!,1,'Portefeuille SP2'!$Q:$Q,"DECIDED",'Portefeuille SP2'!#REF!,"G",'Portefeuille SP2'!$D:$D,$A9,'Portefeuille SP2'!#REF!,"o",'Portefeuille SP2'!#REF!,"=")</f>
        <v>#REF!</v>
      </c>
      <c r="AB9" s="126" t="e">
        <f>SUMIFS('Portefeuille SP2'!#REF!,'Portefeuille SP2'!#REF!,1,'Portefeuille SP2'!$Q:$Q,"DECIDED",'Portefeuille SP2'!#REF!,"G",'Portefeuille SP2'!$D:$D,$A9,'Portefeuille SP2'!#REF!,"o",'Portefeuille SP2'!#REF!,"=")</f>
        <v>#REF!</v>
      </c>
      <c r="AC9" s="117" t="e">
        <f>SUMIFS('Portefeuille SP2'!#REF!,'Portefeuille SP2'!#REF!,1,'Portefeuille SP2'!$Q:$Q,"DECIDED",'Portefeuille SP2'!#REF!,"G",'Portefeuille SP2'!$D:$D,$A9,'Portefeuille SP2'!#REF!,"o",'Portefeuille SP2'!#REF!,"=")</f>
        <v>#REF!</v>
      </c>
      <c r="AD9" s="111" t="e">
        <f>SUMIFS('Portefeuille SP2'!$U:$U,'Portefeuille SP2'!#REF!,1,'Portefeuille SP2'!$Q:$Q,"DECIDED",'Portefeuille SP2'!#REF!,"R",'Portefeuille SP2'!$D:$D,$A9,'Portefeuille SP2'!#REF!,"o",'Portefeuille SP2'!#REF!,"=")</f>
        <v>#REF!</v>
      </c>
      <c r="AE9" s="126" t="e">
        <f>SUMIFS('Portefeuille SP2'!#REF!,'Portefeuille SP2'!#REF!,1,'Portefeuille SP2'!$Q:$Q,"DECIDED",'Portefeuille SP2'!#REF!,"R",'Portefeuille SP2'!$D:$D,$A9,'Portefeuille SP2'!#REF!,"o",'Portefeuille SP2'!#REF!,"=")</f>
        <v>#REF!</v>
      </c>
      <c r="AF9" s="117" t="e">
        <f>SUMIFS('Portefeuille SP2'!#REF!,'Portefeuille SP2'!#REF!,1,'Portefeuille SP2'!$Q:$Q,"DECIDED",'Portefeuille SP2'!#REF!,"R",'Portefeuille SP2'!$D:$D,$A9,'Portefeuille SP2'!#REF!,"o",'Portefeuille SP2'!#REF!,"=")</f>
        <v>#REF!</v>
      </c>
      <c r="AG9" s="111" t="e">
        <f>SUMIFS('Portefeuille SP2'!$U:$U,'Portefeuille SP2'!#REF!,1,'Portefeuille SP2'!$Q:$Q,"DECIDED",'Portefeuille SP2'!#REF!,"G",'Portefeuille SP2'!$D:$D,$A9,'Portefeuille SP2'!#REF!,"o",'Portefeuille SP2'!#REF!,"&lt;&gt;")</f>
        <v>#REF!</v>
      </c>
      <c r="AH9" s="126" t="e">
        <f>SUMIFS('Portefeuille SP2'!#REF!,'Portefeuille SP2'!#REF!,1,'Portefeuille SP2'!$Q:$Q,"DECIDED",'Portefeuille SP2'!#REF!,"G",'Portefeuille SP2'!$D:$D,$A9,'Portefeuille SP2'!#REF!,"o",'Portefeuille SP2'!#REF!,"&lt;&gt;")</f>
        <v>#REF!</v>
      </c>
      <c r="AI9" s="117" t="e">
        <f>SUMIFS('Portefeuille SP2'!#REF!,'Portefeuille SP2'!#REF!,1,'Portefeuille SP2'!$Q:$Q,"DECIDED",'Portefeuille SP2'!#REF!,"G",'Portefeuille SP2'!$D:$D,$A9,'Portefeuille SP2'!#REF!,"o",'Portefeuille SP2'!#REF!,"&lt;&gt;")</f>
        <v>#REF!</v>
      </c>
      <c r="AJ9" s="111" t="e">
        <f>SUMIFS('Portefeuille SP2'!$U:$U,'Portefeuille SP2'!#REF!,1,'Portefeuille SP2'!$Q:$Q,"DECIDED",'Portefeuille SP2'!#REF!,"R",'Portefeuille SP2'!$D:$D,$A9,'Portefeuille SP2'!#REF!,"o",'Portefeuille SP2'!#REF!,"&lt;&gt;")</f>
        <v>#REF!</v>
      </c>
      <c r="AK9" s="126" t="e">
        <f>SUMIFS('Portefeuille SP2'!#REF!,'Portefeuille SP2'!#REF!,1,'Portefeuille SP2'!$Q:$Q,"DECIDED",'Portefeuille SP2'!#REF!,"R",'Portefeuille SP2'!$D:$D,$A9,'Portefeuille SP2'!#REF!,"o",'Portefeuille SP2'!#REF!,"&lt;&gt;")</f>
        <v>#REF!</v>
      </c>
      <c r="AL9" s="117" t="e">
        <f>SUMIFS('Portefeuille SP2'!#REF!,'Portefeuille SP2'!#REF!,1,'Portefeuille SP2'!$Q:$Q,"DECIDED",'Portefeuille SP2'!#REF!,"R",'Portefeuille SP2'!$D:$D,$A9,'Portefeuille SP2'!#REF!,"o",'Portefeuille SP2'!#REF!,"&lt;&gt;")</f>
        <v>#REF!</v>
      </c>
      <c r="AM9" s="117"/>
      <c r="AN9" t="s">
        <v>1314</v>
      </c>
      <c r="AO9" s="111" t="e">
        <f t="shared" ref="AO9:AT9" si="30">B16</f>
        <v>#REF!</v>
      </c>
      <c r="AP9" s="126" t="e">
        <f t="shared" si="30"/>
        <v>#REF!</v>
      </c>
      <c r="AQ9" s="122" t="e">
        <f t="shared" si="30"/>
        <v>#REF!</v>
      </c>
      <c r="AR9" s="112" t="e">
        <f t="shared" si="30"/>
        <v>#REF!</v>
      </c>
      <c r="AS9" s="126" t="e">
        <f t="shared" si="30"/>
        <v>#REF!</v>
      </c>
      <c r="AT9" s="122" t="e">
        <f t="shared" si="30"/>
        <v>#REF!</v>
      </c>
      <c r="AU9" s="112" t="e">
        <f t="shared" si="12"/>
        <v>#REF!</v>
      </c>
      <c r="AV9" s="126" t="e">
        <f t="shared" si="1"/>
        <v>#REF!</v>
      </c>
      <c r="AW9" s="122" t="e">
        <f t="shared" si="2"/>
        <v>#REF!</v>
      </c>
      <c r="AX9" s="111" t="e">
        <f t="shared" ref="AX9:BC9" si="31">H16</f>
        <v>#REF!</v>
      </c>
      <c r="AY9" s="126" t="e">
        <f t="shared" si="31"/>
        <v>#REF!</v>
      </c>
      <c r="AZ9" s="122" t="e">
        <f t="shared" si="31"/>
        <v>#REF!</v>
      </c>
      <c r="BA9" s="111" t="e">
        <f t="shared" si="31"/>
        <v>#REF!</v>
      </c>
      <c r="BB9" s="126" t="e">
        <f t="shared" si="31"/>
        <v>#REF!</v>
      </c>
      <c r="BC9" s="122" t="e">
        <f t="shared" si="31"/>
        <v>#REF!</v>
      </c>
      <c r="BD9" s="112" t="e">
        <f t="shared" si="14"/>
        <v>#REF!</v>
      </c>
      <c r="BE9" s="126" t="e">
        <f t="shared" si="4"/>
        <v>#REF!</v>
      </c>
      <c r="BF9" s="122" t="e">
        <f t="shared" si="4"/>
        <v>#REF!</v>
      </c>
      <c r="BH9" s="111" t="e">
        <f t="shared" ref="BH9:BM9" si="32">U16</f>
        <v>#REF!</v>
      </c>
      <c r="BI9" s="126" t="e">
        <f t="shared" si="32"/>
        <v>#REF!</v>
      </c>
      <c r="BJ9" s="122" t="e">
        <f t="shared" si="32"/>
        <v>#REF!</v>
      </c>
      <c r="BK9" s="111" t="e">
        <f t="shared" si="32"/>
        <v>#REF!</v>
      </c>
      <c r="BL9" s="126" t="e">
        <f t="shared" si="32"/>
        <v>#REF!</v>
      </c>
      <c r="BM9" s="122" t="e">
        <f t="shared" si="32"/>
        <v>#REF!</v>
      </c>
      <c r="BN9" s="112" t="e">
        <f t="shared" si="16"/>
        <v>#REF!</v>
      </c>
      <c r="BO9" s="126" t="e">
        <f t="shared" si="6"/>
        <v>#REF!</v>
      </c>
      <c r="BP9" s="122" t="e">
        <f t="shared" si="7"/>
        <v>#REF!</v>
      </c>
      <c r="BQ9" s="111" t="e">
        <f t="shared" ref="BQ9:BV9" si="33">AA16</f>
        <v>#REF!</v>
      </c>
      <c r="BR9" s="126" t="e">
        <f t="shared" si="33"/>
        <v>#REF!</v>
      </c>
      <c r="BS9" s="122" t="e">
        <f t="shared" si="33"/>
        <v>#REF!</v>
      </c>
      <c r="BT9" s="111" t="e">
        <f t="shared" si="33"/>
        <v>#REF!</v>
      </c>
      <c r="BU9" s="126" t="e">
        <f t="shared" si="33"/>
        <v>#REF!</v>
      </c>
      <c r="BV9" s="122" t="e">
        <f t="shared" si="33"/>
        <v>#REF!</v>
      </c>
      <c r="BW9" s="111" t="e">
        <f t="shared" si="18"/>
        <v>#REF!</v>
      </c>
      <c r="BX9" s="126" t="e">
        <f t="shared" si="9"/>
        <v>#REF!</v>
      </c>
      <c r="BY9" s="122" t="e">
        <f t="shared" si="10"/>
        <v>#REF!</v>
      </c>
    </row>
    <row r="10" spans="1:77" outlineLevel="1">
      <c r="A10" t="s">
        <v>1315</v>
      </c>
      <c r="B10" s="139" t="e">
        <f>SUMIFS('Portefeuille SP2'!$U:$U,'Portefeuille SP2'!#REF!,1,'Portefeuille SP2'!$Q:$Q,"IN PROGRESS",'Portefeuille SP2'!#REF!,"G",'Portefeuille SP2'!$D:$D,$A10,'Portefeuille SP2'!#REF!,"S")</f>
        <v>#REF!</v>
      </c>
      <c r="C10" s="126" t="e">
        <f>SUMIFS('Portefeuille SP2'!#REF!,'Portefeuille SP2'!#REF!,1,'Portefeuille SP2'!$Q:$Q,"IN PROGRESS",'Portefeuille SP2'!#REF!,"G",'Portefeuille SP2'!$D:$D,$A10,'Portefeuille SP2'!#REF!,"S")</f>
        <v>#REF!</v>
      </c>
      <c r="D10" s="122" t="e">
        <f>SUMIFS('Portefeuille SP2'!#REF!,'Portefeuille SP2'!#REF!,1,'Portefeuille SP2'!$Q:$Q,"IN PROGRESS",'Portefeuille SP2'!#REF!,"G",'Portefeuille SP2'!$D:$D,$A10,'Portefeuille SP2'!#REF!,"S")</f>
        <v>#REF!</v>
      </c>
      <c r="E10" s="111" t="e">
        <f>SUMIFS('Portefeuille SP2'!$U:$U,'Portefeuille SP2'!#REF!,1,'Portefeuille SP2'!$Q:$Q,"IN PROGRESS",'Portefeuille SP2'!#REF!,"R",'Portefeuille SP2'!$D:$D,$A10,'Portefeuille SP2'!#REF!,"S")</f>
        <v>#REF!</v>
      </c>
      <c r="F10" s="126" t="e">
        <f>SUMIFS('Portefeuille SP2'!#REF!,'Portefeuille SP2'!#REF!,1,'Portefeuille SP2'!$Q:$Q,"IN PROGRESS",'Portefeuille SP2'!#REF!,"R",'Portefeuille SP2'!$D:$D,$A10,'Portefeuille SP2'!#REF!,"S")</f>
        <v>#REF!</v>
      </c>
      <c r="G10" s="117" t="e">
        <f>SUMIFS('Portefeuille SP2'!#REF!,'Portefeuille SP2'!#REF!,1,'Portefeuille SP2'!$Q:$Q,"IN PROGRESS",'Portefeuille SP2'!#REF!,"R",'Portefeuille SP2'!$D:$D,$A10,'Portefeuille SP2'!#REF!,"S")</f>
        <v>#REF!</v>
      </c>
      <c r="H10" s="111" t="e">
        <f>SUMIFS('Portefeuille SP2'!$U:$U,'Portefeuille SP2'!#REF!,1,'Portefeuille SP2'!$Q:$Q,"DECIDED",'Portefeuille SP2'!#REF!,"G",'Portefeuille SP2'!$D:$D,$A10,'Portefeuille SP2'!#REF!,"S",'Portefeuille SP2'!#REF!,"=")</f>
        <v>#REF!</v>
      </c>
      <c r="I10" s="117" t="e">
        <f>SUMIFS('Portefeuille SP2'!#REF!,'Portefeuille SP2'!#REF!,1,'Portefeuille SP2'!$Q:$Q,"DECIDED",'Portefeuille SP2'!#REF!,"G",'Portefeuille SP2'!$D:$D,$A10,'Portefeuille SP2'!#REF!,"S",'Portefeuille SP2'!#REF!,"=")</f>
        <v>#REF!</v>
      </c>
      <c r="J10" s="117" t="e">
        <f>SUMIFS('Portefeuille SP2'!#REF!,'Portefeuille SP2'!#REF!,1,'Portefeuille SP2'!$Q:$Q,"DECIDED",'Portefeuille SP2'!#REF!,"G",'Portefeuille SP2'!$D:$D,$A10,'Portefeuille SP2'!#REF!,"S",'Portefeuille SP2'!#REF!,"=")</f>
        <v>#REF!</v>
      </c>
      <c r="K10" s="111" t="e">
        <f>SUMIFS('Portefeuille SP2'!$U:$U,'Portefeuille SP2'!#REF!,1,'Portefeuille SP2'!$Q:$Q,"DECIDED",'Portefeuille SP2'!#REF!,"R",'Portefeuille SP2'!$D:$D,$A10,'Portefeuille SP2'!#REF!,"S",'Portefeuille SP2'!#REF!,"=")</f>
        <v>#REF!</v>
      </c>
      <c r="L10" s="126" t="e">
        <f>SUMIFS('Portefeuille SP2'!#REF!,'Portefeuille SP2'!#REF!,1,'Portefeuille SP2'!$Q:$Q,"DECIDED",'Portefeuille SP2'!#REF!,"R",'Portefeuille SP2'!$D:$D,$A10,'Portefeuille SP2'!#REF!,"S",'Portefeuille SP2'!#REF!,"=")</f>
        <v>#REF!</v>
      </c>
      <c r="M10" s="117" t="e">
        <f>SUMIFS('Portefeuille SP2'!#REF!,'Portefeuille SP2'!#REF!,1,'Portefeuille SP2'!$Q:$Q,"DECIDED",'Portefeuille SP2'!#REF!,"R",'Portefeuille SP2'!$D:$D,$A10,'Portefeuille SP2'!#REF!,"S",'Portefeuille SP2'!#REF!,"=")</f>
        <v>#REF!</v>
      </c>
      <c r="N10" s="111" t="e">
        <f>SUMIFS('Portefeuille SP2'!$U:$U,'Portefeuille SP2'!#REF!,1,'Portefeuille SP2'!$Q:$Q,"DECIDED",'Portefeuille SP2'!#REF!,"G",'Portefeuille SP2'!$D:$D,$A10,'Portefeuille SP2'!#REF!,"S",'Portefeuille SP2'!#REF!,"&lt;&gt;")</f>
        <v>#REF!</v>
      </c>
      <c r="O10" s="126" t="e">
        <f>SUMIFS('Portefeuille SP2'!#REF!,'Portefeuille SP2'!#REF!,1,'Portefeuille SP2'!$Q:$Q,"DECIDED",'Portefeuille SP2'!#REF!,"G",'Portefeuille SP2'!$D:$D,$A10,'Portefeuille SP2'!#REF!,"S",'Portefeuille SP2'!#REF!,"&lt;&gt;")</f>
        <v>#REF!</v>
      </c>
      <c r="P10" s="117" t="e">
        <f>SUMIFS('Portefeuille SP2'!#REF!,'Portefeuille SP2'!#REF!,1,'Portefeuille SP2'!$Q:$Q,"DECIDED",'Portefeuille SP2'!#REF!,"G",'Portefeuille SP2'!$D:$D,$A10,'Portefeuille SP2'!#REF!,"S",'Portefeuille SP2'!#REF!,"&lt;&gt;")</f>
        <v>#REF!</v>
      </c>
      <c r="Q10" s="111" t="e">
        <f>SUMIFS('Portefeuille SP2'!$U:$U,'Portefeuille SP2'!#REF!,1,'Portefeuille SP2'!$Q:$Q,"DECIDED",'Portefeuille SP2'!#REF!,"R",'Portefeuille SP2'!$D:$D,$A10,'Portefeuille SP2'!#REF!,"S",'Portefeuille SP2'!#REF!,"&lt;&gt;")</f>
        <v>#REF!</v>
      </c>
      <c r="R10" s="126" t="e">
        <f>SUMIFS('Portefeuille SP2'!#REF!,'Portefeuille SP2'!#REF!,1,'Portefeuille SP2'!$Q:$Q,"DECIDED",'Portefeuille SP2'!#REF!,"R",'Portefeuille SP2'!$D:$D,$A10,'Portefeuille SP2'!#REF!,"S",'Portefeuille SP2'!#REF!,"&lt;&gt;")</f>
        <v>#REF!</v>
      </c>
      <c r="S10" s="122" t="e">
        <f>SUMIFS('Portefeuille SP2'!#REF!,'Portefeuille SP2'!#REF!,1,'Portefeuille SP2'!$Q:$Q,"DECIDED",'Portefeuille SP2'!#REF!,"R",'Portefeuille SP2'!$D:$D,$A10,'Portefeuille SP2'!#REF!,"S",'Portefeuille SP2'!#REF!,"&lt;&gt;")</f>
        <v>#REF!</v>
      </c>
      <c r="U10" s="111" t="e">
        <f>SUMIFS('Portefeuille SP2'!$U:$U,'Portefeuille SP2'!#REF!,1,'Portefeuille SP2'!$Q:$Q,"IN PROGRESS",'Portefeuille SP2'!#REF!,"G",'Portefeuille SP2'!$D:$D,$A10,'Portefeuille SP2'!#REF!,"O")</f>
        <v>#REF!</v>
      </c>
      <c r="V10" s="126" t="e">
        <f>SUMIFS('Portefeuille SP2'!#REF!,'Portefeuille SP2'!#REF!,1,'Portefeuille SP2'!$Q:$Q,"IN PROGRESS",'Portefeuille SP2'!#REF!,"G",'Portefeuille SP2'!$D:$D,$A10,'Portefeuille SP2'!#REF!,"o")</f>
        <v>#REF!</v>
      </c>
      <c r="W10" s="117" t="e">
        <f>SUMIFS('Portefeuille SP2'!#REF!,'Portefeuille SP2'!#REF!,1,'Portefeuille SP2'!$Q:$Q,"IN PROGRESS",'Portefeuille SP2'!#REF!,"G",'Portefeuille SP2'!$D:$D,$A10,'Portefeuille SP2'!#REF!,"o")</f>
        <v>#REF!</v>
      </c>
      <c r="X10" s="111" t="e">
        <f>SUMIFS('Portefeuille SP2'!$U:$U,'Portefeuille SP2'!#REF!,1,'Portefeuille SP2'!$Q:$Q,"IN PROGRESS",'Portefeuille SP2'!#REF!,"R",'Portefeuille SP2'!$D:$D,$A10,'Portefeuille SP2'!#REF!,"o")</f>
        <v>#REF!</v>
      </c>
      <c r="Y10" s="126" t="e">
        <f>SUMIFS('Portefeuille SP2'!#REF!,'Portefeuille SP2'!#REF!,1,'Portefeuille SP2'!$Q:$Q,"IN PROGRESS",'Portefeuille SP2'!#REF!,"R",'Portefeuille SP2'!$D:$D,$A10,'Portefeuille SP2'!#REF!,"o")</f>
        <v>#REF!</v>
      </c>
      <c r="Z10" s="117" t="e">
        <f>SUMIFS('Portefeuille SP2'!#REF!,'Portefeuille SP2'!#REF!,1,'Portefeuille SP2'!$Q:$Q,"IN PROGRESS",'Portefeuille SP2'!#REF!,"R",'Portefeuille SP2'!$D:$D,$A10,'Portefeuille SP2'!#REF!,"o")</f>
        <v>#REF!</v>
      </c>
      <c r="AA10" s="111" t="e">
        <f>SUMIFS('Portefeuille SP2'!$U:$U,'Portefeuille SP2'!#REF!,1,'Portefeuille SP2'!$Q:$Q,"DECIDED",'Portefeuille SP2'!#REF!,"G",'Portefeuille SP2'!$D:$D,$A10,'Portefeuille SP2'!#REF!,"o",'Portefeuille SP2'!#REF!,"=")</f>
        <v>#REF!</v>
      </c>
      <c r="AB10" s="126" t="e">
        <f>SUMIFS('Portefeuille SP2'!#REF!,'Portefeuille SP2'!#REF!,1,'Portefeuille SP2'!$Q:$Q,"DECIDED",'Portefeuille SP2'!#REF!,"G",'Portefeuille SP2'!$D:$D,$A10,'Portefeuille SP2'!#REF!,"o",'Portefeuille SP2'!#REF!,"=")</f>
        <v>#REF!</v>
      </c>
      <c r="AC10" s="117" t="e">
        <f>SUMIFS('Portefeuille SP2'!#REF!,'Portefeuille SP2'!#REF!,1,'Portefeuille SP2'!$Q:$Q,"DECIDED",'Portefeuille SP2'!#REF!,"G",'Portefeuille SP2'!$D:$D,$A10,'Portefeuille SP2'!#REF!,"o",'Portefeuille SP2'!#REF!,"=")</f>
        <v>#REF!</v>
      </c>
      <c r="AD10" s="111" t="e">
        <f>SUMIFS('Portefeuille SP2'!$U:$U,'Portefeuille SP2'!#REF!,1,'Portefeuille SP2'!$Q:$Q,"DECIDED",'Portefeuille SP2'!#REF!,"R",'Portefeuille SP2'!$D:$D,$A10,'Portefeuille SP2'!#REF!,"o",'Portefeuille SP2'!#REF!,"=")</f>
        <v>#REF!</v>
      </c>
      <c r="AE10" s="126" t="e">
        <f>SUMIFS('Portefeuille SP2'!#REF!,'Portefeuille SP2'!#REF!,1,'Portefeuille SP2'!$Q:$Q,"DECIDED",'Portefeuille SP2'!#REF!,"R",'Portefeuille SP2'!$D:$D,$A10,'Portefeuille SP2'!#REF!,"o",'Portefeuille SP2'!#REF!,"=")</f>
        <v>#REF!</v>
      </c>
      <c r="AF10" s="117" t="e">
        <f>SUMIFS('Portefeuille SP2'!#REF!,'Portefeuille SP2'!#REF!,1,'Portefeuille SP2'!$Q:$Q,"DECIDED",'Portefeuille SP2'!#REF!,"R",'Portefeuille SP2'!$D:$D,$A10,'Portefeuille SP2'!#REF!,"o",'Portefeuille SP2'!#REF!,"=")</f>
        <v>#REF!</v>
      </c>
      <c r="AG10" s="111" t="e">
        <f>SUMIFS('Portefeuille SP2'!$U:$U,'Portefeuille SP2'!#REF!,1,'Portefeuille SP2'!$Q:$Q,"DECIDED",'Portefeuille SP2'!#REF!,"G",'Portefeuille SP2'!$D:$D,$A10,'Portefeuille SP2'!#REF!,"o",'Portefeuille SP2'!#REF!,"&lt;&gt;")</f>
        <v>#REF!</v>
      </c>
      <c r="AH10" s="126" t="e">
        <f>SUMIFS('Portefeuille SP2'!#REF!,'Portefeuille SP2'!#REF!,1,'Portefeuille SP2'!$Q:$Q,"DECIDED",'Portefeuille SP2'!#REF!,"G",'Portefeuille SP2'!$D:$D,$A10,'Portefeuille SP2'!#REF!,"o",'Portefeuille SP2'!#REF!,"&lt;&gt;")</f>
        <v>#REF!</v>
      </c>
      <c r="AI10" s="117" t="e">
        <f>SUMIFS('Portefeuille SP2'!#REF!,'Portefeuille SP2'!#REF!,1,'Portefeuille SP2'!$Q:$Q,"DECIDED",'Portefeuille SP2'!#REF!,"G",'Portefeuille SP2'!$D:$D,$A10,'Portefeuille SP2'!#REF!,"o",'Portefeuille SP2'!#REF!,"&lt;&gt;")</f>
        <v>#REF!</v>
      </c>
      <c r="AJ10" s="111" t="e">
        <f>SUMIFS('Portefeuille SP2'!$U:$U,'Portefeuille SP2'!#REF!,1,'Portefeuille SP2'!$Q:$Q,"DECIDED",'Portefeuille SP2'!#REF!,"R",'Portefeuille SP2'!$D:$D,$A10,'Portefeuille SP2'!#REF!,"o",'Portefeuille SP2'!#REF!,"&lt;&gt;")</f>
        <v>#REF!</v>
      </c>
      <c r="AK10" s="126" t="e">
        <f>SUMIFS('Portefeuille SP2'!#REF!,'Portefeuille SP2'!#REF!,1,'Portefeuille SP2'!$Q:$Q,"DECIDED",'Portefeuille SP2'!#REF!,"R",'Portefeuille SP2'!$D:$D,$A10,'Portefeuille SP2'!#REF!,"o",'Portefeuille SP2'!#REF!,"&lt;&gt;")</f>
        <v>#REF!</v>
      </c>
      <c r="AL10" s="117" t="e">
        <f>SUMIFS('Portefeuille SP2'!#REF!,'Portefeuille SP2'!#REF!,1,'Portefeuille SP2'!$Q:$Q,"DECIDED",'Portefeuille SP2'!#REF!,"R",'Portefeuille SP2'!$D:$D,$A10,'Portefeuille SP2'!#REF!,"o",'Portefeuille SP2'!#REF!,"&lt;&gt;")</f>
        <v>#REF!</v>
      </c>
      <c r="AM10" s="117"/>
      <c r="AN10" t="s">
        <v>1316</v>
      </c>
      <c r="AO10" s="111" t="e">
        <f t="shared" ref="AO10:AT10" si="34">B6+B19</f>
        <v>#REF!</v>
      </c>
      <c r="AP10" s="126" t="e">
        <f t="shared" si="34"/>
        <v>#REF!</v>
      </c>
      <c r="AQ10" s="122" t="e">
        <f t="shared" si="34"/>
        <v>#REF!</v>
      </c>
      <c r="AR10" s="112" t="e">
        <f t="shared" si="34"/>
        <v>#REF!</v>
      </c>
      <c r="AS10" s="126" t="e">
        <f t="shared" si="34"/>
        <v>#REF!</v>
      </c>
      <c r="AT10" s="122" t="e">
        <f t="shared" si="34"/>
        <v>#REF!</v>
      </c>
      <c r="AU10" s="112" t="e">
        <f t="shared" si="12"/>
        <v>#REF!</v>
      </c>
      <c r="AV10" s="126" t="e">
        <f t="shared" si="1"/>
        <v>#REF!</v>
      </c>
      <c r="AW10" s="122" t="e">
        <f t="shared" si="2"/>
        <v>#REF!</v>
      </c>
      <c r="AX10" s="111" t="e">
        <f t="shared" ref="AX10:BC10" si="35">H6+H19</f>
        <v>#REF!</v>
      </c>
      <c r="AY10" s="126" t="e">
        <f t="shared" si="35"/>
        <v>#REF!</v>
      </c>
      <c r="AZ10" s="122" t="e">
        <f t="shared" si="35"/>
        <v>#REF!</v>
      </c>
      <c r="BA10" s="111" t="e">
        <f t="shared" si="35"/>
        <v>#REF!</v>
      </c>
      <c r="BB10" s="126" t="e">
        <f t="shared" si="35"/>
        <v>#REF!</v>
      </c>
      <c r="BC10" s="122" t="e">
        <f t="shared" si="35"/>
        <v>#REF!</v>
      </c>
      <c r="BD10" s="112" t="e">
        <f t="shared" si="14"/>
        <v>#REF!</v>
      </c>
      <c r="BE10" s="126" t="e">
        <f t="shared" si="4"/>
        <v>#REF!</v>
      </c>
      <c r="BF10" s="122" t="e">
        <f t="shared" si="4"/>
        <v>#REF!</v>
      </c>
      <c r="BH10" s="111" t="e">
        <f t="shared" ref="BH10:BM10" si="36">U6+U19</f>
        <v>#REF!</v>
      </c>
      <c r="BI10" s="126" t="e">
        <f t="shared" si="36"/>
        <v>#REF!</v>
      </c>
      <c r="BJ10" s="122" t="e">
        <f t="shared" si="36"/>
        <v>#REF!</v>
      </c>
      <c r="BK10" s="111" t="e">
        <f t="shared" si="36"/>
        <v>#REF!</v>
      </c>
      <c r="BL10" s="126" t="e">
        <f t="shared" si="36"/>
        <v>#REF!</v>
      </c>
      <c r="BM10" s="122" t="e">
        <f t="shared" si="36"/>
        <v>#REF!</v>
      </c>
      <c r="BN10" s="112" t="e">
        <f t="shared" si="16"/>
        <v>#REF!</v>
      </c>
      <c r="BO10" s="126" t="e">
        <f t="shared" si="6"/>
        <v>#REF!</v>
      </c>
      <c r="BP10" s="122" t="e">
        <f t="shared" si="7"/>
        <v>#REF!</v>
      </c>
      <c r="BQ10" s="111" t="e">
        <f t="shared" ref="BQ10:BV10" si="37">AA6+AA19</f>
        <v>#REF!</v>
      </c>
      <c r="BR10" s="126" t="e">
        <f t="shared" si="37"/>
        <v>#REF!</v>
      </c>
      <c r="BS10" s="122" t="e">
        <f t="shared" si="37"/>
        <v>#REF!</v>
      </c>
      <c r="BT10" s="111" t="e">
        <f t="shared" si="37"/>
        <v>#REF!</v>
      </c>
      <c r="BU10" s="126" t="e">
        <f t="shared" si="37"/>
        <v>#REF!</v>
      </c>
      <c r="BV10" s="122" t="e">
        <f t="shared" si="37"/>
        <v>#REF!</v>
      </c>
      <c r="BW10" s="111" t="e">
        <f t="shared" si="18"/>
        <v>#REF!</v>
      </c>
      <c r="BX10" s="126" t="e">
        <f t="shared" si="9"/>
        <v>#REF!</v>
      </c>
      <c r="BY10" s="122" t="e">
        <f t="shared" si="10"/>
        <v>#REF!</v>
      </c>
    </row>
    <row r="11" spans="1:77" outlineLevel="1">
      <c r="A11" t="s">
        <v>1308</v>
      </c>
      <c r="B11" s="139" t="e">
        <f>SUMIFS('Portefeuille SP2'!$U:$U,'Portefeuille SP2'!#REF!,1,'Portefeuille SP2'!$Q:$Q,"IN PROGRESS",'Portefeuille SP2'!#REF!,"G",'Portefeuille SP2'!$D:$D,$A11,'Portefeuille SP2'!#REF!,"S")</f>
        <v>#REF!</v>
      </c>
      <c r="C11" s="126" t="e">
        <f>SUMIFS('Portefeuille SP2'!#REF!,'Portefeuille SP2'!#REF!,1,'Portefeuille SP2'!$Q:$Q,"IN PROGRESS",'Portefeuille SP2'!#REF!,"G",'Portefeuille SP2'!$D:$D,$A11,'Portefeuille SP2'!#REF!,"S")</f>
        <v>#REF!</v>
      </c>
      <c r="D11" s="122" t="e">
        <f>SUMIFS('Portefeuille SP2'!#REF!,'Portefeuille SP2'!#REF!,1,'Portefeuille SP2'!$Q:$Q,"IN PROGRESS",'Portefeuille SP2'!#REF!,"G",'Portefeuille SP2'!$D:$D,$A11,'Portefeuille SP2'!#REF!,"S")</f>
        <v>#REF!</v>
      </c>
      <c r="E11" s="111" t="e">
        <f>SUMIFS('Portefeuille SP2'!$U:$U,'Portefeuille SP2'!#REF!,1,'Portefeuille SP2'!$Q:$Q,"IN PROGRESS",'Portefeuille SP2'!#REF!,"R",'Portefeuille SP2'!$D:$D,$A11,'Portefeuille SP2'!#REF!,"S")</f>
        <v>#REF!</v>
      </c>
      <c r="F11" s="126" t="e">
        <f>SUMIFS('Portefeuille SP2'!#REF!,'Portefeuille SP2'!#REF!,1,'Portefeuille SP2'!$Q:$Q,"IN PROGRESS",'Portefeuille SP2'!#REF!,"R",'Portefeuille SP2'!$D:$D,$A11,'Portefeuille SP2'!#REF!,"S")</f>
        <v>#REF!</v>
      </c>
      <c r="G11" s="117" t="e">
        <f>SUMIFS('Portefeuille SP2'!#REF!,'Portefeuille SP2'!#REF!,1,'Portefeuille SP2'!$Q:$Q,"IN PROGRESS",'Portefeuille SP2'!#REF!,"R",'Portefeuille SP2'!$D:$D,$A11,'Portefeuille SP2'!#REF!,"S")</f>
        <v>#REF!</v>
      </c>
      <c r="H11" s="111" t="e">
        <f>SUMIFS('Portefeuille SP2'!$U:$U,'Portefeuille SP2'!#REF!,1,'Portefeuille SP2'!$Q:$Q,"DECIDED",'Portefeuille SP2'!#REF!,"G",'Portefeuille SP2'!$D:$D,$A11,'Portefeuille SP2'!#REF!,"S",'Portefeuille SP2'!#REF!,"=")</f>
        <v>#REF!</v>
      </c>
      <c r="I11" s="117" t="e">
        <f>SUMIFS('Portefeuille SP2'!#REF!,'Portefeuille SP2'!#REF!,1,'Portefeuille SP2'!$Q:$Q,"DECIDED",'Portefeuille SP2'!#REF!,"G",'Portefeuille SP2'!$D:$D,$A11,'Portefeuille SP2'!#REF!,"S",'Portefeuille SP2'!#REF!,"=")</f>
        <v>#REF!</v>
      </c>
      <c r="J11" s="117" t="e">
        <f>SUMIFS('Portefeuille SP2'!#REF!,'Portefeuille SP2'!#REF!,1,'Portefeuille SP2'!$Q:$Q,"DECIDED",'Portefeuille SP2'!#REF!,"G",'Portefeuille SP2'!$D:$D,$A11,'Portefeuille SP2'!#REF!,"S",'Portefeuille SP2'!#REF!,"=")</f>
        <v>#REF!</v>
      </c>
      <c r="K11" s="111" t="e">
        <f>SUMIFS('Portefeuille SP2'!$U:$U,'Portefeuille SP2'!#REF!,1,'Portefeuille SP2'!$Q:$Q,"DECIDED",'Portefeuille SP2'!#REF!,"R",'Portefeuille SP2'!$D:$D,$A11,'Portefeuille SP2'!#REF!,"S",'Portefeuille SP2'!#REF!,"=")</f>
        <v>#REF!</v>
      </c>
      <c r="L11" s="126" t="e">
        <f>SUMIFS('Portefeuille SP2'!#REF!,'Portefeuille SP2'!#REF!,1,'Portefeuille SP2'!$Q:$Q,"DECIDED",'Portefeuille SP2'!#REF!,"R",'Portefeuille SP2'!$D:$D,$A11,'Portefeuille SP2'!#REF!,"S",'Portefeuille SP2'!#REF!,"=")</f>
        <v>#REF!</v>
      </c>
      <c r="M11" s="117" t="e">
        <f>SUMIFS('Portefeuille SP2'!#REF!,'Portefeuille SP2'!#REF!,1,'Portefeuille SP2'!$Q:$Q,"DECIDED",'Portefeuille SP2'!#REF!,"R",'Portefeuille SP2'!$D:$D,$A11,'Portefeuille SP2'!#REF!,"S",'Portefeuille SP2'!#REF!,"=")</f>
        <v>#REF!</v>
      </c>
      <c r="N11" s="111" t="e">
        <f>SUMIFS('Portefeuille SP2'!$U:$U,'Portefeuille SP2'!#REF!,1,'Portefeuille SP2'!$Q:$Q,"DECIDED",'Portefeuille SP2'!#REF!,"G",'Portefeuille SP2'!$D:$D,$A11,'Portefeuille SP2'!#REF!,"S",'Portefeuille SP2'!#REF!,"&lt;&gt;")</f>
        <v>#REF!</v>
      </c>
      <c r="O11" s="126" t="e">
        <f>SUMIFS('Portefeuille SP2'!#REF!,'Portefeuille SP2'!#REF!,1,'Portefeuille SP2'!$Q:$Q,"DECIDED",'Portefeuille SP2'!#REF!,"G",'Portefeuille SP2'!$D:$D,$A11,'Portefeuille SP2'!#REF!,"S",'Portefeuille SP2'!#REF!,"&lt;&gt;")</f>
        <v>#REF!</v>
      </c>
      <c r="P11" s="117" t="e">
        <f>SUMIFS('Portefeuille SP2'!#REF!,'Portefeuille SP2'!#REF!,1,'Portefeuille SP2'!$Q:$Q,"DECIDED",'Portefeuille SP2'!#REF!,"G",'Portefeuille SP2'!$D:$D,$A11,'Portefeuille SP2'!#REF!,"S",'Portefeuille SP2'!#REF!,"&lt;&gt;")</f>
        <v>#REF!</v>
      </c>
      <c r="Q11" s="111" t="e">
        <f>SUMIFS('Portefeuille SP2'!$U:$U,'Portefeuille SP2'!#REF!,1,'Portefeuille SP2'!$Q:$Q,"DECIDED",'Portefeuille SP2'!#REF!,"R",'Portefeuille SP2'!$D:$D,$A11,'Portefeuille SP2'!#REF!,"S",'Portefeuille SP2'!#REF!,"&lt;&gt;")</f>
        <v>#REF!</v>
      </c>
      <c r="R11" s="126" t="e">
        <f>SUMIFS('Portefeuille SP2'!#REF!,'Portefeuille SP2'!#REF!,1,'Portefeuille SP2'!$Q:$Q,"DECIDED",'Portefeuille SP2'!#REF!,"R",'Portefeuille SP2'!$D:$D,$A11,'Portefeuille SP2'!#REF!,"S",'Portefeuille SP2'!#REF!,"&lt;&gt;")</f>
        <v>#REF!</v>
      </c>
      <c r="S11" s="122" t="e">
        <f>SUMIFS('Portefeuille SP2'!#REF!,'Portefeuille SP2'!#REF!,1,'Portefeuille SP2'!$Q:$Q,"DECIDED",'Portefeuille SP2'!#REF!,"R",'Portefeuille SP2'!$D:$D,$A11,'Portefeuille SP2'!#REF!,"S",'Portefeuille SP2'!#REF!,"&lt;&gt;")</f>
        <v>#REF!</v>
      </c>
      <c r="U11" s="111" t="e">
        <f>SUMIFS('Portefeuille SP2'!$U:$U,'Portefeuille SP2'!#REF!,1,'Portefeuille SP2'!$Q:$Q,"IN PROGRESS",'Portefeuille SP2'!#REF!,"G",'Portefeuille SP2'!$D:$D,$A11,'Portefeuille SP2'!#REF!,"O")</f>
        <v>#REF!</v>
      </c>
      <c r="V11" s="126" t="e">
        <f>SUMIFS('Portefeuille SP2'!#REF!,'Portefeuille SP2'!#REF!,1,'Portefeuille SP2'!$Q:$Q,"IN PROGRESS",'Portefeuille SP2'!#REF!,"G",'Portefeuille SP2'!$D:$D,$A11,'Portefeuille SP2'!#REF!,"o")</f>
        <v>#REF!</v>
      </c>
      <c r="W11" s="117" t="e">
        <f>SUMIFS('Portefeuille SP2'!#REF!,'Portefeuille SP2'!#REF!,1,'Portefeuille SP2'!$Q:$Q,"IN PROGRESS",'Portefeuille SP2'!#REF!,"G",'Portefeuille SP2'!$D:$D,$A11,'Portefeuille SP2'!#REF!,"o")</f>
        <v>#REF!</v>
      </c>
      <c r="X11" s="111" t="e">
        <f>SUMIFS('Portefeuille SP2'!$U:$U,'Portefeuille SP2'!#REF!,1,'Portefeuille SP2'!$Q:$Q,"IN PROGRESS",'Portefeuille SP2'!#REF!,"R",'Portefeuille SP2'!$D:$D,$A11,'Portefeuille SP2'!#REF!,"o")</f>
        <v>#REF!</v>
      </c>
      <c r="Y11" s="126" t="e">
        <f>SUMIFS('Portefeuille SP2'!#REF!,'Portefeuille SP2'!#REF!,1,'Portefeuille SP2'!$Q:$Q,"IN PROGRESS",'Portefeuille SP2'!#REF!,"R",'Portefeuille SP2'!$D:$D,$A11,'Portefeuille SP2'!#REF!,"o")</f>
        <v>#REF!</v>
      </c>
      <c r="Z11" s="117" t="e">
        <f>SUMIFS('Portefeuille SP2'!#REF!,'Portefeuille SP2'!#REF!,1,'Portefeuille SP2'!$Q:$Q,"IN PROGRESS",'Portefeuille SP2'!#REF!,"R",'Portefeuille SP2'!$D:$D,$A11,'Portefeuille SP2'!#REF!,"o")</f>
        <v>#REF!</v>
      </c>
      <c r="AA11" s="111" t="e">
        <f>SUMIFS('Portefeuille SP2'!$U:$U,'Portefeuille SP2'!#REF!,1,'Portefeuille SP2'!$Q:$Q,"DECIDED",'Portefeuille SP2'!#REF!,"G",'Portefeuille SP2'!$D:$D,$A11,'Portefeuille SP2'!#REF!,"o",'Portefeuille SP2'!#REF!,"=")</f>
        <v>#REF!</v>
      </c>
      <c r="AB11" s="126" t="e">
        <f>SUMIFS('Portefeuille SP2'!#REF!,'Portefeuille SP2'!#REF!,1,'Portefeuille SP2'!$Q:$Q,"DECIDED",'Portefeuille SP2'!#REF!,"G",'Portefeuille SP2'!$D:$D,$A11,'Portefeuille SP2'!#REF!,"o",'Portefeuille SP2'!#REF!,"=")</f>
        <v>#REF!</v>
      </c>
      <c r="AC11" s="117" t="e">
        <f>SUMIFS('Portefeuille SP2'!#REF!,'Portefeuille SP2'!#REF!,1,'Portefeuille SP2'!$Q:$Q,"DECIDED",'Portefeuille SP2'!#REF!,"G",'Portefeuille SP2'!$D:$D,$A11,'Portefeuille SP2'!#REF!,"o",'Portefeuille SP2'!#REF!,"=")</f>
        <v>#REF!</v>
      </c>
      <c r="AD11" s="111" t="e">
        <f>SUMIFS('Portefeuille SP2'!$U:$U,'Portefeuille SP2'!#REF!,1,'Portefeuille SP2'!$Q:$Q,"DECIDED",'Portefeuille SP2'!#REF!,"R",'Portefeuille SP2'!$D:$D,$A11,'Portefeuille SP2'!#REF!,"o",'Portefeuille SP2'!#REF!,"=")</f>
        <v>#REF!</v>
      </c>
      <c r="AE11" s="126" t="e">
        <f>SUMIFS('Portefeuille SP2'!#REF!,'Portefeuille SP2'!#REF!,1,'Portefeuille SP2'!$Q:$Q,"DECIDED",'Portefeuille SP2'!#REF!,"R",'Portefeuille SP2'!$D:$D,$A11,'Portefeuille SP2'!#REF!,"o",'Portefeuille SP2'!#REF!,"=")</f>
        <v>#REF!</v>
      </c>
      <c r="AF11" s="117" t="e">
        <f>SUMIFS('Portefeuille SP2'!#REF!,'Portefeuille SP2'!#REF!,1,'Portefeuille SP2'!$Q:$Q,"DECIDED",'Portefeuille SP2'!#REF!,"R",'Portefeuille SP2'!$D:$D,$A11,'Portefeuille SP2'!#REF!,"o",'Portefeuille SP2'!#REF!,"=")</f>
        <v>#REF!</v>
      </c>
      <c r="AG11" s="111" t="e">
        <f>SUMIFS('Portefeuille SP2'!$U:$U,'Portefeuille SP2'!#REF!,1,'Portefeuille SP2'!$Q:$Q,"DECIDED",'Portefeuille SP2'!#REF!,"G",'Portefeuille SP2'!$D:$D,$A11,'Portefeuille SP2'!#REF!,"o",'Portefeuille SP2'!#REF!,"&lt;&gt;")</f>
        <v>#REF!</v>
      </c>
      <c r="AH11" s="126" t="e">
        <f>SUMIFS('Portefeuille SP2'!#REF!,'Portefeuille SP2'!#REF!,1,'Portefeuille SP2'!$Q:$Q,"DECIDED",'Portefeuille SP2'!#REF!,"G",'Portefeuille SP2'!$D:$D,$A11,'Portefeuille SP2'!#REF!,"o",'Portefeuille SP2'!#REF!,"&lt;&gt;")</f>
        <v>#REF!</v>
      </c>
      <c r="AI11" s="117" t="e">
        <f>SUMIFS('Portefeuille SP2'!#REF!,'Portefeuille SP2'!#REF!,1,'Portefeuille SP2'!$Q:$Q,"DECIDED",'Portefeuille SP2'!#REF!,"G",'Portefeuille SP2'!$D:$D,$A11,'Portefeuille SP2'!#REF!,"o",'Portefeuille SP2'!#REF!,"&lt;&gt;")</f>
        <v>#REF!</v>
      </c>
      <c r="AJ11" s="111" t="e">
        <f>SUMIFS('Portefeuille SP2'!$U:$U,'Portefeuille SP2'!#REF!,1,'Portefeuille SP2'!$Q:$Q,"DECIDED",'Portefeuille SP2'!#REF!,"R",'Portefeuille SP2'!$D:$D,$A11,'Portefeuille SP2'!#REF!,"o",'Portefeuille SP2'!#REF!,"&lt;&gt;")</f>
        <v>#REF!</v>
      </c>
      <c r="AK11" s="126" t="e">
        <f>SUMIFS('Portefeuille SP2'!#REF!,'Portefeuille SP2'!#REF!,1,'Portefeuille SP2'!$Q:$Q,"DECIDED",'Portefeuille SP2'!#REF!,"R",'Portefeuille SP2'!$D:$D,$A11,'Portefeuille SP2'!#REF!,"o",'Portefeuille SP2'!#REF!,"&lt;&gt;")</f>
        <v>#REF!</v>
      </c>
      <c r="AL11" s="117" t="e">
        <f>SUMIFS('Portefeuille SP2'!#REF!,'Portefeuille SP2'!#REF!,1,'Portefeuille SP2'!$Q:$Q,"DECIDED",'Portefeuille SP2'!#REF!,"R",'Portefeuille SP2'!$D:$D,$A11,'Portefeuille SP2'!#REF!,"o",'Portefeuille SP2'!#REF!,"&lt;&gt;")</f>
        <v>#REF!</v>
      </c>
      <c r="AM11" s="117"/>
      <c r="AN11" t="s">
        <v>1317</v>
      </c>
      <c r="AO11" s="111" t="e">
        <f t="shared" ref="AO11:AT11" si="38">B24+B25</f>
        <v>#REF!</v>
      </c>
      <c r="AP11" s="126" t="e">
        <f t="shared" si="38"/>
        <v>#REF!</v>
      </c>
      <c r="AQ11" s="122" t="e">
        <f t="shared" si="38"/>
        <v>#REF!</v>
      </c>
      <c r="AR11" s="112" t="e">
        <f t="shared" si="38"/>
        <v>#REF!</v>
      </c>
      <c r="AS11" s="126" t="e">
        <f t="shared" si="38"/>
        <v>#REF!</v>
      </c>
      <c r="AT11" s="122" t="e">
        <f t="shared" si="38"/>
        <v>#REF!</v>
      </c>
      <c r="AU11" s="112" t="e">
        <f t="shared" si="12"/>
        <v>#REF!</v>
      </c>
      <c r="AV11" s="126" t="e">
        <f t="shared" si="1"/>
        <v>#REF!</v>
      </c>
      <c r="AW11" s="122" t="e">
        <f t="shared" si="2"/>
        <v>#REF!</v>
      </c>
      <c r="AX11" s="111" t="e">
        <f t="shared" ref="AX11:BC11" si="39">H24+H25</f>
        <v>#REF!</v>
      </c>
      <c r="AY11" s="126" t="e">
        <f t="shared" si="39"/>
        <v>#REF!</v>
      </c>
      <c r="AZ11" s="122" t="e">
        <f t="shared" si="39"/>
        <v>#REF!</v>
      </c>
      <c r="BA11" s="111" t="e">
        <f t="shared" si="39"/>
        <v>#REF!</v>
      </c>
      <c r="BB11" s="126" t="e">
        <f t="shared" si="39"/>
        <v>#REF!</v>
      </c>
      <c r="BC11" s="122" t="e">
        <f t="shared" si="39"/>
        <v>#REF!</v>
      </c>
      <c r="BD11" s="112" t="e">
        <f t="shared" si="14"/>
        <v>#REF!</v>
      </c>
      <c r="BE11" s="126" t="e">
        <f t="shared" si="4"/>
        <v>#REF!</v>
      </c>
      <c r="BF11" s="122" t="e">
        <f t="shared" si="4"/>
        <v>#REF!</v>
      </c>
      <c r="BH11" s="111" t="e">
        <f t="shared" ref="BH11:BM11" si="40">U24+U25</f>
        <v>#REF!</v>
      </c>
      <c r="BI11" s="126" t="e">
        <f t="shared" si="40"/>
        <v>#REF!</v>
      </c>
      <c r="BJ11" s="122" t="e">
        <f t="shared" si="40"/>
        <v>#REF!</v>
      </c>
      <c r="BK11" s="111" t="e">
        <f t="shared" si="40"/>
        <v>#REF!</v>
      </c>
      <c r="BL11" s="126" t="e">
        <f t="shared" si="40"/>
        <v>#REF!</v>
      </c>
      <c r="BM11" s="122" t="e">
        <f t="shared" si="40"/>
        <v>#REF!</v>
      </c>
      <c r="BN11" s="112" t="e">
        <f t="shared" si="16"/>
        <v>#REF!</v>
      </c>
      <c r="BO11" s="126" t="e">
        <f t="shared" si="6"/>
        <v>#REF!</v>
      </c>
      <c r="BP11" s="122" t="e">
        <f t="shared" si="7"/>
        <v>#REF!</v>
      </c>
      <c r="BQ11" s="111" t="e">
        <f t="shared" ref="BQ11:BV11" si="41">AA24+AA25</f>
        <v>#REF!</v>
      </c>
      <c r="BR11" s="126" t="e">
        <f t="shared" si="41"/>
        <v>#REF!</v>
      </c>
      <c r="BS11" s="122" t="e">
        <f t="shared" si="41"/>
        <v>#REF!</v>
      </c>
      <c r="BT11" s="111" t="e">
        <f t="shared" si="41"/>
        <v>#REF!</v>
      </c>
      <c r="BU11" s="126" t="e">
        <f t="shared" si="41"/>
        <v>#REF!</v>
      </c>
      <c r="BV11" s="122" t="e">
        <f t="shared" si="41"/>
        <v>#REF!</v>
      </c>
      <c r="BW11" s="111" t="e">
        <f t="shared" si="18"/>
        <v>#REF!</v>
      </c>
      <c r="BX11" s="126" t="e">
        <f t="shared" si="9"/>
        <v>#REF!</v>
      </c>
      <c r="BY11" s="122" t="e">
        <f t="shared" si="10"/>
        <v>#REF!</v>
      </c>
    </row>
    <row r="12" spans="1:77" outlineLevel="1">
      <c r="A12" t="s">
        <v>1311</v>
      </c>
      <c r="B12" s="139" t="e">
        <f>SUMIFS('Portefeuille SP2'!$U:$U,'Portefeuille SP2'!#REF!,1,'Portefeuille SP2'!$Q:$Q,"IN PROGRESS",'Portefeuille SP2'!#REF!,"G",'Portefeuille SP2'!$D:$D,$A12,'Portefeuille SP2'!#REF!,"S")</f>
        <v>#REF!</v>
      </c>
      <c r="C12" s="126" t="e">
        <f>SUMIFS('Portefeuille SP2'!#REF!,'Portefeuille SP2'!#REF!,1,'Portefeuille SP2'!$Q:$Q,"IN PROGRESS",'Portefeuille SP2'!#REF!,"G",'Portefeuille SP2'!$D:$D,$A12,'Portefeuille SP2'!#REF!,"S")</f>
        <v>#REF!</v>
      </c>
      <c r="D12" s="122" t="e">
        <f>SUMIFS('Portefeuille SP2'!#REF!,'Portefeuille SP2'!#REF!,1,'Portefeuille SP2'!$Q:$Q,"IN PROGRESS",'Portefeuille SP2'!#REF!,"G",'Portefeuille SP2'!$D:$D,$A12,'Portefeuille SP2'!#REF!,"S")</f>
        <v>#REF!</v>
      </c>
      <c r="E12" s="111" t="e">
        <f>SUMIFS('Portefeuille SP2'!$U:$U,'Portefeuille SP2'!#REF!,1,'Portefeuille SP2'!$Q:$Q,"IN PROGRESS",'Portefeuille SP2'!#REF!,"R",'Portefeuille SP2'!$D:$D,$A12,'Portefeuille SP2'!#REF!,"S")</f>
        <v>#REF!</v>
      </c>
      <c r="F12" s="126" t="e">
        <f>SUMIFS('Portefeuille SP2'!#REF!,'Portefeuille SP2'!#REF!,1,'Portefeuille SP2'!$Q:$Q,"IN PROGRESS",'Portefeuille SP2'!#REF!,"R",'Portefeuille SP2'!$D:$D,$A12,'Portefeuille SP2'!#REF!,"S")</f>
        <v>#REF!</v>
      </c>
      <c r="G12" s="117" t="e">
        <f>SUMIFS('Portefeuille SP2'!#REF!,'Portefeuille SP2'!#REF!,1,'Portefeuille SP2'!$Q:$Q,"IN PROGRESS",'Portefeuille SP2'!#REF!,"R",'Portefeuille SP2'!$D:$D,$A12,'Portefeuille SP2'!#REF!,"S")</f>
        <v>#REF!</v>
      </c>
      <c r="H12" s="111" t="e">
        <f>SUMIFS('Portefeuille SP2'!$U:$U,'Portefeuille SP2'!#REF!,1,'Portefeuille SP2'!$Q:$Q,"DECIDED",'Portefeuille SP2'!#REF!,"G",'Portefeuille SP2'!$D:$D,$A12,'Portefeuille SP2'!#REF!,"S",'Portefeuille SP2'!#REF!,"=")</f>
        <v>#REF!</v>
      </c>
      <c r="I12" s="117" t="e">
        <f>SUMIFS('Portefeuille SP2'!#REF!,'Portefeuille SP2'!#REF!,1,'Portefeuille SP2'!$Q:$Q,"DECIDED",'Portefeuille SP2'!#REF!,"G",'Portefeuille SP2'!$D:$D,$A12,'Portefeuille SP2'!#REF!,"S",'Portefeuille SP2'!#REF!,"=")</f>
        <v>#REF!</v>
      </c>
      <c r="J12" s="117" t="e">
        <f>SUMIFS('Portefeuille SP2'!#REF!,'Portefeuille SP2'!#REF!,1,'Portefeuille SP2'!$Q:$Q,"DECIDED",'Portefeuille SP2'!#REF!,"G",'Portefeuille SP2'!$D:$D,$A12,'Portefeuille SP2'!#REF!,"S",'Portefeuille SP2'!#REF!,"=")</f>
        <v>#REF!</v>
      </c>
      <c r="K12" s="111" t="e">
        <f>SUMIFS('Portefeuille SP2'!$U:$U,'Portefeuille SP2'!#REF!,1,'Portefeuille SP2'!$Q:$Q,"DECIDED",'Portefeuille SP2'!#REF!,"R",'Portefeuille SP2'!$D:$D,$A12,'Portefeuille SP2'!#REF!,"S",'Portefeuille SP2'!#REF!,"=")</f>
        <v>#REF!</v>
      </c>
      <c r="L12" s="126" t="e">
        <f>SUMIFS('Portefeuille SP2'!#REF!,'Portefeuille SP2'!#REF!,1,'Portefeuille SP2'!$Q:$Q,"DECIDED",'Portefeuille SP2'!#REF!,"R",'Portefeuille SP2'!$D:$D,$A12,'Portefeuille SP2'!#REF!,"S",'Portefeuille SP2'!#REF!,"=")</f>
        <v>#REF!</v>
      </c>
      <c r="M12" s="117" t="e">
        <f>SUMIFS('Portefeuille SP2'!#REF!,'Portefeuille SP2'!#REF!,1,'Portefeuille SP2'!$Q:$Q,"DECIDED",'Portefeuille SP2'!#REF!,"R",'Portefeuille SP2'!$D:$D,$A12,'Portefeuille SP2'!#REF!,"S",'Portefeuille SP2'!#REF!,"=")</f>
        <v>#REF!</v>
      </c>
      <c r="N12" s="111" t="e">
        <f>SUMIFS('Portefeuille SP2'!$U:$U,'Portefeuille SP2'!#REF!,1,'Portefeuille SP2'!$Q:$Q,"DECIDED",'Portefeuille SP2'!#REF!,"G",'Portefeuille SP2'!$D:$D,$A12,'Portefeuille SP2'!#REF!,"S",'Portefeuille SP2'!#REF!,"&lt;&gt;")</f>
        <v>#REF!</v>
      </c>
      <c r="O12" s="126" t="e">
        <f>SUMIFS('Portefeuille SP2'!#REF!,'Portefeuille SP2'!#REF!,1,'Portefeuille SP2'!$Q:$Q,"DECIDED",'Portefeuille SP2'!#REF!,"G",'Portefeuille SP2'!$D:$D,$A12,'Portefeuille SP2'!#REF!,"S",'Portefeuille SP2'!#REF!,"&lt;&gt;")</f>
        <v>#REF!</v>
      </c>
      <c r="P12" s="117" t="e">
        <f>SUMIFS('Portefeuille SP2'!#REF!,'Portefeuille SP2'!#REF!,1,'Portefeuille SP2'!$Q:$Q,"DECIDED",'Portefeuille SP2'!#REF!,"G",'Portefeuille SP2'!$D:$D,$A12,'Portefeuille SP2'!#REF!,"S",'Portefeuille SP2'!#REF!,"&lt;&gt;")</f>
        <v>#REF!</v>
      </c>
      <c r="Q12" s="111" t="e">
        <f>SUMIFS('Portefeuille SP2'!$U:$U,'Portefeuille SP2'!#REF!,1,'Portefeuille SP2'!$Q:$Q,"DECIDED",'Portefeuille SP2'!#REF!,"R",'Portefeuille SP2'!$D:$D,$A12,'Portefeuille SP2'!#REF!,"S",'Portefeuille SP2'!#REF!,"&lt;&gt;")</f>
        <v>#REF!</v>
      </c>
      <c r="R12" s="126" t="e">
        <f>SUMIFS('Portefeuille SP2'!#REF!,'Portefeuille SP2'!#REF!,1,'Portefeuille SP2'!$Q:$Q,"DECIDED",'Portefeuille SP2'!#REF!,"R",'Portefeuille SP2'!$D:$D,$A12,'Portefeuille SP2'!#REF!,"S",'Portefeuille SP2'!#REF!,"&lt;&gt;")</f>
        <v>#REF!</v>
      </c>
      <c r="S12" s="122" t="e">
        <f>SUMIFS('Portefeuille SP2'!#REF!,'Portefeuille SP2'!#REF!,1,'Portefeuille SP2'!$Q:$Q,"DECIDED",'Portefeuille SP2'!#REF!,"R",'Portefeuille SP2'!$D:$D,$A12,'Portefeuille SP2'!#REF!,"S",'Portefeuille SP2'!#REF!,"&lt;&gt;")</f>
        <v>#REF!</v>
      </c>
      <c r="U12" s="111" t="e">
        <f>SUMIFS('Portefeuille SP2'!$U:$U,'Portefeuille SP2'!#REF!,1,'Portefeuille SP2'!$Q:$Q,"IN PROGRESS",'Portefeuille SP2'!#REF!,"G",'Portefeuille SP2'!$D:$D,$A12,'Portefeuille SP2'!#REF!,"O")</f>
        <v>#REF!</v>
      </c>
      <c r="V12" s="126" t="e">
        <f>SUMIFS('Portefeuille SP2'!#REF!,'Portefeuille SP2'!#REF!,1,'Portefeuille SP2'!$Q:$Q,"IN PROGRESS",'Portefeuille SP2'!#REF!,"G",'Portefeuille SP2'!$D:$D,$A12,'Portefeuille SP2'!#REF!,"o")</f>
        <v>#REF!</v>
      </c>
      <c r="W12" s="117" t="e">
        <f>SUMIFS('Portefeuille SP2'!#REF!,'Portefeuille SP2'!#REF!,1,'Portefeuille SP2'!$Q:$Q,"IN PROGRESS",'Portefeuille SP2'!#REF!,"G",'Portefeuille SP2'!$D:$D,$A12,'Portefeuille SP2'!#REF!,"o")</f>
        <v>#REF!</v>
      </c>
      <c r="X12" s="111" t="e">
        <f>SUMIFS('Portefeuille SP2'!$U:$U,'Portefeuille SP2'!#REF!,1,'Portefeuille SP2'!$Q:$Q,"IN PROGRESS",'Portefeuille SP2'!#REF!,"R",'Portefeuille SP2'!$D:$D,$A12,'Portefeuille SP2'!#REF!,"o")</f>
        <v>#REF!</v>
      </c>
      <c r="Y12" s="126" t="e">
        <f>SUMIFS('Portefeuille SP2'!#REF!,'Portefeuille SP2'!#REF!,1,'Portefeuille SP2'!$Q:$Q,"IN PROGRESS",'Portefeuille SP2'!#REF!,"R",'Portefeuille SP2'!$D:$D,$A12,'Portefeuille SP2'!#REF!,"o")</f>
        <v>#REF!</v>
      </c>
      <c r="Z12" s="117" t="e">
        <f>SUMIFS('Portefeuille SP2'!#REF!,'Portefeuille SP2'!#REF!,1,'Portefeuille SP2'!$Q:$Q,"IN PROGRESS",'Portefeuille SP2'!#REF!,"R",'Portefeuille SP2'!$D:$D,$A12,'Portefeuille SP2'!#REF!,"o")</f>
        <v>#REF!</v>
      </c>
      <c r="AA12" s="111" t="e">
        <f>SUMIFS('Portefeuille SP2'!$U:$U,'Portefeuille SP2'!#REF!,1,'Portefeuille SP2'!$Q:$Q,"DECIDED",'Portefeuille SP2'!#REF!,"G",'Portefeuille SP2'!$D:$D,$A12,'Portefeuille SP2'!#REF!,"o",'Portefeuille SP2'!#REF!,"=")</f>
        <v>#REF!</v>
      </c>
      <c r="AB12" s="126" t="e">
        <f>SUMIFS('Portefeuille SP2'!#REF!,'Portefeuille SP2'!#REF!,1,'Portefeuille SP2'!$Q:$Q,"DECIDED",'Portefeuille SP2'!#REF!,"G",'Portefeuille SP2'!$D:$D,$A12,'Portefeuille SP2'!#REF!,"o",'Portefeuille SP2'!#REF!,"=")</f>
        <v>#REF!</v>
      </c>
      <c r="AC12" s="117" t="e">
        <f>SUMIFS('Portefeuille SP2'!#REF!,'Portefeuille SP2'!#REF!,1,'Portefeuille SP2'!$Q:$Q,"DECIDED",'Portefeuille SP2'!#REF!,"G",'Portefeuille SP2'!$D:$D,$A12,'Portefeuille SP2'!#REF!,"o",'Portefeuille SP2'!#REF!,"=")</f>
        <v>#REF!</v>
      </c>
      <c r="AD12" s="111" t="e">
        <f>SUMIFS('Portefeuille SP2'!$U:$U,'Portefeuille SP2'!#REF!,1,'Portefeuille SP2'!$Q:$Q,"DECIDED",'Portefeuille SP2'!#REF!,"R",'Portefeuille SP2'!$D:$D,$A12,'Portefeuille SP2'!#REF!,"o",'Portefeuille SP2'!#REF!,"=")</f>
        <v>#REF!</v>
      </c>
      <c r="AE12" s="126" t="e">
        <f>SUMIFS('Portefeuille SP2'!#REF!,'Portefeuille SP2'!#REF!,1,'Portefeuille SP2'!$Q:$Q,"DECIDED",'Portefeuille SP2'!#REF!,"R",'Portefeuille SP2'!$D:$D,$A12,'Portefeuille SP2'!#REF!,"o",'Portefeuille SP2'!#REF!,"=")</f>
        <v>#REF!</v>
      </c>
      <c r="AF12" s="117" t="e">
        <f>SUMIFS('Portefeuille SP2'!#REF!,'Portefeuille SP2'!#REF!,1,'Portefeuille SP2'!$Q:$Q,"DECIDED",'Portefeuille SP2'!#REF!,"R",'Portefeuille SP2'!$D:$D,$A12,'Portefeuille SP2'!#REF!,"o",'Portefeuille SP2'!#REF!,"=")</f>
        <v>#REF!</v>
      </c>
      <c r="AG12" s="111" t="e">
        <f>SUMIFS('Portefeuille SP2'!$U:$U,'Portefeuille SP2'!#REF!,1,'Portefeuille SP2'!$Q:$Q,"DECIDED",'Portefeuille SP2'!#REF!,"G",'Portefeuille SP2'!$D:$D,$A12,'Portefeuille SP2'!#REF!,"o",'Portefeuille SP2'!#REF!,"&lt;&gt;")</f>
        <v>#REF!</v>
      </c>
      <c r="AH12" s="126" t="e">
        <f>SUMIFS('Portefeuille SP2'!#REF!,'Portefeuille SP2'!#REF!,1,'Portefeuille SP2'!$Q:$Q,"DECIDED",'Portefeuille SP2'!#REF!,"G",'Portefeuille SP2'!$D:$D,$A12,'Portefeuille SP2'!#REF!,"o",'Portefeuille SP2'!#REF!,"&lt;&gt;")</f>
        <v>#REF!</v>
      </c>
      <c r="AI12" s="117" t="e">
        <f>SUMIFS('Portefeuille SP2'!#REF!,'Portefeuille SP2'!#REF!,1,'Portefeuille SP2'!$Q:$Q,"DECIDED",'Portefeuille SP2'!#REF!,"G",'Portefeuille SP2'!$D:$D,$A12,'Portefeuille SP2'!#REF!,"o",'Portefeuille SP2'!#REF!,"&lt;&gt;")</f>
        <v>#REF!</v>
      </c>
      <c r="AJ12" s="111" t="e">
        <f>SUMIFS('Portefeuille SP2'!$U:$U,'Portefeuille SP2'!#REF!,1,'Portefeuille SP2'!$Q:$Q,"DECIDED",'Portefeuille SP2'!#REF!,"R",'Portefeuille SP2'!$D:$D,$A12,'Portefeuille SP2'!#REF!,"o",'Portefeuille SP2'!#REF!,"&lt;&gt;")</f>
        <v>#REF!</v>
      </c>
      <c r="AK12" s="126" t="e">
        <f>SUMIFS('Portefeuille SP2'!#REF!,'Portefeuille SP2'!#REF!,1,'Portefeuille SP2'!$Q:$Q,"DECIDED",'Portefeuille SP2'!#REF!,"R",'Portefeuille SP2'!$D:$D,$A12,'Portefeuille SP2'!#REF!,"o",'Portefeuille SP2'!#REF!,"&lt;&gt;")</f>
        <v>#REF!</v>
      </c>
      <c r="AL12" s="117" t="e">
        <f>SUMIFS('Portefeuille SP2'!#REF!,'Portefeuille SP2'!#REF!,1,'Portefeuille SP2'!$Q:$Q,"DECIDED",'Portefeuille SP2'!#REF!,"R",'Portefeuille SP2'!$D:$D,$A12,'Portefeuille SP2'!#REF!,"o",'Portefeuille SP2'!#REF!,"&lt;&gt;")</f>
        <v>#REF!</v>
      </c>
      <c r="AM12" s="117"/>
      <c r="AN12" t="s">
        <v>1318</v>
      </c>
      <c r="AO12" s="110" t="e">
        <f t="shared" ref="AO12:AT12" si="42">B21+B22+B23</f>
        <v>#REF!</v>
      </c>
      <c r="AP12" s="127" t="e">
        <f t="shared" si="42"/>
        <v>#REF!</v>
      </c>
      <c r="AQ12" s="124" t="e">
        <f t="shared" si="42"/>
        <v>#REF!</v>
      </c>
      <c r="AR12" s="115" t="e">
        <f t="shared" si="42"/>
        <v>#REF!</v>
      </c>
      <c r="AS12" s="127" t="e">
        <f t="shared" si="42"/>
        <v>#REF!</v>
      </c>
      <c r="AT12" s="124" t="e">
        <f t="shared" si="42"/>
        <v>#REF!</v>
      </c>
      <c r="AU12" s="115" t="e">
        <f t="shared" si="12"/>
        <v>#REF!</v>
      </c>
      <c r="AV12" s="127" t="e">
        <f t="shared" si="1"/>
        <v>#REF!</v>
      </c>
      <c r="AW12" s="124" t="e">
        <f t="shared" si="2"/>
        <v>#REF!</v>
      </c>
      <c r="AX12" s="110" t="e">
        <f t="shared" ref="AX12:BC12" si="43">H21+H22+H23</f>
        <v>#REF!</v>
      </c>
      <c r="AY12" s="127" t="e">
        <f t="shared" si="43"/>
        <v>#REF!</v>
      </c>
      <c r="AZ12" s="124" t="e">
        <f t="shared" si="43"/>
        <v>#REF!</v>
      </c>
      <c r="BA12" s="110" t="e">
        <f t="shared" si="43"/>
        <v>#REF!</v>
      </c>
      <c r="BB12" s="127" t="e">
        <f t="shared" si="43"/>
        <v>#REF!</v>
      </c>
      <c r="BC12" s="124" t="e">
        <f t="shared" si="43"/>
        <v>#REF!</v>
      </c>
      <c r="BD12" s="115" t="e">
        <f t="shared" si="14"/>
        <v>#REF!</v>
      </c>
      <c r="BE12" s="127" t="e">
        <f t="shared" si="4"/>
        <v>#REF!</v>
      </c>
      <c r="BF12" s="124" t="e">
        <f t="shared" si="4"/>
        <v>#REF!</v>
      </c>
      <c r="BH12" s="110" t="e">
        <f t="shared" ref="BH12:BM12" si="44">U21+U22+U23</f>
        <v>#REF!</v>
      </c>
      <c r="BI12" s="127" t="e">
        <f t="shared" si="44"/>
        <v>#REF!</v>
      </c>
      <c r="BJ12" s="124" t="e">
        <f t="shared" si="44"/>
        <v>#REF!</v>
      </c>
      <c r="BK12" s="110" t="e">
        <f t="shared" si="44"/>
        <v>#REF!</v>
      </c>
      <c r="BL12" s="127" t="e">
        <f t="shared" si="44"/>
        <v>#REF!</v>
      </c>
      <c r="BM12" s="124" t="e">
        <f t="shared" si="44"/>
        <v>#REF!</v>
      </c>
      <c r="BN12" s="115" t="e">
        <f t="shared" si="16"/>
        <v>#REF!</v>
      </c>
      <c r="BO12" s="127" t="e">
        <f t="shared" si="6"/>
        <v>#REF!</v>
      </c>
      <c r="BP12" s="124" t="e">
        <f t="shared" si="7"/>
        <v>#REF!</v>
      </c>
      <c r="BQ12" s="110" t="e">
        <f t="shared" ref="BQ12:BV12" si="45">AA21+AA22+AA23</f>
        <v>#REF!</v>
      </c>
      <c r="BR12" s="127" t="e">
        <f t="shared" si="45"/>
        <v>#REF!</v>
      </c>
      <c r="BS12" s="124" t="e">
        <f t="shared" si="45"/>
        <v>#REF!</v>
      </c>
      <c r="BT12" s="110" t="e">
        <f t="shared" si="45"/>
        <v>#REF!</v>
      </c>
      <c r="BU12" s="127" t="e">
        <f t="shared" si="45"/>
        <v>#REF!</v>
      </c>
      <c r="BV12" s="124" t="e">
        <f t="shared" si="45"/>
        <v>#REF!</v>
      </c>
      <c r="BW12" s="110" t="e">
        <f t="shared" si="18"/>
        <v>#REF!</v>
      </c>
      <c r="BX12" s="127" t="e">
        <f t="shared" si="9"/>
        <v>#REF!</v>
      </c>
      <c r="BY12" s="124" t="e">
        <f t="shared" si="10"/>
        <v>#REF!</v>
      </c>
    </row>
    <row r="13" spans="1:77" outlineLevel="1">
      <c r="A13" t="s">
        <v>1319</v>
      </c>
      <c r="B13" s="139" t="e">
        <f>SUMIFS('Portefeuille SP2'!$U:$U,'Portefeuille SP2'!#REF!,1,'Portefeuille SP2'!$Q:$Q,"IN PROGRESS",'Portefeuille SP2'!#REF!,"G",'Portefeuille SP2'!$D:$D,$A13,'Portefeuille SP2'!#REF!,"S")</f>
        <v>#REF!</v>
      </c>
      <c r="C13" s="126" t="e">
        <f>SUMIFS('Portefeuille SP2'!#REF!,'Portefeuille SP2'!#REF!,1,'Portefeuille SP2'!$Q:$Q,"IN PROGRESS",'Portefeuille SP2'!#REF!,"G",'Portefeuille SP2'!$D:$D,$A13,'Portefeuille SP2'!#REF!,"S")</f>
        <v>#REF!</v>
      </c>
      <c r="D13" s="122" t="e">
        <f>SUMIFS('Portefeuille SP2'!#REF!,'Portefeuille SP2'!#REF!,1,'Portefeuille SP2'!$Q:$Q,"IN PROGRESS",'Portefeuille SP2'!#REF!,"G",'Portefeuille SP2'!$D:$D,$A13,'Portefeuille SP2'!#REF!,"S")</f>
        <v>#REF!</v>
      </c>
      <c r="E13" s="111" t="e">
        <f>SUMIFS('Portefeuille SP2'!$U:$U,'Portefeuille SP2'!#REF!,1,'Portefeuille SP2'!$Q:$Q,"IN PROGRESS",'Portefeuille SP2'!#REF!,"R",'Portefeuille SP2'!$D:$D,$A13,'Portefeuille SP2'!#REF!,"S")</f>
        <v>#REF!</v>
      </c>
      <c r="F13" s="126" t="e">
        <f>SUMIFS('Portefeuille SP2'!#REF!,'Portefeuille SP2'!#REF!,1,'Portefeuille SP2'!$Q:$Q,"IN PROGRESS",'Portefeuille SP2'!#REF!,"R",'Portefeuille SP2'!$D:$D,$A13,'Portefeuille SP2'!#REF!,"S")</f>
        <v>#REF!</v>
      </c>
      <c r="G13" s="117" t="e">
        <f>SUMIFS('Portefeuille SP2'!#REF!,'Portefeuille SP2'!#REF!,1,'Portefeuille SP2'!$Q:$Q,"IN PROGRESS",'Portefeuille SP2'!#REF!,"R",'Portefeuille SP2'!$D:$D,$A13,'Portefeuille SP2'!#REF!,"S")</f>
        <v>#REF!</v>
      </c>
      <c r="H13" s="111" t="e">
        <f>SUMIFS('Portefeuille SP2'!$U:$U,'Portefeuille SP2'!#REF!,1,'Portefeuille SP2'!$Q:$Q,"DECIDED",'Portefeuille SP2'!#REF!,"G",'Portefeuille SP2'!$D:$D,$A13,'Portefeuille SP2'!#REF!,"S",'Portefeuille SP2'!#REF!,"=")</f>
        <v>#REF!</v>
      </c>
      <c r="I13" s="117" t="e">
        <f>SUMIFS('Portefeuille SP2'!#REF!,'Portefeuille SP2'!#REF!,1,'Portefeuille SP2'!$Q:$Q,"DECIDED",'Portefeuille SP2'!#REF!,"G",'Portefeuille SP2'!$D:$D,$A13,'Portefeuille SP2'!#REF!,"S",'Portefeuille SP2'!#REF!,"=")</f>
        <v>#REF!</v>
      </c>
      <c r="J13" s="117" t="e">
        <f>SUMIFS('Portefeuille SP2'!#REF!,'Portefeuille SP2'!#REF!,1,'Portefeuille SP2'!$Q:$Q,"DECIDED",'Portefeuille SP2'!#REF!,"G",'Portefeuille SP2'!$D:$D,$A13,'Portefeuille SP2'!#REF!,"S",'Portefeuille SP2'!#REF!,"=")</f>
        <v>#REF!</v>
      </c>
      <c r="K13" s="111" t="e">
        <f>SUMIFS('Portefeuille SP2'!$U:$U,'Portefeuille SP2'!#REF!,1,'Portefeuille SP2'!$Q:$Q,"DECIDED",'Portefeuille SP2'!#REF!,"R",'Portefeuille SP2'!$D:$D,$A13,'Portefeuille SP2'!#REF!,"S",'Portefeuille SP2'!#REF!,"=")</f>
        <v>#REF!</v>
      </c>
      <c r="L13" s="126" t="e">
        <f>SUMIFS('Portefeuille SP2'!#REF!,'Portefeuille SP2'!#REF!,1,'Portefeuille SP2'!$Q:$Q,"DECIDED",'Portefeuille SP2'!#REF!,"R",'Portefeuille SP2'!$D:$D,$A13,'Portefeuille SP2'!#REF!,"S",'Portefeuille SP2'!#REF!,"=")</f>
        <v>#REF!</v>
      </c>
      <c r="M13" s="117" t="e">
        <f>SUMIFS('Portefeuille SP2'!#REF!,'Portefeuille SP2'!#REF!,1,'Portefeuille SP2'!$Q:$Q,"DECIDED",'Portefeuille SP2'!#REF!,"R",'Portefeuille SP2'!$D:$D,$A13,'Portefeuille SP2'!#REF!,"S",'Portefeuille SP2'!#REF!,"=")</f>
        <v>#REF!</v>
      </c>
      <c r="N13" s="111" t="e">
        <f>SUMIFS('Portefeuille SP2'!$U:$U,'Portefeuille SP2'!#REF!,1,'Portefeuille SP2'!$Q:$Q,"DECIDED",'Portefeuille SP2'!#REF!,"G",'Portefeuille SP2'!$D:$D,$A13,'Portefeuille SP2'!#REF!,"S",'Portefeuille SP2'!#REF!,"&lt;&gt;")</f>
        <v>#REF!</v>
      </c>
      <c r="O13" s="126" t="e">
        <f>SUMIFS('Portefeuille SP2'!#REF!,'Portefeuille SP2'!#REF!,1,'Portefeuille SP2'!$Q:$Q,"DECIDED",'Portefeuille SP2'!#REF!,"G",'Portefeuille SP2'!$D:$D,$A13,'Portefeuille SP2'!#REF!,"S",'Portefeuille SP2'!#REF!,"&lt;&gt;")</f>
        <v>#REF!</v>
      </c>
      <c r="P13" s="117" t="e">
        <f>SUMIFS('Portefeuille SP2'!#REF!,'Portefeuille SP2'!#REF!,1,'Portefeuille SP2'!$Q:$Q,"DECIDED",'Portefeuille SP2'!#REF!,"G",'Portefeuille SP2'!$D:$D,$A13,'Portefeuille SP2'!#REF!,"S",'Portefeuille SP2'!#REF!,"&lt;&gt;")</f>
        <v>#REF!</v>
      </c>
      <c r="Q13" s="111" t="e">
        <f>SUMIFS('Portefeuille SP2'!$U:$U,'Portefeuille SP2'!#REF!,1,'Portefeuille SP2'!$Q:$Q,"DECIDED",'Portefeuille SP2'!#REF!,"R",'Portefeuille SP2'!$D:$D,$A13,'Portefeuille SP2'!#REF!,"S",'Portefeuille SP2'!#REF!,"&lt;&gt;")</f>
        <v>#REF!</v>
      </c>
      <c r="R13" s="126" t="e">
        <f>SUMIFS('Portefeuille SP2'!#REF!,'Portefeuille SP2'!#REF!,1,'Portefeuille SP2'!$Q:$Q,"DECIDED",'Portefeuille SP2'!#REF!,"R",'Portefeuille SP2'!$D:$D,$A13,'Portefeuille SP2'!#REF!,"S",'Portefeuille SP2'!#REF!,"&lt;&gt;")</f>
        <v>#REF!</v>
      </c>
      <c r="S13" s="122" t="e">
        <f>SUMIFS('Portefeuille SP2'!#REF!,'Portefeuille SP2'!#REF!,1,'Portefeuille SP2'!$Q:$Q,"DECIDED",'Portefeuille SP2'!#REF!,"R",'Portefeuille SP2'!$D:$D,$A13,'Portefeuille SP2'!#REF!,"S",'Portefeuille SP2'!#REF!,"&lt;&gt;")</f>
        <v>#REF!</v>
      </c>
      <c r="U13" s="111" t="e">
        <f>SUMIFS('Portefeuille SP2'!$U:$U,'Portefeuille SP2'!#REF!,1,'Portefeuille SP2'!$Q:$Q,"IN PROGRESS",'Portefeuille SP2'!#REF!,"G",'Portefeuille SP2'!$D:$D,$A13,'Portefeuille SP2'!#REF!,"O")</f>
        <v>#REF!</v>
      </c>
      <c r="V13" s="126" t="e">
        <f>SUMIFS('Portefeuille SP2'!#REF!,'Portefeuille SP2'!#REF!,1,'Portefeuille SP2'!$Q:$Q,"IN PROGRESS",'Portefeuille SP2'!#REF!,"G",'Portefeuille SP2'!$D:$D,$A13,'Portefeuille SP2'!#REF!,"o")</f>
        <v>#REF!</v>
      </c>
      <c r="W13" s="117" t="e">
        <f>SUMIFS('Portefeuille SP2'!#REF!,'Portefeuille SP2'!#REF!,1,'Portefeuille SP2'!$Q:$Q,"IN PROGRESS",'Portefeuille SP2'!#REF!,"G",'Portefeuille SP2'!$D:$D,$A13,'Portefeuille SP2'!#REF!,"o")</f>
        <v>#REF!</v>
      </c>
      <c r="X13" s="111" t="e">
        <f>SUMIFS('Portefeuille SP2'!$U:$U,'Portefeuille SP2'!#REF!,1,'Portefeuille SP2'!$Q:$Q,"IN PROGRESS",'Portefeuille SP2'!#REF!,"R",'Portefeuille SP2'!$D:$D,$A13,'Portefeuille SP2'!#REF!,"o")</f>
        <v>#REF!</v>
      </c>
      <c r="Y13" s="126" t="e">
        <f>SUMIFS('Portefeuille SP2'!#REF!,'Portefeuille SP2'!#REF!,1,'Portefeuille SP2'!$Q:$Q,"IN PROGRESS",'Portefeuille SP2'!#REF!,"R",'Portefeuille SP2'!$D:$D,$A13,'Portefeuille SP2'!#REF!,"o")</f>
        <v>#REF!</v>
      </c>
      <c r="Z13" s="117" t="e">
        <f>SUMIFS('Portefeuille SP2'!#REF!,'Portefeuille SP2'!#REF!,1,'Portefeuille SP2'!$Q:$Q,"IN PROGRESS",'Portefeuille SP2'!#REF!,"R",'Portefeuille SP2'!$D:$D,$A13,'Portefeuille SP2'!#REF!,"o")</f>
        <v>#REF!</v>
      </c>
      <c r="AA13" s="111" t="e">
        <f>SUMIFS('Portefeuille SP2'!$U:$U,'Portefeuille SP2'!#REF!,1,'Portefeuille SP2'!$Q:$Q,"DECIDED",'Portefeuille SP2'!#REF!,"G",'Portefeuille SP2'!$D:$D,$A13,'Portefeuille SP2'!#REF!,"o",'Portefeuille SP2'!#REF!,"=")</f>
        <v>#REF!</v>
      </c>
      <c r="AB13" s="126" t="e">
        <f>SUMIFS('Portefeuille SP2'!#REF!,'Portefeuille SP2'!#REF!,1,'Portefeuille SP2'!$Q:$Q,"DECIDED",'Portefeuille SP2'!#REF!,"G",'Portefeuille SP2'!$D:$D,$A13,'Portefeuille SP2'!#REF!,"o",'Portefeuille SP2'!#REF!,"=")</f>
        <v>#REF!</v>
      </c>
      <c r="AC13" s="117" t="e">
        <f>SUMIFS('Portefeuille SP2'!#REF!,'Portefeuille SP2'!#REF!,1,'Portefeuille SP2'!$Q:$Q,"DECIDED",'Portefeuille SP2'!#REF!,"G",'Portefeuille SP2'!$D:$D,$A13,'Portefeuille SP2'!#REF!,"o",'Portefeuille SP2'!#REF!,"=")</f>
        <v>#REF!</v>
      </c>
      <c r="AD13" s="111" t="e">
        <f>SUMIFS('Portefeuille SP2'!$U:$U,'Portefeuille SP2'!#REF!,1,'Portefeuille SP2'!$Q:$Q,"DECIDED",'Portefeuille SP2'!#REF!,"R",'Portefeuille SP2'!$D:$D,$A13,'Portefeuille SP2'!#REF!,"o",'Portefeuille SP2'!#REF!,"=")</f>
        <v>#REF!</v>
      </c>
      <c r="AE13" s="126" t="e">
        <f>SUMIFS('Portefeuille SP2'!#REF!,'Portefeuille SP2'!#REF!,1,'Portefeuille SP2'!$Q:$Q,"DECIDED",'Portefeuille SP2'!#REF!,"R",'Portefeuille SP2'!$D:$D,$A13,'Portefeuille SP2'!#REF!,"o",'Portefeuille SP2'!#REF!,"=")</f>
        <v>#REF!</v>
      </c>
      <c r="AF13" s="117" t="e">
        <f>SUMIFS('Portefeuille SP2'!#REF!,'Portefeuille SP2'!#REF!,1,'Portefeuille SP2'!$Q:$Q,"DECIDED",'Portefeuille SP2'!#REF!,"R",'Portefeuille SP2'!$D:$D,$A13,'Portefeuille SP2'!#REF!,"o",'Portefeuille SP2'!#REF!,"=")</f>
        <v>#REF!</v>
      </c>
      <c r="AG13" s="111" t="e">
        <f>SUMIFS('Portefeuille SP2'!$U:$U,'Portefeuille SP2'!#REF!,1,'Portefeuille SP2'!$Q:$Q,"DECIDED",'Portefeuille SP2'!#REF!,"G",'Portefeuille SP2'!$D:$D,$A13,'Portefeuille SP2'!#REF!,"o",'Portefeuille SP2'!#REF!,"&lt;&gt;")</f>
        <v>#REF!</v>
      </c>
      <c r="AH13" s="126" t="e">
        <f>SUMIFS('Portefeuille SP2'!#REF!,'Portefeuille SP2'!#REF!,1,'Portefeuille SP2'!$Q:$Q,"DECIDED",'Portefeuille SP2'!#REF!,"G",'Portefeuille SP2'!$D:$D,$A13,'Portefeuille SP2'!#REF!,"o",'Portefeuille SP2'!#REF!,"&lt;&gt;")</f>
        <v>#REF!</v>
      </c>
      <c r="AI13" s="117" t="e">
        <f>SUMIFS('Portefeuille SP2'!#REF!,'Portefeuille SP2'!#REF!,1,'Portefeuille SP2'!$Q:$Q,"DECIDED",'Portefeuille SP2'!#REF!,"G",'Portefeuille SP2'!$D:$D,$A13,'Portefeuille SP2'!#REF!,"o",'Portefeuille SP2'!#REF!,"&lt;&gt;")</f>
        <v>#REF!</v>
      </c>
      <c r="AJ13" s="111" t="e">
        <f>SUMIFS('Portefeuille SP2'!$U:$U,'Portefeuille SP2'!#REF!,1,'Portefeuille SP2'!$Q:$Q,"DECIDED",'Portefeuille SP2'!#REF!,"R",'Portefeuille SP2'!$D:$D,$A13,'Portefeuille SP2'!#REF!,"o",'Portefeuille SP2'!#REF!,"&lt;&gt;")</f>
        <v>#REF!</v>
      </c>
      <c r="AK13" s="126" t="e">
        <f>SUMIFS('Portefeuille SP2'!#REF!,'Portefeuille SP2'!#REF!,1,'Portefeuille SP2'!$Q:$Q,"DECIDED",'Portefeuille SP2'!#REF!,"R",'Portefeuille SP2'!$D:$D,$A13,'Portefeuille SP2'!#REF!,"o",'Portefeuille SP2'!#REF!,"&lt;&gt;")</f>
        <v>#REF!</v>
      </c>
      <c r="AL13" s="117" t="e">
        <f>SUMIFS('Portefeuille SP2'!#REF!,'Portefeuille SP2'!#REF!,1,'Portefeuille SP2'!$Q:$Q,"DECIDED",'Portefeuille SP2'!#REF!,"R",'Portefeuille SP2'!$D:$D,$A13,'Portefeuille SP2'!#REF!,"o",'Portefeuille SP2'!#REF!,"&lt;&gt;")</f>
        <v>#REF!</v>
      </c>
      <c r="AM13" s="117"/>
      <c r="AR13" s="112"/>
      <c r="AS13" s="117"/>
      <c r="AT13" s="117"/>
      <c r="AU13" s="112"/>
      <c r="AV13" s="130"/>
      <c r="AW13" s="130"/>
      <c r="BD13" s="112"/>
      <c r="BH13" s="113"/>
      <c r="BI13" s="128"/>
      <c r="BJ13" s="128"/>
      <c r="BK13" s="112"/>
      <c r="BL13" s="117"/>
      <c r="BM13" s="117"/>
      <c r="BN13" s="112"/>
      <c r="BO13" s="130"/>
      <c r="BP13" s="130"/>
      <c r="BQ13" s="113"/>
      <c r="BR13" s="128"/>
      <c r="BS13" s="128"/>
      <c r="BT13" s="113"/>
      <c r="BU13" s="128"/>
      <c r="BV13" s="128"/>
      <c r="BW13" s="112"/>
      <c r="BX13" s="130"/>
      <c r="BY13" s="130"/>
    </row>
    <row r="14" spans="1:77" outlineLevel="1">
      <c r="A14" t="s">
        <v>150</v>
      </c>
      <c r="B14" s="139" t="e">
        <f>SUMIFS('Portefeuille SP2'!$U:$U,'Portefeuille SP2'!#REF!,1,'Portefeuille SP2'!$Q:$Q,"IN PROGRESS",'Portefeuille SP2'!#REF!,"G",'Portefeuille SP2'!$D:$D,$A14,'Portefeuille SP2'!#REF!,"S")</f>
        <v>#REF!</v>
      </c>
      <c r="C14" s="126" t="e">
        <f>SUMIFS('Portefeuille SP2'!#REF!,'Portefeuille SP2'!#REF!,1,'Portefeuille SP2'!$Q:$Q,"IN PROGRESS",'Portefeuille SP2'!#REF!,"G",'Portefeuille SP2'!$D:$D,$A14,'Portefeuille SP2'!#REF!,"S")</f>
        <v>#REF!</v>
      </c>
      <c r="D14" s="122" t="e">
        <f>SUMIFS('Portefeuille SP2'!#REF!,'Portefeuille SP2'!#REF!,1,'Portefeuille SP2'!$Q:$Q,"IN PROGRESS",'Portefeuille SP2'!#REF!,"G",'Portefeuille SP2'!$D:$D,$A14,'Portefeuille SP2'!#REF!,"S")</f>
        <v>#REF!</v>
      </c>
      <c r="E14" s="111" t="e">
        <f>SUMIFS('Portefeuille SP2'!$U:$U,'Portefeuille SP2'!#REF!,1,'Portefeuille SP2'!$Q:$Q,"IN PROGRESS",'Portefeuille SP2'!#REF!,"R",'Portefeuille SP2'!$D:$D,$A14,'Portefeuille SP2'!#REF!,"S")</f>
        <v>#REF!</v>
      </c>
      <c r="F14" s="126" t="e">
        <f>SUMIFS('Portefeuille SP2'!#REF!,'Portefeuille SP2'!#REF!,1,'Portefeuille SP2'!$Q:$Q,"IN PROGRESS",'Portefeuille SP2'!#REF!,"R",'Portefeuille SP2'!$D:$D,$A14,'Portefeuille SP2'!#REF!,"S")</f>
        <v>#REF!</v>
      </c>
      <c r="G14" s="117" t="e">
        <f>SUMIFS('Portefeuille SP2'!#REF!,'Portefeuille SP2'!#REF!,1,'Portefeuille SP2'!$Q:$Q,"IN PROGRESS",'Portefeuille SP2'!#REF!,"R",'Portefeuille SP2'!$D:$D,$A14,'Portefeuille SP2'!#REF!,"S")</f>
        <v>#REF!</v>
      </c>
      <c r="H14" s="111" t="e">
        <f>SUMIFS('Portefeuille SP2'!$U:$U,'Portefeuille SP2'!#REF!,1,'Portefeuille SP2'!$Q:$Q,"DECIDED",'Portefeuille SP2'!#REF!,"G",'Portefeuille SP2'!$D:$D,$A14,'Portefeuille SP2'!#REF!,"S",'Portefeuille SP2'!#REF!,"=")</f>
        <v>#REF!</v>
      </c>
      <c r="I14" s="117" t="e">
        <f>SUMIFS('Portefeuille SP2'!#REF!,'Portefeuille SP2'!#REF!,1,'Portefeuille SP2'!$Q:$Q,"DECIDED",'Portefeuille SP2'!#REF!,"G",'Portefeuille SP2'!$D:$D,$A14,'Portefeuille SP2'!#REF!,"S",'Portefeuille SP2'!#REF!,"=")</f>
        <v>#REF!</v>
      </c>
      <c r="J14" s="117" t="e">
        <f>SUMIFS('Portefeuille SP2'!#REF!,'Portefeuille SP2'!#REF!,1,'Portefeuille SP2'!$Q:$Q,"DECIDED",'Portefeuille SP2'!#REF!,"G",'Portefeuille SP2'!$D:$D,$A14,'Portefeuille SP2'!#REF!,"S",'Portefeuille SP2'!#REF!,"=")</f>
        <v>#REF!</v>
      </c>
      <c r="K14" s="111" t="e">
        <f>SUMIFS('Portefeuille SP2'!$U:$U,'Portefeuille SP2'!#REF!,1,'Portefeuille SP2'!$Q:$Q,"DECIDED",'Portefeuille SP2'!#REF!,"R",'Portefeuille SP2'!$D:$D,$A14,'Portefeuille SP2'!#REF!,"S",'Portefeuille SP2'!#REF!,"=")</f>
        <v>#REF!</v>
      </c>
      <c r="L14" s="126" t="e">
        <f>SUMIFS('Portefeuille SP2'!#REF!,'Portefeuille SP2'!#REF!,1,'Portefeuille SP2'!$Q:$Q,"DECIDED",'Portefeuille SP2'!#REF!,"R",'Portefeuille SP2'!$D:$D,$A14,'Portefeuille SP2'!#REF!,"S",'Portefeuille SP2'!#REF!,"=")</f>
        <v>#REF!</v>
      </c>
      <c r="M14" s="117" t="e">
        <f>SUMIFS('Portefeuille SP2'!#REF!,'Portefeuille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SP2'!#REF!,"S",'Portefeuille SP2'!#REF!,"&lt;&gt;")</f>
        <v>#REF!</v>
      </c>
      <c r="O14" s="126" t="e">
        <f>SUMIFS('Portefeuille SP2'!#REF!,'Portefeuille SP2'!#REF!,1,'Portefeuille SP2'!$Q:$Q,"DECIDED",'Portefeuille SP2'!#REF!,"G",'Portefeuille SP2'!$D:$D,$A14,'Portefeuille SP2'!#REF!,"S",'Portefeuille SP2'!#REF!,"&lt;&gt;")</f>
        <v>#REF!</v>
      </c>
      <c r="P14" s="117" t="e">
        <f>SUMIFS('Portefeuille SP2'!#REF!,'Portefeuille SP2'!#REF!,1,'Portefeuille SP2'!$Q:$Q,"DECIDED",'Portefeuille SP2'!#REF!,"G",'Portefeuille SP2'!$D:$D,$A14,'Portefeuille SP2'!#REF!,"S",'Portefeuille SP2'!#REF!,"&lt;&gt;")</f>
        <v>#REF!</v>
      </c>
      <c r="Q14" s="111" t="e">
        <f>SUMIFS('Portefeuille SP2'!$U:$U,'Portefeuille SP2'!#REF!,1,'Portefeuille SP2'!$Q:$Q,"DECIDED",'Portefeuille SP2'!#REF!,"R",'Portefeuille SP2'!$D:$D,$A14,'Portefeuille SP2'!#REF!,"S",'Portefeuille SP2'!#REF!,"&lt;&gt;")</f>
        <v>#REF!</v>
      </c>
      <c r="R14" s="126" t="e">
        <f>SUMIFS('Portefeuille SP2'!#REF!,'Portefeuille SP2'!#REF!,1,'Portefeuille SP2'!$Q:$Q,"DECIDED",'Portefeuille SP2'!#REF!,"R",'Portefeuille SP2'!$D:$D,$A14,'Portefeuille SP2'!#REF!,"S",'Portefeuille SP2'!#REF!,"&lt;&gt;")</f>
        <v>#REF!</v>
      </c>
      <c r="S14" s="122" t="e">
        <f>SUMIFS('Portefeuille SP2'!#REF!,'Portefeuille SP2'!#REF!,1,'Portefeuille SP2'!$Q:$Q,"DECIDED",'Portefeuille SP2'!#REF!,"R",'Portefeuille SP2'!$D:$D,$A14,'Portefeuille SP2'!#REF!,"S",'Portefeuille SP2'!#REF!,"&lt;&gt;")</f>
        <v>#REF!</v>
      </c>
      <c r="U14" s="111" t="e">
        <f>SUMIFS('Portefeuille SP2'!$U:$U,'Portefeuille SP2'!#REF!,1,'Portefeuille SP2'!$Q:$Q,"IN PROGRESS",'Portefeuille SP2'!#REF!,"G",'Portefeuille SP2'!$D:$D,$A14,'Portefeuille SP2'!#REF!,"O")</f>
        <v>#REF!</v>
      </c>
      <c r="V14" s="126" t="e">
        <f>SUMIFS('Portefeuille SP2'!#REF!,'Portefeuille SP2'!#REF!,1,'Portefeuille SP2'!$Q:$Q,"IN PROGRESS",'Portefeuille SP2'!#REF!,"G",'Portefeuille SP2'!$D:$D,$A14,'Portefeuille SP2'!#REF!,"o")</f>
        <v>#REF!</v>
      </c>
      <c r="W14" s="117" t="e">
        <f>SUMIFS('Portefeuille SP2'!#REF!,'Portefeuille SP2'!#REF!,1,'Portefeuille SP2'!$Q:$Q,"IN PROGRESS",'Portefeuille SP2'!#REF!,"G",'Portefeuille SP2'!$D:$D,$A14,'Portefeuille SP2'!#REF!,"o")</f>
        <v>#REF!</v>
      </c>
      <c r="X14" s="111" t="e">
        <f>SUMIFS('Portefeuille SP2'!$U:$U,'Portefeuille SP2'!#REF!,1,'Portefeuille SP2'!$Q:$Q,"IN PROGRESS",'Portefeuille SP2'!#REF!,"R",'Portefeuille SP2'!$D:$D,$A14,'Portefeuille SP2'!#REF!,"o")</f>
        <v>#REF!</v>
      </c>
      <c r="Y14" s="126" t="e">
        <f>SUMIFS('Portefeuille SP2'!#REF!,'Portefeuille SP2'!#REF!,1,'Portefeuille SP2'!$Q:$Q,"IN PROGRESS",'Portefeuille SP2'!#REF!,"R",'Portefeuille SP2'!$D:$D,$A14,'Portefeuille SP2'!#REF!,"o")</f>
        <v>#REF!</v>
      </c>
      <c r="Z14" s="117" t="e">
        <f>SUMIFS('Portefeuille SP2'!#REF!,'Portefeuille SP2'!#REF!,1,'Portefeuille SP2'!$Q:$Q,"IN PROGRESS",'Portefeuille SP2'!#REF!,"R",'Portefeuille SP2'!$D:$D,$A14,'Portefeuille SP2'!#REF!,"o")</f>
        <v>#REF!</v>
      </c>
      <c r="AA14" s="111" t="e">
        <f>SUMIFS('Portefeuille SP2'!$U:$U,'Portefeuille SP2'!#REF!,1,'Portefeuille SP2'!$Q:$Q,"DECIDED",'Portefeuille SP2'!#REF!,"G",'Portefeuille SP2'!$D:$D,$A14,'Portefeuille SP2'!#REF!,"o",'Portefeuille SP2'!#REF!,"=")</f>
        <v>#REF!</v>
      </c>
      <c r="AB14" s="126" t="e">
        <f>SUMIFS('Portefeuille SP2'!#REF!,'Portefeuille SP2'!#REF!,1,'Portefeuille SP2'!$Q:$Q,"DECIDED",'Portefeuille SP2'!#REF!,"G",'Portefeuille SP2'!$D:$D,$A14,'Portefeuille SP2'!#REF!,"o",'Portefeuille SP2'!#REF!,"=")</f>
        <v>#REF!</v>
      </c>
      <c r="AC14" s="117" t="e">
        <f>SUMIFS('Portefeuille SP2'!#REF!,'Portefeuille SP2'!#REF!,1,'Portefeuille SP2'!$Q:$Q,"DECIDED",'Portefeuille SP2'!#REF!,"G",'Portefeuille SP2'!$D:$D,$A14,'Portefeuille SP2'!#REF!,"o",'Portefeuille SP2'!#REF!,"=")</f>
        <v>#REF!</v>
      </c>
      <c r="AD14" s="111" t="e">
        <f>SUMIFS('Portefeuille SP2'!$U:$U,'Portefeuille SP2'!#REF!,1,'Portefeuille SP2'!$Q:$Q,"DECIDED",'Portefeuille SP2'!#REF!,"R",'Portefeuille SP2'!$D:$D,$A14,'Portefeuille SP2'!#REF!,"o",'Portefeuille SP2'!#REF!,"=")</f>
        <v>#REF!</v>
      </c>
      <c r="AE14" s="126" t="e">
        <f>SUMIFS('Portefeuille SP2'!#REF!,'Portefeuille SP2'!#REF!,1,'Portefeuille SP2'!$Q:$Q,"DECIDED",'Portefeuille SP2'!#REF!,"R",'Portefeuille SP2'!$D:$D,$A14,'Portefeuille SP2'!#REF!,"o",'Portefeuille SP2'!#REF!,"=")</f>
        <v>#REF!</v>
      </c>
      <c r="AF14" s="117" t="e">
        <f>SUMIFS('Portefeuille SP2'!#REF!,'Portefeuille SP2'!#REF!,1,'Portefeuille SP2'!$Q:$Q,"DECIDED",'Portefeuille SP2'!#REF!,"R",'Portefeuille SP2'!$D:$D,$A14,'Portefeuille SP2'!#REF!,"o",'Portefeuille SP2'!#REF!,"=")</f>
        <v>#REF!</v>
      </c>
      <c r="AG14" s="111" t="e">
        <f>SUMIFS('Portefeuille SP2'!$U:$U,'Portefeuille SP2'!#REF!,1,'Portefeuille SP2'!$Q:$Q,"DECIDED",'Portefeuille SP2'!#REF!,"G",'Portefeuille SP2'!$D:$D,$A14,'Portefeuille SP2'!#REF!,"o",'Portefeuille SP2'!#REF!,"&lt;&gt;")</f>
        <v>#REF!</v>
      </c>
      <c r="AH14" s="126" t="e">
        <f>SUMIFS('Portefeuille SP2'!#REF!,'Portefeuille SP2'!#REF!,1,'Portefeuille SP2'!$Q:$Q,"DECIDED",'Portefeuille SP2'!#REF!,"G",'Portefeuille SP2'!$D:$D,$A14,'Portefeuille SP2'!#REF!,"o",'Portefeuille SP2'!#REF!,"&lt;&gt;")</f>
        <v>#REF!</v>
      </c>
      <c r="AI14" s="117" t="e">
        <f>SUMIFS('Portefeuille SP2'!#REF!,'Portefeuille SP2'!#REF!,1,'Portefeuille SP2'!$Q:$Q,"DECIDED",'Portefeuille SP2'!#REF!,"G",'Portefeuille SP2'!$D:$D,$A14,'Portefeuille SP2'!#REF!,"o",'Portefeuille SP2'!#REF!,"&lt;&gt;")</f>
        <v>#REF!</v>
      </c>
      <c r="AJ14" s="111" t="e">
        <f>SUMIFS('Portefeuille SP2'!$U:$U,'Portefeuille SP2'!#REF!,1,'Portefeuille SP2'!$Q:$Q,"DECIDED",'Portefeuille SP2'!#REF!,"R",'Portefeuille SP2'!$D:$D,$A14,'Portefeuille SP2'!#REF!,"o",'Portefeuille SP2'!#REF!,"&lt;&gt;")</f>
        <v>#REF!</v>
      </c>
      <c r="AK14" s="126" t="e">
        <f>SUMIFS('Portefeuille SP2'!#REF!,'Portefeuille SP2'!#REF!,1,'Portefeuille SP2'!$Q:$Q,"DECIDED",'Portefeuille SP2'!#REF!,"R",'Portefeuille SP2'!$D:$D,$A14,'Portefeuille SP2'!#REF!,"o",'Portefeuille SP2'!#REF!,"&lt;&gt;")</f>
        <v>#REF!</v>
      </c>
      <c r="AL14" s="117" t="e">
        <f>SUMIFS('Portefeuille SP2'!#REF!,'Portefeuille SP2'!#REF!,1,'Portefeuille SP2'!$Q:$Q,"DECIDED",'Portefeuille SP2'!#REF!,"R",'Portefeuille SP2'!$D:$D,$A14,'Portefeuille SP2'!#REF!,"o",'Portefeuille SP2'!#REF!,"&lt;&gt;")</f>
        <v>#REF!</v>
      </c>
      <c r="AM14" s="117"/>
      <c r="AO14" s="114" t="e">
        <f>SUM(AO4:AO13)</f>
        <v>#REF!</v>
      </c>
      <c r="AP14" s="117" t="e">
        <f t="shared" ref="AP14:AQ14" si="46">SUM(AP4:AP13)</f>
        <v>#REF!</v>
      </c>
      <c r="AQ14" s="117" t="e">
        <f t="shared" si="46"/>
        <v>#REF!</v>
      </c>
      <c r="AR14" s="114" t="e">
        <f>SUM(AR4:AR13)</f>
        <v>#REF!</v>
      </c>
      <c r="AS14" s="117" t="e">
        <f t="shared" ref="AS14:BF14" si="47">SUM(AS4:AS13)</f>
        <v>#REF!</v>
      </c>
      <c r="AT14" s="117" t="e">
        <f t="shared" si="47"/>
        <v>#REF!</v>
      </c>
      <c r="AU14" s="114" t="e">
        <f t="shared" ref="AU14:AW14" si="48">SUM(AU4:AU13)</f>
        <v>#REF!</v>
      </c>
      <c r="AV14" s="117" t="e">
        <f t="shared" si="48"/>
        <v>#REF!</v>
      </c>
      <c r="AW14" s="117" t="e">
        <f t="shared" si="48"/>
        <v>#REF!</v>
      </c>
      <c r="AX14" s="114" t="e">
        <f t="shared" si="47"/>
        <v>#REF!</v>
      </c>
      <c r="AY14" s="117" t="e">
        <f t="shared" si="47"/>
        <v>#REF!</v>
      </c>
      <c r="AZ14" s="117" t="e">
        <f t="shared" si="47"/>
        <v>#REF!</v>
      </c>
      <c r="BA14" s="114" t="e">
        <f t="shared" si="47"/>
        <v>#REF!</v>
      </c>
      <c r="BB14" s="117" t="e">
        <f t="shared" si="47"/>
        <v>#REF!</v>
      </c>
      <c r="BC14" s="117" t="e">
        <f t="shared" si="47"/>
        <v>#REF!</v>
      </c>
      <c r="BD14" s="114" t="e">
        <f t="shared" si="47"/>
        <v>#REF!</v>
      </c>
      <c r="BE14" s="117" t="e">
        <f t="shared" si="47"/>
        <v>#REF!</v>
      </c>
      <c r="BF14" s="117" t="e">
        <f t="shared" si="47"/>
        <v>#REF!</v>
      </c>
      <c r="BH14" s="114" t="e">
        <f>SUM(BH4:BH13)</f>
        <v>#REF!</v>
      </c>
      <c r="BI14" s="117" t="e">
        <f t="shared" ref="BI14:BJ14" si="49">SUM(BI4:BI13)</f>
        <v>#REF!</v>
      </c>
      <c r="BJ14" s="117" t="e">
        <f t="shared" si="49"/>
        <v>#REF!</v>
      </c>
      <c r="BK14" s="114" t="e">
        <f>SUM(BK4:BK13)</f>
        <v>#REF!</v>
      </c>
      <c r="BL14" s="117" t="e">
        <f t="shared" ref="BL14:BY14" si="50">SUM(BL4:BL13)</f>
        <v>#REF!</v>
      </c>
      <c r="BM14" s="117" t="e">
        <f t="shared" si="50"/>
        <v>#REF!</v>
      </c>
      <c r="BN14" s="114" t="e">
        <f t="shared" si="50"/>
        <v>#REF!</v>
      </c>
      <c r="BO14" s="117" t="e">
        <f t="shared" si="50"/>
        <v>#REF!</v>
      </c>
      <c r="BP14" s="117" t="e">
        <f t="shared" si="50"/>
        <v>#REF!</v>
      </c>
      <c r="BQ14" s="114" t="e">
        <f t="shared" si="50"/>
        <v>#REF!</v>
      </c>
      <c r="BR14" s="117" t="e">
        <f t="shared" si="50"/>
        <v>#REF!</v>
      </c>
      <c r="BS14" s="117" t="e">
        <f t="shared" si="50"/>
        <v>#REF!</v>
      </c>
      <c r="BT14" s="114" t="e">
        <f t="shared" si="50"/>
        <v>#REF!</v>
      </c>
      <c r="BU14" s="117" t="e">
        <f t="shared" si="50"/>
        <v>#REF!</v>
      </c>
      <c r="BV14" s="117" t="e">
        <f t="shared" si="50"/>
        <v>#REF!</v>
      </c>
      <c r="BW14" s="114" t="e">
        <f t="shared" si="50"/>
        <v>#REF!</v>
      </c>
      <c r="BX14" s="117" t="e">
        <f t="shared" si="50"/>
        <v>#REF!</v>
      </c>
      <c r="BY14" s="117" t="e">
        <f t="shared" si="50"/>
        <v>#REF!</v>
      </c>
    </row>
    <row r="15" spans="1:77" outlineLevel="1">
      <c r="A15" t="s">
        <v>1320</v>
      </c>
      <c r="B15" s="139" t="e">
        <f>SUMIFS('Portefeuille SP2'!$U:$U,'Portefeuille SP2'!#REF!,1,'Portefeuille SP2'!$Q:$Q,"IN PROGRESS",'Portefeuille SP2'!#REF!,"G",'Portefeuille SP2'!$D:$D,$A15,'Portefeuille SP2'!#REF!,"S")</f>
        <v>#REF!</v>
      </c>
      <c r="C15" s="126" t="e">
        <f>SUMIFS('Portefeuille SP2'!#REF!,'Portefeuille SP2'!#REF!,1,'Portefeuille SP2'!$Q:$Q,"IN PROGRESS",'Portefeuille SP2'!#REF!,"G",'Portefeuille SP2'!$D:$D,$A15,'Portefeuille SP2'!#REF!,"S")</f>
        <v>#REF!</v>
      </c>
      <c r="D15" s="122" t="e">
        <f>SUMIFS('Portefeuille SP2'!#REF!,'Portefeuille SP2'!#REF!,1,'Portefeuille SP2'!$Q:$Q,"IN PROGRESS",'Portefeuille SP2'!#REF!,"G",'Portefeuille SP2'!$D:$D,$A15,'Portefeuille SP2'!#REF!,"S")</f>
        <v>#REF!</v>
      </c>
      <c r="E15" s="111" t="e">
        <f>SUMIFS('Portefeuille SP2'!$U:$U,'Portefeuille SP2'!#REF!,1,'Portefeuille SP2'!$Q:$Q,"IN PROGRESS",'Portefeuille SP2'!#REF!,"R",'Portefeuille SP2'!$D:$D,$A15,'Portefeuille SP2'!#REF!,"S")</f>
        <v>#REF!</v>
      </c>
      <c r="F15" s="126" t="e">
        <f>SUMIFS('Portefeuille SP2'!#REF!,'Portefeuille SP2'!#REF!,1,'Portefeuille SP2'!$Q:$Q,"IN PROGRESS",'Portefeuille SP2'!#REF!,"R",'Portefeuille SP2'!$D:$D,$A15,'Portefeuille SP2'!#REF!,"S")</f>
        <v>#REF!</v>
      </c>
      <c r="G15" s="117" t="e">
        <f>SUMIFS('Portefeuille SP2'!#REF!,'Portefeuille SP2'!#REF!,1,'Portefeuille SP2'!$Q:$Q,"IN PROGRESS",'Portefeuille SP2'!#REF!,"R",'Portefeuille SP2'!$D:$D,$A15,'Portefeuille SP2'!#REF!,"S")</f>
        <v>#REF!</v>
      </c>
      <c r="H15" s="111" t="e">
        <f>SUMIFS('Portefeuille SP2'!$U:$U,'Portefeuille SP2'!#REF!,1,'Portefeuille SP2'!$Q:$Q,"DECIDED",'Portefeuille SP2'!#REF!,"G",'Portefeuille SP2'!$D:$D,$A15,'Portefeuille SP2'!#REF!,"S",'Portefeuille SP2'!#REF!,"=")</f>
        <v>#REF!</v>
      </c>
      <c r="I15" s="117" t="e">
        <f>SUMIFS('Portefeuille SP2'!#REF!,'Portefeuille SP2'!#REF!,1,'Portefeuille SP2'!$Q:$Q,"DECIDED",'Portefeuille SP2'!#REF!,"G",'Portefeuille SP2'!$D:$D,$A15,'Portefeuille SP2'!#REF!,"S",'Portefeuille SP2'!#REF!,"=")</f>
        <v>#REF!</v>
      </c>
      <c r="J15" s="117" t="e">
        <f>SUMIFS('Portefeuille SP2'!#REF!,'Portefeuille SP2'!#REF!,1,'Portefeuille SP2'!$Q:$Q,"DECIDED",'Portefeuille SP2'!#REF!,"G",'Portefeuille SP2'!$D:$D,$A15,'Portefeuille SP2'!#REF!,"S",'Portefeuille SP2'!#REF!,"=")</f>
        <v>#REF!</v>
      </c>
      <c r="K15" s="111" t="e">
        <f>SUMIFS('Portefeuille SP2'!$U:$U,'Portefeuille SP2'!#REF!,1,'Portefeuille SP2'!$Q:$Q,"DECIDED",'Portefeuille SP2'!#REF!,"R",'Portefeuille SP2'!$D:$D,$A15,'Portefeuille SP2'!#REF!,"S",'Portefeuille SP2'!#REF!,"=")</f>
        <v>#REF!</v>
      </c>
      <c r="L15" s="126" t="e">
        <f>SUMIFS('Portefeuille SP2'!#REF!,'Portefeuille SP2'!#REF!,1,'Portefeuille SP2'!$Q:$Q,"DECIDED",'Portefeuille SP2'!#REF!,"R",'Portefeuille SP2'!$D:$D,$A15,'Portefeuille SP2'!#REF!,"S",'Portefeuille SP2'!#REF!,"=")</f>
        <v>#REF!</v>
      </c>
      <c r="M15" s="117" t="e">
        <f>SUMIFS('Portefeuille SP2'!#REF!,'Portefeuille SP2'!#REF!,1,'Portefeuille SP2'!$Q:$Q,"DECIDED",'Portefeuille SP2'!#REF!,"R",'Portefeuille SP2'!$D:$D,$A15,'Portefeuille SP2'!#REF!,"S",'Portefeuille SP2'!#REF!,"=")</f>
        <v>#REF!</v>
      </c>
      <c r="N15" s="111" t="e">
        <f>SUMIFS('Portefeuille SP2'!$U:$U,'Portefeuille SP2'!#REF!,1,'Portefeuille SP2'!$Q:$Q,"DECIDED",'Portefeuille SP2'!#REF!,"G",'Portefeuille SP2'!$D:$D,$A15,'Portefeuille SP2'!#REF!,"S",'Portefeuille SP2'!#REF!,"&lt;&gt;")</f>
        <v>#REF!</v>
      </c>
      <c r="O15" s="126" t="e">
        <f>SUMIFS('Portefeuille SP2'!#REF!,'Portefeuille SP2'!#REF!,1,'Portefeuille SP2'!$Q:$Q,"DECIDED",'Portefeuille SP2'!#REF!,"G",'Portefeuille SP2'!$D:$D,$A15,'Portefeuille SP2'!#REF!,"S",'Portefeuille SP2'!#REF!,"&lt;&gt;")</f>
        <v>#REF!</v>
      </c>
      <c r="P15" s="117" t="e">
        <f>SUMIFS('Portefeuille SP2'!#REF!,'Portefeuille SP2'!#REF!,1,'Portefeuille SP2'!$Q:$Q,"DECIDED",'Portefeuille SP2'!#REF!,"G",'Portefeuille SP2'!$D:$D,$A15,'Portefeuille SP2'!#REF!,"S",'Portefeuille SP2'!#REF!,"&lt;&gt;")</f>
        <v>#REF!</v>
      </c>
      <c r="Q15" s="111" t="e">
        <f>SUMIFS('Portefeuille SP2'!$U:$U,'Portefeuille SP2'!#REF!,1,'Portefeuille SP2'!$Q:$Q,"DECIDED",'Portefeuille SP2'!#REF!,"R",'Portefeuille SP2'!$D:$D,$A15,'Portefeuille SP2'!#REF!,"S",'Portefeuille SP2'!#REF!,"&lt;&gt;")</f>
        <v>#REF!</v>
      </c>
      <c r="R15" s="126" t="e">
        <f>SUMIFS('Portefeuille SP2'!#REF!,'Portefeuille SP2'!#REF!,1,'Portefeuille SP2'!$Q:$Q,"DECIDED",'Portefeuille SP2'!#REF!,"R",'Portefeuille SP2'!$D:$D,$A15,'Portefeuille SP2'!#REF!,"S",'Portefeuille SP2'!#REF!,"&lt;&gt;")</f>
        <v>#REF!</v>
      </c>
      <c r="S15" s="122" t="e">
        <f>SUMIFS('Portefeuille SP2'!#REF!,'Portefeuille SP2'!#REF!,1,'Portefeuille SP2'!$Q:$Q,"DECIDED",'Portefeuille SP2'!#REF!,"R",'Portefeuille SP2'!$D:$D,$A15,'Portefeuille SP2'!#REF!,"S",'Portefeuille SP2'!#REF!,"&lt;&gt;")</f>
        <v>#REF!</v>
      </c>
      <c r="U15" s="111" t="e">
        <f>SUMIFS('Portefeuille SP2'!$U:$U,'Portefeuille SP2'!#REF!,1,'Portefeuille SP2'!$Q:$Q,"IN PROGRESS",'Portefeuille SP2'!#REF!,"G",'Portefeuille SP2'!$D:$D,$A15,'Portefeuille SP2'!#REF!,"O")</f>
        <v>#REF!</v>
      </c>
      <c r="V15" s="126" t="e">
        <f>SUMIFS('Portefeuille SP2'!#REF!,'Portefeuille SP2'!#REF!,1,'Portefeuille SP2'!$Q:$Q,"IN PROGRESS",'Portefeuille SP2'!#REF!,"G",'Portefeuille SP2'!$D:$D,$A15,'Portefeuille SP2'!#REF!,"o")</f>
        <v>#REF!</v>
      </c>
      <c r="W15" s="117" t="e">
        <f>SUMIFS('Portefeuille SP2'!#REF!,'Portefeuille SP2'!#REF!,1,'Portefeuille SP2'!$Q:$Q,"IN PROGRESS",'Portefeuille SP2'!#REF!,"G",'Portefeuille SP2'!$D:$D,$A15,'Portefeuille SP2'!#REF!,"o")</f>
        <v>#REF!</v>
      </c>
      <c r="X15" s="111" t="e">
        <f>SUMIFS('Portefeuille SP2'!$U:$U,'Portefeuille SP2'!#REF!,1,'Portefeuille SP2'!$Q:$Q,"IN PROGRESS",'Portefeuille SP2'!#REF!,"R",'Portefeuille SP2'!$D:$D,$A15,'Portefeuille SP2'!#REF!,"o")</f>
        <v>#REF!</v>
      </c>
      <c r="Y15" s="126" t="e">
        <f>SUMIFS('Portefeuille SP2'!#REF!,'Portefeuille SP2'!#REF!,1,'Portefeuille SP2'!$Q:$Q,"IN PROGRESS",'Portefeuille SP2'!#REF!,"R",'Portefeuille SP2'!$D:$D,$A15,'Portefeuille SP2'!#REF!,"o")</f>
        <v>#REF!</v>
      </c>
      <c r="Z15" s="117" t="e">
        <f>SUMIFS('Portefeuille SP2'!#REF!,'Portefeuille SP2'!#REF!,1,'Portefeuille SP2'!$Q:$Q,"IN PROGRESS",'Portefeuille SP2'!#REF!,"R",'Portefeuille SP2'!$D:$D,$A15,'Portefeuille SP2'!#REF!,"o")</f>
        <v>#REF!</v>
      </c>
      <c r="AA15" s="111" t="e">
        <f>SUMIFS('Portefeuille SP2'!$U:$U,'Portefeuille SP2'!#REF!,1,'Portefeuille SP2'!$Q:$Q,"DECIDED",'Portefeuille SP2'!#REF!,"G",'Portefeuille SP2'!$D:$D,$A15,'Portefeuille SP2'!#REF!,"o",'Portefeuille SP2'!#REF!,"=")</f>
        <v>#REF!</v>
      </c>
      <c r="AB15" s="126" t="e">
        <f>SUMIFS('Portefeuille SP2'!#REF!,'Portefeuille SP2'!#REF!,1,'Portefeuille SP2'!$Q:$Q,"DECIDED",'Portefeuille SP2'!#REF!,"G",'Portefeuille SP2'!$D:$D,$A15,'Portefeuille SP2'!#REF!,"o",'Portefeuille SP2'!#REF!,"=")</f>
        <v>#REF!</v>
      </c>
      <c r="AC15" s="117" t="e">
        <f>SUMIFS('Portefeuille SP2'!#REF!,'Portefeuille SP2'!#REF!,1,'Portefeuille SP2'!$Q:$Q,"DECIDED",'Portefeuille SP2'!#REF!,"G",'Portefeuille SP2'!$D:$D,$A15,'Portefeuille SP2'!#REF!,"o",'Portefeuille SP2'!#REF!,"=")</f>
        <v>#REF!</v>
      </c>
      <c r="AD15" s="111" t="e">
        <f>SUMIFS('Portefeuille SP2'!$U:$U,'Portefeuille SP2'!#REF!,1,'Portefeuille SP2'!$Q:$Q,"DECIDED",'Portefeuille SP2'!#REF!,"R",'Portefeuille SP2'!$D:$D,$A15,'Portefeuille SP2'!#REF!,"o",'Portefeuille SP2'!#REF!,"=")</f>
        <v>#REF!</v>
      </c>
      <c r="AE15" s="126" t="e">
        <f>SUMIFS('Portefeuille SP2'!#REF!,'Portefeuille SP2'!#REF!,1,'Portefeuille SP2'!$Q:$Q,"DECIDED",'Portefeuille SP2'!#REF!,"R",'Portefeuille SP2'!$D:$D,$A15,'Portefeuille SP2'!#REF!,"o",'Portefeuille SP2'!#REF!,"=")</f>
        <v>#REF!</v>
      </c>
      <c r="AF15" s="117" t="e">
        <f>SUMIFS('Portefeuille SP2'!#REF!,'Portefeuille SP2'!#REF!,1,'Portefeuille SP2'!$Q:$Q,"DECIDED",'Portefeuille SP2'!#REF!,"R",'Portefeuille SP2'!$D:$D,$A15,'Portefeuille SP2'!#REF!,"o",'Portefeuille SP2'!#REF!,"=")</f>
        <v>#REF!</v>
      </c>
      <c r="AG15" s="111" t="e">
        <f>SUMIFS('Portefeuille SP2'!$U:$U,'Portefeuille SP2'!#REF!,1,'Portefeuille SP2'!$Q:$Q,"DECIDED",'Portefeuille SP2'!#REF!,"G",'Portefeuille SP2'!$D:$D,$A15,'Portefeuille SP2'!#REF!,"o",'Portefeuille SP2'!#REF!,"&lt;&gt;")</f>
        <v>#REF!</v>
      </c>
      <c r="AH15" s="126" t="e">
        <f>SUMIFS('Portefeuille SP2'!#REF!,'Portefeuille SP2'!#REF!,1,'Portefeuille SP2'!$Q:$Q,"DECIDED",'Portefeuille SP2'!#REF!,"G",'Portefeuille SP2'!$D:$D,$A15,'Portefeuille SP2'!#REF!,"o",'Portefeuille SP2'!#REF!,"&lt;&gt;")</f>
        <v>#REF!</v>
      </c>
      <c r="AI15" s="117" t="e">
        <f>SUMIFS('Portefeuille SP2'!#REF!,'Portefeuille SP2'!#REF!,1,'Portefeuille SP2'!$Q:$Q,"DECIDED",'Portefeuille SP2'!#REF!,"G",'Portefeuille SP2'!$D:$D,$A15,'Portefeuille SP2'!#REF!,"o",'Portefeuille SP2'!#REF!,"&lt;&gt;")</f>
        <v>#REF!</v>
      </c>
      <c r="AJ15" s="111" t="e">
        <f>SUMIFS('Portefeuille SP2'!$U:$U,'Portefeuille SP2'!#REF!,1,'Portefeuille SP2'!$Q:$Q,"DECIDED",'Portefeuille SP2'!#REF!,"R",'Portefeuille SP2'!$D:$D,$A15,'Portefeuille SP2'!#REF!,"o",'Portefeuille SP2'!#REF!,"&lt;&gt;")</f>
        <v>#REF!</v>
      </c>
      <c r="AK15" s="126" t="e">
        <f>SUMIFS('Portefeuille SP2'!#REF!,'Portefeuille SP2'!#REF!,1,'Portefeuille SP2'!$Q:$Q,"DECIDED",'Portefeuille SP2'!#REF!,"R",'Portefeuille SP2'!$D:$D,$A15,'Portefeuille SP2'!#REF!,"o",'Portefeuille SP2'!#REF!,"&lt;&gt;")</f>
        <v>#REF!</v>
      </c>
      <c r="AL15" s="117" t="e">
        <f>SUMIFS('Portefeuille SP2'!#REF!,'Portefeuille SP2'!#REF!,1,'Portefeuille SP2'!$Q:$Q,"DECIDED",'Portefeuille SP2'!#REF!,"R",'Portefeuille SP2'!$D:$D,$A15,'Portefeuille SP2'!#REF!,"o",'Portefeuille SP2'!#REF!,"&lt;&gt;")</f>
        <v>#REF!</v>
      </c>
      <c r="AM15" s="117"/>
      <c r="AO15" s="131" t="e">
        <f>AO14-AP14-AQ14</f>
        <v>#REF!</v>
      </c>
      <c r="AP15" s="132"/>
      <c r="AQ15" s="132"/>
      <c r="AR15" s="131" t="e">
        <f>AR14-AS14-AT14</f>
        <v>#REF!</v>
      </c>
      <c r="AS15" s="132"/>
      <c r="AT15" s="132"/>
      <c r="AU15" s="131" t="e">
        <f>AU14-AV14-AW14</f>
        <v>#REF!</v>
      </c>
      <c r="AV15" s="133"/>
      <c r="AW15" s="133"/>
      <c r="AX15" s="131" t="e">
        <f>AX14-AY14-AZ14</f>
        <v>#REF!</v>
      </c>
      <c r="AY15" s="132"/>
      <c r="AZ15" s="132"/>
      <c r="BA15" s="131" t="e">
        <f>BA14-BB14-BC14</f>
        <v>#REF!</v>
      </c>
      <c r="BB15" s="132"/>
      <c r="BC15" s="132"/>
      <c r="BD15" s="131" t="e">
        <f>BD14-BE14-BF14</f>
        <v>#REF!</v>
      </c>
      <c r="BE15" s="133"/>
      <c r="BF15" s="133"/>
      <c r="BG15" s="137"/>
      <c r="BH15" s="131" t="e">
        <f>BH14-BI14-BJ14</f>
        <v>#REF!</v>
      </c>
      <c r="BI15" s="132"/>
      <c r="BJ15" s="132"/>
      <c r="BK15" s="131" t="e">
        <f>BK14-BL14-BM14</f>
        <v>#REF!</v>
      </c>
      <c r="BL15" s="132"/>
      <c r="BM15" s="132"/>
      <c r="BN15" s="131" t="e">
        <f>BN14-BO14-BP14</f>
        <v>#REF!</v>
      </c>
      <c r="BO15" s="133"/>
      <c r="BP15" s="133"/>
      <c r="BQ15" s="131" t="e">
        <f>BQ14-BR14-BS14</f>
        <v>#REF!</v>
      </c>
      <c r="BR15" s="132"/>
      <c r="BS15" s="132"/>
      <c r="BT15" s="131" t="e">
        <f>BT14-BU14-BV14</f>
        <v>#REF!</v>
      </c>
      <c r="BU15" s="132"/>
      <c r="BV15" s="132"/>
      <c r="BW15" s="131" t="e">
        <f>BW14-BX14-BY14</f>
        <v>#REF!</v>
      </c>
      <c r="BX15" s="133"/>
      <c r="BY15" s="133"/>
    </row>
    <row r="16" spans="1:77" outlineLevel="1">
      <c r="A16" t="s">
        <v>1321</v>
      </c>
      <c r="B16" s="139" t="e">
        <f>SUMIFS('Portefeuille SP2'!$U:$U,'Portefeuille SP2'!#REF!,1,'Portefeuille SP2'!$Q:$Q,"IN PROGRESS",'Portefeuille SP2'!#REF!,"G",'Portefeuille SP2'!$D:$D,$A16,'Portefeuille SP2'!#REF!,"S")</f>
        <v>#REF!</v>
      </c>
      <c r="C16" s="126" t="e">
        <f>SUMIFS('Portefeuille SP2'!#REF!,'Portefeuille SP2'!#REF!,1,'Portefeuille SP2'!$Q:$Q,"IN PROGRESS",'Portefeuille SP2'!#REF!,"G",'Portefeuille SP2'!$D:$D,$A16,'Portefeuille SP2'!#REF!,"S")</f>
        <v>#REF!</v>
      </c>
      <c r="D16" s="122" t="e">
        <f>SUMIFS('Portefeuille SP2'!#REF!,'Portefeuille SP2'!#REF!,1,'Portefeuille SP2'!$Q:$Q,"IN PROGRESS",'Portefeuille SP2'!#REF!,"G",'Portefeuille SP2'!$D:$D,$A16,'Portefeuille SP2'!#REF!,"S")</f>
        <v>#REF!</v>
      </c>
      <c r="E16" s="111" t="e">
        <f>SUMIFS('Portefeuille SP2'!$U:$U,'Portefeuille SP2'!#REF!,1,'Portefeuille SP2'!$Q:$Q,"IN PROGRESS",'Portefeuille SP2'!#REF!,"R",'Portefeuille SP2'!$D:$D,$A16,'Portefeuille SP2'!#REF!,"S")</f>
        <v>#REF!</v>
      </c>
      <c r="F16" s="126" t="e">
        <f>SUMIFS('Portefeuille SP2'!#REF!,'Portefeuille SP2'!#REF!,1,'Portefeuille SP2'!$Q:$Q,"IN PROGRESS",'Portefeuille SP2'!#REF!,"R",'Portefeuille SP2'!$D:$D,$A16,'Portefeuille SP2'!#REF!,"S")</f>
        <v>#REF!</v>
      </c>
      <c r="G16" s="117" t="e">
        <f>SUMIFS('Portefeuille SP2'!#REF!,'Portefeuille SP2'!#REF!,1,'Portefeuille SP2'!$Q:$Q,"IN PROGRESS",'Portefeuille SP2'!#REF!,"R",'Portefeuille SP2'!$D:$D,$A16,'Portefeuille SP2'!#REF!,"S")</f>
        <v>#REF!</v>
      </c>
      <c r="H16" s="111" t="e">
        <f>SUMIFS('Portefeuille SP2'!$U:$U,'Portefeuille SP2'!#REF!,1,'Portefeuille SP2'!$Q:$Q,"DECIDED",'Portefeuille SP2'!#REF!,"G",'Portefeuille SP2'!$D:$D,$A16,'Portefeuille SP2'!#REF!,"S",'Portefeuille SP2'!#REF!,"=")</f>
        <v>#REF!</v>
      </c>
      <c r="I16" s="117" t="e">
        <f>SUMIFS('Portefeuille SP2'!#REF!,'Portefeuille SP2'!#REF!,1,'Portefeuille SP2'!$Q:$Q,"DECIDED",'Portefeuille SP2'!#REF!,"G",'Portefeuille SP2'!$D:$D,$A16,'Portefeuille SP2'!#REF!,"S",'Portefeuille SP2'!#REF!,"=")</f>
        <v>#REF!</v>
      </c>
      <c r="J16" s="117" t="e">
        <f>SUMIFS('Portefeuille SP2'!#REF!,'Portefeuille SP2'!#REF!,1,'Portefeuille SP2'!$Q:$Q,"DECIDED",'Portefeuille SP2'!#REF!,"G",'Portefeuille SP2'!$D:$D,$A16,'Portefeuille SP2'!#REF!,"S",'Portefeuille SP2'!#REF!,"=")</f>
        <v>#REF!</v>
      </c>
      <c r="K16" s="111" t="e">
        <f>SUMIFS('Portefeuille SP2'!$U:$U,'Portefeuille SP2'!#REF!,1,'Portefeuille SP2'!$Q:$Q,"DECIDED",'Portefeuille SP2'!#REF!,"R",'Portefeuille SP2'!$D:$D,$A16,'Portefeuille SP2'!#REF!,"S",'Portefeuille SP2'!#REF!,"=")</f>
        <v>#REF!</v>
      </c>
      <c r="L16" s="126" t="e">
        <f>SUMIFS('Portefeuille SP2'!#REF!,'Portefeuille SP2'!#REF!,1,'Portefeuille SP2'!$Q:$Q,"DECIDED",'Portefeuille SP2'!#REF!,"R",'Portefeuille SP2'!$D:$D,$A16,'Portefeuille SP2'!#REF!,"S",'Portefeuille SP2'!#REF!,"=")</f>
        <v>#REF!</v>
      </c>
      <c r="M16" s="117" t="e">
        <f>SUMIFS('Portefeuille SP2'!#REF!,'Portefeuille SP2'!#REF!,1,'Portefeuille SP2'!$Q:$Q,"DECIDED",'Portefeuille SP2'!#REF!,"R",'Portefeuille SP2'!$D:$D,$A16,'Portefeuille SP2'!#REF!,"S",'Portefeuille SP2'!#REF!,"=")</f>
        <v>#REF!</v>
      </c>
      <c r="N16" s="111" t="e">
        <f>SUMIFS('Portefeuille SP2'!$U:$U,'Portefeuille SP2'!#REF!,1,'Portefeuille SP2'!$Q:$Q,"DECIDED",'Portefeuille SP2'!#REF!,"G",'Portefeuille SP2'!$D:$D,$A16,'Portefeuille SP2'!#REF!,"S",'Portefeuille SP2'!#REF!,"&lt;&gt;")</f>
        <v>#REF!</v>
      </c>
      <c r="O16" s="126" t="e">
        <f>SUMIFS('Portefeuille SP2'!#REF!,'Portefeuille SP2'!#REF!,1,'Portefeuille SP2'!$Q:$Q,"DECIDED",'Portefeuille SP2'!#REF!,"G",'Portefeuille SP2'!$D:$D,$A16,'Portefeuille SP2'!#REF!,"S",'Portefeuille SP2'!#REF!,"&lt;&gt;")</f>
        <v>#REF!</v>
      </c>
      <c r="P16" s="117" t="e">
        <f>SUMIFS('Portefeuille SP2'!#REF!,'Portefeuille SP2'!#REF!,1,'Portefeuille SP2'!$Q:$Q,"DECIDED",'Portefeuille SP2'!#REF!,"G",'Portefeuille SP2'!$D:$D,$A16,'Portefeuille SP2'!#REF!,"S",'Portefeuille SP2'!#REF!,"&lt;&gt;")</f>
        <v>#REF!</v>
      </c>
      <c r="Q16" s="111" t="e">
        <f>SUMIFS('Portefeuille SP2'!$U:$U,'Portefeuille SP2'!#REF!,1,'Portefeuille SP2'!$Q:$Q,"DECIDED",'Portefeuille SP2'!#REF!,"R",'Portefeuille SP2'!$D:$D,$A16,'Portefeuille SP2'!#REF!,"S",'Portefeuille SP2'!#REF!,"&lt;&gt;")</f>
        <v>#REF!</v>
      </c>
      <c r="R16" s="126" t="e">
        <f>SUMIFS('Portefeuille SP2'!#REF!,'Portefeuille SP2'!#REF!,1,'Portefeuille SP2'!$Q:$Q,"DECIDED",'Portefeuille SP2'!#REF!,"R",'Portefeuille SP2'!$D:$D,$A16,'Portefeuille SP2'!#REF!,"S",'Portefeuille SP2'!#REF!,"&lt;&gt;")</f>
        <v>#REF!</v>
      </c>
      <c r="S16" s="122" t="e">
        <f>SUMIFS('Portefeuille SP2'!#REF!,'Portefeuille SP2'!#REF!,1,'Portefeuille SP2'!$Q:$Q,"DECIDED",'Portefeuille SP2'!#REF!,"R",'Portefeuille SP2'!$D:$D,$A16,'Portefeuille SP2'!#REF!,"S",'Portefeuille SP2'!#REF!,"&lt;&gt;")</f>
        <v>#REF!</v>
      </c>
      <c r="U16" s="111" t="e">
        <f>SUMIFS('Portefeuille SP2'!$U:$U,'Portefeuille SP2'!#REF!,1,'Portefeuille SP2'!$Q:$Q,"IN PROGRESS",'Portefeuille SP2'!#REF!,"G",'Portefeuille SP2'!$D:$D,$A16,'Portefeuille SP2'!#REF!,"O")</f>
        <v>#REF!</v>
      </c>
      <c r="V16" s="126" t="e">
        <f>SUMIFS('Portefeuille SP2'!#REF!,'Portefeuille SP2'!#REF!,1,'Portefeuille SP2'!$Q:$Q,"IN PROGRESS",'Portefeuille SP2'!#REF!,"G",'Portefeuille SP2'!$D:$D,$A16,'Portefeuille SP2'!#REF!,"o")</f>
        <v>#REF!</v>
      </c>
      <c r="W16" s="117" t="e">
        <f>SUMIFS('Portefeuille SP2'!#REF!,'Portefeuille SP2'!#REF!,1,'Portefeuille SP2'!$Q:$Q,"IN PROGRESS",'Portefeuille SP2'!#REF!,"G",'Portefeuille SP2'!$D:$D,$A16,'Portefeuille SP2'!#REF!,"o")</f>
        <v>#REF!</v>
      </c>
      <c r="X16" s="111" t="e">
        <f>SUMIFS('Portefeuille SP2'!$U:$U,'Portefeuille SP2'!#REF!,1,'Portefeuille SP2'!$Q:$Q,"IN PROGRESS",'Portefeuille SP2'!#REF!,"R",'Portefeuille SP2'!$D:$D,$A16,'Portefeuille SP2'!#REF!,"o")</f>
        <v>#REF!</v>
      </c>
      <c r="Y16" s="126" t="e">
        <f>SUMIFS('Portefeuille SP2'!#REF!,'Portefeuille SP2'!#REF!,1,'Portefeuille SP2'!$Q:$Q,"IN PROGRESS",'Portefeuille SP2'!#REF!,"R",'Portefeuille SP2'!$D:$D,$A16,'Portefeuille SP2'!#REF!,"o")</f>
        <v>#REF!</v>
      </c>
      <c r="Z16" s="117" t="e">
        <f>SUMIFS('Portefeuille SP2'!#REF!,'Portefeuille SP2'!#REF!,1,'Portefeuille SP2'!$Q:$Q,"IN PROGRESS",'Portefeuille SP2'!#REF!,"R",'Portefeuille SP2'!$D:$D,$A16,'Portefeuille SP2'!#REF!,"o")</f>
        <v>#REF!</v>
      </c>
      <c r="AA16" s="111" t="e">
        <f>SUMIFS('Portefeuille SP2'!$U:$U,'Portefeuille SP2'!#REF!,1,'Portefeuille SP2'!$Q:$Q,"DECIDED",'Portefeuille SP2'!#REF!,"G",'Portefeuille SP2'!$D:$D,$A16,'Portefeuille SP2'!#REF!,"o",'Portefeuille SP2'!#REF!,"=")</f>
        <v>#REF!</v>
      </c>
      <c r="AB16" s="126" t="e">
        <f>SUMIFS('Portefeuille SP2'!#REF!,'Portefeuille SP2'!#REF!,1,'Portefeuille SP2'!$Q:$Q,"DECIDED",'Portefeuille SP2'!#REF!,"G",'Portefeuille SP2'!$D:$D,$A16,'Portefeuille SP2'!#REF!,"o",'Portefeuille SP2'!#REF!,"=")</f>
        <v>#REF!</v>
      </c>
      <c r="AC16" s="117" t="e">
        <f>SUMIFS('Portefeuille SP2'!#REF!,'Portefeuille SP2'!#REF!,1,'Portefeuille SP2'!$Q:$Q,"DECIDED",'Portefeuille SP2'!#REF!,"G",'Portefeuille SP2'!$D:$D,$A16,'Portefeuille SP2'!#REF!,"o",'Portefeuille SP2'!#REF!,"=")</f>
        <v>#REF!</v>
      </c>
      <c r="AD16" s="111" t="e">
        <f>SUMIFS('Portefeuille SP2'!$U:$U,'Portefeuille SP2'!#REF!,1,'Portefeuille SP2'!$Q:$Q,"DECIDED",'Portefeuille SP2'!#REF!,"R",'Portefeuille SP2'!$D:$D,$A16,'Portefeuille SP2'!#REF!,"o",'Portefeuille SP2'!#REF!,"=")</f>
        <v>#REF!</v>
      </c>
      <c r="AE16" s="126" t="e">
        <f>SUMIFS('Portefeuille SP2'!#REF!,'Portefeuille SP2'!#REF!,1,'Portefeuille SP2'!$Q:$Q,"DECIDED",'Portefeuille SP2'!#REF!,"R",'Portefeuille SP2'!$D:$D,$A16,'Portefeuille SP2'!#REF!,"o",'Portefeuille SP2'!#REF!,"=")</f>
        <v>#REF!</v>
      </c>
      <c r="AF16" s="117" t="e">
        <f>SUMIFS('Portefeuille SP2'!#REF!,'Portefeuille SP2'!#REF!,1,'Portefeuille SP2'!$Q:$Q,"DECIDED",'Portefeuille SP2'!#REF!,"R",'Portefeuille SP2'!$D:$D,$A16,'Portefeuille SP2'!#REF!,"o",'Portefeuille SP2'!#REF!,"=")</f>
        <v>#REF!</v>
      </c>
      <c r="AG16" s="111" t="e">
        <f>SUMIFS('Portefeuille SP2'!$U:$U,'Portefeuille SP2'!#REF!,1,'Portefeuille SP2'!$Q:$Q,"DECIDED",'Portefeuille SP2'!#REF!,"G",'Portefeuille SP2'!$D:$D,$A16,'Portefeuille SP2'!#REF!,"o",'Portefeuille SP2'!#REF!,"&lt;&gt;")</f>
        <v>#REF!</v>
      </c>
      <c r="AH16" s="126" t="e">
        <f>SUMIFS('Portefeuille SP2'!#REF!,'Portefeuille SP2'!#REF!,1,'Portefeuille SP2'!$Q:$Q,"DECIDED",'Portefeuille SP2'!#REF!,"G",'Portefeuille SP2'!$D:$D,$A16,'Portefeuille SP2'!#REF!,"o",'Portefeuille SP2'!#REF!,"&lt;&gt;")</f>
        <v>#REF!</v>
      </c>
      <c r="AI16" s="117" t="e">
        <f>SUMIFS('Portefeuille SP2'!#REF!,'Portefeuille SP2'!#REF!,1,'Portefeuille SP2'!$Q:$Q,"DECIDED",'Portefeuille SP2'!#REF!,"G",'Portefeuille SP2'!$D:$D,$A16,'Portefeuille SP2'!#REF!,"o",'Portefeuille SP2'!#REF!,"&lt;&gt;")</f>
        <v>#REF!</v>
      </c>
      <c r="AJ16" s="111" t="e">
        <f>SUMIFS('Portefeuille SP2'!$U:$U,'Portefeuille SP2'!#REF!,1,'Portefeuille SP2'!$Q:$Q,"DECIDED",'Portefeuille SP2'!#REF!,"R",'Portefeuille SP2'!$D:$D,$A16,'Portefeuille SP2'!#REF!,"o",'Portefeuille SP2'!#REF!,"&lt;&gt;")</f>
        <v>#REF!</v>
      </c>
      <c r="AK16" s="126" t="e">
        <f>SUMIFS('Portefeuille SP2'!#REF!,'Portefeuille SP2'!#REF!,1,'Portefeuille SP2'!$Q:$Q,"DECIDED",'Portefeuille SP2'!#REF!,"R",'Portefeuille SP2'!$D:$D,$A16,'Portefeuille SP2'!#REF!,"o",'Portefeuille SP2'!#REF!,"&lt;&gt;")</f>
        <v>#REF!</v>
      </c>
      <c r="AL16" s="117" t="e">
        <f>SUMIFS('Portefeuille SP2'!#REF!,'Portefeuille SP2'!#REF!,1,'Portefeuille SP2'!$Q:$Q,"DECIDED",'Portefeuille SP2'!#REF!,"R",'Portefeuille SP2'!$D:$D,$A16,'Portefeuille SP2'!#REF!,"o",'Portefeuille SP2'!#REF!,"&lt;&gt;")</f>
        <v>#REF!</v>
      </c>
      <c r="AM16" s="117"/>
    </row>
    <row r="17" spans="1:42" outlineLevel="1">
      <c r="A17" t="s">
        <v>1322</v>
      </c>
      <c r="B17" s="139" t="e">
        <f>SUMIFS('Portefeuille SP2'!$U:$U,'Portefeuille SP2'!#REF!,1,'Portefeuille SP2'!$Q:$Q,"IN PROGRESS",'Portefeuille SP2'!#REF!,"G",'Portefeuille SP2'!$D:$D,$A17,'Portefeuille SP2'!#REF!,"S")</f>
        <v>#REF!</v>
      </c>
      <c r="C17" s="126" t="e">
        <f>SUMIFS('Portefeuille SP2'!#REF!,'Portefeuille SP2'!#REF!,1,'Portefeuille SP2'!$Q:$Q,"IN PROGRESS",'Portefeuille SP2'!#REF!,"G",'Portefeuille SP2'!$D:$D,$A17,'Portefeuille SP2'!#REF!,"S")</f>
        <v>#REF!</v>
      </c>
      <c r="D17" s="122" t="e">
        <f>SUMIFS('Portefeuille SP2'!#REF!,'Portefeuille SP2'!#REF!,1,'Portefeuille SP2'!$Q:$Q,"IN PROGRESS",'Portefeuille SP2'!#REF!,"G",'Portefeuille SP2'!$D:$D,$A17,'Portefeuille SP2'!#REF!,"S")</f>
        <v>#REF!</v>
      </c>
      <c r="E17" s="111" t="e">
        <f>SUMIFS('Portefeuille SP2'!$U:$U,'Portefeuille SP2'!#REF!,1,'Portefeuille SP2'!$Q:$Q,"IN PROGRESS",'Portefeuille SP2'!#REF!,"R",'Portefeuille SP2'!$D:$D,$A17,'Portefeuille SP2'!#REF!,"S")</f>
        <v>#REF!</v>
      </c>
      <c r="F17" s="126" t="e">
        <f>SUMIFS('Portefeuille SP2'!#REF!,'Portefeuille SP2'!#REF!,1,'Portefeuille SP2'!$Q:$Q,"IN PROGRESS",'Portefeuille SP2'!#REF!,"R",'Portefeuille SP2'!$D:$D,$A17,'Portefeuille SP2'!#REF!,"S")</f>
        <v>#REF!</v>
      </c>
      <c r="G17" s="117" t="e">
        <f>SUMIFS('Portefeuille SP2'!#REF!,'Portefeuille SP2'!#REF!,1,'Portefeuille SP2'!$Q:$Q,"IN PROGRESS",'Portefeuille SP2'!#REF!,"R",'Portefeuille SP2'!$D:$D,$A17,'Portefeuille SP2'!#REF!,"S")</f>
        <v>#REF!</v>
      </c>
      <c r="H17" s="111" t="e">
        <f>SUMIFS('Portefeuille SP2'!$U:$U,'Portefeuille SP2'!#REF!,1,'Portefeuille SP2'!$Q:$Q,"DECIDED",'Portefeuille SP2'!#REF!,"G",'Portefeuille SP2'!$D:$D,$A17,'Portefeuille SP2'!#REF!,"S",'Portefeuille SP2'!#REF!,"=")</f>
        <v>#REF!</v>
      </c>
      <c r="I17" s="117" t="e">
        <f>SUMIFS('Portefeuille SP2'!#REF!,'Portefeuille SP2'!#REF!,1,'Portefeuille SP2'!$Q:$Q,"DECIDED",'Portefeuille SP2'!#REF!,"G",'Portefeuille SP2'!$D:$D,$A17,'Portefeuille SP2'!#REF!,"S",'Portefeuille SP2'!#REF!,"=")</f>
        <v>#REF!</v>
      </c>
      <c r="J17" s="117" t="e">
        <f>SUMIFS('Portefeuille SP2'!#REF!,'Portefeuille SP2'!#REF!,1,'Portefeuille SP2'!$Q:$Q,"DECIDED",'Portefeuille SP2'!#REF!,"G",'Portefeuille SP2'!$D:$D,$A17,'Portefeuille SP2'!#REF!,"S",'Portefeuille SP2'!#REF!,"=")</f>
        <v>#REF!</v>
      </c>
      <c r="K17" s="111" t="e">
        <f>SUMIFS('Portefeuille SP2'!$U:$U,'Portefeuille SP2'!#REF!,1,'Portefeuille SP2'!$Q:$Q,"DECIDED",'Portefeuille SP2'!#REF!,"R",'Portefeuille SP2'!$D:$D,$A17,'Portefeuille SP2'!#REF!,"S",'Portefeuille SP2'!#REF!,"=")</f>
        <v>#REF!</v>
      </c>
      <c r="L17" s="126" t="e">
        <f>SUMIFS('Portefeuille SP2'!#REF!,'Portefeuille SP2'!#REF!,1,'Portefeuille SP2'!$Q:$Q,"DECIDED",'Portefeuille SP2'!#REF!,"R",'Portefeuille SP2'!$D:$D,$A17,'Portefeuille SP2'!#REF!,"S",'Portefeuille SP2'!#REF!,"=")</f>
        <v>#REF!</v>
      </c>
      <c r="M17" s="117" t="e">
        <f>SUMIFS('Portefeuille SP2'!#REF!,'Portefeuille SP2'!#REF!,1,'Portefeuille SP2'!$Q:$Q,"DECIDED",'Portefeuille SP2'!#REF!,"R",'Portefeuille SP2'!$D:$D,$A17,'Portefeuille SP2'!#REF!,"S",'Portefeuille SP2'!#REF!,"=")</f>
        <v>#REF!</v>
      </c>
      <c r="N17" s="111" t="e">
        <f>SUMIFS('Portefeuille SP2'!$U:$U,'Portefeuille SP2'!#REF!,1,'Portefeuille SP2'!$Q:$Q,"DECIDED",'Portefeuille SP2'!#REF!,"G",'Portefeuille SP2'!$D:$D,$A17,'Portefeuille SP2'!#REF!,"S",'Portefeuille SP2'!#REF!,"&lt;&gt;")</f>
        <v>#REF!</v>
      </c>
      <c r="O17" s="126" t="e">
        <f>SUMIFS('Portefeuille SP2'!#REF!,'Portefeuille SP2'!#REF!,1,'Portefeuille SP2'!$Q:$Q,"DECIDED",'Portefeuille SP2'!#REF!,"G",'Portefeuille SP2'!$D:$D,$A17,'Portefeuille SP2'!#REF!,"S",'Portefeuille SP2'!#REF!,"&lt;&gt;")</f>
        <v>#REF!</v>
      </c>
      <c r="P17" s="117" t="e">
        <f>SUMIFS('Portefeuille SP2'!#REF!,'Portefeuille SP2'!#REF!,1,'Portefeuille SP2'!$Q:$Q,"DECIDED",'Portefeuille SP2'!#REF!,"G",'Portefeuille SP2'!$D:$D,$A17,'Portefeuille SP2'!#REF!,"S",'Portefeuille SP2'!#REF!,"&lt;&gt;")</f>
        <v>#REF!</v>
      </c>
      <c r="Q17" s="111" t="e">
        <f>SUMIFS('Portefeuille SP2'!$U:$U,'Portefeuille SP2'!#REF!,1,'Portefeuille SP2'!$Q:$Q,"DECIDED",'Portefeuille SP2'!#REF!,"R",'Portefeuille SP2'!$D:$D,$A17,'Portefeuille SP2'!#REF!,"S",'Portefeuille SP2'!#REF!,"&lt;&gt;")</f>
        <v>#REF!</v>
      </c>
      <c r="R17" s="126" t="e">
        <f>SUMIFS('Portefeuille SP2'!#REF!,'Portefeuille SP2'!#REF!,1,'Portefeuille SP2'!$Q:$Q,"DECIDED",'Portefeuille SP2'!#REF!,"R",'Portefeuille SP2'!$D:$D,$A17,'Portefeuille SP2'!#REF!,"S",'Portefeuille SP2'!#REF!,"&lt;&gt;")</f>
        <v>#REF!</v>
      </c>
      <c r="S17" s="122" t="e">
        <f>SUMIFS('Portefeuille SP2'!#REF!,'Portefeuille SP2'!#REF!,1,'Portefeuille SP2'!$Q:$Q,"DECIDED",'Portefeuille SP2'!#REF!,"R",'Portefeuille SP2'!$D:$D,$A17,'Portefeuille SP2'!#REF!,"S",'Portefeuille SP2'!#REF!,"&lt;&gt;")</f>
        <v>#REF!</v>
      </c>
      <c r="U17" s="111" t="e">
        <f>SUMIFS('Portefeuille SP2'!$U:$U,'Portefeuille SP2'!#REF!,1,'Portefeuille SP2'!$Q:$Q,"IN PROGRESS",'Portefeuille SP2'!#REF!,"G",'Portefeuille SP2'!$D:$D,$A17,'Portefeuille SP2'!#REF!,"O")</f>
        <v>#REF!</v>
      </c>
      <c r="V17" s="126" t="e">
        <f>SUMIFS('Portefeuille SP2'!#REF!,'Portefeuille SP2'!#REF!,1,'Portefeuille SP2'!$Q:$Q,"IN PROGRESS",'Portefeuille SP2'!#REF!,"G",'Portefeuille SP2'!$D:$D,$A17,'Portefeuille SP2'!#REF!,"o")</f>
        <v>#REF!</v>
      </c>
      <c r="W17" s="117" t="e">
        <f>SUMIFS('Portefeuille SP2'!#REF!,'Portefeuille SP2'!#REF!,1,'Portefeuille SP2'!$Q:$Q,"IN PROGRESS",'Portefeuille SP2'!#REF!,"G",'Portefeuille SP2'!$D:$D,$A17,'Portefeuille SP2'!#REF!,"o")</f>
        <v>#REF!</v>
      </c>
      <c r="X17" s="111" t="e">
        <f>SUMIFS('Portefeuille SP2'!$U:$U,'Portefeuille SP2'!#REF!,1,'Portefeuille SP2'!$Q:$Q,"IN PROGRESS",'Portefeuille SP2'!#REF!,"R",'Portefeuille SP2'!$D:$D,$A17,'Portefeuille SP2'!#REF!,"o")</f>
        <v>#REF!</v>
      </c>
      <c r="Y17" s="126" t="e">
        <f>SUMIFS('Portefeuille SP2'!#REF!,'Portefeuille SP2'!#REF!,1,'Portefeuille SP2'!$Q:$Q,"IN PROGRESS",'Portefeuille SP2'!#REF!,"R",'Portefeuille SP2'!$D:$D,$A17,'Portefeuille SP2'!#REF!,"o")</f>
        <v>#REF!</v>
      </c>
      <c r="Z17" s="117" t="e">
        <f>SUMIFS('Portefeuille SP2'!#REF!,'Portefeuille SP2'!#REF!,1,'Portefeuille SP2'!$Q:$Q,"IN PROGRESS",'Portefeuille SP2'!#REF!,"R",'Portefeuille SP2'!$D:$D,$A17,'Portefeuille SP2'!#REF!,"o")</f>
        <v>#REF!</v>
      </c>
      <c r="AA17" s="111" t="e">
        <f>SUMIFS('Portefeuille SP2'!$U:$U,'Portefeuille SP2'!#REF!,1,'Portefeuille SP2'!$Q:$Q,"DECIDED",'Portefeuille SP2'!#REF!,"G",'Portefeuille SP2'!$D:$D,$A17,'Portefeuille SP2'!#REF!,"o",'Portefeuille SP2'!#REF!,"=")</f>
        <v>#REF!</v>
      </c>
      <c r="AB17" s="126" t="e">
        <f>SUMIFS('Portefeuille SP2'!#REF!,'Portefeuille SP2'!#REF!,1,'Portefeuille SP2'!$Q:$Q,"DECIDED",'Portefeuille SP2'!#REF!,"G",'Portefeuille SP2'!$D:$D,$A17,'Portefeuille SP2'!#REF!,"o",'Portefeuille SP2'!#REF!,"=")</f>
        <v>#REF!</v>
      </c>
      <c r="AC17" s="117" t="e">
        <f>SUMIFS('Portefeuille SP2'!#REF!,'Portefeuille SP2'!#REF!,1,'Portefeuille SP2'!$Q:$Q,"DECIDED",'Portefeuille SP2'!#REF!,"G",'Portefeuille SP2'!$D:$D,$A17,'Portefeuille SP2'!#REF!,"o",'Portefeuille SP2'!#REF!,"=")</f>
        <v>#REF!</v>
      </c>
      <c r="AD17" s="111" t="e">
        <f>SUMIFS('Portefeuille SP2'!$U:$U,'Portefeuille SP2'!#REF!,1,'Portefeuille SP2'!$Q:$Q,"DECIDED",'Portefeuille SP2'!#REF!,"R",'Portefeuille SP2'!$D:$D,$A17,'Portefeuille SP2'!#REF!,"o",'Portefeuille SP2'!#REF!,"=")</f>
        <v>#REF!</v>
      </c>
      <c r="AE17" s="126" t="e">
        <f>SUMIFS('Portefeuille SP2'!#REF!,'Portefeuille SP2'!#REF!,1,'Portefeuille SP2'!$Q:$Q,"DECIDED",'Portefeuille SP2'!#REF!,"R",'Portefeuille SP2'!$D:$D,$A17,'Portefeuille SP2'!#REF!,"o",'Portefeuille SP2'!#REF!,"=")</f>
        <v>#REF!</v>
      </c>
      <c r="AF17" s="117" t="e">
        <f>SUMIFS('Portefeuille SP2'!#REF!,'Portefeuille SP2'!#REF!,1,'Portefeuille SP2'!$Q:$Q,"DECIDED",'Portefeuille SP2'!#REF!,"R",'Portefeuille SP2'!$D:$D,$A17,'Portefeuille SP2'!#REF!,"o",'Portefeuille SP2'!#REF!,"=")</f>
        <v>#REF!</v>
      </c>
      <c r="AG17" s="111" t="e">
        <f>SUMIFS('Portefeuille SP2'!$U:$U,'Portefeuille SP2'!#REF!,1,'Portefeuille SP2'!$Q:$Q,"DECIDED",'Portefeuille SP2'!#REF!,"G",'Portefeuille SP2'!$D:$D,$A17,'Portefeuille SP2'!#REF!,"o",'Portefeuille SP2'!#REF!,"&lt;&gt;")</f>
        <v>#REF!</v>
      </c>
      <c r="AH17" s="126" t="e">
        <f>SUMIFS('Portefeuille SP2'!#REF!,'Portefeuille SP2'!#REF!,1,'Portefeuille SP2'!$Q:$Q,"DECIDED",'Portefeuille SP2'!#REF!,"G",'Portefeuille SP2'!$D:$D,$A17,'Portefeuille SP2'!#REF!,"o",'Portefeuille SP2'!#REF!,"&lt;&gt;")</f>
        <v>#REF!</v>
      </c>
      <c r="AI17" s="117" t="e">
        <f>SUMIFS('Portefeuille SP2'!#REF!,'Portefeuille SP2'!#REF!,1,'Portefeuille SP2'!$Q:$Q,"DECIDED",'Portefeuille SP2'!#REF!,"G",'Portefeuille SP2'!$D:$D,$A17,'Portefeuille SP2'!#REF!,"o",'Portefeuille SP2'!#REF!,"&lt;&gt;")</f>
        <v>#REF!</v>
      </c>
      <c r="AJ17" s="111" t="e">
        <f>SUMIFS('Portefeuille SP2'!$U:$U,'Portefeuille SP2'!#REF!,1,'Portefeuille SP2'!$Q:$Q,"DECIDED",'Portefeuille SP2'!#REF!,"R",'Portefeuille SP2'!$D:$D,$A17,'Portefeuille SP2'!#REF!,"o",'Portefeuille SP2'!#REF!,"&lt;&gt;")</f>
        <v>#REF!</v>
      </c>
      <c r="AK17" s="126" t="e">
        <f>SUMIFS('Portefeuille SP2'!#REF!,'Portefeuille SP2'!#REF!,1,'Portefeuille SP2'!$Q:$Q,"DECIDED",'Portefeuille SP2'!#REF!,"R",'Portefeuille SP2'!$D:$D,$A17,'Portefeuille SP2'!#REF!,"o",'Portefeuille SP2'!#REF!,"&lt;&gt;")</f>
        <v>#REF!</v>
      </c>
      <c r="AL17" s="117" t="e">
        <f>SUMIFS('Portefeuille SP2'!#REF!,'Portefeuille SP2'!#REF!,1,'Portefeuille SP2'!$Q:$Q,"DECIDED",'Portefeuille SP2'!#REF!,"R",'Portefeuille SP2'!$D:$D,$A17,'Portefeuille SP2'!#REF!,"o",'Portefeuille SP2'!#REF!,"&lt;&gt;")</f>
        <v>#REF!</v>
      </c>
      <c r="AM17" s="117"/>
    </row>
    <row r="18" spans="1:42" outlineLevel="1">
      <c r="A18" t="s">
        <v>1323</v>
      </c>
      <c r="B18" s="139" t="e">
        <f>SUMIFS('Portefeuille SP2'!$U:$U,'Portefeuille SP2'!#REF!,1,'Portefeuille SP2'!$Q:$Q,"IN PROGRESS",'Portefeuille SP2'!#REF!,"G",'Portefeuille SP2'!$D:$D,$A18,'Portefeuille SP2'!#REF!,"S")</f>
        <v>#REF!</v>
      </c>
      <c r="C18" s="126" t="e">
        <f>SUMIFS('Portefeuille SP2'!#REF!,'Portefeuille SP2'!#REF!,1,'Portefeuille SP2'!$Q:$Q,"IN PROGRESS",'Portefeuille SP2'!#REF!,"G",'Portefeuille SP2'!$D:$D,$A18,'Portefeuille SP2'!#REF!,"S")</f>
        <v>#REF!</v>
      </c>
      <c r="D18" s="122" t="e">
        <f>SUMIFS('Portefeuille SP2'!#REF!,'Portefeuille SP2'!#REF!,1,'Portefeuille SP2'!$Q:$Q,"IN PROGRESS",'Portefeuille SP2'!#REF!,"G",'Portefeuille SP2'!$D:$D,$A18,'Portefeuille SP2'!#REF!,"S")</f>
        <v>#REF!</v>
      </c>
      <c r="E18" s="111" t="e">
        <f>SUMIFS('Portefeuille SP2'!$U:$U,'Portefeuille SP2'!#REF!,1,'Portefeuille SP2'!$Q:$Q,"IN PROGRESS",'Portefeuille SP2'!#REF!,"R",'Portefeuille SP2'!$D:$D,$A18,'Portefeuille SP2'!#REF!,"S")</f>
        <v>#REF!</v>
      </c>
      <c r="F18" s="126" t="e">
        <f>SUMIFS('Portefeuille SP2'!#REF!,'Portefeuille SP2'!#REF!,1,'Portefeuille SP2'!$Q:$Q,"IN PROGRESS",'Portefeuille SP2'!#REF!,"R",'Portefeuille SP2'!$D:$D,$A18,'Portefeuille SP2'!#REF!,"S")</f>
        <v>#REF!</v>
      </c>
      <c r="G18" s="117" t="e">
        <f>SUMIFS('Portefeuille SP2'!#REF!,'Portefeuille SP2'!#REF!,1,'Portefeuille SP2'!$Q:$Q,"IN PROGRESS",'Portefeuille SP2'!#REF!,"R",'Portefeuille SP2'!$D:$D,$A18,'Portefeuille SP2'!#REF!,"S")</f>
        <v>#REF!</v>
      </c>
      <c r="H18" s="111" t="e">
        <f>SUMIFS('Portefeuille SP2'!$U:$U,'Portefeuille SP2'!#REF!,1,'Portefeuille SP2'!$Q:$Q,"DECIDED",'Portefeuille SP2'!#REF!,"G",'Portefeuille SP2'!$D:$D,$A18,'Portefeuille SP2'!#REF!,"S",'Portefeuille SP2'!#REF!,"=")</f>
        <v>#REF!</v>
      </c>
      <c r="I18" s="117" t="e">
        <f>SUMIFS('Portefeuille SP2'!#REF!,'Portefeuille SP2'!#REF!,1,'Portefeuille SP2'!$Q:$Q,"DECIDED",'Portefeuille SP2'!#REF!,"G",'Portefeuille SP2'!$D:$D,$A18,'Portefeuille SP2'!#REF!,"S",'Portefeuille SP2'!#REF!,"=")</f>
        <v>#REF!</v>
      </c>
      <c r="J18" s="117" t="e">
        <f>SUMIFS('Portefeuille SP2'!#REF!,'Portefeuille SP2'!#REF!,1,'Portefeuille SP2'!$Q:$Q,"DECIDED",'Portefeuille SP2'!#REF!,"G",'Portefeuille SP2'!$D:$D,$A18,'Portefeuille SP2'!#REF!,"S",'Portefeuille SP2'!#REF!,"=")</f>
        <v>#REF!</v>
      </c>
      <c r="K18" s="111" t="e">
        <f>SUMIFS('Portefeuille SP2'!$U:$U,'Portefeuille SP2'!#REF!,1,'Portefeuille SP2'!$Q:$Q,"DECIDED",'Portefeuille SP2'!#REF!,"R",'Portefeuille SP2'!$D:$D,$A18,'Portefeuille SP2'!#REF!,"S",'Portefeuille SP2'!#REF!,"=")</f>
        <v>#REF!</v>
      </c>
      <c r="L18" s="126" t="e">
        <f>SUMIFS('Portefeuille SP2'!#REF!,'Portefeuille SP2'!#REF!,1,'Portefeuille SP2'!$Q:$Q,"DECIDED",'Portefeuille SP2'!#REF!,"R",'Portefeuille SP2'!$D:$D,$A18,'Portefeuille SP2'!#REF!,"S",'Portefeuille SP2'!#REF!,"=")</f>
        <v>#REF!</v>
      </c>
      <c r="M18" s="117" t="e">
        <f>SUMIFS('Portefeuille SP2'!#REF!,'Portefeuille SP2'!#REF!,1,'Portefeuille SP2'!$Q:$Q,"DECIDED",'Portefeuille SP2'!#REF!,"R",'Portefeuille SP2'!$D:$D,$A18,'Portefeuille SP2'!#REF!,"S",'Portefeuille SP2'!#REF!,"=")</f>
        <v>#REF!</v>
      </c>
      <c r="N18" s="111" t="e">
        <f>SUMIFS('Portefeuille SP2'!$U:$U,'Portefeuille SP2'!#REF!,1,'Portefeuille SP2'!$Q:$Q,"DECIDED",'Portefeuille SP2'!#REF!,"G",'Portefeuille SP2'!$D:$D,$A18,'Portefeuille SP2'!#REF!,"S",'Portefeuille SP2'!#REF!,"&lt;&gt;")</f>
        <v>#REF!</v>
      </c>
      <c r="O18" s="126" t="e">
        <f>SUMIFS('Portefeuille SP2'!#REF!,'Portefeuille SP2'!#REF!,1,'Portefeuille SP2'!$Q:$Q,"DECIDED",'Portefeuille SP2'!#REF!,"G",'Portefeuille SP2'!$D:$D,$A18,'Portefeuille SP2'!#REF!,"S",'Portefeuille SP2'!#REF!,"&lt;&gt;")</f>
        <v>#REF!</v>
      </c>
      <c r="P18" s="117" t="e">
        <f>SUMIFS('Portefeuille SP2'!#REF!,'Portefeuille SP2'!#REF!,1,'Portefeuille SP2'!$Q:$Q,"DECIDED",'Portefeuille SP2'!#REF!,"G",'Portefeuille SP2'!$D:$D,$A18,'Portefeuille SP2'!#REF!,"S",'Portefeuille SP2'!#REF!,"&lt;&gt;")</f>
        <v>#REF!</v>
      </c>
      <c r="Q18" s="111" t="e">
        <f>SUMIFS('Portefeuille SP2'!$U:$U,'Portefeuille SP2'!#REF!,1,'Portefeuille SP2'!$Q:$Q,"DECIDED",'Portefeuille SP2'!#REF!,"R",'Portefeuille SP2'!$D:$D,$A18,'Portefeuille SP2'!#REF!,"S",'Portefeuille SP2'!#REF!,"&lt;&gt;")</f>
        <v>#REF!</v>
      </c>
      <c r="R18" s="126" t="e">
        <f>SUMIFS('Portefeuille SP2'!#REF!,'Portefeuille SP2'!#REF!,1,'Portefeuille SP2'!$Q:$Q,"DECIDED",'Portefeuille SP2'!#REF!,"R",'Portefeuille SP2'!$D:$D,$A18,'Portefeuille SP2'!#REF!,"S",'Portefeuille SP2'!#REF!,"&lt;&gt;")</f>
        <v>#REF!</v>
      </c>
      <c r="S18" s="122" t="e">
        <f>SUMIFS('Portefeuille SP2'!#REF!,'Portefeuille SP2'!#REF!,1,'Portefeuille SP2'!$Q:$Q,"DECIDED",'Portefeuille SP2'!#REF!,"R",'Portefeuille SP2'!$D:$D,$A18,'Portefeuille SP2'!#REF!,"S",'Portefeuille SP2'!#REF!,"&lt;&gt;")</f>
        <v>#REF!</v>
      </c>
      <c r="U18" s="111" t="e">
        <f>SUMIFS('Portefeuille SP2'!$U:$U,'Portefeuille SP2'!#REF!,1,'Portefeuille SP2'!$Q:$Q,"IN PROGRESS",'Portefeuille SP2'!#REF!,"G",'Portefeuille SP2'!$D:$D,$A18,'Portefeuille SP2'!#REF!,"O")</f>
        <v>#REF!</v>
      </c>
      <c r="V18" s="126" t="e">
        <f>SUMIFS('Portefeuille SP2'!#REF!,'Portefeuille SP2'!#REF!,1,'Portefeuille SP2'!$Q:$Q,"IN PROGRESS",'Portefeuille SP2'!#REF!,"G",'Portefeuille SP2'!$D:$D,$A18,'Portefeuille SP2'!#REF!,"o")</f>
        <v>#REF!</v>
      </c>
      <c r="W18" s="117" t="e">
        <f>SUMIFS('Portefeuille SP2'!#REF!,'Portefeuille SP2'!#REF!,1,'Portefeuille SP2'!$Q:$Q,"IN PROGRESS",'Portefeuille SP2'!#REF!,"G",'Portefeuille SP2'!$D:$D,$A18,'Portefeuille SP2'!#REF!,"o")</f>
        <v>#REF!</v>
      </c>
      <c r="X18" s="111" t="e">
        <f>SUMIFS('Portefeuille SP2'!$U:$U,'Portefeuille SP2'!#REF!,1,'Portefeuille SP2'!$Q:$Q,"IN PROGRESS",'Portefeuille SP2'!#REF!,"R",'Portefeuille SP2'!$D:$D,$A18,'Portefeuille SP2'!#REF!,"o")</f>
        <v>#REF!</v>
      </c>
      <c r="Y18" s="126" t="e">
        <f>SUMIFS('Portefeuille SP2'!#REF!,'Portefeuille SP2'!#REF!,1,'Portefeuille SP2'!$Q:$Q,"IN PROGRESS",'Portefeuille SP2'!#REF!,"R",'Portefeuille SP2'!$D:$D,$A18,'Portefeuille SP2'!#REF!,"o")</f>
        <v>#REF!</v>
      </c>
      <c r="Z18" s="117" t="e">
        <f>SUMIFS('Portefeuille SP2'!#REF!,'Portefeuille SP2'!#REF!,1,'Portefeuille SP2'!$Q:$Q,"IN PROGRESS",'Portefeuille SP2'!#REF!,"R",'Portefeuille SP2'!$D:$D,$A18,'Portefeuille SP2'!#REF!,"o")</f>
        <v>#REF!</v>
      </c>
      <c r="AA18" s="111" t="e">
        <f>SUMIFS('Portefeuille SP2'!$U:$U,'Portefeuille SP2'!#REF!,1,'Portefeuille SP2'!$Q:$Q,"DECIDED",'Portefeuille SP2'!#REF!,"G",'Portefeuille SP2'!$D:$D,$A18,'Portefeuille SP2'!#REF!,"o",'Portefeuille SP2'!#REF!,"=")</f>
        <v>#REF!</v>
      </c>
      <c r="AB18" s="126" t="e">
        <f>SUMIFS('Portefeuille SP2'!#REF!,'Portefeuille SP2'!#REF!,1,'Portefeuille SP2'!$Q:$Q,"DECIDED",'Portefeuille SP2'!#REF!,"G",'Portefeuille SP2'!$D:$D,$A18,'Portefeuille SP2'!#REF!,"o",'Portefeuille SP2'!#REF!,"=")</f>
        <v>#REF!</v>
      </c>
      <c r="AC18" s="117" t="e">
        <f>SUMIFS('Portefeuille SP2'!#REF!,'Portefeuille SP2'!#REF!,1,'Portefeuille SP2'!$Q:$Q,"DECIDED",'Portefeuille SP2'!#REF!,"G",'Portefeuille SP2'!$D:$D,$A18,'Portefeuille SP2'!#REF!,"o",'Portefeuille SP2'!#REF!,"=")</f>
        <v>#REF!</v>
      </c>
      <c r="AD18" s="111" t="e">
        <f>SUMIFS('Portefeuille SP2'!$U:$U,'Portefeuille SP2'!#REF!,1,'Portefeuille SP2'!$Q:$Q,"DECIDED",'Portefeuille SP2'!#REF!,"R",'Portefeuille SP2'!$D:$D,$A18,'Portefeuille SP2'!#REF!,"o",'Portefeuille SP2'!#REF!,"=")</f>
        <v>#REF!</v>
      </c>
      <c r="AE18" s="126" t="e">
        <f>SUMIFS('Portefeuille SP2'!#REF!,'Portefeuille SP2'!#REF!,1,'Portefeuille SP2'!$Q:$Q,"DECIDED",'Portefeuille SP2'!#REF!,"R",'Portefeuille SP2'!$D:$D,$A18,'Portefeuille SP2'!#REF!,"o",'Portefeuille SP2'!#REF!,"=")</f>
        <v>#REF!</v>
      </c>
      <c r="AF18" s="117" t="e">
        <f>SUMIFS('Portefeuille SP2'!#REF!,'Portefeuille SP2'!#REF!,1,'Portefeuille SP2'!$Q:$Q,"DECIDED",'Portefeuille SP2'!#REF!,"R",'Portefeuille SP2'!$D:$D,$A18,'Portefeuille SP2'!#REF!,"o",'Portefeuille SP2'!#REF!,"=")</f>
        <v>#REF!</v>
      </c>
      <c r="AG18" s="111" t="e">
        <f>SUMIFS('Portefeuille SP2'!$U:$U,'Portefeuille SP2'!#REF!,1,'Portefeuille SP2'!$Q:$Q,"DECIDED",'Portefeuille SP2'!#REF!,"G",'Portefeuille SP2'!$D:$D,$A18,'Portefeuille SP2'!#REF!,"o",'Portefeuille SP2'!#REF!,"&lt;&gt;")</f>
        <v>#REF!</v>
      </c>
      <c r="AH18" s="126" t="e">
        <f>SUMIFS('Portefeuille SP2'!#REF!,'Portefeuille SP2'!#REF!,1,'Portefeuille SP2'!$Q:$Q,"DECIDED",'Portefeuille SP2'!#REF!,"G",'Portefeuille SP2'!$D:$D,$A18,'Portefeuille SP2'!#REF!,"o",'Portefeuille SP2'!#REF!,"&lt;&gt;")</f>
        <v>#REF!</v>
      </c>
      <c r="AI18" s="117" t="e">
        <f>SUMIFS('Portefeuille SP2'!#REF!,'Portefeuille SP2'!#REF!,1,'Portefeuille SP2'!$Q:$Q,"DECIDED",'Portefeuille SP2'!#REF!,"G",'Portefeuille SP2'!$D:$D,$A18,'Portefeuille SP2'!#REF!,"o",'Portefeuille SP2'!#REF!,"&lt;&gt;")</f>
        <v>#REF!</v>
      </c>
      <c r="AJ18" s="111" t="e">
        <f>SUMIFS('Portefeuille SP2'!$U:$U,'Portefeuille SP2'!#REF!,1,'Portefeuille SP2'!$Q:$Q,"DECIDED",'Portefeuille SP2'!#REF!,"R",'Portefeuille SP2'!$D:$D,$A18,'Portefeuille SP2'!#REF!,"o",'Portefeuille SP2'!#REF!,"&lt;&gt;")</f>
        <v>#REF!</v>
      </c>
      <c r="AK18" s="126" t="e">
        <f>SUMIFS('Portefeuille SP2'!#REF!,'Portefeuille SP2'!#REF!,1,'Portefeuille SP2'!$Q:$Q,"DECIDED",'Portefeuille SP2'!#REF!,"R",'Portefeuille SP2'!$D:$D,$A18,'Portefeuille SP2'!#REF!,"o",'Portefeuille SP2'!#REF!,"&lt;&gt;")</f>
        <v>#REF!</v>
      </c>
      <c r="AL18" s="117" t="e">
        <f>SUMIFS('Portefeuille SP2'!#REF!,'Portefeuille SP2'!#REF!,1,'Portefeuille SP2'!$Q:$Q,"DECIDED",'Portefeuille SP2'!#REF!,"R",'Portefeuille SP2'!$D:$D,$A18,'Portefeuille SP2'!#REF!,"o",'Portefeuille SP2'!#REF!,"&lt;&gt;")</f>
        <v>#REF!</v>
      </c>
      <c r="AM18" s="117"/>
    </row>
    <row r="19" spans="1:42" outlineLevel="1">
      <c r="A19" t="s">
        <v>1316</v>
      </c>
      <c r="B19" s="139" t="e">
        <f>SUMIFS('Portefeuille SP2'!$U:$U,'Portefeuille SP2'!#REF!,1,'Portefeuille SP2'!$Q:$Q,"IN PROGRESS",'Portefeuille SP2'!#REF!,"G",'Portefeuille SP2'!$D:$D,$A19,'Portefeuille SP2'!#REF!,"S")</f>
        <v>#REF!</v>
      </c>
      <c r="C19" s="126" t="e">
        <f>SUMIFS('Portefeuille SP2'!#REF!,'Portefeuille SP2'!#REF!,1,'Portefeuille SP2'!$Q:$Q,"IN PROGRESS",'Portefeuille SP2'!#REF!,"G",'Portefeuille SP2'!$D:$D,$A19,'Portefeuille SP2'!#REF!,"S")</f>
        <v>#REF!</v>
      </c>
      <c r="D19" s="122" t="e">
        <f>SUMIFS('Portefeuille SP2'!#REF!,'Portefeuille SP2'!#REF!,1,'Portefeuille SP2'!$Q:$Q,"IN PROGRESS",'Portefeuille SP2'!#REF!,"G",'Portefeuille SP2'!$D:$D,$A19,'Portefeuille SP2'!#REF!,"S")</f>
        <v>#REF!</v>
      </c>
      <c r="E19" s="111" t="e">
        <f>SUMIFS('Portefeuille SP2'!$U:$U,'Portefeuille SP2'!#REF!,1,'Portefeuille SP2'!$Q:$Q,"IN PROGRESS",'Portefeuille SP2'!#REF!,"R",'Portefeuille SP2'!$D:$D,$A19,'Portefeuille SP2'!#REF!,"S")</f>
        <v>#REF!</v>
      </c>
      <c r="F19" s="126" t="e">
        <f>SUMIFS('Portefeuille SP2'!#REF!,'Portefeuille SP2'!#REF!,1,'Portefeuille SP2'!$Q:$Q,"IN PROGRESS",'Portefeuille SP2'!#REF!,"R",'Portefeuille SP2'!$D:$D,$A19,'Portefeuille SP2'!#REF!,"S")</f>
        <v>#REF!</v>
      </c>
      <c r="G19" s="117" t="e">
        <f>SUMIFS('Portefeuille SP2'!#REF!,'Portefeuille SP2'!#REF!,1,'Portefeuille SP2'!$Q:$Q,"IN PROGRESS",'Portefeuille SP2'!#REF!,"R",'Portefeuille SP2'!$D:$D,$A19,'Portefeuille SP2'!#REF!,"S")</f>
        <v>#REF!</v>
      </c>
      <c r="H19" s="111" t="e">
        <f>SUMIFS('Portefeuille SP2'!$U:$U,'Portefeuille SP2'!#REF!,1,'Portefeuille SP2'!$Q:$Q,"DECIDED",'Portefeuille SP2'!#REF!,"G",'Portefeuille SP2'!$D:$D,$A19,'Portefeuille SP2'!#REF!,"S",'Portefeuille SP2'!#REF!,"=")</f>
        <v>#REF!</v>
      </c>
      <c r="I19" s="117" t="e">
        <f>SUMIFS('Portefeuille SP2'!#REF!,'Portefeuille SP2'!#REF!,1,'Portefeuille SP2'!$Q:$Q,"DECIDED",'Portefeuille SP2'!#REF!,"G",'Portefeuille SP2'!$D:$D,$A19,'Portefeuille SP2'!#REF!,"S",'Portefeuille SP2'!#REF!,"=")</f>
        <v>#REF!</v>
      </c>
      <c r="J19" s="117" t="e">
        <f>SUMIFS('Portefeuille SP2'!#REF!,'Portefeuille SP2'!#REF!,1,'Portefeuille SP2'!$Q:$Q,"DECIDED",'Portefeuille SP2'!#REF!,"G",'Portefeuille SP2'!$D:$D,$A19,'Portefeuille SP2'!#REF!,"S",'Portefeuille SP2'!#REF!,"=")</f>
        <v>#REF!</v>
      </c>
      <c r="K19" s="111" t="e">
        <f>SUMIFS('Portefeuille SP2'!$U:$U,'Portefeuille SP2'!#REF!,1,'Portefeuille SP2'!$Q:$Q,"DECIDED",'Portefeuille SP2'!#REF!,"R",'Portefeuille SP2'!$D:$D,$A19,'Portefeuille SP2'!#REF!,"S",'Portefeuille SP2'!#REF!,"=")</f>
        <v>#REF!</v>
      </c>
      <c r="L19" s="126" t="e">
        <f>SUMIFS('Portefeuille SP2'!#REF!,'Portefeuille SP2'!#REF!,1,'Portefeuille SP2'!$Q:$Q,"DECIDED",'Portefeuille SP2'!#REF!,"R",'Portefeuille SP2'!$D:$D,$A19,'Portefeuille SP2'!#REF!,"S",'Portefeuille SP2'!#REF!,"=")</f>
        <v>#REF!</v>
      </c>
      <c r="M19" s="117" t="e">
        <f>SUMIFS('Portefeuille SP2'!#REF!,'Portefeuille SP2'!#REF!,1,'Portefeuille SP2'!$Q:$Q,"DECIDED",'Portefeuille SP2'!#REF!,"R",'Portefeuille SP2'!$D:$D,$A19,'Portefeuille SP2'!#REF!,"S",'Portefeuille SP2'!#REF!,"=")</f>
        <v>#REF!</v>
      </c>
      <c r="N19" s="111" t="e">
        <f>SUMIFS('Portefeuille SP2'!$U:$U,'Portefeuille SP2'!#REF!,1,'Portefeuille SP2'!$Q:$Q,"DECIDED",'Portefeuille SP2'!#REF!,"G",'Portefeuille SP2'!$D:$D,$A19,'Portefeuille SP2'!#REF!,"S",'Portefeuille SP2'!#REF!,"&lt;&gt;")</f>
        <v>#REF!</v>
      </c>
      <c r="O19" s="126" t="e">
        <f>SUMIFS('Portefeuille SP2'!#REF!,'Portefeuille SP2'!#REF!,1,'Portefeuille SP2'!$Q:$Q,"DECIDED",'Portefeuille SP2'!#REF!,"G",'Portefeuille SP2'!$D:$D,$A19,'Portefeuille SP2'!#REF!,"S",'Portefeuille SP2'!#REF!,"&lt;&gt;")</f>
        <v>#REF!</v>
      </c>
      <c r="P19" s="117" t="e">
        <f>SUMIFS('Portefeuille SP2'!#REF!,'Portefeuille SP2'!#REF!,1,'Portefeuille SP2'!$Q:$Q,"DECIDED",'Portefeuille SP2'!#REF!,"G",'Portefeuille SP2'!$D:$D,$A19,'Portefeuille SP2'!#REF!,"S",'Portefeuille SP2'!#REF!,"&lt;&gt;")</f>
        <v>#REF!</v>
      </c>
      <c r="Q19" s="111" t="e">
        <f>SUMIFS('Portefeuille SP2'!$U:$U,'Portefeuille SP2'!#REF!,1,'Portefeuille SP2'!$Q:$Q,"DECIDED",'Portefeuille SP2'!#REF!,"R",'Portefeuille SP2'!$D:$D,$A19,'Portefeuille SP2'!#REF!,"S",'Portefeuille SP2'!#REF!,"&lt;&gt;")</f>
        <v>#REF!</v>
      </c>
      <c r="R19" s="126" t="e">
        <f>SUMIFS('Portefeuille SP2'!#REF!,'Portefeuille SP2'!#REF!,1,'Portefeuille SP2'!$Q:$Q,"DECIDED",'Portefeuille SP2'!#REF!,"R",'Portefeuille SP2'!$D:$D,$A19,'Portefeuille SP2'!#REF!,"S",'Portefeuille SP2'!#REF!,"&lt;&gt;")</f>
        <v>#REF!</v>
      </c>
      <c r="S19" s="122" t="e">
        <f>SUMIFS('Portefeuille SP2'!#REF!,'Portefeuille SP2'!#REF!,1,'Portefeuille SP2'!$Q:$Q,"DECIDED",'Portefeuille SP2'!#REF!,"R",'Portefeuille SP2'!$D:$D,$A19,'Portefeuille SP2'!#REF!,"S",'Portefeuille SP2'!#REF!,"&lt;&gt;")</f>
        <v>#REF!</v>
      </c>
      <c r="U19" s="111" t="e">
        <f>SUMIFS('Portefeuille SP2'!$U:$U,'Portefeuille SP2'!#REF!,1,'Portefeuille SP2'!$Q:$Q,"IN PROGRESS",'Portefeuille SP2'!#REF!,"G",'Portefeuille SP2'!$D:$D,$A19,'Portefeuille SP2'!#REF!,"O")</f>
        <v>#REF!</v>
      </c>
      <c r="V19" s="126" t="e">
        <f>SUMIFS('Portefeuille SP2'!#REF!,'Portefeuille SP2'!#REF!,1,'Portefeuille SP2'!$Q:$Q,"IN PROGRESS",'Portefeuille SP2'!#REF!,"G",'Portefeuille SP2'!$D:$D,$A19,'Portefeuille SP2'!#REF!,"o")</f>
        <v>#REF!</v>
      </c>
      <c r="W19" s="117" t="e">
        <f>SUMIFS('Portefeuille SP2'!#REF!,'Portefeuille SP2'!#REF!,1,'Portefeuille SP2'!$Q:$Q,"IN PROGRESS",'Portefeuille SP2'!#REF!,"G",'Portefeuille SP2'!$D:$D,$A19,'Portefeuille SP2'!#REF!,"o")</f>
        <v>#REF!</v>
      </c>
      <c r="X19" s="111" t="e">
        <f>SUMIFS('Portefeuille SP2'!$U:$U,'Portefeuille SP2'!#REF!,1,'Portefeuille SP2'!$Q:$Q,"IN PROGRESS",'Portefeuille SP2'!#REF!,"R",'Portefeuille SP2'!$D:$D,$A19,'Portefeuille SP2'!#REF!,"o")</f>
        <v>#REF!</v>
      </c>
      <c r="Y19" s="126" t="e">
        <f>SUMIFS('Portefeuille SP2'!#REF!,'Portefeuille SP2'!#REF!,1,'Portefeuille SP2'!$Q:$Q,"IN PROGRESS",'Portefeuille SP2'!#REF!,"R",'Portefeuille SP2'!$D:$D,$A19,'Portefeuille SP2'!#REF!,"o")</f>
        <v>#REF!</v>
      </c>
      <c r="Z19" s="117" t="e">
        <f>SUMIFS('Portefeuille SP2'!#REF!,'Portefeuille SP2'!#REF!,1,'Portefeuille SP2'!$Q:$Q,"IN PROGRESS",'Portefeuille SP2'!#REF!,"R",'Portefeuille SP2'!$D:$D,$A19,'Portefeuille SP2'!#REF!,"o")</f>
        <v>#REF!</v>
      </c>
      <c r="AA19" s="111" t="e">
        <f>SUMIFS('Portefeuille SP2'!$U:$U,'Portefeuille SP2'!#REF!,1,'Portefeuille SP2'!$Q:$Q,"DECIDED",'Portefeuille SP2'!#REF!,"G",'Portefeuille SP2'!$D:$D,$A19,'Portefeuille SP2'!#REF!,"o",'Portefeuille SP2'!#REF!,"=")</f>
        <v>#REF!</v>
      </c>
      <c r="AB19" s="126" t="e">
        <f>SUMIFS('Portefeuille SP2'!#REF!,'Portefeuille SP2'!#REF!,1,'Portefeuille SP2'!$Q:$Q,"DECIDED",'Portefeuille SP2'!#REF!,"G",'Portefeuille SP2'!$D:$D,$A19,'Portefeuille SP2'!#REF!,"o",'Portefeuille SP2'!#REF!,"=")</f>
        <v>#REF!</v>
      </c>
      <c r="AC19" s="117" t="e">
        <f>SUMIFS('Portefeuille SP2'!#REF!,'Portefeuille SP2'!#REF!,1,'Portefeuille SP2'!$Q:$Q,"DECIDED",'Portefeuille SP2'!#REF!,"G",'Portefeuille SP2'!$D:$D,$A19,'Portefeuille SP2'!#REF!,"o",'Portefeuille SP2'!#REF!,"=")</f>
        <v>#REF!</v>
      </c>
      <c r="AD19" s="111" t="e">
        <f>SUMIFS('Portefeuille SP2'!$U:$U,'Portefeuille SP2'!#REF!,1,'Portefeuille SP2'!$Q:$Q,"DECIDED",'Portefeuille SP2'!#REF!,"R",'Portefeuille SP2'!$D:$D,$A19,'Portefeuille SP2'!#REF!,"o",'Portefeuille SP2'!#REF!,"=")</f>
        <v>#REF!</v>
      </c>
      <c r="AE19" s="126" t="e">
        <f>SUMIFS('Portefeuille SP2'!#REF!,'Portefeuille SP2'!#REF!,1,'Portefeuille SP2'!$Q:$Q,"DECIDED",'Portefeuille SP2'!#REF!,"R",'Portefeuille SP2'!$D:$D,$A19,'Portefeuille SP2'!#REF!,"o",'Portefeuille SP2'!#REF!,"=")</f>
        <v>#REF!</v>
      </c>
      <c r="AF19" s="117" t="e">
        <f>SUMIFS('Portefeuille SP2'!#REF!,'Portefeuille SP2'!#REF!,1,'Portefeuille SP2'!$Q:$Q,"DECIDED",'Portefeuille SP2'!#REF!,"R",'Portefeuille SP2'!$D:$D,$A19,'Portefeuille SP2'!#REF!,"o",'Portefeuille SP2'!#REF!,"=")</f>
        <v>#REF!</v>
      </c>
      <c r="AG19" s="111" t="e">
        <f>SUMIFS('Portefeuille SP2'!$U:$U,'Portefeuille SP2'!#REF!,1,'Portefeuille SP2'!$Q:$Q,"DECIDED",'Portefeuille SP2'!#REF!,"G",'Portefeuille SP2'!$D:$D,$A19,'Portefeuille SP2'!#REF!,"o",'Portefeuille SP2'!#REF!,"&lt;&gt;")</f>
        <v>#REF!</v>
      </c>
      <c r="AH19" s="126" t="e">
        <f>SUMIFS('Portefeuille SP2'!#REF!,'Portefeuille SP2'!#REF!,1,'Portefeuille SP2'!$Q:$Q,"DECIDED",'Portefeuille SP2'!#REF!,"G",'Portefeuille SP2'!$D:$D,$A19,'Portefeuille SP2'!#REF!,"o",'Portefeuille SP2'!#REF!,"&lt;&gt;")</f>
        <v>#REF!</v>
      </c>
      <c r="AI19" s="117" t="e">
        <f>SUMIFS('Portefeuille SP2'!#REF!,'Portefeuille SP2'!#REF!,1,'Portefeuille SP2'!$Q:$Q,"DECIDED",'Portefeuille SP2'!#REF!,"G",'Portefeuille SP2'!$D:$D,$A19,'Portefeuille SP2'!#REF!,"o",'Portefeuille SP2'!#REF!,"&lt;&gt;")</f>
        <v>#REF!</v>
      </c>
      <c r="AJ19" s="111" t="e">
        <f>SUMIFS('Portefeuille SP2'!$U:$U,'Portefeuille SP2'!#REF!,1,'Portefeuille SP2'!$Q:$Q,"DECIDED",'Portefeuille SP2'!#REF!,"R",'Portefeuille SP2'!$D:$D,$A19,'Portefeuille SP2'!#REF!,"o",'Portefeuille SP2'!#REF!,"&lt;&gt;")</f>
        <v>#REF!</v>
      </c>
      <c r="AK19" s="126" t="e">
        <f>SUMIFS('Portefeuille SP2'!#REF!,'Portefeuille SP2'!#REF!,1,'Portefeuille SP2'!$Q:$Q,"DECIDED",'Portefeuille SP2'!#REF!,"R",'Portefeuille SP2'!$D:$D,$A19,'Portefeuille SP2'!#REF!,"o",'Portefeuille SP2'!#REF!,"&lt;&gt;")</f>
        <v>#REF!</v>
      </c>
      <c r="AL19" s="117" t="e">
        <f>SUMIFS('Portefeuille SP2'!#REF!,'Portefeuille SP2'!#REF!,1,'Portefeuille SP2'!$Q:$Q,"DECIDED",'Portefeuille SP2'!#REF!,"R",'Portefeuille SP2'!$D:$D,$A19,'Portefeuille SP2'!#REF!,"o",'Portefeuille SP2'!#REF!,"&lt;&gt;")</f>
        <v>#REF!</v>
      </c>
      <c r="AM19" s="117"/>
    </row>
    <row r="20" spans="1:42" outlineLevel="1">
      <c r="A20" t="s">
        <v>1324</v>
      </c>
      <c r="B20" s="139" t="e">
        <f>SUMIFS('Portefeuille SP2'!$U:$U,'Portefeuille SP2'!#REF!,1,'Portefeuille SP2'!$Q:$Q,"IN PROGRESS",'Portefeuille SP2'!#REF!,"G",'Portefeuille SP2'!$D:$D,$A20,'Portefeuille SP2'!#REF!,"S")</f>
        <v>#REF!</v>
      </c>
      <c r="C20" s="126" t="e">
        <f>SUMIFS('Portefeuille SP2'!#REF!,'Portefeuille SP2'!#REF!,1,'Portefeuille SP2'!$Q:$Q,"IN PROGRESS",'Portefeuille SP2'!#REF!,"G",'Portefeuille SP2'!$D:$D,$A20,'Portefeuille SP2'!#REF!,"S")</f>
        <v>#REF!</v>
      </c>
      <c r="D20" s="122" t="e">
        <f>SUMIFS('Portefeuille SP2'!#REF!,'Portefeuille SP2'!#REF!,1,'Portefeuille SP2'!$Q:$Q,"IN PROGRESS",'Portefeuille SP2'!#REF!,"G",'Portefeuille SP2'!$D:$D,$A20,'Portefeuille SP2'!#REF!,"S")</f>
        <v>#REF!</v>
      </c>
      <c r="E20" s="111" t="e">
        <f>SUMIFS('Portefeuille SP2'!$U:$U,'Portefeuille SP2'!#REF!,1,'Portefeuille SP2'!$Q:$Q,"IN PROGRESS",'Portefeuille SP2'!#REF!,"R",'Portefeuille SP2'!$D:$D,$A20,'Portefeuille SP2'!#REF!,"S")</f>
        <v>#REF!</v>
      </c>
      <c r="F20" s="126" t="e">
        <f>SUMIFS('Portefeuille SP2'!#REF!,'Portefeuille SP2'!#REF!,1,'Portefeuille SP2'!$Q:$Q,"IN PROGRESS",'Portefeuille SP2'!#REF!,"R",'Portefeuille SP2'!$D:$D,$A20,'Portefeuille SP2'!#REF!,"S")</f>
        <v>#REF!</v>
      </c>
      <c r="G20" s="117" t="e">
        <f>SUMIFS('Portefeuille SP2'!#REF!,'Portefeuille SP2'!#REF!,1,'Portefeuille SP2'!$Q:$Q,"IN PROGRESS",'Portefeuille SP2'!#REF!,"R",'Portefeuille SP2'!$D:$D,$A20,'Portefeuille SP2'!#REF!,"S")</f>
        <v>#REF!</v>
      </c>
      <c r="H20" s="111" t="e">
        <f>SUMIFS('Portefeuille SP2'!$U:$U,'Portefeuille SP2'!#REF!,1,'Portefeuille SP2'!$Q:$Q,"DECIDED",'Portefeuille SP2'!#REF!,"G",'Portefeuille SP2'!$D:$D,$A20,'Portefeuille SP2'!#REF!,"S",'Portefeuille SP2'!#REF!,"=")</f>
        <v>#REF!</v>
      </c>
      <c r="I20" s="117" t="e">
        <f>SUMIFS('Portefeuille SP2'!#REF!,'Portefeuille SP2'!#REF!,1,'Portefeuille SP2'!$Q:$Q,"DECIDED",'Portefeuille SP2'!#REF!,"G",'Portefeuille SP2'!$D:$D,$A20,'Portefeuille SP2'!#REF!,"S",'Portefeuille SP2'!#REF!,"=")</f>
        <v>#REF!</v>
      </c>
      <c r="J20" s="117" t="e">
        <f>SUMIFS('Portefeuille SP2'!#REF!,'Portefeuille SP2'!#REF!,1,'Portefeuille SP2'!$Q:$Q,"DECIDED",'Portefeuille SP2'!#REF!,"G",'Portefeuille SP2'!$D:$D,$A20,'Portefeuille SP2'!#REF!,"S",'Portefeuille SP2'!#REF!,"=")</f>
        <v>#REF!</v>
      </c>
      <c r="K20" s="111" t="e">
        <f>SUMIFS('Portefeuille SP2'!$U:$U,'Portefeuille SP2'!#REF!,1,'Portefeuille SP2'!$Q:$Q,"DECIDED",'Portefeuille SP2'!#REF!,"R",'Portefeuille SP2'!$D:$D,$A20,'Portefeuille SP2'!#REF!,"S",'Portefeuille SP2'!#REF!,"=")</f>
        <v>#REF!</v>
      </c>
      <c r="L20" s="126" t="e">
        <f>SUMIFS('Portefeuille SP2'!#REF!,'Portefeuille SP2'!#REF!,1,'Portefeuille SP2'!$Q:$Q,"DECIDED",'Portefeuille SP2'!#REF!,"R",'Portefeuille SP2'!$D:$D,$A20,'Portefeuille SP2'!#REF!,"S",'Portefeuille SP2'!#REF!,"=")</f>
        <v>#REF!</v>
      </c>
      <c r="M20" s="117" t="e">
        <f>SUMIFS('Portefeuille SP2'!#REF!,'Portefeuille SP2'!#REF!,1,'Portefeuille SP2'!$Q:$Q,"DECIDED",'Portefeuille SP2'!#REF!,"R",'Portefeuille SP2'!$D:$D,$A20,'Portefeuille SP2'!#REF!,"S",'Portefeuille SP2'!#REF!,"=")</f>
        <v>#REF!</v>
      </c>
      <c r="N20" s="111" t="e">
        <f>SUMIFS('Portefeuille SP2'!$U:$U,'Portefeuille SP2'!#REF!,1,'Portefeuille SP2'!$Q:$Q,"DECIDED",'Portefeuille SP2'!#REF!,"G",'Portefeuille SP2'!$D:$D,$A20,'Portefeuille SP2'!#REF!,"S",'Portefeuille SP2'!#REF!,"&lt;&gt;")</f>
        <v>#REF!</v>
      </c>
      <c r="O20" s="126" t="e">
        <f>SUMIFS('Portefeuille SP2'!#REF!,'Portefeuille SP2'!#REF!,1,'Portefeuille SP2'!$Q:$Q,"DECIDED",'Portefeuille SP2'!#REF!,"G",'Portefeuille SP2'!$D:$D,$A20,'Portefeuille SP2'!#REF!,"S",'Portefeuille SP2'!#REF!,"&lt;&gt;")</f>
        <v>#REF!</v>
      </c>
      <c r="P20" s="117" t="e">
        <f>SUMIFS('Portefeuille SP2'!#REF!,'Portefeuille SP2'!#REF!,1,'Portefeuille SP2'!$Q:$Q,"DECIDED",'Portefeuille SP2'!#REF!,"G",'Portefeuille SP2'!$D:$D,$A20,'Portefeuille SP2'!#REF!,"S",'Portefeuille SP2'!#REF!,"&lt;&gt;")</f>
        <v>#REF!</v>
      </c>
      <c r="Q20" s="111" t="e">
        <f>SUMIFS('Portefeuille SP2'!$U:$U,'Portefeuille SP2'!#REF!,1,'Portefeuille SP2'!$Q:$Q,"DECIDED",'Portefeuille SP2'!#REF!,"R",'Portefeuille SP2'!$D:$D,$A20,'Portefeuille SP2'!#REF!,"S",'Portefeuille SP2'!#REF!,"&lt;&gt;")</f>
        <v>#REF!</v>
      </c>
      <c r="R20" s="126" t="e">
        <f>SUMIFS('Portefeuille SP2'!#REF!,'Portefeuille SP2'!#REF!,1,'Portefeuille SP2'!$Q:$Q,"DECIDED",'Portefeuille SP2'!#REF!,"R",'Portefeuille SP2'!$D:$D,$A20,'Portefeuille SP2'!#REF!,"S",'Portefeuille SP2'!#REF!,"&lt;&gt;")</f>
        <v>#REF!</v>
      </c>
      <c r="S20" s="122" t="e">
        <f>SUMIFS('Portefeuille SP2'!#REF!,'Portefeuille SP2'!#REF!,1,'Portefeuille SP2'!$Q:$Q,"DECIDED",'Portefeuille SP2'!#REF!,"R",'Portefeuille SP2'!$D:$D,$A20,'Portefeuille SP2'!#REF!,"S",'Portefeuille SP2'!#REF!,"&lt;&gt;")</f>
        <v>#REF!</v>
      </c>
      <c r="U20" s="111" t="e">
        <f>SUMIFS('Portefeuille SP2'!$U:$U,'Portefeuille SP2'!#REF!,1,'Portefeuille SP2'!$Q:$Q,"IN PROGRESS",'Portefeuille SP2'!#REF!,"G",'Portefeuille SP2'!$D:$D,$A20,'Portefeuille SP2'!#REF!,"O")</f>
        <v>#REF!</v>
      </c>
      <c r="V20" s="126" t="e">
        <f>SUMIFS('Portefeuille SP2'!#REF!,'Portefeuille SP2'!#REF!,1,'Portefeuille SP2'!$Q:$Q,"IN PROGRESS",'Portefeuille SP2'!#REF!,"G",'Portefeuille SP2'!$D:$D,$A20,'Portefeuille SP2'!#REF!,"o")</f>
        <v>#REF!</v>
      </c>
      <c r="W20" s="117" t="e">
        <f>SUMIFS('Portefeuille SP2'!#REF!,'Portefeuille SP2'!#REF!,1,'Portefeuille SP2'!$Q:$Q,"IN PROGRESS",'Portefeuille SP2'!#REF!,"G",'Portefeuille SP2'!$D:$D,$A20,'Portefeuille SP2'!#REF!,"o")</f>
        <v>#REF!</v>
      </c>
      <c r="X20" s="111" t="e">
        <f>SUMIFS('Portefeuille SP2'!$U:$U,'Portefeuille SP2'!#REF!,1,'Portefeuille SP2'!$Q:$Q,"IN PROGRESS",'Portefeuille SP2'!#REF!,"R",'Portefeuille SP2'!$D:$D,$A20,'Portefeuille SP2'!#REF!,"o")</f>
        <v>#REF!</v>
      </c>
      <c r="Y20" s="126" t="e">
        <f>SUMIFS('Portefeuille SP2'!#REF!,'Portefeuille SP2'!#REF!,1,'Portefeuille SP2'!$Q:$Q,"IN PROGRESS",'Portefeuille SP2'!#REF!,"R",'Portefeuille SP2'!$D:$D,$A20,'Portefeuille SP2'!#REF!,"o")</f>
        <v>#REF!</v>
      </c>
      <c r="Z20" s="117" t="e">
        <f>SUMIFS('Portefeuille SP2'!#REF!,'Portefeuille SP2'!#REF!,1,'Portefeuille SP2'!$Q:$Q,"IN PROGRESS",'Portefeuille SP2'!#REF!,"R",'Portefeuille SP2'!$D:$D,$A20,'Portefeuille SP2'!#REF!,"o")</f>
        <v>#REF!</v>
      </c>
      <c r="AA20" s="111" t="e">
        <f>SUMIFS('Portefeuille SP2'!$U:$U,'Portefeuille SP2'!#REF!,1,'Portefeuille SP2'!$Q:$Q,"DECIDED",'Portefeuille SP2'!#REF!,"G",'Portefeuille SP2'!$D:$D,$A20,'Portefeuille SP2'!#REF!,"o",'Portefeuille SP2'!#REF!,"=")</f>
        <v>#REF!</v>
      </c>
      <c r="AB20" s="126" t="e">
        <f>SUMIFS('Portefeuille SP2'!#REF!,'Portefeuille SP2'!#REF!,1,'Portefeuille SP2'!$Q:$Q,"DECIDED",'Portefeuille SP2'!#REF!,"G",'Portefeuille SP2'!$D:$D,$A20,'Portefeuille SP2'!#REF!,"o",'Portefeuille SP2'!#REF!,"=")</f>
        <v>#REF!</v>
      </c>
      <c r="AC20" s="117" t="e">
        <f>SUMIFS('Portefeuille SP2'!#REF!,'Portefeuille SP2'!#REF!,1,'Portefeuille SP2'!$Q:$Q,"DECIDED",'Portefeuille SP2'!#REF!,"G",'Portefeuille SP2'!$D:$D,$A20,'Portefeuille SP2'!#REF!,"o",'Portefeuille SP2'!#REF!,"=")</f>
        <v>#REF!</v>
      </c>
      <c r="AD20" s="111" t="e">
        <f>SUMIFS('Portefeuille SP2'!$U:$U,'Portefeuille SP2'!#REF!,1,'Portefeuille SP2'!$Q:$Q,"DECIDED",'Portefeuille SP2'!#REF!,"R",'Portefeuille SP2'!$D:$D,$A20,'Portefeuille SP2'!#REF!,"o",'Portefeuille SP2'!#REF!,"=")</f>
        <v>#REF!</v>
      </c>
      <c r="AE20" s="126" t="e">
        <f>SUMIFS('Portefeuille SP2'!#REF!,'Portefeuille SP2'!#REF!,1,'Portefeuille SP2'!$Q:$Q,"DECIDED",'Portefeuille SP2'!#REF!,"R",'Portefeuille SP2'!$D:$D,$A20,'Portefeuille SP2'!#REF!,"o",'Portefeuille SP2'!#REF!,"=")</f>
        <v>#REF!</v>
      </c>
      <c r="AF20" s="117" t="e">
        <f>SUMIFS('Portefeuille SP2'!#REF!,'Portefeuille SP2'!#REF!,1,'Portefeuille SP2'!$Q:$Q,"DECIDED",'Portefeuille SP2'!#REF!,"R",'Portefeuille SP2'!$D:$D,$A20,'Portefeuille SP2'!#REF!,"o",'Portefeuille SP2'!#REF!,"=")</f>
        <v>#REF!</v>
      </c>
      <c r="AG20" s="111" t="e">
        <f>SUMIFS('Portefeuille SP2'!$U:$U,'Portefeuille SP2'!#REF!,1,'Portefeuille SP2'!$Q:$Q,"DECIDED",'Portefeuille SP2'!#REF!,"G",'Portefeuille SP2'!$D:$D,$A20,'Portefeuille SP2'!#REF!,"o",'Portefeuille SP2'!#REF!,"&lt;&gt;")</f>
        <v>#REF!</v>
      </c>
      <c r="AH20" s="126" t="e">
        <f>SUMIFS('Portefeuille SP2'!#REF!,'Portefeuille SP2'!#REF!,1,'Portefeuille SP2'!$Q:$Q,"DECIDED",'Portefeuille SP2'!#REF!,"G",'Portefeuille SP2'!$D:$D,$A20,'Portefeuille SP2'!#REF!,"o",'Portefeuille SP2'!#REF!,"&lt;&gt;")</f>
        <v>#REF!</v>
      </c>
      <c r="AI20" s="117" t="e">
        <f>SUMIFS('Portefeuille SP2'!#REF!,'Portefeuille SP2'!#REF!,1,'Portefeuille SP2'!$Q:$Q,"DECIDED",'Portefeuille SP2'!#REF!,"G",'Portefeuille SP2'!$D:$D,$A20,'Portefeuille SP2'!#REF!,"o",'Portefeuille SP2'!#REF!,"&lt;&gt;")</f>
        <v>#REF!</v>
      </c>
      <c r="AJ20" s="111" t="e">
        <f>SUMIFS('Portefeuille SP2'!$U:$U,'Portefeuille SP2'!#REF!,1,'Portefeuille SP2'!$Q:$Q,"DECIDED",'Portefeuille SP2'!#REF!,"R",'Portefeuille SP2'!$D:$D,$A20,'Portefeuille SP2'!#REF!,"o",'Portefeuille SP2'!#REF!,"&lt;&gt;")</f>
        <v>#REF!</v>
      </c>
      <c r="AK20" s="126" t="e">
        <f>SUMIFS('Portefeuille SP2'!#REF!,'Portefeuille SP2'!#REF!,1,'Portefeuille SP2'!$Q:$Q,"DECIDED",'Portefeuille SP2'!#REF!,"R",'Portefeuille SP2'!$D:$D,$A20,'Portefeuille SP2'!#REF!,"o",'Portefeuille SP2'!#REF!,"&lt;&gt;")</f>
        <v>#REF!</v>
      </c>
      <c r="AL20" s="117" t="e">
        <f>SUMIFS('Portefeuille SP2'!#REF!,'Portefeuille SP2'!#REF!,1,'Portefeuille SP2'!$Q:$Q,"DECIDED",'Portefeuille SP2'!#REF!,"R",'Portefeuille SP2'!$D:$D,$A20,'Portefeuille SP2'!#REF!,"o",'Portefeuille SP2'!#REF!,"&lt;&gt;")</f>
        <v>#REF!</v>
      </c>
      <c r="AM20" s="117"/>
    </row>
    <row r="21" spans="1:42" outlineLevel="1">
      <c r="A21" t="s">
        <v>1318</v>
      </c>
      <c r="B21" s="139" t="e">
        <f>SUMIFS('Portefeuille SP2'!$U:$U,'Portefeuille SP2'!#REF!,1,'Portefeuille SP2'!$Q:$Q,"IN PROGRESS",'Portefeuille SP2'!#REF!,"G",'Portefeuille SP2'!$D:$D,$A21,'Portefeuille SP2'!#REF!,"S")</f>
        <v>#REF!</v>
      </c>
      <c r="C21" s="126" t="e">
        <f>SUMIFS('Portefeuille SP2'!#REF!,'Portefeuille SP2'!#REF!,1,'Portefeuille SP2'!$Q:$Q,"IN PROGRESS",'Portefeuille SP2'!#REF!,"G",'Portefeuille SP2'!$D:$D,$A21,'Portefeuille SP2'!#REF!,"S")</f>
        <v>#REF!</v>
      </c>
      <c r="D21" s="122" t="e">
        <f>SUMIFS('Portefeuille SP2'!#REF!,'Portefeuille SP2'!#REF!,1,'Portefeuille SP2'!$Q:$Q,"IN PROGRESS",'Portefeuille SP2'!#REF!,"G",'Portefeuille SP2'!$D:$D,$A21,'Portefeuille SP2'!#REF!,"S")</f>
        <v>#REF!</v>
      </c>
      <c r="E21" s="111" t="e">
        <f>SUMIFS('Portefeuille SP2'!$U:$U,'Portefeuille SP2'!#REF!,1,'Portefeuille SP2'!$Q:$Q,"IN PROGRESS",'Portefeuille SP2'!#REF!,"R",'Portefeuille SP2'!$D:$D,$A21,'Portefeuille SP2'!#REF!,"S")</f>
        <v>#REF!</v>
      </c>
      <c r="F21" s="126" t="e">
        <f>SUMIFS('Portefeuille SP2'!#REF!,'Portefeuille SP2'!#REF!,1,'Portefeuille SP2'!$Q:$Q,"IN PROGRESS",'Portefeuille SP2'!#REF!,"R",'Portefeuille SP2'!$D:$D,$A21,'Portefeuille SP2'!#REF!,"S")</f>
        <v>#REF!</v>
      </c>
      <c r="G21" s="117" t="e">
        <f>SUMIFS('Portefeuille SP2'!#REF!,'Portefeuille SP2'!#REF!,1,'Portefeuille SP2'!$Q:$Q,"IN PROGRESS",'Portefeuille SP2'!#REF!,"R",'Portefeuille SP2'!$D:$D,$A21,'Portefeuille SP2'!#REF!,"S")</f>
        <v>#REF!</v>
      </c>
      <c r="H21" s="111" t="e">
        <f>SUMIFS('Portefeuille SP2'!$U:$U,'Portefeuille SP2'!#REF!,1,'Portefeuille SP2'!$Q:$Q,"DECIDED",'Portefeuille SP2'!#REF!,"G",'Portefeuille SP2'!$D:$D,$A21,'Portefeuille SP2'!#REF!,"S",'Portefeuille SP2'!#REF!,"=")</f>
        <v>#REF!</v>
      </c>
      <c r="I21" s="117" t="e">
        <f>SUMIFS('Portefeuille SP2'!#REF!,'Portefeuille SP2'!#REF!,1,'Portefeuille SP2'!$Q:$Q,"DECIDED",'Portefeuille SP2'!#REF!,"G",'Portefeuille SP2'!$D:$D,$A21,'Portefeuille SP2'!#REF!,"S",'Portefeuille SP2'!#REF!,"=")</f>
        <v>#REF!</v>
      </c>
      <c r="J21" s="117" t="e">
        <f>SUMIFS('Portefeuille SP2'!#REF!,'Portefeuille SP2'!#REF!,1,'Portefeuille SP2'!$Q:$Q,"DECIDED",'Portefeuille SP2'!#REF!,"G",'Portefeuille SP2'!$D:$D,$A21,'Portefeuille SP2'!#REF!,"S",'Portefeuille SP2'!#REF!,"=")</f>
        <v>#REF!</v>
      </c>
      <c r="K21" s="111" t="e">
        <f>SUMIFS('Portefeuille SP2'!$U:$U,'Portefeuille SP2'!#REF!,1,'Portefeuille SP2'!$Q:$Q,"DECIDED",'Portefeuille SP2'!#REF!,"R",'Portefeuille SP2'!$D:$D,$A21,'Portefeuille SP2'!#REF!,"S",'Portefeuille SP2'!#REF!,"=")</f>
        <v>#REF!</v>
      </c>
      <c r="L21" s="126" t="e">
        <f>SUMIFS('Portefeuille SP2'!#REF!,'Portefeuille SP2'!#REF!,1,'Portefeuille SP2'!$Q:$Q,"DECIDED",'Portefeuille SP2'!#REF!,"R",'Portefeuille SP2'!$D:$D,$A21,'Portefeuille SP2'!#REF!,"S",'Portefeuille SP2'!#REF!,"=")</f>
        <v>#REF!</v>
      </c>
      <c r="M21" s="117" t="e">
        <f>SUMIFS('Portefeuille SP2'!#REF!,'Portefeuille SP2'!#REF!,1,'Portefeuille SP2'!$Q:$Q,"DECIDED",'Portefeuille SP2'!#REF!,"R",'Portefeuille SP2'!$D:$D,$A21,'Portefeuille SP2'!#REF!,"S",'Portefeuille SP2'!#REF!,"=")</f>
        <v>#REF!</v>
      </c>
      <c r="N21" s="111" t="e">
        <f>SUMIFS('Portefeuille SP2'!$U:$U,'Portefeuille SP2'!#REF!,1,'Portefeuille SP2'!$Q:$Q,"DECIDED",'Portefeuille SP2'!#REF!,"G",'Portefeuille SP2'!$D:$D,$A21,'Portefeuille SP2'!#REF!,"S",'Portefeuille SP2'!#REF!,"&lt;&gt;")</f>
        <v>#REF!</v>
      </c>
      <c r="O21" s="126" t="e">
        <f>SUMIFS('Portefeuille SP2'!#REF!,'Portefeuille SP2'!#REF!,1,'Portefeuille SP2'!$Q:$Q,"DECIDED",'Portefeuille SP2'!#REF!,"G",'Portefeuille SP2'!$D:$D,$A21,'Portefeuille SP2'!#REF!,"S",'Portefeuille SP2'!#REF!,"&lt;&gt;")</f>
        <v>#REF!</v>
      </c>
      <c r="P21" s="117" t="e">
        <f>SUMIFS('Portefeuille SP2'!#REF!,'Portefeuille SP2'!#REF!,1,'Portefeuille SP2'!$Q:$Q,"DECIDED",'Portefeuille SP2'!#REF!,"G",'Portefeuille SP2'!$D:$D,$A21,'Portefeuille SP2'!#REF!,"S",'Portefeuille SP2'!#REF!,"&lt;&gt;")</f>
        <v>#REF!</v>
      </c>
      <c r="Q21" s="111" t="e">
        <f>SUMIFS('Portefeuille SP2'!$U:$U,'Portefeuille SP2'!#REF!,1,'Portefeuille SP2'!$Q:$Q,"DECIDED",'Portefeuille SP2'!#REF!,"R",'Portefeuille SP2'!$D:$D,$A21,'Portefeuille SP2'!#REF!,"S",'Portefeuille SP2'!#REF!,"&lt;&gt;")</f>
        <v>#REF!</v>
      </c>
      <c r="R21" s="126" t="e">
        <f>SUMIFS('Portefeuille SP2'!#REF!,'Portefeuille SP2'!#REF!,1,'Portefeuille SP2'!$Q:$Q,"DECIDED",'Portefeuille SP2'!#REF!,"R",'Portefeuille SP2'!$D:$D,$A21,'Portefeuille SP2'!#REF!,"S",'Portefeuille SP2'!#REF!,"&lt;&gt;")</f>
        <v>#REF!</v>
      </c>
      <c r="S21" s="122" t="e">
        <f>SUMIFS('Portefeuille SP2'!#REF!,'Portefeuille SP2'!#REF!,1,'Portefeuille SP2'!$Q:$Q,"DECIDED",'Portefeuille SP2'!#REF!,"R",'Portefeuille SP2'!$D:$D,$A21,'Portefeuille SP2'!#REF!,"S",'Portefeuille SP2'!#REF!,"&lt;&gt;")</f>
        <v>#REF!</v>
      </c>
      <c r="U21" s="111" t="e">
        <f>SUMIFS('Portefeuille SP2'!$U:$U,'Portefeuille SP2'!#REF!,1,'Portefeuille SP2'!$Q:$Q,"IN PROGRESS",'Portefeuille SP2'!#REF!,"G",'Portefeuille SP2'!$D:$D,$A21,'Portefeuille SP2'!#REF!,"O")</f>
        <v>#REF!</v>
      </c>
      <c r="V21" s="126" t="e">
        <f>SUMIFS('Portefeuille SP2'!#REF!,'Portefeuille SP2'!#REF!,1,'Portefeuille SP2'!$Q:$Q,"IN PROGRESS",'Portefeuille SP2'!#REF!,"G",'Portefeuille SP2'!$D:$D,$A21,'Portefeuille SP2'!#REF!,"o")</f>
        <v>#REF!</v>
      </c>
      <c r="W21" s="117" t="e">
        <f>SUMIFS('Portefeuille SP2'!#REF!,'Portefeuille SP2'!#REF!,1,'Portefeuille SP2'!$Q:$Q,"IN PROGRESS",'Portefeuille SP2'!#REF!,"G",'Portefeuille SP2'!$D:$D,$A21,'Portefeuille SP2'!#REF!,"o")</f>
        <v>#REF!</v>
      </c>
      <c r="X21" s="111" t="e">
        <f>SUMIFS('Portefeuille SP2'!$U:$U,'Portefeuille SP2'!#REF!,1,'Portefeuille SP2'!$Q:$Q,"IN PROGRESS",'Portefeuille SP2'!#REF!,"R",'Portefeuille SP2'!$D:$D,$A21,'Portefeuille SP2'!#REF!,"o")</f>
        <v>#REF!</v>
      </c>
      <c r="Y21" s="126" t="e">
        <f>SUMIFS('Portefeuille SP2'!#REF!,'Portefeuille SP2'!#REF!,1,'Portefeuille SP2'!$Q:$Q,"IN PROGRESS",'Portefeuille SP2'!#REF!,"R",'Portefeuille SP2'!$D:$D,$A21,'Portefeuille SP2'!#REF!,"o")</f>
        <v>#REF!</v>
      </c>
      <c r="Z21" s="117" t="e">
        <f>SUMIFS('Portefeuille SP2'!#REF!,'Portefeuille SP2'!#REF!,1,'Portefeuille SP2'!$Q:$Q,"IN PROGRESS",'Portefeuille SP2'!#REF!,"R",'Portefeuille SP2'!$D:$D,$A21,'Portefeuille SP2'!#REF!,"o")</f>
        <v>#REF!</v>
      </c>
      <c r="AA21" s="111" t="e">
        <f>SUMIFS('Portefeuille SP2'!$U:$U,'Portefeuille SP2'!#REF!,1,'Portefeuille SP2'!$Q:$Q,"DECIDED",'Portefeuille SP2'!#REF!,"G",'Portefeuille SP2'!$D:$D,$A21,'Portefeuille SP2'!#REF!,"o",'Portefeuille SP2'!#REF!,"=")</f>
        <v>#REF!</v>
      </c>
      <c r="AB21" s="126" t="e">
        <f>SUMIFS('Portefeuille SP2'!#REF!,'Portefeuille SP2'!#REF!,1,'Portefeuille SP2'!$Q:$Q,"DECIDED",'Portefeuille SP2'!#REF!,"G",'Portefeuille SP2'!$D:$D,$A21,'Portefeuille SP2'!#REF!,"o",'Portefeuille SP2'!#REF!,"=")</f>
        <v>#REF!</v>
      </c>
      <c r="AC21" s="117" t="e">
        <f>SUMIFS('Portefeuille SP2'!#REF!,'Portefeuille SP2'!#REF!,1,'Portefeuille SP2'!$Q:$Q,"DECIDED",'Portefeuille SP2'!#REF!,"G",'Portefeuille SP2'!$D:$D,$A21,'Portefeuille SP2'!#REF!,"o",'Portefeuille SP2'!#REF!,"=")</f>
        <v>#REF!</v>
      </c>
      <c r="AD21" s="111" t="e">
        <f>SUMIFS('Portefeuille SP2'!$U:$U,'Portefeuille SP2'!#REF!,1,'Portefeuille SP2'!$Q:$Q,"DECIDED",'Portefeuille SP2'!#REF!,"R",'Portefeuille SP2'!$D:$D,$A21,'Portefeuille SP2'!#REF!,"o",'Portefeuille SP2'!#REF!,"=")</f>
        <v>#REF!</v>
      </c>
      <c r="AE21" s="126" t="e">
        <f>SUMIFS('Portefeuille SP2'!#REF!,'Portefeuille SP2'!#REF!,1,'Portefeuille SP2'!$Q:$Q,"DECIDED",'Portefeuille SP2'!#REF!,"R",'Portefeuille SP2'!$D:$D,$A21,'Portefeuille SP2'!#REF!,"o",'Portefeuille SP2'!#REF!,"=")</f>
        <v>#REF!</v>
      </c>
      <c r="AF21" s="117" t="e">
        <f>SUMIFS('Portefeuille SP2'!#REF!,'Portefeuille SP2'!#REF!,1,'Portefeuille SP2'!$Q:$Q,"DECIDED",'Portefeuille SP2'!#REF!,"R",'Portefeuille SP2'!$D:$D,$A21,'Portefeuille SP2'!#REF!,"o",'Portefeuille SP2'!#REF!,"=")</f>
        <v>#REF!</v>
      </c>
      <c r="AG21" s="111" t="e">
        <f>SUMIFS('Portefeuille SP2'!$U:$U,'Portefeuille SP2'!#REF!,1,'Portefeuille SP2'!$Q:$Q,"DECIDED",'Portefeuille SP2'!#REF!,"G",'Portefeuille SP2'!$D:$D,$A21,'Portefeuille SP2'!#REF!,"o",'Portefeuille SP2'!#REF!,"&lt;&gt;")</f>
        <v>#REF!</v>
      </c>
      <c r="AH21" s="126" t="e">
        <f>SUMIFS('Portefeuille SP2'!#REF!,'Portefeuille SP2'!#REF!,1,'Portefeuille SP2'!$Q:$Q,"DECIDED",'Portefeuille SP2'!#REF!,"G",'Portefeuille SP2'!$D:$D,$A21,'Portefeuille SP2'!#REF!,"o",'Portefeuille SP2'!#REF!,"&lt;&gt;")</f>
        <v>#REF!</v>
      </c>
      <c r="AI21" s="117" t="e">
        <f>SUMIFS('Portefeuille SP2'!#REF!,'Portefeuille SP2'!#REF!,1,'Portefeuille SP2'!$Q:$Q,"DECIDED",'Portefeuille SP2'!#REF!,"G",'Portefeuille SP2'!$D:$D,$A21,'Portefeuille SP2'!#REF!,"o",'Portefeuille SP2'!#REF!,"&lt;&gt;")</f>
        <v>#REF!</v>
      </c>
      <c r="AJ21" s="111" t="e">
        <f>SUMIFS('Portefeuille SP2'!$U:$U,'Portefeuille SP2'!#REF!,1,'Portefeuille SP2'!$Q:$Q,"DECIDED",'Portefeuille SP2'!#REF!,"R",'Portefeuille SP2'!$D:$D,$A21,'Portefeuille SP2'!#REF!,"o",'Portefeuille SP2'!#REF!,"&lt;&gt;")</f>
        <v>#REF!</v>
      </c>
      <c r="AK21" s="126" t="e">
        <f>SUMIFS('Portefeuille SP2'!#REF!,'Portefeuille SP2'!#REF!,1,'Portefeuille SP2'!$Q:$Q,"DECIDED",'Portefeuille SP2'!#REF!,"R",'Portefeuille SP2'!$D:$D,$A21,'Portefeuille SP2'!#REF!,"o",'Portefeuille SP2'!#REF!,"&lt;&gt;")</f>
        <v>#REF!</v>
      </c>
      <c r="AL21" s="117" t="e">
        <f>SUMIFS('Portefeuille SP2'!#REF!,'Portefeuille SP2'!#REF!,1,'Portefeuille SP2'!$Q:$Q,"DECIDED",'Portefeuille SP2'!#REF!,"R",'Portefeuille SP2'!$D:$D,$A21,'Portefeuille SP2'!#REF!,"o",'Portefeuille SP2'!#REF!,"&lt;&gt;")</f>
        <v>#REF!</v>
      </c>
      <c r="AM21" s="117"/>
    </row>
    <row r="22" spans="1:42" outlineLevel="1">
      <c r="A22" t="s">
        <v>1325</v>
      </c>
      <c r="B22" s="139" t="e">
        <f>SUMIFS('Portefeuille SP2'!$U:$U,'Portefeuille SP2'!#REF!,1,'Portefeuille SP2'!$Q:$Q,"IN PROGRESS",'Portefeuille SP2'!#REF!,"G",'Portefeuille SP2'!$D:$D,$A22,'Portefeuille SP2'!#REF!,"S")</f>
        <v>#REF!</v>
      </c>
      <c r="C22" s="126" t="e">
        <f>SUMIFS('Portefeuille SP2'!#REF!,'Portefeuille SP2'!#REF!,1,'Portefeuille SP2'!$Q:$Q,"IN PROGRESS",'Portefeuille SP2'!#REF!,"G",'Portefeuille SP2'!$D:$D,$A22,'Portefeuille SP2'!#REF!,"S")</f>
        <v>#REF!</v>
      </c>
      <c r="D22" s="122" t="e">
        <f>SUMIFS('Portefeuille SP2'!#REF!,'Portefeuille SP2'!#REF!,1,'Portefeuille SP2'!$Q:$Q,"IN PROGRESS",'Portefeuille SP2'!#REF!,"G",'Portefeuille SP2'!$D:$D,$A22,'Portefeuille SP2'!#REF!,"S")</f>
        <v>#REF!</v>
      </c>
      <c r="E22" s="111" t="e">
        <f>SUMIFS('Portefeuille SP2'!$U:$U,'Portefeuille SP2'!#REF!,1,'Portefeuille SP2'!$Q:$Q,"IN PROGRESS",'Portefeuille SP2'!#REF!,"R",'Portefeuille SP2'!$D:$D,$A22,'Portefeuille SP2'!#REF!,"S")</f>
        <v>#REF!</v>
      </c>
      <c r="F22" s="126" t="e">
        <f>SUMIFS('Portefeuille SP2'!#REF!,'Portefeuille SP2'!#REF!,1,'Portefeuille SP2'!$Q:$Q,"IN PROGRESS",'Portefeuille SP2'!#REF!,"R",'Portefeuille SP2'!$D:$D,$A22,'Portefeuille SP2'!#REF!,"S")</f>
        <v>#REF!</v>
      </c>
      <c r="G22" s="117" t="e">
        <f>SUMIFS('Portefeuille SP2'!#REF!,'Portefeuille SP2'!#REF!,1,'Portefeuille SP2'!$Q:$Q,"IN PROGRESS",'Portefeuille SP2'!#REF!,"R",'Portefeuille SP2'!$D:$D,$A22,'Portefeuille SP2'!#REF!,"S")</f>
        <v>#REF!</v>
      </c>
      <c r="H22" s="111" t="e">
        <f>SUMIFS('Portefeuille SP2'!$U:$U,'Portefeuille SP2'!#REF!,1,'Portefeuille SP2'!$Q:$Q,"DECIDED",'Portefeuille SP2'!#REF!,"G",'Portefeuille SP2'!$D:$D,$A22,'Portefeuille SP2'!#REF!,"S",'Portefeuille SP2'!#REF!,"=")</f>
        <v>#REF!</v>
      </c>
      <c r="I22" s="117" t="e">
        <f>SUMIFS('Portefeuille SP2'!#REF!,'Portefeuille SP2'!#REF!,1,'Portefeuille SP2'!$Q:$Q,"DECIDED",'Portefeuille SP2'!#REF!,"G",'Portefeuille SP2'!$D:$D,$A22,'Portefeuille SP2'!#REF!,"S",'Portefeuille SP2'!#REF!,"=")</f>
        <v>#REF!</v>
      </c>
      <c r="J22" s="117" t="e">
        <f>SUMIFS('Portefeuille SP2'!#REF!,'Portefeuille SP2'!#REF!,1,'Portefeuille SP2'!$Q:$Q,"DECIDED",'Portefeuille SP2'!#REF!,"G",'Portefeuille SP2'!$D:$D,$A22,'Portefeuille SP2'!#REF!,"S",'Portefeuille SP2'!#REF!,"=")</f>
        <v>#REF!</v>
      </c>
      <c r="K22" s="111" t="e">
        <f>SUMIFS('Portefeuille SP2'!$U:$U,'Portefeuille SP2'!#REF!,1,'Portefeuille SP2'!$Q:$Q,"DECIDED",'Portefeuille SP2'!#REF!,"R",'Portefeuille SP2'!$D:$D,$A22,'Portefeuille SP2'!#REF!,"S",'Portefeuille SP2'!#REF!,"=")</f>
        <v>#REF!</v>
      </c>
      <c r="L22" s="126" t="e">
        <f>SUMIFS('Portefeuille SP2'!#REF!,'Portefeuille SP2'!#REF!,1,'Portefeuille SP2'!$Q:$Q,"DECIDED",'Portefeuille SP2'!#REF!,"R",'Portefeuille SP2'!$D:$D,$A22,'Portefeuille SP2'!#REF!,"S",'Portefeuille SP2'!#REF!,"=")</f>
        <v>#REF!</v>
      </c>
      <c r="M22" s="117" t="e">
        <f>SUMIFS('Portefeuille SP2'!#REF!,'Portefeuille SP2'!#REF!,1,'Portefeuille SP2'!$Q:$Q,"DECIDED",'Portefeuille SP2'!#REF!,"R",'Portefeuille SP2'!$D:$D,$A22,'Portefeuille SP2'!#REF!,"S",'Portefeuille SP2'!#REF!,"=")</f>
        <v>#REF!</v>
      </c>
      <c r="N22" s="111" t="e">
        <f>SUMIFS('Portefeuille SP2'!$U:$U,'Portefeuille SP2'!#REF!,1,'Portefeuille SP2'!$Q:$Q,"DECIDED",'Portefeuille SP2'!#REF!,"G",'Portefeuille SP2'!$D:$D,$A22,'Portefeuille SP2'!#REF!,"S",'Portefeuille SP2'!#REF!,"&lt;&gt;")</f>
        <v>#REF!</v>
      </c>
      <c r="O22" s="126" t="e">
        <f>SUMIFS('Portefeuille SP2'!#REF!,'Portefeuille SP2'!#REF!,1,'Portefeuille SP2'!$Q:$Q,"DECIDED",'Portefeuille SP2'!#REF!,"G",'Portefeuille SP2'!$D:$D,$A22,'Portefeuille SP2'!#REF!,"S",'Portefeuille SP2'!#REF!,"&lt;&gt;")</f>
        <v>#REF!</v>
      </c>
      <c r="P22" s="117" t="e">
        <f>SUMIFS('Portefeuille SP2'!#REF!,'Portefeuille SP2'!#REF!,1,'Portefeuille SP2'!$Q:$Q,"DECIDED",'Portefeuille SP2'!#REF!,"G",'Portefeuille SP2'!$D:$D,$A22,'Portefeuille SP2'!#REF!,"S",'Portefeuille SP2'!#REF!,"&lt;&gt;")</f>
        <v>#REF!</v>
      </c>
      <c r="Q22" s="111" t="e">
        <f>SUMIFS('Portefeuille SP2'!$U:$U,'Portefeuille SP2'!#REF!,1,'Portefeuille SP2'!$Q:$Q,"DECIDED",'Portefeuille SP2'!#REF!,"R",'Portefeuille SP2'!$D:$D,$A22,'Portefeuille SP2'!#REF!,"S",'Portefeuille SP2'!#REF!,"&lt;&gt;")</f>
        <v>#REF!</v>
      </c>
      <c r="R22" s="126" t="e">
        <f>SUMIFS('Portefeuille SP2'!#REF!,'Portefeuille SP2'!#REF!,1,'Portefeuille SP2'!$Q:$Q,"DECIDED",'Portefeuille SP2'!#REF!,"R",'Portefeuille SP2'!$D:$D,$A22,'Portefeuille SP2'!#REF!,"S",'Portefeuille SP2'!#REF!,"&lt;&gt;")</f>
        <v>#REF!</v>
      </c>
      <c r="S22" s="122" t="e">
        <f>SUMIFS('Portefeuille SP2'!#REF!,'Portefeuille SP2'!#REF!,1,'Portefeuille SP2'!$Q:$Q,"DECIDED",'Portefeuille SP2'!#REF!,"R",'Portefeuille SP2'!$D:$D,$A22,'Portefeuille SP2'!#REF!,"S",'Portefeuille SP2'!#REF!,"&lt;&gt;")</f>
        <v>#REF!</v>
      </c>
      <c r="U22" s="111" t="e">
        <f>SUMIFS('Portefeuille SP2'!$U:$U,'Portefeuille SP2'!#REF!,1,'Portefeuille SP2'!$Q:$Q,"IN PROGRESS",'Portefeuille SP2'!#REF!,"G",'Portefeuille SP2'!$D:$D,$A22,'Portefeuille SP2'!#REF!,"O")</f>
        <v>#REF!</v>
      </c>
      <c r="V22" s="126" t="e">
        <f>SUMIFS('Portefeuille SP2'!#REF!,'Portefeuille SP2'!#REF!,1,'Portefeuille SP2'!$Q:$Q,"IN PROGRESS",'Portefeuille SP2'!#REF!,"G",'Portefeuille SP2'!$D:$D,$A22,'Portefeuille SP2'!#REF!,"o")</f>
        <v>#REF!</v>
      </c>
      <c r="W22" s="117" t="e">
        <f>SUMIFS('Portefeuille SP2'!#REF!,'Portefeuille SP2'!#REF!,1,'Portefeuille SP2'!$Q:$Q,"IN PROGRESS",'Portefeuille SP2'!#REF!,"G",'Portefeuille SP2'!$D:$D,$A22,'Portefeuille SP2'!#REF!,"o")</f>
        <v>#REF!</v>
      </c>
      <c r="X22" s="111" t="e">
        <f>SUMIFS('Portefeuille SP2'!$U:$U,'Portefeuille SP2'!#REF!,1,'Portefeuille SP2'!$Q:$Q,"IN PROGRESS",'Portefeuille SP2'!#REF!,"R",'Portefeuille SP2'!$D:$D,$A22,'Portefeuille SP2'!#REF!,"o")</f>
        <v>#REF!</v>
      </c>
      <c r="Y22" s="126" t="e">
        <f>SUMIFS('Portefeuille SP2'!#REF!,'Portefeuille SP2'!#REF!,1,'Portefeuille SP2'!$Q:$Q,"IN PROGRESS",'Portefeuille SP2'!#REF!,"R",'Portefeuille SP2'!$D:$D,$A22,'Portefeuille SP2'!#REF!,"o")</f>
        <v>#REF!</v>
      </c>
      <c r="Z22" s="117" t="e">
        <f>SUMIFS('Portefeuille SP2'!#REF!,'Portefeuille SP2'!#REF!,1,'Portefeuille SP2'!$Q:$Q,"IN PROGRESS",'Portefeuille SP2'!#REF!,"R",'Portefeuille SP2'!$D:$D,$A22,'Portefeuille SP2'!#REF!,"o")</f>
        <v>#REF!</v>
      </c>
      <c r="AA22" s="111" t="e">
        <f>SUMIFS('Portefeuille SP2'!$U:$U,'Portefeuille SP2'!#REF!,1,'Portefeuille SP2'!$Q:$Q,"DECIDED",'Portefeuille SP2'!#REF!,"G",'Portefeuille SP2'!$D:$D,$A22,'Portefeuille SP2'!#REF!,"o",'Portefeuille SP2'!#REF!,"=")</f>
        <v>#REF!</v>
      </c>
      <c r="AB22" s="126" t="e">
        <f>SUMIFS('Portefeuille SP2'!#REF!,'Portefeuille SP2'!#REF!,1,'Portefeuille SP2'!$Q:$Q,"DECIDED",'Portefeuille SP2'!#REF!,"G",'Portefeuille SP2'!$D:$D,$A22,'Portefeuille SP2'!#REF!,"o",'Portefeuille SP2'!#REF!,"=")</f>
        <v>#REF!</v>
      </c>
      <c r="AC22" s="117" t="e">
        <f>SUMIFS('Portefeuille SP2'!#REF!,'Portefeuille SP2'!#REF!,1,'Portefeuille SP2'!$Q:$Q,"DECIDED",'Portefeuille SP2'!#REF!,"G",'Portefeuille SP2'!$D:$D,$A22,'Portefeuille SP2'!#REF!,"o",'Portefeuille SP2'!#REF!,"=")</f>
        <v>#REF!</v>
      </c>
      <c r="AD22" s="111" t="e">
        <f>SUMIFS('Portefeuille SP2'!$U:$U,'Portefeuille SP2'!#REF!,1,'Portefeuille SP2'!$Q:$Q,"DECIDED",'Portefeuille SP2'!#REF!,"R",'Portefeuille SP2'!$D:$D,$A22,'Portefeuille SP2'!#REF!,"o",'Portefeuille SP2'!#REF!,"=")</f>
        <v>#REF!</v>
      </c>
      <c r="AE22" s="126" t="e">
        <f>SUMIFS('Portefeuille SP2'!#REF!,'Portefeuille SP2'!#REF!,1,'Portefeuille SP2'!$Q:$Q,"DECIDED",'Portefeuille SP2'!#REF!,"R",'Portefeuille SP2'!$D:$D,$A22,'Portefeuille SP2'!#REF!,"o",'Portefeuille SP2'!#REF!,"=")</f>
        <v>#REF!</v>
      </c>
      <c r="AF22" s="117" t="e">
        <f>SUMIFS('Portefeuille SP2'!#REF!,'Portefeuille SP2'!#REF!,1,'Portefeuille SP2'!$Q:$Q,"DECIDED",'Portefeuille SP2'!#REF!,"R",'Portefeuille SP2'!$D:$D,$A22,'Portefeuille SP2'!#REF!,"o",'Portefeuille SP2'!#REF!,"=")</f>
        <v>#REF!</v>
      </c>
      <c r="AG22" s="111" t="e">
        <f>SUMIFS('Portefeuille SP2'!$U:$U,'Portefeuille SP2'!#REF!,1,'Portefeuille SP2'!$Q:$Q,"DECIDED",'Portefeuille SP2'!#REF!,"G",'Portefeuille SP2'!$D:$D,$A22,'Portefeuille SP2'!#REF!,"o",'Portefeuille SP2'!#REF!,"&lt;&gt;")</f>
        <v>#REF!</v>
      </c>
      <c r="AH22" s="126" t="e">
        <f>SUMIFS('Portefeuille SP2'!#REF!,'Portefeuille SP2'!#REF!,1,'Portefeuille SP2'!$Q:$Q,"DECIDED",'Portefeuille SP2'!#REF!,"G",'Portefeuille SP2'!$D:$D,$A22,'Portefeuille SP2'!#REF!,"o",'Portefeuille SP2'!#REF!,"&lt;&gt;")</f>
        <v>#REF!</v>
      </c>
      <c r="AI22" s="117" t="e">
        <f>SUMIFS('Portefeuille SP2'!#REF!,'Portefeuille SP2'!#REF!,1,'Portefeuille SP2'!$Q:$Q,"DECIDED",'Portefeuille SP2'!#REF!,"G",'Portefeuille SP2'!$D:$D,$A22,'Portefeuille SP2'!#REF!,"o",'Portefeuille SP2'!#REF!,"&lt;&gt;")</f>
        <v>#REF!</v>
      </c>
      <c r="AJ22" s="111" t="e">
        <f>SUMIFS('Portefeuille SP2'!$U:$U,'Portefeuille SP2'!#REF!,1,'Portefeuille SP2'!$Q:$Q,"DECIDED",'Portefeuille SP2'!#REF!,"R",'Portefeuille SP2'!$D:$D,$A22,'Portefeuille SP2'!#REF!,"o",'Portefeuille SP2'!#REF!,"&lt;&gt;")</f>
        <v>#REF!</v>
      </c>
      <c r="AK22" s="126" t="e">
        <f>SUMIFS('Portefeuille SP2'!#REF!,'Portefeuille SP2'!#REF!,1,'Portefeuille SP2'!$Q:$Q,"DECIDED",'Portefeuille SP2'!#REF!,"R",'Portefeuille SP2'!$D:$D,$A22,'Portefeuille SP2'!#REF!,"o",'Portefeuille SP2'!#REF!,"&lt;&gt;")</f>
        <v>#REF!</v>
      </c>
      <c r="AL22" s="117" t="e">
        <f>SUMIFS('Portefeuille SP2'!#REF!,'Portefeuille SP2'!#REF!,1,'Portefeuille SP2'!$Q:$Q,"DECIDED",'Portefeuille SP2'!#REF!,"R",'Portefeuille SP2'!$D:$D,$A22,'Portefeuille SP2'!#REF!,"o",'Portefeuille SP2'!#REF!,"&lt;&gt;")</f>
        <v>#REF!</v>
      </c>
      <c r="AM22" s="117"/>
    </row>
    <row r="23" spans="1:42" outlineLevel="1">
      <c r="A23" t="s">
        <v>1326</v>
      </c>
      <c r="B23" s="139" t="e">
        <f>SUMIFS('Portefeuille SP2'!$U:$U,'Portefeuille SP2'!#REF!,1,'Portefeuille SP2'!$Q:$Q,"IN PROGRESS",'Portefeuille SP2'!#REF!,"G",'Portefeuille SP2'!$D:$D,$A23,'Portefeuille SP2'!#REF!,"S")</f>
        <v>#REF!</v>
      </c>
      <c r="C23" s="126" t="e">
        <f>SUMIFS('Portefeuille SP2'!#REF!,'Portefeuille SP2'!#REF!,1,'Portefeuille SP2'!$Q:$Q,"IN PROGRESS",'Portefeuille SP2'!#REF!,"G",'Portefeuille SP2'!$D:$D,$A23,'Portefeuille SP2'!#REF!,"S")</f>
        <v>#REF!</v>
      </c>
      <c r="D23" s="122" t="e">
        <f>SUMIFS('Portefeuille SP2'!#REF!,'Portefeuille SP2'!#REF!,1,'Portefeuille SP2'!$Q:$Q,"IN PROGRESS",'Portefeuille SP2'!#REF!,"G",'Portefeuille SP2'!$D:$D,$A23,'Portefeuille SP2'!#REF!,"S")</f>
        <v>#REF!</v>
      </c>
      <c r="E23" s="111" t="e">
        <f>SUMIFS('Portefeuille SP2'!$U:$U,'Portefeuille SP2'!#REF!,1,'Portefeuille SP2'!$Q:$Q,"IN PROGRESS",'Portefeuille SP2'!#REF!,"R",'Portefeuille SP2'!$D:$D,$A23,'Portefeuille SP2'!#REF!,"S")</f>
        <v>#REF!</v>
      </c>
      <c r="F23" s="126" t="e">
        <f>SUMIFS('Portefeuille SP2'!#REF!,'Portefeuille SP2'!#REF!,1,'Portefeuille SP2'!$Q:$Q,"IN PROGRESS",'Portefeuille SP2'!#REF!,"R",'Portefeuille SP2'!$D:$D,$A23,'Portefeuille SP2'!#REF!,"S")</f>
        <v>#REF!</v>
      </c>
      <c r="G23" s="117" t="e">
        <f>SUMIFS('Portefeuille SP2'!#REF!,'Portefeuille SP2'!#REF!,1,'Portefeuille SP2'!$Q:$Q,"IN PROGRESS",'Portefeuille SP2'!#REF!,"R",'Portefeuille SP2'!$D:$D,$A23,'Portefeuille SP2'!#REF!,"S")</f>
        <v>#REF!</v>
      </c>
      <c r="H23" s="111" t="e">
        <f>SUMIFS('Portefeuille SP2'!$U:$U,'Portefeuille SP2'!#REF!,1,'Portefeuille SP2'!$Q:$Q,"DECIDED",'Portefeuille SP2'!#REF!,"G",'Portefeuille SP2'!$D:$D,$A23,'Portefeuille SP2'!#REF!,"S",'Portefeuille SP2'!#REF!,"=")</f>
        <v>#REF!</v>
      </c>
      <c r="I23" s="117" t="e">
        <f>SUMIFS('Portefeuille SP2'!#REF!,'Portefeuille SP2'!#REF!,1,'Portefeuille SP2'!$Q:$Q,"DECIDED",'Portefeuille SP2'!#REF!,"G",'Portefeuille SP2'!$D:$D,$A23,'Portefeuille SP2'!#REF!,"S",'Portefeuille SP2'!#REF!,"=")</f>
        <v>#REF!</v>
      </c>
      <c r="J23" s="117" t="e">
        <f>SUMIFS('Portefeuille SP2'!#REF!,'Portefeuille SP2'!#REF!,1,'Portefeuille SP2'!$Q:$Q,"DECIDED",'Portefeuille SP2'!#REF!,"G",'Portefeuille SP2'!$D:$D,$A23,'Portefeuille SP2'!#REF!,"S",'Portefeuille SP2'!#REF!,"=")</f>
        <v>#REF!</v>
      </c>
      <c r="K23" s="111" t="e">
        <f>SUMIFS('Portefeuille SP2'!$U:$U,'Portefeuille SP2'!#REF!,1,'Portefeuille SP2'!$Q:$Q,"DECIDED",'Portefeuille SP2'!#REF!,"R",'Portefeuille SP2'!$D:$D,$A23,'Portefeuille SP2'!#REF!,"S",'Portefeuille SP2'!#REF!,"=")</f>
        <v>#REF!</v>
      </c>
      <c r="L23" s="126" t="e">
        <f>SUMIFS('Portefeuille SP2'!#REF!,'Portefeuille SP2'!#REF!,1,'Portefeuille SP2'!$Q:$Q,"DECIDED",'Portefeuille SP2'!#REF!,"R",'Portefeuille SP2'!$D:$D,$A23,'Portefeuille SP2'!#REF!,"S",'Portefeuille SP2'!#REF!,"=")</f>
        <v>#REF!</v>
      </c>
      <c r="M23" s="117" t="e">
        <f>SUMIFS('Portefeuille SP2'!#REF!,'Portefeuille SP2'!#REF!,1,'Portefeuille SP2'!$Q:$Q,"DECIDED",'Portefeuille SP2'!#REF!,"R",'Portefeuille SP2'!$D:$D,$A23,'Portefeuille SP2'!#REF!,"S",'Portefeuille SP2'!#REF!,"=")</f>
        <v>#REF!</v>
      </c>
      <c r="N23" s="111" t="e">
        <f>SUMIFS('Portefeuille SP2'!$U:$U,'Portefeuille SP2'!#REF!,1,'Portefeuille SP2'!$Q:$Q,"DECIDED",'Portefeuille SP2'!#REF!,"G",'Portefeuille SP2'!$D:$D,$A23,'Portefeuille SP2'!#REF!,"S",'Portefeuille SP2'!#REF!,"&lt;&gt;")</f>
        <v>#REF!</v>
      </c>
      <c r="O23" s="126" t="e">
        <f>SUMIFS('Portefeuille SP2'!#REF!,'Portefeuille SP2'!#REF!,1,'Portefeuille SP2'!$Q:$Q,"DECIDED",'Portefeuille SP2'!#REF!,"G",'Portefeuille SP2'!$D:$D,$A23,'Portefeuille SP2'!#REF!,"S",'Portefeuille SP2'!#REF!,"&lt;&gt;")</f>
        <v>#REF!</v>
      </c>
      <c r="P23" s="117" t="e">
        <f>SUMIFS('Portefeuille SP2'!#REF!,'Portefeuille SP2'!#REF!,1,'Portefeuille SP2'!$Q:$Q,"DECIDED",'Portefeuille SP2'!#REF!,"G",'Portefeuille SP2'!$D:$D,$A23,'Portefeuille SP2'!#REF!,"S",'Portefeuille SP2'!#REF!,"&lt;&gt;")</f>
        <v>#REF!</v>
      </c>
      <c r="Q23" s="111" t="e">
        <f>SUMIFS('Portefeuille SP2'!$U:$U,'Portefeuille SP2'!#REF!,1,'Portefeuille SP2'!$Q:$Q,"DECIDED",'Portefeuille SP2'!#REF!,"R",'Portefeuille SP2'!$D:$D,$A23,'Portefeuille SP2'!#REF!,"S",'Portefeuille SP2'!#REF!,"&lt;&gt;")</f>
        <v>#REF!</v>
      </c>
      <c r="R23" s="126" t="e">
        <f>SUMIFS('Portefeuille SP2'!#REF!,'Portefeuille SP2'!#REF!,1,'Portefeuille SP2'!$Q:$Q,"DECIDED",'Portefeuille SP2'!#REF!,"R",'Portefeuille SP2'!$D:$D,$A23,'Portefeuille SP2'!#REF!,"S",'Portefeuille SP2'!#REF!,"&lt;&gt;")</f>
        <v>#REF!</v>
      </c>
      <c r="S23" s="122" t="e">
        <f>SUMIFS('Portefeuille SP2'!#REF!,'Portefeuille SP2'!#REF!,1,'Portefeuille SP2'!$Q:$Q,"DECIDED",'Portefeuille SP2'!#REF!,"R",'Portefeuille SP2'!$D:$D,$A23,'Portefeuille SP2'!#REF!,"S",'Portefeuille SP2'!#REF!,"&lt;&gt;")</f>
        <v>#REF!</v>
      </c>
      <c r="U23" s="111" t="e">
        <f>SUMIFS('Portefeuille SP2'!$U:$U,'Portefeuille SP2'!#REF!,1,'Portefeuille SP2'!$Q:$Q,"IN PROGRESS",'Portefeuille SP2'!#REF!,"G",'Portefeuille SP2'!$D:$D,$A23,'Portefeuille SP2'!#REF!,"O")</f>
        <v>#REF!</v>
      </c>
      <c r="V23" s="126" t="e">
        <f>SUMIFS('Portefeuille SP2'!#REF!,'Portefeuille SP2'!#REF!,1,'Portefeuille SP2'!$Q:$Q,"IN PROGRESS",'Portefeuille SP2'!#REF!,"G",'Portefeuille SP2'!$D:$D,$A23,'Portefeuille SP2'!#REF!,"o")</f>
        <v>#REF!</v>
      </c>
      <c r="W23" s="117" t="e">
        <f>SUMIFS('Portefeuille SP2'!#REF!,'Portefeuille SP2'!#REF!,1,'Portefeuille SP2'!$Q:$Q,"IN PROGRESS",'Portefeuille SP2'!#REF!,"G",'Portefeuille SP2'!$D:$D,$A23,'Portefeuille SP2'!#REF!,"o")</f>
        <v>#REF!</v>
      </c>
      <c r="X23" s="111" t="e">
        <f>SUMIFS('Portefeuille SP2'!$U:$U,'Portefeuille SP2'!#REF!,1,'Portefeuille SP2'!$Q:$Q,"IN PROGRESS",'Portefeuille SP2'!#REF!,"R",'Portefeuille SP2'!$D:$D,$A23,'Portefeuille SP2'!#REF!,"o")</f>
        <v>#REF!</v>
      </c>
      <c r="Y23" s="126" t="e">
        <f>SUMIFS('Portefeuille SP2'!#REF!,'Portefeuille SP2'!#REF!,1,'Portefeuille SP2'!$Q:$Q,"IN PROGRESS",'Portefeuille SP2'!#REF!,"R",'Portefeuille SP2'!$D:$D,$A23,'Portefeuille SP2'!#REF!,"o")</f>
        <v>#REF!</v>
      </c>
      <c r="Z23" s="117" t="e">
        <f>SUMIFS('Portefeuille SP2'!#REF!,'Portefeuille SP2'!#REF!,1,'Portefeuille SP2'!$Q:$Q,"IN PROGRESS",'Portefeuille SP2'!#REF!,"R",'Portefeuille SP2'!$D:$D,$A23,'Portefeuille SP2'!#REF!,"o")</f>
        <v>#REF!</v>
      </c>
      <c r="AA23" s="111" t="e">
        <f>SUMIFS('Portefeuille SP2'!$U:$U,'Portefeuille SP2'!#REF!,1,'Portefeuille SP2'!$Q:$Q,"DECIDED",'Portefeuille SP2'!#REF!,"G",'Portefeuille SP2'!$D:$D,$A23,'Portefeuille SP2'!#REF!,"o",'Portefeuille SP2'!#REF!,"=")</f>
        <v>#REF!</v>
      </c>
      <c r="AB23" s="126" t="e">
        <f>SUMIFS('Portefeuille SP2'!#REF!,'Portefeuille SP2'!#REF!,1,'Portefeuille SP2'!$Q:$Q,"DECIDED",'Portefeuille SP2'!#REF!,"G",'Portefeuille SP2'!$D:$D,$A23,'Portefeuille SP2'!#REF!,"o",'Portefeuille SP2'!#REF!,"=")</f>
        <v>#REF!</v>
      </c>
      <c r="AC23" s="117" t="e">
        <f>SUMIFS('Portefeuille SP2'!#REF!,'Portefeuille SP2'!#REF!,1,'Portefeuille SP2'!$Q:$Q,"DECIDED",'Portefeuille SP2'!#REF!,"G",'Portefeuille SP2'!$D:$D,$A23,'Portefeuille SP2'!#REF!,"o",'Portefeuille SP2'!#REF!,"=")</f>
        <v>#REF!</v>
      </c>
      <c r="AD23" s="111" t="e">
        <f>SUMIFS('Portefeuille SP2'!$U:$U,'Portefeuille SP2'!#REF!,1,'Portefeuille SP2'!$Q:$Q,"DECIDED",'Portefeuille SP2'!#REF!,"R",'Portefeuille SP2'!$D:$D,$A23,'Portefeuille SP2'!#REF!,"o",'Portefeuille SP2'!#REF!,"=")</f>
        <v>#REF!</v>
      </c>
      <c r="AE23" s="126" t="e">
        <f>SUMIFS('Portefeuille SP2'!#REF!,'Portefeuille SP2'!#REF!,1,'Portefeuille SP2'!$Q:$Q,"DECIDED",'Portefeuille SP2'!#REF!,"R",'Portefeuille SP2'!$D:$D,$A23,'Portefeuille SP2'!#REF!,"o",'Portefeuille SP2'!#REF!,"=")</f>
        <v>#REF!</v>
      </c>
      <c r="AF23" s="117" t="e">
        <f>SUMIFS('Portefeuille SP2'!#REF!,'Portefeuille SP2'!#REF!,1,'Portefeuille SP2'!$Q:$Q,"DECIDED",'Portefeuille SP2'!#REF!,"R",'Portefeuille SP2'!$D:$D,$A23,'Portefeuille SP2'!#REF!,"o",'Portefeuille SP2'!#REF!,"=")</f>
        <v>#REF!</v>
      </c>
      <c r="AG23" s="111" t="e">
        <f>SUMIFS('Portefeuille SP2'!$U:$U,'Portefeuille SP2'!#REF!,1,'Portefeuille SP2'!$Q:$Q,"DECIDED",'Portefeuille SP2'!#REF!,"G",'Portefeuille SP2'!$D:$D,$A23,'Portefeuille SP2'!#REF!,"o",'Portefeuille SP2'!#REF!,"&lt;&gt;")</f>
        <v>#REF!</v>
      </c>
      <c r="AH23" s="126" t="e">
        <f>SUMIFS('Portefeuille SP2'!#REF!,'Portefeuille SP2'!#REF!,1,'Portefeuille SP2'!$Q:$Q,"DECIDED",'Portefeuille SP2'!#REF!,"G",'Portefeuille SP2'!$D:$D,$A23,'Portefeuille SP2'!#REF!,"o",'Portefeuille SP2'!#REF!,"&lt;&gt;")</f>
        <v>#REF!</v>
      </c>
      <c r="AI23" s="117" t="e">
        <f>SUMIFS('Portefeuille SP2'!#REF!,'Portefeuille SP2'!#REF!,1,'Portefeuille SP2'!$Q:$Q,"DECIDED",'Portefeuille SP2'!#REF!,"G",'Portefeuille SP2'!$D:$D,$A23,'Portefeuille SP2'!#REF!,"o",'Portefeuille SP2'!#REF!,"&lt;&gt;")</f>
        <v>#REF!</v>
      </c>
      <c r="AJ23" s="111" t="e">
        <f>SUMIFS('Portefeuille SP2'!$U:$U,'Portefeuille SP2'!#REF!,1,'Portefeuille SP2'!$Q:$Q,"DECIDED",'Portefeuille SP2'!#REF!,"R",'Portefeuille SP2'!$D:$D,$A23,'Portefeuille SP2'!#REF!,"o",'Portefeuille SP2'!#REF!,"&lt;&gt;")</f>
        <v>#REF!</v>
      </c>
      <c r="AK23" s="126" t="e">
        <f>SUMIFS('Portefeuille SP2'!#REF!,'Portefeuille SP2'!#REF!,1,'Portefeuille SP2'!$Q:$Q,"DECIDED",'Portefeuille SP2'!#REF!,"R",'Portefeuille SP2'!$D:$D,$A23,'Portefeuille SP2'!#REF!,"o",'Portefeuille SP2'!#REF!,"&lt;&gt;")</f>
        <v>#REF!</v>
      </c>
      <c r="AL23" s="117" t="e">
        <f>SUMIFS('Portefeuille SP2'!#REF!,'Portefeuille SP2'!#REF!,1,'Portefeuille SP2'!$Q:$Q,"DECIDED",'Portefeuille SP2'!#REF!,"R",'Portefeuille SP2'!$D:$D,$A23,'Portefeuille SP2'!#REF!,"o",'Portefeuille SP2'!#REF!,"&lt;&gt;")</f>
        <v>#REF!</v>
      </c>
      <c r="AM23" s="117"/>
    </row>
    <row r="24" spans="1:42" outlineLevel="1">
      <c r="A24" t="s">
        <v>1317</v>
      </c>
      <c r="B24" s="139" t="e">
        <f>SUMIFS('Portefeuille SP2'!$U:$U,'Portefeuille SP2'!#REF!,1,'Portefeuille SP2'!$Q:$Q,"IN PROGRESS",'Portefeuille SP2'!#REF!,"G",'Portefeuille SP2'!$D:$D,$A24,'Portefeuille SP2'!#REF!,"S")</f>
        <v>#REF!</v>
      </c>
      <c r="C24" s="126" t="e">
        <f>SUMIFS('Portefeuille SP2'!#REF!,'Portefeuille SP2'!#REF!,1,'Portefeuille SP2'!$Q:$Q,"IN PROGRESS",'Portefeuille SP2'!#REF!,"G",'Portefeuille SP2'!$D:$D,$A24,'Portefeuille SP2'!#REF!,"S")</f>
        <v>#REF!</v>
      </c>
      <c r="D24" s="122" t="e">
        <f>SUMIFS('Portefeuille SP2'!#REF!,'Portefeuille SP2'!#REF!,1,'Portefeuille SP2'!$Q:$Q,"IN PROGRESS",'Portefeuille SP2'!#REF!,"G",'Portefeuille SP2'!$D:$D,$A24,'Portefeuille SP2'!#REF!,"S")</f>
        <v>#REF!</v>
      </c>
      <c r="E24" s="111" t="e">
        <f>SUMIFS('Portefeuille SP2'!$U:$U,'Portefeuille SP2'!#REF!,1,'Portefeuille SP2'!$Q:$Q,"IN PROGRESS",'Portefeuille SP2'!#REF!,"R",'Portefeuille SP2'!$D:$D,$A24,'Portefeuille SP2'!#REF!,"S")</f>
        <v>#REF!</v>
      </c>
      <c r="F24" s="126" t="e">
        <f>SUMIFS('Portefeuille SP2'!#REF!,'Portefeuille SP2'!#REF!,1,'Portefeuille SP2'!$Q:$Q,"IN PROGRESS",'Portefeuille SP2'!#REF!,"R",'Portefeuille SP2'!$D:$D,$A24,'Portefeuille SP2'!#REF!,"S")</f>
        <v>#REF!</v>
      </c>
      <c r="G24" s="117" t="e">
        <f>SUMIFS('Portefeuille SP2'!#REF!,'Portefeuille SP2'!#REF!,1,'Portefeuille SP2'!$Q:$Q,"IN PROGRESS",'Portefeuille SP2'!#REF!,"R",'Portefeuille SP2'!$D:$D,$A24,'Portefeuille SP2'!#REF!,"S")</f>
        <v>#REF!</v>
      </c>
      <c r="H24" s="111" t="e">
        <f>SUMIFS('Portefeuille SP2'!$U:$U,'Portefeuille SP2'!#REF!,1,'Portefeuille SP2'!$Q:$Q,"DECIDED",'Portefeuille SP2'!#REF!,"G",'Portefeuille SP2'!$D:$D,$A24,'Portefeuille SP2'!#REF!,"S",'Portefeuille SP2'!#REF!,"=")</f>
        <v>#REF!</v>
      </c>
      <c r="I24" s="117" t="e">
        <f>SUMIFS('Portefeuille SP2'!#REF!,'Portefeuille SP2'!#REF!,1,'Portefeuille SP2'!$Q:$Q,"DECIDED",'Portefeuille SP2'!#REF!,"G",'Portefeuille SP2'!$D:$D,$A24,'Portefeuille SP2'!#REF!,"S",'Portefeuille SP2'!#REF!,"=")</f>
        <v>#REF!</v>
      </c>
      <c r="J24" s="117" t="e">
        <f>SUMIFS('Portefeuille SP2'!#REF!,'Portefeuille SP2'!#REF!,1,'Portefeuille SP2'!$Q:$Q,"DECIDED",'Portefeuille SP2'!#REF!,"G",'Portefeuille SP2'!$D:$D,$A24,'Portefeuille SP2'!#REF!,"S",'Portefeuille SP2'!#REF!,"=")</f>
        <v>#REF!</v>
      </c>
      <c r="K24" s="111" t="e">
        <f>SUMIFS('Portefeuille SP2'!$U:$U,'Portefeuille SP2'!#REF!,1,'Portefeuille SP2'!$Q:$Q,"DECIDED",'Portefeuille SP2'!#REF!,"R",'Portefeuille SP2'!$D:$D,$A24,'Portefeuille SP2'!#REF!,"S",'Portefeuille SP2'!#REF!,"=")</f>
        <v>#REF!</v>
      </c>
      <c r="L24" s="126" t="e">
        <f>SUMIFS('Portefeuille SP2'!#REF!,'Portefeuille SP2'!#REF!,1,'Portefeuille SP2'!$Q:$Q,"DECIDED",'Portefeuille SP2'!#REF!,"R",'Portefeuille SP2'!$D:$D,$A24,'Portefeuille SP2'!#REF!,"S",'Portefeuille SP2'!#REF!,"=")</f>
        <v>#REF!</v>
      </c>
      <c r="M24" s="117" t="e">
        <f>SUMIFS('Portefeuille SP2'!#REF!,'Portefeuille SP2'!#REF!,1,'Portefeuille SP2'!$Q:$Q,"DECIDED",'Portefeuille SP2'!#REF!,"R",'Portefeuille SP2'!$D:$D,$A24,'Portefeuille SP2'!#REF!,"S",'Portefeuille SP2'!#REF!,"=")</f>
        <v>#REF!</v>
      </c>
      <c r="N24" s="111" t="e">
        <f>SUMIFS('Portefeuille SP2'!$U:$U,'Portefeuille SP2'!#REF!,1,'Portefeuille SP2'!$Q:$Q,"DECIDED",'Portefeuille SP2'!#REF!,"G",'Portefeuille SP2'!$D:$D,$A24,'Portefeuille SP2'!#REF!,"S",'Portefeuille SP2'!#REF!,"&lt;&gt;")</f>
        <v>#REF!</v>
      </c>
      <c r="O24" s="126" t="e">
        <f>SUMIFS('Portefeuille SP2'!#REF!,'Portefeuille SP2'!#REF!,1,'Portefeuille SP2'!$Q:$Q,"DECIDED",'Portefeuille SP2'!#REF!,"G",'Portefeuille SP2'!$D:$D,$A24,'Portefeuille SP2'!#REF!,"S",'Portefeuille SP2'!#REF!,"&lt;&gt;")</f>
        <v>#REF!</v>
      </c>
      <c r="P24" s="117" t="e">
        <f>SUMIFS('Portefeuille SP2'!#REF!,'Portefeuille SP2'!#REF!,1,'Portefeuille SP2'!$Q:$Q,"DECIDED",'Portefeuille SP2'!#REF!,"G",'Portefeuille SP2'!$D:$D,$A24,'Portefeuille SP2'!#REF!,"S",'Portefeuille SP2'!#REF!,"&lt;&gt;")</f>
        <v>#REF!</v>
      </c>
      <c r="Q24" s="111" t="e">
        <f>SUMIFS('Portefeuille SP2'!$U:$U,'Portefeuille SP2'!#REF!,1,'Portefeuille SP2'!$Q:$Q,"DECIDED",'Portefeuille SP2'!#REF!,"R",'Portefeuille SP2'!$D:$D,$A24,'Portefeuille SP2'!#REF!,"S",'Portefeuille SP2'!#REF!,"&lt;&gt;")</f>
        <v>#REF!</v>
      </c>
      <c r="R24" s="126" t="e">
        <f>SUMIFS('Portefeuille SP2'!#REF!,'Portefeuille SP2'!#REF!,1,'Portefeuille SP2'!$Q:$Q,"DECIDED",'Portefeuille SP2'!#REF!,"R",'Portefeuille SP2'!$D:$D,$A24,'Portefeuille SP2'!#REF!,"S",'Portefeuille SP2'!#REF!,"&lt;&gt;")</f>
        <v>#REF!</v>
      </c>
      <c r="S24" s="122" t="e">
        <f>SUMIFS('Portefeuille SP2'!#REF!,'Portefeuille SP2'!#REF!,1,'Portefeuille SP2'!$Q:$Q,"DECIDED",'Portefeuille SP2'!#REF!,"R",'Portefeuille SP2'!$D:$D,$A24,'Portefeuille SP2'!#REF!,"S",'Portefeuille SP2'!#REF!,"&lt;&gt;")</f>
        <v>#REF!</v>
      </c>
      <c r="U24" s="111" t="e">
        <f>SUMIFS('Portefeuille SP2'!$U:$U,'Portefeuille SP2'!#REF!,1,'Portefeuille SP2'!$Q:$Q,"IN PROGRESS",'Portefeuille SP2'!#REF!,"G",'Portefeuille SP2'!$D:$D,$A24,'Portefeuille SP2'!#REF!,"O")</f>
        <v>#REF!</v>
      </c>
      <c r="V24" s="126" t="e">
        <f>SUMIFS('Portefeuille SP2'!#REF!,'Portefeuille SP2'!#REF!,1,'Portefeuille SP2'!$Q:$Q,"IN PROGRESS",'Portefeuille SP2'!#REF!,"G",'Portefeuille SP2'!$D:$D,$A24,'Portefeuille SP2'!#REF!,"o")</f>
        <v>#REF!</v>
      </c>
      <c r="W24" s="117" t="e">
        <f>SUMIFS('Portefeuille SP2'!#REF!,'Portefeuille SP2'!#REF!,1,'Portefeuille SP2'!$Q:$Q,"IN PROGRESS",'Portefeuille SP2'!#REF!,"G",'Portefeuille SP2'!$D:$D,$A24,'Portefeuille SP2'!#REF!,"o")</f>
        <v>#REF!</v>
      </c>
      <c r="X24" s="111" t="e">
        <f>SUMIFS('Portefeuille SP2'!$U:$U,'Portefeuille SP2'!#REF!,1,'Portefeuille SP2'!$Q:$Q,"IN PROGRESS",'Portefeuille SP2'!#REF!,"R",'Portefeuille SP2'!$D:$D,$A24,'Portefeuille SP2'!#REF!,"o")</f>
        <v>#REF!</v>
      </c>
      <c r="Y24" s="126" t="e">
        <f>SUMIFS('Portefeuille SP2'!#REF!,'Portefeuille SP2'!#REF!,1,'Portefeuille SP2'!$Q:$Q,"IN PROGRESS",'Portefeuille SP2'!#REF!,"R",'Portefeuille SP2'!$D:$D,$A24,'Portefeuille SP2'!#REF!,"o")</f>
        <v>#REF!</v>
      </c>
      <c r="Z24" s="117" t="e">
        <f>SUMIFS('Portefeuille SP2'!#REF!,'Portefeuille SP2'!#REF!,1,'Portefeuille SP2'!$Q:$Q,"IN PROGRESS",'Portefeuille SP2'!#REF!,"R",'Portefeuille SP2'!$D:$D,$A24,'Portefeuille SP2'!#REF!,"o")</f>
        <v>#REF!</v>
      </c>
      <c r="AA24" s="111" t="e">
        <f>SUMIFS('Portefeuille SP2'!$U:$U,'Portefeuille SP2'!#REF!,1,'Portefeuille SP2'!$Q:$Q,"DECIDED",'Portefeuille SP2'!#REF!,"G",'Portefeuille SP2'!$D:$D,$A24,'Portefeuille SP2'!#REF!,"o",'Portefeuille SP2'!#REF!,"=")</f>
        <v>#REF!</v>
      </c>
      <c r="AB24" s="126" t="e">
        <f>SUMIFS('Portefeuille SP2'!#REF!,'Portefeuille SP2'!#REF!,1,'Portefeuille SP2'!$Q:$Q,"DECIDED",'Portefeuille SP2'!#REF!,"G",'Portefeuille SP2'!$D:$D,$A24,'Portefeuille SP2'!#REF!,"o",'Portefeuille SP2'!#REF!,"=")</f>
        <v>#REF!</v>
      </c>
      <c r="AC24" s="117" t="e">
        <f>SUMIFS('Portefeuille SP2'!#REF!,'Portefeuille SP2'!#REF!,1,'Portefeuille SP2'!$Q:$Q,"DECIDED",'Portefeuille SP2'!#REF!,"G",'Portefeuille SP2'!$D:$D,$A24,'Portefeuille SP2'!#REF!,"o",'Portefeuille SP2'!#REF!,"=")</f>
        <v>#REF!</v>
      </c>
      <c r="AD24" s="111" t="e">
        <f>SUMIFS('Portefeuille SP2'!$U:$U,'Portefeuille SP2'!#REF!,1,'Portefeuille SP2'!$Q:$Q,"DECIDED",'Portefeuille SP2'!#REF!,"R",'Portefeuille SP2'!$D:$D,$A24,'Portefeuille SP2'!#REF!,"o",'Portefeuille SP2'!#REF!,"=")</f>
        <v>#REF!</v>
      </c>
      <c r="AE24" s="126" t="e">
        <f>SUMIFS('Portefeuille SP2'!#REF!,'Portefeuille SP2'!#REF!,1,'Portefeuille SP2'!$Q:$Q,"DECIDED",'Portefeuille SP2'!#REF!,"R",'Portefeuille SP2'!$D:$D,$A24,'Portefeuille SP2'!#REF!,"o",'Portefeuille SP2'!#REF!,"=")</f>
        <v>#REF!</v>
      </c>
      <c r="AF24" s="117" t="e">
        <f>SUMIFS('Portefeuille SP2'!#REF!,'Portefeuille SP2'!#REF!,1,'Portefeuille SP2'!$Q:$Q,"DECIDED",'Portefeuille SP2'!#REF!,"R",'Portefeuille SP2'!$D:$D,$A24,'Portefeuille SP2'!#REF!,"o",'Portefeuille SP2'!#REF!,"=")</f>
        <v>#REF!</v>
      </c>
      <c r="AG24" s="111" t="e">
        <f>SUMIFS('Portefeuille SP2'!$U:$U,'Portefeuille SP2'!#REF!,1,'Portefeuille SP2'!$Q:$Q,"DECIDED",'Portefeuille SP2'!#REF!,"G",'Portefeuille SP2'!$D:$D,$A24,'Portefeuille SP2'!#REF!,"o",'Portefeuille SP2'!#REF!,"&lt;&gt;")</f>
        <v>#REF!</v>
      </c>
      <c r="AH24" s="126" t="e">
        <f>SUMIFS('Portefeuille SP2'!#REF!,'Portefeuille SP2'!#REF!,1,'Portefeuille SP2'!$Q:$Q,"DECIDED",'Portefeuille SP2'!#REF!,"G",'Portefeuille SP2'!$D:$D,$A24,'Portefeuille SP2'!#REF!,"o",'Portefeuille SP2'!#REF!,"&lt;&gt;")</f>
        <v>#REF!</v>
      </c>
      <c r="AI24" s="117" t="e">
        <f>SUMIFS('Portefeuille SP2'!#REF!,'Portefeuille SP2'!#REF!,1,'Portefeuille SP2'!$Q:$Q,"DECIDED",'Portefeuille SP2'!#REF!,"G",'Portefeuille SP2'!$D:$D,$A24,'Portefeuille SP2'!#REF!,"o",'Portefeuille SP2'!#REF!,"&lt;&gt;")</f>
        <v>#REF!</v>
      </c>
      <c r="AJ24" s="111" t="e">
        <f>SUMIFS('Portefeuille SP2'!$U:$U,'Portefeuille SP2'!#REF!,1,'Portefeuille SP2'!$Q:$Q,"DECIDED",'Portefeuille SP2'!#REF!,"R",'Portefeuille SP2'!$D:$D,$A24,'Portefeuille SP2'!#REF!,"o",'Portefeuille SP2'!#REF!,"&lt;&gt;")</f>
        <v>#REF!</v>
      </c>
      <c r="AK24" s="126" t="e">
        <f>SUMIFS('Portefeuille SP2'!#REF!,'Portefeuille SP2'!#REF!,1,'Portefeuille SP2'!$Q:$Q,"DECIDED",'Portefeuille SP2'!#REF!,"R",'Portefeuille SP2'!$D:$D,$A24,'Portefeuille SP2'!#REF!,"o",'Portefeuille SP2'!#REF!,"&lt;&gt;")</f>
        <v>#REF!</v>
      </c>
      <c r="AL24" s="117" t="e">
        <f>SUMIFS('Portefeuille SP2'!#REF!,'Portefeuille SP2'!#REF!,1,'Portefeuille SP2'!$Q:$Q,"DECIDED",'Portefeuille SP2'!#REF!,"R",'Portefeuille SP2'!$D:$D,$A24,'Portefeuille SP2'!#REF!,"o",'Portefeuille SP2'!#REF!,"&lt;&gt;")</f>
        <v>#REF!</v>
      </c>
      <c r="AM24" s="117"/>
    </row>
    <row r="25" spans="1:42" outlineLevel="1">
      <c r="A25" t="s">
        <v>1327</v>
      </c>
      <c r="B25" s="140" t="e">
        <f>SUMIFS('Portefeuille SP2'!$U:$U,'Portefeuille SP2'!#REF!,1,'Portefeuille SP2'!$Q:$Q,"IN PROGRESS",'Portefeuille SP2'!#REF!,"G",'Portefeuille SP2'!$D:$D,$A25,'Portefeuille SP2'!#REF!,"S")</f>
        <v>#REF!</v>
      </c>
      <c r="C25" s="127" t="e">
        <f>SUMIFS('Portefeuille SP2'!#REF!,'Portefeuille SP2'!#REF!,1,'Portefeuille SP2'!$Q:$Q,"IN PROGRESS",'Portefeuille SP2'!#REF!,"G",'Portefeuille SP2'!$D:$D,$A25,'Portefeuille SP2'!#REF!,"S")</f>
        <v>#REF!</v>
      </c>
      <c r="D25" s="124" t="e">
        <f>SUMIFS('Portefeuille SP2'!#REF!,'Portefeuille SP2'!#REF!,1,'Portefeuille SP2'!$Q:$Q,"IN PROGRESS",'Portefeuille SP2'!#REF!,"G",'Portefeuille SP2'!$D:$D,$A25,'Portefeuille SP2'!#REF!,"S")</f>
        <v>#REF!</v>
      </c>
      <c r="E25" s="110" t="e">
        <f>SUMIFS('Portefeuille SP2'!$U:$U,'Portefeuille SP2'!#REF!,1,'Portefeuille SP2'!$Q:$Q,"IN PROGRESS",'Portefeuille SP2'!#REF!,"R",'Portefeuille SP2'!$D:$D,$A25,'Portefeuille SP2'!#REF!,"S")</f>
        <v>#REF!</v>
      </c>
      <c r="F25" s="127" t="e">
        <f>SUMIFS('Portefeuille SP2'!#REF!,'Portefeuille SP2'!#REF!,1,'Portefeuille SP2'!$Q:$Q,"IN PROGRESS",'Portefeuille SP2'!#REF!,"R",'Portefeuille SP2'!$D:$D,$A25,'Portefeuille SP2'!#REF!,"S")</f>
        <v>#REF!</v>
      </c>
      <c r="G25" s="116" t="e">
        <f>SUMIFS('Portefeuille SP2'!#REF!,'Portefeuille SP2'!#REF!,1,'Portefeuille SP2'!$Q:$Q,"IN PROGRESS",'Portefeuille SP2'!#REF!,"R",'Portefeuille SP2'!$D:$D,$A25,'Portefeuille SP2'!#REF!,"S")</f>
        <v>#REF!</v>
      </c>
      <c r="H25" s="110" t="e">
        <f>SUMIFS('Portefeuille SP2'!$U:$U,'Portefeuille SP2'!#REF!,1,'Portefeuille SP2'!$Q:$Q,"DECIDED",'Portefeuille SP2'!#REF!,"G",'Portefeuille SP2'!$D:$D,$A25,'Portefeuille SP2'!#REF!,"S",'Portefeuille SP2'!#REF!,"=")</f>
        <v>#REF!</v>
      </c>
      <c r="I25" s="116" t="e">
        <f>SUMIFS('Portefeuille SP2'!#REF!,'Portefeuille SP2'!#REF!,1,'Portefeuille SP2'!$Q:$Q,"DECIDED",'Portefeuille SP2'!#REF!,"G",'Portefeuille SP2'!$D:$D,$A25,'Portefeuille SP2'!#REF!,"S",'Portefeuille SP2'!#REF!,"=")</f>
        <v>#REF!</v>
      </c>
      <c r="J25" s="116" t="e">
        <f>SUMIFS('Portefeuille SP2'!#REF!,'Portefeuille SP2'!#REF!,1,'Portefeuille SP2'!$Q:$Q,"DECIDED",'Portefeuille SP2'!#REF!,"G",'Portefeuille SP2'!$D:$D,$A25,'Portefeuille SP2'!#REF!,"S",'Portefeuille SP2'!#REF!,"=")</f>
        <v>#REF!</v>
      </c>
      <c r="K25" s="110" t="e">
        <f>SUMIFS('Portefeuille SP2'!$U:$U,'Portefeuille SP2'!#REF!,1,'Portefeuille SP2'!$Q:$Q,"DECIDED",'Portefeuille SP2'!#REF!,"R",'Portefeuille SP2'!$D:$D,$A25,'Portefeuille SP2'!#REF!,"S",'Portefeuille SP2'!#REF!,"=")</f>
        <v>#REF!</v>
      </c>
      <c r="L25" s="127" t="e">
        <f>SUMIFS('Portefeuille SP2'!#REF!,'Portefeuille SP2'!#REF!,1,'Portefeuille SP2'!$Q:$Q,"DECIDED",'Portefeuille SP2'!#REF!,"R",'Portefeuille SP2'!$D:$D,$A25,'Portefeuille SP2'!#REF!,"S",'Portefeuille SP2'!#REF!,"=")</f>
        <v>#REF!</v>
      </c>
      <c r="M25" s="116" t="e">
        <f>SUMIFS('Portefeuille SP2'!#REF!,'Portefeuille SP2'!#REF!,1,'Portefeuille SP2'!$Q:$Q,"DECIDED",'Portefeuille SP2'!#REF!,"R",'Portefeuille SP2'!$D:$D,$A25,'Portefeuille SP2'!#REF!,"S",'Portefeuille SP2'!#REF!,"=")</f>
        <v>#REF!</v>
      </c>
      <c r="N25" s="110" t="e">
        <f>SUMIFS('Portefeuille SP2'!$U:$U,'Portefeuille SP2'!#REF!,1,'Portefeuille SP2'!$Q:$Q,"DECIDED",'Portefeuille SP2'!#REF!,"G",'Portefeuille SP2'!$D:$D,$A25,'Portefeuille SP2'!#REF!,"S",'Portefeuille SP2'!#REF!,"&lt;&gt;")</f>
        <v>#REF!</v>
      </c>
      <c r="O25" s="127" t="e">
        <f>SUMIFS('Portefeuille SP2'!#REF!,'Portefeuille SP2'!#REF!,1,'Portefeuille SP2'!$Q:$Q,"DECIDED",'Portefeuille SP2'!#REF!,"G",'Portefeuille SP2'!$D:$D,$A25,'Portefeuille SP2'!#REF!,"S",'Portefeuille SP2'!#REF!,"&lt;&gt;")</f>
        <v>#REF!</v>
      </c>
      <c r="P25" s="116" t="e">
        <f>SUMIFS('Portefeuille SP2'!#REF!,'Portefeuille SP2'!#REF!,1,'Portefeuille SP2'!$Q:$Q,"DECIDED",'Portefeuille SP2'!#REF!,"G",'Portefeuille SP2'!$D:$D,$A25,'Portefeuille SP2'!#REF!,"S",'Portefeuille SP2'!#REF!,"&lt;&gt;")</f>
        <v>#REF!</v>
      </c>
      <c r="Q25" s="110" t="e">
        <f>SUMIFS('Portefeuille SP2'!$U:$U,'Portefeuille SP2'!#REF!,1,'Portefeuille SP2'!$Q:$Q,"DECIDED",'Portefeuille SP2'!#REF!,"R",'Portefeuille SP2'!$D:$D,$A25,'Portefeuille SP2'!#REF!,"S",'Portefeuille SP2'!#REF!,"&lt;&gt;")</f>
        <v>#REF!</v>
      </c>
      <c r="R25" s="127" t="e">
        <f>SUMIFS('Portefeuille SP2'!#REF!,'Portefeuille SP2'!#REF!,1,'Portefeuille SP2'!$Q:$Q,"DECIDED",'Portefeuille SP2'!#REF!,"R",'Portefeuille SP2'!$D:$D,$A25,'Portefeuille SP2'!#REF!,"S",'Portefeuille SP2'!#REF!,"&lt;&gt;")</f>
        <v>#REF!</v>
      </c>
      <c r="S25" s="124" t="e">
        <f>SUMIFS('Portefeuille SP2'!#REF!,'Portefeuille SP2'!#REF!,1,'Portefeuille SP2'!$Q:$Q,"DECIDED",'Portefeuille SP2'!#REF!,"R",'Portefeuille SP2'!$D:$D,$A25,'Portefeuille SP2'!#REF!,"S",'Portefeuille SP2'!#REF!,"&lt;&gt;")</f>
        <v>#REF!</v>
      </c>
      <c r="U25" s="110" t="e">
        <f>SUMIFS('Portefeuille SP2'!$U:$U,'Portefeuille SP2'!#REF!,1,'Portefeuille SP2'!$Q:$Q,"IN PROGRESS",'Portefeuille SP2'!#REF!,"G",'Portefeuille SP2'!$D:$D,$A25,'Portefeuille SP2'!#REF!,"O")</f>
        <v>#REF!</v>
      </c>
      <c r="V25" s="127" t="e">
        <f>SUMIFS('Portefeuille SP2'!#REF!,'Portefeuille SP2'!#REF!,1,'Portefeuille SP2'!$Q:$Q,"IN PROGRESS",'Portefeuille SP2'!#REF!,"G",'Portefeuille SP2'!$D:$D,$A25,'Portefeuille SP2'!#REF!,"o")</f>
        <v>#REF!</v>
      </c>
      <c r="W25" s="116" t="e">
        <f>SUMIFS('Portefeuille SP2'!#REF!,'Portefeuille SP2'!#REF!,1,'Portefeuille SP2'!$Q:$Q,"IN PROGRESS",'Portefeuille SP2'!#REF!,"G",'Portefeuille SP2'!$D:$D,$A25,'Portefeuille SP2'!#REF!,"o")</f>
        <v>#REF!</v>
      </c>
      <c r="X25" s="110" t="e">
        <f>SUMIFS('Portefeuille SP2'!$U:$U,'Portefeuille SP2'!#REF!,1,'Portefeuille SP2'!$Q:$Q,"IN PROGRESS",'Portefeuille SP2'!#REF!,"R",'Portefeuille SP2'!$D:$D,$A25,'Portefeuille SP2'!#REF!,"o")</f>
        <v>#REF!</v>
      </c>
      <c r="Y25" s="127" t="e">
        <f>SUMIFS('Portefeuille SP2'!#REF!,'Portefeuille SP2'!#REF!,1,'Portefeuille SP2'!$Q:$Q,"IN PROGRESS",'Portefeuille SP2'!#REF!,"R",'Portefeuille SP2'!$D:$D,$A25,'Portefeuille SP2'!#REF!,"o")</f>
        <v>#REF!</v>
      </c>
      <c r="Z25" s="116" t="e">
        <f>SUMIFS('Portefeuille SP2'!#REF!,'Portefeuille SP2'!#REF!,1,'Portefeuille SP2'!$Q:$Q,"IN PROGRESS",'Portefeuille SP2'!#REF!,"R",'Portefeuille SP2'!$D:$D,$A25,'Portefeuille SP2'!#REF!,"o")</f>
        <v>#REF!</v>
      </c>
      <c r="AA25" s="110" t="e">
        <f>SUMIFS('Portefeuille SP2'!$U:$U,'Portefeuille SP2'!#REF!,1,'Portefeuille SP2'!$Q:$Q,"DECIDED",'Portefeuille SP2'!#REF!,"G",'Portefeuille SP2'!$D:$D,$A25,'Portefeuille SP2'!#REF!,"o",'Portefeuille SP2'!#REF!,"=")</f>
        <v>#REF!</v>
      </c>
      <c r="AB25" s="127" t="e">
        <f>SUMIFS('Portefeuille SP2'!#REF!,'Portefeuille SP2'!#REF!,1,'Portefeuille SP2'!$Q:$Q,"DECIDED",'Portefeuille SP2'!#REF!,"G",'Portefeuille SP2'!$D:$D,$A25,'Portefeuille SP2'!#REF!,"o",'Portefeuille SP2'!#REF!,"=")</f>
        <v>#REF!</v>
      </c>
      <c r="AC25" s="116" t="e">
        <f>SUMIFS('Portefeuille SP2'!#REF!,'Portefeuille SP2'!#REF!,1,'Portefeuille SP2'!$Q:$Q,"DECIDED",'Portefeuille SP2'!#REF!,"G",'Portefeuille SP2'!$D:$D,$A25,'Portefeuille SP2'!#REF!,"o",'Portefeuille SP2'!#REF!,"=")</f>
        <v>#REF!</v>
      </c>
      <c r="AD25" s="110" t="e">
        <f>SUMIFS('Portefeuille SP2'!$U:$U,'Portefeuille SP2'!#REF!,1,'Portefeuille SP2'!$Q:$Q,"DECIDED",'Portefeuille SP2'!#REF!,"R",'Portefeuille SP2'!$D:$D,$A25,'Portefeuille SP2'!#REF!,"o",'Portefeuille SP2'!#REF!,"=")</f>
        <v>#REF!</v>
      </c>
      <c r="AE25" s="127" t="e">
        <f>SUMIFS('Portefeuille SP2'!#REF!,'Portefeuille SP2'!#REF!,1,'Portefeuille SP2'!$Q:$Q,"DECIDED",'Portefeuille SP2'!#REF!,"R",'Portefeuille SP2'!$D:$D,$A25,'Portefeuille SP2'!#REF!,"o",'Portefeuille SP2'!#REF!,"=")</f>
        <v>#REF!</v>
      </c>
      <c r="AF25" s="116" t="e">
        <f>SUMIFS('Portefeuille SP2'!#REF!,'Portefeuille SP2'!#REF!,1,'Portefeuille SP2'!$Q:$Q,"DECIDED",'Portefeuille SP2'!#REF!,"R",'Portefeuille SP2'!$D:$D,$A25,'Portefeuille SP2'!#REF!,"o",'Portefeuille SP2'!#REF!,"=")</f>
        <v>#REF!</v>
      </c>
      <c r="AG25" s="110" t="e">
        <f>SUMIFS('Portefeuille SP2'!$U:$U,'Portefeuille SP2'!#REF!,1,'Portefeuille SP2'!$Q:$Q,"DECIDED",'Portefeuille SP2'!#REF!,"G",'Portefeuille SP2'!$D:$D,$A25,'Portefeuille SP2'!#REF!,"o",'Portefeuille SP2'!#REF!,"&lt;&gt;")</f>
        <v>#REF!</v>
      </c>
      <c r="AH25" s="127" t="e">
        <f>SUMIFS('Portefeuille SP2'!#REF!,'Portefeuille SP2'!#REF!,1,'Portefeuille SP2'!$Q:$Q,"DECIDED",'Portefeuille SP2'!#REF!,"G",'Portefeuille SP2'!$D:$D,$A25,'Portefeuille SP2'!#REF!,"o",'Portefeuille SP2'!#REF!,"&lt;&gt;")</f>
        <v>#REF!</v>
      </c>
      <c r="AI25" s="116" t="e">
        <f>SUMIFS('Portefeuille SP2'!#REF!,'Portefeuille SP2'!#REF!,1,'Portefeuille SP2'!$Q:$Q,"DECIDED",'Portefeuille SP2'!#REF!,"G",'Portefeuille SP2'!$D:$D,$A25,'Portefeuille SP2'!#REF!,"o",'Portefeuille SP2'!#REF!,"&lt;&gt;")</f>
        <v>#REF!</v>
      </c>
      <c r="AJ25" s="110" t="e">
        <f>SUMIFS('Portefeuille SP2'!$U:$U,'Portefeuille SP2'!#REF!,1,'Portefeuille SP2'!$Q:$Q,"DECIDED",'Portefeuille SP2'!#REF!,"R",'Portefeuille SP2'!$D:$D,$A25,'Portefeuille SP2'!#REF!,"o",'Portefeuille SP2'!#REF!,"&lt;&gt;")</f>
        <v>#REF!</v>
      </c>
      <c r="AK25" s="127" t="e">
        <f>SUMIFS('Portefeuille SP2'!#REF!,'Portefeuille SP2'!#REF!,1,'Portefeuille SP2'!$Q:$Q,"DECIDED",'Portefeuille SP2'!#REF!,"R",'Portefeuille SP2'!$D:$D,$A25,'Portefeuille SP2'!#REF!,"o",'Portefeuille SP2'!#REF!,"&lt;&gt;")</f>
        <v>#REF!</v>
      </c>
      <c r="AL25" s="116" t="e">
        <f>SUMIFS('Portefeuille SP2'!#REF!,'Portefeuille SP2'!#REF!,1,'Portefeuille SP2'!$Q:$Q,"DECIDED",'Portefeuille SP2'!#REF!,"R",'Portefeuille SP2'!$D:$D,$A25,'Portefeuille SP2'!#REF!,"o",'Portefeuille SP2'!#REF!,"&lt;&gt;")</f>
        <v>#REF!</v>
      </c>
      <c r="AM25" s="117"/>
      <c r="AO25" s="112" t="s">
        <v>1328</v>
      </c>
      <c r="AP25" s="117" t="s">
        <v>1329</v>
      </c>
    </row>
    <row r="26" spans="1:42" outlineLevel="1">
      <c r="L26" s="117"/>
      <c r="M26" s="117"/>
      <c r="AE26" s="117"/>
      <c r="AF26" s="117"/>
      <c r="AO26" s="112"/>
      <c r="AP26" s="117"/>
    </row>
    <row r="27" spans="1:42" outlineLevel="1">
      <c r="B27" s="114" t="e">
        <f>SUM(B4:B25)</f>
        <v>#REF!</v>
      </c>
      <c r="C27" s="117" t="e">
        <f t="shared" ref="C27:D27" si="51">SUM(C4:C25)</f>
        <v>#REF!</v>
      </c>
      <c r="D27" s="117" t="e">
        <f t="shared" si="51"/>
        <v>#REF!</v>
      </c>
      <c r="E27" s="114" t="e">
        <f>SUM(E4:E25)</f>
        <v>#REF!</v>
      </c>
      <c r="F27" s="117" t="e">
        <f t="shared" ref="F27:G27" si="52">SUM(F4:F25)</f>
        <v>#REF!</v>
      </c>
      <c r="G27" s="117" t="e">
        <f t="shared" si="52"/>
        <v>#REF!</v>
      </c>
      <c r="H27" s="114" t="e">
        <f t="shared" ref="H27:S27" si="53">SUM(H4:H25)</f>
        <v>#REF!</v>
      </c>
      <c r="I27" s="117" t="e">
        <f t="shared" si="53"/>
        <v>#REF!</v>
      </c>
      <c r="J27" s="117" t="e">
        <f t="shared" si="53"/>
        <v>#REF!</v>
      </c>
      <c r="K27" s="114" t="e">
        <f t="shared" si="53"/>
        <v>#REF!</v>
      </c>
      <c r="L27" s="117" t="e">
        <f t="shared" si="53"/>
        <v>#REF!</v>
      </c>
      <c r="M27" s="117" t="e">
        <f t="shared" si="53"/>
        <v>#REF!</v>
      </c>
      <c r="N27" s="114" t="e">
        <f t="shared" si="53"/>
        <v>#REF!</v>
      </c>
      <c r="O27" s="117" t="e">
        <f t="shared" si="53"/>
        <v>#REF!</v>
      </c>
      <c r="P27" s="117" t="e">
        <f t="shared" si="53"/>
        <v>#REF!</v>
      </c>
      <c r="Q27" s="114" t="e">
        <f t="shared" si="53"/>
        <v>#REF!</v>
      </c>
      <c r="R27" s="117" t="e">
        <f t="shared" si="53"/>
        <v>#REF!</v>
      </c>
      <c r="S27" s="117" t="e">
        <f t="shared" si="53"/>
        <v>#REF!</v>
      </c>
      <c r="U27" s="114" t="e">
        <f>SUM(U4:U25)</f>
        <v>#REF!</v>
      </c>
      <c r="V27" s="117" t="e">
        <f t="shared" ref="V27:W27" si="54">SUM(V4:V25)</f>
        <v>#REF!</v>
      </c>
      <c r="W27" s="117" t="e">
        <f t="shared" si="54"/>
        <v>#REF!</v>
      </c>
      <c r="X27" s="114" t="e">
        <f>SUM(X4:X25)</f>
        <v>#REF!</v>
      </c>
      <c r="Y27" s="117" t="e">
        <f t="shared" ref="Y27:AL27" si="55">SUM(Y4:Y25)</f>
        <v>#REF!</v>
      </c>
      <c r="Z27" s="117" t="e">
        <f t="shared" si="55"/>
        <v>#REF!</v>
      </c>
      <c r="AA27" s="114" t="e">
        <f t="shared" si="55"/>
        <v>#REF!</v>
      </c>
      <c r="AB27" s="117" t="e">
        <f t="shared" si="55"/>
        <v>#REF!</v>
      </c>
      <c r="AC27" s="117" t="e">
        <f t="shared" si="55"/>
        <v>#REF!</v>
      </c>
      <c r="AD27" s="114" t="e">
        <f t="shared" si="55"/>
        <v>#REF!</v>
      </c>
      <c r="AE27" s="117" t="e">
        <f t="shared" si="55"/>
        <v>#REF!</v>
      </c>
      <c r="AF27" s="117" t="e">
        <f t="shared" si="55"/>
        <v>#REF!</v>
      </c>
      <c r="AG27" s="114" t="e">
        <f t="shared" si="55"/>
        <v>#REF!</v>
      </c>
      <c r="AH27" s="117" t="e">
        <f t="shared" si="55"/>
        <v>#REF!</v>
      </c>
      <c r="AI27" s="117" t="e">
        <f t="shared" si="55"/>
        <v>#REF!</v>
      </c>
      <c r="AJ27" s="114" t="e">
        <f t="shared" si="55"/>
        <v>#REF!</v>
      </c>
      <c r="AK27" s="117" t="e">
        <f t="shared" si="55"/>
        <v>#REF!</v>
      </c>
      <c r="AL27" s="117" t="e">
        <f t="shared" si="55"/>
        <v>#REF!</v>
      </c>
      <c r="AM27" s="136"/>
      <c r="AO27" s="112" t="e">
        <f>H27+K27+N27+Q27+AA27+AD27+AG27+AJ27</f>
        <v>#REF!</v>
      </c>
      <c r="AP27" s="112" t="e">
        <f>B27+E27+H27+K27+N27+Q27+U27+X27+AA27+AD27+AG27+AJ27</f>
        <v>#REF!</v>
      </c>
    </row>
    <row r="28" spans="1:42" s="133" customFormat="1" ht="10.15">
      <c r="B28" s="131" t="e">
        <f>B27-C27-D27</f>
        <v>#REF!</v>
      </c>
      <c r="C28" s="131"/>
      <c r="D28" s="131"/>
      <c r="E28" s="131" t="e">
        <f>E27-F27-G27</f>
        <v>#REF!</v>
      </c>
      <c r="F28" s="131"/>
      <c r="G28" s="131"/>
      <c r="H28" s="131" t="e">
        <f>H27-I27-J27</f>
        <v>#REF!</v>
      </c>
      <c r="I28" s="132"/>
      <c r="J28" s="132"/>
      <c r="K28" s="131" t="e">
        <f>K27-L27-M27</f>
        <v>#REF!</v>
      </c>
      <c r="L28" s="132"/>
      <c r="M28" s="132"/>
      <c r="N28" s="131" t="e">
        <f>N27-O27-P27</f>
        <v>#REF!</v>
      </c>
      <c r="O28" s="132"/>
      <c r="P28" s="132"/>
      <c r="Q28" s="131" t="e">
        <f>Q27-R27-S27</f>
        <v>#REF!</v>
      </c>
      <c r="R28" s="132"/>
      <c r="S28" s="132"/>
      <c r="U28" s="131" t="e">
        <f>U27-V27-W27</f>
        <v>#REF!</v>
      </c>
      <c r="V28" s="131"/>
      <c r="W28" s="131"/>
      <c r="X28" s="131" t="e">
        <f>X27-Y27-Z27</f>
        <v>#REF!</v>
      </c>
      <c r="Y28" s="131"/>
      <c r="Z28" s="131"/>
      <c r="AA28" s="131" t="e">
        <f>AA27-AB27-AC27</f>
        <v>#REF!</v>
      </c>
      <c r="AB28" s="132"/>
      <c r="AC28" s="132"/>
      <c r="AD28" s="131" t="e">
        <f>AD27-AE27-AF27</f>
        <v>#REF!</v>
      </c>
      <c r="AE28" s="132"/>
      <c r="AF28" s="132"/>
      <c r="AG28" s="131" t="e">
        <f>AG27-AH27-AI27</f>
        <v>#REF!</v>
      </c>
      <c r="AH28" s="132"/>
      <c r="AI28" s="132"/>
      <c r="AJ28" s="131" t="e">
        <f>AJ27-AK27-AL27</f>
        <v>#REF!</v>
      </c>
      <c r="AK28" s="132"/>
      <c r="AL28" s="132"/>
      <c r="AM28" s="132"/>
      <c r="AO28" s="132"/>
      <c r="AP28" s="132"/>
    </row>
    <row r="33" spans="1:77" ht="33" customHeight="1">
      <c r="A33" s="134" t="s">
        <v>1330</v>
      </c>
      <c r="B33" s="110" t="s">
        <v>1297</v>
      </c>
      <c r="C33" s="116" t="s">
        <v>1298</v>
      </c>
      <c r="D33" s="116" t="s">
        <v>1299</v>
      </c>
      <c r="E33" s="110" t="s">
        <v>1300</v>
      </c>
      <c r="F33" s="116" t="s">
        <v>1301</v>
      </c>
      <c r="G33" s="116" t="s">
        <v>1302</v>
      </c>
      <c r="H33" s="110" t="s">
        <v>1297</v>
      </c>
      <c r="I33" s="116" t="s">
        <v>1298</v>
      </c>
      <c r="J33" s="116" t="s">
        <v>1299</v>
      </c>
      <c r="K33" s="118" t="s">
        <v>1300</v>
      </c>
      <c r="L33" s="119" t="s">
        <v>1301</v>
      </c>
      <c r="M33" s="120" t="s">
        <v>1302</v>
      </c>
      <c r="N33" s="110" t="s">
        <v>1297</v>
      </c>
      <c r="O33" s="116" t="s">
        <v>1298</v>
      </c>
      <c r="P33" s="116" t="s">
        <v>1299</v>
      </c>
      <c r="Q33" s="118" t="s">
        <v>1300</v>
      </c>
      <c r="R33" s="119" t="s">
        <v>1301</v>
      </c>
      <c r="S33" s="120" t="s">
        <v>1302</v>
      </c>
      <c r="U33" s="111" t="s">
        <v>1297</v>
      </c>
      <c r="V33" s="117" t="s">
        <v>1298</v>
      </c>
      <c r="W33" s="117" t="s">
        <v>1299</v>
      </c>
      <c r="X33" s="111" t="s">
        <v>1300</v>
      </c>
      <c r="Y33" s="117" t="s">
        <v>1301</v>
      </c>
      <c r="Z33" s="117" t="s">
        <v>1302</v>
      </c>
      <c r="AA33" s="111" t="s">
        <v>1297</v>
      </c>
      <c r="AB33" s="117" t="s">
        <v>1298</v>
      </c>
      <c r="AC33" s="117" t="s">
        <v>1299</v>
      </c>
      <c r="AD33" s="135" t="s">
        <v>1300</v>
      </c>
      <c r="AE33" s="121" t="s">
        <v>1301</v>
      </c>
      <c r="AF33" s="123" t="s">
        <v>1302</v>
      </c>
      <c r="AG33" s="111" t="s">
        <v>1297</v>
      </c>
      <c r="AH33" s="117" t="s">
        <v>1298</v>
      </c>
      <c r="AI33" s="117" t="s">
        <v>1299</v>
      </c>
      <c r="AJ33" s="135" t="s">
        <v>1300</v>
      </c>
      <c r="AK33" s="121" t="s">
        <v>1301</v>
      </c>
      <c r="AL33" s="123" t="s">
        <v>1302</v>
      </c>
      <c r="AM33" s="117"/>
      <c r="AN33" s="134" t="s">
        <v>1330</v>
      </c>
      <c r="AO33" s="118" t="s">
        <v>1297</v>
      </c>
      <c r="AP33" s="119" t="s">
        <v>1298</v>
      </c>
      <c r="AQ33" s="120" t="s">
        <v>1299</v>
      </c>
      <c r="AR33" s="129" t="s">
        <v>1300</v>
      </c>
      <c r="AS33" s="119" t="s">
        <v>1301</v>
      </c>
      <c r="AT33" s="120" t="s">
        <v>1302</v>
      </c>
      <c r="AU33" s="129" t="s">
        <v>1303</v>
      </c>
      <c r="AV33" s="119" t="s">
        <v>1304</v>
      </c>
      <c r="AW33" s="120" t="s">
        <v>1305</v>
      </c>
      <c r="AX33" s="118" t="s">
        <v>1297</v>
      </c>
      <c r="AY33" s="119" t="s">
        <v>1298</v>
      </c>
      <c r="AZ33" s="120" t="s">
        <v>1299</v>
      </c>
      <c r="BA33" s="118" t="s">
        <v>1300</v>
      </c>
      <c r="BB33" s="119" t="s">
        <v>1301</v>
      </c>
      <c r="BC33" s="120" t="s">
        <v>1302</v>
      </c>
      <c r="BD33" s="129" t="s">
        <v>1303</v>
      </c>
      <c r="BE33" s="119" t="s">
        <v>1304</v>
      </c>
      <c r="BF33" s="120" t="s">
        <v>1305</v>
      </c>
      <c r="BH33" s="118" t="s">
        <v>1297</v>
      </c>
      <c r="BI33" s="119" t="s">
        <v>1298</v>
      </c>
      <c r="BJ33" s="120" t="s">
        <v>1299</v>
      </c>
      <c r="BK33" s="129" t="s">
        <v>1300</v>
      </c>
      <c r="BL33" s="119" t="s">
        <v>1301</v>
      </c>
      <c r="BM33" s="120" t="s">
        <v>1302</v>
      </c>
      <c r="BN33" s="129" t="s">
        <v>1303</v>
      </c>
      <c r="BO33" s="119" t="s">
        <v>1304</v>
      </c>
      <c r="BP33" s="120" t="s">
        <v>1305</v>
      </c>
      <c r="BQ33" s="118" t="s">
        <v>1297</v>
      </c>
      <c r="BR33" s="119" t="s">
        <v>1298</v>
      </c>
      <c r="BS33" s="120" t="s">
        <v>1299</v>
      </c>
      <c r="BT33" s="118" t="s">
        <v>1300</v>
      </c>
      <c r="BU33" s="119" t="s">
        <v>1301</v>
      </c>
      <c r="BV33" s="120" t="s">
        <v>1302</v>
      </c>
      <c r="BW33" s="129" t="s">
        <v>1303</v>
      </c>
      <c r="BX33" s="119" t="s">
        <v>1304</v>
      </c>
      <c r="BY33" s="120" t="s">
        <v>1305</v>
      </c>
    </row>
    <row r="34" spans="1:77" outlineLevel="1">
      <c r="A34" t="s">
        <v>1306</v>
      </c>
      <c r="B34" s="138" t="e">
        <f>SUMIFS('Portefeuille SP2'!$U:$U,'Portefeuille SP2'!#REF!,1,'Portefeuille SP2'!$Q:$Q,"IN PROGRESS",'Portefeuille SP2'!#REF!,"G",'Portefeuille SP2'!$D:$D,$A34,'Portefeuille SP2'!#REF!,"S")</f>
        <v>#REF!</v>
      </c>
      <c r="C34" s="125" t="e">
        <f>SUMIFS('Portefeuille SP2'!#REF!,'Portefeuille SP2'!#REF!,1,'Portefeuille SP2'!$Q:$Q,"IN PROGRESS",'Portefeuille SP2'!#REF!,"G",'Portefeuille SP2'!$D:$D,$A34,'Portefeuille SP2'!#REF!,"S")</f>
        <v>#REF!</v>
      </c>
      <c r="D34" s="123" t="e">
        <f>SUMIFS('Portefeuille SP2'!#REF!,'Portefeuille SP2'!#REF!,1,'Portefeuille SP2'!$Q:$Q,"IN PROGRESS",'Portefeuille SP2'!#REF!,"G",'Portefeuille SP2'!$D:$D,$A34,'Portefeuille SP2'!#REF!,"S")</f>
        <v>#REF!</v>
      </c>
      <c r="E34" s="135" t="e">
        <f>SUMIFS('Portefeuille SP2'!$U:$U,'Portefeuille SP2'!#REF!,1,'Portefeuille SP2'!$Q:$Q,"IN PROGRESS",'Portefeuille SP2'!#REF!,"R",'Portefeuille SP2'!$D:$D,$A34,'Portefeuille SP2'!#REF!,"S")</f>
        <v>#REF!</v>
      </c>
      <c r="F34" s="125" t="e">
        <f>SUMIFS('Portefeuille SP2'!#REF!,'Portefeuille SP2'!#REF!,1,'Portefeuille SP2'!$Q:$Q,"IN PROGRESS",'Portefeuille SP2'!#REF!,"R",'Portefeuille SP2'!$D:$D,$A34,'Portefeuille SP2'!#REF!,"S")</f>
        <v>#REF!</v>
      </c>
      <c r="G34" s="121" t="e">
        <f>SUMIFS('Portefeuille SP2'!#REF!,'Portefeuille SP2'!#REF!,1,'Portefeuille SP2'!$Q:$Q,"IN PROGRESS",'Portefeuille SP2'!#REF!,"R",'Portefeuille SP2'!$D:$D,$A34,'Portefeuille SP2'!#REF!,"S")</f>
        <v>#REF!</v>
      </c>
      <c r="H34" s="135" t="e">
        <f>SUMIFS('Portefeuille SP2'!$U:$U,'Portefeuille SP2'!#REF!,1,'Portefeuille SP2'!$Q:$Q,"DECIDED",'Portefeuille SP2'!#REF!,"G",'Portefeuille SP2'!$D:$D,$A34,'Portefeuille SP2'!#REF!,"S",'Portefeuille SP2'!#REF!,"=")</f>
        <v>#REF!</v>
      </c>
      <c r="I34" s="121" t="e">
        <f>SUMIFS('Portefeuille SP2'!#REF!,'Portefeuille SP2'!#REF!,1,'Portefeuille SP2'!$Q:$Q,"DECIDED",'Portefeuille SP2'!#REF!,"G",'Portefeuille SP2'!$D:$D,$A34,'Portefeuille SP2'!#REF!,"S",'Portefeuille SP2'!#REF!,"=")</f>
        <v>#REF!</v>
      </c>
      <c r="J34" s="121" t="e">
        <f>SUMIFS('Portefeuille SP2'!#REF!,'Portefeuille SP2'!#REF!,1,'Portefeuille SP2'!$Q:$Q,"DECIDED",'Portefeuille SP2'!#REF!,"G",'Portefeuille SP2'!$D:$D,$A34,'Portefeuille SP2'!#REF!,"S",'Portefeuille SP2'!#REF!,"=")</f>
        <v>#REF!</v>
      </c>
      <c r="K34" s="135" t="e">
        <f>SUMIFS('Portefeuille SP2'!$U:$U,'Portefeuille SP2'!#REF!,1,'Portefeuille SP2'!$Q:$Q,"DECIDED",'Portefeuille SP2'!#REF!,"R",'Portefeuille SP2'!$D:$D,$A34,'Portefeuille SP2'!#REF!,"S",'Portefeuille SP2'!#REF!,"=")</f>
        <v>#REF!</v>
      </c>
      <c r="L34" s="125" t="e">
        <f>SUMIFS('Portefeuille SP2'!#REF!,'Portefeuille SP2'!#REF!,1,'Portefeuille SP2'!$Q:$Q,"DECIDED",'Portefeuille SP2'!#REF!,"R",'Portefeuille SP2'!$D:$D,$A34,'Portefeuille SP2'!#REF!,"S",'Portefeuille SP2'!#REF!,"=")</f>
        <v>#REF!</v>
      </c>
      <c r="M34" s="121" t="e">
        <f>SUMIFS('Portefeuille SP2'!#REF!,'Portefeuille SP2'!#REF!,1,'Portefeuille SP2'!$Q:$Q,"DECIDED",'Portefeuille SP2'!#REF!,"R",'Portefeuille SP2'!$D:$D,$A34,'Portefeuille SP2'!#REF!,"S",'Portefeuille SP2'!#REF!,"=")</f>
        <v>#REF!</v>
      </c>
      <c r="N34" s="135" t="e">
        <f>SUMIFS('Portefeuille SP2'!$U:$U,'Portefeuille SP2'!#REF!,1,'Portefeuille SP2'!$Q:$Q,"DECIDED",'Portefeuille SP2'!#REF!,"G",'Portefeuille SP2'!$D:$D,$A34,'Portefeuille SP2'!#REF!,"S",'Portefeuille SP2'!#REF!,"&lt;&gt;")</f>
        <v>#REF!</v>
      </c>
      <c r="O34" s="125" t="e">
        <f>SUMIFS('Portefeuille SP2'!#REF!,'Portefeuille SP2'!#REF!,1,'Portefeuille SP2'!$Q:$Q,"DECIDED",'Portefeuille SP2'!#REF!,"G",'Portefeuille SP2'!$D:$D,$A34,'Portefeuille SP2'!#REF!,"S",'Portefeuille SP2'!#REF!,"&lt;&gt;")</f>
        <v>#REF!</v>
      </c>
      <c r="P34" s="121" t="e">
        <f>SUMIFS('Portefeuille SP2'!#REF!,'Portefeuille SP2'!#REF!,1,'Portefeuille SP2'!$Q:$Q,"DECIDED",'Portefeuille SP2'!#REF!,"G",'Portefeuille SP2'!$D:$D,$A34,'Portefeuille SP2'!#REF!,"S",'Portefeuille SP2'!#REF!,"&lt;&gt;")</f>
        <v>#REF!</v>
      </c>
      <c r="Q34" s="135" t="e">
        <f>SUMIFS('Portefeuille SP2'!$U:$U,'Portefeuille SP2'!#REF!,1,'Portefeuille SP2'!$Q:$Q,"DECIDED",'Portefeuille SP2'!#REF!,"R",'Portefeuille SP2'!$D:$D,$A34,'Portefeuille SP2'!#REF!,"S",'Portefeuille SP2'!#REF!,"&lt;&gt;")</f>
        <v>#REF!</v>
      </c>
      <c r="R34" s="125" t="e">
        <f>SUMIFS('Portefeuille SP2'!#REF!,'Portefeuille SP2'!#REF!,1,'Portefeuille SP2'!$Q:$Q,"DECIDED",'Portefeuille SP2'!#REF!,"R",'Portefeuille SP2'!$D:$D,$A34,'Portefeuille SP2'!#REF!,"S",'Portefeuille SP2'!#REF!,"&lt;&gt;")</f>
        <v>#REF!</v>
      </c>
      <c r="S34" s="123" t="e">
        <f>SUMIFS('Portefeuille SP2'!#REF!,'Portefeuille SP2'!#REF!,1,'Portefeuille SP2'!$Q:$Q,"DECIDED",'Portefeuille SP2'!#REF!,"R",'Portefeuille SP2'!$D:$D,$A34,'Portefeuille SP2'!#REF!,"S",'Portefeuille SP2'!#REF!,"&lt;&gt;")</f>
        <v>#REF!</v>
      </c>
      <c r="U34" s="135" t="e">
        <f>SUMIFS('Portefeuille SP2'!$U:$U,'Portefeuille SP2'!#REF!,1,'Portefeuille SP2'!$Q:$Q,"IN PROGRESS",'Portefeuille SP2'!#REF!,"G",'Portefeuille SP2'!$D:$D,$A34,'Portefeuille SP2'!#REF!,"O")</f>
        <v>#REF!</v>
      </c>
      <c r="V34" s="125" t="e">
        <f>SUMIFS('Portefeuille SP2'!#REF!,'Portefeuille SP2'!#REF!,1,'Portefeuille SP2'!$Q:$Q,"IN PROGRESS",'Portefeuille SP2'!#REF!,"G",'Portefeuille SP2'!$D:$D,$A34,'Portefeuille SP2'!#REF!,"o")</f>
        <v>#REF!</v>
      </c>
      <c r="W34" s="121" t="e">
        <f>SUMIFS('Portefeuille SP2'!#REF!,'Portefeuille SP2'!#REF!,1,'Portefeuille SP2'!$Q:$Q,"IN PROGRESS",'Portefeuille SP2'!#REF!,"G",'Portefeuille SP2'!$D:$D,$A34,'Portefeuille SP2'!#REF!,"o")</f>
        <v>#REF!</v>
      </c>
      <c r="X34" s="135" t="e">
        <f>SUMIFS('Portefeuille SP2'!$U:$U,'Portefeuille SP2'!#REF!,1,'Portefeuille SP2'!$Q:$Q,"IN PROGRESS",'Portefeuille SP2'!#REF!,"R",'Portefeuille SP2'!$D:$D,$A34,'Portefeuille SP2'!#REF!,"o")</f>
        <v>#REF!</v>
      </c>
      <c r="Y34" s="125" t="e">
        <f>SUMIFS('Portefeuille SP2'!#REF!,'Portefeuille SP2'!#REF!,1,'Portefeuille SP2'!$Q:$Q,"IN PROGRESS",'Portefeuille SP2'!#REF!,"R",'Portefeuille SP2'!$D:$D,$A34,'Portefeuille SP2'!#REF!,"o")</f>
        <v>#REF!</v>
      </c>
      <c r="Z34" s="121" t="e">
        <f>SUMIFS('Portefeuille SP2'!#REF!,'Portefeuille SP2'!#REF!,1,'Portefeuille SP2'!$Q:$Q,"IN PROGRESS",'Portefeuille SP2'!#REF!,"R",'Portefeuille SP2'!$D:$D,$A34,'Portefeuille SP2'!#REF!,"o")</f>
        <v>#REF!</v>
      </c>
      <c r="AA34" s="135" t="e">
        <f>SUMIFS('Portefeuille SP2'!$U:$U,'Portefeuille SP2'!#REF!,1,'Portefeuille SP2'!$Q:$Q,"DECIDED",'Portefeuille SP2'!#REF!,"G",'Portefeuille SP2'!$D:$D,$A34,'Portefeuille SP2'!#REF!,"o",'Portefeuille SP2'!#REF!,"=")</f>
        <v>#REF!</v>
      </c>
      <c r="AB34" s="125" t="e">
        <f>SUMIFS('Portefeuille SP2'!#REF!,'Portefeuille SP2'!#REF!,1,'Portefeuille SP2'!$Q:$Q,"DECIDED",'Portefeuille SP2'!#REF!,"G",'Portefeuille SP2'!$D:$D,$A34,'Portefeuille SP2'!#REF!,"o",'Portefeuille SP2'!#REF!,"=")</f>
        <v>#REF!</v>
      </c>
      <c r="AC34" s="121" t="e">
        <f>SUMIFS('Portefeuille SP2'!#REF!,'Portefeuille SP2'!#REF!,1,'Portefeuille SP2'!$Q:$Q,"DECIDED",'Portefeuille SP2'!#REF!,"G",'Portefeuille SP2'!$D:$D,$A34,'Portefeuille SP2'!#REF!,"o",'Portefeuille SP2'!#REF!,"=")</f>
        <v>#REF!</v>
      </c>
      <c r="AD34" s="135" t="e">
        <f>SUMIFS('Portefeuille SP2'!$U:$U,'Portefeuille SP2'!#REF!,1,'Portefeuille SP2'!$Q:$Q,"DECIDED",'Portefeuille SP2'!#REF!,"R",'Portefeuille SP2'!$D:$D,$A34,'Portefeuille SP2'!#REF!,"o",'Portefeuille SP2'!#REF!,"=")</f>
        <v>#REF!</v>
      </c>
      <c r="AE34" s="125" t="e">
        <f>SUMIFS('Portefeuille SP2'!#REF!,'Portefeuille SP2'!#REF!,1,'Portefeuille SP2'!$Q:$Q,"DECIDED",'Portefeuille SP2'!#REF!,"R",'Portefeuille SP2'!$D:$D,$A34,'Portefeuille SP2'!#REF!,"o",'Portefeuille SP2'!#REF!,"=")</f>
        <v>#REF!</v>
      </c>
      <c r="AF34" s="121" t="e">
        <f>SUMIFS('Portefeuille SP2'!#REF!,'Portefeuille SP2'!#REF!,1,'Portefeuille SP2'!$Q:$Q,"DECIDED",'Portefeuille SP2'!#REF!,"R",'Portefeuille SP2'!$D:$D,$A34,'Portefeuille SP2'!#REF!,"o",'Portefeuille SP2'!#REF!,"=")</f>
        <v>#REF!</v>
      </c>
      <c r="AG34" s="135" t="e">
        <f>SUMIFS('Portefeuille SP2'!$U:$U,'Portefeuille SP2'!#REF!,1,'Portefeuille SP2'!$Q:$Q,"DECIDED",'Portefeuille SP2'!#REF!,"G",'Portefeuille SP2'!$D:$D,$A34,'Portefeuille SP2'!#REF!,"o",'Portefeuille SP2'!#REF!,"&lt;&gt;")</f>
        <v>#REF!</v>
      </c>
      <c r="AH34" s="125" t="e">
        <f>SUMIFS('Portefeuille SP2'!#REF!,'Portefeuille SP2'!#REF!,1,'Portefeuille SP2'!$Q:$Q,"DECIDED",'Portefeuille SP2'!#REF!,"G",'Portefeuille SP2'!$D:$D,$A34,'Portefeuille SP2'!#REF!,"o",'Portefeuille SP2'!#REF!,"&lt;&gt;")</f>
        <v>#REF!</v>
      </c>
      <c r="AI34" s="121" t="e">
        <f>SUMIFS('Portefeuille SP2'!#REF!,'Portefeuille SP2'!#REF!,1,'Portefeuille SP2'!$Q:$Q,"DECIDED",'Portefeuille SP2'!#REF!,"G",'Portefeuille SP2'!$D:$D,$A34,'Portefeuille SP2'!#REF!,"o",'Portefeuille SP2'!#REF!,"&lt;&gt;")</f>
        <v>#REF!</v>
      </c>
      <c r="AJ34" s="135" t="e">
        <f>SUMIFS('Portefeuille SP2'!$U:$U,'Portefeuille SP2'!#REF!,1,'Portefeuille SP2'!$Q:$Q,"DECIDED",'Portefeuille SP2'!#REF!,"R",'Portefeuille SP2'!$D:$D,$A34,'Portefeuille SP2'!#REF!,"o",'Portefeuille SP2'!#REF!,"&lt;&gt;")</f>
        <v>#REF!</v>
      </c>
      <c r="AK34" s="125" t="e">
        <f>SUMIFS('Portefeuille SP2'!#REF!,'Portefeuille SP2'!#REF!,1,'Portefeuille SP2'!$Q:$Q,"DECIDED",'Portefeuille SP2'!#REF!,"R",'Portefeuille SP2'!$D:$D,$A34,'Portefeuille SP2'!#REF!,"o",'Portefeuille SP2'!#REF!,"&lt;&gt;")</f>
        <v>#REF!</v>
      </c>
      <c r="AL34" s="121" t="e">
        <f>SUMIFS('Portefeuille SP2'!#REF!,'Portefeuille SP2'!#REF!,1,'Portefeuille SP2'!$Q:$Q,"DECIDED",'Portefeuille SP2'!#REF!,"R",'Portefeuille SP2'!$D:$D,$A34,'Portefeuille SP2'!#REF!,"o",'Portefeuille SP2'!#REF!,"&lt;&gt;")</f>
        <v>#REF!</v>
      </c>
      <c r="AM34" s="117"/>
      <c r="AN34" t="s">
        <v>1274</v>
      </c>
      <c r="AO34" s="111" t="e">
        <f t="shared" ref="AO34" si="56">B34</f>
        <v>#REF!</v>
      </c>
      <c r="AP34" s="125" t="e">
        <f t="shared" ref="AP34" si="57">C34</f>
        <v>#REF!</v>
      </c>
      <c r="AQ34" s="123" t="e">
        <f t="shared" ref="AQ34" si="58">D34</f>
        <v>#REF!</v>
      </c>
      <c r="AR34" s="112" t="e">
        <f t="shared" ref="AR34" si="59">E34</f>
        <v>#REF!</v>
      </c>
      <c r="AS34" s="125" t="e">
        <f t="shared" ref="AS34" si="60">F34</f>
        <v>#REF!</v>
      </c>
      <c r="AT34" s="123" t="e">
        <f t="shared" ref="AT34" si="61">G34</f>
        <v>#REF!</v>
      </c>
      <c r="AU34" s="112" t="e">
        <f>AO34+AR34</f>
        <v>#REF!</v>
      </c>
      <c r="AV34" s="125" t="e">
        <f t="shared" ref="AV34:AV42" si="62">AP34+AS34</f>
        <v>#REF!</v>
      </c>
      <c r="AW34" s="123" t="e">
        <f t="shared" ref="AW34:AW42" si="63">AQ34+AT34</f>
        <v>#REF!</v>
      </c>
      <c r="AX34" s="111" t="e">
        <f t="shared" ref="AX34" si="64">H34</f>
        <v>#REF!</v>
      </c>
      <c r="AY34" s="125" t="e">
        <f t="shared" ref="AY34" si="65">I34</f>
        <v>#REF!</v>
      </c>
      <c r="AZ34" s="123" t="e">
        <f t="shared" ref="AZ34" si="66">J34</f>
        <v>#REF!</v>
      </c>
      <c r="BA34" s="111" t="e">
        <f t="shared" ref="BA34" si="67">K34</f>
        <v>#REF!</v>
      </c>
      <c r="BB34" s="125" t="e">
        <f t="shared" ref="BB34" si="68">L34</f>
        <v>#REF!</v>
      </c>
      <c r="BC34" s="123" t="e">
        <f t="shared" ref="BC34" si="69">M34</f>
        <v>#REF!</v>
      </c>
      <c r="BD34" s="112" t="e">
        <f>AX34+BA34</f>
        <v>#REF!</v>
      </c>
      <c r="BE34" s="125" t="e">
        <f t="shared" ref="BE34:BE42" si="70">AY34+BB34</f>
        <v>#REF!</v>
      </c>
      <c r="BF34" s="123" t="e">
        <f t="shared" ref="BF34:BF42" si="71">AZ34+BC34</f>
        <v>#REF!</v>
      </c>
      <c r="BH34" s="135" t="e">
        <f>U34</f>
        <v>#REF!</v>
      </c>
      <c r="BI34" s="125" t="e">
        <f t="shared" ref="BI34" si="72">V34</f>
        <v>#REF!</v>
      </c>
      <c r="BJ34" s="123" t="e">
        <f t="shared" ref="BJ34" si="73">W34</f>
        <v>#REF!</v>
      </c>
      <c r="BK34" s="135" t="e">
        <f t="shared" ref="BK34" si="74">X34</f>
        <v>#REF!</v>
      </c>
      <c r="BL34" s="125" t="e">
        <f t="shared" ref="BL34" si="75">Y34</f>
        <v>#REF!</v>
      </c>
      <c r="BM34" s="123" t="e">
        <f t="shared" ref="BM34" si="76">Z34</f>
        <v>#REF!</v>
      </c>
      <c r="BN34" s="112" t="e">
        <f>BH34+BK34</f>
        <v>#REF!</v>
      </c>
      <c r="BO34" s="125" t="e">
        <f t="shared" ref="BO34:BO42" si="77">BI34+BL34</f>
        <v>#REF!</v>
      </c>
      <c r="BP34" s="123" t="e">
        <f t="shared" ref="BP34:BP42" si="78">BJ34+BM34</f>
        <v>#REF!</v>
      </c>
      <c r="BQ34" s="135" t="e">
        <f t="shared" ref="BQ34" si="79">AA34</f>
        <v>#REF!</v>
      </c>
      <c r="BR34" s="125" t="e">
        <f t="shared" ref="BR34" si="80">AB34</f>
        <v>#REF!</v>
      </c>
      <c r="BS34" s="123" t="e">
        <f t="shared" ref="BS34" si="81">AC34</f>
        <v>#REF!</v>
      </c>
      <c r="BT34" s="135" t="e">
        <f t="shared" ref="BT34" si="82">AD34</f>
        <v>#REF!</v>
      </c>
      <c r="BU34" s="125" t="e">
        <f t="shared" ref="BU34" si="83">AE34</f>
        <v>#REF!</v>
      </c>
      <c r="BV34" s="123" t="e">
        <f t="shared" ref="BV34" si="84">AF34</f>
        <v>#REF!</v>
      </c>
      <c r="BW34" s="135" t="e">
        <f>BQ34+BT34</f>
        <v>#REF!</v>
      </c>
      <c r="BX34" s="125" t="e">
        <f t="shared" ref="BX34:BX42" si="85">BR34+BU34</f>
        <v>#REF!</v>
      </c>
      <c r="BY34" s="123" t="e">
        <f t="shared" ref="BY34:BY42" si="86">BS34+BV34</f>
        <v>#REF!</v>
      </c>
    </row>
    <row r="35" spans="1:77" outlineLevel="1">
      <c r="A35" t="s">
        <v>1307</v>
      </c>
      <c r="B35" s="139" t="e">
        <f>SUMIFS('Portefeuille SP2'!$U:$U,'Portefeuille SP2'!#REF!,1,'Portefeuille SP2'!$Q:$Q,"IN PROGRESS",'Portefeuille SP2'!#REF!,"G",'Portefeuille SP2'!$D:$D,$A35,'Portefeuille SP2'!#REF!,"S")</f>
        <v>#REF!</v>
      </c>
      <c r="C35" s="126" t="e">
        <f>SUMIFS('Portefeuille SP2'!#REF!,'Portefeuille SP2'!#REF!,1,'Portefeuille SP2'!$Q:$Q,"IN PROGRESS",'Portefeuille SP2'!#REF!,"G",'Portefeuille SP2'!$D:$D,$A35,'Portefeuille SP2'!#REF!,"S")</f>
        <v>#REF!</v>
      </c>
      <c r="D35" s="122" t="e">
        <f>SUMIFS('Portefeuille SP2'!#REF!,'Portefeuille SP2'!#REF!,1,'Portefeuille SP2'!$Q:$Q,"IN PROGRESS",'Portefeuille SP2'!#REF!,"G",'Portefeuille SP2'!$D:$D,$A35,'Portefeuille SP2'!#REF!,"S")</f>
        <v>#REF!</v>
      </c>
      <c r="E35" s="111" t="e">
        <f>SUMIFS('Portefeuille SP2'!$U:$U,'Portefeuille SP2'!#REF!,1,'Portefeuille SP2'!$Q:$Q,"IN PROGRESS",'Portefeuille SP2'!#REF!,"R",'Portefeuille SP2'!$D:$D,$A35,'Portefeuille SP2'!#REF!,"S")</f>
        <v>#REF!</v>
      </c>
      <c r="F35" s="126" t="e">
        <f>SUMIFS('Portefeuille SP2'!#REF!,'Portefeuille SP2'!#REF!,1,'Portefeuille SP2'!$Q:$Q,"IN PROGRESS",'Portefeuille SP2'!#REF!,"R",'Portefeuille SP2'!$D:$D,$A35,'Portefeuille SP2'!#REF!,"S")</f>
        <v>#REF!</v>
      </c>
      <c r="G35" s="117" t="e">
        <f>SUMIFS('Portefeuille SP2'!#REF!,'Portefeuille SP2'!#REF!,1,'Portefeuille SP2'!$Q:$Q,"IN PROGRESS",'Portefeuille SP2'!#REF!,"R",'Portefeuille SP2'!$D:$D,$A35,'Portefeuille SP2'!#REF!,"S")</f>
        <v>#REF!</v>
      </c>
      <c r="H35" s="141" t="e">
        <f>SUMIFS('Portefeuille SP2'!$U:$U,'Portefeuille SP2'!#REF!,1,'Portefeuille SP2'!$Q:$Q,"DECIDED",'Portefeuille SP2'!#REF!,"G",'Portefeuille SP2'!$D:$D,$A35,'Portefeuille SP2'!#REF!,"S",'Portefeuille SP2'!#REF!,"=")</f>
        <v>#REF!</v>
      </c>
      <c r="I35" s="117" t="e">
        <f>SUMIFS('Portefeuille SP2'!#REF!,'Portefeuille SP2'!#REF!,1,'Portefeuille SP2'!$Q:$Q,"DECIDED",'Portefeuille SP2'!#REF!,"G",'Portefeuille SP2'!$D:$D,$A35,'Portefeuille SP2'!#REF!,"S",'Portefeuille SP2'!#REF!,"=")</f>
        <v>#REF!</v>
      </c>
      <c r="J35" s="117" t="e">
        <f>SUMIFS('Portefeuille SP2'!#REF!,'Portefeuille SP2'!#REF!,1,'Portefeuille SP2'!$Q:$Q,"DECIDED",'Portefeuille SP2'!#REF!,"G",'Portefeuille SP2'!$D:$D,$A35,'Portefeuille SP2'!#REF!,"S",'Portefeuille SP2'!#REF!,"=")</f>
        <v>#REF!</v>
      </c>
      <c r="K35" s="111" t="e">
        <f>SUMIFS('Portefeuille SP2'!$U:$U,'Portefeuille SP2'!#REF!,1,'Portefeuille SP2'!$Q:$Q,"DECIDED",'Portefeuille SP2'!#REF!,"R",'Portefeuille SP2'!$D:$D,$A35,'Portefeuille SP2'!#REF!,"S",'Portefeuille SP2'!#REF!,"=")</f>
        <v>#REF!</v>
      </c>
      <c r="L35" s="126" t="e">
        <f>SUMIFS('Portefeuille SP2'!#REF!,'Portefeuille SP2'!#REF!,1,'Portefeuille SP2'!$Q:$Q,"DECIDED",'Portefeuille SP2'!#REF!,"R",'Portefeuille SP2'!$D:$D,$A35,'Portefeuille SP2'!#REF!,"S",'Portefeuille SP2'!#REF!,"=")</f>
        <v>#REF!</v>
      </c>
      <c r="M35" s="117" t="e">
        <f>SUMIFS('Portefeuille SP2'!#REF!,'Portefeuille SP2'!#REF!,1,'Portefeuille SP2'!$Q:$Q,"DECIDED",'Portefeuille SP2'!#REF!,"R",'Portefeuille SP2'!$D:$D,$A35,'Portefeuille SP2'!#REF!,"S",'Portefeuille SP2'!#REF!,"=")</f>
        <v>#REF!</v>
      </c>
      <c r="N35" s="111" t="e">
        <f>SUMIFS('Portefeuille SP2'!$U:$U,'Portefeuille SP2'!#REF!,1,'Portefeuille SP2'!$Q:$Q,"DECIDED",'Portefeuille SP2'!#REF!,"G",'Portefeuille SP2'!$D:$D,$A35,'Portefeuille SP2'!#REF!,"S",'Portefeuille SP2'!#REF!,"&lt;&gt;")</f>
        <v>#REF!</v>
      </c>
      <c r="O35" s="126" t="e">
        <f>SUMIFS('Portefeuille SP2'!#REF!,'Portefeuille SP2'!#REF!,1,'Portefeuille SP2'!$Q:$Q,"DECIDED",'Portefeuille SP2'!#REF!,"G",'Portefeuille SP2'!$D:$D,$A35,'Portefeuille SP2'!#REF!,"S",'Portefeuille SP2'!#REF!,"&lt;&gt;")</f>
        <v>#REF!</v>
      </c>
      <c r="P35" s="117" t="e">
        <f>SUMIFS('Portefeuille SP2'!#REF!,'Portefeuille SP2'!#REF!,1,'Portefeuille SP2'!$Q:$Q,"DECIDED",'Portefeuille SP2'!#REF!,"G",'Portefeuille SP2'!$D:$D,$A35,'Portefeuille SP2'!#REF!,"S",'Portefeuille SP2'!#REF!,"&lt;&gt;")</f>
        <v>#REF!</v>
      </c>
      <c r="Q35" s="111" t="e">
        <f>SUMIFS('Portefeuille SP2'!$U:$U,'Portefeuille SP2'!#REF!,1,'Portefeuille SP2'!$Q:$Q,"DECIDED",'Portefeuille SP2'!#REF!,"R",'Portefeuille SP2'!$D:$D,$A35,'Portefeuille SP2'!#REF!,"S",'Portefeuille SP2'!#REF!,"&lt;&gt;")</f>
        <v>#REF!</v>
      </c>
      <c r="R35" s="126" t="e">
        <f>SUMIFS('Portefeuille SP2'!#REF!,'Portefeuille SP2'!#REF!,1,'Portefeuille SP2'!$Q:$Q,"DECIDED",'Portefeuille SP2'!#REF!,"R",'Portefeuille SP2'!$D:$D,$A35,'Portefeuille SP2'!#REF!,"S",'Portefeuille SP2'!#REF!,"&lt;&gt;")</f>
        <v>#REF!</v>
      </c>
      <c r="S35" s="122" t="e">
        <f>SUMIFS('Portefeuille SP2'!#REF!,'Portefeuille SP2'!#REF!,1,'Portefeuille SP2'!$Q:$Q,"DECIDED",'Portefeuille SP2'!#REF!,"R",'Portefeuille SP2'!$D:$D,$A35,'Portefeuille SP2'!#REF!,"S",'Portefeuille SP2'!#REF!,"&lt;&gt;")</f>
        <v>#REF!</v>
      </c>
      <c r="U35" s="111" t="e">
        <f>SUMIFS('Portefeuille SP2'!$U:$U,'Portefeuille SP2'!#REF!,1,'Portefeuille SP2'!$Q:$Q,"IN PROGRESS",'Portefeuille SP2'!#REF!,"G",'Portefeuille SP2'!$D:$D,$A35,'Portefeuille SP2'!#REF!,"O")</f>
        <v>#REF!</v>
      </c>
      <c r="V35" s="126" t="e">
        <f>SUMIFS('Portefeuille SP2'!#REF!,'Portefeuille SP2'!#REF!,1,'Portefeuille SP2'!$Q:$Q,"IN PROGRESS",'Portefeuille SP2'!#REF!,"G",'Portefeuille SP2'!$D:$D,$A35,'Portefeuille SP2'!#REF!,"o")</f>
        <v>#REF!</v>
      </c>
      <c r="W35" s="117" t="e">
        <f>SUMIFS('Portefeuille SP2'!#REF!,'Portefeuille SP2'!#REF!,1,'Portefeuille SP2'!$Q:$Q,"IN PROGRESS",'Portefeuille SP2'!#REF!,"G",'Portefeuille SP2'!$D:$D,$A35,'Portefeuille SP2'!#REF!,"o")</f>
        <v>#REF!</v>
      </c>
      <c r="X35" s="111" t="e">
        <f>SUMIFS('Portefeuille SP2'!$U:$U,'Portefeuille SP2'!#REF!,1,'Portefeuille SP2'!$Q:$Q,"IN PROGRESS",'Portefeuille SP2'!#REF!,"R",'Portefeuille SP2'!$D:$D,$A35,'Portefeuille SP2'!#REF!,"o")</f>
        <v>#REF!</v>
      </c>
      <c r="Y35" s="126" t="e">
        <f>SUMIFS('Portefeuille SP2'!#REF!,'Portefeuille SP2'!#REF!,1,'Portefeuille SP2'!$Q:$Q,"IN PROGRESS",'Portefeuille SP2'!#REF!,"R",'Portefeuille SP2'!$D:$D,$A35,'Portefeuille SP2'!#REF!,"o")</f>
        <v>#REF!</v>
      </c>
      <c r="Z35" s="117" t="e">
        <f>SUMIFS('Portefeuille SP2'!#REF!,'Portefeuille SP2'!#REF!,1,'Portefeuille SP2'!$Q:$Q,"IN PROGRESS",'Portefeuille SP2'!#REF!,"R",'Portefeuille SP2'!$D:$D,$A35,'Portefeuille SP2'!#REF!,"o")</f>
        <v>#REF!</v>
      </c>
      <c r="AA35" s="111" t="e">
        <f>SUMIFS('Portefeuille SP2'!$U:$U,'Portefeuille SP2'!#REF!,1,'Portefeuille SP2'!$Q:$Q,"DECIDED",'Portefeuille SP2'!#REF!,"G",'Portefeuille SP2'!$D:$D,$A35,'Portefeuille SP2'!#REF!,"o",'Portefeuille SP2'!#REF!,"=")</f>
        <v>#REF!</v>
      </c>
      <c r="AB35" s="126" t="e">
        <f>SUMIFS('Portefeuille SP2'!#REF!,'Portefeuille SP2'!#REF!,1,'Portefeuille SP2'!$Q:$Q,"DECIDED",'Portefeuille SP2'!#REF!,"G",'Portefeuille SP2'!$D:$D,$A35,'Portefeuille SP2'!#REF!,"o",'Portefeuille SP2'!#REF!,"=")</f>
        <v>#REF!</v>
      </c>
      <c r="AC35" s="117" t="e">
        <f>SUMIFS('Portefeuille SP2'!#REF!,'Portefeuille SP2'!#REF!,1,'Portefeuille SP2'!$Q:$Q,"DECIDED",'Portefeuille SP2'!#REF!,"G",'Portefeuille SP2'!$D:$D,$A35,'Portefeuille SP2'!#REF!,"o",'Portefeuille SP2'!#REF!,"=")</f>
        <v>#REF!</v>
      </c>
      <c r="AD35" s="111" t="e">
        <f>SUMIFS('Portefeuille SP2'!$U:$U,'Portefeuille SP2'!#REF!,1,'Portefeuille SP2'!$Q:$Q,"DECIDED",'Portefeuille SP2'!#REF!,"R",'Portefeuille SP2'!$D:$D,$A35,'Portefeuille SP2'!#REF!,"o",'Portefeuille SP2'!#REF!,"=")</f>
        <v>#REF!</v>
      </c>
      <c r="AE35" s="126" t="e">
        <f>SUMIFS('Portefeuille SP2'!#REF!,'Portefeuille SP2'!#REF!,1,'Portefeuille SP2'!$Q:$Q,"DECIDED",'Portefeuille SP2'!#REF!,"R",'Portefeuille SP2'!$D:$D,$A35,'Portefeuille SP2'!#REF!,"o",'Portefeuille SP2'!#REF!,"=")</f>
        <v>#REF!</v>
      </c>
      <c r="AF35" s="117" t="e">
        <f>SUMIFS('Portefeuille SP2'!#REF!,'Portefeuille SP2'!#REF!,1,'Portefeuille SP2'!$Q:$Q,"DECIDED",'Portefeuille SP2'!#REF!,"R",'Portefeuille SP2'!$D:$D,$A35,'Portefeuille SP2'!#REF!,"o",'Portefeuille SP2'!#REF!,"=")</f>
        <v>#REF!</v>
      </c>
      <c r="AG35" s="111" t="e">
        <f>SUMIFS('Portefeuille SP2'!$U:$U,'Portefeuille SP2'!#REF!,1,'Portefeuille SP2'!$Q:$Q,"DECIDED",'Portefeuille SP2'!#REF!,"G",'Portefeuille SP2'!$D:$D,$A35,'Portefeuille SP2'!#REF!,"o",'Portefeuille SP2'!#REF!,"&lt;&gt;")</f>
        <v>#REF!</v>
      </c>
      <c r="AH35" s="126" t="e">
        <f>SUMIFS('Portefeuille SP2'!#REF!,'Portefeuille SP2'!#REF!,1,'Portefeuille SP2'!$Q:$Q,"DECIDED",'Portefeuille SP2'!#REF!,"G",'Portefeuille SP2'!$D:$D,$A35,'Portefeuille SP2'!#REF!,"o",'Portefeuille SP2'!#REF!,"&lt;&gt;")</f>
        <v>#REF!</v>
      </c>
      <c r="AI35" s="117" t="e">
        <f>SUMIFS('Portefeuille SP2'!#REF!,'Portefeuille SP2'!#REF!,1,'Portefeuille SP2'!$Q:$Q,"DECIDED",'Portefeuille SP2'!#REF!,"G",'Portefeuille SP2'!$D:$D,$A35,'Portefeuille SP2'!#REF!,"o",'Portefeuille SP2'!#REF!,"&lt;&gt;")</f>
        <v>#REF!</v>
      </c>
      <c r="AJ35" s="111" t="e">
        <f>SUMIFS('Portefeuille SP2'!$U:$U,'Portefeuille SP2'!#REF!,1,'Portefeuille SP2'!$Q:$Q,"DECIDED",'Portefeuille SP2'!#REF!,"R",'Portefeuille SP2'!$D:$D,$A35,'Portefeuille SP2'!#REF!,"o",'Portefeuille SP2'!#REF!,"&lt;&gt;")</f>
        <v>#REF!</v>
      </c>
      <c r="AK35" s="126" t="e">
        <f>SUMIFS('Portefeuille SP2'!#REF!,'Portefeuille SP2'!#REF!,1,'Portefeuille SP2'!$Q:$Q,"DECIDED",'Portefeuille SP2'!#REF!,"R",'Portefeuille SP2'!$D:$D,$A35,'Portefeuille SP2'!#REF!,"o",'Portefeuille SP2'!#REF!,"&lt;&gt;")</f>
        <v>#REF!</v>
      </c>
      <c r="AL35" s="117" t="e">
        <f>SUMIFS('Portefeuille SP2'!#REF!,'Portefeuille SP2'!#REF!,1,'Portefeuille SP2'!$Q:$Q,"DECIDED",'Portefeuille SP2'!#REF!,"R",'Portefeuille SP2'!$D:$D,$A35,'Portefeuille SP2'!#REF!,"o",'Portefeuille SP2'!#REF!,"&lt;&gt;")</f>
        <v>#REF!</v>
      </c>
      <c r="AM35" s="117"/>
      <c r="AN35" t="s">
        <v>1308</v>
      </c>
      <c r="AO35" s="111" t="e">
        <f t="shared" ref="AO35" si="87">B41</f>
        <v>#REF!</v>
      </c>
      <c r="AP35" s="126" t="e">
        <f t="shared" ref="AP35" si="88">C41</f>
        <v>#REF!</v>
      </c>
      <c r="AQ35" s="122" t="e">
        <f t="shared" ref="AQ35" si="89">D41</f>
        <v>#REF!</v>
      </c>
      <c r="AR35" s="112" t="e">
        <f t="shared" ref="AR35" si="90">E41</f>
        <v>#REF!</v>
      </c>
      <c r="AS35" s="126" t="e">
        <f t="shared" ref="AS35" si="91">F41</f>
        <v>#REF!</v>
      </c>
      <c r="AT35" s="122" t="e">
        <f t="shared" ref="AT35" si="92">G41</f>
        <v>#REF!</v>
      </c>
      <c r="AU35" s="112" t="e">
        <f t="shared" ref="AU35:AU42" si="93">AO35+AR35</f>
        <v>#REF!</v>
      </c>
      <c r="AV35" s="126" t="e">
        <f t="shared" si="62"/>
        <v>#REF!</v>
      </c>
      <c r="AW35" s="122" t="e">
        <f t="shared" si="63"/>
        <v>#REF!</v>
      </c>
      <c r="AX35" s="111" t="e">
        <f t="shared" ref="AX35" si="94">H41</f>
        <v>#REF!</v>
      </c>
      <c r="AY35" s="126" t="e">
        <f t="shared" ref="AY35" si="95">I41</f>
        <v>#REF!</v>
      </c>
      <c r="AZ35" s="122" t="e">
        <f t="shared" ref="AZ35" si="96">J41</f>
        <v>#REF!</v>
      </c>
      <c r="BA35" s="111" t="e">
        <f t="shared" ref="BA35" si="97">K41</f>
        <v>#REF!</v>
      </c>
      <c r="BB35" s="126" t="e">
        <f t="shared" ref="BB35" si="98">L41</f>
        <v>#REF!</v>
      </c>
      <c r="BC35" s="122" t="e">
        <f t="shared" ref="BC35" si="99">M41</f>
        <v>#REF!</v>
      </c>
      <c r="BD35" s="112" t="e">
        <f t="shared" ref="BD35:BD42" si="100">AX35+BA35</f>
        <v>#REF!</v>
      </c>
      <c r="BE35" s="126" t="e">
        <f t="shared" si="70"/>
        <v>#REF!</v>
      </c>
      <c r="BF35" s="122" t="e">
        <f t="shared" si="71"/>
        <v>#REF!</v>
      </c>
      <c r="BH35" s="111" t="e">
        <f>U41</f>
        <v>#REF!</v>
      </c>
      <c r="BI35" s="126" t="e">
        <f t="shared" ref="BI35" si="101">V41</f>
        <v>#REF!</v>
      </c>
      <c r="BJ35" s="122" t="e">
        <f t="shared" ref="BJ35" si="102">W41</f>
        <v>#REF!</v>
      </c>
      <c r="BK35" s="111" t="e">
        <f t="shared" ref="BK35" si="103">X41</f>
        <v>#REF!</v>
      </c>
      <c r="BL35" s="126" t="e">
        <f t="shared" ref="BL35" si="104">Y41</f>
        <v>#REF!</v>
      </c>
      <c r="BM35" s="122" t="e">
        <f t="shared" ref="BM35" si="105">Z41</f>
        <v>#REF!</v>
      </c>
      <c r="BN35" s="112" t="e">
        <f t="shared" ref="BN35:BN42" si="106">BH35+BK35</f>
        <v>#REF!</v>
      </c>
      <c r="BO35" s="126" t="e">
        <f t="shared" si="77"/>
        <v>#REF!</v>
      </c>
      <c r="BP35" s="122" t="e">
        <f t="shared" si="78"/>
        <v>#REF!</v>
      </c>
      <c r="BQ35" s="111" t="e">
        <f t="shared" ref="BQ35" si="107">AA41</f>
        <v>#REF!</v>
      </c>
      <c r="BR35" s="126" t="e">
        <f t="shared" ref="BR35" si="108">AB41</f>
        <v>#REF!</v>
      </c>
      <c r="BS35" s="122" t="e">
        <f t="shared" ref="BS35" si="109">AC41</f>
        <v>#REF!</v>
      </c>
      <c r="BT35" s="111" t="e">
        <f t="shared" ref="BT35" si="110">AD41</f>
        <v>#REF!</v>
      </c>
      <c r="BU35" s="126" t="e">
        <f t="shared" ref="BU35" si="111">AE41</f>
        <v>#REF!</v>
      </c>
      <c r="BV35" s="122" t="e">
        <f t="shared" ref="BV35" si="112">AF41</f>
        <v>#REF!</v>
      </c>
      <c r="BW35" s="111" t="e">
        <f t="shared" ref="BW35:BW42" si="113">BQ35+BT35</f>
        <v>#REF!</v>
      </c>
      <c r="BX35" s="126" t="e">
        <f t="shared" si="85"/>
        <v>#REF!</v>
      </c>
      <c r="BY35" s="122" t="e">
        <f t="shared" si="86"/>
        <v>#REF!</v>
      </c>
    </row>
    <row r="36" spans="1:77" outlineLevel="1">
      <c r="A36" t="s">
        <v>1309</v>
      </c>
      <c r="B36" s="139" t="e">
        <f>SUMIFS('Portefeuille SP2'!$U:$U,'Portefeuille SP2'!#REF!,1,'Portefeuille SP2'!$Q:$Q,"IN PROGRESS",'Portefeuille SP2'!#REF!,"G",'Portefeuille SP2'!$D:$D,$A36,'Portefeuille SP2'!#REF!,"S")</f>
        <v>#REF!</v>
      </c>
      <c r="C36" s="126" t="e">
        <f>SUMIFS('Portefeuille SP2'!#REF!,'Portefeuille SP2'!#REF!,1,'Portefeuille SP2'!$Q:$Q,"IN PROGRESS",'Portefeuille SP2'!#REF!,"G",'Portefeuille SP2'!$D:$D,$A36,'Portefeuille SP2'!#REF!,"S")</f>
        <v>#REF!</v>
      </c>
      <c r="D36" s="122" t="e">
        <f>SUMIFS('Portefeuille SP2'!#REF!,'Portefeuille SP2'!#REF!,1,'Portefeuille SP2'!$Q:$Q,"IN PROGRESS",'Portefeuille SP2'!#REF!,"G",'Portefeuille SP2'!$D:$D,$A36,'Portefeuille SP2'!#REF!,"S")</f>
        <v>#REF!</v>
      </c>
      <c r="E36" s="111" t="e">
        <f>SUMIFS('Portefeuille SP2'!$U:$U,'Portefeuille SP2'!#REF!,1,'Portefeuille SP2'!$Q:$Q,"IN PROGRESS",'Portefeuille SP2'!#REF!,"R",'Portefeuille SP2'!$D:$D,$A36,'Portefeuille SP2'!#REF!,"S")</f>
        <v>#REF!</v>
      </c>
      <c r="F36" s="126" t="e">
        <f>SUMIFS('Portefeuille SP2'!#REF!,'Portefeuille SP2'!#REF!,1,'Portefeuille SP2'!$Q:$Q,"IN PROGRESS",'Portefeuille SP2'!#REF!,"R",'Portefeuille SP2'!$D:$D,$A36,'Portefeuille SP2'!#REF!,"S")</f>
        <v>#REF!</v>
      </c>
      <c r="G36" s="117" t="e">
        <f>SUMIFS('Portefeuille SP2'!#REF!,'Portefeuille SP2'!#REF!,1,'Portefeuille SP2'!$Q:$Q,"IN PROGRESS",'Portefeuille SP2'!#REF!,"R",'Portefeuille SP2'!$D:$D,$A36,'Portefeuille SP2'!#REF!,"S")</f>
        <v>#REF!</v>
      </c>
      <c r="H36" s="141" t="e">
        <f>SUMIFS('Portefeuille SP2'!$U:$U,'Portefeuille SP2'!#REF!,1,'Portefeuille SP2'!$Q:$Q,"DECIDED",'Portefeuille SP2'!#REF!,"G",'Portefeuille SP2'!$D:$D,$A36,'Portefeuille SP2'!#REF!,"S",'Portefeuille SP2'!#REF!,"=")</f>
        <v>#REF!</v>
      </c>
      <c r="I36" s="117" t="e">
        <f>SUMIFS('Portefeuille SP2'!#REF!,'Portefeuille SP2'!#REF!,1,'Portefeuille SP2'!$Q:$Q,"DECIDED",'Portefeuille SP2'!#REF!,"G",'Portefeuille SP2'!$D:$D,$A36,'Portefeuille SP2'!#REF!,"S",'Portefeuille SP2'!#REF!,"=")</f>
        <v>#REF!</v>
      </c>
      <c r="J36" s="117" t="e">
        <f>SUMIFS('Portefeuille SP2'!#REF!,'Portefeuille SP2'!#REF!,1,'Portefeuille SP2'!$Q:$Q,"DECIDED",'Portefeuille SP2'!#REF!,"G",'Portefeuille SP2'!$D:$D,$A36,'Portefeuille SP2'!#REF!,"S",'Portefeuille SP2'!#REF!,"=")</f>
        <v>#REF!</v>
      </c>
      <c r="K36" s="111" t="e">
        <f>SUMIFS('Portefeuille SP2'!$U:$U,'Portefeuille SP2'!#REF!,1,'Portefeuille SP2'!$Q:$Q,"DECIDED",'Portefeuille SP2'!#REF!,"R",'Portefeuille SP2'!$D:$D,$A36,'Portefeuille SP2'!#REF!,"S",'Portefeuille SP2'!#REF!,"=")</f>
        <v>#REF!</v>
      </c>
      <c r="L36" s="126" t="e">
        <f>SUMIFS('Portefeuille SP2'!#REF!,'Portefeuille SP2'!#REF!,1,'Portefeuille SP2'!$Q:$Q,"DECIDED",'Portefeuille SP2'!#REF!,"R",'Portefeuille SP2'!$D:$D,$A36,'Portefeuille SP2'!#REF!,"S",'Portefeuille SP2'!#REF!,"=")</f>
        <v>#REF!</v>
      </c>
      <c r="M36" s="117" t="e">
        <f>SUMIFS('Portefeuille SP2'!#REF!,'Portefeuille SP2'!#REF!,1,'Portefeuille SP2'!$Q:$Q,"DECIDED",'Portefeuille SP2'!#REF!,"R",'Portefeuille SP2'!$D:$D,$A36,'Portefeuille SP2'!#REF!,"S",'Portefeuille SP2'!#REF!,"=")</f>
        <v>#REF!</v>
      </c>
      <c r="N36" s="111" t="e">
        <f>SUMIFS('Portefeuille SP2'!$U:$U,'Portefeuille SP2'!#REF!,1,'Portefeuille SP2'!$Q:$Q,"DECIDED",'Portefeuille SP2'!#REF!,"G",'Portefeuille SP2'!$D:$D,$A36,'Portefeuille SP2'!#REF!,"S",'Portefeuille SP2'!#REF!,"&lt;&gt;")</f>
        <v>#REF!</v>
      </c>
      <c r="O36" s="126" t="e">
        <f>SUMIFS('Portefeuille SP2'!#REF!,'Portefeuille SP2'!#REF!,1,'Portefeuille SP2'!$Q:$Q,"DECIDED",'Portefeuille SP2'!#REF!,"G",'Portefeuille SP2'!$D:$D,$A36,'Portefeuille SP2'!#REF!,"S",'Portefeuille SP2'!#REF!,"&lt;&gt;")</f>
        <v>#REF!</v>
      </c>
      <c r="P36" s="117" t="e">
        <f>SUMIFS('Portefeuille SP2'!#REF!,'Portefeuille SP2'!#REF!,1,'Portefeuille SP2'!$Q:$Q,"DECIDED",'Portefeuille SP2'!#REF!,"G",'Portefeuille SP2'!$D:$D,$A36,'Portefeuille SP2'!#REF!,"S",'Portefeuille SP2'!#REF!,"&lt;&gt;")</f>
        <v>#REF!</v>
      </c>
      <c r="Q36" s="111" t="e">
        <f>SUMIFS('Portefeuille SP2'!$U:$U,'Portefeuille SP2'!#REF!,1,'Portefeuille SP2'!$Q:$Q,"DECIDED",'Portefeuille SP2'!#REF!,"R",'Portefeuille SP2'!$D:$D,$A36,'Portefeuille SP2'!#REF!,"S",'Portefeuille SP2'!#REF!,"&lt;&gt;")</f>
        <v>#REF!</v>
      </c>
      <c r="R36" s="126" t="e">
        <f>SUMIFS('Portefeuille SP2'!#REF!,'Portefeuille SP2'!#REF!,1,'Portefeuille SP2'!$Q:$Q,"DECIDED",'Portefeuille SP2'!#REF!,"R",'Portefeuille SP2'!$D:$D,$A36,'Portefeuille SP2'!#REF!,"S",'Portefeuille SP2'!#REF!,"&lt;&gt;")</f>
        <v>#REF!</v>
      </c>
      <c r="S36" s="122" t="e">
        <f>SUMIFS('Portefeuille SP2'!#REF!,'Portefeuille SP2'!#REF!,1,'Portefeuille SP2'!$Q:$Q,"DECIDED",'Portefeuille SP2'!#REF!,"R",'Portefeuille SP2'!$D:$D,$A36,'Portefeuille SP2'!#REF!,"S",'Portefeuille SP2'!#REF!,"&lt;&gt;")</f>
        <v>#REF!</v>
      </c>
      <c r="U36" s="111" t="e">
        <f>SUMIFS('Portefeuille SP2'!$U:$U,'Portefeuille SP2'!#REF!,1,'Portefeuille SP2'!$Q:$Q,"IN PROGRESS",'Portefeuille SP2'!#REF!,"G",'Portefeuille SP2'!$D:$D,$A36,'Portefeuille SP2'!#REF!,"O")</f>
        <v>#REF!</v>
      </c>
      <c r="V36" s="126" t="e">
        <f>SUMIFS('Portefeuille SP2'!#REF!,'Portefeuille SP2'!#REF!,1,'Portefeuille SP2'!$Q:$Q,"IN PROGRESS",'Portefeuille SP2'!#REF!,"G",'Portefeuille SP2'!$D:$D,$A36,'Portefeuille SP2'!#REF!,"o")</f>
        <v>#REF!</v>
      </c>
      <c r="W36" s="117" t="e">
        <f>SUMIFS('Portefeuille SP2'!#REF!,'Portefeuille SP2'!#REF!,1,'Portefeuille SP2'!$Q:$Q,"IN PROGRESS",'Portefeuille SP2'!#REF!,"G",'Portefeuille SP2'!$D:$D,$A36,'Portefeuille SP2'!#REF!,"o")</f>
        <v>#REF!</v>
      </c>
      <c r="X36" s="111" t="e">
        <f>SUMIFS('Portefeuille SP2'!$U:$U,'Portefeuille SP2'!#REF!,1,'Portefeuille SP2'!$Q:$Q,"IN PROGRESS",'Portefeuille SP2'!#REF!,"R",'Portefeuille SP2'!$D:$D,$A36,'Portefeuille SP2'!#REF!,"o")</f>
        <v>#REF!</v>
      </c>
      <c r="Y36" s="126" t="e">
        <f>SUMIFS('Portefeuille SP2'!#REF!,'Portefeuille SP2'!#REF!,1,'Portefeuille SP2'!$Q:$Q,"IN PROGRESS",'Portefeuille SP2'!#REF!,"R",'Portefeuille SP2'!$D:$D,$A36,'Portefeuille SP2'!#REF!,"o")</f>
        <v>#REF!</v>
      </c>
      <c r="Z36" s="117" t="e">
        <f>SUMIFS('Portefeuille SP2'!#REF!,'Portefeuille SP2'!#REF!,1,'Portefeuille SP2'!$Q:$Q,"IN PROGRESS",'Portefeuille SP2'!#REF!,"R",'Portefeuille SP2'!$D:$D,$A36,'Portefeuille SP2'!#REF!,"o")</f>
        <v>#REF!</v>
      </c>
      <c r="AA36" s="111" t="e">
        <f>SUMIFS('Portefeuille SP2'!$U:$U,'Portefeuille SP2'!#REF!,1,'Portefeuille SP2'!$Q:$Q,"DECIDED",'Portefeuille SP2'!#REF!,"G",'Portefeuille SP2'!$D:$D,$A36,'Portefeuille SP2'!#REF!,"o",'Portefeuille SP2'!#REF!,"=")</f>
        <v>#REF!</v>
      </c>
      <c r="AB36" s="126" t="e">
        <f>SUMIFS('Portefeuille SP2'!#REF!,'Portefeuille SP2'!#REF!,1,'Portefeuille SP2'!$Q:$Q,"DECIDED",'Portefeuille SP2'!#REF!,"G",'Portefeuille SP2'!$D:$D,$A36,'Portefeuille SP2'!#REF!,"o",'Portefeuille SP2'!#REF!,"=")</f>
        <v>#REF!</v>
      </c>
      <c r="AC36" s="117" t="e">
        <f>SUMIFS('Portefeuille SP2'!#REF!,'Portefeuille SP2'!#REF!,1,'Portefeuille SP2'!$Q:$Q,"DECIDED",'Portefeuille SP2'!#REF!,"G",'Portefeuille SP2'!$D:$D,$A36,'Portefeuille SP2'!#REF!,"o",'Portefeuille SP2'!#REF!,"=")</f>
        <v>#REF!</v>
      </c>
      <c r="AD36" s="111" t="e">
        <f>SUMIFS('Portefeuille SP2'!$U:$U,'Portefeuille SP2'!#REF!,1,'Portefeuille SP2'!$Q:$Q,"DECIDED",'Portefeuille SP2'!#REF!,"R",'Portefeuille SP2'!$D:$D,$A36,'Portefeuille SP2'!#REF!,"o",'Portefeuille SP2'!#REF!,"=")</f>
        <v>#REF!</v>
      </c>
      <c r="AE36" s="126" t="e">
        <f>SUMIFS('Portefeuille SP2'!#REF!,'Portefeuille SP2'!#REF!,1,'Portefeuille SP2'!$Q:$Q,"DECIDED",'Portefeuille SP2'!#REF!,"R",'Portefeuille SP2'!$D:$D,$A36,'Portefeuille SP2'!#REF!,"o",'Portefeuille SP2'!#REF!,"=")</f>
        <v>#REF!</v>
      </c>
      <c r="AF36" s="117" t="e">
        <f>SUMIFS('Portefeuille SP2'!#REF!,'Portefeuille SP2'!#REF!,1,'Portefeuille SP2'!$Q:$Q,"DECIDED",'Portefeuille SP2'!#REF!,"R",'Portefeuille SP2'!$D:$D,$A36,'Portefeuille SP2'!#REF!,"o",'Portefeuille SP2'!#REF!,"=")</f>
        <v>#REF!</v>
      </c>
      <c r="AG36" s="111" t="e">
        <f>SUMIFS('Portefeuille SP2'!$U:$U,'Portefeuille SP2'!#REF!,1,'Portefeuille SP2'!$Q:$Q,"DECIDED",'Portefeuille SP2'!#REF!,"G",'Portefeuille SP2'!$D:$D,$A36,'Portefeuille SP2'!#REF!,"o",'Portefeuille SP2'!#REF!,"&lt;&gt;")</f>
        <v>#REF!</v>
      </c>
      <c r="AH36" s="126" t="e">
        <f>SUMIFS('Portefeuille SP2'!#REF!,'Portefeuille SP2'!#REF!,1,'Portefeuille SP2'!$Q:$Q,"DECIDED",'Portefeuille SP2'!#REF!,"G",'Portefeuille SP2'!$D:$D,$A36,'Portefeuille SP2'!#REF!,"o",'Portefeuille SP2'!#REF!,"&lt;&gt;")</f>
        <v>#REF!</v>
      </c>
      <c r="AI36" s="117" t="e">
        <f>SUMIFS('Portefeuille SP2'!#REF!,'Portefeuille SP2'!#REF!,1,'Portefeuille SP2'!$Q:$Q,"DECIDED",'Portefeuille SP2'!#REF!,"G",'Portefeuille SP2'!$D:$D,$A36,'Portefeuille SP2'!#REF!,"o",'Portefeuille SP2'!#REF!,"&lt;&gt;")</f>
        <v>#REF!</v>
      </c>
      <c r="AJ36" s="111" t="e">
        <f>SUMIFS('Portefeuille SP2'!$U:$U,'Portefeuille SP2'!#REF!,1,'Portefeuille SP2'!$Q:$Q,"DECIDED",'Portefeuille SP2'!#REF!,"R",'Portefeuille SP2'!$D:$D,$A36,'Portefeuille SP2'!#REF!,"o",'Portefeuille SP2'!#REF!,"&lt;&gt;")</f>
        <v>#REF!</v>
      </c>
      <c r="AK36" s="126" t="e">
        <f>SUMIFS('Portefeuille SP2'!#REF!,'Portefeuille SP2'!#REF!,1,'Portefeuille SP2'!$Q:$Q,"DECIDED",'Portefeuille SP2'!#REF!,"R",'Portefeuille SP2'!$D:$D,$A36,'Portefeuille SP2'!#REF!,"o",'Portefeuille SP2'!#REF!,"&lt;&gt;")</f>
        <v>#REF!</v>
      </c>
      <c r="AL36" s="117" t="e">
        <f>SUMIFS('Portefeuille SP2'!#REF!,'Portefeuille SP2'!#REF!,1,'Portefeuille SP2'!$Q:$Q,"DECIDED",'Portefeuille SP2'!#REF!,"R",'Portefeuille SP2'!$D:$D,$A36,'Portefeuille SP2'!#REF!,"o",'Portefeuille SP2'!#REF!,"&lt;&gt;")</f>
        <v>#REF!</v>
      </c>
      <c r="AM36" s="117"/>
      <c r="AN36" t="s">
        <v>150</v>
      </c>
      <c r="AO36" s="111" t="e">
        <f t="shared" ref="AO36" si="114">B44</f>
        <v>#REF!</v>
      </c>
      <c r="AP36" s="126" t="e">
        <f t="shared" ref="AP36" si="115">C44</f>
        <v>#REF!</v>
      </c>
      <c r="AQ36" s="122" t="e">
        <f t="shared" ref="AQ36" si="116">D44</f>
        <v>#REF!</v>
      </c>
      <c r="AR36" s="112" t="e">
        <f t="shared" ref="AR36" si="117">E44</f>
        <v>#REF!</v>
      </c>
      <c r="AS36" s="126" t="e">
        <f t="shared" ref="AS36" si="118">F44</f>
        <v>#REF!</v>
      </c>
      <c r="AT36" s="122" t="e">
        <f t="shared" ref="AT36" si="119">G44</f>
        <v>#REF!</v>
      </c>
      <c r="AU36" s="112" t="e">
        <f t="shared" si="93"/>
        <v>#REF!</v>
      </c>
      <c r="AV36" s="126" t="e">
        <f t="shared" si="62"/>
        <v>#REF!</v>
      </c>
      <c r="AW36" s="122" t="e">
        <f t="shared" si="63"/>
        <v>#REF!</v>
      </c>
      <c r="AX36" s="111" t="e">
        <f t="shared" ref="AX36" si="120">H44</f>
        <v>#REF!</v>
      </c>
      <c r="AY36" s="126" t="e">
        <f t="shared" ref="AY36" si="121">I44</f>
        <v>#REF!</v>
      </c>
      <c r="AZ36" s="122" t="e">
        <f t="shared" ref="AZ36" si="122">J44</f>
        <v>#REF!</v>
      </c>
      <c r="BA36" s="111" t="e">
        <f t="shared" ref="BA36" si="123">K44</f>
        <v>#REF!</v>
      </c>
      <c r="BB36" s="126" t="e">
        <f t="shared" ref="BB36" si="124">L44</f>
        <v>#REF!</v>
      </c>
      <c r="BC36" s="122" t="e">
        <f t="shared" ref="BC36" si="125">M44</f>
        <v>#REF!</v>
      </c>
      <c r="BD36" s="112" t="e">
        <f t="shared" si="100"/>
        <v>#REF!</v>
      </c>
      <c r="BE36" s="126" t="e">
        <f t="shared" si="70"/>
        <v>#REF!</v>
      </c>
      <c r="BF36" s="122" t="e">
        <f t="shared" si="71"/>
        <v>#REF!</v>
      </c>
      <c r="BH36" s="111" t="e">
        <f>U44</f>
        <v>#REF!</v>
      </c>
      <c r="BI36" s="126" t="e">
        <f t="shared" ref="BI36" si="126">V44</f>
        <v>#REF!</v>
      </c>
      <c r="BJ36" s="122" t="e">
        <f t="shared" ref="BJ36" si="127">W44</f>
        <v>#REF!</v>
      </c>
      <c r="BK36" s="111" t="e">
        <f t="shared" ref="BK36" si="128">X44</f>
        <v>#REF!</v>
      </c>
      <c r="BL36" s="126" t="e">
        <f t="shared" ref="BL36" si="129">Y44</f>
        <v>#REF!</v>
      </c>
      <c r="BM36" s="122" t="e">
        <f t="shared" ref="BM36" si="130">Z44</f>
        <v>#REF!</v>
      </c>
      <c r="BN36" s="112" t="e">
        <f t="shared" si="106"/>
        <v>#REF!</v>
      </c>
      <c r="BO36" s="126" t="e">
        <f t="shared" si="77"/>
        <v>#REF!</v>
      </c>
      <c r="BP36" s="122" t="e">
        <f t="shared" si="78"/>
        <v>#REF!</v>
      </c>
      <c r="BQ36" s="111" t="e">
        <f t="shared" ref="BQ36" si="131">AA44</f>
        <v>#REF!</v>
      </c>
      <c r="BR36" s="126" t="e">
        <f t="shared" ref="BR36" si="132">AB44</f>
        <v>#REF!</v>
      </c>
      <c r="BS36" s="122" t="e">
        <f t="shared" ref="BS36" si="133">AC44</f>
        <v>#REF!</v>
      </c>
      <c r="BT36" s="111" t="e">
        <f t="shared" ref="BT36" si="134">AD44</f>
        <v>#REF!</v>
      </c>
      <c r="BU36" s="126" t="e">
        <f t="shared" ref="BU36" si="135">AE44</f>
        <v>#REF!</v>
      </c>
      <c r="BV36" s="122" t="e">
        <f t="shared" ref="BV36" si="136">AF44</f>
        <v>#REF!</v>
      </c>
      <c r="BW36" s="111" t="e">
        <f t="shared" si="113"/>
        <v>#REF!</v>
      </c>
      <c r="BX36" s="126" t="e">
        <f t="shared" si="85"/>
        <v>#REF!</v>
      </c>
      <c r="BY36" s="122" t="e">
        <f t="shared" si="86"/>
        <v>#REF!</v>
      </c>
    </row>
    <row r="37" spans="1:77" outlineLevel="1">
      <c r="A37" t="s">
        <v>1310</v>
      </c>
      <c r="B37" s="139" t="e">
        <f>SUMIFS('Portefeuille SP2'!$U:$U,'Portefeuille SP2'!#REF!,1,'Portefeuille SP2'!$Q:$Q,"IN PROGRESS",'Portefeuille SP2'!#REF!,"G",'Portefeuille SP2'!$D:$D,$A37,'Portefeuille SP2'!#REF!,"S")</f>
        <v>#REF!</v>
      </c>
      <c r="C37" s="126" t="e">
        <f>SUMIFS('Portefeuille SP2'!#REF!,'Portefeuille SP2'!#REF!,1,'Portefeuille SP2'!$Q:$Q,"IN PROGRESS",'Portefeuille SP2'!#REF!,"G",'Portefeuille SP2'!$D:$D,$A37,'Portefeuille SP2'!#REF!,"S")</f>
        <v>#REF!</v>
      </c>
      <c r="D37" s="122" t="e">
        <f>SUMIFS('Portefeuille SP2'!#REF!,'Portefeuille SP2'!#REF!,1,'Portefeuille SP2'!$Q:$Q,"IN PROGRESS",'Portefeuille SP2'!#REF!,"G",'Portefeuille SP2'!$D:$D,$A37,'Portefeuille SP2'!#REF!,"S")</f>
        <v>#REF!</v>
      </c>
      <c r="E37" s="111" t="e">
        <f>SUMIFS('Portefeuille SP2'!$U:$U,'Portefeuille SP2'!#REF!,1,'Portefeuille SP2'!$Q:$Q,"IN PROGRESS",'Portefeuille SP2'!#REF!,"R",'Portefeuille SP2'!$D:$D,$A37,'Portefeuille SP2'!#REF!,"S")</f>
        <v>#REF!</v>
      </c>
      <c r="F37" s="126" t="e">
        <f>SUMIFS('Portefeuille SP2'!#REF!,'Portefeuille SP2'!#REF!,1,'Portefeuille SP2'!$Q:$Q,"IN PROGRESS",'Portefeuille SP2'!#REF!,"R",'Portefeuille SP2'!$D:$D,$A37,'Portefeuille SP2'!#REF!,"S")</f>
        <v>#REF!</v>
      </c>
      <c r="G37" s="117" t="e">
        <f>SUMIFS('Portefeuille SP2'!#REF!,'Portefeuille SP2'!#REF!,1,'Portefeuille SP2'!$Q:$Q,"IN PROGRESS",'Portefeuille SP2'!#REF!,"R",'Portefeuille SP2'!$D:$D,$A37,'Portefeuille SP2'!#REF!,"S")</f>
        <v>#REF!</v>
      </c>
      <c r="H37" s="141" t="e">
        <f>SUMIFS('Portefeuille SP2'!$U:$U,'Portefeuille SP2'!#REF!,1,'Portefeuille SP2'!$Q:$Q,"DECIDED",'Portefeuille SP2'!#REF!,"G",'Portefeuille SP2'!$D:$D,$A37,'Portefeuille SP2'!#REF!,"S",'Portefeuille SP2'!#REF!,"=")</f>
        <v>#REF!</v>
      </c>
      <c r="I37" s="117" t="e">
        <f>SUMIFS('Portefeuille SP2'!#REF!,'Portefeuille SP2'!#REF!,1,'Portefeuille SP2'!$Q:$Q,"DECIDED",'Portefeuille SP2'!#REF!,"G",'Portefeuille SP2'!$D:$D,$A37,'Portefeuille SP2'!#REF!,"S",'Portefeuille SP2'!#REF!,"=")</f>
        <v>#REF!</v>
      </c>
      <c r="J37" s="117" t="e">
        <f>SUMIFS('Portefeuille SP2'!#REF!,'Portefeuille SP2'!#REF!,1,'Portefeuille SP2'!$Q:$Q,"DECIDED",'Portefeuille SP2'!#REF!,"G",'Portefeuille SP2'!$D:$D,$A37,'Portefeuille SP2'!#REF!,"S",'Portefeuille SP2'!#REF!,"=")</f>
        <v>#REF!</v>
      </c>
      <c r="K37" s="111" t="e">
        <f>SUMIFS('Portefeuille SP2'!$U:$U,'Portefeuille SP2'!#REF!,1,'Portefeuille SP2'!$Q:$Q,"DECIDED",'Portefeuille SP2'!#REF!,"R",'Portefeuille SP2'!$D:$D,$A37,'Portefeuille SP2'!#REF!,"S",'Portefeuille SP2'!#REF!,"=")</f>
        <v>#REF!</v>
      </c>
      <c r="L37" s="126" t="e">
        <f>SUMIFS('Portefeuille SP2'!#REF!,'Portefeuille SP2'!#REF!,1,'Portefeuille SP2'!$Q:$Q,"DECIDED",'Portefeuille SP2'!#REF!,"R",'Portefeuille SP2'!$D:$D,$A37,'Portefeuille SP2'!#REF!,"S",'Portefeuille SP2'!#REF!,"=")</f>
        <v>#REF!</v>
      </c>
      <c r="M37" s="117" t="e">
        <f>SUMIFS('Portefeuille SP2'!#REF!,'Portefeuille SP2'!#REF!,1,'Portefeuille SP2'!$Q:$Q,"DECIDED",'Portefeuille SP2'!#REF!,"R",'Portefeuille SP2'!$D:$D,$A37,'Portefeuille SP2'!#REF!,"S",'Portefeuille SP2'!#REF!,"=")</f>
        <v>#REF!</v>
      </c>
      <c r="N37" s="111" t="e">
        <f>SUMIFS('Portefeuille SP2'!$U:$U,'Portefeuille SP2'!#REF!,1,'Portefeuille SP2'!$Q:$Q,"DECIDED",'Portefeuille SP2'!#REF!,"G",'Portefeuille SP2'!$D:$D,$A37,'Portefeuille SP2'!#REF!,"S",'Portefeuille SP2'!#REF!,"&lt;&gt;")</f>
        <v>#REF!</v>
      </c>
      <c r="O37" s="126" t="e">
        <f>SUMIFS('Portefeuille SP2'!#REF!,'Portefeuille SP2'!#REF!,1,'Portefeuille SP2'!$Q:$Q,"DECIDED",'Portefeuille SP2'!#REF!,"G",'Portefeuille SP2'!$D:$D,$A37,'Portefeuille SP2'!#REF!,"S",'Portefeuille SP2'!#REF!,"&lt;&gt;")</f>
        <v>#REF!</v>
      </c>
      <c r="P37" s="117" t="e">
        <f>SUMIFS('Portefeuille SP2'!#REF!,'Portefeuille SP2'!#REF!,1,'Portefeuille SP2'!$Q:$Q,"DECIDED",'Portefeuille SP2'!#REF!,"G",'Portefeuille SP2'!$D:$D,$A37,'Portefeuille SP2'!#REF!,"S",'Portefeuille SP2'!#REF!,"&lt;&gt;")</f>
        <v>#REF!</v>
      </c>
      <c r="Q37" s="111" t="e">
        <f>SUMIFS('Portefeuille SP2'!$U:$U,'Portefeuille SP2'!#REF!,1,'Portefeuille SP2'!$Q:$Q,"DECIDED",'Portefeuille SP2'!#REF!,"R",'Portefeuille SP2'!$D:$D,$A37,'Portefeuille SP2'!#REF!,"S",'Portefeuille SP2'!#REF!,"&lt;&gt;")</f>
        <v>#REF!</v>
      </c>
      <c r="R37" s="126" t="e">
        <f>SUMIFS('Portefeuille SP2'!#REF!,'Portefeuille SP2'!#REF!,1,'Portefeuille SP2'!$Q:$Q,"DECIDED",'Portefeuille SP2'!#REF!,"R",'Portefeuille SP2'!$D:$D,$A37,'Portefeuille SP2'!#REF!,"S",'Portefeuille SP2'!#REF!,"&lt;&gt;")</f>
        <v>#REF!</v>
      </c>
      <c r="S37" s="122" t="e">
        <f>SUMIFS('Portefeuille SP2'!#REF!,'Portefeuille SP2'!#REF!,1,'Portefeuille SP2'!$Q:$Q,"DECIDED",'Portefeuille SP2'!#REF!,"R",'Portefeuille SP2'!$D:$D,$A37,'Portefeuille SP2'!#REF!,"S",'Portefeuille SP2'!#REF!,"&lt;&gt;")</f>
        <v>#REF!</v>
      </c>
      <c r="U37" s="111" t="e">
        <f>SUMIFS('Portefeuille SP2'!$U:$U,'Portefeuille SP2'!#REF!,1,'Portefeuille SP2'!$Q:$Q,"IN PROGRESS",'Portefeuille SP2'!#REF!,"G",'Portefeuille SP2'!$D:$D,$A37,'Portefeuille SP2'!#REF!,"O")</f>
        <v>#REF!</v>
      </c>
      <c r="V37" s="126" t="e">
        <f>SUMIFS('Portefeuille SP2'!#REF!,'Portefeuille SP2'!#REF!,1,'Portefeuille SP2'!$Q:$Q,"IN PROGRESS",'Portefeuille SP2'!#REF!,"G",'Portefeuille SP2'!$D:$D,$A37,'Portefeuille SP2'!#REF!,"o")</f>
        <v>#REF!</v>
      </c>
      <c r="W37" s="117" t="e">
        <f>SUMIFS('Portefeuille SP2'!#REF!,'Portefeuille SP2'!#REF!,1,'Portefeuille SP2'!$Q:$Q,"IN PROGRESS",'Portefeuille SP2'!#REF!,"G",'Portefeuille SP2'!$D:$D,$A37,'Portefeuille SP2'!#REF!,"o")</f>
        <v>#REF!</v>
      </c>
      <c r="X37" s="111" t="e">
        <f>SUMIFS('Portefeuille SP2'!$U:$U,'Portefeuille SP2'!#REF!,1,'Portefeuille SP2'!$Q:$Q,"IN PROGRESS",'Portefeuille SP2'!#REF!,"R",'Portefeuille SP2'!$D:$D,$A37,'Portefeuille SP2'!#REF!,"o")</f>
        <v>#REF!</v>
      </c>
      <c r="Y37" s="126" t="e">
        <f>SUMIFS('Portefeuille SP2'!#REF!,'Portefeuille SP2'!#REF!,1,'Portefeuille SP2'!$Q:$Q,"IN PROGRESS",'Portefeuille SP2'!#REF!,"R",'Portefeuille SP2'!$D:$D,$A37,'Portefeuille SP2'!#REF!,"o")</f>
        <v>#REF!</v>
      </c>
      <c r="Z37" s="117" t="e">
        <f>SUMIFS('Portefeuille SP2'!#REF!,'Portefeuille SP2'!#REF!,1,'Portefeuille SP2'!$Q:$Q,"IN PROGRESS",'Portefeuille SP2'!#REF!,"R",'Portefeuille SP2'!$D:$D,$A37,'Portefeuille SP2'!#REF!,"o")</f>
        <v>#REF!</v>
      </c>
      <c r="AA37" s="111" t="e">
        <f>SUMIFS('Portefeuille SP2'!$U:$U,'Portefeuille SP2'!#REF!,1,'Portefeuille SP2'!$Q:$Q,"DECIDED",'Portefeuille SP2'!#REF!,"G",'Portefeuille SP2'!$D:$D,$A37,'Portefeuille SP2'!#REF!,"o",'Portefeuille SP2'!#REF!,"=")</f>
        <v>#REF!</v>
      </c>
      <c r="AB37" s="126" t="e">
        <f>SUMIFS('Portefeuille SP2'!#REF!,'Portefeuille SP2'!#REF!,1,'Portefeuille SP2'!$Q:$Q,"DECIDED",'Portefeuille SP2'!#REF!,"G",'Portefeuille SP2'!$D:$D,$A37,'Portefeuille SP2'!#REF!,"o",'Portefeuille SP2'!#REF!,"=")</f>
        <v>#REF!</v>
      </c>
      <c r="AC37" s="117" t="e">
        <f>SUMIFS('Portefeuille SP2'!#REF!,'Portefeuille SP2'!#REF!,1,'Portefeuille SP2'!$Q:$Q,"DECIDED",'Portefeuille SP2'!#REF!,"G",'Portefeuille SP2'!$D:$D,$A37,'Portefeuille SP2'!#REF!,"o",'Portefeuille SP2'!#REF!,"=")</f>
        <v>#REF!</v>
      </c>
      <c r="AD37" s="111" t="e">
        <f>SUMIFS('Portefeuille SP2'!$U:$U,'Portefeuille SP2'!#REF!,1,'Portefeuille SP2'!$Q:$Q,"DECIDED",'Portefeuille SP2'!#REF!,"R",'Portefeuille SP2'!$D:$D,$A37,'Portefeuille SP2'!#REF!,"o",'Portefeuille SP2'!#REF!,"=")</f>
        <v>#REF!</v>
      </c>
      <c r="AE37" s="126" t="e">
        <f>SUMIFS('Portefeuille SP2'!#REF!,'Portefeuille SP2'!#REF!,1,'Portefeuille SP2'!$Q:$Q,"DECIDED",'Portefeuille SP2'!#REF!,"R",'Portefeuille SP2'!$D:$D,$A37,'Portefeuille SP2'!#REF!,"o",'Portefeuille SP2'!#REF!,"=")</f>
        <v>#REF!</v>
      </c>
      <c r="AF37" s="117" t="e">
        <f>SUMIFS('Portefeuille SP2'!#REF!,'Portefeuille SP2'!#REF!,1,'Portefeuille SP2'!$Q:$Q,"DECIDED",'Portefeuille SP2'!#REF!,"R",'Portefeuille SP2'!$D:$D,$A37,'Portefeuille SP2'!#REF!,"o",'Portefeuille SP2'!#REF!,"=")</f>
        <v>#REF!</v>
      </c>
      <c r="AG37" s="111" t="e">
        <f>SUMIFS('Portefeuille SP2'!$U:$U,'Portefeuille SP2'!#REF!,1,'Portefeuille SP2'!$Q:$Q,"DECIDED",'Portefeuille SP2'!#REF!,"G",'Portefeuille SP2'!$D:$D,$A37,'Portefeuille SP2'!#REF!,"o",'Portefeuille SP2'!#REF!,"&lt;&gt;")</f>
        <v>#REF!</v>
      </c>
      <c r="AH37" s="126" t="e">
        <f>SUMIFS('Portefeuille SP2'!#REF!,'Portefeuille SP2'!#REF!,1,'Portefeuille SP2'!$Q:$Q,"DECIDED",'Portefeuille SP2'!#REF!,"G",'Portefeuille SP2'!$D:$D,$A37,'Portefeuille SP2'!#REF!,"o",'Portefeuille SP2'!#REF!,"&lt;&gt;")</f>
        <v>#REF!</v>
      </c>
      <c r="AI37" s="117" t="e">
        <f>SUMIFS('Portefeuille SP2'!#REF!,'Portefeuille SP2'!#REF!,1,'Portefeuille SP2'!$Q:$Q,"DECIDED",'Portefeuille SP2'!#REF!,"G",'Portefeuille SP2'!$D:$D,$A37,'Portefeuille SP2'!#REF!,"o",'Portefeuille SP2'!#REF!,"&lt;&gt;")</f>
        <v>#REF!</v>
      </c>
      <c r="AJ37" s="111" t="e">
        <f>SUMIFS('Portefeuille SP2'!$U:$U,'Portefeuille SP2'!#REF!,1,'Portefeuille SP2'!$Q:$Q,"DECIDED",'Portefeuille SP2'!#REF!,"R",'Portefeuille SP2'!$D:$D,$A37,'Portefeuille SP2'!#REF!,"o",'Portefeuille SP2'!#REF!,"&lt;&gt;")</f>
        <v>#REF!</v>
      </c>
      <c r="AK37" s="126" t="e">
        <f>SUMIFS('Portefeuille SP2'!#REF!,'Portefeuille SP2'!#REF!,1,'Portefeuille SP2'!$Q:$Q,"DECIDED",'Portefeuille SP2'!#REF!,"R",'Portefeuille SP2'!$D:$D,$A37,'Portefeuille SP2'!#REF!,"o",'Portefeuille SP2'!#REF!,"&lt;&gt;")</f>
        <v>#REF!</v>
      </c>
      <c r="AL37" s="117" t="e">
        <f>SUMIFS('Portefeuille SP2'!#REF!,'Portefeuille SP2'!#REF!,1,'Portefeuille SP2'!$Q:$Q,"DECIDED",'Portefeuille SP2'!#REF!,"R",'Portefeuille SP2'!$D:$D,$A37,'Portefeuille SP2'!#REF!,"o",'Portefeuille SP2'!#REF!,"&lt;&gt;")</f>
        <v>#REF!</v>
      </c>
      <c r="AM37" s="117"/>
      <c r="AN37" t="s">
        <v>1311</v>
      </c>
      <c r="AO37" s="111" t="e">
        <f t="shared" ref="AO37" si="137">B42</f>
        <v>#REF!</v>
      </c>
      <c r="AP37" s="126" t="e">
        <f t="shared" ref="AP37" si="138">C42</f>
        <v>#REF!</v>
      </c>
      <c r="AQ37" s="122" t="e">
        <f t="shared" ref="AQ37" si="139">D42</f>
        <v>#REF!</v>
      </c>
      <c r="AR37" s="112" t="e">
        <f t="shared" ref="AR37" si="140">E42</f>
        <v>#REF!</v>
      </c>
      <c r="AS37" s="126" t="e">
        <f t="shared" ref="AS37" si="141">F42</f>
        <v>#REF!</v>
      </c>
      <c r="AT37" s="122" t="e">
        <f t="shared" ref="AT37" si="142">G42</f>
        <v>#REF!</v>
      </c>
      <c r="AU37" s="112" t="e">
        <f t="shared" si="93"/>
        <v>#REF!</v>
      </c>
      <c r="AV37" s="126" t="e">
        <f t="shared" si="62"/>
        <v>#REF!</v>
      </c>
      <c r="AW37" s="122" t="e">
        <f t="shared" si="63"/>
        <v>#REF!</v>
      </c>
      <c r="AX37" s="111" t="e">
        <f t="shared" ref="AX37" si="143">H42</f>
        <v>#REF!</v>
      </c>
      <c r="AY37" s="126" t="e">
        <f t="shared" ref="AY37" si="144">I42</f>
        <v>#REF!</v>
      </c>
      <c r="AZ37" s="122" t="e">
        <f t="shared" ref="AZ37" si="145">J42</f>
        <v>#REF!</v>
      </c>
      <c r="BA37" s="111" t="e">
        <f t="shared" ref="BA37" si="146">K42</f>
        <v>#REF!</v>
      </c>
      <c r="BB37" s="126" t="e">
        <f t="shared" ref="BB37" si="147">L42</f>
        <v>#REF!</v>
      </c>
      <c r="BC37" s="122" t="e">
        <f t="shared" ref="BC37" si="148">M42</f>
        <v>#REF!</v>
      </c>
      <c r="BD37" s="112" t="e">
        <f t="shared" si="100"/>
        <v>#REF!</v>
      </c>
      <c r="BE37" s="126" t="e">
        <f t="shared" si="70"/>
        <v>#REF!</v>
      </c>
      <c r="BF37" s="122" t="e">
        <f t="shared" si="71"/>
        <v>#REF!</v>
      </c>
      <c r="BH37" s="111" t="e">
        <f>U42</f>
        <v>#REF!</v>
      </c>
      <c r="BI37" s="126" t="e">
        <f t="shared" ref="BI37" si="149">V42</f>
        <v>#REF!</v>
      </c>
      <c r="BJ37" s="122" t="e">
        <f t="shared" ref="BJ37" si="150">W42</f>
        <v>#REF!</v>
      </c>
      <c r="BK37" s="111" t="e">
        <f t="shared" ref="BK37" si="151">X42</f>
        <v>#REF!</v>
      </c>
      <c r="BL37" s="126" t="e">
        <f t="shared" ref="BL37" si="152">Y42</f>
        <v>#REF!</v>
      </c>
      <c r="BM37" s="122" t="e">
        <f t="shared" ref="BM37" si="153">Z42</f>
        <v>#REF!</v>
      </c>
      <c r="BN37" s="112" t="e">
        <f t="shared" si="106"/>
        <v>#REF!</v>
      </c>
      <c r="BO37" s="126" t="e">
        <f t="shared" si="77"/>
        <v>#REF!</v>
      </c>
      <c r="BP37" s="122" t="e">
        <f t="shared" si="78"/>
        <v>#REF!</v>
      </c>
      <c r="BQ37" s="111" t="e">
        <f t="shared" ref="BQ37" si="154">AA42</f>
        <v>#REF!</v>
      </c>
      <c r="BR37" s="126" t="e">
        <f t="shared" ref="BR37" si="155">AB42</f>
        <v>#REF!</v>
      </c>
      <c r="BS37" s="122" t="e">
        <f t="shared" ref="BS37" si="156">AC42</f>
        <v>#REF!</v>
      </c>
      <c r="BT37" s="111" t="e">
        <f t="shared" ref="BT37" si="157">AD42</f>
        <v>#REF!</v>
      </c>
      <c r="BU37" s="126" t="e">
        <f t="shared" ref="BU37" si="158">AE42</f>
        <v>#REF!</v>
      </c>
      <c r="BV37" s="122" t="e">
        <f t="shared" ref="BV37" si="159">AF42</f>
        <v>#REF!</v>
      </c>
      <c r="BW37" s="111" t="e">
        <f t="shared" si="113"/>
        <v>#REF!</v>
      </c>
      <c r="BX37" s="126" t="e">
        <f t="shared" si="85"/>
        <v>#REF!</v>
      </c>
      <c r="BY37" s="122" t="e">
        <f t="shared" si="86"/>
        <v>#REF!</v>
      </c>
    </row>
    <row r="38" spans="1:77" outlineLevel="1">
      <c r="A38" t="s">
        <v>1312</v>
      </c>
      <c r="B38" s="139" t="e">
        <f>SUMIFS('Portefeuille SP2'!$U:$U,'Portefeuille SP2'!#REF!,1,'Portefeuille SP2'!$Q:$Q,"IN PROGRESS",'Portefeuille SP2'!#REF!,"G",'Portefeuille SP2'!$D:$D,$A38,'Portefeuille SP2'!#REF!,"S")</f>
        <v>#REF!</v>
      </c>
      <c r="C38" s="126" t="e">
        <f>SUMIFS('Portefeuille SP2'!#REF!,'Portefeuille SP2'!#REF!,1,'Portefeuille SP2'!$Q:$Q,"IN PROGRESS",'Portefeuille SP2'!#REF!,"G",'Portefeuille SP2'!$D:$D,$A38,'Portefeuille SP2'!#REF!,"S")</f>
        <v>#REF!</v>
      </c>
      <c r="D38" s="122" t="e">
        <f>SUMIFS('Portefeuille SP2'!#REF!,'Portefeuille SP2'!#REF!,1,'Portefeuille SP2'!$Q:$Q,"IN PROGRESS",'Portefeuille SP2'!#REF!,"G",'Portefeuille SP2'!$D:$D,$A38,'Portefeuille SP2'!#REF!,"S")</f>
        <v>#REF!</v>
      </c>
      <c r="E38" s="111" t="e">
        <f>SUMIFS('Portefeuille SP2'!$U:$U,'Portefeuille SP2'!#REF!,1,'Portefeuille SP2'!$Q:$Q,"IN PROGRESS",'Portefeuille SP2'!#REF!,"R",'Portefeuille SP2'!$D:$D,$A38,'Portefeuille SP2'!#REF!,"S")</f>
        <v>#REF!</v>
      </c>
      <c r="F38" s="126" t="e">
        <f>SUMIFS('Portefeuille SP2'!#REF!,'Portefeuille SP2'!#REF!,1,'Portefeuille SP2'!$Q:$Q,"IN PROGRESS",'Portefeuille SP2'!#REF!,"R",'Portefeuille SP2'!$D:$D,$A38,'Portefeuille SP2'!#REF!,"S")</f>
        <v>#REF!</v>
      </c>
      <c r="G38" s="117" t="e">
        <f>SUMIFS('Portefeuille SP2'!#REF!,'Portefeuille SP2'!#REF!,1,'Portefeuille SP2'!$Q:$Q,"IN PROGRESS",'Portefeuille SP2'!#REF!,"R",'Portefeuille SP2'!$D:$D,$A38,'Portefeuille SP2'!#REF!,"S")</f>
        <v>#REF!</v>
      </c>
      <c r="H38" s="141" t="e">
        <f>SUMIFS('Portefeuille SP2'!$U:$U,'Portefeuille SP2'!#REF!,1,'Portefeuille SP2'!$Q:$Q,"DECIDED",'Portefeuille SP2'!#REF!,"G",'Portefeuille SP2'!$D:$D,$A38,'Portefeuille SP2'!#REF!,"S",'Portefeuille SP2'!#REF!,"=")</f>
        <v>#REF!</v>
      </c>
      <c r="I38" s="117" t="e">
        <f>SUMIFS('Portefeuille SP2'!#REF!,'Portefeuille SP2'!#REF!,1,'Portefeuille SP2'!$Q:$Q,"DECIDED",'Portefeuille SP2'!#REF!,"G",'Portefeuille SP2'!$D:$D,$A38,'Portefeuille SP2'!#REF!,"S",'Portefeuille SP2'!#REF!,"=")</f>
        <v>#REF!</v>
      </c>
      <c r="J38" s="117" t="e">
        <f>SUMIFS('Portefeuille SP2'!#REF!,'Portefeuille SP2'!#REF!,1,'Portefeuille SP2'!$Q:$Q,"DECIDED",'Portefeuille SP2'!#REF!,"G",'Portefeuille SP2'!$D:$D,$A38,'Portefeuille SP2'!#REF!,"S",'Portefeuille SP2'!#REF!,"=")</f>
        <v>#REF!</v>
      </c>
      <c r="K38" s="111" t="e">
        <f>SUMIFS('Portefeuille SP2'!$U:$U,'Portefeuille SP2'!#REF!,1,'Portefeuille SP2'!$Q:$Q,"DECIDED",'Portefeuille SP2'!#REF!,"R",'Portefeuille SP2'!$D:$D,$A38,'Portefeuille SP2'!#REF!,"S",'Portefeuille SP2'!#REF!,"=")</f>
        <v>#REF!</v>
      </c>
      <c r="L38" s="126" t="e">
        <f>SUMIFS('Portefeuille SP2'!#REF!,'Portefeuille SP2'!#REF!,1,'Portefeuille SP2'!$Q:$Q,"DECIDED",'Portefeuille SP2'!#REF!,"R",'Portefeuille SP2'!$D:$D,$A38,'Portefeuille SP2'!#REF!,"S",'Portefeuille SP2'!#REF!,"=")</f>
        <v>#REF!</v>
      </c>
      <c r="M38" s="117" t="e">
        <f>SUMIFS('Portefeuille SP2'!#REF!,'Portefeuille SP2'!#REF!,1,'Portefeuille SP2'!$Q:$Q,"DECIDED",'Portefeuille SP2'!#REF!,"R",'Portefeuille SP2'!$D:$D,$A38,'Portefeuille SP2'!#REF!,"S",'Portefeuille SP2'!#REF!,"=")</f>
        <v>#REF!</v>
      </c>
      <c r="N38" s="111" t="e">
        <f>SUMIFS('Portefeuille SP2'!$U:$U,'Portefeuille SP2'!#REF!,1,'Portefeuille SP2'!$Q:$Q,"DECIDED",'Portefeuille SP2'!#REF!,"G",'Portefeuille SP2'!$D:$D,$A38,'Portefeuille SP2'!#REF!,"S",'Portefeuille SP2'!#REF!,"&lt;&gt;")</f>
        <v>#REF!</v>
      </c>
      <c r="O38" s="126" t="e">
        <f>SUMIFS('Portefeuille SP2'!#REF!,'Portefeuille SP2'!#REF!,1,'Portefeuille SP2'!$Q:$Q,"DECIDED",'Portefeuille SP2'!#REF!,"G",'Portefeuille SP2'!$D:$D,$A38,'Portefeuille SP2'!#REF!,"S",'Portefeuille SP2'!#REF!,"&lt;&gt;")</f>
        <v>#REF!</v>
      </c>
      <c r="P38" s="117" t="e">
        <f>SUMIFS('Portefeuille SP2'!#REF!,'Portefeuille SP2'!#REF!,1,'Portefeuille SP2'!$Q:$Q,"DECIDED",'Portefeuille SP2'!#REF!,"G",'Portefeuille SP2'!$D:$D,$A38,'Portefeuille SP2'!#REF!,"S",'Portefeuille SP2'!#REF!,"&lt;&gt;")</f>
        <v>#REF!</v>
      </c>
      <c r="Q38" s="111" t="e">
        <f>SUMIFS('Portefeuille SP2'!$U:$U,'Portefeuille SP2'!#REF!,1,'Portefeuille SP2'!$Q:$Q,"DECIDED",'Portefeuille SP2'!#REF!,"R",'Portefeuille SP2'!$D:$D,$A38,'Portefeuille SP2'!#REF!,"S",'Portefeuille SP2'!#REF!,"&lt;&gt;")</f>
        <v>#REF!</v>
      </c>
      <c r="R38" s="126" t="e">
        <f>SUMIFS('Portefeuille SP2'!#REF!,'Portefeuille SP2'!#REF!,1,'Portefeuille SP2'!$Q:$Q,"DECIDED",'Portefeuille SP2'!#REF!,"R",'Portefeuille SP2'!$D:$D,$A38,'Portefeuille SP2'!#REF!,"S",'Portefeuille SP2'!#REF!,"&lt;&gt;")</f>
        <v>#REF!</v>
      </c>
      <c r="S38" s="122" t="e">
        <f>SUMIFS('Portefeuille SP2'!#REF!,'Portefeuille SP2'!#REF!,1,'Portefeuille SP2'!$Q:$Q,"DECIDED",'Portefeuille SP2'!#REF!,"R",'Portefeuille SP2'!$D:$D,$A38,'Portefeuille SP2'!#REF!,"S",'Portefeuille SP2'!#REF!,"&lt;&gt;")</f>
        <v>#REF!</v>
      </c>
      <c r="U38" s="111" t="e">
        <f>SUMIFS('Portefeuille SP2'!$U:$U,'Portefeuille SP2'!#REF!,1,'Portefeuille SP2'!$Q:$Q,"IN PROGRESS",'Portefeuille SP2'!#REF!,"G",'Portefeuille SP2'!$D:$D,$A38,'Portefeuille SP2'!#REF!,"O")</f>
        <v>#REF!</v>
      </c>
      <c r="V38" s="126" t="e">
        <f>SUMIFS('Portefeuille SP2'!#REF!,'Portefeuille SP2'!#REF!,1,'Portefeuille SP2'!$Q:$Q,"IN PROGRESS",'Portefeuille SP2'!#REF!,"G",'Portefeuille SP2'!$D:$D,$A38,'Portefeuille SP2'!#REF!,"o")</f>
        <v>#REF!</v>
      </c>
      <c r="W38" s="117" t="e">
        <f>SUMIFS('Portefeuille SP2'!#REF!,'Portefeuille SP2'!#REF!,1,'Portefeuille SP2'!$Q:$Q,"IN PROGRESS",'Portefeuille SP2'!#REF!,"G",'Portefeuille SP2'!$D:$D,$A38,'Portefeuille SP2'!#REF!,"o")</f>
        <v>#REF!</v>
      </c>
      <c r="X38" s="111" t="e">
        <f>SUMIFS('Portefeuille SP2'!$U:$U,'Portefeuille SP2'!#REF!,1,'Portefeuille SP2'!$Q:$Q,"IN PROGRESS",'Portefeuille SP2'!#REF!,"R",'Portefeuille SP2'!$D:$D,$A38,'Portefeuille SP2'!#REF!,"o")</f>
        <v>#REF!</v>
      </c>
      <c r="Y38" s="126" t="e">
        <f>SUMIFS('Portefeuille SP2'!#REF!,'Portefeuille SP2'!#REF!,1,'Portefeuille SP2'!$Q:$Q,"IN PROGRESS",'Portefeuille SP2'!#REF!,"R",'Portefeuille SP2'!$D:$D,$A38,'Portefeuille SP2'!#REF!,"o")</f>
        <v>#REF!</v>
      </c>
      <c r="Z38" s="117" t="e">
        <f>SUMIFS('Portefeuille SP2'!#REF!,'Portefeuille SP2'!#REF!,1,'Portefeuille SP2'!$Q:$Q,"IN PROGRESS",'Portefeuille SP2'!#REF!,"R",'Portefeuille SP2'!$D:$D,$A38,'Portefeuille SP2'!#REF!,"o")</f>
        <v>#REF!</v>
      </c>
      <c r="AA38" s="111" t="e">
        <f>SUMIFS('Portefeuille SP2'!$U:$U,'Portefeuille SP2'!#REF!,1,'Portefeuille SP2'!$Q:$Q,"DECIDED",'Portefeuille SP2'!#REF!,"G",'Portefeuille SP2'!$D:$D,$A38,'Portefeuille SP2'!#REF!,"o",'Portefeuille SP2'!#REF!,"=")</f>
        <v>#REF!</v>
      </c>
      <c r="AB38" s="126" t="e">
        <f>SUMIFS('Portefeuille SP2'!#REF!,'Portefeuille SP2'!#REF!,1,'Portefeuille SP2'!$Q:$Q,"DECIDED",'Portefeuille SP2'!#REF!,"G",'Portefeuille SP2'!$D:$D,$A38,'Portefeuille SP2'!#REF!,"o",'Portefeuille SP2'!#REF!,"=")</f>
        <v>#REF!</v>
      </c>
      <c r="AC38" s="117" t="e">
        <f>SUMIFS('Portefeuille SP2'!#REF!,'Portefeuille SP2'!#REF!,1,'Portefeuille SP2'!$Q:$Q,"DECIDED",'Portefeuille SP2'!#REF!,"G",'Portefeuille SP2'!$D:$D,$A38,'Portefeuille SP2'!#REF!,"o",'Portefeuille SP2'!#REF!,"=")</f>
        <v>#REF!</v>
      </c>
      <c r="AD38" s="111" t="e">
        <f>SUMIFS('Portefeuille SP2'!$U:$U,'Portefeuille SP2'!#REF!,1,'Portefeuille SP2'!$Q:$Q,"DECIDED",'Portefeuille SP2'!#REF!,"R",'Portefeuille SP2'!$D:$D,$A38,'Portefeuille SP2'!#REF!,"o",'Portefeuille SP2'!#REF!,"=")</f>
        <v>#REF!</v>
      </c>
      <c r="AE38" s="126" t="e">
        <f>SUMIFS('Portefeuille SP2'!#REF!,'Portefeuille SP2'!#REF!,1,'Portefeuille SP2'!$Q:$Q,"DECIDED",'Portefeuille SP2'!#REF!,"R",'Portefeuille SP2'!$D:$D,$A38,'Portefeuille SP2'!#REF!,"o",'Portefeuille SP2'!#REF!,"=")</f>
        <v>#REF!</v>
      </c>
      <c r="AF38" s="117" t="e">
        <f>SUMIFS('Portefeuille SP2'!#REF!,'Portefeuille SP2'!#REF!,1,'Portefeuille SP2'!$Q:$Q,"DECIDED",'Portefeuille SP2'!#REF!,"R",'Portefeuille SP2'!$D:$D,$A38,'Portefeuille SP2'!#REF!,"o",'Portefeuille SP2'!#REF!,"=")</f>
        <v>#REF!</v>
      </c>
      <c r="AG38" s="111" t="e">
        <f>SUMIFS('Portefeuille SP2'!$U:$U,'Portefeuille SP2'!#REF!,1,'Portefeuille SP2'!$Q:$Q,"DECIDED",'Portefeuille SP2'!#REF!,"G",'Portefeuille SP2'!$D:$D,$A38,'Portefeuille SP2'!#REF!,"o",'Portefeuille SP2'!#REF!,"&lt;&gt;")</f>
        <v>#REF!</v>
      </c>
      <c r="AH38" s="126" t="e">
        <f>SUMIFS('Portefeuille SP2'!#REF!,'Portefeuille SP2'!#REF!,1,'Portefeuille SP2'!$Q:$Q,"DECIDED",'Portefeuille SP2'!#REF!,"G",'Portefeuille SP2'!$D:$D,$A38,'Portefeuille SP2'!#REF!,"o",'Portefeuille SP2'!#REF!,"&lt;&gt;")</f>
        <v>#REF!</v>
      </c>
      <c r="AI38" s="117" t="e">
        <f>SUMIFS('Portefeuille SP2'!#REF!,'Portefeuille SP2'!#REF!,1,'Portefeuille SP2'!$Q:$Q,"DECIDED",'Portefeuille SP2'!#REF!,"G",'Portefeuille SP2'!$D:$D,$A38,'Portefeuille SP2'!#REF!,"o",'Portefeuille SP2'!#REF!,"&lt;&gt;")</f>
        <v>#REF!</v>
      </c>
      <c r="AJ38" s="111" t="e">
        <f>SUMIFS('Portefeuille SP2'!$U:$U,'Portefeuille SP2'!#REF!,1,'Portefeuille SP2'!$Q:$Q,"DECIDED",'Portefeuille SP2'!#REF!,"R",'Portefeuille SP2'!$D:$D,$A38,'Portefeuille SP2'!#REF!,"o",'Portefeuille SP2'!#REF!,"&lt;&gt;")</f>
        <v>#REF!</v>
      </c>
      <c r="AK38" s="126" t="e">
        <f>SUMIFS('Portefeuille SP2'!#REF!,'Portefeuille SP2'!#REF!,1,'Portefeuille SP2'!$Q:$Q,"DECIDED",'Portefeuille SP2'!#REF!,"R",'Portefeuille SP2'!$D:$D,$A38,'Portefeuille SP2'!#REF!,"o",'Portefeuille SP2'!#REF!,"&lt;&gt;")</f>
        <v>#REF!</v>
      </c>
      <c r="AL38" s="117" t="e">
        <f>SUMIFS('Portefeuille SP2'!#REF!,'Portefeuille SP2'!#REF!,1,'Portefeuille SP2'!$Q:$Q,"DECIDED",'Portefeuille SP2'!#REF!,"R",'Portefeuille SP2'!$D:$D,$A38,'Portefeuille SP2'!#REF!,"o",'Portefeuille SP2'!#REF!,"&lt;&gt;")</f>
        <v>#REF!</v>
      </c>
      <c r="AM38" s="117"/>
      <c r="AN38" t="s">
        <v>1307</v>
      </c>
      <c r="AO38" s="111" t="e">
        <f>B35+B37+B38+B39+B40+B47+B48</f>
        <v>#REF!</v>
      </c>
      <c r="AP38" s="126" t="e">
        <f>C35+C37+C38+C39+C40+C47</f>
        <v>#REF!</v>
      </c>
      <c r="AQ38" s="122" t="e">
        <f>D35+D37+D38+D39+D40+D47</f>
        <v>#REF!</v>
      </c>
      <c r="AR38" s="112" t="e">
        <f>E35+E37+E38+E39+E40+E47+E48</f>
        <v>#REF!</v>
      </c>
      <c r="AS38" s="126" t="e">
        <f>F35+F37+F38+F39+F40+F47</f>
        <v>#REF!</v>
      </c>
      <c r="AT38" s="122" t="e">
        <f>G35+G37+G38+G39+G40+G47</f>
        <v>#REF!</v>
      </c>
      <c r="AU38" s="112" t="e">
        <f t="shared" si="93"/>
        <v>#REF!</v>
      </c>
      <c r="AV38" s="126" t="e">
        <f t="shared" si="62"/>
        <v>#REF!</v>
      </c>
      <c r="AW38" s="122" t="e">
        <f t="shared" si="63"/>
        <v>#REF!</v>
      </c>
      <c r="AX38" s="111" t="e">
        <f>H35+H37+H38+H39+H40+H47+H48</f>
        <v>#REF!</v>
      </c>
      <c r="AY38" s="126" t="e">
        <f t="shared" ref="AY38" si="160">I35+I37+I38+I39+I40+I47+I48</f>
        <v>#REF!</v>
      </c>
      <c r="AZ38" s="122" t="e">
        <f t="shared" ref="AZ38" si="161">J35+J37+J38+J39+J40+J47+J48</f>
        <v>#REF!</v>
      </c>
      <c r="BA38" s="111" t="e">
        <f>K35+K37+K38+K39+K40+K47+K48</f>
        <v>#REF!</v>
      </c>
      <c r="BB38" s="126" t="e">
        <f t="shared" ref="BB38" si="162">L35+L37+L38+L39+L40+L47+L48</f>
        <v>#REF!</v>
      </c>
      <c r="BC38" s="122" t="e">
        <f t="shared" ref="BC38" si="163">M35+M37+M38+M39+M40+M47+M48</f>
        <v>#REF!</v>
      </c>
      <c r="BD38" s="112" t="e">
        <f t="shared" si="100"/>
        <v>#REF!</v>
      </c>
      <c r="BE38" s="126" t="e">
        <f t="shared" si="70"/>
        <v>#REF!</v>
      </c>
      <c r="BF38" s="122" t="e">
        <f t="shared" si="71"/>
        <v>#REF!</v>
      </c>
      <c r="BH38" s="111" t="e">
        <f>U35+U37+U38+U39+U40+U47+U48</f>
        <v>#REF!</v>
      </c>
      <c r="BI38" s="126" t="e">
        <f t="shared" ref="BI38" si="164">V35+V37+V38+V39+V40+V47+V48</f>
        <v>#REF!</v>
      </c>
      <c r="BJ38" s="122" t="e">
        <f t="shared" ref="BJ38" si="165">W35+W37+W38+W39+W40+W47+W48</f>
        <v>#REF!</v>
      </c>
      <c r="BK38" s="111" t="e">
        <f t="shared" ref="BK38" si="166">X35+X37+X38+X39+X40+X47+X48</f>
        <v>#REF!</v>
      </c>
      <c r="BL38" s="126" t="e">
        <f t="shared" ref="BL38" si="167">Y35+Y37+Y38+Y39+Y40+Y47+Y48</f>
        <v>#REF!</v>
      </c>
      <c r="BM38" s="122" t="e">
        <f t="shared" ref="BM38" si="168">Z35+Z37+Z38+Z39+Z40+Z47+Z48</f>
        <v>#REF!</v>
      </c>
      <c r="BN38" s="112" t="e">
        <f t="shared" si="106"/>
        <v>#REF!</v>
      </c>
      <c r="BO38" s="126" t="e">
        <f t="shared" si="77"/>
        <v>#REF!</v>
      </c>
      <c r="BP38" s="122" t="e">
        <f t="shared" si="78"/>
        <v>#REF!</v>
      </c>
      <c r="BQ38" s="111" t="e">
        <f t="shared" ref="BQ38" si="169">AA35+AA37+AA38+AA39+AA40+AA47+AA48</f>
        <v>#REF!</v>
      </c>
      <c r="BR38" s="126" t="e">
        <f t="shared" ref="BR38" si="170">AB35+AB37+AB38+AB39+AB40+AB47+AB48</f>
        <v>#REF!</v>
      </c>
      <c r="BS38" s="122" t="e">
        <f t="shared" ref="BS38" si="171">AC35+AC37+AC38+AC39+AC40+AC47+AC48</f>
        <v>#REF!</v>
      </c>
      <c r="BT38" s="111" t="e">
        <f t="shared" ref="BT38" si="172">AD35+AD37+AD38+AD39+AD40+AD47+AD48</f>
        <v>#REF!</v>
      </c>
      <c r="BU38" s="126" t="e">
        <f t="shared" ref="BU38" si="173">AE35+AE37+AE38+AE39+AE40+AE47+AE48</f>
        <v>#REF!</v>
      </c>
      <c r="BV38" s="122" t="e">
        <f t="shared" ref="BV38" si="174">AF35+AF37+AF38+AF39+AF40+AF47+AF48</f>
        <v>#REF!</v>
      </c>
      <c r="BW38" s="111" t="e">
        <f t="shared" si="113"/>
        <v>#REF!</v>
      </c>
      <c r="BX38" s="126" t="e">
        <f t="shared" si="85"/>
        <v>#REF!</v>
      </c>
      <c r="BY38" s="122" t="e">
        <f t="shared" si="86"/>
        <v>#REF!</v>
      </c>
    </row>
    <row r="39" spans="1:77" outlineLevel="1">
      <c r="A39" t="s">
        <v>1313</v>
      </c>
      <c r="B39" s="139" t="e">
        <f>SUMIFS('Portefeuille SP2'!$U:$U,'Portefeuille SP2'!#REF!,1,'Portefeuille SP2'!$Q:$Q,"IN PROGRESS",'Portefeuille SP2'!#REF!,"G",'Portefeuille SP2'!$D:$D,$A39,'Portefeuille SP2'!#REF!,"S")</f>
        <v>#REF!</v>
      </c>
      <c r="C39" s="126" t="e">
        <f>SUMIFS('Portefeuille SP2'!#REF!,'Portefeuille SP2'!#REF!,1,'Portefeuille SP2'!$Q:$Q,"IN PROGRESS",'Portefeuille SP2'!#REF!,"G",'Portefeuille SP2'!$D:$D,$A39,'Portefeuille SP2'!#REF!,"S")</f>
        <v>#REF!</v>
      </c>
      <c r="D39" s="122" t="e">
        <f>SUMIFS('Portefeuille SP2'!#REF!,'Portefeuille SP2'!#REF!,1,'Portefeuille SP2'!$Q:$Q,"IN PROGRESS",'Portefeuille SP2'!#REF!,"G",'Portefeuille SP2'!$D:$D,$A39,'Portefeuille SP2'!#REF!,"S")</f>
        <v>#REF!</v>
      </c>
      <c r="E39" s="111" t="e">
        <f>SUMIFS('Portefeuille SP2'!$U:$U,'Portefeuille SP2'!#REF!,1,'Portefeuille SP2'!$Q:$Q,"IN PROGRESS",'Portefeuille SP2'!#REF!,"R",'Portefeuille SP2'!$D:$D,$A39,'Portefeuille SP2'!#REF!,"S")</f>
        <v>#REF!</v>
      </c>
      <c r="F39" s="126" t="e">
        <f>SUMIFS('Portefeuille SP2'!#REF!,'Portefeuille SP2'!#REF!,1,'Portefeuille SP2'!$Q:$Q,"IN PROGRESS",'Portefeuille SP2'!#REF!,"R",'Portefeuille SP2'!$D:$D,$A39,'Portefeuille SP2'!#REF!,"S")</f>
        <v>#REF!</v>
      </c>
      <c r="G39" s="117" t="e">
        <f>SUMIFS('Portefeuille SP2'!#REF!,'Portefeuille SP2'!#REF!,1,'Portefeuille SP2'!$Q:$Q,"IN PROGRESS",'Portefeuille SP2'!#REF!,"R",'Portefeuille SP2'!$D:$D,$A39,'Portefeuille SP2'!#REF!,"S")</f>
        <v>#REF!</v>
      </c>
      <c r="H39" s="111" t="e">
        <f>SUMIFS('Portefeuille SP2'!$U:$U,'Portefeuille SP2'!#REF!,1,'Portefeuille SP2'!$Q:$Q,"DECIDED",'Portefeuille SP2'!#REF!,"G",'Portefeuille SP2'!$D:$D,$A39,'Portefeuille SP2'!#REF!,"S",'Portefeuille SP2'!#REF!,"=")</f>
        <v>#REF!</v>
      </c>
      <c r="I39" s="117" t="e">
        <f>SUMIFS('Portefeuille SP2'!#REF!,'Portefeuille SP2'!#REF!,1,'Portefeuille SP2'!$Q:$Q,"DECIDED",'Portefeuille SP2'!#REF!,"G",'Portefeuille SP2'!$D:$D,$A39,'Portefeuille SP2'!#REF!,"S",'Portefeuille SP2'!#REF!,"=")</f>
        <v>#REF!</v>
      </c>
      <c r="J39" s="117" t="e">
        <f>SUMIFS('Portefeuille SP2'!#REF!,'Portefeuille SP2'!#REF!,1,'Portefeuille SP2'!$Q:$Q,"DECIDED",'Portefeuille SP2'!#REF!,"G",'Portefeuille SP2'!$D:$D,$A39,'Portefeuille SP2'!#REF!,"S",'Portefeuille SP2'!#REF!,"=")</f>
        <v>#REF!</v>
      </c>
      <c r="K39" s="111" t="e">
        <f>SUMIFS('Portefeuille SP2'!$U:$U,'Portefeuille SP2'!#REF!,1,'Portefeuille SP2'!$Q:$Q,"DECIDED",'Portefeuille SP2'!#REF!,"R",'Portefeuille SP2'!$D:$D,$A39,'Portefeuille SP2'!#REF!,"S",'Portefeuille SP2'!#REF!,"=")</f>
        <v>#REF!</v>
      </c>
      <c r="L39" s="126" t="e">
        <f>SUMIFS('Portefeuille SP2'!#REF!,'Portefeuille SP2'!#REF!,1,'Portefeuille SP2'!$Q:$Q,"DECIDED",'Portefeuille SP2'!#REF!,"R",'Portefeuille SP2'!$D:$D,$A39,'Portefeuille SP2'!#REF!,"S",'Portefeuille SP2'!#REF!,"=")</f>
        <v>#REF!</v>
      </c>
      <c r="M39" s="117" t="e">
        <f>SUMIFS('Portefeuille SP2'!#REF!,'Portefeuille SP2'!#REF!,1,'Portefeuille SP2'!$Q:$Q,"DECIDED",'Portefeuille SP2'!#REF!,"R",'Portefeuille SP2'!$D:$D,$A39,'Portefeuille SP2'!#REF!,"S",'Portefeuille SP2'!#REF!,"=")</f>
        <v>#REF!</v>
      </c>
      <c r="N39" s="111" t="e">
        <f>SUMIFS('Portefeuille SP2'!$U:$U,'Portefeuille SP2'!#REF!,1,'Portefeuille SP2'!$Q:$Q,"DECIDED",'Portefeuille SP2'!#REF!,"G",'Portefeuille SP2'!$D:$D,$A39,'Portefeuille SP2'!#REF!,"S",'Portefeuille SP2'!#REF!,"&lt;&gt;")</f>
        <v>#REF!</v>
      </c>
      <c r="O39" s="126" t="e">
        <f>SUMIFS('Portefeuille SP2'!#REF!,'Portefeuille SP2'!#REF!,1,'Portefeuille SP2'!$Q:$Q,"DECIDED",'Portefeuille SP2'!#REF!,"G",'Portefeuille SP2'!$D:$D,$A39,'Portefeuille SP2'!#REF!,"S",'Portefeuille SP2'!#REF!,"&lt;&gt;")</f>
        <v>#REF!</v>
      </c>
      <c r="P39" s="117" t="e">
        <f>SUMIFS('Portefeuille SP2'!#REF!,'Portefeuille SP2'!#REF!,1,'Portefeuille SP2'!$Q:$Q,"DECIDED",'Portefeuille SP2'!#REF!,"G",'Portefeuille SP2'!$D:$D,$A39,'Portefeuille SP2'!#REF!,"S",'Portefeuille SP2'!#REF!,"&lt;&gt;")</f>
        <v>#REF!</v>
      </c>
      <c r="Q39" s="111" t="e">
        <f>SUMIFS('Portefeuille SP2'!$U:$U,'Portefeuille SP2'!#REF!,1,'Portefeuille SP2'!$Q:$Q,"DECIDED",'Portefeuille SP2'!#REF!,"R",'Portefeuille SP2'!$D:$D,$A39,'Portefeuille SP2'!#REF!,"S",'Portefeuille SP2'!#REF!,"&lt;&gt;")</f>
        <v>#REF!</v>
      </c>
      <c r="R39" s="126" t="e">
        <f>SUMIFS('Portefeuille SP2'!#REF!,'Portefeuille SP2'!#REF!,1,'Portefeuille SP2'!$Q:$Q,"DECIDED",'Portefeuille SP2'!#REF!,"R",'Portefeuille SP2'!$D:$D,$A39,'Portefeuille SP2'!#REF!,"S",'Portefeuille SP2'!#REF!,"&lt;&gt;")</f>
        <v>#REF!</v>
      </c>
      <c r="S39" s="122" t="e">
        <f>SUMIFS('Portefeuille SP2'!#REF!,'Portefeuille SP2'!#REF!,1,'Portefeuille SP2'!$Q:$Q,"DECIDED",'Portefeuille SP2'!#REF!,"R",'Portefeuille SP2'!$D:$D,$A39,'Portefeuille SP2'!#REF!,"S",'Portefeuille SP2'!#REF!,"&lt;&gt;")</f>
        <v>#REF!</v>
      </c>
      <c r="U39" s="111" t="e">
        <f>SUMIFS('Portefeuille SP2'!$U:$U,'Portefeuille SP2'!#REF!,1,'Portefeuille SP2'!$Q:$Q,"IN PROGRESS",'Portefeuille SP2'!#REF!,"G",'Portefeuille SP2'!$D:$D,$A39,'Portefeuille SP2'!#REF!,"O")</f>
        <v>#REF!</v>
      </c>
      <c r="V39" s="126" t="e">
        <f>SUMIFS('Portefeuille SP2'!#REF!,'Portefeuille SP2'!#REF!,1,'Portefeuille SP2'!$Q:$Q,"IN PROGRESS",'Portefeuille SP2'!#REF!,"G",'Portefeuille SP2'!$D:$D,$A39,'Portefeuille SP2'!#REF!,"o")</f>
        <v>#REF!</v>
      </c>
      <c r="W39" s="117" t="e">
        <f>SUMIFS('Portefeuille SP2'!#REF!,'Portefeuille SP2'!#REF!,1,'Portefeuille SP2'!$Q:$Q,"IN PROGRESS",'Portefeuille SP2'!#REF!,"G",'Portefeuille SP2'!$D:$D,$A39,'Portefeuille SP2'!#REF!,"o")</f>
        <v>#REF!</v>
      </c>
      <c r="X39" s="111" t="e">
        <f>SUMIFS('Portefeuille SP2'!$U:$U,'Portefeuille SP2'!#REF!,1,'Portefeuille SP2'!$Q:$Q,"IN PROGRESS",'Portefeuille SP2'!#REF!,"R",'Portefeuille SP2'!$D:$D,$A39,'Portefeuille SP2'!#REF!,"o")</f>
        <v>#REF!</v>
      </c>
      <c r="Y39" s="126" t="e">
        <f>SUMIFS('Portefeuille SP2'!#REF!,'Portefeuille SP2'!#REF!,1,'Portefeuille SP2'!$Q:$Q,"IN PROGRESS",'Portefeuille SP2'!#REF!,"R",'Portefeuille SP2'!$D:$D,$A39,'Portefeuille SP2'!#REF!,"o")</f>
        <v>#REF!</v>
      </c>
      <c r="Z39" s="117" t="e">
        <f>SUMIFS('Portefeuille SP2'!#REF!,'Portefeuille SP2'!#REF!,1,'Portefeuille SP2'!$Q:$Q,"IN PROGRESS",'Portefeuille SP2'!#REF!,"R",'Portefeuille SP2'!$D:$D,$A39,'Portefeuille SP2'!#REF!,"o")</f>
        <v>#REF!</v>
      </c>
      <c r="AA39" s="111" t="e">
        <f>SUMIFS('Portefeuille SP2'!$U:$U,'Portefeuille SP2'!#REF!,1,'Portefeuille SP2'!$Q:$Q,"DECIDED",'Portefeuille SP2'!#REF!,"G",'Portefeuille SP2'!$D:$D,$A39,'Portefeuille SP2'!#REF!,"o",'Portefeuille SP2'!#REF!,"=")</f>
        <v>#REF!</v>
      </c>
      <c r="AB39" s="126" t="e">
        <f>SUMIFS('Portefeuille SP2'!#REF!,'Portefeuille SP2'!#REF!,1,'Portefeuille SP2'!$Q:$Q,"DECIDED",'Portefeuille SP2'!#REF!,"G",'Portefeuille SP2'!$D:$D,$A39,'Portefeuille SP2'!#REF!,"o",'Portefeuille SP2'!#REF!,"=")</f>
        <v>#REF!</v>
      </c>
      <c r="AC39" s="117" t="e">
        <f>SUMIFS('Portefeuille SP2'!#REF!,'Portefeuille SP2'!#REF!,1,'Portefeuille SP2'!$Q:$Q,"DECIDED",'Portefeuille SP2'!#REF!,"G",'Portefeuille SP2'!$D:$D,$A39,'Portefeuille SP2'!#REF!,"o",'Portefeuille SP2'!#REF!,"=")</f>
        <v>#REF!</v>
      </c>
      <c r="AD39" s="111" t="e">
        <f>SUMIFS('Portefeuille SP2'!$U:$U,'Portefeuille SP2'!#REF!,1,'Portefeuille SP2'!$Q:$Q,"DECIDED",'Portefeuille SP2'!#REF!,"R",'Portefeuille SP2'!$D:$D,$A39,'Portefeuille SP2'!#REF!,"o",'Portefeuille SP2'!#REF!,"=")</f>
        <v>#REF!</v>
      </c>
      <c r="AE39" s="126" t="e">
        <f>SUMIFS('Portefeuille SP2'!#REF!,'Portefeuille SP2'!#REF!,1,'Portefeuille SP2'!$Q:$Q,"DECIDED",'Portefeuille SP2'!#REF!,"R",'Portefeuille SP2'!$D:$D,$A39,'Portefeuille SP2'!#REF!,"o",'Portefeuille SP2'!#REF!,"=")</f>
        <v>#REF!</v>
      </c>
      <c r="AF39" s="117" t="e">
        <f>SUMIFS('Portefeuille SP2'!#REF!,'Portefeuille SP2'!#REF!,1,'Portefeuille SP2'!$Q:$Q,"DECIDED",'Portefeuille SP2'!#REF!,"R",'Portefeuille SP2'!$D:$D,$A39,'Portefeuille SP2'!#REF!,"o",'Portefeuille SP2'!#REF!,"=")</f>
        <v>#REF!</v>
      </c>
      <c r="AG39" s="111" t="e">
        <f>SUMIFS('Portefeuille SP2'!$U:$U,'Portefeuille SP2'!#REF!,1,'Portefeuille SP2'!$Q:$Q,"DECIDED",'Portefeuille SP2'!#REF!,"G",'Portefeuille SP2'!$D:$D,$A39,'Portefeuille SP2'!#REF!,"o",'Portefeuille SP2'!#REF!,"&lt;&gt;")</f>
        <v>#REF!</v>
      </c>
      <c r="AH39" s="126" t="e">
        <f>SUMIFS('Portefeuille SP2'!#REF!,'Portefeuille SP2'!#REF!,1,'Portefeuille SP2'!$Q:$Q,"DECIDED",'Portefeuille SP2'!#REF!,"G",'Portefeuille SP2'!$D:$D,$A39,'Portefeuille SP2'!#REF!,"o",'Portefeuille SP2'!#REF!,"&lt;&gt;")</f>
        <v>#REF!</v>
      </c>
      <c r="AI39" s="117" t="e">
        <f>SUMIFS('Portefeuille SP2'!#REF!,'Portefeuille SP2'!#REF!,1,'Portefeuille SP2'!$Q:$Q,"DECIDED",'Portefeuille SP2'!#REF!,"G",'Portefeuille SP2'!$D:$D,$A39,'Portefeuille SP2'!#REF!,"o",'Portefeuille SP2'!#REF!,"&lt;&gt;")</f>
        <v>#REF!</v>
      </c>
      <c r="AJ39" s="111" t="e">
        <f>SUMIFS('Portefeuille SP2'!$U:$U,'Portefeuille SP2'!#REF!,1,'Portefeuille SP2'!$Q:$Q,"DECIDED",'Portefeuille SP2'!#REF!,"R",'Portefeuille SP2'!$D:$D,$A39,'Portefeuille SP2'!#REF!,"o",'Portefeuille SP2'!#REF!,"&lt;&gt;")</f>
        <v>#REF!</v>
      </c>
      <c r="AK39" s="126" t="e">
        <f>SUMIFS('Portefeuille SP2'!#REF!,'Portefeuille SP2'!#REF!,1,'Portefeuille SP2'!$Q:$Q,"DECIDED",'Portefeuille SP2'!#REF!,"R",'Portefeuille SP2'!$D:$D,$A39,'Portefeuille SP2'!#REF!,"o",'Portefeuille SP2'!#REF!,"&lt;&gt;")</f>
        <v>#REF!</v>
      </c>
      <c r="AL39" s="117" t="e">
        <f>SUMIFS('Portefeuille SP2'!#REF!,'Portefeuille SP2'!#REF!,1,'Portefeuille SP2'!$Q:$Q,"DECIDED",'Portefeuille SP2'!#REF!,"R",'Portefeuille SP2'!$D:$D,$A39,'Portefeuille SP2'!#REF!,"o",'Portefeuille SP2'!#REF!,"&lt;&gt;")</f>
        <v>#REF!</v>
      </c>
      <c r="AM39" s="117"/>
      <c r="AN39" t="s">
        <v>1314</v>
      </c>
      <c r="AO39" s="111" t="e">
        <f t="shared" ref="AO39" si="175">B46</f>
        <v>#REF!</v>
      </c>
      <c r="AP39" s="126" t="e">
        <f t="shared" ref="AP39" si="176">C46</f>
        <v>#REF!</v>
      </c>
      <c r="AQ39" s="122" t="e">
        <f t="shared" ref="AQ39" si="177">D46</f>
        <v>#REF!</v>
      </c>
      <c r="AR39" s="112" t="e">
        <f t="shared" ref="AR39" si="178">E46</f>
        <v>#REF!</v>
      </c>
      <c r="AS39" s="126" t="e">
        <f t="shared" ref="AS39" si="179">F46</f>
        <v>#REF!</v>
      </c>
      <c r="AT39" s="122" t="e">
        <f t="shared" ref="AT39" si="180">G46</f>
        <v>#REF!</v>
      </c>
      <c r="AU39" s="112" t="e">
        <f t="shared" si="93"/>
        <v>#REF!</v>
      </c>
      <c r="AV39" s="126" t="e">
        <f t="shared" si="62"/>
        <v>#REF!</v>
      </c>
      <c r="AW39" s="122" t="e">
        <f t="shared" si="63"/>
        <v>#REF!</v>
      </c>
      <c r="AX39" s="111" t="e">
        <f t="shared" ref="AX39" si="181">H46</f>
        <v>#REF!</v>
      </c>
      <c r="AY39" s="126" t="e">
        <f t="shared" ref="AY39" si="182">I46</f>
        <v>#REF!</v>
      </c>
      <c r="AZ39" s="122" t="e">
        <f t="shared" ref="AZ39" si="183">J46</f>
        <v>#REF!</v>
      </c>
      <c r="BA39" s="111" t="e">
        <f t="shared" ref="BA39" si="184">K46</f>
        <v>#REF!</v>
      </c>
      <c r="BB39" s="126" t="e">
        <f t="shared" ref="BB39" si="185">L46</f>
        <v>#REF!</v>
      </c>
      <c r="BC39" s="122" t="e">
        <f t="shared" ref="BC39" si="186">M46</f>
        <v>#REF!</v>
      </c>
      <c r="BD39" s="112" t="e">
        <f t="shared" si="100"/>
        <v>#REF!</v>
      </c>
      <c r="BE39" s="126" t="e">
        <f t="shared" si="70"/>
        <v>#REF!</v>
      </c>
      <c r="BF39" s="122" t="e">
        <f t="shared" si="71"/>
        <v>#REF!</v>
      </c>
      <c r="BH39" s="111" t="e">
        <f>U46</f>
        <v>#REF!</v>
      </c>
      <c r="BI39" s="126" t="e">
        <f t="shared" ref="BI39" si="187">V46</f>
        <v>#REF!</v>
      </c>
      <c r="BJ39" s="122" t="e">
        <f t="shared" ref="BJ39" si="188">W46</f>
        <v>#REF!</v>
      </c>
      <c r="BK39" s="111" t="e">
        <f t="shared" ref="BK39" si="189">X46</f>
        <v>#REF!</v>
      </c>
      <c r="BL39" s="126" t="e">
        <f t="shared" ref="BL39" si="190">Y46</f>
        <v>#REF!</v>
      </c>
      <c r="BM39" s="122" t="e">
        <f t="shared" ref="BM39" si="191">Z46</f>
        <v>#REF!</v>
      </c>
      <c r="BN39" s="112" t="e">
        <f t="shared" si="106"/>
        <v>#REF!</v>
      </c>
      <c r="BO39" s="126" t="e">
        <f t="shared" si="77"/>
        <v>#REF!</v>
      </c>
      <c r="BP39" s="122" t="e">
        <f t="shared" si="78"/>
        <v>#REF!</v>
      </c>
      <c r="BQ39" s="111" t="e">
        <f t="shared" ref="BQ39" si="192">AA46</f>
        <v>#REF!</v>
      </c>
      <c r="BR39" s="126" t="e">
        <f t="shared" ref="BR39" si="193">AB46</f>
        <v>#REF!</v>
      </c>
      <c r="BS39" s="122" t="e">
        <f t="shared" ref="BS39" si="194">AC46</f>
        <v>#REF!</v>
      </c>
      <c r="BT39" s="111" t="e">
        <f t="shared" ref="BT39" si="195">AD46</f>
        <v>#REF!</v>
      </c>
      <c r="BU39" s="126" t="e">
        <f t="shared" ref="BU39" si="196">AE46</f>
        <v>#REF!</v>
      </c>
      <c r="BV39" s="122" t="e">
        <f t="shared" ref="BV39" si="197">AF46</f>
        <v>#REF!</v>
      </c>
      <c r="BW39" s="111" t="e">
        <f t="shared" si="113"/>
        <v>#REF!</v>
      </c>
      <c r="BX39" s="126" t="e">
        <f t="shared" si="85"/>
        <v>#REF!</v>
      </c>
      <c r="BY39" s="122" t="e">
        <f t="shared" si="86"/>
        <v>#REF!</v>
      </c>
    </row>
    <row r="40" spans="1:77" outlineLevel="1">
      <c r="A40" t="s">
        <v>1315</v>
      </c>
      <c r="B40" s="139" t="e">
        <f>SUMIFS('Portefeuille SP2'!$U:$U,'Portefeuille SP2'!#REF!,1,'Portefeuille SP2'!$Q:$Q,"IN PROGRESS",'Portefeuille SP2'!#REF!,"G",'Portefeuille SP2'!$D:$D,$A40,'Portefeuille SP2'!#REF!,"S")</f>
        <v>#REF!</v>
      </c>
      <c r="C40" s="126" t="e">
        <f>SUMIFS('Portefeuille SP2'!#REF!,'Portefeuille SP2'!#REF!,1,'Portefeuille SP2'!$Q:$Q,"IN PROGRESS",'Portefeuille SP2'!#REF!,"G",'Portefeuille SP2'!$D:$D,$A40,'Portefeuille SP2'!#REF!,"S")</f>
        <v>#REF!</v>
      </c>
      <c r="D40" s="122" t="e">
        <f>SUMIFS('Portefeuille SP2'!#REF!,'Portefeuille SP2'!#REF!,1,'Portefeuille SP2'!$Q:$Q,"IN PROGRESS",'Portefeuille SP2'!#REF!,"G",'Portefeuille SP2'!$D:$D,$A40,'Portefeuille SP2'!#REF!,"S")</f>
        <v>#REF!</v>
      </c>
      <c r="E40" s="111" t="e">
        <f>SUMIFS('Portefeuille SP2'!$U:$U,'Portefeuille SP2'!#REF!,1,'Portefeuille SP2'!$Q:$Q,"IN PROGRESS",'Portefeuille SP2'!#REF!,"R",'Portefeuille SP2'!$D:$D,$A40,'Portefeuille SP2'!#REF!,"S")</f>
        <v>#REF!</v>
      </c>
      <c r="F40" s="126" t="e">
        <f>SUMIFS('Portefeuille SP2'!#REF!,'Portefeuille SP2'!#REF!,1,'Portefeuille SP2'!$Q:$Q,"IN PROGRESS",'Portefeuille SP2'!#REF!,"R",'Portefeuille SP2'!$D:$D,$A40,'Portefeuille SP2'!#REF!,"S")</f>
        <v>#REF!</v>
      </c>
      <c r="G40" s="117" t="e">
        <f>SUMIFS('Portefeuille SP2'!#REF!,'Portefeuille SP2'!#REF!,1,'Portefeuille SP2'!$Q:$Q,"IN PROGRESS",'Portefeuille SP2'!#REF!,"R",'Portefeuille SP2'!$D:$D,$A40,'Portefeuille SP2'!#REF!,"S")</f>
        <v>#REF!</v>
      </c>
      <c r="H40" s="141" t="e">
        <f>SUMIFS('Portefeuille SP2'!$U:$U,'Portefeuille SP2'!#REF!,1,'Portefeuille SP2'!$Q:$Q,"DECIDED",'Portefeuille SP2'!#REF!,"G",'Portefeuille SP2'!$D:$D,$A40,'Portefeuille SP2'!#REF!,"S",'Portefeuille SP2'!#REF!,"=")</f>
        <v>#REF!</v>
      </c>
      <c r="I40" s="117" t="e">
        <f>SUMIFS('Portefeuille SP2'!#REF!,'Portefeuille SP2'!#REF!,1,'Portefeuille SP2'!$Q:$Q,"DECIDED",'Portefeuille SP2'!#REF!,"G",'Portefeuille SP2'!$D:$D,$A40,'Portefeuille SP2'!#REF!,"S",'Portefeuille SP2'!#REF!,"=")</f>
        <v>#REF!</v>
      </c>
      <c r="J40" s="117" t="e">
        <f>SUMIFS('Portefeuille SP2'!#REF!,'Portefeuille SP2'!#REF!,1,'Portefeuille SP2'!$Q:$Q,"DECIDED",'Portefeuille SP2'!#REF!,"G",'Portefeuille SP2'!$D:$D,$A40,'Portefeuille SP2'!#REF!,"S",'Portefeuille SP2'!#REF!,"=")</f>
        <v>#REF!</v>
      </c>
      <c r="K40" s="111" t="e">
        <f>SUMIFS('Portefeuille SP2'!$U:$U,'Portefeuille SP2'!#REF!,1,'Portefeuille SP2'!$Q:$Q,"DECIDED",'Portefeuille SP2'!#REF!,"R",'Portefeuille SP2'!$D:$D,$A40,'Portefeuille SP2'!#REF!,"S",'Portefeuille SP2'!#REF!,"=")</f>
        <v>#REF!</v>
      </c>
      <c r="L40" s="126" t="e">
        <f>SUMIFS('Portefeuille SP2'!#REF!,'Portefeuille SP2'!#REF!,1,'Portefeuille SP2'!$Q:$Q,"DECIDED",'Portefeuille SP2'!#REF!,"R",'Portefeuille SP2'!$D:$D,$A40,'Portefeuille SP2'!#REF!,"S",'Portefeuille SP2'!#REF!,"=")</f>
        <v>#REF!</v>
      </c>
      <c r="M40" s="117" t="e">
        <f>SUMIFS('Portefeuille SP2'!#REF!,'Portefeuille SP2'!#REF!,1,'Portefeuille SP2'!$Q:$Q,"DECIDED",'Portefeuille SP2'!#REF!,"R",'Portefeuille SP2'!$D:$D,$A40,'Portefeuille SP2'!#REF!,"S",'Portefeuille SP2'!#REF!,"=")</f>
        <v>#REF!</v>
      </c>
      <c r="N40" s="111" t="e">
        <f>SUMIFS('Portefeuille SP2'!$U:$U,'Portefeuille SP2'!#REF!,1,'Portefeuille SP2'!$Q:$Q,"DECIDED",'Portefeuille SP2'!#REF!,"G",'Portefeuille SP2'!$D:$D,$A40,'Portefeuille SP2'!#REF!,"S",'Portefeuille SP2'!#REF!,"&lt;&gt;")</f>
        <v>#REF!</v>
      </c>
      <c r="O40" s="126" t="e">
        <f>SUMIFS('Portefeuille SP2'!#REF!,'Portefeuille SP2'!#REF!,1,'Portefeuille SP2'!$Q:$Q,"DECIDED",'Portefeuille SP2'!#REF!,"G",'Portefeuille SP2'!$D:$D,$A40,'Portefeuille SP2'!#REF!,"S",'Portefeuille SP2'!#REF!,"&lt;&gt;")</f>
        <v>#REF!</v>
      </c>
      <c r="P40" s="117" t="e">
        <f>SUMIFS('Portefeuille SP2'!#REF!,'Portefeuille SP2'!#REF!,1,'Portefeuille SP2'!$Q:$Q,"DECIDED",'Portefeuille SP2'!#REF!,"G",'Portefeuille SP2'!$D:$D,$A40,'Portefeuille SP2'!#REF!,"S",'Portefeuille SP2'!#REF!,"&lt;&gt;")</f>
        <v>#REF!</v>
      </c>
      <c r="Q40" s="111" t="e">
        <f>SUMIFS('Portefeuille SP2'!$U:$U,'Portefeuille SP2'!#REF!,1,'Portefeuille SP2'!$Q:$Q,"DECIDED",'Portefeuille SP2'!#REF!,"R",'Portefeuille SP2'!$D:$D,$A40,'Portefeuille SP2'!#REF!,"S",'Portefeuille SP2'!#REF!,"&lt;&gt;")</f>
        <v>#REF!</v>
      </c>
      <c r="R40" s="126" t="e">
        <f>SUMIFS('Portefeuille SP2'!#REF!,'Portefeuille SP2'!#REF!,1,'Portefeuille SP2'!$Q:$Q,"DECIDED",'Portefeuille SP2'!#REF!,"R",'Portefeuille SP2'!$D:$D,$A40,'Portefeuille SP2'!#REF!,"S",'Portefeuille SP2'!#REF!,"&lt;&gt;")</f>
        <v>#REF!</v>
      </c>
      <c r="S40" s="122" t="e">
        <f>SUMIFS('Portefeuille SP2'!#REF!,'Portefeuille SP2'!#REF!,1,'Portefeuille SP2'!$Q:$Q,"DECIDED",'Portefeuille SP2'!#REF!,"R",'Portefeuille SP2'!$D:$D,$A40,'Portefeuille SP2'!#REF!,"S",'Portefeuille SP2'!#REF!,"&lt;&gt;")</f>
        <v>#REF!</v>
      </c>
      <c r="U40" s="111" t="e">
        <f>SUMIFS('Portefeuille SP2'!$U:$U,'Portefeuille SP2'!#REF!,1,'Portefeuille SP2'!$Q:$Q,"IN PROGRESS",'Portefeuille SP2'!#REF!,"G",'Portefeuille SP2'!$D:$D,$A40,'Portefeuille SP2'!#REF!,"O")</f>
        <v>#REF!</v>
      </c>
      <c r="V40" s="126" t="e">
        <f>SUMIFS('Portefeuille SP2'!#REF!,'Portefeuille SP2'!#REF!,1,'Portefeuille SP2'!$Q:$Q,"IN PROGRESS",'Portefeuille SP2'!#REF!,"G",'Portefeuille SP2'!$D:$D,$A40,'Portefeuille SP2'!#REF!,"o")</f>
        <v>#REF!</v>
      </c>
      <c r="W40" s="117" t="e">
        <f>SUMIFS('Portefeuille SP2'!#REF!,'Portefeuille SP2'!#REF!,1,'Portefeuille SP2'!$Q:$Q,"IN PROGRESS",'Portefeuille SP2'!#REF!,"G",'Portefeuille SP2'!$D:$D,$A40,'Portefeuille SP2'!#REF!,"o")</f>
        <v>#REF!</v>
      </c>
      <c r="X40" s="111" t="e">
        <f>SUMIFS('Portefeuille SP2'!$U:$U,'Portefeuille SP2'!#REF!,1,'Portefeuille SP2'!$Q:$Q,"IN PROGRESS",'Portefeuille SP2'!#REF!,"R",'Portefeuille SP2'!$D:$D,$A40,'Portefeuille SP2'!#REF!,"o")</f>
        <v>#REF!</v>
      </c>
      <c r="Y40" s="126" t="e">
        <f>SUMIFS('Portefeuille SP2'!#REF!,'Portefeuille SP2'!#REF!,1,'Portefeuille SP2'!$Q:$Q,"IN PROGRESS",'Portefeuille SP2'!#REF!,"R",'Portefeuille SP2'!$D:$D,$A40,'Portefeuille SP2'!#REF!,"o")</f>
        <v>#REF!</v>
      </c>
      <c r="Z40" s="117" t="e">
        <f>SUMIFS('Portefeuille SP2'!#REF!,'Portefeuille SP2'!#REF!,1,'Portefeuille SP2'!$Q:$Q,"IN PROGRESS",'Portefeuille SP2'!#REF!,"R",'Portefeuille SP2'!$D:$D,$A40,'Portefeuille SP2'!#REF!,"o")</f>
        <v>#REF!</v>
      </c>
      <c r="AA40" s="111" t="e">
        <f>SUMIFS('Portefeuille SP2'!$U:$U,'Portefeuille SP2'!#REF!,1,'Portefeuille SP2'!$Q:$Q,"DECIDED",'Portefeuille SP2'!#REF!,"G",'Portefeuille SP2'!$D:$D,$A40,'Portefeuille SP2'!#REF!,"o",'Portefeuille SP2'!#REF!,"=")</f>
        <v>#REF!</v>
      </c>
      <c r="AB40" s="126" t="e">
        <f>SUMIFS('Portefeuille SP2'!#REF!,'Portefeuille SP2'!#REF!,1,'Portefeuille SP2'!$Q:$Q,"DECIDED",'Portefeuille SP2'!#REF!,"G",'Portefeuille SP2'!$D:$D,$A40,'Portefeuille SP2'!#REF!,"o",'Portefeuille SP2'!#REF!,"=")</f>
        <v>#REF!</v>
      </c>
      <c r="AC40" s="117" t="e">
        <f>SUMIFS('Portefeuille SP2'!#REF!,'Portefeuille SP2'!#REF!,1,'Portefeuille SP2'!$Q:$Q,"DECIDED",'Portefeuille SP2'!#REF!,"G",'Portefeuille SP2'!$D:$D,$A40,'Portefeuille SP2'!#REF!,"o",'Portefeuille SP2'!#REF!,"=")</f>
        <v>#REF!</v>
      </c>
      <c r="AD40" s="111" t="e">
        <f>SUMIFS('Portefeuille SP2'!$U:$U,'Portefeuille SP2'!#REF!,1,'Portefeuille SP2'!$Q:$Q,"DECIDED",'Portefeuille SP2'!#REF!,"R",'Portefeuille SP2'!$D:$D,$A40,'Portefeuille SP2'!#REF!,"o",'Portefeuille SP2'!#REF!,"=")</f>
        <v>#REF!</v>
      </c>
      <c r="AE40" s="126" t="e">
        <f>SUMIFS('Portefeuille SP2'!#REF!,'Portefeuille SP2'!#REF!,1,'Portefeuille SP2'!$Q:$Q,"DECIDED",'Portefeuille SP2'!#REF!,"R",'Portefeuille SP2'!$D:$D,$A40,'Portefeuille SP2'!#REF!,"o",'Portefeuille SP2'!#REF!,"=")</f>
        <v>#REF!</v>
      </c>
      <c r="AF40" s="117" t="e">
        <f>SUMIFS('Portefeuille SP2'!#REF!,'Portefeuille SP2'!#REF!,1,'Portefeuille SP2'!$Q:$Q,"DECIDED",'Portefeuille SP2'!#REF!,"R",'Portefeuille SP2'!$D:$D,$A40,'Portefeuille SP2'!#REF!,"o",'Portefeuille SP2'!#REF!,"=")</f>
        <v>#REF!</v>
      </c>
      <c r="AG40" s="111" t="e">
        <f>SUMIFS('Portefeuille SP2'!$U:$U,'Portefeuille SP2'!#REF!,1,'Portefeuille SP2'!$Q:$Q,"DECIDED",'Portefeuille SP2'!#REF!,"G",'Portefeuille SP2'!$D:$D,$A40,'Portefeuille SP2'!#REF!,"o",'Portefeuille SP2'!#REF!,"&lt;&gt;")</f>
        <v>#REF!</v>
      </c>
      <c r="AH40" s="126" t="e">
        <f>SUMIFS('Portefeuille SP2'!#REF!,'Portefeuille SP2'!#REF!,1,'Portefeuille SP2'!$Q:$Q,"DECIDED",'Portefeuille SP2'!#REF!,"G",'Portefeuille SP2'!$D:$D,$A40,'Portefeuille SP2'!#REF!,"o",'Portefeuille SP2'!#REF!,"&lt;&gt;")</f>
        <v>#REF!</v>
      </c>
      <c r="AI40" s="117" t="e">
        <f>SUMIFS('Portefeuille SP2'!#REF!,'Portefeuille SP2'!#REF!,1,'Portefeuille SP2'!$Q:$Q,"DECIDED",'Portefeuille SP2'!#REF!,"G",'Portefeuille SP2'!$D:$D,$A40,'Portefeuille SP2'!#REF!,"o",'Portefeuille SP2'!#REF!,"&lt;&gt;")</f>
        <v>#REF!</v>
      </c>
      <c r="AJ40" s="111" t="e">
        <f>SUMIFS('Portefeuille SP2'!$U:$U,'Portefeuille SP2'!#REF!,1,'Portefeuille SP2'!$Q:$Q,"DECIDED",'Portefeuille SP2'!#REF!,"R",'Portefeuille SP2'!$D:$D,$A40,'Portefeuille SP2'!#REF!,"o",'Portefeuille SP2'!#REF!,"&lt;&gt;")</f>
        <v>#REF!</v>
      </c>
      <c r="AK40" s="126" t="e">
        <f>SUMIFS('Portefeuille SP2'!#REF!,'Portefeuille SP2'!#REF!,1,'Portefeuille SP2'!$Q:$Q,"DECIDED",'Portefeuille SP2'!#REF!,"R",'Portefeuille SP2'!$D:$D,$A40,'Portefeuille SP2'!#REF!,"o",'Portefeuille SP2'!#REF!,"&lt;&gt;")</f>
        <v>#REF!</v>
      </c>
      <c r="AL40" s="117" t="e">
        <f>SUMIFS('Portefeuille SP2'!#REF!,'Portefeuille SP2'!#REF!,1,'Portefeuille SP2'!$Q:$Q,"DECIDED",'Portefeuille SP2'!#REF!,"R",'Portefeuille SP2'!$D:$D,$A40,'Portefeuille SP2'!#REF!,"o",'Portefeuille SP2'!#REF!,"&lt;&gt;")</f>
        <v>#REF!</v>
      </c>
      <c r="AM40" s="117"/>
      <c r="AN40" t="s">
        <v>1316</v>
      </c>
      <c r="AO40" s="111" t="e">
        <f t="shared" ref="AO40" si="198">B36+B49</f>
        <v>#REF!</v>
      </c>
      <c r="AP40" s="126" t="e">
        <f t="shared" ref="AP40" si="199">C36+C49</f>
        <v>#REF!</v>
      </c>
      <c r="AQ40" s="122" t="e">
        <f t="shared" ref="AQ40" si="200">D36+D49</f>
        <v>#REF!</v>
      </c>
      <c r="AR40" s="112" t="e">
        <f t="shared" ref="AR40" si="201">E36+E49</f>
        <v>#REF!</v>
      </c>
      <c r="AS40" s="126" t="e">
        <f t="shared" ref="AS40" si="202">F36+F49</f>
        <v>#REF!</v>
      </c>
      <c r="AT40" s="122" t="e">
        <f t="shared" ref="AT40" si="203">G36+G49</f>
        <v>#REF!</v>
      </c>
      <c r="AU40" s="112" t="e">
        <f t="shared" si="93"/>
        <v>#REF!</v>
      </c>
      <c r="AV40" s="126" t="e">
        <f t="shared" si="62"/>
        <v>#REF!</v>
      </c>
      <c r="AW40" s="122" t="e">
        <f t="shared" si="63"/>
        <v>#REF!</v>
      </c>
      <c r="AX40" s="111" t="e">
        <f t="shared" ref="AX40" si="204">H36+H49</f>
        <v>#REF!</v>
      </c>
      <c r="AY40" s="126" t="e">
        <f t="shared" ref="AY40" si="205">I36+I49</f>
        <v>#REF!</v>
      </c>
      <c r="AZ40" s="122" t="e">
        <f t="shared" ref="AZ40" si="206">J36+J49</f>
        <v>#REF!</v>
      </c>
      <c r="BA40" s="111" t="e">
        <f t="shared" ref="BA40" si="207">K36+K49</f>
        <v>#REF!</v>
      </c>
      <c r="BB40" s="126" t="e">
        <f t="shared" ref="BB40" si="208">L36+L49</f>
        <v>#REF!</v>
      </c>
      <c r="BC40" s="122" t="e">
        <f t="shared" ref="BC40" si="209">M36+M49</f>
        <v>#REF!</v>
      </c>
      <c r="BD40" s="112" t="e">
        <f t="shared" si="100"/>
        <v>#REF!</v>
      </c>
      <c r="BE40" s="126" t="e">
        <f t="shared" si="70"/>
        <v>#REF!</v>
      </c>
      <c r="BF40" s="122" t="e">
        <f t="shared" si="71"/>
        <v>#REF!</v>
      </c>
      <c r="BH40" s="111" t="e">
        <f>U36+U49</f>
        <v>#REF!</v>
      </c>
      <c r="BI40" s="126" t="e">
        <f t="shared" ref="BI40" si="210">V36+V49</f>
        <v>#REF!</v>
      </c>
      <c r="BJ40" s="122" t="e">
        <f t="shared" ref="BJ40" si="211">W36+W49</f>
        <v>#REF!</v>
      </c>
      <c r="BK40" s="111" t="e">
        <f t="shared" ref="BK40" si="212">X36+X49</f>
        <v>#REF!</v>
      </c>
      <c r="BL40" s="126" t="e">
        <f t="shared" ref="BL40" si="213">Y36+Y49</f>
        <v>#REF!</v>
      </c>
      <c r="BM40" s="122" t="e">
        <f t="shared" ref="BM40" si="214">Z36+Z49</f>
        <v>#REF!</v>
      </c>
      <c r="BN40" s="112" t="e">
        <f t="shared" si="106"/>
        <v>#REF!</v>
      </c>
      <c r="BO40" s="126" t="e">
        <f t="shared" si="77"/>
        <v>#REF!</v>
      </c>
      <c r="BP40" s="122" t="e">
        <f t="shared" si="78"/>
        <v>#REF!</v>
      </c>
      <c r="BQ40" s="111" t="e">
        <f t="shared" ref="BQ40" si="215">AA36+AA49</f>
        <v>#REF!</v>
      </c>
      <c r="BR40" s="126" t="e">
        <f t="shared" ref="BR40" si="216">AB36+AB49</f>
        <v>#REF!</v>
      </c>
      <c r="BS40" s="122" t="e">
        <f t="shared" ref="BS40" si="217">AC36+AC49</f>
        <v>#REF!</v>
      </c>
      <c r="BT40" s="111" t="e">
        <f t="shared" ref="BT40" si="218">AD36+AD49</f>
        <v>#REF!</v>
      </c>
      <c r="BU40" s="126" t="e">
        <f t="shared" ref="BU40" si="219">AE36+AE49</f>
        <v>#REF!</v>
      </c>
      <c r="BV40" s="122" t="e">
        <f t="shared" ref="BV40" si="220">AF36+AF49</f>
        <v>#REF!</v>
      </c>
      <c r="BW40" s="111" t="e">
        <f t="shared" si="113"/>
        <v>#REF!</v>
      </c>
      <c r="BX40" s="126" t="e">
        <f t="shared" si="85"/>
        <v>#REF!</v>
      </c>
      <c r="BY40" s="122" t="e">
        <f t="shared" si="86"/>
        <v>#REF!</v>
      </c>
    </row>
    <row r="41" spans="1:77" outlineLevel="1">
      <c r="A41" t="s">
        <v>1308</v>
      </c>
      <c r="B41" s="139" t="e">
        <f>SUMIFS('Portefeuille SP2'!$U:$U,'Portefeuille SP2'!#REF!,1,'Portefeuille SP2'!$Q:$Q,"IN PROGRESS",'Portefeuille SP2'!#REF!,"G",'Portefeuille SP2'!$D:$D,$A41,'Portefeuille SP2'!#REF!,"S")</f>
        <v>#REF!</v>
      </c>
      <c r="C41" s="126" t="e">
        <f>SUMIFS('Portefeuille SP2'!#REF!,'Portefeuille SP2'!#REF!,1,'Portefeuille SP2'!$Q:$Q,"IN PROGRESS",'Portefeuille SP2'!#REF!,"G",'Portefeuille SP2'!$D:$D,$A41,'Portefeuille SP2'!#REF!,"S")</f>
        <v>#REF!</v>
      </c>
      <c r="D41" s="122" t="e">
        <f>SUMIFS('Portefeuille SP2'!#REF!,'Portefeuille SP2'!#REF!,1,'Portefeuille SP2'!$Q:$Q,"IN PROGRESS",'Portefeuille SP2'!#REF!,"G",'Portefeuille SP2'!$D:$D,$A41,'Portefeuille SP2'!#REF!,"S")</f>
        <v>#REF!</v>
      </c>
      <c r="E41" s="111" t="e">
        <f>SUMIFS('Portefeuille SP2'!$U:$U,'Portefeuille SP2'!#REF!,1,'Portefeuille SP2'!$Q:$Q,"IN PROGRESS",'Portefeuille SP2'!#REF!,"R",'Portefeuille SP2'!$D:$D,$A41,'Portefeuille SP2'!#REF!,"S")</f>
        <v>#REF!</v>
      </c>
      <c r="F41" s="126" t="e">
        <f>SUMIFS('Portefeuille SP2'!#REF!,'Portefeuille SP2'!#REF!,1,'Portefeuille SP2'!$Q:$Q,"IN PROGRESS",'Portefeuille SP2'!#REF!,"R",'Portefeuille SP2'!$D:$D,$A41,'Portefeuille SP2'!#REF!,"S")</f>
        <v>#REF!</v>
      </c>
      <c r="G41" s="117" t="e">
        <f>SUMIFS('Portefeuille SP2'!#REF!,'Portefeuille SP2'!#REF!,1,'Portefeuille SP2'!$Q:$Q,"IN PROGRESS",'Portefeuille SP2'!#REF!,"R",'Portefeuille SP2'!$D:$D,$A41,'Portefeuille SP2'!#REF!,"S")</f>
        <v>#REF!</v>
      </c>
      <c r="H41" s="111" t="e">
        <f>SUMIFS('Portefeuille SP2'!$U:$U,'Portefeuille SP2'!#REF!,1,'Portefeuille SP2'!$Q:$Q,"DECIDED",'Portefeuille SP2'!#REF!,"G",'Portefeuille SP2'!$D:$D,$A41,'Portefeuille SP2'!#REF!,"S",'Portefeuille SP2'!#REF!,"=")</f>
        <v>#REF!</v>
      </c>
      <c r="I41" s="117" t="e">
        <f>SUMIFS('Portefeuille SP2'!#REF!,'Portefeuille SP2'!#REF!,1,'Portefeuille SP2'!$Q:$Q,"DECIDED",'Portefeuille SP2'!#REF!,"G",'Portefeuille SP2'!$D:$D,$A41,'Portefeuille SP2'!#REF!,"S",'Portefeuille SP2'!#REF!,"=")</f>
        <v>#REF!</v>
      </c>
      <c r="J41" s="117" t="e">
        <f>SUMIFS('Portefeuille SP2'!#REF!,'Portefeuille SP2'!#REF!,1,'Portefeuille SP2'!$Q:$Q,"DECIDED",'Portefeuille SP2'!#REF!,"G",'Portefeuille SP2'!$D:$D,$A41,'Portefeuille SP2'!#REF!,"S",'Portefeuille SP2'!#REF!,"=")</f>
        <v>#REF!</v>
      </c>
      <c r="K41" s="111" t="e">
        <f>SUMIFS('Portefeuille SP2'!$U:$U,'Portefeuille SP2'!#REF!,1,'Portefeuille SP2'!$Q:$Q,"DECIDED",'Portefeuille SP2'!#REF!,"R",'Portefeuille SP2'!$D:$D,$A41,'Portefeuille SP2'!#REF!,"S",'Portefeuille SP2'!#REF!,"=")</f>
        <v>#REF!</v>
      </c>
      <c r="L41" s="126" t="e">
        <f>SUMIFS('Portefeuille SP2'!#REF!,'Portefeuille SP2'!#REF!,1,'Portefeuille SP2'!$Q:$Q,"DECIDED",'Portefeuille SP2'!#REF!,"R",'Portefeuille SP2'!$D:$D,$A41,'Portefeuille SP2'!#REF!,"S",'Portefeuille SP2'!#REF!,"=")</f>
        <v>#REF!</v>
      </c>
      <c r="M41" s="117" t="e">
        <f>SUMIFS('Portefeuille SP2'!#REF!,'Portefeuille SP2'!#REF!,1,'Portefeuille SP2'!$Q:$Q,"DECIDED",'Portefeuille SP2'!#REF!,"R",'Portefeuille SP2'!$D:$D,$A41,'Portefeuille SP2'!#REF!,"S",'Portefeuille SP2'!#REF!,"=")</f>
        <v>#REF!</v>
      </c>
      <c r="N41" s="111" t="e">
        <f>SUMIFS('Portefeuille SP2'!$U:$U,'Portefeuille SP2'!#REF!,1,'Portefeuille SP2'!$Q:$Q,"DECIDED",'Portefeuille SP2'!#REF!,"G",'Portefeuille SP2'!$D:$D,$A41,'Portefeuille SP2'!#REF!,"S",'Portefeuille SP2'!#REF!,"&lt;&gt;")</f>
        <v>#REF!</v>
      </c>
      <c r="O41" s="126" t="e">
        <f>SUMIFS('Portefeuille SP2'!#REF!,'Portefeuille SP2'!#REF!,1,'Portefeuille SP2'!$Q:$Q,"DECIDED",'Portefeuille SP2'!#REF!,"G",'Portefeuille SP2'!$D:$D,$A41,'Portefeuille SP2'!#REF!,"S",'Portefeuille SP2'!#REF!,"&lt;&gt;")</f>
        <v>#REF!</v>
      </c>
      <c r="P41" s="117" t="e">
        <f>SUMIFS('Portefeuille SP2'!#REF!,'Portefeuille SP2'!#REF!,1,'Portefeuille SP2'!$Q:$Q,"DECIDED",'Portefeuille SP2'!#REF!,"G",'Portefeuille SP2'!$D:$D,$A41,'Portefeuille SP2'!#REF!,"S",'Portefeuille SP2'!#REF!,"&lt;&gt;")</f>
        <v>#REF!</v>
      </c>
      <c r="Q41" s="111" t="e">
        <f>SUMIFS('Portefeuille SP2'!$U:$U,'Portefeuille SP2'!#REF!,1,'Portefeuille SP2'!$Q:$Q,"DECIDED",'Portefeuille SP2'!#REF!,"R",'Portefeuille SP2'!$D:$D,$A41,'Portefeuille SP2'!#REF!,"S",'Portefeuille SP2'!#REF!,"&lt;&gt;")</f>
        <v>#REF!</v>
      </c>
      <c r="R41" s="126" t="e">
        <f>SUMIFS('Portefeuille SP2'!#REF!,'Portefeuille SP2'!#REF!,1,'Portefeuille SP2'!$Q:$Q,"DECIDED",'Portefeuille SP2'!#REF!,"R",'Portefeuille SP2'!$D:$D,$A41,'Portefeuille SP2'!#REF!,"S",'Portefeuille SP2'!#REF!,"&lt;&gt;")</f>
        <v>#REF!</v>
      </c>
      <c r="S41" s="122" t="e">
        <f>SUMIFS('Portefeuille SP2'!#REF!,'Portefeuille SP2'!#REF!,1,'Portefeuille SP2'!$Q:$Q,"DECIDED",'Portefeuille SP2'!#REF!,"R",'Portefeuille SP2'!$D:$D,$A41,'Portefeuille SP2'!#REF!,"S",'Portefeuille SP2'!#REF!,"&lt;&gt;")</f>
        <v>#REF!</v>
      </c>
      <c r="U41" s="111" t="e">
        <f>SUMIFS('Portefeuille SP2'!$U:$U,'Portefeuille SP2'!#REF!,1,'Portefeuille SP2'!$Q:$Q,"IN PROGRESS",'Portefeuille SP2'!#REF!,"G",'Portefeuille SP2'!$D:$D,$A41,'Portefeuille SP2'!#REF!,"O")</f>
        <v>#REF!</v>
      </c>
      <c r="V41" s="126" t="e">
        <f>SUMIFS('Portefeuille SP2'!#REF!,'Portefeuille SP2'!#REF!,1,'Portefeuille SP2'!$Q:$Q,"IN PROGRESS",'Portefeuille SP2'!#REF!,"G",'Portefeuille SP2'!$D:$D,$A41,'Portefeuille SP2'!#REF!,"o")</f>
        <v>#REF!</v>
      </c>
      <c r="W41" s="117" t="e">
        <f>SUMIFS('Portefeuille SP2'!#REF!,'Portefeuille SP2'!#REF!,1,'Portefeuille SP2'!$Q:$Q,"IN PROGRESS",'Portefeuille SP2'!#REF!,"G",'Portefeuille SP2'!$D:$D,$A41,'Portefeuille SP2'!#REF!,"o")</f>
        <v>#REF!</v>
      </c>
      <c r="X41" s="111" t="e">
        <f>SUMIFS('Portefeuille SP2'!$U:$U,'Portefeuille SP2'!#REF!,1,'Portefeuille SP2'!$Q:$Q,"IN PROGRESS",'Portefeuille SP2'!#REF!,"R",'Portefeuille SP2'!$D:$D,$A41,'Portefeuille SP2'!#REF!,"o")</f>
        <v>#REF!</v>
      </c>
      <c r="Y41" s="126" t="e">
        <f>SUMIFS('Portefeuille SP2'!#REF!,'Portefeuille SP2'!#REF!,1,'Portefeuille SP2'!$Q:$Q,"IN PROGRESS",'Portefeuille SP2'!#REF!,"R",'Portefeuille SP2'!$D:$D,$A41,'Portefeuille SP2'!#REF!,"o")</f>
        <v>#REF!</v>
      </c>
      <c r="Z41" s="117" t="e">
        <f>SUMIFS('Portefeuille SP2'!#REF!,'Portefeuille SP2'!#REF!,1,'Portefeuille SP2'!$Q:$Q,"IN PROGRESS",'Portefeuille SP2'!#REF!,"R",'Portefeuille SP2'!$D:$D,$A41,'Portefeuille SP2'!#REF!,"o")</f>
        <v>#REF!</v>
      </c>
      <c r="AA41" s="111" t="e">
        <f>SUMIFS('Portefeuille SP2'!$U:$U,'Portefeuille SP2'!#REF!,1,'Portefeuille SP2'!$Q:$Q,"DECIDED",'Portefeuille SP2'!#REF!,"G",'Portefeuille SP2'!$D:$D,$A41,'Portefeuille SP2'!#REF!,"o",'Portefeuille SP2'!#REF!,"=")</f>
        <v>#REF!</v>
      </c>
      <c r="AB41" s="126" t="e">
        <f>SUMIFS('Portefeuille SP2'!#REF!,'Portefeuille SP2'!#REF!,1,'Portefeuille SP2'!$Q:$Q,"DECIDED",'Portefeuille SP2'!#REF!,"G",'Portefeuille SP2'!$D:$D,$A41,'Portefeuille SP2'!#REF!,"o",'Portefeuille SP2'!#REF!,"=")</f>
        <v>#REF!</v>
      </c>
      <c r="AC41" s="117" t="e">
        <f>SUMIFS('Portefeuille SP2'!#REF!,'Portefeuille SP2'!#REF!,1,'Portefeuille SP2'!$Q:$Q,"DECIDED",'Portefeuille SP2'!#REF!,"G",'Portefeuille SP2'!$D:$D,$A41,'Portefeuille SP2'!#REF!,"o",'Portefeuille SP2'!#REF!,"=")</f>
        <v>#REF!</v>
      </c>
      <c r="AD41" s="111" t="e">
        <f>SUMIFS('Portefeuille SP2'!$U:$U,'Portefeuille SP2'!#REF!,1,'Portefeuille SP2'!$Q:$Q,"DECIDED",'Portefeuille SP2'!#REF!,"R",'Portefeuille SP2'!$D:$D,$A41,'Portefeuille SP2'!#REF!,"o",'Portefeuille SP2'!#REF!,"=")</f>
        <v>#REF!</v>
      </c>
      <c r="AE41" s="126" t="e">
        <f>SUMIFS('Portefeuille SP2'!#REF!,'Portefeuille SP2'!#REF!,1,'Portefeuille SP2'!$Q:$Q,"DECIDED",'Portefeuille SP2'!#REF!,"R",'Portefeuille SP2'!$D:$D,$A41,'Portefeuille SP2'!#REF!,"o",'Portefeuille SP2'!#REF!,"=")</f>
        <v>#REF!</v>
      </c>
      <c r="AF41" s="117" t="e">
        <f>SUMIFS('Portefeuille SP2'!#REF!,'Portefeuille SP2'!#REF!,1,'Portefeuille SP2'!$Q:$Q,"DECIDED",'Portefeuille SP2'!#REF!,"R",'Portefeuille SP2'!$D:$D,$A41,'Portefeuille SP2'!#REF!,"o",'Portefeuille SP2'!#REF!,"=")</f>
        <v>#REF!</v>
      </c>
      <c r="AG41" s="111" t="e">
        <f>SUMIFS('Portefeuille SP2'!$U:$U,'Portefeuille SP2'!#REF!,1,'Portefeuille SP2'!$Q:$Q,"DECIDED",'Portefeuille SP2'!#REF!,"G",'Portefeuille SP2'!$D:$D,$A41,'Portefeuille SP2'!#REF!,"o",'Portefeuille SP2'!#REF!,"&lt;&gt;")</f>
        <v>#REF!</v>
      </c>
      <c r="AH41" s="126" t="e">
        <f>SUMIFS('Portefeuille SP2'!#REF!,'Portefeuille SP2'!#REF!,1,'Portefeuille SP2'!$Q:$Q,"DECIDED",'Portefeuille SP2'!#REF!,"G",'Portefeuille SP2'!$D:$D,$A41,'Portefeuille SP2'!#REF!,"o",'Portefeuille SP2'!#REF!,"&lt;&gt;")</f>
        <v>#REF!</v>
      </c>
      <c r="AI41" s="117" t="e">
        <f>SUMIFS('Portefeuille SP2'!#REF!,'Portefeuille SP2'!#REF!,1,'Portefeuille SP2'!$Q:$Q,"DECIDED",'Portefeuille SP2'!#REF!,"G",'Portefeuille SP2'!$D:$D,$A41,'Portefeuille SP2'!#REF!,"o",'Portefeuille SP2'!#REF!,"&lt;&gt;")</f>
        <v>#REF!</v>
      </c>
      <c r="AJ41" s="111" t="e">
        <f>SUMIFS('Portefeuille SP2'!$U:$U,'Portefeuille SP2'!#REF!,1,'Portefeuille SP2'!$Q:$Q,"DECIDED",'Portefeuille SP2'!#REF!,"R",'Portefeuille SP2'!$D:$D,$A41,'Portefeuille SP2'!#REF!,"o",'Portefeuille SP2'!#REF!,"&lt;&gt;")</f>
        <v>#REF!</v>
      </c>
      <c r="AK41" s="126" t="e">
        <f>SUMIFS('Portefeuille SP2'!#REF!,'Portefeuille SP2'!#REF!,1,'Portefeuille SP2'!$Q:$Q,"DECIDED",'Portefeuille SP2'!#REF!,"R",'Portefeuille SP2'!$D:$D,$A41,'Portefeuille SP2'!#REF!,"o",'Portefeuille SP2'!#REF!,"&lt;&gt;")</f>
        <v>#REF!</v>
      </c>
      <c r="AL41" s="117" t="e">
        <f>SUMIFS('Portefeuille SP2'!#REF!,'Portefeuille SP2'!#REF!,1,'Portefeuille SP2'!$Q:$Q,"DECIDED",'Portefeuille SP2'!#REF!,"R",'Portefeuille SP2'!$D:$D,$A41,'Portefeuille SP2'!#REF!,"o",'Portefeuille SP2'!#REF!,"&lt;&gt;")</f>
        <v>#REF!</v>
      </c>
      <c r="AM41" s="117"/>
      <c r="AN41" t="s">
        <v>1317</v>
      </c>
      <c r="AO41" s="111" t="e">
        <f t="shared" ref="AO41" si="221">B54+B55</f>
        <v>#REF!</v>
      </c>
      <c r="AP41" s="126" t="e">
        <f t="shared" ref="AP41" si="222">C54+C55</f>
        <v>#REF!</v>
      </c>
      <c r="AQ41" s="122" t="e">
        <f t="shared" ref="AQ41" si="223">D54+D55</f>
        <v>#REF!</v>
      </c>
      <c r="AR41" s="112" t="e">
        <f t="shared" ref="AR41" si="224">E54+E55</f>
        <v>#REF!</v>
      </c>
      <c r="AS41" s="126" t="e">
        <f t="shared" ref="AS41" si="225">F54+F55</f>
        <v>#REF!</v>
      </c>
      <c r="AT41" s="122" t="e">
        <f t="shared" ref="AT41" si="226">G54+G55</f>
        <v>#REF!</v>
      </c>
      <c r="AU41" s="112" t="e">
        <f t="shared" si="93"/>
        <v>#REF!</v>
      </c>
      <c r="AV41" s="126" t="e">
        <f t="shared" si="62"/>
        <v>#REF!</v>
      </c>
      <c r="AW41" s="122" t="e">
        <f t="shared" si="63"/>
        <v>#REF!</v>
      </c>
      <c r="AX41" s="111" t="e">
        <f t="shared" ref="AX41" si="227">H54+H55</f>
        <v>#REF!</v>
      </c>
      <c r="AY41" s="126" t="e">
        <f t="shared" ref="AY41" si="228">I54+I55</f>
        <v>#REF!</v>
      </c>
      <c r="AZ41" s="122" t="e">
        <f t="shared" ref="AZ41" si="229">J54+J55</f>
        <v>#REF!</v>
      </c>
      <c r="BA41" s="111" t="e">
        <f t="shared" ref="BA41" si="230">K54+K55</f>
        <v>#REF!</v>
      </c>
      <c r="BB41" s="126" t="e">
        <f t="shared" ref="BB41" si="231">L54+L55</f>
        <v>#REF!</v>
      </c>
      <c r="BC41" s="122" t="e">
        <f t="shared" ref="BC41" si="232">M54+M55</f>
        <v>#REF!</v>
      </c>
      <c r="BD41" s="112" t="e">
        <f t="shared" si="100"/>
        <v>#REF!</v>
      </c>
      <c r="BE41" s="126" t="e">
        <f t="shared" si="70"/>
        <v>#REF!</v>
      </c>
      <c r="BF41" s="122" t="e">
        <f t="shared" si="71"/>
        <v>#REF!</v>
      </c>
      <c r="BH41" s="111" t="e">
        <f>U54+U55</f>
        <v>#REF!</v>
      </c>
      <c r="BI41" s="126" t="e">
        <f t="shared" ref="BI41" si="233">V54+V55</f>
        <v>#REF!</v>
      </c>
      <c r="BJ41" s="122" t="e">
        <f t="shared" ref="BJ41" si="234">W54+W55</f>
        <v>#REF!</v>
      </c>
      <c r="BK41" s="111" t="e">
        <f t="shared" ref="BK41" si="235">X54+X55</f>
        <v>#REF!</v>
      </c>
      <c r="BL41" s="126" t="e">
        <f t="shared" ref="BL41" si="236">Y54+Y55</f>
        <v>#REF!</v>
      </c>
      <c r="BM41" s="122" t="e">
        <f t="shared" ref="BM41" si="237">Z54+Z55</f>
        <v>#REF!</v>
      </c>
      <c r="BN41" s="112" t="e">
        <f t="shared" si="106"/>
        <v>#REF!</v>
      </c>
      <c r="BO41" s="126" t="e">
        <f t="shared" si="77"/>
        <v>#REF!</v>
      </c>
      <c r="BP41" s="122" t="e">
        <f t="shared" si="78"/>
        <v>#REF!</v>
      </c>
      <c r="BQ41" s="111" t="e">
        <f t="shared" ref="BQ41" si="238">AA54+AA55</f>
        <v>#REF!</v>
      </c>
      <c r="BR41" s="126" t="e">
        <f t="shared" ref="BR41" si="239">AB54+AB55</f>
        <v>#REF!</v>
      </c>
      <c r="BS41" s="122" t="e">
        <f t="shared" ref="BS41" si="240">AC54+AC55</f>
        <v>#REF!</v>
      </c>
      <c r="BT41" s="111" t="e">
        <f t="shared" ref="BT41" si="241">AD54+AD55</f>
        <v>#REF!</v>
      </c>
      <c r="BU41" s="126" t="e">
        <f t="shared" ref="BU41" si="242">AE54+AE55</f>
        <v>#REF!</v>
      </c>
      <c r="BV41" s="122" t="e">
        <f t="shared" ref="BV41" si="243">AF54+AF55</f>
        <v>#REF!</v>
      </c>
      <c r="BW41" s="111" t="e">
        <f t="shared" si="113"/>
        <v>#REF!</v>
      </c>
      <c r="BX41" s="126" t="e">
        <f t="shared" si="85"/>
        <v>#REF!</v>
      </c>
      <c r="BY41" s="122" t="e">
        <f t="shared" si="86"/>
        <v>#REF!</v>
      </c>
    </row>
    <row r="42" spans="1:77" outlineLevel="1">
      <c r="A42" t="s">
        <v>1311</v>
      </c>
      <c r="B42" s="139" t="e">
        <f>SUMIFS('Portefeuille SP2'!$U:$U,'Portefeuille SP2'!#REF!,1,'Portefeuille SP2'!$Q:$Q,"IN PROGRESS",'Portefeuille SP2'!#REF!,"G",'Portefeuille SP2'!$D:$D,$A42,'Portefeuille SP2'!#REF!,"S")</f>
        <v>#REF!</v>
      </c>
      <c r="C42" s="126" t="e">
        <f>SUMIFS('Portefeuille SP2'!#REF!,'Portefeuille SP2'!#REF!,1,'Portefeuille SP2'!$Q:$Q,"IN PROGRESS",'Portefeuille SP2'!#REF!,"G",'Portefeuille SP2'!$D:$D,$A42,'Portefeuille SP2'!#REF!,"S")</f>
        <v>#REF!</v>
      </c>
      <c r="D42" s="122" t="e">
        <f>SUMIFS('Portefeuille SP2'!#REF!,'Portefeuille SP2'!#REF!,1,'Portefeuille SP2'!$Q:$Q,"IN PROGRESS",'Portefeuille SP2'!#REF!,"G",'Portefeuille SP2'!$D:$D,$A42,'Portefeuille SP2'!#REF!,"S")</f>
        <v>#REF!</v>
      </c>
      <c r="E42" s="111" t="e">
        <f>SUMIFS('Portefeuille SP2'!$U:$U,'Portefeuille SP2'!#REF!,1,'Portefeuille SP2'!$Q:$Q,"IN PROGRESS",'Portefeuille SP2'!#REF!,"R",'Portefeuille SP2'!$D:$D,$A42,'Portefeuille SP2'!#REF!,"S")</f>
        <v>#REF!</v>
      </c>
      <c r="F42" s="126" t="e">
        <f>SUMIFS('Portefeuille SP2'!#REF!,'Portefeuille SP2'!#REF!,1,'Portefeuille SP2'!$Q:$Q,"IN PROGRESS",'Portefeuille SP2'!#REF!,"R",'Portefeuille SP2'!$D:$D,$A42,'Portefeuille SP2'!#REF!,"S")</f>
        <v>#REF!</v>
      </c>
      <c r="G42" s="117" t="e">
        <f>SUMIFS('Portefeuille SP2'!#REF!,'Portefeuille SP2'!#REF!,1,'Portefeuille SP2'!$Q:$Q,"IN PROGRESS",'Portefeuille SP2'!#REF!,"R",'Portefeuille SP2'!$D:$D,$A42,'Portefeuille SP2'!#REF!,"S")</f>
        <v>#REF!</v>
      </c>
      <c r="H42" s="141" t="e">
        <f>SUMIFS('Portefeuille SP2'!$U:$U,'Portefeuille SP2'!#REF!,1,'Portefeuille SP2'!$Q:$Q,"DECIDED",'Portefeuille SP2'!#REF!,"G",'Portefeuille SP2'!$D:$D,$A42,'Portefeuille SP2'!#REF!,"S",'Portefeuille SP2'!#REF!,"=")</f>
        <v>#REF!</v>
      </c>
      <c r="I42" s="117" t="e">
        <f>SUMIFS('Portefeuille SP2'!#REF!,'Portefeuille SP2'!#REF!,1,'Portefeuille SP2'!$Q:$Q,"DECIDED",'Portefeuille SP2'!#REF!,"G",'Portefeuille SP2'!$D:$D,$A42,'Portefeuille SP2'!#REF!,"S",'Portefeuille SP2'!#REF!,"=")</f>
        <v>#REF!</v>
      </c>
      <c r="J42" s="117" t="e">
        <f>SUMIFS('Portefeuille SP2'!#REF!,'Portefeuille SP2'!#REF!,1,'Portefeuille SP2'!$Q:$Q,"DECIDED",'Portefeuille SP2'!#REF!,"G",'Portefeuille SP2'!$D:$D,$A42,'Portefeuille SP2'!#REF!,"S",'Portefeuille SP2'!#REF!,"=")</f>
        <v>#REF!</v>
      </c>
      <c r="K42" s="111" t="e">
        <f>SUMIFS('Portefeuille SP2'!$U:$U,'Portefeuille SP2'!#REF!,1,'Portefeuille SP2'!$Q:$Q,"DECIDED",'Portefeuille SP2'!#REF!,"R",'Portefeuille SP2'!$D:$D,$A42,'Portefeuille SP2'!#REF!,"S",'Portefeuille SP2'!#REF!,"=")</f>
        <v>#REF!</v>
      </c>
      <c r="L42" s="126" t="e">
        <f>SUMIFS('Portefeuille SP2'!#REF!,'Portefeuille SP2'!#REF!,1,'Portefeuille SP2'!$Q:$Q,"DECIDED",'Portefeuille SP2'!#REF!,"R",'Portefeuille SP2'!$D:$D,$A42,'Portefeuille SP2'!#REF!,"S",'Portefeuille SP2'!#REF!,"=")</f>
        <v>#REF!</v>
      </c>
      <c r="M42" s="117" t="e">
        <f>SUMIFS('Portefeuille SP2'!#REF!,'Portefeuille SP2'!#REF!,1,'Portefeuille SP2'!$Q:$Q,"DECIDED",'Portefeuille SP2'!#REF!,"R",'Portefeuille SP2'!$D:$D,$A42,'Portefeuille SP2'!#REF!,"S",'Portefeuille SP2'!#REF!,"=")</f>
        <v>#REF!</v>
      </c>
      <c r="N42" s="111" t="e">
        <f>SUMIFS('Portefeuille SP2'!$U:$U,'Portefeuille SP2'!#REF!,1,'Portefeuille SP2'!$Q:$Q,"DECIDED",'Portefeuille SP2'!#REF!,"G",'Portefeuille SP2'!$D:$D,$A42,'Portefeuille SP2'!#REF!,"S",'Portefeuille SP2'!#REF!,"&lt;&gt;")</f>
        <v>#REF!</v>
      </c>
      <c r="O42" s="126" t="e">
        <f>SUMIFS('Portefeuille SP2'!#REF!,'Portefeuille SP2'!#REF!,1,'Portefeuille SP2'!$Q:$Q,"DECIDED",'Portefeuille SP2'!#REF!,"G",'Portefeuille SP2'!$D:$D,$A42,'Portefeuille SP2'!#REF!,"S",'Portefeuille SP2'!#REF!,"&lt;&gt;")</f>
        <v>#REF!</v>
      </c>
      <c r="P42" s="117" t="e">
        <f>SUMIFS('Portefeuille SP2'!#REF!,'Portefeuille SP2'!#REF!,1,'Portefeuille SP2'!$Q:$Q,"DECIDED",'Portefeuille SP2'!#REF!,"G",'Portefeuille SP2'!$D:$D,$A42,'Portefeuille SP2'!#REF!,"S",'Portefeuille SP2'!#REF!,"&lt;&gt;")</f>
        <v>#REF!</v>
      </c>
      <c r="Q42" s="111" t="e">
        <f>SUMIFS('Portefeuille SP2'!$U:$U,'Portefeuille SP2'!#REF!,1,'Portefeuille SP2'!$Q:$Q,"DECIDED",'Portefeuille SP2'!#REF!,"R",'Portefeuille SP2'!$D:$D,$A42,'Portefeuille SP2'!#REF!,"S",'Portefeuille SP2'!#REF!,"&lt;&gt;")</f>
        <v>#REF!</v>
      </c>
      <c r="R42" s="126" t="e">
        <f>SUMIFS('Portefeuille SP2'!#REF!,'Portefeuille SP2'!#REF!,1,'Portefeuille SP2'!$Q:$Q,"DECIDED",'Portefeuille SP2'!#REF!,"R",'Portefeuille SP2'!$D:$D,$A42,'Portefeuille SP2'!#REF!,"S",'Portefeuille SP2'!#REF!,"&lt;&gt;")</f>
        <v>#REF!</v>
      </c>
      <c r="S42" s="122" t="e">
        <f>SUMIFS('Portefeuille SP2'!#REF!,'Portefeuille SP2'!#REF!,1,'Portefeuille SP2'!$Q:$Q,"DECIDED",'Portefeuille SP2'!#REF!,"R",'Portefeuille SP2'!$D:$D,$A42,'Portefeuille SP2'!#REF!,"S",'Portefeuille SP2'!#REF!,"&lt;&gt;")</f>
        <v>#REF!</v>
      </c>
      <c r="U42" s="111" t="e">
        <f>SUMIFS('Portefeuille SP2'!$U:$U,'Portefeuille SP2'!#REF!,1,'Portefeuille SP2'!$Q:$Q,"IN PROGRESS",'Portefeuille SP2'!#REF!,"G",'Portefeuille SP2'!$D:$D,$A42,'Portefeuille SP2'!#REF!,"O")</f>
        <v>#REF!</v>
      </c>
      <c r="V42" s="126" t="e">
        <f>SUMIFS('Portefeuille SP2'!#REF!,'Portefeuille SP2'!#REF!,1,'Portefeuille SP2'!$Q:$Q,"IN PROGRESS",'Portefeuille SP2'!#REF!,"G",'Portefeuille SP2'!$D:$D,$A42,'Portefeuille SP2'!#REF!,"o")</f>
        <v>#REF!</v>
      </c>
      <c r="W42" s="117" t="e">
        <f>SUMIFS('Portefeuille SP2'!#REF!,'Portefeuille SP2'!#REF!,1,'Portefeuille SP2'!$Q:$Q,"IN PROGRESS",'Portefeuille SP2'!#REF!,"G",'Portefeuille SP2'!$D:$D,$A42,'Portefeuille SP2'!#REF!,"o")</f>
        <v>#REF!</v>
      </c>
      <c r="X42" s="111" t="e">
        <f>SUMIFS('Portefeuille SP2'!$U:$U,'Portefeuille SP2'!#REF!,1,'Portefeuille SP2'!$Q:$Q,"IN PROGRESS",'Portefeuille SP2'!#REF!,"R",'Portefeuille SP2'!$D:$D,$A42,'Portefeuille SP2'!#REF!,"o")</f>
        <v>#REF!</v>
      </c>
      <c r="Y42" s="126" t="e">
        <f>SUMIFS('Portefeuille SP2'!#REF!,'Portefeuille SP2'!#REF!,1,'Portefeuille SP2'!$Q:$Q,"IN PROGRESS",'Portefeuille SP2'!#REF!,"R",'Portefeuille SP2'!$D:$D,$A42,'Portefeuille SP2'!#REF!,"o")</f>
        <v>#REF!</v>
      </c>
      <c r="Z42" s="117" t="e">
        <f>SUMIFS('Portefeuille SP2'!#REF!,'Portefeuille SP2'!#REF!,1,'Portefeuille SP2'!$Q:$Q,"IN PROGRESS",'Portefeuille SP2'!#REF!,"R",'Portefeuille SP2'!$D:$D,$A42,'Portefeuille SP2'!#REF!,"o")</f>
        <v>#REF!</v>
      </c>
      <c r="AA42" s="111" t="e">
        <f>SUMIFS('Portefeuille SP2'!$U:$U,'Portefeuille SP2'!#REF!,1,'Portefeuille SP2'!$Q:$Q,"DECIDED",'Portefeuille SP2'!#REF!,"G",'Portefeuille SP2'!$D:$D,$A42,'Portefeuille SP2'!#REF!,"o",'Portefeuille SP2'!#REF!,"=")</f>
        <v>#REF!</v>
      </c>
      <c r="AB42" s="126" t="e">
        <f>SUMIFS('Portefeuille SP2'!#REF!,'Portefeuille SP2'!#REF!,1,'Portefeuille SP2'!$Q:$Q,"DECIDED",'Portefeuille SP2'!#REF!,"G",'Portefeuille SP2'!$D:$D,$A42,'Portefeuille SP2'!#REF!,"o",'Portefeuille SP2'!#REF!,"=")</f>
        <v>#REF!</v>
      </c>
      <c r="AC42" s="117" t="e">
        <f>SUMIFS('Portefeuille SP2'!#REF!,'Portefeuille SP2'!#REF!,1,'Portefeuille SP2'!$Q:$Q,"DECIDED",'Portefeuille SP2'!#REF!,"G",'Portefeuille SP2'!$D:$D,$A42,'Portefeuille SP2'!#REF!,"o",'Portefeuille SP2'!#REF!,"=")</f>
        <v>#REF!</v>
      </c>
      <c r="AD42" s="111" t="e">
        <f>SUMIFS('Portefeuille SP2'!$U:$U,'Portefeuille SP2'!#REF!,1,'Portefeuille SP2'!$Q:$Q,"DECIDED",'Portefeuille SP2'!#REF!,"R",'Portefeuille SP2'!$D:$D,$A42,'Portefeuille SP2'!#REF!,"o",'Portefeuille SP2'!#REF!,"=")</f>
        <v>#REF!</v>
      </c>
      <c r="AE42" s="126" t="e">
        <f>SUMIFS('Portefeuille SP2'!#REF!,'Portefeuille SP2'!#REF!,1,'Portefeuille SP2'!$Q:$Q,"DECIDED",'Portefeuille SP2'!#REF!,"R",'Portefeuille SP2'!$D:$D,$A42,'Portefeuille SP2'!#REF!,"o",'Portefeuille SP2'!#REF!,"=")</f>
        <v>#REF!</v>
      </c>
      <c r="AF42" s="117" t="e">
        <f>SUMIFS('Portefeuille SP2'!#REF!,'Portefeuille SP2'!#REF!,1,'Portefeuille SP2'!$Q:$Q,"DECIDED",'Portefeuille SP2'!#REF!,"R",'Portefeuille SP2'!$D:$D,$A42,'Portefeuille SP2'!#REF!,"o",'Portefeuille SP2'!#REF!,"=")</f>
        <v>#REF!</v>
      </c>
      <c r="AG42" s="111" t="e">
        <f>SUMIFS('Portefeuille SP2'!$U:$U,'Portefeuille SP2'!#REF!,1,'Portefeuille SP2'!$Q:$Q,"DECIDED",'Portefeuille SP2'!#REF!,"G",'Portefeuille SP2'!$D:$D,$A42,'Portefeuille SP2'!#REF!,"o",'Portefeuille SP2'!#REF!,"&lt;&gt;")</f>
        <v>#REF!</v>
      </c>
      <c r="AH42" s="126" t="e">
        <f>SUMIFS('Portefeuille SP2'!#REF!,'Portefeuille SP2'!#REF!,1,'Portefeuille SP2'!$Q:$Q,"DECIDED",'Portefeuille SP2'!#REF!,"G",'Portefeuille SP2'!$D:$D,$A42,'Portefeuille SP2'!#REF!,"o",'Portefeuille SP2'!#REF!,"&lt;&gt;")</f>
        <v>#REF!</v>
      </c>
      <c r="AI42" s="117" t="e">
        <f>SUMIFS('Portefeuille SP2'!#REF!,'Portefeuille SP2'!#REF!,1,'Portefeuille SP2'!$Q:$Q,"DECIDED",'Portefeuille SP2'!#REF!,"G",'Portefeuille SP2'!$D:$D,$A42,'Portefeuille SP2'!#REF!,"o",'Portefeuille SP2'!#REF!,"&lt;&gt;")</f>
        <v>#REF!</v>
      </c>
      <c r="AJ42" s="111" t="e">
        <f>SUMIFS('Portefeuille SP2'!$U:$U,'Portefeuille SP2'!#REF!,1,'Portefeuille SP2'!$Q:$Q,"DECIDED",'Portefeuille SP2'!#REF!,"R",'Portefeuille SP2'!$D:$D,$A42,'Portefeuille SP2'!#REF!,"o",'Portefeuille SP2'!#REF!,"&lt;&gt;")</f>
        <v>#REF!</v>
      </c>
      <c r="AK42" s="126" t="e">
        <f>SUMIFS('Portefeuille SP2'!#REF!,'Portefeuille SP2'!#REF!,1,'Portefeuille SP2'!$Q:$Q,"DECIDED",'Portefeuille SP2'!#REF!,"R",'Portefeuille SP2'!$D:$D,$A42,'Portefeuille SP2'!#REF!,"o",'Portefeuille SP2'!#REF!,"&lt;&gt;")</f>
        <v>#REF!</v>
      </c>
      <c r="AL42" s="117" t="e">
        <f>SUMIFS('Portefeuille SP2'!#REF!,'Portefeuille SP2'!#REF!,1,'Portefeuille SP2'!$Q:$Q,"DECIDED",'Portefeuille SP2'!#REF!,"R",'Portefeuille SP2'!$D:$D,$A42,'Portefeuille SP2'!#REF!,"o",'Portefeuille SP2'!#REF!,"&lt;&gt;")</f>
        <v>#REF!</v>
      </c>
      <c r="AM42" s="117"/>
      <c r="AN42" t="s">
        <v>1318</v>
      </c>
      <c r="AO42" s="110" t="e">
        <f t="shared" ref="AO42" si="244">B51+B52+B53</f>
        <v>#REF!</v>
      </c>
      <c r="AP42" s="127" t="e">
        <f t="shared" ref="AP42" si="245">C51+C52+C53</f>
        <v>#REF!</v>
      </c>
      <c r="AQ42" s="124" t="e">
        <f t="shared" ref="AQ42" si="246">D51+D52+D53</f>
        <v>#REF!</v>
      </c>
      <c r="AR42" s="115" t="e">
        <f t="shared" ref="AR42" si="247">E51+E52+E53</f>
        <v>#REF!</v>
      </c>
      <c r="AS42" s="127" t="e">
        <f t="shared" ref="AS42" si="248">F51+F52+F53</f>
        <v>#REF!</v>
      </c>
      <c r="AT42" s="124" t="e">
        <f t="shared" ref="AT42" si="249">G51+G52+G53</f>
        <v>#REF!</v>
      </c>
      <c r="AU42" s="115" t="e">
        <f t="shared" si="93"/>
        <v>#REF!</v>
      </c>
      <c r="AV42" s="127" t="e">
        <f t="shared" si="62"/>
        <v>#REF!</v>
      </c>
      <c r="AW42" s="124" t="e">
        <f t="shared" si="63"/>
        <v>#REF!</v>
      </c>
      <c r="AX42" s="110" t="e">
        <f t="shared" ref="AX42" si="250">H51+H52+H53</f>
        <v>#REF!</v>
      </c>
      <c r="AY42" s="127" t="e">
        <f t="shared" ref="AY42" si="251">I51+I52+I53</f>
        <v>#REF!</v>
      </c>
      <c r="AZ42" s="124" t="e">
        <f t="shared" ref="AZ42" si="252">J51+J52+J53</f>
        <v>#REF!</v>
      </c>
      <c r="BA42" s="110" t="e">
        <f t="shared" ref="BA42" si="253">K51+K52+K53</f>
        <v>#REF!</v>
      </c>
      <c r="BB42" s="127" t="e">
        <f t="shared" ref="BB42" si="254">L51+L52+L53</f>
        <v>#REF!</v>
      </c>
      <c r="BC42" s="124" t="e">
        <f t="shared" ref="BC42" si="255">M51+M52+M53</f>
        <v>#REF!</v>
      </c>
      <c r="BD42" s="115" t="e">
        <f t="shared" si="100"/>
        <v>#REF!</v>
      </c>
      <c r="BE42" s="127" t="e">
        <f t="shared" si="70"/>
        <v>#REF!</v>
      </c>
      <c r="BF42" s="124" t="e">
        <f t="shared" si="71"/>
        <v>#REF!</v>
      </c>
      <c r="BH42" s="110" t="e">
        <f>U51+U52+U53</f>
        <v>#REF!</v>
      </c>
      <c r="BI42" s="127" t="e">
        <f t="shared" ref="BI42" si="256">V51+V52+V53</f>
        <v>#REF!</v>
      </c>
      <c r="BJ42" s="124" t="e">
        <f t="shared" ref="BJ42" si="257">W51+W52+W53</f>
        <v>#REF!</v>
      </c>
      <c r="BK42" s="110" t="e">
        <f t="shared" ref="BK42" si="258">X51+X52+X53</f>
        <v>#REF!</v>
      </c>
      <c r="BL42" s="127" t="e">
        <f t="shared" ref="BL42" si="259">Y51+Y52+Y53</f>
        <v>#REF!</v>
      </c>
      <c r="BM42" s="124" t="e">
        <f t="shared" ref="BM42" si="260">Z51+Z52+Z53</f>
        <v>#REF!</v>
      </c>
      <c r="BN42" s="115" t="e">
        <f t="shared" si="106"/>
        <v>#REF!</v>
      </c>
      <c r="BO42" s="127" t="e">
        <f t="shared" si="77"/>
        <v>#REF!</v>
      </c>
      <c r="BP42" s="124" t="e">
        <f t="shared" si="78"/>
        <v>#REF!</v>
      </c>
      <c r="BQ42" s="110" t="e">
        <f t="shared" ref="BQ42" si="261">AA51+AA52+AA53</f>
        <v>#REF!</v>
      </c>
      <c r="BR42" s="127" t="e">
        <f t="shared" ref="BR42" si="262">AB51+AB52+AB53</f>
        <v>#REF!</v>
      </c>
      <c r="BS42" s="124" t="e">
        <f t="shared" ref="BS42" si="263">AC51+AC52+AC53</f>
        <v>#REF!</v>
      </c>
      <c r="BT42" s="110" t="e">
        <f t="shared" ref="BT42" si="264">AD51+AD52+AD53</f>
        <v>#REF!</v>
      </c>
      <c r="BU42" s="127" t="e">
        <f t="shared" ref="BU42" si="265">AE51+AE52+AE53</f>
        <v>#REF!</v>
      </c>
      <c r="BV42" s="124" t="e">
        <f t="shared" ref="BV42" si="266">AF51+AF52+AF53</f>
        <v>#REF!</v>
      </c>
      <c r="BW42" s="110" t="e">
        <f t="shared" si="113"/>
        <v>#REF!</v>
      </c>
      <c r="BX42" s="127" t="e">
        <f t="shared" si="85"/>
        <v>#REF!</v>
      </c>
      <c r="BY42" s="124" t="e">
        <f t="shared" si="86"/>
        <v>#REF!</v>
      </c>
    </row>
    <row r="43" spans="1:77" outlineLevel="1">
      <c r="A43" t="s">
        <v>1319</v>
      </c>
      <c r="B43" s="139" t="e">
        <f>SUMIFS('Portefeuille SP2'!$U:$U,'Portefeuille SP2'!#REF!,1,'Portefeuille SP2'!$Q:$Q,"IN PROGRESS",'Portefeuille SP2'!#REF!,"G",'Portefeuille SP2'!$D:$D,$A43,'Portefeuille SP2'!#REF!,"S")</f>
        <v>#REF!</v>
      </c>
      <c r="C43" s="126" t="e">
        <f>SUMIFS('Portefeuille SP2'!#REF!,'Portefeuille SP2'!#REF!,1,'Portefeuille SP2'!$Q:$Q,"IN PROGRESS",'Portefeuille SP2'!#REF!,"G",'Portefeuille SP2'!$D:$D,$A43,'Portefeuille SP2'!#REF!,"S")</f>
        <v>#REF!</v>
      </c>
      <c r="D43" s="122" t="e">
        <f>SUMIFS('Portefeuille SP2'!#REF!,'Portefeuille SP2'!#REF!,1,'Portefeuille SP2'!$Q:$Q,"IN PROGRESS",'Portefeuille SP2'!#REF!,"G",'Portefeuille SP2'!$D:$D,$A43,'Portefeuille SP2'!#REF!,"S")</f>
        <v>#REF!</v>
      </c>
      <c r="E43" s="111" t="e">
        <f>SUMIFS('Portefeuille SP2'!$U:$U,'Portefeuille SP2'!#REF!,1,'Portefeuille SP2'!$Q:$Q,"IN PROGRESS",'Portefeuille SP2'!#REF!,"R",'Portefeuille SP2'!$D:$D,$A43,'Portefeuille SP2'!#REF!,"S")</f>
        <v>#REF!</v>
      </c>
      <c r="F43" s="126" t="e">
        <f>SUMIFS('Portefeuille SP2'!#REF!,'Portefeuille SP2'!#REF!,1,'Portefeuille SP2'!$Q:$Q,"IN PROGRESS",'Portefeuille SP2'!#REF!,"R",'Portefeuille SP2'!$D:$D,$A43,'Portefeuille SP2'!#REF!,"S")</f>
        <v>#REF!</v>
      </c>
      <c r="G43" s="117" t="e">
        <f>SUMIFS('Portefeuille SP2'!#REF!,'Portefeuille SP2'!#REF!,1,'Portefeuille SP2'!$Q:$Q,"IN PROGRESS",'Portefeuille SP2'!#REF!,"R",'Portefeuille SP2'!$D:$D,$A43,'Portefeuille SP2'!#REF!,"S")</f>
        <v>#REF!</v>
      </c>
      <c r="H43" s="111" t="e">
        <f>SUMIFS('Portefeuille SP2'!$U:$U,'Portefeuille SP2'!#REF!,1,'Portefeuille SP2'!$Q:$Q,"DECIDED",'Portefeuille SP2'!#REF!,"G",'Portefeuille SP2'!$D:$D,$A43,'Portefeuille SP2'!#REF!,"S",'Portefeuille SP2'!#REF!,"=")</f>
        <v>#REF!</v>
      </c>
      <c r="I43" s="117" t="e">
        <f>SUMIFS('Portefeuille SP2'!#REF!,'Portefeuille SP2'!#REF!,1,'Portefeuille SP2'!$Q:$Q,"DECIDED",'Portefeuille SP2'!#REF!,"G",'Portefeuille SP2'!$D:$D,$A43,'Portefeuille SP2'!#REF!,"S",'Portefeuille SP2'!#REF!,"=")</f>
        <v>#REF!</v>
      </c>
      <c r="J43" s="117" t="e">
        <f>SUMIFS('Portefeuille SP2'!#REF!,'Portefeuille SP2'!#REF!,1,'Portefeuille SP2'!$Q:$Q,"DECIDED",'Portefeuille SP2'!#REF!,"G",'Portefeuille SP2'!$D:$D,$A43,'Portefeuille SP2'!#REF!,"S",'Portefeuille SP2'!#REF!,"=")</f>
        <v>#REF!</v>
      </c>
      <c r="K43" s="111" t="e">
        <f>SUMIFS('Portefeuille SP2'!$U:$U,'Portefeuille SP2'!#REF!,1,'Portefeuille SP2'!$Q:$Q,"DECIDED",'Portefeuille SP2'!#REF!,"R",'Portefeuille SP2'!$D:$D,$A43,'Portefeuille SP2'!#REF!,"S",'Portefeuille SP2'!#REF!,"=")</f>
        <v>#REF!</v>
      </c>
      <c r="L43" s="126" t="e">
        <f>SUMIFS('Portefeuille SP2'!#REF!,'Portefeuille SP2'!#REF!,1,'Portefeuille SP2'!$Q:$Q,"DECIDED",'Portefeuille SP2'!#REF!,"R",'Portefeuille SP2'!$D:$D,$A43,'Portefeuille SP2'!#REF!,"S",'Portefeuille SP2'!#REF!,"=")</f>
        <v>#REF!</v>
      </c>
      <c r="M43" s="117" t="e">
        <f>SUMIFS('Portefeuille SP2'!#REF!,'Portefeuille SP2'!#REF!,1,'Portefeuille SP2'!$Q:$Q,"DECIDED",'Portefeuille SP2'!#REF!,"R",'Portefeuille SP2'!$D:$D,$A43,'Portefeuille SP2'!#REF!,"S",'Portefeuille SP2'!#REF!,"=")</f>
        <v>#REF!</v>
      </c>
      <c r="N43" s="111" t="e">
        <f>SUMIFS('Portefeuille SP2'!$U:$U,'Portefeuille SP2'!#REF!,1,'Portefeuille SP2'!$Q:$Q,"DECIDED",'Portefeuille SP2'!#REF!,"G",'Portefeuille SP2'!$D:$D,$A43,'Portefeuille SP2'!#REF!,"S",'Portefeuille SP2'!#REF!,"&lt;&gt;")</f>
        <v>#REF!</v>
      </c>
      <c r="O43" s="126" t="e">
        <f>SUMIFS('Portefeuille SP2'!#REF!,'Portefeuille SP2'!#REF!,1,'Portefeuille SP2'!$Q:$Q,"DECIDED",'Portefeuille SP2'!#REF!,"G",'Portefeuille SP2'!$D:$D,$A43,'Portefeuille SP2'!#REF!,"S",'Portefeuille SP2'!#REF!,"&lt;&gt;")</f>
        <v>#REF!</v>
      </c>
      <c r="P43" s="117" t="e">
        <f>SUMIFS('Portefeuille SP2'!#REF!,'Portefeuille SP2'!#REF!,1,'Portefeuille SP2'!$Q:$Q,"DECIDED",'Portefeuille SP2'!#REF!,"G",'Portefeuille SP2'!$D:$D,$A43,'Portefeuille SP2'!#REF!,"S",'Portefeuille SP2'!#REF!,"&lt;&gt;")</f>
        <v>#REF!</v>
      </c>
      <c r="Q43" s="111" t="e">
        <f>SUMIFS('Portefeuille SP2'!$U:$U,'Portefeuille SP2'!#REF!,1,'Portefeuille SP2'!$Q:$Q,"DECIDED",'Portefeuille SP2'!#REF!,"R",'Portefeuille SP2'!$D:$D,$A43,'Portefeuille SP2'!#REF!,"S",'Portefeuille SP2'!#REF!,"&lt;&gt;")</f>
        <v>#REF!</v>
      </c>
      <c r="R43" s="126" t="e">
        <f>SUMIFS('Portefeuille SP2'!#REF!,'Portefeuille SP2'!#REF!,1,'Portefeuille SP2'!$Q:$Q,"DECIDED",'Portefeuille SP2'!#REF!,"R",'Portefeuille SP2'!$D:$D,$A43,'Portefeuille SP2'!#REF!,"S",'Portefeuille SP2'!#REF!,"&lt;&gt;")</f>
        <v>#REF!</v>
      </c>
      <c r="S43" s="122" t="e">
        <f>SUMIFS('Portefeuille SP2'!#REF!,'Portefeuille SP2'!#REF!,1,'Portefeuille SP2'!$Q:$Q,"DECIDED",'Portefeuille SP2'!#REF!,"R",'Portefeuille SP2'!$D:$D,$A43,'Portefeuille SP2'!#REF!,"S",'Portefeuille SP2'!#REF!,"&lt;&gt;")</f>
        <v>#REF!</v>
      </c>
      <c r="U43" s="111" t="e">
        <f>SUMIFS('Portefeuille SP2'!$U:$U,'Portefeuille SP2'!#REF!,1,'Portefeuille SP2'!$Q:$Q,"IN PROGRESS",'Portefeuille SP2'!#REF!,"G",'Portefeuille SP2'!$D:$D,$A43,'Portefeuille SP2'!#REF!,"O")</f>
        <v>#REF!</v>
      </c>
      <c r="V43" s="126" t="e">
        <f>SUMIFS('Portefeuille SP2'!#REF!,'Portefeuille SP2'!#REF!,1,'Portefeuille SP2'!$Q:$Q,"IN PROGRESS",'Portefeuille SP2'!#REF!,"G",'Portefeuille SP2'!$D:$D,$A43,'Portefeuille SP2'!#REF!,"o")</f>
        <v>#REF!</v>
      </c>
      <c r="W43" s="117" t="e">
        <f>SUMIFS('Portefeuille SP2'!#REF!,'Portefeuille SP2'!#REF!,1,'Portefeuille SP2'!$Q:$Q,"IN PROGRESS",'Portefeuille SP2'!#REF!,"G",'Portefeuille SP2'!$D:$D,$A43,'Portefeuille SP2'!#REF!,"o")</f>
        <v>#REF!</v>
      </c>
      <c r="X43" s="111" t="e">
        <f>SUMIFS('Portefeuille SP2'!$U:$U,'Portefeuille SP2'!#REF!,1,'Portefeuille SP2'!$Q:$Q,"IN PROGRESS",'Portefeuille SP2'!#REF!,"R",'Portefeuille SP2'!$D:$D,$A43,'Portefeuille SP2'!#REF!,"o")</f>
        <v>#REF!</v>
      </c>
      <c r="Y43" s="126" t="e">
        <f>SUMIFS('Portefeuille SP2'!#REF!,'Portefeuille SP2'!#REF!,1,'Portefeuille SP2'!$Q:$Q,"IN PROGRESS",'Portefeuille SP2'!#REF!,"R",'Portefeuille SP2'!$D:$D,$A43,'Portefeuille SP2'!#REF!,"o")</f>
        <v>#REF!</v>
      </c>
      <c r="Z43" s="117" t="e">
        <f>SUMIFS('Portefeuille SP2'!#REF!,'Portefeuille SP2'!#REF!,1,'Portefeuille SP2'!$Q:$Q,"IN PROGRESS",'Portefeuille SP2'!#REF!,"R",'Portefeuille SP2'!$D:$D,$A43,'Portefeuille SP2'!#REF!,"o")</f>
        <v>#REF!</v>
      </c>
      <c r="AA43" s="111" t="e">
        <f>SUMIFS('Portefeuille SP2'!$U:$U,'Portefeuille SP2'!#REF!,1,'Portefeuille SP2'!$Q:$Q,"DECIDED",'Portefeuille SP2'!#REF!,"G",'Portefeuille SP2'!$D:$D,$A43,'Portefeuille SP2'!#REF!,"o",'Portefeuille SP2'!#REF!,"=")</f>
        <v>#REF!</v>
      </c>
      <c r="AB43" s="126" t="e">
        <f>SUMIFS('Portefeuille SP2'!#REF!,'Portefeuille SP2'!#REF!,1,'Portefeuille SP2'!$Q:$Q,"DECIDED",'Portefeuille SP2'!#REF!,"G",'Portefeuille SP2'!$D:$D,$A43,'Portefeuille SP2'!#REF!,"o",'Portefeuille SP2'!#REF!,"=")</f>
        <v>#REF!</v>
      </c>
      <c r="AC43" s="117" t="e">
        <f>SUMIFS('Portefeuille SP2'!#REF!,'Portefeuille SP2'!#REF!,1,'Portefeuille SP2'!$Q:$Q,"DECIDED",'Portefeuille SP2'!#REF!,"G",'Portefeuille SP2'!$D:$D,$A43,'Portefeuille SP2'!#REF!,"o",'Portefeuille SP2'!#REF!,"=")</f>
        <v>#REF!</v>
      </c>
      <c r="AD43" s="111" t="e">
        <f>SUMIFS('Portefeuille SP2'!$U:$U,'Portefeuille SP2'!#REF!,1,'Portefeuille SP2'!$Q:$Q,"DECIDED",'Portefeuille SP2'!#REF!,"R",'Portefeuille SP2'!$D:$D,$A43,'Portefeuille SP2'!#REF!,"o",'Portefeuille SP2'!#REF!,"=")</f>
        <v>#REF!</v>
      </c>
      <c r="AE43" s="126" t="e">
        <f>SUMIFS('Portefeuille SP2'!#REF!,'Portefeuille SP2'!#REF!,1,'Portefeuille SP2'!$Q:$Q,"DECIDED",'Portefeuille SP2'!#REF!,"R",'Portefeuille SP2'!$D:$D,$A43,'Portefeuille SP2'!#REF!,"o",'Portefeuille SP2'!#REF!,"=")</f>
        <v>#REF!</v>
      </c>
      <c r="AF43" s="117" t="e">
        <f>SUMIFS('Portefeuille SP2'!#REF!,'Portefeuille SP2'!#REF!,1,'Portefeuille SP2'!$Q:$Q,"DECIDED",'Portefeuille SP2'!#REF!,"R",'Portefeuille SP2'!$D:$D,$A43,'Portefeuille SP2'!#REF!,"o",'Portefeuille SP2'!#REF!,"=")</f>
        <v>#REF!</v>
      </c>
      <c r="AG43" s="111" t="e">
        <f>SUMIFS('Portefeuille SP2'!$U:$U,'Portefeuille SP2'!#REF!,1,'Portefeuille SP2'!$Q:$Q,"DECIDED",'Portefeuille SP2'!#REF!,"G",'Portefeuille SP2'!$D:$D,$A43,'Portefeuille SP2'!#REF!,"o",'Portefeuille SP2'!#REF!,"&lt;&gt;")</f>
        <v>#REF!</v>
      </c>
      <c r="AH43" s="126" t="e">
        <f>SUMIFS('Portefeuille SP2'!#REF!,'Portefeuille SP2'!#REF!,1,'Portefeuille SP2'!$Q:$Q,"DECIDED",'Portefeuille SP2'!#REF!,"G",'Portefeuille SP2'!$D:$D,$A43,'Portefeuille SP2'!#REF!,"o",'Portefeuille SP2'!#REF!,"&lt;&gt;")</f>
        <v>#REF!</v>
      </c>
      <c r="AI43" s="117" t="e">
        <f>SUMIFS('Portefeuille SP2'!#REF!,'Portefeuille SP2'!#REF!,1,'Portefeuille SP2'!$Q:$Q,"DECIDED",'Portefeuille SP2'!#REF!,"G",'Portefeuille SP2'!$D:$D,$A43,'Portefeuille SP2'!#REF!,"o",'Portefeuille SP2'!#REF!,"&lt;&gt;")</f>
        <v>#REF!</v>
      </c>
      <c r="AJ43" s="111" t="e">
        <f>SUMIFS('Portefeuille SP2'!$U:$U,'Portefeuille SP2'!#REF!,1,'Portefeuille SP2'!$Q:$Q,"DECIDED",'Portefeuille SP2'!#REF!,"R",'Portefeuille SP2'!$D:$D,$A43,'Portefeuille SP2'!#REF!,"o",'Portefeuille SP2'!#REF!,"&lt;&gt;")</f>
        <v>#REF!</v>
      </c>
      <c r="AK43" s="126" t="e">
        <f>SUMIFS('Portefeuille SP2'!#REF!,'Portefeuille SP2'!#REF!,1,'Portefeuille SP2'!$Q:$Q,"DECIDED",'Portefeuille SP2'!#REF!,"R",'Portefeuille SP2'!$D:$D,$A43,'Portefeuille SP2'!#REF!,"o",'Portefeuille SP2'!#REF!,"&lt;&gt;")</f>
        <v>#REF!</v>
      </c>
      <c r="AL43" s="117" t="e">
        <f>SUMIFS('Portefeuille SP2'!#REF!,'Portefeuille SP2'!#REF!,1,'Portefeuille SP2'!$Q:$Q,"DECIDED",'Portefeuille SP2'!#REF!,"R",'Portefeuille SP2'!$D:$D,$A43,'Portefeuille SP2'!#REF!,"o",'Portefeuille SP2'!#REF!,"&lt;&gt;")</f>
        <v>#REF!</v>
      </c>
      <c r="AM43" s="117"/>
      <c r="AR43" s="112"/>
      <c r="AS43" s="117"/>
      <c r="AT43" s="117"/>
      <c r="AU43" s="112"/>
      <c r="AV43" s="130"/>
      <c r="AW43" s="130"/>
      <c r="BD43" s="112"/>
      <c r="BH43" s="113"/>
      <c r="BI43" s="128"/>
      <c r="BJ43" s="128"/>
      <c r="BK43" s="112"/>
      <c r="BL43" s="117"/>
      <c r="BM43" s="117"/>
      <c r="BN43" s="112"/>
      <c r="BO43" s="130"/>
      <c r="BP43" s="130"/>
      <c r="BQ43" s="113"/>
      <c r="BR43" s="128"/>
      <c r="BS43" s="128"/>
      <c r="BT43" s="113"/>
      <c r="BU43" s="128"/>
      <c r="BV43" s="128"/>
      <c r="BW43" s="112"/>
      <c r="BX43" s="130"/>
      <c r="BY43" s="130"/>
    </row>
    <row r="44" spans="1:77" outlineLevel="1">
      <c r="A44" t="s">
        <v>150</v>
      </c>
      <c r="B44" s="139" t="e">
        <f>SUMIFS('Portefeuille SP2'!$U:$U,'Portefeuille SP2'!#REF!,1,'Portefeuille SP2'!$Q:$Q,"IN PROGRESS",'Portefeuille SP2'!#REF!,"G",'Portefeuille SP2'!$D:$D,$A44,'Portefeuille SP2'!#REF!,"S")</f>
        <v>#REF!</v>
      </c>
      <c r="C44" s="126" t="e">
        <f>SUMIFS('Portefeuille SP2'!#REF!,'Portefeuille SP2'!#REF!,1,'Portefeuille SP2'!$Q:$Q,"IN PROGRESS",'Portefeuille SP2'!#REF!,"G",'Portefeuille SP2'!$D:$D,$A44,'Portefeuille SP2'!#REF!,"S")</f>
        <v>#REF!</v>
      </c>
      <c r="D44" s="122" t="e">
        <f>SUMIFS('Portefeuille SP2'!#REF!,'Portefeuille SP2'!#REF!,1,'Portefeuille SP2'!$Q:$Q,"IN PROGRESS",'Portefeuille SP2'!#REF!,"G",'Portefeuille SP2'!$D:$D,$A44,'Portefeuille SP2'!#REF!,"S")</f>
        <v>#REF!</v>
      </c>
      <c r="E44" s="111" t="e">
        <f>SUMIFS('Portefeuille SP2'!$U:$U,'Portefeuille SP2'!#REF!,1,'Portefeuille SP2'!$Q:$Q,"IN PROGRESS",'Portefeuille SP2'!#REF!,"R",'Portefeuille SP2'!$D:$D,$A44,'Portefeuille SP2'!#REF!,"S")</f>
        <v>#REF!</v>
      </c>
      <c r="F44" s="126" t="e">
        <f>SUMIFS('Portefeuille SP2'!#REF!,'Portefeuille SP2'!#REF!,1,'Portefeuille SP2'!$Q:$Q,"IN PROGRESS",'Portefeuille SP2'!#REF!,"R",'Portefeuille SP2'!$D:$D,$A44,'Portefeuille SP2'!#REF!,"S")</f>
        <v>#REF!</v>
      </c>
      <c r="G44" s="117" t="e">
        <f>SUMIFS('Portefeuille SP2'!#REF!,'Portefeuille SP2'!#REF!,1,'Portefeuille SP2'!$Q:$Q,"IN PROGRESS",'Portefeuille SP2'!#REF!,"R",'Portefeuille SP2'!$D:$D,$A44,'Portefeuille SP2'!#REF!,"S")</f>
        <v>#REF!</v>
      </c>
      <c r="H44" s="111" t="e">
        <f>SUMIFS('Portefeuille SP2'!$U:$U,'Portefeuille SP2'!#REF!,1,'Portefeuille SP2'!$Q:$Q,"DECIDED",'Portefeuille SP2'!#REF!,"G",'Portefeuille SP2'!$D:$D,$A44,'Portefeuille SP2'!#REF!,"S",'Portefeuille SP2'!#REF!,"=")</f>
        <v>#REF!</v>
      </c>
      <c r="I44" s="117" t="e">
        <f>SUMIFS('Portefeuille SP2'!#REF!,'Portefeuille SP2'!#REF!,1,'Portefeuille SP2'!$Q:$Q,"DECIDED",'Portefeuille SP2'!#REF!,"G",'Portefeuille SP2'!$D:$D,$A44,'Portefeuille SP2'!#REF!,"S",'Portefeuille SP2'!#REF!,"=")</f>
        <v>#REF!</v>
      </c>
      <c r="J44" s="117" t="e">
        <f>SUMIFS('Portefeuille SP2'!#REF!,'Portefeuille SP2'!#REF!,1,'Portefeuille SP2'!$Q:$Q,"DECIDED",'Portefeuille SP2'!#REF!,"G",'Portefeuille SP2'!$D:$D,$A44,'Portefeuille SP2'!#REF!,"S",'Portefeuille SP2'!#REF!,"=")</f>
        <v>#REF!</v>
      </c>
      <c r="K44" s="111" t="e">
        <f>SUMIFS('Portefeuille SP2'!$U:$U,'Portefeuille SP2'!#REF!,1,'Portefeuille SP2'!$Q:$Q,"DECIDED",'Portefeuille SP2'!#REF!,"R",'Portefeuille SP2'!$D:$D,$A44,'Portefeuille SP2'!#REF!,"S",'Portefeuille SP2'!#REF!,"=")</f>
        <v>#REF!</v>
      </c>
      <c r="L44" s="126" t="e">
        <f>SUMIFS('Portefeuille SP2'!#REF!,'Portefeuille SP2'!#REF!,1,'Portefeuille SP2'!$Q:$Q,"DECIDED",'Portefeuille SP2'!#REF!,"R",'Portefeuille SP2'!$D:$D,$A44,'Portefeuille SP2'!#REF!,"S",'Portefeuille SP2'!#REF!,"=")</f>
        <v>#REF!</v>
      </c>
      <c r="M44" s="117" t="e">
        <f>SUMIFS('Portefeuille SP2'!#REF!,'Portefeuille SP2'!#REF!,1,'Portefeuille SP2'!$Q:$Q,"DECIDED",'Portefeuille SP2'!#REF!,"R",'Portefeuille SP2'!$D:$D,$A44,'Portefeuille SP2'!#REF!,"S",'Portefeuille SP2'!#REF!,"=")</f>
        <v>#REF!</v>
      </c>
      <c r="N44" s="111" t="e">
        <f>SUMIFS('Portefeuille SP2'!$U:$U,'Portefeuille SP2'!#REF!,1,'Portefeuille SP2'!$Q:$Q,"DECIDED",'Portefeuille SP2'!#REF!,"G",'Portefeuille SP2'!$D:$D,$A44,'Portefeuille SP2'!#REF!,"S",'Portefeuille SP2'!#REF!,"&lt;&gt;")</f>
        <v>#REF!</v>
      </c>
      <c r="O44" s="126" t="e">
        <f>SUMIFS('Portefeuille SP2'!#REF!,'Portefeuille SP2'!#REF!,1,'Portefeuille SP2'!$Q:$Q,"DECIDED",'Portefeuille SP2'!#REF!,"G",'Portefeuille SP2'!$D:$D,$A44,'Portefeuille SP2'!#REF!,"S",'Portefeuille SP2'!#REF!,"&lt;&gt;")</f>
        <v>#REF!</v>
      </c>
      <c r="P44" s="117" t="e">
        <f>SUMIFS('Portefeuille SP2'!#REF!,'Portefeuille SP2'!#REF!,1,'Portefeuille SP2'!$Q:$Q,"DECIDED",'Portefeuille SP2'!#REF!,"G",'Portefeuille SP2'!$D:$D,$A44,'Portefeuille SP2'!#REF!,"S",'Portefeuille SP2'!#REF!,"&lt;&gt;")</f>
        <v>#REF!</v>
      </c>
      <c r="Q44" s="111" t="e">
        <f>SUMIFS('Portefeuille SP2'!$U:$U,'Portefeuille SP2'!#REF!,1,'Portefeuille SP2'!$Q:$Q,"DECIDED",'Portefeuille SP2'!#REF!,"R",'Portefeuille SP2'!$D:$D,$A44,'Portefeuille SP2'!#REF!,"S",'Portefeuille SP2'!#REF!,"&lt;&gt;")</f>
        <v>#REF!</v>
      </c>
      <c r="R44" s="126" t="e">
        <f>SUMIFS('Portefeuille SP2'!#REF!,'Portefeuille SP2'!#REF!,1,'Portefeuille SP2'!$Q:$Q,"DECIDED",'Portefeuille SP2'!#REF!,"R",'Portefeuille SP2'!$D:$D,$A44,'Portefeuille SP2'!#REF!,"S",'Portefeuille SP2'!#REF!,"&lt;&gt;")</f>
        <v>#REF!</v>
      </c>
      <c r="S44" s="122" t="e">
        <f>SUMIFS('Portefeuille SP2'!#REF!,'Portefeuille SP2'!#REF!,1,'Portefeuille SP2'!$Q:$Q,"DECIDED",'Portefeuille SP2'!#REF!,"R",'Portefeuille SP2'!$D:$D,$A44,'Portefeuille SP2'!#REF!,"S",'Portefeuille SP2'!#REF!,"&lt;&gt;")</f>
        <v>#REF!</v>
      </c>
      <c r="U44" s="111" t="e">
        <f>SUMIFS('Portefeuille SP2'!$U:$U,'Portefeuille SP2'!#REF!,1,'Portefeuille SP2'!$Q:$Q,"IN PROGRESS",'Portefeuille SP2'!#REF!,"G",'Portefeuille SP2'!$D:$D,$A44,'Portefeuille SP2'!#REF!,"O")</f>
        <v>#REF!</v>
      </c>
      <c r="V44" s="126" t="e">
        <f>SUMIFS('Portefeuille SP2'!#REF!,'Portefeuille SP2'!#REF!,1,'Portefeuille SP2'!$Q:$Q,"IN PROGRESS",'Portefeuille SP2'!#REF!,"G",'Portefeuille SP2'!$D:$D,$A44,'Portefeuille SP2'!#REF!,"o")</f>
        <v>#REF!</v>
      </c>
      <c r="W44" s="117" t="e">
        <f>SUMIFS('Portefeuille SP2'!#REF!,'Portefeuille SP2'!#REF!,1,'Portefeuille SP2'!$Q:$Q,"IN PROGRESS",'Portefeuille SP2'!#REF!,"G",'Portefeuille SP2'!$D:$D,$A44,'Portefeuille SP2'!#REF!,"o")</f>
        <v>#REF!</v>
      </c>
      <c r="X44" s="111" t="e">
        <f>SUMIFS('Portefeuille SP2'!$U:$U,'Portefeuille SP2'!#REF!,1,'Portefeuille SP2'!$Q:$Q,"IN PROGRESS",'Portefeuille SP2'!#REF!,"R",'Portefeuille SP2'!$D:$D,$A44,'Portefeuille SP2'!#REF!,"o")</f>
        <v>#REF!</v>
      </c>
      <c r="Y44" s="126" t="e">
        <f>SUMIFS('Portefeuille SP2'!#REF!,'Portefeuille SP2'!#REF!,1,'Portefeuille SP2'!$Q:$Q,"IN PROGRESS",'Portefeuille SP2'!#REF!,"R",'Portefeuille SP2'!$D:$D,$A44,'Portefeuille SP2'!#REF!,"o")</f>
        <v>#REF!</v>
      </c>
      <c r="Z44" s="117" t="e">
        <f>SUMIFS('Portefeuille SP2'!#REF!,'Portefeuille SP2'!#REF!,1,'Portefeuille SP2'!$Q:$Q,"IN PROGRESS",'Portefeuille SP2'!#REF!,"R",'Portefeuille SP2'!$D:$D,$A44,'Portefeuille SP2'!#REF!,"o")</f>
        <v>#REF!</v>
      </c>
      <c r="AA44" s="111" t="e">
        <f>SUMIFS('Portefeuille SP2'!$U:$U,'Portefeuille SP2'!#REF!,1,'Portefeuille SP2'!$Q:$Q,"DECIDED",'Portefeuille SP2'!#REF!,"G",'Portefeuille SP2'!$D:$D,$A44,'Portefeuille SP2'!#REF!,"o",'Portefeuille SP2'!#REF!,"=")</f>
        <v>#REF!</v>
      </c>
      <c r="AB44" s="126" t="e">
        <f>SUMIFS('Portefeuille SP2'!#REF!,'Portefeuille SP2'!#REF!,1,'Portefeuille SP2'!$Q:$Q,"DECIDED",'Portefeuille SP2'!#REF!,"G",'Portefeuille SP2'!$D:$D,$A44,'Portefeuille SP2'!#REF!,"o",'Portefeuille SP2'!#REF!,"=")</f>
        <v>#REF!</v>
      </c>
      <c r="AC44" s="117" t="e">
        <f>SUMIFS('Portefeuille SP2'!#REF!,'Portefeuille SP2'!#REF!,1,'Portefeuille SP2'!$Q:$Q,"DECIDED",'Portefeuille SP2'!#REF!,"G",'Portefeuille SP2'!$D:$D,$A44,'Portefeuille SP2'!#REF!,"o",'Portefeuille SP2'!#REF!,"=")</f>
        <v>#REF!</v>
      </c>
      <c r="AD44" s="111" t="e">
        <f>SUMIFS('Portefeuille SP2'!$U:$U,'Portefeuille SP2'!#REF!,1,'Portefeuille SP2'!$Q:$Q,"DECIDED",'Portefeuille SP2'!#REF!,"R",'Portefeuille SP2'!$D:$D,$A44,'Portefeuille SP2'!#REF!,"o",'Portefeuille SP2'!#REF!,"=")</f>
        <v>#REF!</v>
      </c>
      <c r="AE44" s="126" t="e">
        <f>SUMIFS('Portefeuille SP2'!#REF!,'Portefeuille SP2'!#REF!,1,'Portefeuille SP2'!$Q:$Q,"DECIDED",'Portefeuille SP2'!#REF!,"R",'Portefeuille SP2'!$D:$D,$A44,'Portefeuille SP2'!#REF!,"o",'Portefeuille SP2'!#REF!,"=")</f>
        <v>#REF!</v>
      </c>
      <c r="AF44" s="117" t="e">
        <f>SUMIFS('Portefeuille SP2'!#REF!,'Portefeuille SP2'!#REF!,1,'Portefeuille SP2'!$Q:$Q,"DECIDED",'Portefeuille SP2'!#REF!,"R",'Portefeuille SP2'!$D:$D,$A44,'Portefeuille SP2'!#REF!,"o",'Portefeuille SP2'!#REF!,"=")</f>
        <v>#REF!</v>
      </c>
      <c r="AG44" s="111" t="e">
        <f>SUMIFS('Portefeuille SP2'!$U:$U,'Portefeuille SP2'!#REF!,1,'Portefeuille SP2'!$Q:$Q,"DECIDED",'Portefeuille SP2'!#REF!,"G",'Portefeuille SP2'!$D:$D,$A44,'Portefeuille SP2'!#REF!,"o",'Portefeuille SP2'!#REF!,"&lt;&gt;")</f>
        <v>#REF!</v>
      </c>
      <c r="AH44" s="126" t="e">
        <f>SUMIFS('Portefeuille SP2'!#REF!,'Portefeuille SP2'!#REF!,1,'Portefeuille SP2'!$Q:$Q,"DECIDED",'Portefeuille SP2'!#REF!,"G",'Portefeuille SP2'!$D:$D,$A44,'Portefeuille SP2'!#REF!,"o",'Portefeuille SP2'!#REF!,"&lt;&gt;")</f>
        <v>#REF!</v>
      </c>
      <c r="AI44" s="117" t="e">
        <f>SUMIFS('Portefeuille SP2'!#REF!,'Portefeuille SP2'!#REF!,1,'Portefeuille SP2'!$Q:$Q,"DECIDED",'Portefeuille SP2'!#REF!,"G",'Portefeuille SP2'!$D:$D,$A44,'Portefeuille SP2'!#REF!,"o",'Portefeuille SP2'!#REF!,"&lt;&gt;")</f>
        <v>#REF!</v>
      </c>
      <c r="AJ44" s="111" t="e">
        <f>SUMIFS('Portefeuille SP2'!$U:$U,'Portefeuille SP2'!#REF!,1,'Portefeuille SP2'!$Q:$Q,"DECIDED",'Portefeuille SP2'!#REF!,"R",'Portefeuille SP2'!$D:$D,$A44,'Portefeuille SP2'!#REF!,"o",'Portefeuille SP2'!#REF!,"&lt;&gt;")</f>
        <v>#REF!</v>
      </c>
      <c r="AK44" s="126" t="e">
        <f>SUMIFS('Portefeuille SP2'!#REF!,'Portefeuille SP2'!#REF!,1,'Portefeuille SP2'!$Q:$Q,"DECIDED",'Portefeuille SP2'!#REF!,"R",'Portefeuille SP2'!$D:$D,$A44,'Portefeuille SP2'!#REF!,"o",'Portefeuille SP2'!#REF!,"&lt;&gt;")</f>
        <v>#REF!</v>
      </c>
      <c r="AL44" s="117" t="e">
        <f>SUMIFS('Portefeuille SP2'!#REF!,'Portefeuille SP2'!#REF!,1,'Portefeuille SP2'!$Q:$Q,"DECIDED",'Portefeuille SP2'!#REF!,"R",'Portefeuille SP2'!$D:$D,$A44,'Portefeuille SP2'!#REF!,"o",'Portefeuille SP2'!#REF!,"&lt;&gt;")</f>
        <v>#REF!</v>
      </c>
      <c r="AM44" s="117"/>
      <c r="AO44" s="114" t="e">
        <f>SUM(AO34:AO43)</f>
        <v>#REF!</v>
      </c>
      <c r="AP44" s="117" t="e">
        <f t="shared" ref="AP44:AQ44" si="267">SUM(AP34:AP43)</f>
        <v>#REF!</v>
      </c>
      <c r="AQ44" s="117" t="e">
        <f t="shared" si="267"/>
        <v>#REF!</v>
      </c>
      <c r="AR44" s="114" t="e">
        <f>SUM(AR34:AR43)</f>
        <v>#REF!</v>
      </c>
      <c r="AS44" s="117" t="e">
        <f t="shared" ref="AS44:BF44" si="268">SUM(AS34:AS43)</f>
        <v>#REF!</v>
      </c>
      <c r="AT44" s="117" t="e">
        <f t="shared" si="268"/>
        <v>#REF!</v>
      </c>
      <c r="AU44" s="114" t="e">
        <f t="shared" si="268"/>
        <v>#REF!</v>
      </c>
      <c r="AV44" s="117" t="e">
        <f t="shared" si="268"/>
        <v>#REF!</v>
      </c>
      <c r="AW44" s="117" t="e">
        <f t="shared" si="268"/>
        <v>#REF!</v>
      </c>
      <c r="AX44" s="114" t="e">
        <f t="shared" si="268"/>
        <v>#REF!</v>
      </c>
      <c r="AY44" s="117" t="e">
        <f t="shared" si="268"/>
        <v>#REF!</v>
      </c>
      <c r="AZ44" s="117" t="e">
        <f t="shared" si="268"/>
        <v>#REF!</v>
      </c>
      <c r="BA44" s="114" t="e">
        <f t="shared" si="268"/>
        <v>#REF!</v>
      </c>
      <c r="BB44" s="117" t="e">
        <f t="shared" si="268"/>
        <v>#REF!</v>
      </c>
      <c r="BC44" s="117" t="e">
        <f t="shared" si="268"/>
        <v>#REF!</v>
      </c>
      <c r="BD44" s="114" t="e">
        <f t="shared" si="268"/>
        <v>#REF!</v>
      </c>
      <c r="BE44" s="117" t="e">
        <f t="shared" si="268"/>
        <v>#REF!</v>
      </c>
      <c r="BF44" s="117" t="e">
        <f t="shared" si="268"/>
        <v>#REF!</v>
      </c>
      <c r="BH44" s="114" t="e">
        <f>SUM(BH34:BH43)</f>
        <v>#REF!</v>
      </c>
      <c r="BI44" s="117" t="e">
        <f t="shared" ref="BI44:BJ44" si="269">SUM(BI34:BI43)</f>
        <v>#REF!</v>
      </c>
      <c r="BJ44" s="117" t="e">
        <f t="shared" si="269"/>
        <v>#REF!</v>
      </c>
      <c r="BK44" s="114" t="e">
        <f>SUM(BK34:BK43)</f>
        <v>#REF!</v>
      </c>
      <c r="BL44" s="117" t="e">
        <f t="shared" ref="BL44:BY44" si="270">SUM(BL34:BL43)</f>
        <v>#REF!</v>
      </c>
      <c r="BM44" s="117" t="e">
        <f t="shared" si="270"/>
        <v>#REF!</v>
      </c>
      <c r="BN44" s="114" t="e">
        <f t="shared" si="270"/>
        <v>#REF!</v>
      </c>
      <c r="BO44" s="117" t="e">
        <f t="shared" si="270"/>
        <v>#REF!</v>
      </c>
      <c r="BP44" s="117" t="e">
        <f t="shared" si="270"/>
        <v>#REF!</v>
      </c>
      <c r="BQ44" s="114" t="e">
        <f t="shared" si="270"/>
        <v>#REF!</v>
      </c>
      <c r="BR44" s="117" t="e">
        <f t="shared" si="270"/>
        <v>#REF!</v>
      </c>
      <c r="BS44" s="117" t="e">
        <f t="shared" si="270"/>
        <v>#REF!</v>
      </c>
      <c r="BT44" s="114" t="e">
        <f t="shared" si="270"/>
        <v>#REF!</v>
      </c>
      <c r="BU44" s="117" t="e">
        <f t="shared" si="270"/>
        <v>#REF!</v>
      </c>
      <c r="BV44" s="117" t="e">
        <f t="shared" si="270"/>
        <v>#REF!</v>
      </c>
      <c r="BW44" s="114" t="e">
        <f t="shared" si="270"/>
        <v>#REF!</v>
      </c>
      <c r="BX44" s="117" t="e">
        <f t="shared" si="270"/>
        <v>#REF!</v>
      </c>
      <c r="BY44" s="117" t="e">
        <f t="shared" si="270"/>
        <v>#REF!</v>
      </c>
    </row>
    <row r="45" spans="1:77" outlineLevel="1">
      <c r="A45" t="s">
        <v>1320</v>
      </c>
      <c r="B45" s="139" t="e">
        <f>SUMIFS('Portefeuille SP2'!$U:$U,'Portefeuille SP2'!#REF!,1,'Portefeuille SP2'!$Q:$Q,"IN PROGRESS",'Portefeuille SP2'!#REF!,"G",'Portefeuille SP2'!$D:$D,$A45,'Portefeuille SP2'!#REF!,"S")</f>
        <v>#REF!</v>
      </c>
      <c r="C45" s="126" t="e">
        <f>SUMIFS('Portefeuille SP2'!#REF!,'Portefeuille SP2'!#REF!,1,'Portefeuille SP2'!$Q:$Q,"IN PROGRESS",'Portefeuille SP2'!#REF!,"G",'Portefeuille SP2'!$D:$D,$A45,'Portefeuille SP2'!#REF!,"S")</f>
        <v>#REF!</v>
      </c>
      <c r="D45" s="122" t="e">
        <f>SUMIFS('Portefeuille SP2'!#REF!,'Portefeuille SP2'!#REF!,1,'Portefeuille SP2'!$Q:$Q,"IN PROGRESS",'Portefeuille SP2'!#REF!,"G",'Portefeuille SP2'!$D:$D,$A45,'Portefeuille SP2'!#REF!,"S")</f>
        <v>#REF!</v>
      </c>
      <c r="E45" s="111" t="e">
        <f>SUMIFS('Portefeuille SP2'!$U:$U,'Portefeuille SP2'!#REF!,1,'Portefeuille SP2'!$Q:$Q,"IN PROGRESS",'Portefeuille SP2'!#REF!,"R",'Portefeuille SP2'!$D:$D,$A45,'Portefeuille SP2'!#REF!,"S")</f>
        <v>#REF!</v>
      </c>
      <c r="F45" s="126" t="e">
        <f>SUMIFS('Portefeuille SP2'!#REF!,'Portefeuille SP2'!#REF!,1,'Portefeuille SP2'!$Q:$Q,"IN PROGRESS",'Portefeuille SP2'!#REF!,"R",'Portefeuille SP2'!$D:$D,$A45,'Portefeuille SP2'!#REF!,"S")</f>
        <v>#REF!</v>
      </c>
      <c r="G45" s="117" t="e">
        <f>SUMIFS('Portefeuille SP2'!#REF!,'Portefeuille SP2'!#REF!,1,'Portefeuille SP2'!$Q:$Q,"IN PROGRESS",'Portefeuille SP2'!#REF!,"R",'Portefeuille SP2'!$D:$D,$A45,'Portefeuille SP2'!#REF!,"S")</f>
        <v>#REF!</v>
      </c>
      <c r="H45" s="111" t="e">
        <f>SUMIFS('Portefeuille SP2'!$U:$U,'Portefeuille SP2'!#REF!,1,'Portefeuille SP2'!$Q:$Q,"DECIDED",'Portefeuille SP2'!#REF!,"G",'Portefeuille SP2'!$D:$D,$A45,'Portefeuille SP2'!#REF!,"S",'Portefeuille SP2'!#REF!,"=")</f>
        <v>#REF!</v>
      </c>
      <c r="I45" s="117" t="e">
        <f>SUMIFS('Portefeuille SP2'!#REF!,'Portefeuille SP2'!#REF!,1,'Portefeuille SP2'!$Q:$Q,"DECIDED",'Portefeuille SP2'!#REF!,"G",'Portefeuille SP2'!$D:$D,$A45,'Portefeuille SP2'!#REF!,"S",'Portefeuille SP2'!#REF!,"=")</f>
        <v>#REF!</v>
      </c>
      <c r="J45" s="117" t="e">
        <f>SUMIFS('Portefeuille SP2'!#REF!,'Portefeuille SP2'!#REF!,1,'Portefeuille SP2'!$Q:$Q,"DECIDED",'Portefeuille SP2'!#REF!,"G",'Portefeuille SP2'!$D:$D,$A45,'Portefeuille SP2'!#REF!,"S",'Portefeuille SP2'!#REF!,"=")</f>
        <v>#REF!</v>
      </c>
      <c r="K45" s="111" t="e">
        <f>SUMIFS('Portefeuille SP2'!$U:$U,'Portefeuille SP2'!#REF!,1,'Portefeuille SP2'!$Q:$Q,"DECIDED",'Portefeuille SP2'!#REF!,"R",'Portefeuille SP2'!$D:$D,$A45,'Portefeuille SP2'!#REF!,"S",'Portefeuille SP2'!#REF!,"=")</f>
        <v>#REF!</v>
      </c>
      <c r="L45" s="126" t="e">
        <f>SUMIFS('Portefeuille SP2'!#REF!,'Portefeuille SP2'!#REF!,1,'Portefeuille SP2'!$Q:$Q,"DECIDED",'Portefeuille SP2'!#REF!,"R",'Portefeuille SP2'!$D:$D,$A45,'Portefeuille SP2'!#REF!,"S",'Portefeuille SP2'!#REF!,"=")</f>
        <v>#REF!</v>
      </c>
      <c r="M45" s="117" t="e">
        <f>SUMIFS('Portefeuille SP2'!#REF!,'Portefeuille SP2'!#REF!,1,'Portefeuille SP2'!$Q:$Q,"DECIDED",'Portefeuille SP2'!#REF!,"R",'Portefeuille SP2'!$D:$D,$A45,'Portefeuille SP2'!#REF!,"S",'Portefeuille SP2'!#REF!,"=")</f>
        <v>#REF!</v>
      </c>
      <c r="N45" s="111" t="e">
        <f>SUMIFS('Portefeuille SP2'!$U:$U,'Portefeuille SP2'!#REF!,1,'Portefeuille SP2'!$Q:$Q,"DECIDED",'Portefeuille SP2'!#REF!,"G",'Portefeuille SP2'!$D:$D,$A45,'Portefeuille SP2'!#REF!,"S",'Portefeuille SP2'!#REF!,"&lt;&gt;")</f>
        <v>#REF!</v>
      </c>
      <c r="O45" s="126" t="e">
        <f>SUMIFS('Portefeuille SP2'!#REF!,'Portefeuille SP2'!#REF!,1,'Portefeuille SP2'!$Q:$Q,"DECIDED",'Portefeuille SP2'!#REF!,"G",'Portefeuille SP2'!$D:$D,$A45,'Portefeuille SP2'!#REF!,"S",'Portefeuille SP2'!#REF!,"&lt;&gt;")</f>
        <v>#REF!</v>
      </c>
      <c r="P45" s="117" t="e">
        <f>SUMIFS('Portefeuille SP2'!#REF!,'Portefeuille SP2'!#REF!,1,'Portefeuille SP2'!$Q:$Q,"DECIDED",'Portefeuille SP2'!#REF!,"G",'Portefeuille SP2'!$D:$D,$A45,'Portefeuille SP2'!#REF!,"S",'Portefeuille SP2'!#REF!,"&lt;&gt;")</f>
        <v>#REF!</v>
      </c>
      <c r="Q45" s="111" t="e">
        <f>SUMIFS('Portefeuille SP2'!$U:$U,'Portefeuille SP2'!#REF!,1,'Portefeuille SP2'!$Q:$Q,"DECIDED",'Portefeuille SP2'!#REF!,"R",'Portefeuille SP2'!$D:$D,$A45,'Portefeuille SP2'!#REF!,"S",'Portefeuille SP2'!#REF!,"&lt;&gt;")</f>
        <v>#REF!</v>
      </c>
      <c r="R45" s="126" t="e">
        <f>SUMIFS('Portefeuille SP2'!#REF!,'Portefeuille SP2'!#REF!,1,'Portefeuille SP2'!$Q:$Q,"DECIDED",'Portefeuille SP2'!#REF!,"R",'Portefeuille SP2'!$D:$D,$A45,'Portefeuille SP2'!#REF!,"S",'Portefeuille SP2'!#REF!,"&lt;&gt;")</f>
        <v>#REF!</v>
      </c>
      <c r="S45" s="122" t="e">
        <f>SUMIFS('Portefeuille SP2'!#REF!,'Portefeuille SP2'!#REF!,1,'Portefeuille SP2'!$Q:$Q,"DECIDED",'Portefeuille SP2'!#REF!,"R",'Portefeuille SP2'!$D:$D,$A45,'Portefeuille SP2'!#REF!,"S",'Portefeuille SP2'!#REF!,"&lt;&gt;")</f>
        <v>#REF!</v>
      </c>
      <c r="U45" s="111" t="e">
        <f>SUMIFS('Portefeuille SP2'!$U:$U,'Portefeuille SP2'!#REF!,1,'Portefeuille SP2'!$Q:$Q,"IN PROGRESS",'Portefeuille SP2'!#REF!,"G",'Portefeuille SP2'!$D:$D,$A45,'Portefeuille SP2'!#REF!,"O")</f>
        <v>#REF!</v>
      </c>
      <c r="V45" s="126" t="e">
        <f>SUMIFS('Portefeuille SP2'!#REF!,'Portefeuille SP2'!#REF!,1,'Portefeuille SP2'!$Q:$Q,"IN PROGRESS",'Portefeuille SP2'!#REF!,"G",'Portefeuille SP2'!$D:$D,$A45,'Portefeuille SP2'!#REF!,"o")</f>
        <v>#REF!</v>
      </c>
      <c r="W45" s="117" t="e">
        <f>SUMIFS('Portefeuille SP2'!#REF!,'Portefeuille SP2'!#REF!,1,'Portefeuille SP2'!$Q:$Q,"IN PROGRESS",'Portefeuille SP2'!#REF!,"G",'Portefeuille SP2'!$D:$D,$A45,'Portefeuille SP2'!#REF!,"o")</f>
        <v>#REF!</v>
      </c>
      <c r="X45" s="111" t="e">
        <f>SUMIFS('Portefeuille SP2'!$U:$U,'Portefeuille SP2'!#REF!,1,'Portefeuille SP2'!$Q:$Q,"IN PROGRESS",'Portefeuille SP2'!#REF!,"R",'Portefeuille SP2'!$D:$D,$A45,'Portefeuille SP2'!#REF!,"o")</f>
        <v>#REF!</v>
      </c>
      <c r="Y45" s="126" t="e">
        <f>SUMIFS('Portefeuille SP2'!#REF!,'Portefeuille SP2'!#REF!,1,'Portefeuille SP2'!$Q:$Q,"IN PROGRESS",'Portefeuille SP2'!#REF!,"R",'Portefeuille SP2'!$D:$D,$A45,'Portefeuille SP2'!#REF!,"o")</f>
        <v>#REF!</v>
      </c>
      <c r="Z45" s="117" t="e">
        <f>SUMIFS('Portefeuille SP2'!#REF!,'Portefeuille SP2'!#REF!,1,'Portefeuille SP2'!$Q:$Q,"IN PROGRESS",'Portefeuille SP2'!#REF!,"R",'Portefeuille SP2'!$D:$D,$A45,'Portefeuille SP2'!#REF!,"o")</f>
        <v>#REF!</v>
      </c>
      <c r="AA45" s="111" t="e">
        <f>SUMIFS('Portefeuille SP2'!$U:$U,'Portefeuille SP2'!#REF!,1,'Portefeuille SP2'!$Q:$Q,"DECIDED",'Portefeuille SP2'!#REF!,"G",'Portefeuille SP2'!$D:$D,$A45,'Portefeuille SP2'!#REF!,"o",'Portefeuille SP2'!#REF!,"=")</f>
        <v>#REF!</v>
      </c>
      <c r="AB45" s="126" t="e">
        <f>SUMIFS('Portefeuille SP2'!#REF!,'Portefeuille SP2'!#REF!,1,'Portefeuille SP2'!$Q:$Q,"DECIDED",'Portefeuille SP2'!#REF!,"G",'Portefeuille SP2'!$D:$D,$A45,'Portefeuille SP2'!#REF!,"o",'Portefeuille SP2'!#REF!,"=")</f>
        <v>#REF!</v>
      </c>
      <c r="AC45" s="117" t="e">
        <f>SUMIFS('Portefeuille SP2'!#REF!,'Portefeuille SP2'!#REF!,1,'Portefeuille SP2'!$Q:$Q,"DECIDED",'Portefeuille SP2'!#REF!,"G",'Portefeuille SP2'!$D:$D,$A45,'Portefeuille SP2'!#REF!,"o",'Portefeuille SP2'!#REF!,"=")</f>
        <v>#REF!</v>
      </c>
      <c r="AD45" s="111" t="e">
        <f>SUMIFS('Portefeuille SP2'!$U:$U,'Portefeuille SP2'!#REF!,1,'Portefeuille SP2'!$Q:$Q,"DECIDED",'Portefeuille SP2'!#REF!,"R",'Portefeuille SP2'!$D:$D,$A45,'Portefeuille SP2'!#REF!,"o",'Portefeuille SP2'!#REF!,"=")</f>
        <v>#REF!</v>
      </c>
      <c r="AE45" s="126" t="e">
        <f>SUMIFS('Portefeuille SP2'!#REF!,'Portefeuille SP2'!#REF!,1,'Portefeuille SP2'!$Q:$Q,"DECIDED",'Portefeuille SP2'!#REF!,"R",'Portefeuille SP2'!$D:$D,$A45,'Portefeuille SP2'!#REF!,"o",'Portefeuille SP2'!#REF!,"=")</f>
        <v>#REF!</v>
      </c>
      <c r="AF45" s="117" t="e">
        <f>SUMIFS('Portefeuille SP2'!#REF!,'Portefeuille SP2'!#REF!,1,'Portefeuille SP2'!$Q:$Q,"DECIDED",'Portefeuille SP2'!#REF!,"R",'Portefeuille SP2'!$D:$D,$A45,'Portefeuille SP2'!#REF!,"o",'Portefeuille SP2'!#REF!,"=")</f>
        <v>#REF!</v>
      </c>
      <c r="AG45" s="111" t="e">
        <f>SUMIFS('Portefeuille SP2'!$U:$U,'Portefeuille SP2'!#REF!,1,'Portefeuille SP2'!$Q:$Q,"DECIDED",'Portefeuille SP2'!#REF!,"G",'Portefeuille SP2'!$D:$D,$A45,'Portefeuille SP2'!#REF!,"o",'Portefeuille SP2'!#REF!,"&lt;&gt;")</f>
        <v>#REF!</v>
      </c>
      <c r="AH45" s="126" t="e">
        <f>SUMIFS('Portefeuille SP2'!#REF!,'Portefeuille SP2'!#REF!,1,'Portefeuille SP2'!$Q:$Q,"DECIDED",'Portefeuille SP2'!#REF!,"G",'Portefeuille SP2'!$D:$D,$A45,'Portefeuille SP2'!#REF!,"o",'Portefeuille SP2'!#REF!,"&lt;&gt;")</f>
        <v>#REF!</v>
      </c>
      <c r="AI45" s="117" t="e">
        <f>SUMIFS('Portefeuille SP2'!#REF!,'Portefeuille SP2'!#REF!,1,'Portefeuille SP2'!$Q:$Q,"DECIDED",'Portefeuille SP2'!#REF!,"G",'Portefeuille SP2'!$D:$D,$A45,'Portefeuille SP2'!#REF!,"o",'Portefeuille SP2'!#REF!,"&lt;&gt;")</f>
        <v>#REF!</v>
      </c>
      <c r="AJ45" s="111" t="e">
        <f>SUMIFS('Portefeuille SP2'!$U:$U,'Portefeuille SP2'!#REF!,1,'Portefeuille SP2'!$Q:$Q,"DECIDED",'Portefeuille SP2'!#REF!,"R",'Portefeuille SP2'!$D:$D,$A45,'Portefeuille SP2'!#REF!,"o",'Portefeuille SP2'!#REF!,"&lt;&gt;")</f>
        <v>#REF!</v>
      </c>
      <c r="AK45" s="126" t="e">
        <f>SUMIFS('Portefeuille SP2'!#REF!,'Portefeuille SP2'!#REF!,1,'Portefeuille SP2'!$Q:$Q,"DECIDED",'Portefeuille SP2'!#REF!,"R",'Portefeuille SP2'!$D:$D,$A45,'Portefeuille SP2'!#REF!,"o",'Portefeuille SP2'!#REF!,"&lt;&gt;")</f>
        <v>#REF!</v>
      </c>
      <c r="AL45" s="117" t="e">
        <f>SUMIFS('Portefeuille SP2'!#REF!,'Portefeuille SP2'!#REF!,1,'Portefeuille SP2'!$Q:$Q,"DECIDED",'Portefeuille SP2'!#REF!,"R",'Portefeuille SP2'!$D:$D,$A45,'Portefeuille SP2'!#REF!,"o",'Portefeuille SP2'!#REF!,"&lt;&gt;")</f>
        <v>#REF!</v>
      </c>
      <c r="AM45" s="117"/>
      <c r="AO45" s="131" t="e">
        <f>AO44-AP44-AQ44</f>
        <v>#REF!</v>
      </c>
      <c r="AP45" s="132"/>
      <c r="AQ45" s="132"/>
      <c r="AR45" s="131" t="e">
        <f>AR44-AS44-AT44</f>
        <v>#REF!</v>
      </c>
      <c r="AS45" s="132"/>
      <c r="AT45" s="132"/>
      <c r="AU45" s="131" t="e">
        <f>AU44-AV44-AW44</f>
        <v>#REF!</v>
      </c>
      <c r="AV45" s="133"/>
      <c r="AW45" s="133"/>
      <c r="AX45" s="131" t="e">
        <f>AX44-AY44-AZ44</f>
        <v>#REF!</v>
      </c>
      <c r="AY45" s="132"/>
      <c r="AZ45" s="132"/>
      <c r="BA45" s="131" t="e">
        <f>BA44-BB44-BC44</f>
        <v>#REF!</v>
      </c>
      <c r="BB45" s="132"/>
      <c r="BC45" s="132"/>
      <c r="BD45" s="131" t="e">
        <f>BD44-BE44-BF44</f>
        <v>#REF!</v>
      </c>
      <c r="BE45" s="133"/>
      <c r="BF45" s="133"/>
      <c r="BG45" s="137"/>
      <c r="BH45" s="131" t="e">
        <f>BH44-BI44-BJ44</f>
        <v>#REF!</v>
      </c>
      <c r="BI45" s="132"/>
      <c r="BJ45" s="132"/>
      <c r="BK45" s="131" t="e">
        <f>BK44-BL44-BM44</f>
        <v>#REF!</v>
      </c>
      <c r="BL45" s="132"/>
      <c r="BM45" s="132"/>
      <c r="BN45" s="131" t="e">
        <f>BN44-BO44-BP44</f>
        <v>#REF!</v>
      </c>
      <c r="BO45" s="133"/>
      <c r="BP45" s="133"/>
      <c r="BQ45" s="131" t="e">
        <f>BQ44-BR44-BS44</f>
        <v>#REF!</v>
      </c>
      <c r="BR45" s="132"/>
      <c r="BS45" s="132"/>
      <c r="BT45" s="131" t="e">
        <f>BT44-BU44-BV44</f>
        <v>#REF!</v>
      </c>
      <c r="BU45" s="132"/>
      <c r="BV45" s="132"/>
      <c r="BW45" s="131" t="e">
        <f>BW44-BX44-BY44</f>
        <v>#REF!</v>
      </c>
      <c r="BX45" s="133"/>
      <c r="BY45" s="133"/>
    </row>
    <row r="46" spans="1:77" outlineLevel="1">
      <c r="A46" t="s">
        <v>1321</v>
      </c>
      <c r="B46" s="139" t="e">
        <f>SUMIFS('Portefeuille SP2'!$U:$U,'Portefeuille SP2'!#REF!,1,'Portefeuille SP2'!$Q:$Q,"IN PROGRESS",'Portefeuille SP2'!#REF!,"G",'Portefeuille SP2'!$D:$D,$A46,'Portefeuille SP2'!#REF!,"S")</f>
        <v>#REF!</v>
      </c>
      <c r="C46" s="126" t="e">
        <f>SUMIFS('Portefeuille SP2'!#REF!,'Portefeuille SP2'!#REF!,1,'Portefeuille SP2'!$Q:$Q,"IN PROGRESS",'Portefeuille SP2'!#REF!,"G",'Portefeuille SP2'!$D:$D,$A46,'Portefeuille SP2'!#REF!,"S")</f>
        <v>#REF!</v>
      </c>
      <c r="D46" s="122" t="e">
        <f>SUMIFS('Portefeuille SP2'!#REF!,'Portefeuille SP2'!#REF!,1,'Portefeuille SP2'!$Q:$Q,"IN PROGRESS",'Portefeuille SP2'!#REF!,"G",'Portefeuille SP2'!$D:$D,$A46,'Portefeuille SP2'!#REF!,"S")</f>
        <v>#REF!</v>
      </c>
      <c r="E46" s="111" t="e">
        <f>SUMIFS('Portefeuille SP2'!$U:$U,'Portefeuille SP2'!#REF!,1,'Portefeuille SP2'!$Q:$Q,"IN PROGRESS",'Portefeuille SP2'!#REF!,"R",'Portefeuille SP2'!$D:$D,$A46,'Portefeuille SP2'!#REF!,"S")</f>
        <v>#REF!</v>
      </c>
      <c r="F46" s="126" t="e">
        <f>SUMIFS('Portefeuille SP2'!#REF!,'Portefeuille SP2'!#REF!,1,'Portefeuille SP2'!$Q:$Q,"IN PROGRESS",'Portefeuille SP2'!#REF!,"R",'Portefeuille SP2'!$D:$D,$A46,'Portefeuille SP2'!#REF!,"S")</f>
        <v>#REF!</v>
      </c>
      <c r="G46" s="117" t="e">
        <f>SUMIFS('Portefeuille SP2'!#REF!,'Portefeuille SP2'!#REF!,1,'Portefeuille SP2'!$Q:$Q,"IN PROGRESS",'Portefeuille SP2'!#REF!,"R",'Portefeuille SP2'!$D:$D,$A46,'Portefeuille SP2'!#REF!,"S")</f>
        <v>#REF!</v>
      </c>
      <c r="H46" s="141" t="e">
        <f>SUMIFS('Portefeuille SP2'!$U:$U,'Portefeuille SP2'!#REF!,1,'Portefeuille SP2'!$Q:$Q,"DECIDED",'Portefeuille SP2'!#REF!,"G",'Portefeuille SP2'!$D:$D,$A46,'Portefeuille SP2'!#REF!,"S",'Portefeuille SP2'!#REF!,"=")</f>
        <v>#REF!</v>
      </c>
      <c r="I46" s="117" t="e">
        <f>SUMIFS('Portefeuille SP2'!#REF!,'Portefeuille SP2'!#REF!,1,'Portefeuille SP2'!$Q:$Q,"DECIDED",'Portefeuille SP2'!#REF!,"G",'Portefeuille SP2'!$D:$D,$A46,'Portefeuille SP2'!#REF!,"S",'Portefeuille SP2'!#REF!,"=")</f>
        <v>#REF!</v>
      </c>
      <c r="J46" s="117" t="e">
        <f>SUMIFS('Portefeuille SP2'!#REF!,'Portefeuille SP2'!#REF!,1,'Portefeuille SP2'!$Q:$Q,"DECIDED",'Portefeuille SP2'!#REF!,"G",'Portefeuille SP2'!$D:$D,$A46,'Portefeuille SP2'!#REF!,"S",'Portefeuille SP2'!#REF!,"=")</f>
        <v>#REF!</v>
      </c>
      <c r="K46" s="111" t="e">
        <f>SUMIFS('Portefeuille SP2'!$U:$U,'Portefeuille SP2'!#REF!,1,'Portefeuille SP2'!$Q:$Q,"DECIDED",'Portefeuille SP2'!#REF!,"R",'Portefeuille SP2'!$D:$D,$A46,'Portefeuille SP2'!#REF!,"S",'Portefeuille SP2'!#REF!,"=")</f>
        <v>#REF!</v>
      </c>
      <c r="L46" s="126" t="e">
        <f>SUMIFS('Portefeuille SP2'!#REF!,'Portefeuille SP2'!#REF!,1,'Portefeuille SP2'!$Q:$Q,"DECIDED",'Portefeuille SP2'!#REF!,"R",'Portefeuille SP2'!$D:$D,$A46,'Portefeuille SP2'!#REF!,"S",'Portefeuille SP2'!#REF!,"=")</f>
        <v>#REF!</v>
      </c>
      <c r="M46" s="117" t="e">
        <f>SUMIFS('Portefeuille SP2'!#REF!,'Portefeuille SP2'!#REF!,1,'Portefeuille SP2'!$Q:$Q,"DECIDED",'Portefeuille SP2'!#REF!,"R",'Portefeuille SP2'!$D:$D,$A46,'Portefeuille SP2'!#REF!,"S",'Portefeuille SP2'!#REF!,"=")</f>
        <v>#REF!</v>
      </c>
      <c r="N46" s="111" t="e">
        <f>SUMIFS('Portefeuille SP2'!$U:$U,'Portefeuille SP2'!#REF!,1,'Portefeuille SP2'!$Q:$Q,"DECIDED",'Portefeuille SP2'!#REF!,"G",'Portefeuille SP2'!$D:$D,$A46,'Portefeuille SP2'!#REF!,"S",'Portefeuille SP2'!#REF!,"&lt;&gt;")</f>
        <v>#REF!</v>
      </c>
      <c r="O46" s="126" t="e">
        <f>SUMIFS('Portefeuille SP2'!#REF!,'Portefeuille SP2'!#REF!,1,'Portefeuille SP2'!$Q:$Q,"DECIDED",'Portefeuille SP2'!#REF!,"G",'Portefeuille SP2'!$D:$D,$A46,'Portefeuille SP2'!#REF!,"S",'Portefeuille SP2'!#REF!,"&lt;&gt;")</f>
        <v>#REF!</v>
      </c>
      <c r="P46" s="117" t="e">
        <f>SUMIFS('Portefeuille SP2'!#REF!,'Portefeuille SP2'!#REF!,1,'Portefeuille SP2'!$Q:$Q,"DECIDED",'Portefeuille SP2'!#REF!,"G",'Portefeuille SP2'!$D:$D,$A46,'Portefeuille SP2'!#REF!,"S",'Portefeuille SP2'!#REF!,"&lt;&gt;")</f>
        <v>#REF!</v>
      </c>
      <c r="Q46" s="111" t="e">
        <f>SUMIFS('Portefeuille SP2'!$U:$U,'Portefeuille SP2'!#REF!,1,'Portefeuille SP2'!$Q:$Q,"DECIDED",'Portefeuille SP2'!#REF!,"R",'Portefeuille SP2'!$D:$D,$A46,'Portefeuille SP2'!#REF!,"S",'Portefeuille SP2'!#REF!,"&lt;&gt;")</f>
        <v>#REF!</v>
      </c>
      <c r="R46" s="126" t="e">
        <f>SUMIFS('Portefeuille SP2'!#REF!,'Portefeuille SP2'!#REF!,1,'Portefeuille SP2'!$Q:$Q,"DECIDED",'Portefeuille SP2'!#REF!,"R",'Portefeuille SP2'!$D:$D,$A46,'Portefeuille SP2'!#REF!,"S",'Portefeuille SP2'!#REF!,"&lt;&gt;")</f>
        <v>#REF!</v>
      </c>
      <c r="S46" s="122" t="e">
        <f>SUMIFS('Portefeuille SP2'!#REF!,'Portefeuille SP2'!#REF!,1,'Portefeuille SP2'!$Q:$Q,"DECIDED",'Portefeuille SP2'!#REF!,"R",'Portefeuille SP2'!$D:$D,$A46,'Portefeuille SP2'!#REF!,"S",'Portefeuille SP2'!#REF!,"&lt;&gt;")</f>
        <v>#REF!</v>
      </c>
      <c r="U46" s="111" t="e">
        <f>SUMIFS('Portefeuille SP2'!$U:$U,'Portefeuille SP2'!#REF!,1,'Portefeuille SP2'!$Q:$Q,"IN PROGRESS",'Portefeuille SP2'!#REF!,"G",'Portefeuille SP2'!$D:$D,$A46,'Portefeuille SP2'!#REF!,"O")</f>
        <v>#REF!</v>
      </c>
      <c r="V46" s="126" t="e">
        <f>SUMIFS('Portefeuille SP2'!#REF!,'Portefeuille SP2'!#REF!,1,'Portefeuille SP2'!$Q:$Q,"IN PROGRESS",'Portefeuille SP2'!#REF!,"G",'Portefeuille SP2'!$D:$D,$A46,'Portefeuille SP2'!#REF!,"o")</f>
        <v>#REF!</v>
      </c>
      <c r="W46" s="117" t="e">
        <f>SUMIFS('Portefeuille SP2'!#REF!,'Portefeuille SP2'!#REF!,1,'Portefeuille SP2'!$Q:$Q,"IN PROGRESS",'Portefeuille SP2'!#REF!,"G",'Portefeuille SP2'!$D:$D,$A46,'Portefeuille SP2'!#REF!,"o")</f>
        <v>#REF!</v>
      </c>
      <c r="X46" s="111" t="e">
        <f>SUMIFS('Portefeuille SP2'!$U:$U,'Portefeuille SP2'!#REF!,1,'Portefeuille SP2'!$Q:$Q,"IN PROGRESS",'Portefeuille SP2'!#REF!,"R",'Portefeuille SP2'!$D:$D,$A46,'Portefeuille SP2'!#REF!,"o")</f>
        <v>#REF!</v>
      </c>
      <c r="Y46" s="126" t="e">
        <f>SUMIFS('Portefeuille SP2'!#REF!,'Portefeuille SP2'!#REF!,1,'Portefeuille SP2'!$Q:$Q,"IN PROGRESS",'Portefeuille SP2'!#REF!,"R",'Portefeuille SP2'!$D:$D,$A46,'Portefeuille SP2'!#REF!,"o")</f>
        <v>#REF!</v>
      </c>
      <c r="Z46" s="117" t="e">
        <f>SUMIFS('Portefeuille SP2'!#REF!,'Portefeuille SP2'!#REF!,1,'Portefeuille SP2'!$Q:$Q,"IN PROGRESS",'Portefeuille SP2'!#REF!,"R",'Portefeuille SP2'!$D:$D,$A46,'Portefeuille SP2'!#REF!,"o")</f>
        <v>#REF!</v>
      </c>
      <c r="AA46" s="111" t="e">
        <f>SUMIFS('Portefeuille SP2'!$U:$U,'Portefeuille SP2'!#REF!,1,'Portefeuille SP2'!$Q:$Q,"DECIDED",'Portefeuille SP2'!#REF!,"G",'Portefeuille SP2'!$D:$D,$A46,'Portefeuille SP2'!#REF!,"o",'Portefeuille SP2'!#REF!,"=")</f>
        <v>#REF!</v>
      </c>
      <c r="AB46" s="126" t="e">
        <f>SUMIFS('Portefeuille SP2'!#REF!,'Portefeuille SP2'!#REF!,1,'Portefeuille SP2'!$Q:$Q,"DECIDED",'Portefeuille SP2'!#REF!,"G",'Portefeuille SP2'!$D:$D,$A46,'Portefeuille SP2'!#REF!,"o",'Portefeuille SP2'!#REF!,"=")</f>
        <v>#REF!</v>
      </c>
      <c r="AC46" s="117" t="e">
        <f>SUMIFS('Portefeuille SP2'!#REF!,'Portefeuille SP2'!#REF!,1,'Portefeuille SP2'!$Q:$Q,"DECIDED",'Portefeuille SP2'!#REF!,"G",'Portefeuille SP2'!$D:$D,$A46,'Portefeuille SP2'!#REF!,"o",'Portefeuille SP2'!#REF!,"=")</f>
        <v>#REF!</v>
      </c>
      <c r="AD46" s="111" t="e">
        <f>SUMIFS('Portefeuille SP2'!$U:$U,'Portefeuille SP2'!#REF!,1,'Portefeuille SP2'!$Q:$Q,"DECIDED",'Portefeuille SP2'!#REF!,"R",'Portefeuille SP2'!$D:$D,$A46,'Portefeuille SP2'!#REF!,"o",'Portefeuille SP2'!#REF!,"=")</f>
        <v>#REF!</v>
      </c>
      <c r="AE46" s="126" t="e">
        <f>SUMIFS('Portefeuille SP2'!#REF!,'Portefeuille SP2'!#REF!,1,'Portefeuille SP2'!$Q:$Q,"DECIDED",'Portefeuille SP2'!#REF!,"R",'Portefeuille SP2'!$D:$D,$A46,'Portefeuille SP2'!#REF!,"o",'Portefeuille SP2'!#REF!,"=")</f>
        <v>#REF!</v>
      </c>
      <c r="AF46" s="117" t="e">
        <f>SUMIFS('Portefeuille SP2'!#REF!,'Portefeuille SP2'!#REF!,1,'Portefeuille SP2'!$Q:$Q,"DECIDED",'Portefeuille SP2'!#REF!,"R",'Portefeuille SP2'!$D:$D,$A46,'Portefeuille SP2'!#REF!,"o",'Portefeuille SP2'!#REF!,"=")</f>
        <v>#REF!</v>
      </c>
      <c r="AG46" s="111" t="e">
        <f>SUMIFS('Portefeuille SP2'!$U:$U,'Portefeuille SP2'!#REF!,1,'Portefeuille SP2'!$Q:$Q,"DECIDED",'Portefeuille SP2'!#REF!,"G",'Portefeuille SP2'!$D:$D,$A46,'Portefeuille SP2'!#REF!,"o",'Portefeuille SP2'!#REF!,"&lt;&gt;")</f>
        <v>#REF!</v>
      </c>
      <c r="AH46" s="126" t="e">
        <f>SUMIFS('Portefeuille SP2'!#REF!,'Portefeuille SP2'!#REF!,1,'Portefeuille SP2'!$Q:$Q,"DECIDED",'Portefeuille SP2'!#REF!,"G",'Portefeuille SP2'!$D:$D,$A46,'Portefeuille SP2'!#REF!,"o",'Portefeuille SP2'!#REF!,"&lt;&gt;")</f>
        <v>#REF!</v>
      </c>
      <c r="AI46" s="117" t="e">
        <f>SUMIFS('Portefeuille SP2'!#REF!,'Portefeuille SP2'!#REF!,1,'Portefeuille SP2'!$Q:$Q,"DECIDED",'Portefeuille SP2'!#REF!,"G",'Portefeuille SP2'!$D:$D,$A46,'Portefeuille SP2'!#REF!,"o",'Portefeuille SP2'!#REF!,"&lt;&gt;")</f>
        <v>#REF!</v>
      </c>
      <c r="AJ46" s="111" t="e">
        <f>SUMIFS('Portefeuille SP2'!$U:$U,'Portefeuille SP2'!#REF!,1,'Portefeuille SP2'!$Q:$Q,"DECIDED",'Portefeuille SP2'!#REF!,"R",'Portefeuille SP2'!$D:$D,$A46,'Portefeuille SP2'!#REF!,"o",'Portefeuille SP2'!#REF!,"&lt;&gt;")</f>
        <v>#REF!</v>
      </c>
      <c r="AK46" s="126" t="e">
        <f>SUMIFS('Portefeuille SP2'!#REF!,'Portefeuille SP2'!#REF!,1,'Portefeuille SP2'!$Q:$Q,"DECIDED",'Portefeuille SP2'!#REF!,"R",'Portefeuille SP2'!$D:$D,$A46,'Portefeuille SP2'!#REF!,"o",'Portefeuille SP2'!#REF!,"&lt;&gt;")</f>
        <v>#REF!</v>
      </c>
      <c r="AL46" s="117" t="e">
        <f>SUMIFS('Portefeuille SP2'!#REF!,'Portefeuille SP2'!#REF!,1,'Portefeuille SP2'!$Q:$Q,"DECIDED",'Portefeuille SP2'!#REF!,"R",'Portefeuille SP2'!$D:$D,$A46,'Portefeuille SP2'!#REF!,"o",'Portefeuille SP2'!#REF!,"&lt;&gt;")</f>
        <v>#REF!</v>
      </c>
      <c r="AM46" s="117"/>
    </row>
    <row r="47" spans="1:77" outlineLevel="1">
      <c r="A47" t="s">
        <v>1322</v>
      </c>
      <c r="B47" s="139" t="e">
        <f>SUMIFS('Portefeuille SP2'!$U:$U,'Portefeuille SP2'!#REF!,1,'Portefeuille SP2'!$Q:$Q,"IN PROGRESS",'Portefeuille SP2'!#REF!,"G",'Portefeuille SP2'!$D:$D,$A47,'Portefeuille SP2'!#REF!,"S")</f>
        <v>#REF!</v>
      </c>
      <c r="C47" s="126" t="e">
        <f>SUMIFS('Portefeuille SP2'!#REF!,'Portefeuille SP2'!#REF!,1,'Portefeuille SP2'!$Q:$Q,"IN PROGRESS",'Portefeuille SP2'!#REF!,"G",'Portefeuille SP2'!$D:$D,$A47,'Portefeuille SP2'!#REF!,"S")</f>
        <v>#REF!</v>
      </c>
      <c r="D47" s="122" t="e">
        <f>SUMIFS('Portefeuille SP2'!#REF!,'Portefeuille SP2'!#REF!,1,'Portefeuille SP2'!$Q:$Q,"IN PROGRESS",'Portefeuille SP2'!#REF!,"G",'Portefeuille SP2'!$D:$D,$A47,'Portefeuille SP2'!#REF!,"S")</f>
        <v>#REF!</v>
      </c>
      <c r="E47" s="111" t="e">
        <f>SUMIFS('Portefeuille SP2'!$U:$U,'Portefeuille SP2'!#REF!,1,'Portefeuille SP2'!$Q:$Q,"IN PROGRESS",'Portefeuille SP2'!#REF!,"R",'Portefeuille SP2'!$D:$D,$A47,'Portefeuille SP2'!#REF!,"S")</f>
        <v>#REF!</v>
      </c>
      <c r="F47" s="126" t="e">
        <f>SUMIFS('Portefeuille SP2'!#REF!,'Portefeuille SP2'!#REF!,1,'Portefeuille SP2'!$Q:$Q,"IN PROGRESS",'Portefeuille SP2'!#REF!,"R",'Portefeuille SP2'!$D:$D,$A47,'Portefeuille SP2'!#REF!,"S")</f>
        <v>#REF!</v>
      </c>
      <c r="G47" s="117" t="e">
        <f>SUMIFS('Portefeuille SP2'!#REF!,'Portefeuille SP2'!#REF!,1,'Portefeuille SP2'!$Q:$Q,"IN PROGRESS",'Portefeuille SP2'!#REF!,"R",'Portefeuille SP2'!$D:$D,$A47,'Portefeuille SP2'!#REF!,"S")</f>
        <v>#REF!</v>
      </c>
      <c r="H47" s="111" t="e">
        <f>SUMIFS('Portefeuille SP2'!$U:$U,'Portefeuille SP2'!#REF!,1,'Portefeuille SP2'!$Q:$Q,"DECIDED",'Portefeuille SP2'!#REF!,"G",'Portefeuille SP2'!$D:$D,$A47,'Portefeuille SP2'!#REF!,"S",'Portefeuille SP2'!#REF!,"=")</f>
        <v>#REF!</v>
      </c>
      <c r="I47" s="117" t="e">
        <f>SUMIFS('Portefeuille SP2'!#REF!,'Portefeuille SP2'!#REF!,1,'Portefeuille SP2'!$Q:$Q,"DECIDED",'Portefeuille SP2'!#REF!,"G",'Portefeuille SP2'!$D:$D,$A47,'Portefeuille SP2'!#REF!,"S",'Portefeuille SP2'!#REF!,"=")</f>
        <v>#REF!</v>
      </c>
      <c r="J47" s="117" t="e">
        <f>SUMIFS('Portefeuille SP2'!#REF!,'Portefeuille SP2'!#REF!,1,'Portefeuille SP2'!$Q:$Q,"DECIDED",'Portefeuille SP2'!#REF!,"G",'Portefeuille SP2'!$D:$D,$A47,'Portefeuille SP2'!#REF!,"S",'Portefeuille SP2'!#REF!,"=")</f>
        <v>#REF!</v>
      </c>
      <c r="K47" s="111" t="e">
        <f>SUMIFS('Portefeuille SP2'!$U:$U,'Portefeuille SP2'!#REF!,1,'Portefeuille SP2'!$Q:$Q,"DECIDED",'Portefeuille SP2'!#REF!,"R",'Portefeuille SP2'!$D:$D,$A47,'Portefeuille SP2'!#REF!,"S",'Portefeuille SP2'!#REF!,"=")</f>
        <v>#REF!</v>
      </c>
      <c r="L47" s="126" t="e">
        <f>SUMIFS('Portefeuille SP2'!#REF!,'Portefeuille SP2'!#REF!,1,'Portefeuille SP2'!$Q:$Q,"DECIDED",'Portefeuille SP2'!#REF!,"R",'Portefeuille SP2'!$D:$D,$A47,'Portefeuille SP2'!#REF!,"S",'Portefeuille SP2'!#REF!,"=")</f>
        <v>#REF!</v>
      </c>
      <c r="M47" s="117" t="e">
        <f>SUMIFS('Portefeuille SP2'!#REF!,'Portefeuille SP2'!#REF!,1,'Portefeuille SP2'!$Q:$Q,"DECIDED",'Portefeuille SP2'!#REF!,"R",'Portefeuille SP2'!$D:$D,$A47,'Portefeuille SP2'!#REF!,"S",'Portefeuille SP2'!#REF!,"=")</f>
        <v>#REF!</v>
      </c>
      <c r="N47" s="111" t="e">
        <f>SUMIFS('Portefeuille SP2'!$U:$U,'Portefeuille SP2'!#REF!,1,'Portefeuille SP2'!$Q:$Q,"DECIDED",'Portefeuille SP2'!#REF!,"G",'Portefeuille SP2'!$D:$D,$A47,'Portefeuille SP2'!#REF!,"S",'Portefeuille SP2'!#REF!,"&lt;&gt;")</f>
        <v>#REF!</v>
      </c>
      <c r="O47" s="126" t="e">
        <f>SUMIFS('Portefeuille SP2'!#REF!,'Portefeuille SP2'!#REF!,1,'Portefeuille SP2'!$Q:$Q,"DECIDED",'Portefeuille SP2'!#REF!,"G",'Portefeuille SP2'!$D:$D,$A47,'Portefeuille SP2'!#REF!,"S",'Portefeuille SP2'!#REF!,"&lt;&gt;")</f>
        <v>#REF!</v>
      </c>
      <c r="P47" s="117" t="e">
        <f>SUMIFS('Portefeuille SP2'!#REF!,'Portefeuille SP2'!#REF!,1,'Portefeuille SP2'!$Q:$Q,"DECIDED",'Portefeuille SP2'!#REF!,"G",'Portefeuille SP2'!$D:$D,$A47,'Portefeuille SP2'!#REF!,"S",'Portefeuille SP2'!#REF!,"&lt;&gt;")</f>
        <v>#REF!</v>
      </c>
      <c r="Q47" s="111" t="e">
        <f>SUMIFS('Portefeuille SP2'!$U:$U,'Portefeuille SP2'!#REF!,1,'Portefeuille SP2'!$Q:$Q,"DECIDED",'Portefeuille SP2'!#REF!,"R",'Portefeuille SP2'!$D:$D,$A47,'Portefeuille SP2'!#REF!,"S",'Portefeuille SP2'!#REF!,"&lt;&gt;")</f>
        <v>#REF!</v>
      </c>
      <c r="R47" s="126" t="e">
        <f>SUMIFS('Portefeuille SP2'!#REF!,'Portefeuille SP2'!#REF!,1,'Portefeuille SP2'!$Q:$Q,"DECIDED",'Portefeuille SP2'!#REF!,"R",'Portefeuille SP2'!$D:$D,$A47,'Portefeuille SP2'!#REF!,"S",'Portefeuille SP2'!#REF!,"&lt;&gt;")</f>
        <v>#REF!</v>
      </c>
      <c r="S47" s="122" t="e">
        <f>SUMIFS('Portefeuille SP2'!#REF!,'Portefeuille SP2'!#REF!,1,'Portefeuille SP2'!$Q:$Q,"DECIDED",'Portefeuille SP2'!#REF!,"R",'Portefeuille SP2'!$D:$D,$A47,'Portefeuille SP2'!#REF!,"S",'Portefeuille SP2'!#REF!,"&lt;&gt;")</f>
        <v>#REF!</v>
      </c>
      <c r="U47" s="111" t="e">
        <f>SUMIFS('Portefeuille SP2'!$U:$U,'Portefeuille SP2'!#REF!,1,'Portefeuille SP2'!$Q:$Q,"IN PROGRESS",'Portefeuille SP2'!#REF!,"G",'Portefeuille SP2'!$D:$D,$A47,'Portefeuille SP2'!#REF!,"O")</f>
        <v>#REF!</v>
      </c>
      <c r="V47" s="126" t="e">
        <f>SUMIFS('Portefeuille SP2'!#REF!,'Portefeuille SP2'!#REF!,1,'Portefeuille SP2'!$Q:$Q,"IN PROGRESS",'Portefeuille SP2'!#REF!,"G",'Portefeuille SP2'!$D:$D,$A47,'Portefeuille SP2'!#REF!,"o")</f>
        <v>#REF!</v>
      </c>
      <c r="W47" s="117" t="e">
        <f>SUMIFS('Portefeuille SP2'!#REF!,'Portefeuille SP2'!#REF!,1,'Portefeuille SP2'!$Q:$Q,"IN PROGRESS",'Portefeuille SP2'!#REF!,"G",'Portefeuille SP2'!$D:$D,$A47,'Portefeuille SP2'!#REF!,"o")</f>
        <v>#REF!</v>
      </c>
      <c r="X47" s="111" t="e">
        <f>SUMIFS('Portefeuille SP2'!$U:$U,'Portefeuille SP2'!#REF!,1,'Portefeuille SP2'!$Q:$Q,"IN PROGRESS",'Portefeuille SP2'!#REF!,"R",'Portefeuille SP2'!$D:$D,$A47,'Portefeuille SP2'!#REF!,"o")</f>
        <v>#REF!</v>
      </c>
      <c r="Y47" s="126" t="e">
        <f>SUMIFS('Portefeuille SP2'!#REF!,'Portefeuille SP2'!#REF!,1,'Portefeuille SP2'!$Q:$Q,"IN PROGRESS",'Portefeuille SP2'!#REF!,"R",'Portefeuille SP2'!$D:$D,$A47,'Portefeuille SP2'!#REF!,"o")</f>
        <v>#REF!</v>
      </c>
      <c r="Z47" s="117" t="e">
        <f>SUMIFS('Portefeuille SP2'!#REF!,'Portefeuille SP2'!#REF!,1,'Portefeuille SP2'!$Q:$Q,"IN PROGRESS",'Portefeuille SP2'!#REF!,"R",'Portefeuille SP2'!$D:$D,$A47,'Portefeuille SP2'!#REF!,"o")</f>
        <v>#REF!</v>
      </c>
      <c r="AA47" s="111" t="e">
        <f>SUMIFS('Portefeuille SP2'!$U:$U,'Portefeuille SP2'!#REF!,1,'Portefeuille SP2'!$Q:$Q,"DECIDED",'Portefeuille SP2'!#REF!,"G",'Portefeuille SP2'!$D:$D,$A47,'Portefeuille SP2'!#REF!,"o",'Portefeuille SP2'!#REF!,"=")</f>
        <v>#REF!</v>
      </c>
      <c r="AB47" s="126" t="e">
        <f>SUMIFS('Portefeuille SP2'!#REF!,'Portefeuille SP2'!#REF!,1,'Portefeuille SP2'!$Q:$Q,"DECIDED",'Portefeuille SP2'!#REF!,"G",'Portefeuille SP2'!$D:$D,$A47,'Portefeuille SP2'!#REF!,"o",'Portefeuille SP2'!#REF!,"=")</f>
        <v>#REF!</v>
      </c>
      <c r="AC47" s="117" t="e">
        <f>SUMIFS('Portefeuille SP2'!#REF!,'Portefeuille SP2'!#REF!,1,'Portefeuille SP2'!$Q:$Q,"DECIDED",'Portefeuille SP2'!#REF!,"G",'Portefeuille SP2'!$D:$D,$A47,'Portefeuille SP2'!#REF!,"o",'Portefeuille SP2'!#REF!,"=")</f>
        <v>#REF!</v>
      </c>
      <c r="AD47" s="111" t="e">
        <f>SUMIFS('Portefeuille SP2'!$U:$U,'Portefeuille SP2'!#REF!,1,'Portefeuille SP2'!$Q:$Q,"DECIDED",'Portefeuille SP2'!#REF!,"R",'Portefeuille SP2'!$D:$D,$A47,'Portefeuille SP2'!#REF!,"o",'Portefeuille SP2'!#REF!,"=")</f>
        <v>#REF!</v>
      </c>
      <c r="AE47" s="126" t="e">
        <f>SUMIFS('Portefeuille SP2'!#REF!,'Portefeuille SP2'!#REF!,1,'Portefeuille SP2'!$Q:$Q,"DECIDED",'Portefeuille SP2'!#REF!,"R",'Portefeuille SP2'!$D:$D,$A47,'Portefeuille SP2'!#REF!,"o",'Portefeuille SP2'!#REF!,"=")</f>
        <v>#REF!</v>
      </c>
      <c r="AF47" s="117" t="e">
        <f>SUMIFS('Portefeuille SP2'!#REF!,'Portefeuille SP2'!#REF!,1,'Portefeuille SP2'!$Q:$Q,"DECIDED",'Portefeuille SP2'!#REF!,"R",'Portefeuille SP2'!$D:$D,$A47,'Portefeuille SP2'!#REF!,"o",'Portefeuille SP2'!#REF!,"=")</f>
        <v>#REF!</v>
      </c>
      <c r="AG47" s="111" t="e">
        <f>SUMIFS('Portefeuille SP2'!$U:$U,'Portefeuille SP2'!#REF!,1,'Portefeuille SP2'!$Q:$Q,"DECIDED",'Portefeuille SP2'!#REF!,"G",'Portefeuille SP2'!$D:$D,$A47,'Portefeuille SP2'!#REF!,"o",'Portefeuille SP2'!#REF!,"&lt;&gt;")</f>
        <v>#REF!</v>
      </c>
      <c r="AH47" s="126" t="e">
        <f>SUMIFS('Portefeuille SP2'!#REF!,'Portefeuille SP2'!#REF!,1,'Portefeuille SP2'!$Q:$Q,"DECIDED",'Portefeuille SP2'!#REF!,"G",'Portefeuille SP2'!$D:$D,$A47,'Portefeuille SP2'!#REF!,"o",'Portefeuille SP2'!#REF!,"&lt;&gt;")</f>
        <v>#REF!</v>
      </c>
      <c r="AI47" s="117" t="e">
        <f>SUMIFS('Portefeuille SP2'!#REF!,'Portefeuille SP2'!#REF!,1,'Portefeuille SP2'!$Q:$Q,"DECIDED",'Portefeuille SP2'!#REF!,"G",'Portefeuille SP2'!$D:$D,$A47,'Portefeuille SP2'!#REF!,"o",'Portefeuille SP2'!#REF!,"&lt;&gt;")</f>
        <v>#REF!</v>
      </c>
      <c r="AJ47" s="111" t="e">
        <f>SUMIFS('Portefeuille SP2'!$U:$U,'Portefeuille SP2'!#REF!,1,'Portefeuille SP2'!$Q:$Q,"DECIDED",'Portefeuille SP2'!#REF!,"R",'Portefeuille SP2'!$D:$D,$A47,'Portefeuille SP2'!#REF!,"o",'Portefeuille SP2'!#REF!,"&lt;&gt;")</f>
        <v>#REF!</v>
      </c>
      <c r="AK47" s="126" t="e">
        <f>SUMIFS('Portefeuille SP2'!#REF!,'Portefeuille SP2'!#REF!,1,'Portefeuille SP2'!$Q:$Q,"DECIDED",'Portefeuille SP2'!#REF!,"R",'Portefeuille SP2'!$D:$D,$A47,'Portefeuille SP2'!#REF!,"o",'Portefeuille SP2'!#REF!,"&lt;&gt;")</f>
        <v>#REF!</v>
      </c>
      <c r="AL47" s="117" t="e">
        <f>SUMIFS('Portefeuille SP2'!#REF!,'Portefeuille SP2'!#REF!,1,'Portefeuille SP2'!$Q:$Q,"DECIDED",'Portefeuille SP2'!#REF!,"R",'Portefeuille SP2'!$D:$D,$A47,'Portefeuille SP2'!#REF!,"o",'Portefeuille SP2'!#REF!,"&lt;&gt;")</f>
        <v>#REF!</v>
      </c>
      <c r="AM47" s="117"/>
    </row>
    <row r="48" spans="1:77" outlineLevel="1">
      <c r="A48" t="s">
        <v>1323</v>
      </c>
      <c r="B48" s="139" t="e">
        <f>SUMIFS('Portefeuille SP2'!$U:$U,'Portefeuille SP2'!#REF!,1,'Portefeuille SP2'!$Q:$Q,"IN PROGRESS",'Portefeuille SP2'!#REF!,"G",'Portefeuille SP2'!$D:$D,$A48,'Portefeuille SP2'!#REF!,"S")</f>
        <v>#REF!</v>
      </c>
      <c r="C48" s="126" t="e">
        <f>SUMIFS('Portefeuille SP2'!#REF!,'Portefeuille SP2'!#REF!,1,'Portefeuille SP2'!$Q:$Q,"IN PROGRESS",'Portefeuille SP2'!#REF!,"G",'Portefeuille SP2'!$D:$D,$A48,'Portefeuille SP2'!#REF!,"S")</f>
        <v>#REF!</v>
      </c>
      <c r="D48" s="122" t="e">
        <f>SUMIFS('Portefeuille SP2'!#REF!,'Portefeuille SP2'!#REF!,1,'Portefeuille SP2'!$Q:$Q,"IN PROGRESS",'Portefeuille SP2'!#REF!,"G",'Portefeuille SP2'!$D:$D,$A48,'Portefeuille SP2'!#REF!,"S")</f>
        <v>#REF!</v>
      </c>
      <c r="E48" s="111" t="e">
        <f>SUMIFS('Portefeuille SP2'!$U:$U,'Portefeuille SP2'!#REF!,1,'Portefeuille SP2'!$Q:$Q,"IN PROGRESS",'Portefeuille SP2'!#REF!,"R",'Portefeuille SP2'!$D:$D,$A48,'Portefeuille SP2'!#REF!,"S")</f>
        <v>#REF!</v>
      </c>
      <c r="F48" s="126" t="e">
        <f>SUMIFS('Portefeuille SP2'!#REF!,'Portefeuille SP2'!#REF!,1,'Portefeuille SP2'!$Q:$Q,"IN PROGRESS",'Portefeuille SP2'!#REF!,"R",'Portefeuille SP2'!$D:$D,$A48,'Portefeuille SP2'!#REF!,"S")</f>
        <v>#REF!</v>
      </c>
      <c r="G48" s="117" t="e">
        <f>SUMIFS('Portefeuille SP2'!#REF!,'Portefeuille SP2'!#REF!,1,'Portefeuille SP2'!$Q:$Q,"IN PROGRESS",'Portefeuille SP2'!#REF!,"R",'Portefeuille SP2'!$D:$D,$A48,'Portefeuille SP2'!#REF!,"S")</f>
        <v>#REF!</v>
      </c>
      <c r="H48" s="141" t="e">
        <f>SUMIFS('Portefeuille SP2'!$U:$U,'Portefeuille SP2'!#REF!,1,'Portefeuille SP2'!$Q:$Q,"DECIDED",'Portefeuille SP2'!#REF!,"G",'Portefeuille SP2'!$D:$D,$A48,'Portefeuille SP2'!#REF!,"S",'Portefeuille SP2'!#REF!,"=")</f>
        <v>#REF!</v>
      </c>
      <c r="I48" s="117" t="e">
        <f>SUMIFS('Portefeuille SP2'!#REF!,'Portefeuille SP2'!#REF!,1,'Portefeuille SP2'!$Q:$Q,"DECIDED",'Portefeuille SP2'!#REF!,"G",'Portefeuille SP2'!$D:$D,$A48,'Portefeuille SP2'!#REF!,"S",'Portefeuille SP2'!#REF!,"=")</f>
        <v>#REF!</v>
      </c>
      <c r="J48" s="117" t="e">
        <f>SUMIFS('Portefeuille SP2'!#REF!,'Portefeuille SP2'!#REF!,1,'Portefeuille SP2'!$Q:$Q,"DECIDED",'Portefeuille SP2'!#REF!,"G",'Portefeuille SP2'!$D:$D,$A48,'Portefeuille SP2'!#REF!,"S",'Portefeuille SP2'!#REF!,"=")</f>
        <v>#REF!</v>
      </c>
      <c r="K48" s="111" t="e">
        <f>SUMIFS('Portefeuille SP2'!$U:$U,'Portefeuille SP2'!#REF!,1,'Portefeuille SP2'!$Q:$Q,"DECIDED",'Portefeuille SP2'!#REF!,"R",'Portefeuille SP2'!$D:$D,$A48,'Portefeuille SP2'!#REF!,"S",'Portefeuille SP2'!#REF!,"=")</f>
        <v>#REF!</v>
      </c>
      <c r="L48" s="126" t="e">
        <f>SUMIFS('Portefeuille SP2'!#REF!,'Portefeuille SP2'!#REF!,1,'Portefeuille SP2'!$Q:$Q,"DECIDED",'Portefeuille SP2'!#REF!,"R",'Portefeuille SP2'!$D:$D,$A48,'Portefeuille SP2'!#REF!,"S",'Portefeuille SP2'!#REF!,"=")</f>
        <v>#REF!</v>
      </c>
      <c r="M48" s="117" t="e">
        <f>SUMIFS('Portefeuille SP2'!#REF!,'Portefeuille SP2'!#REF!,1,'Portefeuille SP2'!$Q:$Q,"DECIDED",'Portefeuille SP2'!#REF!,"R",'Portefeuille SP2'!$D:$D,$A48,'Portefeuille SP2'!#REF!,"S",'Portefeuille SP2'!#REF!,"=")</f>
        <v>#REF!</v>
      </c>
      <c r="N48" s="111" t="e">
        <f>SUMIFS('Portefeuille SP2'!$U:$U,'Portefeuille SP2'!#REF!,1,'Portefeuille SP2'!$Q:$Q,"DECIDED",'Portefeuille SP2'!#REF!,"G",'Portefeuille SP2'!$D:$D,$A48,'Portefeuille SP2'!#REF!,"S",'Portefeuille SP2'!#REF!,"&lt;&gt;")</f>
        <v>#REF!</v>
      </c>
      <c r="O48" s="126" t="e">
        <f>SUMIFS('Portefeuille SP2'!#REF!,'Portefeuille SP2'!#REF!,1,'Portefeuille SP2'!$Q:$Q,"DECIDED",'Portefeuille SP2'!#REF!,"G",'Portefeuille SP2'!$D:$D,$A48,'Portefeuille SP2'!#REF!,"S",'Portefeuille SP2'!#REF!,"&lt;&gt;")</f>
        <v>#REF!</v>
      </c>
      <c r="P48" s="117" t="e">
        <f>SUMIFS('Portefeuille SP2'!#REF!,'Portefeuille SP2'!#REF!,1,'Portefeuille SP2'!$Q:$Q,"DECIDED",'Portefeuille SP2'!#REF!,"G",'Portefeuille SP2'!$D:$D,$A48,'Portefeuille SP2'!#REF!,"S",'Portefeuille SP2'!#REF!,"&lt;&gt;")</f>
        <v>#REF!</v>
      </c>
      <c r="Q48" s="111" t="e">
        <f>SUMIFS('Portefeuille SP2'!$U:$U,'Portefeuille SP2'!#REF!,1,'Portefeuille SP2'!$Q:$Q,"DECIDED",'Portefeuille SP2'!#REF!,"R",'Portefeuille SP2'!$D:$D,$A48,'Portefeuille SP2'!#REF!,"S",'Portefeuille SP2'!#REF!,"&lt;&gt;")</f>
        <v>#REF!</v>
      </c>
      <c r="R48" s="126" t="e">
        <f>SUMIFS('Portefeuille SP2'!#REF!,'Portefeuille SP2'!#REF!,1,'Portefeuille SP2'!$Q:$Q,"DECIDED",'Portefeuille SP2'!#REF!,"R",'Portefeuille SP2'!$D:$D,$A48,'Portefeuille SP2'!#REF!,"S",'Portefeuille SP2'!#REF!,"&lt;&gt;")</f>
        <v>#REF!</v>
      </c>
      <c r="S48" s="122" t="e">
        <f>SUMIFS('Portefeuille SP2'!#REF!,'Portefeuille SP2'!#REF!,1,'Portefeuille SP2'!$Q:$Q,"DECIDED",'Portefeuille SP2'!#REF!,"R",'Portefeuille SP2'!$D:$D,$A48,'Portefeuille SP2'!#REF!,"S",'Portefeuille SP2'!#REF!,"&lt;&gt;")</f>
        <v>#REF!</v>
      </c>
      <c r="U48" s="111" t="e">
        <f>SUMIFS('Portefeuille SP2'!$U:$U,'Portefeuille SP2'!#REF!,1,'Portefeuille SP2'!$Q:$Q,"IN PROGRESS",'Portefeuille SP2'!#REF!,"G",'Portefeuille SP2'!$D:$D,$A48,'Portefeuille SP2'!#REF!,"O")</f>
        <v>#REF!</v>
      </c>
      <c r="V48" s="126" t="e">
        <f>SUMIFS('Portefeuille SP2'!#REF!,'Portefeuille SP2'!#REF!,1,'Portefeuille SP2'!$Q:$Q,"IN PROGRESS",'Portefeuille SP2'!#REF!,"G",'Portefeuille SP2'!$D:$D,$A48,'Portefeuille SP2'!#REF!,"o")</f>
        <v>#REF!</v>
      </c>
      <c r="W48" s="117" t="e">
        <f>SUMIFS('Portefeuille SP2'!#REF!,'Portefeuille SP2'!#REF!,1,'Portefeuille SP2'!$Q:$Q,"IN PROGRESS",'Portefeuille SP2'!#REF!,"G",'Portefeuille SP2'!$D:$D,$A48,'Portefeuille SP2'!#REF!,"o")</f>
        <v>#REF!</v>
      </c>
      <c r="X48" s="111" t="e">
        <f>SUMIFS('Portefeuille SP2'!$U:$U,'Portefeuille SP2'!#REF!,1,'Portefeuille SP2'!$Q:$Q,"IN PROGRESS",'Portefeuille SP2'!#REF!,"R",'Portefeuille SP2'!$D:$D,$A48,'Portefeuille SP2'!#REF!,"o")</f>
        <v>#REF!</v>
      </c>
      <c r="Y48" s="126" t="e">
        <f>SUMIFS('Portefeuille SP2'!#REF!,'Portefeuille SP2'!#REF!,1,'Portefeuille SP2'!$Q:$Q,"IN PROGRESS",'Portefeuille SP2'!#REF!,"R",'Portefeuille SP2'!$D:$D,$A48,'Portefeuille SP2'!#REF!,"o")</f>
        <v>#REF!</v>
      </c>
      <c r="Z48" s="117" t="e">
        <f>SUMIFS('Portefeuille SP2'!#REF!,'Portefeuille SP2'!#REF!,1,'Portefeuille SP2'!$Q:$Q,"IN PROGRESS",'Portefeuille SP2'!#REF!,"R",'Portefeuille SP2'!$D:$D,$A48,'Portefeuille SP2'!#REF!,"o")</f>
        <v>#REF!</v>
      </c>
      <c r="AA48" s="111" t="e">
        <f>SUMIFS('Portefeuille SP2'!$U:$U,'Portefeuille SP2'!#REF!,1,'Portefeuille SP2'!$Q:$Q,"DECIDED",'Portefeuille SP2'!#REF!,"G",'Portefeuille SP2'!$D:$D,$A48,'Portefeuille SP2'!#REF!,"o",'Portefeuille SP2'!#REF!,"=")</f>
        <v>#REF!</v>
      </c>
      <c r="AB48" s="126" t="e">
        <f>SUMIFS('Portefeuille SP2'!#REF!,'Portefeuille SP2'!#REF!,1,'Portefeuille SP2'!$Q:$Q,"DECIDED",'Portefeuille SP2'!#REF!,"G",'Portefeuille SP2'!$D:$D,$A48,'Portefeuille SP2'!#REF!,"o",'Portefeuille SP2'!#REF!,"=")</f>
        <v>#REF!</v>
      </c>
      <c r="AC48" s="117" t="e">
        <f>SUMIFS('Portefeuille SP2'!#REF!,'Portefeuille SP2'!#REF!,1,'Portefeuille SP2'!$Q:$Q,"DECIDED",'Portefeuille SP2'!#REF!,"G",'Portefeuille SP2'!$D:$D,$A48,'Portefeuille SP2'!#REF!,"o",'Portefeuille SP2'!#REF!,"=")</f>
        <v>#REF!</v>
      </c>
      <c r="AD48" s="111" t="e">
        <f>SUMIFS('Portefeuille SP2'!$U:$U,'Portefeuille SP2'!#REF!,1,'Portefeuille SP2'!$Q:$Q,"DECIDED",'Portefeuille SP2'!#REF!,"R",'Portefeuille SP2'!$D:$D,$A48,'Portefeuille SP2'!#REF!,"o",'Portefeuille SP2'!#REF!,"=")</f>
        <v>#REF!</v>
      </c>
      <c r="AE48" s="126" t="e">
        <f>SUMIFS('Portefeuille SP2'!#REF!,'Portefeuille SP2'!#REF!,1,'Portefeuille SP2'!$Q:$Q,"DECIDED",'Portefeuille SP2'!#REF!,"R",'Portefeuille SP2'!$D:$D,$A48,'Portefeuille SP2'!#REF!,"o",'Portefeuille SP2'!#REF!,"=")</f>
        <v>#REF!</v>
      </c>
      <c r="AF48" s="117" t="e">
        <f>SUMIFS('Portefeuille SP2'!#REF!,'Portefeuille SP2'!#REF!,1,'Portefeuille SP2'!$Q:$Q,"DECIDED",'Portefeuille SP2'!#REF!,"R",'Portefeuille SP2'!$D:$D,$A48,'Portefeuille SP2'!#REF!,"o",'Portefeuille SP2'!#REF!,"=")</f>
        <v>#REF!</v>
      </c>
      <c r="AG48" s="111" t="e">
        <f>SUMIFS('Portefeuille SP2'!$U:$U,'Portefeuille SP2'!#REF!,1,'Portefeuille SP2'!$Q:$Q,"DECIDED",'Portefeuille SP2'!#REF!,"G",'Portefeuille SP2'!$D:$D,$A48,'Portefeuille SP2'!#REF!,"o",'Portefeuille SP2'!#REF!,"&lt;&gt;")</f>
        <v>#REF!</v>
      </c>
      <c r="AH48" s="126" t="e">
        <f>SUMIFS('Portefeuille SP2'!#REF!,'Portefeuille SP2'!#REF!,1,'Portefeuille SP2'!$Q:$Q,"DECIDED",'Portefeuille SP2'!#REF!,"G",'Portefeuille SP2'!$D:$D,$A48,'Portefeuille SP2'!#REF!,"o",'Portefeuille SP2'!#REF!,"&lt;&gt;")</f>
        <v>#REF!</v>
      </c>
      <c r="AI48" s="117" t="e">
        <f>SUMIFS('Portefeuille SP2'!#REF!,'Portefeuille SP2'!#REF!,1,'Portefeuille SP2'!$Q:$Q,"DECIDED",'Portefeuille SP2'!#REF!,"G",'Portefeuille SP2'!$D:$D,$A48,'Portefeuille SP2'!#REF!,"o",'Portefeuille SP2'!#REF!,"&lt;&gt;")</f>
        <v>#REF!</v>
      </c>
      <c r="AJ48" s="111" t="e">
        <f>SUMIFS('Portefeuille SP2'!$U:$U,'Portefeuille SP2'!#REF!,1,'Portefeuille SP2'!$Q:$Q,"DECIDED",'Portefeuille SP2'!#REF!,"R",'Portefeuille SP2'!$D:$D,$A48,'Portefeuille SP2'!#REF!,"o",'Portefeuille SP2'!#REF!,"&lt;&gt;")</f>
        <v>#REF!</v>
      </c>
      <c r="AK48" s="126" t="e">
        <f>SUMIFS('Portefeuille SP2'!#REF!,'Portefeuille SP2'!#REF!,1,'Portefeuille SP2'!$Q:$Q,"DECIDED",'Portefeuille SP2'!#REF!,"R",'Portefeuille SP2'!$D:$D,$A48,'Portefeuille SP2'!#REF!,"o",'Portefeuille SP2'!#REF!,"&lt;&gt;")</f>
        <v>#REF!</v>
      </c>
      <c r="AL48" s="117" t="e">
        <f>SUMIFS('Portefeuille SP2'!#REF!,'Portefeuille SP2'!#REF!,1,'Portefeuille SP2'!$Q:$Q,"DECIDED",'Portefeuille SP2'!#REF!,"R",'Portefeuille SP2'!$D:$D,$A48,'Portefeuille SP2'!#REF!,"o",'Portefeuille SP2'!#REF!,"&lt;&gt;")</f>
        <v>#REF!</v>
      </c>
      <c r="AM48" s="117"/>
    </row>
    <row r="49" spans="1:77" outlineLevel="1">
      <c r="A49" t="s">
        <v>1316</v>
      </c>
      <c r="B49" s="139" t="e">
        <f>SUMIFS('Portefeuille SP2'!$U:$U,'Portefeuille SP2'!#REF!,1,'Portefeuille SP2'!$Q:$Q,"IN PROGRESS",'Portefeuille SP2'!#REF!,"G",'Portefeuille SP2'!$D:$D,$A49,'Portefeuille SP2'!#REF!,"S")</f>
        <v>#REF!</v>
      </c>
      <c r="C49" s="126" t="e">
        <f>SUMIFS('Portefeuille SP2'!#REF!,'Portefeuille SP2'!#REF!,1,'Portefeuille SP2'!$Q:$Q,"IN PROGRESS",'Portefeuille SP2'!#REF!,"G",'Portefeuille SP2'!$D:$D,$A49,'Portefeuille SP2'!#REF!,"S")</f>
        <v>#REF!</v>
      </c>
      <c r="D49" s="122" t="e">
        <f>SUMIFS('Portefeuille SP2'!#REF!,'Portefeuille SP2'!#REF!,1,'Portefeuille SP2'!$Q:$Q,"IN PROGRESS",'Portefeuille SP2'!#REF!,"G",'Portefeuille SP2'!$D:$D,$A49,'Portefeuille SP2'!#REF!,"S")</f>
        <v>#REF!</v>
      </c>
      <c r="E49" s="111" t="e">
        <f>SUMIFS('Portefeuille SP2'!$U:$U,'Portefeuille SP2'!#REF!,1,'Portefeuille SP2'!$Q:$Q,"IN PROGRESS",'Portefeuille SP2'!#REF!,"R",'Portefeuille SP2'!$D:$D,$A49,'Portefeuille SP2'!#REF!,"S")</f>
        <v>#REF!</v>
      </c>
      <c r="F49" s="126" t="e">
        <f>SUMIFS('Portefeuille SP2'!#REF!,'Portefeuille SP2'!#REF!,1,'Portefeuille SP2'!$Q:$Q,"IN PROGRESS",'Portefeuille SP2'!#REF!,"R",'Portefeuille SP2'!$D:$D,$A49,'Portefeuille SP2'!#REF!,"S")</f>
        <v>#REF!</v>
      </c>
      <c r="G49" s="117" t="e">
        <f>SUMIFS('Portefeuille SP2'!#REF!,'Portefeuille SP2'!#REF!,1,'Portefeuille SP2'!$Q:$Q,"IN PROGRESS",'Portefeuille SP2'!#REF!,"R",'Portefeuille SP2'!$D:$D,$A49,'Portefeuille SP2'!#REF!,"S")</f>
        <v>#REF!</v>
      </c>
      <c r="H49" s="111" t="e">
        <f>SUMIFS('Portefeuille SP2'!$U:$U,'Portefeuille SP2'!#REF!,1,'Portefeuille SP2'!$Q:$Q,"DECIDED",'Portefeuille SP2'!#REF!,"G",'Portefeuille SP2'!$D:$D,$A49,'Portefeuille SP2'!#REF!,"S",'Portefeuille SP2'!#REF!,"=")</f>
        <v>#REF!</v>
      </c>
      <c r="I49" s="117" t="e">
        <f>SUMIFS('Portefeuille SP2'!#REF!,'Portefeuille SP2'!#REF!,1,'Portefeuille SP2'!$Q:$Q,"DECIDED",'Portefeuille SP2'!#REF!,"G",'Portefeuille SP2'!$D:$D,$A49,'Portefeuille SP2'!#REF!,"S",'Portefeuille SP2'!#REF!,"=")</f>
        <v>#REF!</v>
      </c>
      <c r="J49" s="117" t="e">
        <f>SUMIFS('Portefeuille SP2'!#REF!,'Portefeuille SP2'!#REF!,1,'Portefeuille SP2'!$Q:$Q,"DECIDED",'Portefeuille SP2'!#REF!,"G",'Portefeuille SP2'!$D:$D,$A49,'Portefeuille SP2'!#REF!,"S",'Portefeuille SP2'!#REF!,"=")</f>
        <v>#REF!</v>
      </c>
      <c r="K49" s="111" t="e">
        <f>SUMIFS('Portefeuille SP2'!$U:$U,'Portefeuille SP2'!#REF!,1,'Portefeuille SP2'!$Q:$Q,"DECIDED",'Portefeuille SP2'!#REF!,"R",'Portefeuille SP2'!$D:$D,$A49,'Portefeuille SP2'!#REF!,"S",'Portefeuille SP2'!#REF!,"=")</f>
        <v>#REF!</v>
      </c>
      <c r="L49" s="126" t="e">
        <f>SUMIFS('Portefeuille SP2'!#REF!,'Portefeuille SP2'!#REF!,1,'Portefeuille SP2'!$Q:$Q,"DECIDED",'Portefeuille SP2'!#REF!,"R",'Portefeuille SP2'!$D:$D,$A49,'Portefeuille SP2'!#REF!,"S",'Portefeuille SP2'!#REF!,"=")</f>
        <v>#REF!</v>
      </c>
      <c r="M49" s="117" t="e">
        <f>SUMIFS('Portefeuille SP2'!#REF!,'Portefeuille SP2'!#REF!,1,'Portefeuille SP2'!$Q:$Q,"DECIDED",'Portefeuille SP2'!#REF!,"R",'Portefeuille SP2'!$D:$D,$A49,'Portefeuille SP2'!#REF!,"S",'Portefeuille SP2'!#REF!,"=")</f>
        <v>#REF!</v>
      </c>
      <c r="N49" s="111" t="e">
        <f>SUMIFS('Portefeuille SP2'!$U:$U,'Portefeuille SP2'!#REF!,1,'Portefeuille SP2'!$Q:$Q,"DECIDED",'Portefeuille SP2'!#REF!,"G",'Portefeuille SP2'!$D:$D,$A49,'Portefeuille SP2'!#REF!,"S",'Portefeuille SP2'!#REF!,"&lt;&gt;")</f>
        <v>#REF!</v>
      </c>
      <c r="O49" s="126" t="e">
        <f>SUMIFS('Portefeuille SP2'!#REF!,'Portefeuille SP2'!#REF!,1,'Portefeuille SP2'!$Q:$Q,"DECIDED",'Portefeuille SP2'!#REF!,"G",'Portefeuille SP2'!$D:$D,$A49,'Portefeuille SP2'!#REF!,"S",'Portefeuille SP2'!#REF!,"&lt;&gt;")</f>
        <v>#REF!</v>
      </c>
      <c r="P49" s="117" t="e">
        <f>SUMIFS('Portefeuille SP2'!#REF!,'Portefeuille SP2'!#REF!,1,'Portefeuille SP2'!$Q:$Q,"DECIDED",'Portefeuille SP2'!#REF!,"G",'Portefeuille SP2'!$D:$D,$A49,'Portefeuille SP2'!#REF!,"S",'Portefeuille SP2'!#REF!,"&lt;&gt;")</f>
        <v>#REF!</v>
      </c>
      <c r="Q49" s="111" t="e">
        <f>SUMIFS('Portefeuille SP2'!$U:$U,'Portefeuille SP2'!#REF!,1,'Portefeuille SP2'!$Q:$Q,"DECIDED",'Portefeuille SP2'!#REF!,"R",'Portefeuille SP2'!$D:$D,$A49,'Portefeuille SP2'!#REF!,"S",'Portefeuille SP2'!#REF!,"&lt;&gt;")</f>
        <v>#REF!</v>
      </c>
      <c r="R49" s="126" t="e">
        <f>SUMIFS('Portefeuille SP2'!#REF!,'Portefeuille SP2'!#REF!,1,'Portefeuille SP2'!$Q:$Q,"DECIDED",'Portefeuille SP2'!#REF!,"R",'Portefeuille SP2'!$D:$D,$A49,'Portefeuille SP2'!#REF!,"S",'Portefeuille SP2'!#REF!,"&lt;&gt;")</f>
        <v>#REF!</v>
      </c>
      <c r="S49" s="122" t="e">
        <f>SUMIFS('Portefeuille SP2'!#REF!,'Portefeuille SP2'!#REF!,1,'Portefeuille SP2'!$Q:$Q,"DECIDED",'Portefeuille SP2'!#REF!,"R",'Portefeuille SP2'!$D:$D,$A49,'Portefeuille SP2'!#REF!,"S",'Portefeuille SP2'!#REF!,"&lt;&gt;")</f>
        <v>#REF!</v>
      </c>
      <c r="U49" s="111" t="e">
        <f>SUMIFS('Portefeuille SP2'!$U:$U,'Portefeuille SP2'!#REF!,1,'Portefeuille SP2'!$Q:$Q,"IN PROGRESS",'Portefeuille SP2'!#REF!,"G",'Portefeuille SP2'!$D:$D,$A49,'Portefeuille SP2'!#REF!,"O")</f>
        <v>#REF!</v>
      </c>
      <c r="V49" s="126" t="e">
        <f>SUMIFS('Portefeuille SP2'!#REF!,'Portefeuille SP2'!#REF!,1,'Portefeuille SP2'!$Q:$Q,"IN PROGRESS",'Portefeuille SP2'!#REF!,"G",'Portefeuille SP2'!$D:$D,$A49,'Portefeuille SP2'!#REF!,"o")</f>
        <v>#REF!</v>
      </c>
      <c r="W49" s="117" t="e">
        <f>SUMIFS('Portefeuille SP2'!#REF!,'Portefeuille SP2'!#REF!,1,'Portefeuille SP2'!$Q:$Q,"IN PROGRESS",'Portefeuille SP2'!#REF!,"G",'Portefeuille SP2'!$D:$D,$A49,'Portefeuille SP2'!#REF!,"o")</f>
        <v>#REF!</v>
      </c>
      <c r="X49" s="111" t="e">
        <f>SUMIFS('Portefeuille SP2'!$U:$U,'Portefeuille SP2'!#REF!,1,'Portefeuille SP2'!$Q:$Q,"IN PROGRESS",'Portefeuille SP2'!#REF!,"R",'Portefeuille SP2'!$D:$D,$A49,'Portefeuille SP2'!#REF!,"o")</f>
        <v>#REF!</v>
      </c>
      <c r="Y49" s="126" t="e">
        <f>SUMIFS('Portefeuille SP2'!#REF!,'Portefeuille SP2'!#REF!,1,'Portefeuille SP2'!$Q:$Q,"IN PROGRESS",'Portefeuille SP2'!#REF!,"R",'Portefeuille SP2'!$D:$D,$A49,'Portefeuille SP2'!#REF!,"o")</f>
        <v>#REF!</v>
      </c>
      <c r="Z49" s="117" t="e">
        <f>SUMIFS('Portefeuille SP2'!#REF!,'Portefeuille SP2'!#REF!,1,'Portefeuille SP2'!$Q:$Q,"IN PROGRESS",'Portefeuille SP2'!#REF!,"R",'Portefeuille SP2'!$D:$D,$A49,'Portefeuille SP2'!#REF!,"o")</f>
        <v>#REF!</v>
      </c>
      <c r="AA49" s="111" t="e">
        <f>SUMIFS('Portefeuille SP2'!$U:$U,'Portefeuille SP2'!#REF!,1,'Portefeuille SP2'!$Q:$Q,"DECIDED",'Portefeuille SP2'!#REF!,"G",'Portefeuille SP2'!$D:$D,$A49,'Portefeuille SP2'!#REF!,"o",'Portefeuille SP2'!#REF!,"=")</f>
        <v>#REF!</v>
      </c>
      <c r="AB49" s="126" t="e">
        <f>SUMIFS('Portefeuille SP2'!#REF!,'Portefeuille SP2'!#REF!,1,'Portefeuille SP2'!$Q:$Q,"DECIDED",'Portefeuille SP2'!#REF!,"G",'Portefeuille SP2'!$D:$D,$A49,'Portefeuille SP2'!#REF!,"o",'Portefeuille SP2'!#REF!,"=")</f>
        <v>#REF!</v>
      </c>
      <c r="AC49" s="117" t="e">
        <f>SUMIFS('Portefeuille SP2'!#REF!,'Portefeuille SP2'!#REF!,1,'Portefeuille SP2'!$Q:$Q,"DECIDED",'Portefeuille SP2'!#REF!,"G",'Portefeuille SP2'!$D:$D,$A49,'Portefeuille SP2'!#REF!,"o",'Portefeuille SP2'!#REF!,"=")</f>
        <v>#REF!</v>
      </c>
      <c r="AD49" s="111" t="e">
        <f>SUMIFS('Portefeuille SP2'!$U:$U,'Portefeuille SP2'!#REF!,1,'Portefeuille SP2'!$Q:$Q,"DECIDED",'Portefeuille SP2'!#REF!,"R",'Portefeuille SP2'!$D:$D,$A49,'Portefeuille SP2'!#REF!,"o",'Portefeuille SP2'!#REF!,"=")</f>
        <v>#REF!</v>
      </c>
      <c r="AE49" s="126" t="e">
        <f>SUMIFS('Portefeuille SP2'!#REF!,'Portefeuille SP2'!#REF!,1,'Portefeuille SP2'!$Q:$Q,"DECIDED",'Portefeuille SP2'!#REF!,"R",'Portefeuille SP2'!$D:$D,$A49,'Portefeuille SP2'!#REF!,"o",'Portefeuille SP2'!#REF!,"=")</f>
        <v>#REF!</v>
      </c>
      <c r="AF49" s="117" t="e">
        <f>SUMIFS('Portefeuille SP2'!#REF!,'Portefeuille SP2'!#REF!,1,'Portefeuille SP2'!$Q:$Q,"DECIDED",'Portefeuille SP2'!#REF!,"R",'Portefeuille SP2'!$D:$D,$A49,'Portefeuille SP2'!#REF!,"o",'Portefeuille SP2'!#REF!,"=")</f>
        <v>#REF!</v>
      </c>
      <c r="AG49" s="111" t="e">
        <f>SUMIFS('Portefeuille SP2'!$U:$U,'Portefeuille SP2'!#REF!,1,'Portefeuille SP2'!$Q:$Q,"DECIDED",'Portefeuille SP2'!#REF!,"G",'Portefeuille SP2'!$D:$D,$A49,'Portefeuille SP2'!#REF!,"o",'Portefeuille SP2'!#REF!,"&lt;&gt;")</f>
        <v>#REF!</v>
      </c>
      <c r="AH49" s="126" t="e">
        <f>SUMIFS('Portefeuille SP2'!#REF!,'Portefeuille SP2'!#REF!,1,'Portefeuille SP2'!$Q:$Q,"DECIDED",'Portefeuille SP2'!#REF!,"G",'Portefeuille SP2'!$D:$D,$A49,'Portefeuille SP2'!#REF!,"o",'Portefeuille SP2'!#REF!,"&lt;&gt;")</f>
        <v>#REF!</v>
      </c>
      <c r="AI49" s="117" t="e">
        <f>SUMIFS('Portefeuille SP2'!#REF!,'Portefeuille SP2'!#REF!,1,'Portefeuille SP2'!$Q:$Q,"DECIDED",'Portefeuille SP2'!#REF!,"G",'Portefeuille SP2'!$D:$D,$A49,'Portefeuille SP2'!#REF!,"o",'Portefeuille SP2'!#REF!,"&lt;&gt;")</f>
        <v>#REF!</v>
      </c>
      <c r="AJ49" s="111" t="e">
        <f>SUMIFS('Portefeuille SP2'!$U:$U,'Portefeuille SP2'!#REF!,1,'Portefeuille SP2'!$Q:$Q,"DECIDED",'Portefeuille SP2'!#REF!,"R",'Portefeuille SP2'!$D:$D,$A49,'Portefeuille SP2'!#REF!,"o",'Portefeuille SP2'!#REF!,"&lt;&gt;")</f>
        <v>#REF!</v>
      </c>
      <c r="AK49" s="126" t="e">
        <f>SUMIFS('Portefeuille SP2'!#REF!,'Portefeuille SP2'!#REF!,1,'Portefeuille SP2'!$Q:$Q,"DECIDED",'Portefeuille SP2'!#REF!,"R",'Portefeuille SP2'!$D:$D,$A49,'Portefeuille SP2'!#REF!,"o",'Portefeuille SP2'!#REF!,"&lt;&gt;")</f>
        <v>#REF!</v>
      </c>
      <c r="AL49" s="117" t="e">
        <f>SUMIFS('Portefeuille SP2'!#REF!,'Portefeuille SP2'!#REF!,1,'Portefeuille SP2'!$Q:$Q,"DECIDED",'Portefeuille SP2'!#REF!,"R",'Portefeuille SP2'!$D:$D,$A49,'Portefeuille SP2'!#REF!,"o",'Portefeuille SP2'!#REF!,"&lt;&gt;")</f>
        <v>#REF!</v>
      </c>
      <c r="AM49" s="117"/>
    </row>
    <row r="50" spans="1:77" outlineLevel="1">
      <c r="A50" t="s">
        <v>1324</v>
      </c>
      <c r="B50" s="139" t="e">
        <f>SUMIFS('Portefeuille SP2'!$U:$U,'Portefeuille SP2'!#REF!,1,'Portefeuille SP2'!$Q:$Q,"IN PROGRESS",'Portefeuille SP2'!#REF!,"G",'Portefeuille SP2'!$D:$D,$A50,'Portefeuille SP2'!#REF!,"S")</f>
        <v>#REF!</v>
      </c>
      <c r="C50" s="126" t="e">
        <f>SUMIFS('Portefeuille SP2'!#REF!,'Portefeuille SP2'!#REF!,1,'Portefeuille SP2'!$Q:$Q,"IN PROGRESS",'Portefeuille SP2'!#REF!,"G",'Portefeuille SP2'!$D:$D,$A50,'Portefeuille SP2'!#REF!,"S")</f>
        <v>#REF!</v>
      </c>
      <c r="D50" s="122" t="e">
        <f>SUMIFS('Portefeuille SP2'!#REF!,'Portefeuille SP2'!#REF!,1,'Portefeuille SP2'!$Q:$Q,"IN PROGRESS",'Portefeuille SP2'!#REF!,"G",'Portefeuille SP2'!$D:$D,$A50,'Portefeuille SP2'!#REF!,"S")</f>
        <v>#REF!</v>
      </c>
      <c r="E50" s="111" t="e">
        <f>SUMIFS('Portefeuille SP2'!$U:$U,'Portefeuille SP2'!#REF!,1,'Portefeuille SP2'!$Q:$Q,"IN PROGRESS",'Portefeuille SP2'!#REF!,"R",'Portefeuille SP2'!$D:$D,$A50,'Portefeuille SP2'!#REF!,"S")</f>
        <v>#REF!</v>
      </c>
      <c r="F50" s="126" t="e">
        <f>SUMIFS('Portefeuille SP2'!#REF!,'Portefeuille SP2'!#REF!,1,'Portefeuille SP2'!$Q:$Q,"IN PROGRESS",'Portefeuille SP2'!#REF!,"R",'Portefeuille SP2'!$D:$D,$A50,'Portefeuille SP2'!#REF!,"S")</f>
        <v>#REF!</v>
      </c>
      <c r="G50" s="117" t="e">
        <f>SUMIFS('Portefeuille SP2'!#REF!,'Portefeuille SP2'!#REF!,1,'Portefeuille SP2'!$Q:$Q,"IN PROGRESS",'Portefeuille SP2'!#REF!,"R",'Portefeuille SP2'!$D:$D,$A50,'Portefeuille SP2'!#REF!,"S")</f>
        <v>#REF!</v>
      </c>
      <c r="H50" s="111" t="e">
        <f>SUMIFS('Portefeuille SP2'!$U:$U,'Portefeuille SP2'!#REF!,1,'Portefeuille SP2'!$Q:$Q,"DECIDED",'Portefeuille SP2'!#REF!,"G",'Portefeuille SP2'!$D:$D,$A50,'Portefeuille SP2'!#REF!,"S",'Portefeuille SP2'!#REF!,"=")</f>
        <v>#REF!</v>
      </c>
      <c r="I50" s="117" t="e">
        <f>SUMIFS('Portefeuille SP2'!#REF!,'Portefeuille SP2'!#REF!,1,'Portefeuille SP2'!$Q:$Q,"DECIDED",'Portefeuille SP2'!#REF!,"G",'Portefeuille SP2'!$D:$D,$A50,'Portefeuille SP2'!#REF!,"S",'Portefeuille SP2'!#REF!,"=")</f>
        <v>#REF!</v>
      </c>
      <c r="J50" s="117" t="e">
        <f>SUMIFS('Portefeuille SP2'!#REF!,'Portefeuille SP2'!#REF!,1,'Portefeuille SP2'!$Q:$Q,"DECIDED",'Portefeuille SP2'!#REF!,"G",'Portefeuille SP2'!$D:$D,$A50,'Portefeuille SP2'!#REF!,"S",'Portefeuille SP2'!#REF!,"=")</f>
        <v>#REF!</v>
      </c>
      <c r="K50" s="111" t="e">
        <f>SUMIFS('Portefeuille SP2'!$U:$U,'Portefeuille SP2'!#REF!,1,'Portefeuille SP2'!$Q:$Q,"DECIDED",'Portefeuille SP2'!#REF!,"R",'Portefeuille SP2'!$D:$D,$A50,'Portefeuille SP2'!#REF!,"S",'Portefeuille SP2'!#REF!,"=")</f>
        <v>#REF!</v>
      </c>
      <c r="L50" s="126" t="e">
        <f>SUMIFS('Portefeuille SP2'!#REF!,'Portefeuille SP2'!#REF!,1,'Portefeuille SP2'!$Q:$Q,"DECIDED",'Portefeuille SP2'!#REF!,"R",'Portefeuille SP2'!$D:$D,$A50,'Portefeuille SP2'!#REF!,"S",'Portefeuille SP2'!#REF!,"=")</f>
        <v>#REF!</v>
      </c>
      <c r="M50" s="117" t="e">
        <f>SUMIFS('Portefeuille SP2'!#REF!,'Portefeuille SP2'!#REF!,1,'Portefeuille SP2'!$Q:$Q,"DECIDED",'Portefeuille SP2'!#REF!,"R",'Portefeuille SP2'!$D:$D,$A50,'Portefeuille SP2'!#REF!,"S",'Portefeuille SP2'!#REF!,"=")</f>
        <v>#REF!</v>
      </c>
      <c r="N50" s="111" t="e">
        <f>SUMIFS('Portefeuille SP2'!$U:$U,'Portefeuille SP2'!#REF!,1,'Portefeuille SP2'!$Q:$Q,"DECIDED",'Portefeuille SP2'!#REF!,"G",'Portefeuille SP2'!$D:$D,$A50,'Portefeuille SP2'!#REF!,"S",'Portefeuille SP2'!#REF!,"&lt;&gt;")</f>
        <v>#REF!</v>
      </c>
      <c r="O50" s="126" t="e">
        <f>SUMIFS('Portefeuille SP2'!#REF!,'Portefeuille SP2'!#REF!,1,'Portefeuille SP2'!$Q:$Q,"DECIDED",'Portefeuille SP2'!#REF!,"G",'Portefeuille SP2'!$D:$D,$A50,'Portefeuille SP2'!#REF!,"S",'Portefeuille SP2'!#REF!,"&lt;&gt;")</f>
        <v>#REF!</v>
      </c>
      <c r="P50" s="117" t="e">
        <f>SUMIFS('Portefeuille SP2'!#REF!,'Portefeuille SP2'!#REF!,1,'Portefeuille SP2'!$Q:$Q,"DECIDED",'Portefeuille SP2'!#REF!,"G",'Portefeuille SP2'!$D:$D,$A50,'Portefeuille SP2'!#REF!,"S",'Portefeuille SP2'!#REF!,"&lt;&gt;")</f>
        <v>#REF!</v>
      </c>
      <c r="Q50" s="111" t="e">
        <f>SUMIFS('Portefeuille SP2'!$U:$U,'Portefeuille SP2'!#REF!,1,'Portefeuille SP2'!$Q:$Q,"DECIDED",'Portefeuille SP2'!#REF!,"R",'Portefeuille SP2'!$D:$D,$A50,'Portefeuille SP2'!#REF!,"S",'Portefeuille SP2'!#REF!,"&lt;&gt;")</f>
        <v>#REF!</v>
      </c>
      <c r="R50" s="126" t="e">
        <f>SUMIFS('Portefeuille SP2'!#REF!,'Portefeuille SP2'!#REF!,1,'Portefeuille SP2'!$Q:$Q,"DECIDED",'Portefeuille SP2'!#REF!,"R",'Portefeuille SP2'!$D:$D,$A50,'Portefeuille SP2'!#REF!,"S",'Portefeuille SP2'!#REF!,"&lt;&gt;")</f>
        <v>#REF!</v>
      </c>
      <c r="S50" s="122" t="e">
        <f>SUMIFS('Portefeuille SP2'!#REF!,'Portefeuille SP2'!#REF!,1,'Portefeuille SP2'!$Q:$Q,"DECIDED",'Portefeuille SP2'!#REF!,"R",'Portefeuille SP2'!$D:$D,$A50,'Portefeuille SP2'!#REF!,"S",'Portefeuille SP2'!#REF!,"&lt;&gt;")</f>
        <v>#REF!</v>
      </c>
      <c r="U50" s="111" t="e">
        <f>SUMIFS('Portefeuille SP2'!$U:$U,'Portefeuille SP2'!#REF!,1,'Portefeuille SP2'!$Q:$Q,"IN PROGRESS",'Portefeuille SP2'!#REF!,"G",'Portefeuille SP2'!$D:$D,$A50,'Portefeuille SP2'!#REF!,"O")</f>
        <v>#REF!</v>
      </c>
      <c r="V50" s="126" t="e">
        <f>SUMIFS('Portefeuille SP2'!#REF!,'Portefeuille SP2'!#REF!,1,'Portefeuille SP2'!$Q:$Q,"IN PROGRESS",'Portefeuille SP2'!#REF!,"G",'Portefeuille SP2'!$D:$D,$A50,'Portefeuille SP2'!#REF!,"o")</f>
        <v>#REF!</v>
      </c>
      <c r="W50" s="117" t="e">
        <f>SUMIFS('Portefeuille SP2'!#REF!,'Portefeuille SP2'!#REF!,1,'Portefeuille SP2'!$Q:$Q,"IN PROGRESS",'Portefeuille SP2'!#REF!,"G",'Portefeuille SP2'!$D:$D,$A50,'Portefeuille SP2'!#REF!,"o")</f>
        <v>#REF!</v>
      </c>
      <c r="X50" s="111" t="e">
        <f>SUMIFS('Portefeuille SP2'!$U:$U,'Portefeuille SP2'!#REF!,1,'Portefeuille SP2'!$Q:$Q,"IN PROGRESS",'Portefeuille SP2'!#REF!,"R",'Portefeuille SP2'!$D:$D,$A50,'Portefeuille SP2'!#REF!,"o")</f>
        <v>#REF!</v>
      </c>
      <c r="Y50" s="126" t="e">
        <f>SUMIFS('Portefeuille SP2'!#REF!,'Portefeuille SP2'!#REF!,1,'Portefeuille SP2'!$Q:$Q,"IN PROGRESS",'Portefeuille SP2'!#REF!,"R",'Portefeuille SP2'!$D:$D,$A50,'Portefeuille SP2'!#REF!,"o")</f>
        <v>#REF!</v>
      </c>
      <c r="Z50" s="117" t="e">
        <f>SUMIFS('Portefeuille SP2'!#REF!,'Portefeuille SP2'!#REF!,1,'Portefeuille SP2'!$Q:$Q,"IN PROGRESS",'Portefeuille SP2'!#REF!,"R",'Portefeuille SP2'!$D:$D,$A50,'Portefeuille SP2'!#REF!,"o")</f>
        <v>#REF!</v>
      </c>
      <c r="AA50" s="111" t="e">
        <f>SUMIFS('Portefeuille SP2'!$U:$U,'Portefeuille SP2'!#REF!,1,'Portefeuille SP2'!$Q:$Q,"DECIDED",'Portefeuille SP2'!#REF!,"G",'Portefeuille SP2'!$D:$D,$A50,'Portefeuille SP2'!#REF!,"o",'Portefeuille SP2'!#REF!,"=")</f>
        <v>#REF!</v>
      </c>
      <c r="AB50" s="126" t="e">
        <f>SUMIFS('Portefeuille SP2'!#REF!,'Portefeuille SP2'!#REF!,1,'Portefeuille SP2'!$Q:$Q,"DECIDED",'Portefeuille SP2'!#REF!,"G",'Portefeuille SP2'!$D:$D,$A50,'Portefeuille SP2'!#REF!,"o",'Portefeuille SP2'!#REF!,"=")</f>
        <v>#REF!</v>
      </c>
      <c r="AC50" s="117" t="e">
        <f>SUMIFS('Portefeuille SP2'!#REF!,'Portefeuille SP2'!#REF!,1,'Portefeuille SP2'!$Q:$Q,"DECIDED",'Portefeuille SP2'!#REF!,"G",'Portefeuille SP2'!$D:$D,$A50,'Portefeuille SP2'!#REF!,"o",'Portefeuille SP2'!#REF!,"=")</f>
        <v>#REF!</v>
      </c>
      <c r="AD50" s="111" t="e">
        <f>SUMIFS('Portefeuille SP2'!$U:$U,'Portefeuille SP2'!#REF!,1,'Portefeuille SP2'!$Q:$Q,"DECIDED",'Portefeuille SP2'!#REF!,"R",'Portefeuille SP2'!$D:$D,$A50,'Portefeuille SP2'!#REF!,"o",'Portefeuille SP2'!#REF!,"=")</f>
        <v>#REF!</v>
      </c>
      <c r="AE50" s="126" t="e">
        <f>SUMIFS('Portefeuille SP2'!#REF!,'Portefeuille SP2'!#REF!,1,'Portefeuille SP2'!$Q:$Q,"DECIDED",'Portefeuille SP2'!#REF!,"R",'Portefeuille SP2'!$D:$D,$A50,'Portefeuille SP2'!#REF!,"o",'Portefeuille SP2'!#REF!,"=")</f>
        <v>#REF!</v>
      </c>
      <c r="AF50" s="117" t="e">
        <f>SUMIFS('Portefeuille SP2'!#REF!,'Portefeuille SP2'!#REF!,1,'Portefeuille SP2'!$Q:$Q,"DECIDED",'Portefeuille SP2'!#REF!,"R",'Portefeuille SP2'!$D:$D,$A50,'Portefeuille SP2'!#REF!,"o",'Portefeuille SP2'!#REF!,"=")</f>
        <v>#REF!</v>
      </c>
      <c r="AG50" s="111" t="e">
        <f>SUMIFS('Portefeuille SP2'!$U:$U,'Portefeuille SP2'!#REF!,1,'Portefeuille SP2'!$Q:$Q,"DECIDED",'Portefeuille SP2'!#REF!,"G",'Portefeuille SP2'!$D:$D,$A50,'Portefeuille SP2'!#REF!,"o",'Portefeuille SP2'!#REF!,"&lt;&gt;")</f>
        <v>#REF!</v>
      </c>
      <c r="AH50" s="126" t="e">
        <f>SUMIFS('Portefeuille SP2'!#REF!,'Portefeuille SP2'!#REF!,1,'Portefeuille SP2'!$Q:$Q,"DECIDED",'Portefeuille SP2'!#REF!,"G",'Portefeuille SP2'!$D:$D,$A50,'Portefeuille SP2'!#REF!,"o",'Portefeuille SP2'!#REF!,"&lt;&gt;")</f>
        <v>#REF!</v>
      </c>
      <c r="AI50" s="117" t="e">
        <f>SUMIFS('Portefeuille SP2'!#REF!,'Portefeuille SP2'!#REF!,1,'Portefeuille SP2'!$Q:$Q,"DECIDED",'Portefeuille SP2'!#REF!,"G",'Portefeuille SP2'!$D:$D,$A50,'Portefeuille SP2'!#REF!,"o",'Portefeuille SP2'!#REF!,"&lt;&gt;")</f>
        <v>#REF!</v>
      </c>
      <c r="AJ50" s="111" t="e">
        <f>SUMIFS('Portefeuille SP2'!$U:$U,'Portefeuille SP2'!#REF!,1,'Portefeuille SP2'!$Q:$Q,"DECIDED",'Portefeuille SP2'!#REF!,"R",'Portefeuille SP2'!$D:$D,$A50,'Portefeuille SP2'!#REF!,"o",'Portefeuille SP2'!#REF!,"&lt;&gt;")</f>
        <v>#REF!</v>
      </c>
      <c r="AK50" s="126" t="e">
        <f>SUMIFS('Portefeuille SP2'!#REF!,'Portefeuille SP2'!#REF!,1,'Portefeuille SP2'!$Q:$Q,"DECIDED",'Portefeuille SP2'!#REF!,"R",'Portefeuille SP2'!$D:$D,$A50,'Portefeuille SP2'!#REF!,"o",'Portefeuille SP2'!#REF!,"&lt;&gt;")</f>
        <v>#REF!</v>
      </c>
      <c r="AL50" s="117" t="e">
        <f>SUMIFS('Portefeuille SP2'!#REF!,'Portefeuille SP2'!#REF!,1,'Portefeuille SP2'!$Q:$Q,"DECIDED",'Portefeuille SP2'!#REF!,"R",'Portefeuille SP2'!$D:$D,$A50,'Portefeuille SP2'!#REF!,"o",'Portefeuille SP2'!#REF!,"&lt;&gt;")</f>
        <v>#REF!</v>
      </c>
      <c r="AM50" s="117"/>
    </row>
    <row r="51" spans="1:77" outlineLevel="1">
      <c r="A51" t="s">
        <v>1318</v>
      </c>
      <c r="B51" s="139" t="e">
        <f>SUMIFS('Portefeuille SP2'!$U:$U,'Portefeuille SP2'!#REF!,1,'Portefeuille SP2'!$Q:$Q,"IN PROGRESS",'Portefeuille SP2'!#REF!,"G",'Portefeuille SP2'!$D:$D,$A51,'Portefeuille SP2'!#REF!,"S")</f>
        <v>#REF!</v>
      </c>
      <c r="C51" s="126" t="e">
        <f>SUMIFS('Portefeuille SP2'!#REF!,'Portefeuille SP2'!#REF!,1,'Portefeuille SP2'!$Q:$Q,"IN PROGRESS",'Portefeuille SP2'!#REF!,"G",'Portefeuille SP2'!$D:$D,$A51,'Portefeuille SP2'!#REF!,"S")</f>
        <v>#REF!</v>
      </c>
      <c r="D51" s="122" t="e">
        <f>SUMIFS('Portefeuille SP2'!#REF!,'Portefeuille SP2'!#REF!,1,'Portefeuille SP2'!$Q:$Q,"IN PROGRESS",'Portefeuille SP2'!#REF!,"G",'Portefeuille SP2'!$D:$D,$A51,'Portefeuille SP2'!#REF!,"S")</f>
        <v>#REF!</v>
      </c>
      <c r="E51" s="111" t="e">
        <f>SUMIFS('Portefeuille SP2'!$U:$U,'Portefeuille SP2'!#REF!,1,'Portefeuille SP2'!$Q:$Q,"IN PROGRESS",'Portefeuille SP2'!#REF!,"R",'Portefeuille SP2'!$D:$D,$A51,'Portefeuille SP2'!#REF!,"S")</f>
        <v>#REF!</v>
      </c>
      <c r="F51" s="126" t="e">
        <f>SUMIFS('Portefeuille SP2'!#REF!,'Portefeuille SP2'!#REF!,1,'Portefeuille SP2'!$Q:$Q,"IN PROGRESS",'Portefeuille SP2'!#REF!,"R",'Portefeuille SP2'!$D:$D,$A51,'Portefeuille SP2'!#REF!,"S")</f>
        <v>#REF!</v>
      </c>
      <c r="G51" s="117" t="e">
        <f>SUMIFS('Portefeuille SP2'!#REF!,'Portefeuille SP2'!#REF!,1,'Portefeuille SP2'!$Q:$Q,"IN PROGRESS",'Portefeuille SP2'!#REF!,"R",'Portefeuille SP2'!$D:$D,$A51,'Portefeuille SP2'!#REF!,"S")</f>
        <v>#REF!</v>
      </c>
      <c r="H51" s="141" t="e">
        <f>SUMIFS('Portefeuille SP2'!$U:$U,'Portefeuille SP2'!#REF!,1,'Portefeuille SP2'!$Q:$Q,"DECIDED",'Portefeuille SP2'!#REF!,"G",'Portefeuille SP2'!$D:$D,$A51,'Portefeuille SP2'!#REF!,"S",'Portefeuille SP2'!#REF!,"=")</f>
        <v>#REF!</v>
      </c>
      <c r="I51" s="117" t="e">
        <f>SUMIFS('Portefeuille SP2'!#REF!,'Portefeuille SP2'!#REF!,1,'Portefeuille SP2'!$Q:$Q,"DECIDED",'Portefeuille SP2'!#REF!,"G",'Portefeuille SP2'!$D:$D,$A51,'Portefeuille SP2'!#REF!,"S",'Portefeuille SP2'!#REF!,"=")</f>
        <v>#REF!</v>
      </c>
      <c r="J51" s="117" t="e">
        <f>SUMIFS('Portefeuille SP2'!#REF!,'Portefeuille SP2'!#REF!,1,'Portefeuille SP2'!$Q:$Q,"DECIDED",'Portefeuille SP2'!#REF!,"G",'Portefeuille SP2'!$D:$D,$A51,'Portefeuille SP2'!#REF!,"S",'Portefeuille SP2'!#REF!,"=")</f>
        <v>#REF!</v>
      </c>
      <c r="K51" s="111" t="e">
        <f>SUMIFS('Portefeuille SP2'!$U:$U,'Portefeuille SP2'!#REF!,1,'Portefeuille SP2'!$Q:$Q,"DECIDED",'Portefeuille SP2'!#REF!,"R",'Portefeuille SP2'!$D:$D,$A51,'Portefeuille SP2'!#REF!,"S",'Portefeuille SP2'!#REF!,"=")</f>
        <v>#REF!</v>
      </c>
      <c r="L51" s="126" t="e">
        <f>SUMIFS('Portefeuille SP2'!#REF!,'Portefeuille SP2'!#REF!,1,'Portefeuille SP2'!$Q:$Q,"DECIDED",'Portefeuille SP2'!#REF!,"R",'Portefeuille SP2'!$D:$D,$A51,'Portefeuille SP2'!#REF!,"S",'Portefeuille SP2'!#REF!,"=")</f>
        <v>#REF!</v>
      </c>
      <c r="M51" s="117" t="e">
        <f>SUMIFS('Portefeuille SP2'!#REF!,'Portefeuille SP2'!#REF!,1,'Portefeuille SP2'!$Q:$Q,"DECIDED",'Portefeuille SP2'!#REF!,"R",'Portefeuille SP2'!$D:$D,$A51,'Portefeuille SP2'!#REF!,"S",'Portefeuille SP2'!#REF!,"=")</f>
        <v>#REF!</v>
      </c>
      <c r="N51" s="111" t="e">
        <f>SUMIFS('Portefeuille SP2'!$U:$U,'Portefeuille SP2'!#REF!,1,'Portefeuille SP2'!$Q:$Q,"DECIDED",'Portefeuille SP2'!#REF!,"G",'Portefeuille SP2'!$D:$D,$A51,'Portefeuille SP2'!#REF!,"S",'Portefeuille SP2'!#REF!,"&lt;&gt;")</f>
        <v>#REF!</v>
      </c>
      <c r="O51" s="126" t="e">
        <f>SUMIFS('Portefeuille SP2'!#REF!,'Portefeuille SP2'!#REF!,1,'Portefeuille SP2'!$Q:$Q,"DECIDED",'Portefeuille SP2'!#REF!,"G",'Portefeuille SP2'!$D:$D,$A51,'Portefeuille SP2'!#REF!,"S",'Portefeuille SP2'!#REF!,"&lt;&gt;")</f>
        <v>#REF!</v>
      </c>
      <c r="P51" s="117" t="e">
        <f>SUMIFS('Portefeuille SP2'!#REF!,'Portefeuille SP2'!#REF!,1,'Portefeuille SP2'!$Q:$Q,"DECIDED",'Portefeuille SP2'!#REF!,"G",'Portefeuille SP2'!$D:$D,$A51,'Portefeuille SP2'!#REF!,"S",'Portefeuille SP2'!#REF!,"&lt;&gt;")</f>
        <v>#REF!</v>
      </c>
      <c r="Q51" s="111" t="e">
        <f>SUMIFS('Portefeuille SP2'!$U:$U,'Portefeuille SP2'!#REF!,1,'Portefeuille SP2'!$Q:$Q,"DECIDED",'Portefeuille SP2'!#REF!,"R",'Portefeuille SP2'!$D:$D,$A51,'Portefeuille SP2'!#REF!,"S",'Portefeuille SP2'!#REF!,"&lt;&gt;")</f>
        <v>#REF!</v>
      </c>
      <c r="R51" s="126" t="e">
        <f>SUMIFS('Portefeuille SP2'!#REF!,'Portefeuille SP2'!#REF!,1,'Portefeuille SP2'!$Q:$Q,"DECIDED",'Portefeuille SP2'!#REF!,"R",'Portefeuille SP2'!$D:$D,$A51,'Portefeuille SP2'!#REF!,"S",'Portefeuille SP2'!#REF!,"&lt;&gt;")</f>
        <v>#REF!</v>
      </c>
      <c r="S51" s="122" t="e">
        <f>SUMIFS('Portefeuille SP2'!#REF!,'Portefeuille SP2'!#REF!,1,'Portefeuille SP2'!$Q:$Q,"DECIDED",'Portefeuille SP2'!#REF!,"R",'Portefeuille SP2'!$D:$D,$A51,'Portefeuille SP2'!#REF!,"S",'Portefeuille SP2'!#REF!,"&lt;&gt;")</f>
        <v>#REF!</v>
      </c>
      <c r="U51" s="111" t="e">
        <f>SUMIFS('Portefeuille SP2'!$U:$U,'Portefeuille SP2'!#REF!,1,'Portefeuille SP2'!$Q:$Q,"IN PROGRESS",'Portefeuille SP2'!#REF!,"G",'Portefeuille SP2'!$D:$D,$A51,'Portefeuille SP2'!#REF!,"O")</f>
        <v>#REF!</v>
      </c>
      <c r="V51" s="126" t="e">
        <f>SUMIFS('Portefeuille SP2'!#REF!,'Portefeuille SP2'!#REF!,1,'Portefeuille SP2'!$Q:$Q,"IN PROGRESS",'Portefeuille SP2'!#REF!,"G",'Portefeuille SP2'!$D:$D,$A51,'Portefeuille SP2'!#REF!,"o")</f>
        <v>#REF!</v>
      </c>
      <c r="W51" s="117" t="e">
        <f>SUMIFS('Portefeuille SP2'!#REF!,'Portefeuille SP2'!#REF!,1,'Portefeuille SP2'!$Q:$Q,"IN PROGRESS",'Portefeuille SP2'!#REF!,"G",'Portefeuille SP2'!$D:$D,$A51,'Portefeuille SP2'!#REF!,"o")</f>
        <v>#REF!</v>
      </c>
      <c r="X51" s="111" t="e">
        <f>SUMIFS('Portefeuille SP2'!$U:$U,'Portefeuille SP2'!#REF!,1,'Portefeuille SP2'!$Q:$Q,"IN PROGRESS",'Portefeuille SP2'!#REF!,"R",'Portefeuille SP2'!$D:$D,$A51,'Portefeuille SP2'!#REF!,"o")</f>
        <v>#REF!</v>
      </c>
      <c r="Y51" s="126" t="e">
        <f>SUMIFS('Portefeuille SP2'!#REF!,'Portefeuille SP2'!#REF!,1,'Portefeuille SP2'!$Q:$Q,"IN PROGRESS",'Portefeuille SP2'!#REF!,"R",'Portefeuille SP2'!$D:$D,$A51,'Portefeuille SP2'!#REF!,"o")</f>
        <v>#REF!</v>
      </c>
      <c r="Z51" s="117" t="e">
        <f>SUMIFS('Portefeuille SP2'!#REF!,'Portefeuille SP2'!#REF!,1,'Portefeuille SP2'!$Q:$Q,"IN PROGRESS",'Portefeuille SP2'!#REF!,"R",'Portefeuille SP2'!$D:$D,$A51,'Portefeuille SP2'!#REF!,"o")</f>
        <v>#REF!</v>
      </c>
      <c r="AA51" s="111" t="e">
        <f>SUMIFS('Portefeuille SP2'!$U:$U,'Portefeuille SP2'!#REF!,1,'Portefeuille SP2'!$Q:$Q,"DECIDED",'Portefeuille SP2'!#REF!,"G",'Portefeuille SP2'!$D:$D,$A51,'Portefeuille SP2'!#REF!,"o",'Portefeuille SP2'!#REF!,"=")</f>
        <v>#REF!</v>
      </c>
      <c r="AB51" s="126" t="e">
        <f>SUMIFS('Portefeuille SP2'!#REF!,'Portefeuille SP2'!#REF!,1,'Portefeuille SP2'!$Q:$Q,"DECIDED",'Portefeuille SP2'!#REF!,"G",'Portefeuille SP2'!$D:$D,$A51,'Portefeuille SP2'!#REF!,"o",'Portefeuille SP2'!#REF!,"=")</f>
        <v>#REF!</v>
      </c>
      <c r="AC51" s="117" t="e">
        <f>SUMIFS('Portefeuille SP2'!#REF!,'Portefeuille SP2'!#REF!,1,'Portefeuille SP2'!$Q:$Q,"DECIDED",'Portefeuille SP2'!#REF!,"G",'Portefeuille SP2'!$D:$D,$A51,'Portefeuille SP2'!#REF!,"o",'Portefeuille SP2'!#REF!,"=")</f>
        <v>#REF!</v>
      </c>
      <c r="AD51" s="111" t="e">
        <f>SUMIFS('Portefeuille SP2'!$U:$U,'Portefeuille SP2'!#REF!,1,'Portefeuille SP2'!$Q:$Q,"DECIDED",'Portefeuille SP2'!#REF!,"R",'Portefeuille SP2'!$D:$D,$A51,'Portefeuille SP2'!#REF!,"o",'Portefeuille SP2'!#REF!,"=")</f>
        <v>#REF!</v>
      </c>
      <c r="AE51" s="126" t="e">
        <f>SUMIFS('Portefeuille SP2'!#REF!,'Portefeuille SP2'!#REF!,1,'Portefeuille SP2'!$Q:$Q,"DECIDED",'Portefeuille SP2'!#REF!,"R",'Portefeuille SP2'!$D:$D,$A51,'Portefeuille SP2'!#REF!,"o",'Portefeuille SP2'!#REF!,"=")</f>
        <v>#REF!</v>
      </c>
      <c r="AF51" s="117" t="e">
        <f>SUMIFS('Portefeuille SP2'!#REF!,'Portefeuille SP2'!#REF!,1,'Portefeuille SP2'!$Q:$Q,"DECIDED",'Portefeuille SP2'!#REF!,"R",'Portefeuille SP2'!$D:$D,$A51,'Portefeuille SP2'!#REF!,"o",'Portefeuille SP2'!#REF!,"=")</f>
        <v>#REF!</v>
      </c>
      <c r="AG51" s="111" t="e">
        <f>SUMIFS('Portefeuille SP2'!$U:$U,'Portefeuille SP2'!#REF!,1,'Portefeuille SP2'!$Q:$Q,"DECIDED",'Portefeuille SP2'!#REF!,"G",'Portefeuille SP2'!$D:$D,$A51,'Portefeuille SP2'!#REF!,"o",'Portefeuille SP2'!#REF!,"&lt;&gt;")</f>
        <v>#REF!</v>
      </c>
      <c r="AH51" s="126" t="e">
        <f>SUMIFS('Portefeuille SP2'!#REF!,'Portefeuille SP2'!#REF!,1,'Portefeuille SP2'!$Q:$Q,"DECIDED",'Portefeuille SP2'!#REF!,"G",'Portefeuille SP2'!$D:$D,$A51,'Portefeuille SP2'!#REF!,"o",'Portefeuille SP2'!#REF!,"&lt;&gt;")</f>
        <v>#REF!</v>
      </c>
      <c r="AI51" s="117" t="e">
        <f>SUMIFS('Portefeuille SP2'!#REF!,'Portefeuille SP2'!#REF!,1,'Portefeuille SP2'!$Q:$Q,"DECIDED",'Portefeuille SP2'!#REF!,"G",'Portefeuille SP2'!$D:$D,$A51,'Portefeuille SP2'!#REF!,"o",'Portefeuille SP2'!#REF!,"&lt;&gt;")</f>
        <v>#REF!</v>
      </c>
      <c r="AJ51" s="111" t="e">
        <f>SUMIFS('Portefeuille SP2'!$U:$U,'Portefeuille SP2'!#REF!,1,'Portefeuille SP2'!$Q:$Q,"DECIDED",'Portefeuille SP2'!#REF!,"R",'Portefeuille SP2'!$D:$D,$A51,'Portefeuille SP2'!#REF!,"o",'Portefeuille SP2'!#REF!,"&lt;&gt;")</f>
        <v>#REF!</v>
      </c>
      <c r="AK51" s="126" t="e">
        <f>SUMIFS('Portefeuille SP2'!#REF!,'Portefeuille SP2'!#REF!,1,'Portefeuille SP2'!$Q:$Q,"DECIDED",'Portefeuille SP2'!#REF!,"R",'Portefeuille SP2'!$D:$D,$A51,'Portefeuille SP2'!#REF!,"o",'Portefeuille SP2'!#REF!,"&lt;&gt;")</f>
        <v>#REF!</v>
      </c>
      <c r="AL51" s="117" t="e">
        <f>SUMIFS('Portefeuille SP2'!#REF!,'Portefeuille SP2'!#REF!,1,'Portefeuille SP2'!$Q:$Q,"DECIDED",'Portefeuille SP2'!#REF!,"R",'Portefeuille SP2'!$D:$D,$A51,'Portefeuille SP2'!#REF!,"o",'Portefeuille SP2'!#REF!,"&lt;&gt;")</f>
        <v>#REF!</v>
      </c>
      <c r="AM51" s="117"/>
    </row>
    <row r="52" spans="1:77" outlineLevel="1">
      <c r="A52" t="s">
        <v>1325</v>
      </c>
      <c r="B52" s="139" t="e">
        <f>SUMIFS('Portefeuille SP2'!$U:$U,'Portefeuille SP2'!#REF!,1,'Portefeuille SP2'!$Q:$Q,"IN PROGRESS",'Portefeuille SP2'!#REF!,"G",'Portefeuille SP2'!$D:$D,$A52,'Portefeuille SP2'!#REF!,"S")</f>
        <v>#REF!</v>
      </c>
      <c r="C52" s="126" t="e">
        <f>SUMIFS('Portefeuille SP2'!#REF!,'Portefeuille SP2'!#REF!,1,'Portefeuille SP2'!$Q:$Q,"IN PROGRESS",'Portefeuille SP2'!#REF!,"G",'Portefeuille SP2'!$D:$D,$A52,'Portefeuille SP2'!#REF!,"S")</f>
        <v>#REF!</v>
      </c>
      <c r="D52" s="122" t="e">
        <f>SUMIFS('Portefeuille SP2'!#REF!,'Portefeuille SP2'!#REF!,1,'Portefeuille SP2'!$Q:$Q,"IN PROGRESS",'Portefeuille SP2'!#REF!,"G",'Portefeuille SP2'!$D:$D,$A52,'Portefeuille SP2'!#REF!,"S")</f>
        <v>#REF!</v>
      </c>
      <c r="E52" s="111" t="e">
        <f>SUMIFS('Portefeuille SP2'!$U:$U,'Portefeuille SP2'!#REF!,1,'Portefeuille SP2'!$Q:$Q,"IN PROGRESS",'Portefeuille SP2'!#REF!,"R",'Portefeuille SP2'!$D:$D,$A52,'Portefeuille SP2'!#REF!,"S")</f>
        <v>#REF!</v>
      </c>
      <c r="F52" s="126" t="e">
        <f>SUMIFS('Portefeuille SP2'!#REF!,'Portefeuille SP2'!#REF!,1,'Portefeuille SP2'!$Q:$Q,"IN PROGRESS",'Portefeuille SP2'!#REF!,"R",'Portefeuille SP2'!$D:$D,$A52,'Portefeuille SP2'!#REF!,"S")</f>
        <v>#REF!</v>
      </c>
      <c r="G52" s="117" t="e">
        <f>SUMIFS('Portefeuille SP2'!#REF!,'Portefeuille SP2'!#REF!,1,'Portefeuille SP2'!$Q:$Q,"IN PROGRESS",'Portefeuille SP2'!#REF!,"R",'Portefeuille SP2'!$D:$D,$A52,'Portefeuille SP2'!#REF!,"S")</f>
        <v>#REF!</v>
      </c>
      <c r="H52" s="111" t="e">
        <f>SUMIFS('Portefeuille SP2'!$U:$U,'Portefeuille SP2'!#REF!,1,'Portefeuille SP2'!$Q:$Q,"DECIDED",'Portefeuille SP2'!#REF!,"G",'Portefeuille SP2'!$D:$D,$A52,'Portefeuille SP2'!#REF!,"S",'Portefeuille SP2'!#REF!,"=")</f>
        <v>#REF!</v>
      </c>
      <c r="I52" s="117" t="e">
        <f>SUMIFS('Portefeuille SP2'!#REF!,'Portefeuille SP2'!#REF!,1,'Portefeuille SP2'!$Q:$Q,"DECIDED",'Portefeuille SP2'!#REF!,"G",'Portefeuille SP2'!$D:$D,$A52,'Portefeuille SP2'!#REF!,"S",'Portefeuille SP2'!#REF!,"=")</f>
        <v>#REF!</v>
      </c>
      <c r="J52" s="117" t="e">
        <f>SUMIFS('Portefeuille SP2'!#REF!,'Portefeuille SP2'!#REF!,1,'Portefeuille SP2'!$Q:$Q,"DECIDED",'Portefeuille SP2'!#REF!,"G",'Portefeuille SP2'!$D:$D,$A52,'Portefeuille SP2'!#REF!,"S",'Portefeuille SP2'!#REF!,"=")</f>
        <v>#REF!</v>
      </c>
      <c r="K52" s="111" t="e">
        <f>SUMIFS('Portefeuille SP2'!$U:$U,'Portefeuille SP2'!#REF!,1,'Portefeuille SP2'!$Q:$Q,"DECIDED",'Portefeuille SP2'!#REF!,"R",'Portefeuille SP2'!$D:$D,$A52,'Portefeuille SP2'!#REF!,"S",'Portefeuille SP2'!#REF!,"=")</f>
        <v>#REF!</v>
      </c>
      <c r="L52" s="126" t="e">
        <f>SUMIFS('Portefeuille SP2'!#REF!,'Portefeuille SP2'!#REF!,1,'Portefeuille SP2'!$Q:$Q,"DECIDED",'Portefeuille SP2'!#REF!,"R",'Portefeuille SP2'!$D:$D,$A52,'Portefeuille SP2'!#REF!,"S",'Portefeuille SP2'!#REF!,"=")</f>
        <v>#REF!</v>
      </c>
      <c r="M52" s="117" t="e">
        <f>SUMIFS('Portefeuille SP2'!#REF!,'Portefeuille SP2'!#REF!,1,'Portefeuille SP2'!$Q:$Q,"DECIDED",'Portefeuille SP2'!#REF!,"R",'Portefeuille SP2'!$D:$D,$A52,'Portefeuille SP2'!#REF!,"S",'Portefeuille SP2'!#REF!,"=")</f>
        <v>#REF!</v>
      </c>
      <c r="N52" s="111" t="e">
        <f>SUMIFS('Portefeuille SP2'!$U:$U,'Portefeuille SP2'!#REF!,1,'Portefeuille SP2'!$Q:$Q,"DECIDED",'Portefeuille SP2'!#REF!,"G",'Portefeuille SP2'!$D:$D,$A52,'Portefeuille SP2'!#REF!,"S",'Portefeuille SP2'!#REF!,"&lt;&gt;")</f>
        <v>#REF!</v>
      </c>
      <c r="O52" s="126" t="e">
        <f>SUMIFS('Portefeuille SP2'!#REF!,'Portefeuille SP2'!#REF!,1,'Portefeuille SP2'!$Q:$Q,"DECIDED",'Portefeuille SP2'!#REF!,"G",'Portefeuille SP2'!$D:$D,$A52,'Portefeuille SP2'!#REF!,"S",'Portefeuille SP2'!#REF!,"&lt;&gt;")</f>
        <v>#REF!</v>
      </c>
      <c r="P52" s="117" t="e">
        <f>SUMIFS('Portefeuille SP2'!#REF!,'Portefeuille SP2'!#REF!,1,'Portefeuille SP2'!$Q:$Q,"DECIDED",'Portefeuille SP2'!#REF!,"G",'Portefeuille SP2'!$D:$D,$A52,'Portefeuille SP2'!#REF!,"S",'Portefeuille SP2'!#REF!,"&lt;&gt;")</f>
        <v>#REF!</v>
      </c>
      <c r="Q52" s="111" t="e">
        <f>SUMIFS('Portefeuille SP2'!$U:$U,'Portefeuille SP2'!#REF!,1,'Portefeuille SP2'!$Q:$Q,"DECIDED",'Portefeuille SP2'!#REF!,"R",'Portefeuille SP2'!$D:$D,$A52,'Portefeuille SP2'!#REF!,"S",'Portefeuille SP2'!#REF!,"&lt;&gt;")</f>
        <v>#REF!</v>
      </c>
      <c r="R52" s="126" t="e">
        <f>SUMIFS('Portefeuille SP2'!#REF!,'Portefeuille SP2'!#REF!,1,'Portefeuille SP2'!$Q:$Q,"DECIDED",'Portefeuille SP2'!#REF!,"R",'Portefeuille SP2'!$D:$D,$A52,'Portefeuille SP2'!#REF!,"S",'Portefeuille SP2'!#REF!,"&lt;&gt;")</f>
        <v>#REF!</v>
      </c>
      <c r="S52" s="122" t="e">
        <f>SUMIFS('Portefeuille SP2'!#REF!,'Portefeuille SP2'!#REF!,1,'Portefeuille SP2'!$Q:$Q,"DECIDED",'Portefeuille SP2'!#REF!,"R",'Portefeuille SP2'!$D:$D,$A52,'Portefeuille SP2'!#REF!,"S",'Portefeuille SP2'!#REF!,"&lt;&gt;")</f>
        <v>#REF!</v>
      </c>
      <c r="U52" s="111" t="e">
        <f>SUMIFS('Portefeuille SP2'!$U:$U,'Portefeuille SP2'!#REF!,1,'Portefeuille SP2'!$Q:$Q,"IN PROGRESS",'Portefeuille SP2'!#REF!,"G",'Portefeuille SP2'!$D:$D,$A52,'Portefeuille SP2'!#REF!,"O")</f>
        <v>#REF!</v>
      </c>
      <c r="V52" s="126" t="e">
        <f>SUMIFS('Portefeuille SP2'!#REF!,'Portefeuille SP2'!#REF!,1,'Portefeuille SP2'!$Q:$Q,"IN PROGRESS",'Portefeuille SP2'!#REF!,"G",'Portefeuille SP2'!$D:$D,$A52,'Portefeuille SP2'!#REF!,"o")</f>
        <v>#REF!</v>
      </c>
      <c r="W52" s="117" t="e">
        <f>SUMIFS('Portefeuille SP2'!#REF!,'Portefeuille SP2'!#REF!,1,'Portefeuille SP2'!$Q:$Q,"IN PROGRESS",'Portefeuille SP2'!#REF!,"G",'Portefeuille SP2'!$D:$D,$A52,'Portefeuille SP2'!#REF!,"o")</f>
        <v>#REF!</v>
      </c>
      <c r="X52" s="111" t="e">
        <f>SUMIFS('Portefeuille SP2'!$U:$U,'Portefeuille SP2'!#REF!,1,'Portefeuille SP2'!$Q:$Q,"IN PROGRESS",'Portefeuille SP2'!#REF!,"R",'Portefeuille SP2'!$D:$D,$A52,'Portefeuille SP2'!#REF!,"o")</f>
        <v>#REF!</v>
      </c>
      <c r="Y52" s="126" t="e">
        <f>SUMIFS('Portefeuille SP2'!#REF!,'Portefeuille SP2'!#REF!,1,'Portefeuille SP2'!$Q:$Q,"IN PROGRESS",'Portefeuille SP2'!#REF!,"R",'Portefeuille SP2'!$D:$D,$A52,'Portefeuille SP2'!#REF!,"o")</f>
        <v>#REF!</v>
      </c>
      <c r="Z52" s="117" t="e">
        <f>SUMIFS('Portefeuille SP2'!#REF!,'Portefeuille SP2'!#REF!,1,'Portefeuille SP2'!$Q:$Q,"IN PROGRESS",'Portefeuille SP2'!#REF!,"R",'Portefeuille SP2'!$D:$D,$A52,'Portefeuille SP2'!#REF!,"o")</f>
        <v>#REF!</v>
      </c>
      <c r="AA52" s="111" t="e">
        <f>SUMIFS('Portefeuille SP2'!$U:$U,'Portefeuille SP2'!#REF!,1,'Portefeuille SP2'!$Q:$Q,"DECIDED",'Portefeuille SP2'!#REF!,"G",'Portefeuille SP2'!$D:$D,$A52,'Portefeuille SP2'!#REF!,"o",'Portefeuille SP2'!#REF!,"=")</f>
        <v>#REF!</v>
      </c>
      <c r="AB52" s="126" t="e">
        <f>SUMIFS('Portefeuille SP2'!#REF!,'Portefeuille SP2'!#REF!,1,'Portefeuille SP2'!$Q:$Q,"DECIDED",'Portefeuille SP2'!#REF!,"G",'Portefeuille SP2'!$D:$D,$A52,'Portefeuille SP2'!#REF!,"o",'Portefeuille SP2'!#REF!,"=")</f>
        <v>#REF!</v>
      </c>
      <c r="AC52" s="117" t="e">
        <f>SUMIFS('Portefeuille SP2'!#REF!,'Portefeuille SP2'!#REF!,1,'Portefeuille SP2'!$Q:$Q,"DECIDED",'Portefeuille SP2'!#REF!,"G",'Portefeuille SP2'!$D:$D,$A52,'Portefeuille SP2'!#REF!,"o",'Portefeuille SP2'!#REF!,"=")</f>
        <v>#REF!</v>
      </c>
      <c r="AD52" s="111" t="e">
        <f>SUMIFS('Portefeuille SP2'!$U:$U,'Portefeuille SP2'!#REF!,1,'Portefeuille SP2'!$Q:$Q,"DECIDED",'Portefeuille SP2'!#REF!,"R",'Portefeuille SP2'!$D:$D,$A52,'Portefeuille SP2'!#REF!,"o",'Portefeuille SP2'!#REF!,"=")</f>
        <v>#REF!</v>
      </c>
      <c r="AE52" s="126" t="e">
        <f>SUMIFS('Portefeuille SP2'!#REF!,'Portefeuille SP2'!#REF!,1,'Portefeuille SP2'!$Q:$Q,"DECIDED",'Portefeuille SP2'!#REF!,"R",'Portefeuille SP2'!$D:$D,$A52,'Portefeuille SP2'!#REF!,"o",'Portefeuille SP2'!#REF!,"=")</f>
        <v>#REF!</v>
      </c>
      <c r="AF52" s="117" t="e">
        <f>SUMIFS('Portefeuille SP2'!#REF!,'Portefeuille SP2'!#REF!,1,'Portefeuille SP2'!$Q:$Q,"DECIDED",'Portefeuille SP2'!#REF!,"R",'Portefeuille SP2'!$D:$D,$A52,'Portefeuille SP2'!#REF!,"o",'Portefeuille SP2'!#REF!,"=")</f>
        <v>#REF!</v>
      </c>
      <c r="AG52" s="111" t="e">
        <f>SUMIFS('Portefeuille SP2'!$U:$U,'Portefeuille SP2'!#REF!,1,'Portefeuille SP2'!$Q:$Q,"DECIDED",'Portefeuille SP2'!#REF!,"G",'Portefeuille SP2'!$D:$D,$A52,'Portefeuille SP2'!#REF!,"o",'Portefeuille SP2'!#REF!,"&lt;&gt;")</f>
        <v>#REF!</v>
      </c>
      <c r="AH52" s="126" t="e">
        <f>SUMIFS('Portefeuille SP2'!#REF!,'Portefeuille SP2'!#REF!,1,'Portefeuille SP2'!$Q:$Q,"DECIDED",'Portefeuille SP2'!#REF!,"G",'Portefeuille SP2'!$D:$D,$A52,'Portefeuille SP2'!#REF!,"o",'Portefeuille SP2'!#REF!,"&lt;&gt;")</f>
        <v>#REF!</v>
      </c>
      <c r="AI52" s="117" t="e">
        <f>SUMIFS('Portefeuille SP2'!#REF!,'Portefeuille SP2'!#REF!,1,'Portefeuille SP2'!$Q:$Q,"DECIDED",'Portefeuille SP2'!#REF!,"G",'Portefeuille SP2'!$D:$D,$A52,'Portefeuille SP2'!#REF!,"o",'Portefeuille SP2'!#REF!,"&lt;&gt;")</f>
        <v>#REF!</v>
      </c>
      <c r="AJ52" s="111" t="e">
        <f>SUMIFS('Portefeuille SP2'!$U:$U,'Portefeuille SP2'!#REF!,1,'Portefeuille SP2'!$Q:$Q,"DECIDED",'Portefeuille SP2'!#REF!,"R",'Portefeuille SP2'!$D:$D,$A52,'Portefeuille SP2'!#REF!,"o",'Portefeuille SP2'!#REF!,"&lt;&gt;")</f>
        <v>#REF!</v>
      </c>
      <c r="AK52" s="126" t="e">
        <f>SUMIFS('Portefeuille SP2'!#REF!,'Portefeuille SP2'!#REF!,1,'Portefeuille SP2'!$Q:$Q,"DECIDED",'Portefeuille SP2'!#REF!,"R",'Portefeuille SP2'!$D:$D,$A52,'Portefeuille SP2'!#REF!,"o",'Portefeuille SP2'!#REF!,"&lt;&gt;")</f>
        <v>#REF!</v>
      </c>
      <c r="AL52" s="117" t="e">
        <f>SUMIFS('Portefeuille SP2'!#REF!,'Portefeuille SP2'!#REF!,1,'Portefeuille SP2'!$Q:$Q,"DECIDED",'Portefeuille SP2'!#REF!,"R",'Portefeuille SP2'!$D:$D,$A52,'Portefeuille SP2'!#REF!,"o",'Portefeuille SP2'!#REF!,"&lt;&gt;")</f>
        <v>#REF!</v>
      </c>
      <c r="AM52" s="117"/>
    </row>
    <row r="53" spans="1:77" outlineLevel="1">
      <c r="A53" t="s">
        <v>1326</v>
      </c>
      <c r="B53" s="139" t="e">
        <f>SUMIFS('Portefeuille SP2'!$U:$U,'Portefeuille SP2'!#REF!,1,'Portefeuille SP2'!$Q:$Q,"IN PROGRESS",'Portefeuille SP2'!#REF!,"G",'Portefeuille SP2'!$D:$D,$A53,'Portefeuille SP2'!#REF!,"S")</f>
        <v>#REF!</v>
      </c>
      <c r="C53" s="126" t="e">
        <f>SUMIFS('Portefeuille SP2'!#REF!,'Portefeuille SP2'!#REF!,1,'Portefeuille SP2'!$Q:$Q,"IN PROGRESS",'Portefeuille SP2'!#REF!,"G",'Portefeuille SP2'!$D:$D,$A53,'Portefeuille SP2'!#REF!,"S")</f>
        <v>#REF!</v>
      </c>
      <c r="D53" s="122" t="e">
        <f>SUMIFS('Portefeuille SP2'!#REF!,'Portefeuille SP2'!#REF!,1,'Portefeuille SP2'!$Q:$Q,"IN PROGRESS",'Portefeuille SP2'!#REF!,"G",'Portefeuille SP2'!$D:$D,$A53,'Portefeuille SP2'!#REF!,"S")</f>
        <v>#REF!</v>
      </c>
      <c r="E53" s="111" t="e">
        <f>SUMIFS('Portefeuille SP2'!$U:$U,'Portefeuille SP2'!#REF!,1,'Portefeuille SP2'!$Q:$Q,"IN PROGRESS",'Portefeuille SP2'!#REF!,"R",'Portefeuille SP2'!$D:$D,$A53,'Portefeuille SP2'!#REF!,"S")</f>
        <v>#REF!</v>
      </c>
      <c r="F53" s="126" t="e">
        <f>SUMIFS('Portefeuille SP2'!#REF!,'Portefeuille SP2'!#REF!,1,'Portefeuille SP2'!$Q:$Q,"IN PROGRESS",'Portefeuille SP2'!#REF!,"R",'Portefeuille SP2'!$D:$D,$A53,'Portefeuille SP2'!#REF!,"S")</f>
        <v>#REF!</v>
      </c>
      <c r="G53" s="117" t="e">
        <f>SUMIFS('Portefeuille SP2'!#REF!,'Portefeuille SP2'!#REF!,1,'Portefeuille SP2'!$Q:$Q,"IN PROGRESS",'Portefeuille SP2'!#REF!,"R",'Portefeuille SP2'!$D:$D,$A53,'Portefeuille SP2'!#REF!,"S")</f>
        <v>#REF!</v>
      </c>
      <c r="H53" s="111" t="e">
        <f>SUMIFS('Portefeuille SP2'!$U:$U,'Portefeuille SP2'!#REF!,1,'Portefeuille SP2'!$Q:$Q,"DECIDED",'Portefeuille SP2'!#REF!,"G",'Portefeuille SP2'!$D:$D,$A53,'Portefeuille SP2'!#REF!,"S",'Portefeuille SP2'!#REF!,"=")</f>
        <v>#REF!</v>
      </c>
      <c r="I53" s="117" t="e">
        <f>SUMIFS('Portefeuille SP2'!#REF!,'Portefeuille SP2'!#REF!,1,'Portefeuille SP2'!$Q:$Q,"DECIDED",'Portefeuille SP2'!#REF!,"G",'Portefeuille SP2'!$D:$D,$A53,'Portefeuille SP2'!#REF!,"S",'Portefeuille SP2'!#REF!,"=")</f>
        <v>#REF!</v>
      </c>
      <c r="J53" s="117" t="e">
        <f>SUMIFS('Portefeuille SP2'!#REF!,'Portefeuille SP2'!#REF!,1,'Portefeuille SP2'!$Q:$Q,"DECIDED",'Portefeuille SP2'!#REF!,"G",'Portefeuille SP2'!$D:$D,$A53,'Portefeuille SP2'!#REF!,"S",'Portefeuille SP2'!#REF!,"=")</f>
        <v>#REF!</v>
      </c>
      <c r="K53" s="111" t="e">
        <f>SUMIFS('Portefeuille SP2'!$U:$U,'Portefeuille SP2'!#REF!,1,'Portefeuille SP2'!$Q:$Q,"DECIDED",'Portefeuille SP2'!#REF!,"R",'Portefeuille SP2'!$D:$D,$A53,'Portefeuille SP2'!#REF!,"S",'Portefeuille SP2'!#REF!,"=")</f>
        <v>#REF!</v>
      </c>
      <c r="L53" s="126" t="e">
        <f>SUMIFS('Portefeuille SP2'!#REF!,'Portefeuille SP2'!#REF!,1,'Portefeuille SP2'!$Q:$Q,"DECIDED",'Portefeuille SP2'!#REF!,"R",'Portefeuille SP2'!$D:$D,$A53,'Portefeuille SP2'!#REF!,"S",'Portefeuille SP2'!#REF!,"=")</f>
        <v>#REF!</v>
      </c>
      <c r="M53" s="117" t="e">
        <f>SUMIFS('Portefeuille SP2'!#REF!,'Portefeuille SP2'!#REF!,1,'Portefeuille SP2'!$Q:$Q,"DECIDED",'Portefeuille SP2'!#REF!,"R",'Portefeuille SP2'!$D:$D,$A53,'Portefeuille SP2'!#REF!,"S",'Portefeuille SP2'!#REF!,"=")</f>
        <v>#REF!</v>
      </c>
      <c r="N53" s="111" t="e">
        <f>SUMIFS('Portefeuille SP2'!$U:$U,'Portefeuille SP2'!#REF!,1,'Portefeuille SP2'!$Q:$Q,"DECIDED",'Portefeuille SP2'!#REF!,"G",'Portefeuille SP2'!$D:$D,$A53,'Portefeuille SP2'!#REF!,"S",'Portefeuille SP2'!#REF!,"&lt;&gt;")</f>
        <v>#REF!</v>
      </c>
      <c r="O53" s="126" t="e">
        <f>SUMIFS('Portefeuille SP2'!#REF!,'Portefeuille SP2'!#REF!,1,'Portefeuille SP2'!$Q:$Q,"DECIDED",'Portefeuille SP2'!#REF!,"G",'Portefeuille SP2'!$D:$D,$A53,'Portefeuille SP2'!#REF!,"S",'Portefeuille SP2'!#REF!,"&lt;&gt;")</f>
        <v>#REF!</v>
      </c>
      <c r="P53" s="117" t="e">
        <f>SUMIFS('Portefeuille SP2'!#REF!,'Portefeuille SP2'!#REF!,1,'Portefeuille SP2'!$Q:$Q,"DECIDED",'Portefeuille SP2'!#REF!,"G",'Portefeuille SP2'!$D:$D,$A53,'Portefeuille SP2'!#REF!,"S",'Portefeuille SP2'!#REF!,"&lt;&gt;")</f>
        <v>#REF!</v>
      </c>
      <c r="Q53" s="111" t="e">
        <f>SUMIFS('Portefeuille SP2'!$U:$U,'Portefeuille SP2'!#REF!,1,'Portefeuille SP2'!$Q:$Q,"DECIDED",'Portefeuille SP2'!#REF!,"R",'Portefeuille SP2'!$D:$D,$A53,'Portefeuille SP2'!#REF!,"S",'Portefeuille SP2'!#REF!,"&lt;&gt;")</f>
        <v>#REF!</v>
      </c>
      <c r="R53" s="126" t="e">
        <f>SUMIFS('Portefeuille SP2'!#REF!,'Portefeuille SP2'!#REF!,1,'Portefeuille SP2'!$Q:$Q,"DECIDED",'Portefeuille SP2'!#REF!,"R",'Portefeuille SP2'!$D:$D,$A53,'Portefeuille SP2'!#REF!,"S",'Portefeuille SP2'!#REF!,"&lt;&gt;")</f>
        <v>#REF!</v>
      </c>
      <c r="S53" s="122" t="e">
        <f>SUMIFS('Portefeuille SP2'!#REF!,'Portefeuille SP2'!#REF!,1,'Portefeuille SP2'!$Q:$Q,"DECIDED",'Portefeuille SP2'!#REF!,"R",'Portefeuille SP2'!$D:$D,$A53,'Portefeuille SP2'!#REF!,"S",'Portefeuille SP2'!#REF!,"&lt;&gt;")</f>
        <v>#REF!</v>
      </c>
      <c r="U53" s="111" t="e">
        <f>SUMIFS('Portefeuille SP2'!$U:$U,'Portefeuille SP2'!#REF!,1,'Portefeuille SP2'!$Q:$Q,"IN PROGRESS",'Portefeuille SP2'!#REF!,"G",'Portefeuille SP2'!$D:$D,$A53,'Portefeuille SP2'!#REF!,"O")</f>
        <v>#REF!</v>
      </c>
      <c r="V53" s="126" t="e">
        <f>SUMIFS('Portefeuille SP2'!#REF!,'Portefeuille SP2'!#REF!,1,'Portefeuille SP2'!$Q:$Q,"IN PROGRESS",'Portefeuille SP2'!#REF!,"G",'Portefeuille SP2'!$D:$D,$A53,'Portefeuille SP2'!#REF!,"o")</f>
        <v>#REF!</v>
      </c>
      <c r="W53" s="117" t="e">
        <f>SUMIFS('Portefeuille SP2'!#REF!,'Portefeuille SP2'!#REF!,1,'Portefeuille SP2'!$Q:$Q,"IN PROGRESS",'Portefeuille SP2'!#REF!,"G",'Portefeuille SP2'!$D:$D,$A53,'Portefeuille SP2'!#REF!,"o")</f>
        <v>#REF!</v>
      </c>
      <c r="X53" s="111" t="e">
        <f>SUMIFS('Portefeuille SP2'!$U:$U,'Portefeuille SP2'!#REF!,1,'Portefeuille SP2'!$Q:$Q,"IN PROGRESS",'Portefeuille SP2'!#REF!,"R",'Portefeuille SP2'!$D:$D,$A53,'Portefeuille SP2'!#REF!,"o")</f>
        <v>#REF!</v>
      </c>
      <c r="Y53" s="126" t="e">
        <f>SUMIFS('Portefeuille SP2'!#REF!,'Portefeuille SP2'!#REF!,1,'Portefeuille SP2'!$Q:$Q,"IN PROGRESS",'Portefeuille SP2'!#REF!,"R",'Portefeuille SP2'!$D:$D,$A53,'Portefeuille SP2'!#REF!,"o")</f>
        <v>#REF!</v>
      </c>
      <c r="Z53" s="117" t="e">
        <f>SUMIFS('Portefeuille SP2'!#REF!,'Portefeuille SP2'!#REF!,1,'Portefeuille SP2'!$Q:$Q,"IN PROGRESS",'Portefeuille SP2'!#REF!,"R",'Portefeuille SP2'!$D:$D,$A53,'Portefeuille SP2'!#REF!,"o")</f>
        <v>#REF!</v>
      </c>
      <c r="AA53" s="111" t="e">
        <f>SUMIFS('Portefeuille SP2'!$U:$U,'Portefeuille SP2'!#REF!,1,'Portefeuille SP2'!$Q:$Q,"DECIDED",'Portefeuille SP2'!#REF!,"G",'Portefeuille SP2'!$D:$D,$A53,'Portefeuille SP2'!#REF!,"o",'Portefeuille SP2'!#REF!,"=")</f>
        <v>#REF!</v>
      </c>
      <c r="AB53" s="126" t="e">
        <f>SUMIFS('Portefeuille SP2'!#REF!,'Portefeuille SP2'!#REF!,1,'Portefeuille SP2'!$Q:$Q,"DECIDED",'Portefeuille SP2'!#REF!,"G",'Portefeuille SP2'!$D:$D,$A53,'Portefeuille SP2'!#REF!,"o",'Portefeuille SP2'!#REF!,"=")</f>
        <v>#REF!</v>
      </c>
      <c r="AC53" s="117" t="e">
        <f>SUMIFS('Portefeuille SP2'!#REF!,'Portefeuille SP2'!#REF!,1,'Portefeuille SP2'!$Q:$Q,"DECIDED",'Portefeuille SP2'!#REF!,"G",'Portefeuille SP2'!$D:$D,$A53,'Portefeuille SP2'!#REF!,"o",'Portefeuille SP2'!#REF!,"=")</f>
        <v>#REF!</v>
      </c>
      <c r="AD53" s="111" t="e">
        <f>SUMIFS('Portefeuille SP2'!$U:$U,'Portefeuille SP2'!#REF!,1,'Portefeuille SP2'!$Q:$Q,"DECIDED",'Portefeuille SP2'!#REF!,"R",'Portefeuille SP2'!$D:$D,$A53,'Portefeuille SP2'!#REF!,"o",'Portefeuille SP2'!#REF!,"=")</f>
        <v>#REF!</v>
      </c>
      <c r="AE53" s="126" t="e">
        <f>SUMIFS('Portefeuille SP2'!#REF!,'Portefeuille SP2'!#REF!,1,'Portefeuille SP2'!$Q:$Q,"DECIDED",'Portefeuille SP2'!#REF!,"R",'Portefeuille SP2'!$D:$D,$A53,'Portefeuille SP2'!#REF!,"o",'Portefeuille SP2'!#REF!,"=")</f>
        <v>#REF!</v>
      </c>
      <c r="AF53" s="117" t="e">
        <f>SUMIFS('Portefeuille SP2'!#REF!,'Portefeuille SP2'!#REF!,1,'Portefeuille SP2'!$Q:$Q,"DECIDED",'Portefeuille SP2'!#REF!,"R",'Portefeuille SP2'!$D:$D,$A53,'Portefeuille SP2'!#REF!,"o",'Portefeuille SP2'!#REF!,"=")</f>
        <v>#REF!</v>
      </c>
      <c r="AG53" s="111" t="e">
        <f>SUMIFS('Portefeuille SP2'!$U:$U,'Portefeuille SP2'!#REF!,1,'Portefeuille SP2'!$Q:$Q,"DECIDED",'Portefeuille SP2'!#REF!,"G",'Portefeuille SP2'!$D:$D,$A53,'Portefeuille SP2'!#REF!,"o",'Portefeuille SP2'!#REF!,"&lt;&gt;")</f>
        <v>#REF!</v>
      </c>
      <c r="AH53" s="126" t="e">
        <f>SUMIFS('Portefeuille SP2'!#REF!,'Portefeuille SP2'!#REF!,1,'Portefeuille SP2'!$Q:$Q,"DECIDED",'Portefeuille SP2'!#REF!,"G",'Portefeuille SP2'!$D:$D,$A53,'Portefeuille SP2'!#REF!,"o",'Portefeuille SP2'!#REF!,"&lt;&gt;")</f>
        <v>#REF!</v>
      </c>
      <c r="AI53" s="117" t="e">
        <f>SUMIFS('Portefeuille SP2'!#REF!,'Portefeuille SP2'!#REF!,1,'Portefeuille SP2'!$Q:$Q,"DECIDED",'Portefeuille SP2'!#REF!,"G",'Portefeuille SP2'!$D:$D,$A53,'Portefeuille SP2'!#REF!,"o",'Portefeuille SP2'!#REF!,"&lt;&gt;")</f>
        <v>#REF!</v>
      </c>
      <c r="AJ53" s="111" t="e">
        <f>SUMIFS('Portefeuille SP2'!$U:$U,'Portefeuille SP2'!#REF!,1,'Portefeuille SP2'!$Q:$Q,"DECIDED",'Portefeuille SP2'!#REF!,"R",'Portefeuille SP2'!$D:$D,$A53,'Portefeuille SP2'!#REF!,"o",'Portefeuille SP2'!#REF!,"&lt;&gt;")</f>
        <v>#REF!</v>
      </c>
      <c r="AK53" s="126" t="e">
        <f>SUMIFS('Portefeuille SP2'!#REF!,'Portefeuille SP2'!#REF!,1,'Portefeuille SP2'!$Q:$Q,"DECIDED",'Portefeuille SP2'!#REF!,"R",'Portefeuille SP2'!$D:$D,$A53,'Portefeuille SP2'!#REF!,"o",'Portefeuille SP2'!#REF!,"&lt;&gt;")</f>
        <v>#REF!</v>
      </c>
      <c r="AL53" s="117" t="e">
        <f>SUMIFS('Portefeuille SP2'!#REF!,'Portefeuille SP2'!#REF!,1,'Portefeuille SP2'!$Q:$Q,"DECIDED",'Portefeuille SP2'!#REF!,"R",'Portefeuille SP2'!$D:$D,$A53,'Portefeuille SP2'!#REF!,"o",'Portefeuille SP2'!#REF!,"&lt;&gt;")</f>
        <v>#REF!</v>
      </c>
      <c r="AM53" s="117"/>
    </row>
    <row r="54" spans="1:77" outlineLevel="1">
      <c r="A54" t="s">
        <v>1317</v>
      </c>
      <c r="B54" s="139" t="e">
        <f>SUMIFS('Portefeuille SP2'!$U:$U,'Portefeuille SP2'!#REF!,1,'Portefeuille SP2'!$Q:$Q,"IN PROGRESS",'Portefeuille SP2'!#REF!,"G",'Portefeuille SP2'!$D:$D,$A54,'Portefeuille SP2'!#REF!,"S")</f>
        <v>#REF!</v>
      </c>
      <c r="C54" s="126" t="e">
        <f>SUMIFS('Portefeuille SP2'!#REF!,'Portefeuille SP2'!#REF!,1,'Portefeuille SP2'!$Q:$Q,"IN PROGRESS",'Portefeuille SP2'!#REF!,"G",'Portefeuille SP2'!$D:$D,$A54,'Portefeuille SP2'!#REF!,"S")</f>
        <v>#REF!</v>
      </c>
      <c r="D54" s="122" t="e">
        <f>SUMIFS('Portefeuille SP2'!#REF!,'Portefeuille SP2'!#REF!,1,'Portefeuille SP2'!$Q:$Q,"IN PROGRESS",'Portefeuille SP2'!#REF!,"G",'Portefeuille SP2'!$D:$D,$A54,'Portefeuille SP2'!#REF!,"S")</f>
        <v>#REF!</v>
      </c>
      <c r="E54" s="111" t="e">
        <f>SUMIFS('Portefeuille SP2'!$U:$U,'Portefeuille SP2'!#REF!,1,'Portefeuille SP2'!$Q:$Q,"IN PROGRESS",'Portefeuille SP2'!#REF!,"R",'Portefeuille SP2'!$D:$D,$A54,'Portefeuille SP2'!#REF!,"S")</f>
        <v>#REF!</v>
      </c>
      <c r="F54" s="126" t="e">
        <f>SUMIFS('Portefeuille SP2'!#REF!,'Portefeuille SP2'!#REF!,1,'Portefeuille SP2'!$Q:$Q,"IN PROGRESS",'Portefeuille SP2'!#REF!,"R",'Portefeuille SP2'!$D:$D,$A54,'Portefeuille SP2'!#REF!,"S")</f>
        <v>#REF!</v>
      </c>
      <c r="G54" s="117" t="e">
        <f>SUMIFS('Portefeuille SP2'!#REF!,'Portefeuille SP2'!#REF!,1,'Portefeuille SP2'!$Q:$Q,"IN PROGRESS",'Portefeuille SP2'!#REF!,"R",'Portefeuille SP2'!$D:$D,$A54,'Portefeuille SP2'!#REF!,"S")</f>
        <v>#REF!</v>
      </c>
      <c r="H54" s="141" t="e">
        <f>SUMIFS('Portefeuille SP2'!$U:$U,'Portefeuille SP2'!#REF!,1,'Portefeuille SP2'!$Q:$Q,"DECIDED",'Portefeuille SP2'!#REF!,"G",'Portefeuille SP2'!$D:$D,$A54,'Portefeuille SP2'!#REF!,"S",'Portefeuille SP2'!#REF!,"=")</f>
        <v>#REF!</v>
      </c>
      <c r="I54" s="117" t="e">
        <f>SUMIFS('Portefeuille SP2'!#REF!,'Portefeuille SP2'!#REF!,1,'Portefeuille SP2'!$Q:$Q,"DECIDED",'Portefeuille SP2'!#REF!,"G",'Portefeuille SP2'!$D:$D,$A54,'Portefeuille SP2'!#REF!,"S",'Portefeuille SP2'!#REF!,"=")</f>
        <v>#REF!</v>
      </c>
      <c r="J54" s="117" t="e">
        <f>SUMIFS('Portefeuille SP2'!#REF!,'Portefeuille SP2'!#REF!,1,'Portefeuille SP2'!$Q:$Q,"DECIDED",'Portefeuille SP2'!#REF!,"G",'Portefeuille SP2'!$D:$D,$A54,'Portefeuille SP2'!#REF!,"S",'Portefeuille SP2'!#REF!,"=")</f>
        <v>#REF!</v>
      </c>
      <c r="K54" s="111" t="e">
        <f>SUMIFS('Portefeuille SP2'!$U:$U,'Portefeuille SP2'!#REF!,1,'Portefeuille SP2'!$Q:$Q,"DECIDED",'Portefeuille SP2'!#REF!,"R",'Portefeuille SP2'!$D:$D,$A54,'Portefeuille SP2'!#REF!,"S",'Portefeuille SP2'!#REF!,"=")</f>
        <v>#REF!</v>
      </c>
      <c r="L54" s="126" t="e">
        <f>SUMIFS('Portefeuille SP2'!#REF!,'Portefeuille SP2'!#REF!,1,'Portefeuille SP2'!$Q:$Q,"DECIDED",'Portefeuille SP2'!#REF!,"R",'Portefeuille SP2'!$D:$D,$A54,'Portefeuille SP2'!#REF!,"S",'Portefeuille SP2'!#REF!,"=")</f>
        <v>#REF!</v>
      </c>
      <c r="M54" s="117" t="e">
        <f>SUMIFS('Portefeuille SP2'!#REF!,'Portefeuille SP2'!#REF!,1,'Portefeuille SP2'!$Q:$Q,"DECIDED",'Portefeuille SP2'!#REF!,"R",'Portefeuille SP2'!$D:$D,$A54,'Portefeuille SP2'!#REF!,"S",'Portefeuille SP2'!#REF!,"=")</f>
        <v>#REF!</v>
      </c>
      <c r="N54" s="111" t="e">
        <f>SUMIFS('Portefeuille SP2'!$U:$U,'Portefeuille SP2'!#REF!,1,'Portefeuille SP2'!$Q:$Q,"DECIDED",'Portefeuille SP2'!#REF!,"G",'Portefeuille SP2'!$D:$D,$A54,'Portefeuille SP2'!#REF!,"S",'Portefeuille SP2'!#REF!,"&lt;&gt;")</f>
        <v>#REF!</v>
      </c>
      <c r="O54" s="126" t="e">
        <f>SUMIFS('Portefeuille SP2'!#REF!,'Portefeuille SP2'!#REF!,1,'Portefeuille SP2'!$Q:$Q,"DECIDED",'Portefeuille SP2'!#REF!,"G",'Portefeuille SP2'!$D:$D,$A54,'Portefeuille SP2'!#REF!,"S",'Portefeuille SP2'!#REF!,"&lt;&gt;")</f>
        <v>#REF!</v>
      </c>
      <c r="P54" s="117" t="e">
        <f>SUMIFS('Portefeuille SP2'!#REF!,'Portefeuille SP2'!#REF!,1,'Portefeuille SP2'!$Q:$Q,"DECIDED",'Portefeuille SP2'!#REF!,"G",'Portefeuille SP2'!$D:$D,$A54,'Portefeuille SP2'!#REF!,"S",'Portefeuille SP2'!#REF!,"&lt;&gt;")</f>
        <v>#REF!</v>
      </c>
      <c r="Q54" s="111" t="e">
        <f>SUMIFS('Portefeuille SP2'!$U:$U,'Portefeuille SP2'!#REF!,1,'Portefeuille SP2'!$Q:$Q,"DECIDED",'Portefeuille SP2'!#REF!,"R",'Portefeuille SP2'!$D:$D,$A54,'Portefeuille SP2'!#REF!,"S",'Portefeuille SP2'!#REF!,"&lt;&gt;")</f>
        <v>#REF!</v>
      </c>
      <c r="R54" s="126" t="e">
        <f>SUMIFS('Portefeuille SP2'!#REF!,'Portefeuille SP2'!#REF!,1,'Portefeuille SP2'!$Q:$Q,"DECIDED",'Portefeuille SP2'!#REF!,"R",'Portefeuille SP2'!$D:$D,$A54,'Portefeuille SP2'!#REF!,"S",'Portefeuille SP2'!#REF!,"&lt;&gt;")</f>
        <v>#REF!</v>
      </c>
      <c r="S54" s="122" t="e">
        <f>SUMIFS('Portefeuille SP2'!#REF!,'Portefeuille SP2'!#REF!,1,'Portefeuille SP2'!$Q:$Q,"DECIDED",'Portefeuille SP2'!#REF!,"R",'Portefeuille SP2'!$D:$D,$A54,'Portefeuille SP2'!#REF!,"S",'Portefeuille SP2'!#REF!,"&lt;&gt;")</f>
        <v>#REF!</v>
      </c>
      <c r="U54" s="111" t="e">
        <f>SUMIFS('Portefeuille SP2'!$U:$U,'Portefeuille SP2'!#REF!,1,'Portefeuille SP2'!$Q:$Q,"IN PROGRESS",'Portefeuille SP2'!#REF!,"G",'Portefeuille SP2'!$D:$D,$A54,'Portefeuille SP2'!#REF!,"O")</f>
        <v>#REF!</v>
      </c>
      <c r="V54" s="126" t="e">
        <f>SUMIFS('Portefeuille SP2'!#REF!,'Portefeuille SP2'!#REF!,1,'Portefeuille SP2'!$Q:$Q,"IN PROGRESS",'Portefeuille SP2'!#REF!,"G",'Portefeuille SP2'!$D:$D,$A54,'Portefeuille SP2'!#REF!,"o")</f>
        <v>#REF!</v>
      </c>
      <c r="W54" s="117" t="e">
        <f>SUMIFS('Portefeuille SP2'!#REF!,'Portefeuille SP2'!#REF!,1,'Portefeuille SP2'!$Q:$Q,"IN PROGRESS",'Portefeuille SP2'!#REF!,"G",'Portefeuille SP2'!$D:$D,$A54,'Portefeuille SP2'!#REF!,"o")</f>
        <v>#REF!</v>
      </c>
      <c r="X54" s="111" t="e">
        <f>SUMIFS('Portefeuille SP2'!$U:$U,'Portefeuille SP2'!#REF!,1,'Portefeuille SP2'!$Q:$Q,"IN PROGRESS",'Portefeuille SP2'!#REF!,"R",'Portefeuille SP2'!$D:$D,$A54,'Portefeuille SP2'!#REF!,"o")</f>
        <v>#REF!</v>
      </c>
      <c r="Y54" s="126" t="e">
        <f>SUMIFS('Portefeuille SP2'!#REF!,'Portefeuille SP2'!#REF!,1,'Portefeuille SP2'!$Q:$Q,"IN PROGRESS",'Portefeuille SP2'!#REF!,"R",'Portefeuille SP2'!$D:$D,$A54,'Portefeuille SP2'!#REF!,"o")</f>
        <v>#REF!</v>
      </c>
      <c r="Z54" s="117" t="e">
        <f>SUMIFS('Portefeuille SP2'!#REF!,'Portefeuille SP2'!#REF!,1,'Portefeuille SP2'!$Q:$Q,"IN PROGRESS",'Portefeuille SP2'!#REF!,"R",'Portefeuille SP2'!$D:$D,$A54,'Portefeuille SP2'!#REF!,"o")</f>
        <v>#REF!</v>
      </c>
      <c r="AA54" s="111" t="e">
        <f>SUMIFS('Portefeuille SP2'!$U:$U,'Portefeuille SP2'!#REF!,1,'Portefeuille SP2'!$Q:$Q,"DECIDED",'Portefeuille SP2'!#REF!,"G",'Portefeuille SP2'!$D:$D,$A54,'Portefeuille SP2'!#REF!,"o",'Portefeuille SP2'!#REF!,"=")</f>
        <v>#REF!</v>
      </c>
      <c r="AB54" s="126" t="e">
        <f>SUMIFS('Portefeuille SP2'!#REF!,'Portefeuille SP2'!#REF!,1,'Portefeuille SP2'!$Q:$Q,"DECIDED",'Portefeuille SP2'!#REF!,"G",'Portefeuille SP2'!$D:$D,$A54,'Portefeuille SP2'!#REF!,"o",'Portefeuille SP2'!#REF!,"=")</f>
        <v>#REF!</v>
      </c>
      <c r="AC54" s="117" t="e">
        <f>SUMIFS('Portefeuille SP2'!#REF!,'Portefeuille SP2'!#REF!,1,'Portefeuille SP2'!$Q:$Q,"DECIDED",'Portefeuille SP2'!#REF!,"G",'Portefeuille SP2'!$D:$D,$A54,'Portefeuille SP2'!#REF!,"o",'Portefeuille SP2'!#REF!,"=")</f>
        <v>#REF!</v>
      </c>
      <c r="AD54" s="111" t="e">
        <f>SUMIFS('Portefeuille SP2'!$U:$U,'Portefeuille SP2'!#REF!,1,'Portefeuille SP2'!$Q:$Q,"DECIDED",'Portefeuille SP2'!#REF!,"R",'Portefeuille SP2'!$D:$D,$A54,'Portefeuille SP2'!#REF!,"o",'Portefeuille SP2'!#REF!,"=")</f>
        <v>#REF!</v>
      </c>
      <c r="AE54" s="126" t="e">
        <f>SUMIFS('Portefeuille SP2'!#REF!,'Portefeuille SP2'!#REF!,1,'Portefeuille SP2'!$Q:$Q,"DECIDED",'Portefeuille SP2'!#REF!,"R",'Portefeuille SP2'!$D:$D,$A54,'Portefeuille SP2'!#REF!,"o",'Portefeuille SP2'!#REF!,"=")</f>
        <v>#REF!</v>
      </c>
      <c r="AF54" s="117" t="e">
        <f>SUMIFS('Portefeuille SP2'!#REF!,'Portefeuille SP2'!#REF!,1,'Portefeuille SP2'!$Q:$Q,"DECIDED",'Portefeuille SP2'!#REF!,"R",'Portefeuille SP2'!$D:$D,$A54,'Portefeuille SP2'!#REF!,"o",'Portefeuille SP2'!#REF!,"=")</f>
        <v>#REF!</v>
      </c>
      <c r="AG54" s="111" t="e">
        <f>SUMIFS('Portefeuille SP2'!$U:$U,'Portefeuille SP2'!#REF!,1,'Portefeuille SP2'!$Q:$Q,"DECIDED",'Portefeuille SP2'!#REF!,"G",'Portefeuille SP2'!$D:$D,$A54,'Portefeuille SP2'!#REF!,"o",'Portefeuille SP2'!#REF!,"&lt;&gt;")</f>
        <v>#REF!</v>
      </c>
      <c r="AH54" s="126" t="e">
        <f>SUMIFS('Portefeuille SP2'!#REF!,'Portefeuille SP2'!#REF!,1,'Portefeuille SP2'!$Q:$Q,"DECIDED",'Portefeuille SP2'!#REF!,"G",'Portefeuille SP2'!$D:$D,$A54,'Portefeuille SP2'!#REF!,"o",'Portefeuille SP2'!#REF!,"&lt;&gt;")</f>
        <v>#REF!</v>
      </c>
      <c r="AI54" s="117" t="e">
        <f>SUMIFS('Portefeuille SP2'!#REF!,'Portefeuille SP2'!#REF!,1,'Portefeuille SP2'!$Q:$Q,"DECIDED",'Portefeuille SP2'!#REF!,"G",'Portefeuille SP2'!$D:$D,$A54,'Portefeuille SP2'!#REF!,"o",'Portefeuille SP2'!#REF!,"&lt;&gt;")</f>
        <v>#REF!</v>
      </c>
      <c r="AJ54" s="111" t="e">
        <f>SUMIFS('Portefeuille SP2'!$U:$U,'Portefeuille SP2'!#REF!,1,'Portefeuille SP2'!$Q:$Q,"DECIDED",'Portefeuille SP2'!#REF!,"R",'Portefeuille SP2'!$D:$D,$A54,'Portefeuille SP2'!#REF!,"o",'Portefeuille SP2'!#REF!,"&lt;&gt;")</f>
        <v>#REF!</v>
      </c>
      <c r="AK54" s="126" t="e">
        <f>SUMIFS('Portefeuille SP2'!#REF!,'Portefeuille SP2'!#REF!,1,'Portefeuille SP2'!$Q:$Q,"DECIDED",'Portefeuille SP2'!#REF!,"R",'Portefeuille SP2'!$D:$D,$A54,'Portefeuille SP2'!#REF!,"o",'Portefeuille SP2'!#REF!,"&lt;&gt;")</f>
        <v>#REF!</v>
      </c>
      <c r="AL54" s="117" t="e">
        <f>SUMIFS('Portefeuille SP2'!#REF!,'Portefeuille SP2'!#REF!,1,'Portefeuille SP2'!$Q:$Q,"DECIDED",'Portefeuille SP2'!#REF!,"R",'Portefeuille SP2'!$D:$D,$A54,'Portefeuille SP2'!#REF!,"o",'Portefeuille SP2'!#REF!,"&lt;&gt;")</f>
        <v>#REF!</v>
      </c>
      <c r="AM54" s="117"/>
    </row>
    <row r="55" spans="1:77" outlineLevel="1">
      <c r="A55" t="s">
        <v>1327</v>
      </c>
      <c r="B55" s="140" t="e">
        <f>SUMIFS('Portefeuille SP2'!$U:$U,'Portefeuille SP2'!#REF!,1,'Portefeuille SP2'!$Q:$Q,"IN PROGRESS",'Portefeuille SP2'!#REF!,"G",'Portefeuille SP2'!$D:$D,$A55,'Portefeuille SP2'!#REF!,"S")</f>
        <v>#REF!</v>
      </c>
      <c r="C55" s="127" t="e">
        <f>SUMIFS('Portefeuille SP2'!#REF!,'Portefeuille SP2'!#REF!,1,'Portefeuille SP2'!$Q:$Q,"IN PROGRESS",'Portefeuille SP2'!#REF!,"G",'Portefeuille SP2'!$D:$D,$A55,'Portefeuille SP2'!#REF!,"S")</f>
        <v>#REF!</v>
      </c>
      <c r="D55" s="124" t="e">
        <f>SUMIFS('Portefeuille SP2'!#REF!,'Portefeuille SP2'!#REF!,1,'Portefeuille SP2'!$Q:$Q,"IN PROGRESS",'Portefeuille SP2'!#REF!,"G",'Portefeuille SP2'!$D:$D,$A55,'Portefeuille SP2'!#REF!,"S")</f>
        <v>#REF!</v>
      </c>
      <c r="E55" s="110" t="e">
        <f>SUMIFS('Portefeuille SP2'!$U:$U,'Portefeuille SP2'!#REF!,1,'Portefeuille SP2'!$Q:$Q,"IN PROGRESS",'Portefeuille SP2'!#REF!,"R",'Portefeuille SP2'!$D:$D,$A55,'Portefeuille SP2'!#REF!,"S")</f>
        <v>#REF!</v>
      </c>
      <c r="F55" s="127" t="e">
        <f>SUMIFS('Portefeuille SP2'!#REF!,'Portefeuille SP2'!#REF!,1,'Portefeuille SP2'!$Q:$Q,"IN PROGRESS",'Portefeuille SP2'!#REF!,"R",'Portefeuille SP2'!$D:$D,$A55,'Portefeuille SP2'!#REF!,"S")</f>
        <v>#REF!</v>
      </c>
      <c r="G55" s="116" t="e">
        <f>SUMIFS('Portefeuille SP2'!#REF!,'Portefeuille SP2'!#REF!,1,'Portefeuille SP2'!$Q:$Q,"IN PROGRESS",'Portefeuille SP2'!#REF!,"R",'Portefeuille SP2'!$D:$D,$A55,'Portefeuille SP2'!#REF!,"S")</f>
        <v>#REF!</v>
      </c>
      <c r="H55" s="110" t="e">
        <f>SUMIFS('Portefeuille SP2'!$U:$U,'Portefeuille SP2'!#REF!,1,'Portefeuille SP2'!$Q:$Q,"DECIDED",'Portefeuille SP2'!#REF!,"G",'Portefeuille SP2'!$D:$D,$A55,'Portefeuille SP2'!#REF!,"S",'Portefeuille SP2'!#REF!,"=")</f>
        <v>#REF!</v>
      </c>
      <c r="I55" s="116" t="e">
        <f>SUMIFS('Portefeuille SP2'!#REF!,'Portefeuille SP2'!#REF!,1,'Portefeuille SP2'!$Q:$Q,"DECIDED",'Portefeuille SP2'!#REF!,"G",'Portefeuille SP2'!$D:$D,$A55,'Portefeuille SP2'!#REF!,"S",'Portefeuille SP2'!#REF!,"=")</f>
        <v>#REF!</v>
      </c>
      <c r="J55" s="116" t="e">
        <f>SUMIFS('Portefeuille SP2'!#REF!,'Portefeuille SP2'!#REF!,1,'Portefeuille SP2'!$Q:$Q,"DECIDED",'Portefeuille SP2'!#REF!,"G",'Portefeuille SP2'!$D:$D,$A55,'Portefeuille SP2'!#REF!,"S",'Portefeuille SP2'!#REF!,"=")</f>
        <v>#REF!</v>
      </c>
      <c r="K55" s="110" t="e">
        <f>SUMIFS('Portefeuille SP2'!$U:$U,'Portefeuille SP2'!#REF!,1,'Portefeuille SP2'!$Q:$Q,"DECIDED",'Portefeuille SP2'!#REF!,"R",'Portefeuille SP2'!$D:$D,$A55,'Portefeuille SP2'!#REF!,"S",'Portefeuille SP2'!#REF!,"=")</f>
        <v>#REF!</v>
      </c>
      <c r="L55" s="127" t="e">
        <f>SUMIFS('Portefeuille SP2'!#REF!,'Portefeuille SP2'!#REF!,1,'Portefeuille SP2'!$Q:$Q,"DECIDED",'Portefeuille SP2'!#REF!,"R",'Portefeuille SP2'!$D:$D,$A55,'Portefeuille SP2'!#REF!,"S",'Portefeuille SP2'!#REF!,"=")</f>
        <v>#REF!</v>
      </c>
      <c r="M55" s="116" t="e">
        <f>SUMIFS('Portefeuille SP2'!#REF!,'Portefeuille SP2'!#REF!,1,'Portefeuille SP2'!$Q:$Q,"DECIDED",'Portefeuille SP2'!#REF!,"R",'Portefeuille SP2'!$D:$D,$A55,'Portefeuille SP2'!#REF!,"S",'Portefeuille SP2'!#REF!,"=")</f>
        <v>#REF!</v>
      </c>
      <c r="N55" s="110" t="e">
        <f>SUMIFS('Portefeuille SP2'!$U:$U,'Portefeuille SP2'!#REF!,1,'Portefeuille SP2'!$Q:$Q,"DECIDED",'Portefeuille SP2'!#REF!,"G",'Portefeuille SP2'!$D:$D,$A55,'Portefeuille SP2'!#REF!,"S",'Portefeuille SP2'!#REF!,"&lt;&gt;")</f>
        <v>#REF!</v>
      </c>
      <c r="O55" s="127" t="e">
        <f>SUMIFS('Portefeuille SP2'!#REF!,'Portefeuille SP2'!#REF!,1,'Portefeuille SP2'!$Q:$Q,"DECIDED",'Portefeuille SP2'!#REF!,"G",'Portefeuille SP2'!$D:$D,$A55,'Portefeuille SP2'!#REF!,"S",'Portefeuille SP2'!#REF!,"&lt;&gt;")</f>
        <v>#REF!</v>
      </c>
      <c r="P55" s="116" t="e">
        <f>SUMIFS('Portefeuille SP2'!#REF!,'Portefeuille SP2'!#REF!,1,'Portefeuille SP2'!$Q:$Q,"DECIDED",'Portefeuille SP2'!#REF!,"G",'Portefeuille SP2'!$D:$D,$A55,'Portefeuille SP2'!#REF!,"S",'Portefeuille SP2'!#REF!,"&lt;&gt;")</f>
        <v>#REF!</v>
      </c>
      <c r="Q55" s="110" t="e">
        <f>SUMIFS('Portefeuille SP2'!$U:$U,'Portefeuille SP2'!#REF!,1,'Portefeuille SP2'!$Q:$Q,"DECIDED",'Portefeuille SP2'!#REF!,"R",'Portefeuille SP2'!$D:$D,$A55,'Portefeuille SP2'!#REF!,"S",'Portefeuille SP2'!#REF!,"&lt;&gt;")</f>
        <v>#REF!</v>
      </c>
      <c r="R55" s="127" t="e">
        <f>SUMIFS('Portefeuille SP2'!#REF!,'Portefeuille SP2'!#REF!,1,'Portefeuille SP2'!$Q:$Q,"DECIDED",'Portefeuille SP2'!#REF!,"R",'Portefeuille SP2'!$D:$D,$A55,'Portefeuille SP2'!#REF!,"S",'Portefeuille SP2'!#REF!,"&lt;&gt;")</f>
        <v>#REF!</v>
      </c>
      <c r="S55" s="124" t="e">
        <f>SUMIFS('Portefeuille SP2'!#REF!,'Portefeuille SP2'!#REF!,1,'Portefeuille SP2'!$Q:$Q,"DECIDED",'Portefeuille SP2'!#REF!,"R",'Portefeuille SP2'!$D:$D,$A55,'Portefeuille SP2'!#REF!,"S",'Portefeuille SP2'!#REF!,"&lt;&gt;")</f>
        <v>#REF!</v>
      </c>
      <c r="U55" s="110" t="e">
        <f>SUMIFS('Portefeuille SP2'!$U:$U,'Portefeuille SP2'!#REF!,1,'Portefeuille SP2'!$Q:$Q,"IN PROGRESS",'Portefeuille SP2'!#REF!,"G",'Portefeuille SP2'!$D:$D,$A55,'Portefeuille SP2'!#REF!,"O")</f>
        <v>#REF!</v>
      </c>
      <c r="V55" s="127" t="e">
        <f>SUMIFS('Portefeuille SP2'!#REF!,'Portefeuille SP2'!#REF!,1,'Portefeuille SP2'!$Q:$Q,"IN PROGRESS",'Portefeuille SP2'!#REF!,"G",'Portefeuille SP2'!$D:$D,$A55,'Portefeuille SP2'!#REF!,"o")</f>
        <v>#REF!</v>
      </c>
      <c r="W55" s="116" t="e">
        <f>SUMIFS('Portefeuille SP2'!#REF!,'Portefeuille SP2'!#REF!,1,'Portefeuille SP2'!$Q:$Q,"IN PROGRESS",'Portefeuille SP2'!#REF!,"G",'Portefeuille SP2'!$D:$D,$A55,'Portefeuille SP2'!#REF!,"o")</f>
        <v>#REF!</v>
      </c>
      <c r="X55" s="110" t="e">
        <f>SUMIFS('Portefeuille SP2'!$U:$U,'Portefeuille SP2'!#REF!,1,'Portefeuille SP2'!$Q:$Q,"IN PROGRESS",'Portefeuille SP2'!#REF!,"R",'Portefeuille SP2'!$D:$D,$A55,'Portefeuille SP2'!#REF!,"o")</f>
        <v>#REF!</v>
      </c>
      <c r="Y55" s="127" t="e">
        <f>SUMIFS('Portefeuille SP2'!#REF!,'Portefeuille SP2'!#REF!,1,'Portefeuille SP2'!$Q:$Q,"IN PROGRESS",'Portefeuille SP2'!#REF!,"R",'Portefeuille SP2'!$D:$D,$A55,'Portefeuille SP2'!#REF!,"o")</f>
        <v>#REF!</v>
      </c>
      <c r="Z55" s="116" t="e">
        <f>SUMIFS('Portefeuille SP2'!#REF!,'Portefeuille SP2'!#REF!,1,'Portefeuille SP2'!$Q:$Q,"IN PROGRESS",'Portefeuille SP2'!#REF!,"R",'Portefeuille SP2'!$D:$D,$A55,'Portefeuille SP2'!#REF!,"o")</f>
        <v>#REF!</v>
      </c>
      <c r="AA55" s="110" t="e">
        <f>SUMIFS('Portefeuille SP2'!$U:$U,'Portefeuille SP2'!#REF!,1,'Portefeuille SP2'!$Q:$Q,"DECIDED",'Portefeuille SP2'!#REF!,"G",'Portefeuille SP2'!$D:$D,$A55,'Portefeuille SP2'!#REF!,"o",'Portefeuille SP2'!#REF!,"=")</f>
        <v>#REF!</v>
      </c>
      <c r="AB55" s="127" t="e">
        <f>SUMIFS('Portefeuille SP2'!#REF!,'Portefeuille SP2'!#REF!,1,'Portefeuille SP2'!$Q:$Q,"DECIDED",'Portefeuille SP2'!#REF!,"G",'Portefeuille SP2'!$D:$D,$A55,'Portefeuille SP2'!#REF!,"o",'Portefeuille SP2'!#REF!,"=")</f>
        <v>#REF!</v>
      </c>
      <c r="AC55" s="116" t="e">
        <f>SUMIFS('Portefeuille SP2'!#REF!,'Portefeuille SP2'!#REF!,1,'Portefeuille SP2'!$Q:$Q,"DECIDED",'Portefeuille SP2'!#REF!,"G",'Portefeuille SP2'!$D:$D,$A55,'Portefeuille SP2'!#REF!,"o",'Portefeuille SP2'!#REF!,"=")</f>
        <v>#REF!</v>
      </c>
      <c r="AD55" s="110" t="e">
        <f>SUMIFS('Portefeuille SP2'!$U:$U,'Portefeuille SP2'!#REF!,1,'Portefeuille SP2'!$Q:$Q,"DECIDED",'Portefeuille SP2'!#REF!,"R",'Portefeuille SP2'!$D:$D,$A55,'Portefeuille SP2'!#REF!,"o",'Portefeuille SP2'!#REF!,"=")</f>
        <v>#REF!</v>
      </c>
      <c r="AE55" s="127" t="e">
        <f>SUMIFS('Portefeuille SP2'!#REF!,'Portefeuille SP2'!#REF!,1,'Portefeuille SP2'!$Q:$Q,"DECIDED",'Portefeuille SP2'!#REF!,"R",'Portefeuille SP2'!$D:$D,$A55,'Portefeuille SP2'!#REF!,"o",'Portefeuille SP2'!#REF!,"=")</f>
        <v>#REF!</v>
      </c>
      <c r="AF55" s="116" t="e">
        <f>SUMIFS('Portefeuille SP2'!#REF!,'Portefeuille SP2'!#REF!,1,'Portefeuille SP2'!$Q:$Q,"DECIDED",'Portefeuille SP2'!#REF!,"R",'Portefeuille SP2'!$D:$D,$A55,'Portefeuille SP2'!#REF!,"o",'Portefeuille SP2'!#REF!,"=")</f>
        <v>#REF!</v>
      </c>
      <c r="AG55" s="110" t="e">
        <f>SUMIFS('Portefeuille SP2'!$U:$U,'Portefeuille SP2'!#REF!,1,'Portefeuille SP2'!$Q:$Q,"DECIDED",'Portefeuille SP2'!#REF!,"G",'Portefeuille SP2'!$D:$D,$A55,'Portefeuille SP2'!#REF!,"o",'Portefeuille SP2'!#REF!,"&lt;&gt;")</f>
        <v>#REF!</v>
      </c>
      <c r="AH55" s="127" t="e">
        <f>SUMIFS('Portefeuille SP2'!#REF!,'Portefeuille SP2'!#REF!,1,'Portefeuille SP2'!$Q:$Q,"DECIDED",'Portefeuille SP2'!#REF!,"G",'Portefeuille SP2'!$D:$D,$A55,'Portefeuille SP2'!#REF!,"o",'Portefeuille SP2'!#REF!,"&lt;&gt;")</f>
        <v>#REF!</v>
      </c>
      <c r="AI55" s="116" t="e">
        <f>SUMIFS('Portefeuille SP2'!#REF!,'Portefeuille SP2'!#REF!,1,'Portefeuille SP2'!$Q:$Q,"DECIDED",'Portefeuille SP2'!#REF!,"G",'Portefeuille SP2'!$D:$D,$A55,'Portefeuille SP2'!#REF!,"o",'Portefeuille SP2'!#REF!,"&lt;&gt;")</f>
        <v>#REF!</v>
      </c>
      <c r="AJ55" s="110" t="e">
        <f>SUMIFS('Portefeuille SP2'!$U:$U,'Portefeuille SP2'!#REF!,1,'Portefeuille SP2'!$Q:$Q,"DECIDED",'Portefeuille SP2'!#REF!,"R",'Portefeuille SP2'!$D:$D,$A55,'Portefeuille SP2'!#REF!,"o",'Portefeuille SP2'!#REF!,"&lt;&gt;")</f>
        <v>#REF!</v>
      </c>
      <c r="AK55" s="127" t="e">
        <f>SUMIFS('Portefeuille SP2'!#REF!,'Portefeuille SP2'!#REF!,1,'Portefeuille SP2'!$Q:$Q,"DECIDED",'Portefeuille SP2'!#REF!,"R",'Portefeuille SP2'!$D:$D,$A55,'Portefeuille SP2'!#REF!,"o",'Portefeuille SP2'!#REF!,"&lt;&gt;")</f>
        <v>#REF!</v>
      </c>
      <c r="AL55" s="116" t="e">
        <f>SUMIFS('Portefeuille SP2'!#REF!,'Portefeuille SP2'!#REF!,1,'Portefeuille SP2'!$Q:$Q,"DECIDED",'Portefeuille SP2'!#REF!,"R",'Portefeuille SP2'!$D:$D,$A55,'Portefeuille SP2'!#REF!,"o",'Portefeuille SP2'!#REF!,"&lt;&gt;")</f>
        <v>#REF!</v>
      </c>
      <c r="AM55" s="117"/>
      <c r="AO55" s="112" t="s">
        <v>1331</v>
      </c>
      <c r="AP55" s="117" t="s">
        <v>1329</v>
      </c>
    </row>
    <row r="56" spans="1:77" outlineLevel="1">
      <c r="L56" s="117"/>
      <c r="M56" s="117"/>
      <c r="AE56" s="117"/>
      <c r="AF56" s="117"/>
      <c r="AO56" s="112"/>
      <c r="AP56" s="117"/>
    </row>
    <row r="57" spans="1:77" outlineLevel="1">
      <c r="B57" s="114" t="e">
        <f>SUM(B34:B55)</f>
        <v>#REF!</v>
      </c>
      <c r="C57" s="117" t="e">
        <f t="shared" ref="C57:D57" si="271">SUM(C34:C55)</f>
        <v>#REF!</v>
      </c>
      <c r="D57" s="117" t="e">
        <f t="shared" si="271"/>
        <v>#REF!</v>
      </c>
      <c r="E57" s="114" t="e">
        <f>SUM(E34:E55)</f>
        <v>#REF!</v>
      </c>
      <c r="F57" s="117" t="e">
        <f t="shared" ref="F57:S57" si="272">SUM(F34:F55)</f>
        <v>#REF!</v>
      </c>
      <c r="G57" s="117" t="e">
        <f t="shared" si="272"/>
        <v>#REF!</v>
      </c>
      <c r="H57" s="114" t="e">
        <f t="shared" si="272"/>
        <v>#REF!</v>
      </c>
      <c r="I57" s="117" t="e">
        <f t="shared" si="272"/>
        <v>#REF!</v>
      </c>
      <c r="J57" s="117" t="e">
        <f t="shared" si="272"/>
        <v>#REF!</v>
      </c>
      <c r="K57" s="114" t="e">
        <f t="shared" si="272"/>
        <v>#REF!</v>
      </c>
      <c r="L57" s="117" t="e">
        <f t="shared" si="272"/>
        <v>#REF!</v>
      </c>
      <c r="M57" s="117" t="e">
        <f t="shared" si="272"/>
        <v>#REF!</v>
      </c>
      <c r="N57" s="114" t="e">
        <f t="shared" si="272"/>
        <v>#REF!</v>
      </c>
      <c r="O57" s="117" t="e">
        <f t="shared" si="272"/>
        <v>#REF!</v>
      </c>
      <c r="P57" s="117" t="e">
        <f t="shared" si="272"/>
        <v>#REF!</v>
      </c>
      <c r="Q57" s="114" t="e">
        <f t="shared" si="272"/>
        <v>#REF!</v>
      </c>
      <c r="R57" s="117" t="e">
        <f t="shared" si="272"/>
        <v>#REF!</v>
      </c>
      <c r="S57" s="117" t="e">
        <f t="shared" si="272"/>
        <v>#REF!</v>
      </c>
      <c r="U57" s="114" t="e">
        <f>SUM(U34:U55)</f>
        <v>#REF!</v>
      </c>
      <c r="V57" s="117" t="e">
        <f t="shared" ref="V57:W57" si="273">SUM(V34:V55)</f>
        <v>#REF!</v>
      </c>
      <c r="W57" s="117" t="e">
        <f t="shared" si="273"/>
        <v>#REF!</v>
      </c>
      <c r="X57" s="114" t="e">
        <f>SUM(X34:X55)</f>
        <v>#REF!</v>
      </c>
      <c r="Y57" s="117" t="e">
        <f t="shared" ref="Y57:AL57" si="274">SUM(Y34:Y55)</f>
        <v>#REF!</v>
      </c>
      <c r="Z57" s="117" t="e">
        <f t="shared" si="274"/>
        <v>#REF!</v>
      </c>
      <c r="AA57" s="114" t="e">
        <f t="shared" si="274"/>
        <v>#REF!</v>
      </c>
      <c r="AB57" s="117" t="e">
        <f t="shared" si="274"/>
        <v>#REF!</v>
      </c>
      <c r="AC57" s="117" t="e">
        <f t="shared" si="274"/>
        <v>#REF!</v>
      </c>
      <c r="AD57" s="114" t="e">
        <f t="shared" si="274"/>
        <v>#REF!</v>
      </c>
      <c r="AE57" s="117" t="e">
        <f t="shared" si="274"/>
        <v>#REF!</v>
      </c>
      <c r="AF57" s="117" t="e">
        <f t="shared" si="274"/>
        <v>#REF!</v>
      </c>
      <c r="AG57" s="114" t="e">
        <f t="shared" si="274"/>
        <v>#REF!</v>
      </c>
      <c r="AH57" s="117" t="e">
        <f t="shared" si="274"/>
        <v>#REF!</v>
      </c>
      <c r="AI57" s="117" t="e">
        <f t="shared" si="274"/>
        <v>#REF!</v>
      </c>
      <c r="AJ57" s="114" t="e">
        <f t="shared" si="274"/>
        <v>#REF!</v>
      </c>
      <c r="AK57" s="117" t="e">
        <f t="shared" si="274"/>
        <v>#REF!</v>
      </c>
      <c r="AL57" s="117" t="e">
        <f t="shared" si="274"/>
        <v>#REF!</v>
      </c>
      <c r="AM57" s="136"/>
      <c r="AO57" s="112" t="e">
        <f>H57+K57+N57+Q57+AA57+AD57+AG57+AJ57</f>
        <v>#REF!</v>
      </c>
      <c r="AP57" s="112" t="e">
        <f>B57+E57+H57+K57+N57+Q57+U57+X57+AA57+AD57+AG57+AJ57</f>
        <v>#REF!</v>
      </c>
    </row>
    <row r="58" spans="1:77" s="133" customFormat="1" ht="10.15">
      <c r="B58" s="131" t="e">
        <f>B57-C57-D57</f>
        <v>#REF!</v>
      </c>
      <c r="C58" s="131"/>
      <c r="D58" s="131"/>
      <c r="E58" s="131" t="e">
        <f>E57-F57-G57</f>
        <v>#REF!</v>
      </c>
      <c r="F58" s="131"/>
      <c r="G58" s="131"/>
      <c r="H58" s="131" t="e">
        <f>H57-I57-J57</f>
        <v>#REF!</v>
      </c>
      <c r="I58" s="132"/>
      <c r="J58" s="132"/>
      <c r="K58" s="131" t="e">
        <f>K57-L57-M57</f>
        <v>#REF!</v>
      </c>
      <c r="L58" s="132"/>
      <c r="M58" s="132"/>
      <c r="N58" s="131" t="e">
        <f>N57-O57-P57</f>
        <v>#REF!</v>
      </c>
      <c r="O58" s="132"/>
      <c r="P58" s="132"/>
      <c r="Q58" s="131" t="e">
        <f>Q57-R57-S57</f>
        <v>#REF!</v>
      </c>
      <c r="R58" s="132"/>
      <c r="S58" s="132"/>
      <c r="U58" s="131" t="e">
        <f>U57-V57-W57</f>
        <v>#REF!</v>
      </c>
      <c r="V58" s="131"/>
      <c r="W58" s="131"/>
      <c r="X58" s="131" t="e">
        <f>X57-Y57-Z57</f>
        <v>#REF!</v>
      </c>
      <c r="Y58" s="131"/>
      <c r="Z58" s="131"/>
      <c r="AA58" s="131" t="e">
        <f>AA57-AB57-AC57</f>
        <v>#REF!</v>
      </c>
      <c r="AB58" s="132"/>
      <c r="AC58" s="132"/>
      <c r="AD58" s="131" t="e">
        <f>AD57-AE57-AF57</f>
        <v>#REF!</v>
      </c>
      <c r="AE58" s="132"/>
      <c r="AF58" s="132"/>
      <c r="AG58" s="131" t="e">
        <f>AG57-AH57-AI57</f>
        <v>#REF!</v>
      </c>
      <c r="AH58" s="132"/>
      <c r="AI58" s="132"/>
      <c r="AJ58" s="131" t="e">
        <f>AJ57-AK57-AL57</f>
        <v>#REF!</v>
      </c>
      <c r="AK58" s="132"/>
      <c r="AL58" s="132"/>
      <c r="AM58" s="132"/>
      <c r="AO58" s="132"/>
      <c r="AP58" s="132"/>
      <c r="AQ58" s="132"/>
      <c r="AR58" s="132"/>
      <c r="AS58" s="132"/>
      <c r="AT58" s="132"/>
      <c r="AU58" s="132"/>
      <c r="AV58" s="132"/>
      <c r="AW58" s="132"/>
      <c r="AX58" s="132"/>
      <c r="AY58" s="132"/>
      <c r="AZ58" s="132"/>
      <c r="BA58" s="132"/>
      <c r="BB58" s="132"/>
      <c r="BC58" s="132"/>
      <c r="BD58" s="132"/>
    </row>
    <row r="59" spans="1:77" s="133" customFormat="1" ht="10.15">
      <c r="B59" s="131"/>
      <c r="C59" s="131"/>
      <c r="D59" s="131"/>
      <c r="E59" s="131"/>
      <c r="F59" s="131"/>
      <c r="G59" s="131"/>
      <c r="H59" s="131"/>
      <c r="I59" s="132"/>
      <c r="J59" s="132"/>
      <c r="K59" s="131"/>
      <c r="L59" s="132"/>
      <c r="M59" s="132"/>
      <c r="N59" s="131"/>
      <c r="O59" s="132"/>
      <c r="P59" s="132"/>
      <c r="Q59" s="131"/>
      <c r="R59" s="132"/>
      <c r="S59" s="132"/>
      <c r="U59" s="131"/>
      <c r="V59" s="131"/>
      <c r="W59" s="131"/>
      <c r="X59" s="131"/>
      <c r="Y59" s="131"/>
      <c r="Z59" s="131"/>
      <c r="AA59" s="131"/>
      <c r="AB59" s="132"/>
      <c r="AC59" s="132"/>
      <c r="AD59" s="131"/>
      <c r="AE59" s="132"/>
      <c r="AF59" s="132"/>
      <c r="AG59" s="131"/>
      <c r="AH59" s="132"/>
      <c r="AI59" s="132"/>
      <c r="AJ59" s="131"/>
      <c r="AK59" s="132"/>
      <c r="AL59" s="132"/>
      <c r="AM59" s="132"/>
      <c r="AO59" s="132"/>
      <c r="AP59" s="132"/>
      <c r="AQ59" s="132"/>
      <c r="AR59" s="132"/>
      <c r="AS59" s="132"/>
      <c r="AT59" s="132"/>
      <c r="AU59" s="132"/>
      <c r="AV59" s="132"/>
      <c r="AW59" s="132"/>
      <c r="AX59" s="132"/>
      <c r="AY59" s="132"/>
      <c r="AZ59" s="132"/>
      <c r="BA59" s="132"/>
      <c r="BB59" s="132"/>
      <c r="BC59" s="132"/>
      <c r="BD59" s="132"/>
    </row>
    <row r="60" spans="1:77" s="133" customFormat="1" ht="10.15">
      <c r="B60" s="131"/>
      <c r="C60" s="131"/>
      <c r="D60" s="131"/>
      <c r="E60" s="131"/>
      <c r="F60" s="131"/>
      <c r="G60" s="131"/>
      <c r="H60" s="131"/>
      <c r="I60" s="132"/>
      <c r="J60" s="132"/>
      <c r="K60" s="131"/>
      <c r="L60" s="132"/>
      <c r="M60" s="132"/>
      <c r="N60" s="131"/>
      <c r="O60" s="132"/>
      <c r="P60" s="132"/>
      <c r="Q60" s="131"/>
      <c r="R60" s="132"/>
      <c r="S60" s="132"/>
      <c r="U60" s="131"/>
      <c r="V60" s="131"/>
      <c r="W60" s="131"/>
      <c r="X60" s="131"/>
      <c r="Y60" s="131"/>
      <c r="Z60" s="131"/>
      <c r="AA60" s="131"/>
      <c r="AB60" s="132"/>
      <c r="AC60" s="132"/>
      <c r="AD60" s="131"/>
      <c r="AE60" s="132"/>
      <c r="AF60" s="132"/>
      <c r="AG60" s="131"/>
      <c r="AH60" s="132"/>
      <c r="AI60" s="132"/>
      <c r="AJ60" s="131"/>
      <c r="AK60" s="132"/>
      <c r="AL60" s="132"/>
      <c r="AM60" s="132"/>
      <c r="AO60" s="132"/>
      <c r="AP60" s="132"/>
      <c r="AQ60" s="132"/>
      <c r="AR60" s="132"/>
      <c r="AS60" s="132"/>
      <c r="AT60" s="132"/>
      <c r="AU60" s="132"/>
      <c r="AV60" s="132"/>
      <c r="AW60" s="132"/>
      <c r="AX60" s="132"/>
      <c r="AY60" s="132"/>
      <c r="AZ60" s="132"/>
      <c r="BA60" s="132"/>
      <c r="BB60" s="132"/>
      <c r="BC60" s="132"/>
      <c r="BD60" s="132"/>
    </row>
    <row r="63" spans="1:77" ht="28.9">
      <c r="A63" s="134" t="s">
        <v>1332</v>
      </c>
      <c r="B63" s="110" t="s">
        <v>1297</v>
      </c>
      <c r="C63" s="116" t="s">
        <v>1298</v>
      </c>
      <c r="D63" s="116" t="s">
        <v>1299</v>
      </c>
      <c r="E63" s="110" t="s">
        <v>1300</v>
      </c>
      <c r="F63" s="116" t="s">
        <v>1301</v>
      </c>
      <c r="G63" s="116" t="s">
        <v>1302</v>
      </c>
      <c r="H63" s="110" t="s">
        <v>1297</v>
      </c>
      <c r="I63" s="116" t="s">
        <v>1298</v>
      </c>
      <c r="J63" s="116" t="s">
        <v>1299</v>
      </c>
      <c r="K63" s="118" t="s">
        <v>1300</v>
      </c>
      <c r="L63" s="119" t="s">
        <v>1301</v>
      </c>
      <c r="M63" s="120" t="s">
        <v>1302</v>
      </c>
      <c r="N63" s="110" t="s">
        <v>1297</v>
      </c>
      <c r="O63" s="116" t="s">
        <v>1298</v>
      </c>
      <c r="P63" s="116" t="s">
        <v>1299</v>
      </c>
      <c r="Q63" s="118" t="s">
        <v>1300</v>
      </c>
      <c r="R63" s="119" t="s">
        <v>1301</v>
      </c>
      <c r="S63" s="120" t="s">
        <v>1302</v>
      </c>
      <c r="U63" s="111" t="s">
        <v>1297</v>
      </c>
      <c r="V63" s="117" t="s">
        <v>1298</v>
      </c>
      <c r="W63" s="117" t="s">
        <v>1299</v>
      </c>
      <c r="X63" s="111" t="s">
        <v>1300</v>
      </c>
      <c r="Y63" s="117" t="s">
        <v>1301</v>
      </c>
      <c r="Z63" s="117" t="s">
        <v>1302</v>
      </c>
      <c r="AA63" s="111" t="s">
        <v>1297</v>
      </c>
      <c r="AB63" s="117" t="s">
        <v>1298</v>
      </c>
      <c r="AC63" s="117" t="s">
        <v>1299</v>
      </c>
      <c r="AD63" s="135" t="s">
        <v>1300</v>
      </c>
      <c r="AE63" s="121" t="s">
        <v>1301</v>
      </c>
      <c r="AF63" s="123" t="s">
        <v>1302</v>
      </c>
      <c r="AG63" s="111" t="s">
        <v>1297</v>
      </c>
      <c r="AH63" s="117" t="s">
        <v>1298</v>
      </c>
      <c r="AI63" s="117" t="s">
        <v>1299</v>
      </c>
      <c r="AJ63" s="135" t="s">
        <v>1300</v>
      </c>
      <c r="AK63" s="121" t="s">
        <v>1301</v>
      </c>
      <c r="AL63" s="123" t="s">
        <v>1302</v>
      </c>
      <c r="AM63" s="117"/>
      <c r="AN63" s="134" t="s">
        <v>1332</v>
      </c>
      <c r="AO63" s="118" t="s">
        <v>1297</v>
      </c>
      <c r="AP63" s="119" t="s">
        <v>1298</v>
      </c>
      <c r="AQ63" s="120" t="s">
        <v>1299</v>
      </c>
      <c r="AR63" s="129" t="s">
        <v>1300</v>
      </c>
      <c r="AS63" s="119" t="s">
        <v>1301</v>
      </c>
      <c r="AT63" s="120" t="s">
        <v>1302</v>
      </c>
      <c r="AU63" s="129" t="s">
        <v>1303</v>
      </c>
      <c r="AV63" s="119" t="s">
        <v>1304</v>
      </c>
      <c r="AW63" s="120" t="s">
        <v>1305</v>
      </c>
      <c r="AX63" s="118" t="s">
        <v>1297</v>
      </c>
      <c r="AY63" s="119" t="s">
        <v>1298</v>
      </c>
      <c r="AZ63" s="120" t="s">
        <v>1299</v>
      </c>
      <c r="BA63" s="118" t="s">
        <v>1300</v>
      </c>
      <c r="BB63" s="119" t="s">
        <v>1301</v>
      </c>
      <c r="BC63" s="120" t="s">
        <v>1302</v>
      </c>
      <c r="BD63" s="129" t="s">
        <v>1303</v>
      </c>
      <c r="BE63" s="119" t="s">
        <v>1304</v>
      </c>
      <c r="BF63" s="120" t="s">
        <v>1305</v>
      </c>
      <c r="BH63" s="118" t="s">
        <v>1297</v>
      </c>
      <c r="BI63" s="119" t="s">
        <v>1298</v>
      </c>
      <c r="BJ63" s="120" t="s">
        <v>1299</v>
      </c>
      <c r="BK63" s="129" t="s">
        <v>1300</v>
      </c>
      <c r="BL63" s="119" t="s">
        <v>1301</v>
      </c>
      <c r="BM63" s="120" t="s">
        <v>1302</v>
      </c>
      <c r="BN63" s="129" t="s">
        <v>1303</v>
      </c>
      <c r="BO63" s="119" t="s">
        <v>1304</v>
      </c>
      <c r="BP63" s="120" t="s">
        <v>1305</v>
      </c>
      <c r="BQ63" s="118" t="s">
        <v>1297</v>
      </c>
      <c r="BR63" s="119" t="s">
        <v>1298</v>
      </c>
      <c r="BS63" s="120" t="s">
        <v>1299</v>
      </c>
      <c r="BT63" s="118" t="s">
        <v>1300</v>
      </c>
      <c r="BU63" s="119" t="s">
        <v>1301</v>
      </c>
      <c r="BV63" s="120" t="s">
        <v>1302</v>
      </c>
      <c r="BW63" s="129" t="s">
        <v>1303</v>
      </c>
      <c r="BX63" s="119" t="s">
        <v>1304</v>
      </c>
      <c r="BY63" s="120" t="s">
        <v>1305</v>
      </c>
    </row>
    <row r="64" spans="1:77" outlineLevel="1">
      <c r="A64" t="s">
        <v>1306</v>
      </c>
      <c r="B64" s="138" t="e">
        <f>SUMIFS('Portefeuille SP2'!$U:$U,'Portefeuille SP2'!#REF!,1,'Portefeuille SP2'!$Q:$Q,"IN PROGRESS",'Portefeuille SP2'!#REF!,"G",'Portefeuille SP2'!$D:$D,$A64,'Portefeuille SP2'!#REF!,"S")</f>
        <v>#REF!</v>
      </c>
      <c r="C64" s="125" t="e">
        <f>SUMIFS('Portefeuille SP2'!#REF!,'Portefeuille SP2'!#REF!,1,'Portefeuille SP2'!$Q:$Q,"IN PROGRESS",'Portefeuille SP2'!#REF!,"G",'Portefeuille SP2'!$D:$D,$A64,'Portefeuille SP2'!#REF!,"S")</f>
        <v>#REF!</v>
      </c>
      <c r="D64" s="123" t="e">
        <f>SUMIFS('Portefeuille SP2'!#REF!,'Portefeuille SP2'!#REF!,1,'Portefeuille SP2'!$Q:$Q,"IN PROGRESS",'Portefeuille SP2'!#REF!,"G",'Portefeuille SP2'!$D:$D,$A64,'Portefeuille SP2'!#REF!,"S")</f>
        <v>#REF!</v>
      </c>
      <c r="E64" s="135" t="e">
        <f>SUMIFS('Portefeuille SP2'!$U:$U,'Portefeuille SP2'!#REF!,1,'Portefeuille SP2'!$Q:$Q,"IN PROGRESS",'Portefeuille SP2'!#REF!,"R",'Portefeuille SP2'!$D:$D,$A64,'Portefeuille SP2'!#REF!,"S")</f>
        <v>#REF!</v>
      </c>
      <c r="F64" s="125" t="e">
        <f>SUMIFS('Portefeuille SP2'!#REF!,'Portefeuille SP2'!#REF!,1,'Portefeuille SP2'!$Q:$Q,"IN PROGRESS",'Portefeuille SP2'!#REF!,"R",'Portefeuille SP2'!$D:$D,$A64,'Portefeuille SP2'!#REF!,"S")</f>
        <v>#REF!</v>
      </c>
      <c r="G64" s="121" t="e">
        <f>SUMIFS('Portefeuille SP2'!#REF!,'Portefeuille SP2'!#REF!,1,'Portefeuille SP2'!$Q:$Q,"IN PROGRESS",'Portefeuille SP2'!#REF!,"R",'Portefeuille SP2'!$D:$D,$A64,'Portefeuille SP2'!#REF!,"S")</f>
        <v>#REF!</v>
      </c>
      <c r="H64" s="135" t="e">
        <f>SUMIFS('Portefeuille SP2'!$U:$U,'Portefeuille SP2'!#REF!,1,'Portefeuille SP2'!$Q:$Q,"DECIDED",'Portefeuille SP2'!#REF!,"G",'Portefeuille SP2'!$D:$D,$A64,'Portefeuille SP2'!#REF!,"S",'Portefeuille SP2'!#REF!,"=")</f>
        <v>#REF!</v>
      </c>
      <c r="I64" s="121" t="e">
        <f>SUMIFS('Portefeuille SP2'!#REF!,'Portefeuille SP2'!#REF!,1,'Portefeuille SP2'!$Q:$Q,"DECIDED",'Portefeuille SP2'!#REF!,"G",'Portefeuille SP2'!$D:$D,$A64,'Portefeuille SP2'!#REF!,"S",'Portefeuille SP2'!#REF!,"=")</f>
        <v>#REF!</v>
      </c>
      <c r="J64" s="121" t="e">
        <f>SUMIFS('Portefeuille SP2'!#REF!,'Portefeuille SP2'!#REF!,1,'Portefeuille SP2'!$Q:$Q,"DECIDED",'Portefeuille SP2'!#REF!,"G",'Portefeuille SP2'!$D:$D,$A64,'Portefeuille SP2'!#REF!,"S",'Portefeuille SP2'!#REF!,"=")</f>
        <v>#REF!</v>
      </c>
      <c r="K64" s="135" t="e">
        <f>SUMIFS('Portefeuille SP2'!$U:$U,'Portefeuille SP2'!#REF!,1,'Portefeuille SP2'!$Q:$Q,"DECIDED",'Portefeuille SP2'!#REF!,"R",'Portefeuille SP2'!$D:$D,$A64,'Portefeuille SP2'!#REF!,"S",'Portefeuille SP2'!#REF!,"=")</f>
        <v>#REF!</v>
      </c>
      <c r="L64" s="125" t="e">
        <f>SUMIFS('Portefeuille SP2'!#REF!,'Portefeuille SP2'!#REF!,1,'Portefeuille SP2'!$Q:$Q,"DECIDED",'Portefeuille SP2'!#REF!,"R",'Portefeuille SP2'!$D:$D,$A64,'Portefeuille SP2'!#REF!,"S",'Portefeuille SP2'!#REF!,"=")</f>
        <v>#REF!</v>
      </c>
      <c r="M64" s="121" t="e">
        <f>SUMIFS('Portefeuille SP2'!#REF!,'Portefeuille SP2'!#REF!,1,'Portefeuille SP2'!$Q:$Q,"DECIDED",'Portefeuille SP2'!#REF!,"R",'Portefeuille SP2'!$D:$D,$A64,'Portefeuille SP2'!#REF!,"S",'Portefeuille SP2'!#REF!,"=")</f>
        <v>#REF!</v>
      </c>
      <c r="N64" s="135" t="e">
        <f>SUMIFS('Portefeuille SP2'!$U:$U,'Portefeuille SP2'!#REF!,1,'Portefeuille SP2'!$Q:$Q,"DECIDED",'Portefeuille SP2'!#REF!,"G",'Portefeuille SP2'!$D:$D,$A64,'Portefeuille SP2'!#REF!,"S",'Portefeuille SP2'!#REF!,"&lt;&gt;")</f>
        <v>#REF!</v>
      </c>
      <c r="O64" s="125" t="e">
        <f>SUMIFS('Portefeuille SP2'!#REF!,'Portefeuille SP2'!#REF!,1,'Portefeuille SP2'!$Q:$Q,"DECIDED",'Portefeuille SP2'!#REF!,"G",'Portefeuille SP2'!$D:$D,$A64,'Portefeuille SP2'!#REF!,"S",'Portefeuille SP2'!#REF!,"&lt;&gt;")</f>
        <v>#REF!</v>
      </c>
      <c r="P64" s="121" t="e">
        <f>SUMIFS('Portefeuille SP2'!#REF!,'Portefeuille SP2'!#REF!,1,'Portefeuille SP2'!$Q:$Q,"DECIDED",'Portefeuille SP2'!#REF!,"G",'Portefeuille SP2'!$D:$D,$A64,'Portefeuille SP2'!#REF!,"S",'Portefeuille SP2'!#REF!,"&lt;&gt;")</f>
        <v>#REF!</v>
      </c>
      <c r="Q64" s="135" t="e">
        <f>SUMIFS('Portefeuille SP2'!$U:$U,'Portefeuille SP2'!#REF!,1,'Portefeuille SP2'!$Q:$Q,"DECIDED",'Portefeuille SP2'!#REF!,"R",'Portefeuille SP2'!$D:$D,$A64,'Portefeuille SP2'!#REF!,"S",'Portefeuille SP2'!#REF!,"&lt;&gt;")</f>
        <v>#REF!</v>
      </c>
      <c r="R64" s="125" t="e">
        <f>SUMIFS('Portefeuille SP2'!#REF!,'Portefeuille SP2'!#REF!,1,'Portefeuille SP2'!$Q:$Q,"DECIDED",'Portefeuille SP2'!#REF!,"R",'Portefeuille SP2'!$D:$D,$A64,'Portefeuille SP2'!#REF!,"S",'Portefeuille SP2'!#REF!,"&lt;&gt;")</f>
        <v>#REF!</v>
      </c>
      <c r="S64" s="123" t="e">
        <f>SUMIFS('Portefeuille SP2'!#REF!,'Portefeuille SP2'!#REF!,1,'Portefeuille SP2'!$Q:$Q,"DECIDED",'Portefeuille SP2'!#REF!,"R",'Portefeuille SP2'!$D:$D,$A64,'Portefeuille SP2'!#REF!,"S",'Portefeuille SP2'!#REF!,"&lt;&gt;")</f>
        <v>#REF!</v>
      </c>
      <c r="U64" s="135" t="e">
        <f>SUMIFS('Portefeuille SP2'!$U:$U,'Portefeuille SP2'!#REF!,1,'Portefeuille SP2'!$Q:$Q,"IN PROGRESS",'Portefeuille SP2'!#REF!,"G",'Portefeuille SP2'!$D:$D,$A64,'Portefeuille SP2'!#REF!,"O")</f>
        <v>#REF!</v>
      </c>
      <c r="V64" s="125" t="e">
        <f>SUMIFS('Portefeuille SP2'!#REF!,'Portefeuille SP2'!#REF!,1,'Portefeuille SP2'!$Q:$Q,"IN PROGRESS",'Portefeuille SP2'!#REF!,"G",'Portefeuille SP2'!$D:$D,$A64,'Portefeuille SP2'!#REF!,"o")</f>
        <v>#REF!</v>
      </c>
      <c r="W64" s="121" t="e">
        <f>SUMIFS('Portefeuille SP2'!#REF!,'Portefeuille SP2'!#REF!,1,'Portefeuille SP2'!$Q:$Q,"IN PROGRESS",'Portefeuille SP2'!#REF!,"G",'Portefeuille SP2'!$D:$D,$A64,'Portefeuille SP2'!#REF!,"o")</f>
        <v>#REF!</v>
      </c>
      <c r="X64" s="135" t="e">
        <f>SUMIFS('Portefeuille SP2'!$U:$U,'Portefeuille SP2'!#REF!,1,'Portefeuille SP2'!$Q:$Q,"IN PROGRESS",'Portefeuille SP2'!#REF!,"R",'Portefeuille SP2'!$D:$D,$A64,'Portefeuille SP2'!#REF!,"o")</f>
        <v>#REF!</v>
      </c>
      <c r="Y64" s="125" t="e">
        <f>SUMIFS('Portefeuille SP2'!#REF!,'Portefeuille SP2'!#REF!,1,'Portefeuille SP2'!$Q:$Q,"IN PROGRESS",'Portefeuille SP2'!#REF!,"R",'Portefeuille SP2'!$D:$D,$A64,'Portefeuille SP2'!#REF!,"o")</f>
        <v>#REF!</v>
      </c>
      <c r="Z64" s="121" t="e">
        <f>SUMIFS('Portefeuille SP2'!#REF!,'Portefeuille SP2'!#REF!,1,'Portefeuille SP2'!$Q:$Q,"IN PROGRESS",'Portefeuille SP2'!#REF!,"R",'Portefeuille SP2'!$D:$D,$A64,'Portefeuille SP2'!#REF!,"o")</f>
        <v>#REF!</v>
      </c>
      <c r="AA64" s="135" t="e">
        <f>SUMIFS('Portefeuille SP2'!$U:$U,'Portefeuille SP2'!#REF!,1,'Portefeuille SP2'!$Q:$Q,"DECIDED",'Portefeuille SP2'!#REF!,"G",'Portefeuille SP2'!$D:$D,$A64,'Portefeuille SP2'!#REF!,"o",'Portefeuille SP2'!#REF!,"=")</f>
        <v>#REF!</v>
      </c>
      <c r="AB64" s="125" t="e">
        <f>SUMIFS('Portefeuille SP2'!#REF!,'Portefeuille SP2'!#REF!,1,'Portefeuille SP2'!$Q:$Q,"DECIDED",'Portefeuille SP2'!#REF!,"G",'Portefeuille SP2'!$D:$D,$A64,'Portefeuille SP2'!#REF!,"o",'Portefeuille SP2'!#REF!,"=")</f>
        <v>#REF!</v>
      </c>
      <c r="AC64" s="121" t="e">
        <f>SUMIFS('Portefeuille SP2'!#REF!,'Portefeuille SP2'!#REF!,1,'Portefeuille SP2'!$Q:$Q,"DECIDED",'Portefeuille SP2'!#REF!,"G",'Portefeuille SP2'!$D:$D,$A64,'Portefeuille SP2'!#REF!,"o",'Portefeuille SP2'!#REF!,"=")</f>
        <v>#REF!</v>
      </c>
      <c r="AD64" s="135" t="e">
        <f>SUMIFS('Portefeuille SP2'!$U:$U,'Portefeuille SP2'!#REF!,1,'Portefeuille SP2'!$Q:$Q,"DECIDED",'Portefeuille SP2'!#REF!,"R",'Portefeuille SP2'!$D:$D,$A64,'Portefeuille SP2'!#REF!,"o",'Portefeuille SP2'!#REF!,"=")</f>
        <v>#REF!</v>
      </c>
      <c r="AE64" s="125" t="e">
        <f>SUMIFS('Portefeuille SP2'!#REF!,'Portefeuille SP2'!#REF!,1,'Portefeuille SP2'!$Q:$Q,"DECIDED",'Portefeuille SP2'!#REF!,"R",'Portefeuille SP2'!$D:$D,$A64,'Portefeuille SP2'!#REF!,"o",'Portefeuille SP2'!#REF!,"=")</f>
        <v>#REF!</v>
      </c>
      <c r="AF64" s="121" t="e">
        <f>SUMIFS('Portefeuille SP2'!#REF!,'Portefeuille SP2'!#REF!,1,'Portefeuille SP2'!$Q:$Q,"DECIDED",'Portefeuille SP2'!#REF!,"R",'Portefeuille SP2'!$D:$D,$A64,'Portefeuille SP2'!#REF!,"o",'Portefeuille SP2'!#REF!,"=")</f>
        <v>#REF!</v>
      </c>
      <c r="AG64" s="135" t="e">
        <f>SUMIFS('Portefeuille SP2'!$U:$U,'Portefeuille SP2'!#REF!,1,'Portefeuille SP2'!$Q:$Q,"DECIDED",'Portefeuille SP2'!#REF!,"G",'Portefeuille SP2'!$D:$D,$A64,'Portefeuille SP2'!#REF!,"o",'Portefeuille SP2'!#REF!,"&lt;&gt;")</f>
        <v>#REF!</v>
      </c>
      <c r="AH64" s="125" t="e">
        <f>SUMIFS('Portefeuille SP2'!#REF!,'Portefeuille SP2'!#REF!,1,'Portefeuille SP2'!$Q:$Q,"DECIDED",'Portefeuille SP2'!#REF!,"G",'Portefeuille SP2'!$D:$D,$A64,'Portefeuille SP2'!#REF!,"o",'Portefeuille SP2'!#REF!,"&lt;&gt;")</f>
        <v>#REF!</v>
      </c>
      <c r="AI64" s="121" t="e">
        <f>SUMIFS('Portefeuille SP2'!#REF!,'Portefeuille SP2'!#REF!,1,'Portefeuille SP2'!$Q:$Q,"DECIDED",'Portefeuille SP2'!#REF!,"G",'Portefeuille SP2'!$D:$D,$A64,'Portefeuille SP2'!#REF!,"o",'Portefeuille SP2'!#REF!,"&lt;&gt;")</f>
        <v>#REF!</v>
      </c>
      <c r="AJ64" s="135" t="e">
        <f>SUMIFS('Portefeuille SP2'!$U:$U,'Portefeuille SP2'!#REF!,1,'Portefeuille SP2'!$Q:$Q,"DECIDED",'Portefeuille SP2'!#REF!,"R",'Portefeuille SP2'!$D:$D,$A64,'Portefeuille SP2'!#REF!,"o",'Portefeuille SP2'!#REF!,"&lt;&gt;")</f>
        <v>#REF!</v>
      </c>
      <c r="AK64" s="125" t="e">
        <f>SUMIFS('Portefeuille SP2'!#REF!,'Portefeuille SP2'!#REF!,1,'Portefeuille SP2'!$Q:$Q,"DECIDED",'Portefeuille SP2'!#REF!,"R",'Portefeuille SP2'!$D:$D,$A64,'Portefeuille SP2'!#REF!,"o",'Portefeuille SP2'!#REF!,"&lt;&gt;")</f>
        <v>#REF!</v>
      </c>
      <c r="AL64" s="121" t="e">
        <f>SUMIFS('Portefeuille SP2'!#REF!,'Portefeuille SP2'!#REF!,1,'Portefeuille SP2'!$Q:$Q,"DECIDED",'Portefeuille SP2'!#REF!,"R",'Portefeuille SP2'!$D:$D,$A64,'Portefeuille SP2'!#REF!,"o",'Portefeuille SP2'!#REF!,"&lt;&gt;")</f>
        <v>#REF!</v>
      </c>
      <c r="AM64" s="117"/>
      <c r="AN64" t="s">
        <v>1274</v>
      </c>
      <c r="AO64" s="111" t="e">
        <f t="shared" ref="AO64" si="275">B64</f>
        <v>#REF!</v>
      </c>
      <c r="AP64" s="125" t="e">
        <f t="shared" ref="AP64" si="276">C64</f>
        <v>#REF!</v>
      </c>
      <c r="AQ64" s="123" t="e">
        <f t="shared" ref="AQ64" si="277">D64</f>
        <v>#REF!</v>
      </c>
      <c r="AR64" s="112" t="e">
        <f t="shared" ref="AR64" si="278">E64</f>
        <v>#REF!</v>
      </c>
      <c r="AS64" s="125" t="e">
        <f t="shared" ref="AS64" si="279">F64</f>
        <v>#REF!</v>
      </c>
      <c r="AT64" s="123" t="e">
        <f t="shared" ref="AT64" si="280">G64</f>
        <v>#REF!</v>
      </c>
      <c r="AU64" s="112" t="e">
        <f>AO64+AR64</f>
        <v>#REF!</v>
      </c>
      <c r="AV64" s="125" t="e">
        <f t="shared" ref="AV64:AV72" si="281">AP64+AS64</f>
        <v>#REF!</v>
      </c>
      <c r="AW64" s="123" t="e">
        <f t="shared" ref="AW64:AW72" si="282">AQ64+AT64</f>
        <v>#REF!</v>
      </c>
      <c r="AX64" s="111" t="e">
        <f t="shared" ref="AX64" si="283">H64</f>
        <v>#REF!</v>
      </c>
      <c r="AY64" s="125" t="e">
        <f t="shared" ref="AY64" si="284">I64</f>
        <v>#REF!</v>
      </c>
      <c r="AZ64" s="123" t="e">
        <f t="shared" ref="AZ64" si="285">J64</f>
        <v>#REF!</v>
      </c>
      <c r="BA64" s="111" t="e">
        <f t="shared" ref="BA64" si="286">K64</f>
        <v>#REF!</v>
      </c>
      <c r="BB64" s="125" t="e">
        <f t="shared" ref="BB64" si="287">L64</f>
        <v>#REF!</v>
      </c>
      <c r="BC64" s="123" t="e">
        <f t="shared" ref="BC64" si="288">M64</f>
        <v>#REF!</v>
      </c>
      <c r="BD64" s="112" t="e">
        <f>AX64+BA64</f>
        <v>#REF!</v>
      </c>
      <c r="BE64" s="125" t="e">
        <f t="shared" ref="BE64:BE72" si="289">AY64+BB64</f>
        <v>#REF!</v>
      </c>
      <c r="BF64" s="123" t="e">
        <f t="shared" ref="BF64:BF72" si="290">AZ64+BC64</f>
        <v>#REF!</v>
      </c>
      <c r="BH64" s="135" t="e">
        <f>U64</f>
        <v>#REF!</v>
      </c>
      <c r="BI64" s="125" t="e">
        <f t="shared" ref="BI64" si="291">V64</f>
        <v>#REF!</v>
      </c>
      <c r="BJ64" s="123" t="e">
        <f t="shared" ref="BJ64" si="292">W64</f>
        <v>#REF!</v>
      </c>
      <c r="BK64" s="135" t="e">
        <f t="shared" ref="BK64" si="293">X64</f>
        <v>#REF!</v>
      </c>
      <c r="BL64" s="125" t="e">
        <f t="shared" ref="BL64" si="294">Y64</f>
        <v>#REF!</v>
      </c>
      <c r="BM64" s="123" t="e">
        <f t="shared" ref="BM64" si="295">Z64</f>
        <v>#REF!</v>
      </c>
      <c r="BN64" s="112" t="e">
        <f>BH64+BK64</f>
        <v>#REF!</v>
      </c>
      <c r="BO64" s="125" t="e">
        <f t="shared" ref="BO64:BO72" si="296">BI64+BL64</f>
        <v>#REF!</v>
      </c>
      <c r="BP64" s="123" t="e">
        <f t="shared" ref="BP64:BP72" si="297">BJ64+BM64</f>
        <v>#REF!</v>
      </c>
      <c r="BQ64" s="135" t="e">
        <f t="shared" ref="BQ64" si="298">AA64</f>
        <v>#REF!</v>
      </c>
      <c r="BR64" s="125" t="e">
        <f t="shared" ref="BR64" si="299">AB64</f>
        <v>#REF!</v>
      </c>
      <c r="BS64" s="123" t="e">
        <f t="shared" ref="BS64" si="300">AC64</f>
        <v>#REF!</v>
      </c>
      <c r="BT64" s="135" t="e">
        <f t="shared" ref="BT64" si="301">AD64</f>
        <v>#REF!</v>
      </c>
      <c r="BU64" s="125" t="e">
        <f t="shared" ref="BU64" si="302">AE64</f>
        <v>#REF!</v>
      </c>
      <c r="BV64" s="123" t="e">
        <f t="shared" ref="BV64" si="303">AF64</f>
        <v>#REF!</v>
      </c>
      <c r="BW64" s="135" t="e">
        <f>BQ64+BT64</f>
        <v>#REF!</v>
      </c>
      <c r="BX64" s="125" t="e">
        <f t="shared" ref="BX64:BX72" si="304">BR64+BU64</f>
        <v>#REF!</v>
      </c>
      <c r="BY64" s="123" t="e">
        <f t="shared" ref="BY64:BY72" si="305">BS64+BV64</f>
        <v>#REF!</v>
      </c>
    </row>
    <row r="65" spans="1:77" outlineLevel="1">
      <c r="A65" t="s">
        <v>1307</v>
      </c>
      <c r="B65" s="139" t="e">
        <f>SUMIFS('Portefeuille SP2'!$U:$U,'Portefeuille SP2'!#REF!,1,'Portefeuille SP2'!$Q:$Q,"IN PROGRESS",'Portefeuille SP2'!#REF!,"G",'Portefeuille SP2'!$D:$D,$A65,'Portefeuille SP2'!#REF!,"S")</f>
        <v>#REF!</v>
      </c>
      <c r="C65" s="126" t="e">
        <f>SUMIFS('Portefeuille SP2'!#REF!,'Portefeuille SP2'!#REF!,1,'Portefeuille SP2'!$Q:$Q,"IN PROGRESS",'Portefeuille SP2'!#REF!,"G",'Portefeuille SP2'!$D:$D,$A65,'Portefeuille SP2'!#REF!,"S")</f>
        <v>#REF!</v>
      </c>
      <c r="D65" s="122" t="e">
        <f>SUMIFS('Portefeuille SP2'!#REF!,'Portefeuille SP2'!#REF!,1,'Portefeuille SP2'!$Q:$Q,"IN PROGRESS",'Portefeuille SP2'!#REF!,"G",'Portefeuille SP2'!$D:$D,$A65,'Portefeuille SP2'!#REF!,"S")</f>
        <v>#REF!</v>
      </c>
      <c r="E65" s="111" t="e">
        <f>SUMIFS('Portefeuille SP2'!$U:$U,'Portefeuille SP2'!#REF!,1,'Portefeuille SP2'!$Q:$Q,"IN PROGRESS",'Portefeuille SP2'!#REF!,"R",'Portefeuille SP2'!$D:$D,$A65,'Portefeuille SP2'!#REF!,"S")</f>
        <v>#REF!</v>
      </c>
      <c r="F65" s="126" t="e">
        <f>SUMIFS('Portefeuille SP2'!#REF!,'Portefeuille SP2'!#REF!,1,'Portefeuille SP2'!$Q:$Q,"IN PROGRESS",'Portefeuille SP2'!#REF!,"R",'Portefeuille SP2'!$D:$D,$A65,'Portefeuille SP2'!#REF!,"S")</f>
        <v>#REF!</v>
      </c>
      <c r="G65" s="117" t="e">
        <f>SUMIFS('Portefeuille SP2'!#REF!,'Portefeuille SP2'!#REF!,1,'Portefeuille SP2'!$Q:$Q,"IN PROGRESS",'Portefeuille SP2'!#REF!,"R",'Portefeuille SP2'!$D:$D,$A65,'Portefeuille SP2'!#REF!,"S")</f>
        <v>#REF!</v>
      </c>
      <c r="H65" s="111" t="e">
        <f>SUMIFS('Portefeuille SP2'!$U:$U,'Portefeuille SP2'!#REF!,1,'Portefeuille SP2'!$Q:$Q,"DECIDED",'Portefeuille SP2'!#REF!,"G",'Portefeuille SP2'!$D:$D,$A65,'Portefeuille SP2'!#REF!,"S",'Portefeuille SP2'!#REF!,"=")</f>
        <v>#REF!</v>
      </c>
      <c r="I65" s="117" t="e">
        <f>SUMIFS('Portefeuille SP2'!#REF!,'Portefeuille SP2'!#REF!,1,'Portefeuille SP2'!$Q:$Q,"DECIDED",'Portefeuille SP2'!#REF!,"G",'Portefeuille SP2'!$D:$D,$A65,'Portefeuille SP2'!#REF!,"S",'Portefeuille SP2'!#REF!,"=")</f>
        <v>#REF!</v>
      </c>
      <c r="J65" s="117" t="e">
        <f>SUMIFS('Portefeuille SP2'!#REF!,'Portefeuille SP2'!#REF!,1,'Portefeuille SP2'!$Q:$Q,"DECIDED",'Portefeuille SP2'!#REF!,"G",'Portefeuille SP2'!$D:$D,$A65,'Portefeuille SP2'!#REF!,"S",'Portefeuille SP2'!#REF!,"=")</f>
        <v>#REF!</v>
      </c>
      <c r="K65" s="111" t="e">
        <f>SUMIFS('Portefeuille SP2'!$U:$U,'Portefeuille SP2'!#REF!,1,'Portefeuille SP2'!$Q:$Q,"DECIDED",'Portefeuille SP2'!#REF!,"R",'Portefeuille SP2'!$D:$D,$A65,'Portefeuille SP2'!#REF!,"S",'Portefeuille SP2'!#REF!,"=")</f>
        <v>#REF!</v>
      </c>
      <c r="L65" s="126" t="e">
        <f>SUMIFS('Portefeuille SP2'!#REF!,'Portefeuille SP2'!#REF!,1,'Portefeuille SP2'!$Q:$Q,"DECIDED",'Portefeuille SP2'!#REF!,"R",'Portefeuille SP2'!$D:$D,$A65,'Portefeuille SP2'!#REF!,"S",'Portefeuille SP2'!#REF!,"=")</f>
        <v>#REF!</v>
      </c>
      <c r="M65" s="117" t="e">
        <f>SUMIFS('Portefeuille SP2'!#REF!,'Portefeuille SP2'!#REF!,1,'Portefeuille SP2'!$Q:$Q,"DECIDED",'Portefeuille SP2'!#REF!,"R",'Portefeuille SP2'!$D:$D,$A65,'Portefeuille SP2'!#REF!,"S",'Portefeuille SP2'!#REF!,"=")</f>
        <v>#REF!</v>
      </c>
      <c r="N65" s="111" t="e">
        <f>SUMIFS('Portefeuille SP2'!$U:$U,'Portefeuille SP2'!#REF!,1,'Portefeuille SP2'!$Q:$Q,"DECIDED",'Portefeuille SP2'!#REF!,"G",'Portefeuille SP2'!$D:$D,$A65,'Portefeuille SP2'!#REF!,"S",'Portefeuille SP2'!#REF!,"&lt;&gt;")</f>
        <v>#REF!</v>
      </c>
      <c r="O65" s="126" t="e">
        <f>SUMIFS('Portefeuille SP2'!#REF!,'Portefeuille SP2'!#REF!,1,'Portefeuille SP2'!$Q:$Q,"DECIDED",'Portefeuille SP2'!#REF!,"G",'Portefeuille SP2'!$D:$D,$A65,'Portefeuille SP2'!#REF!,"S",'Portefeuille SP2'!#REF!,"&lt;&gt;")</f>
        <v>#REF!</v>
      </c>
      <c r="P65" s="117" t="e">
        <f>SUMIFS('Portefeuille SP2'!#REF!,'Portefeuille SP2'!#REF!,1,'Portefeuille SP2'!$Q:$Q,"DECIDED",'Portefeuille SP2'!#REF!,"G",'Portefeuille SP2'!$D:$D,$A65,'Portefeuille SP2'!#REF!,"S",'Portefeuille SP2'!#REF!,"&lt;&gt;")</f>
        <v>#REF!</v>
      </c>
      <c r="Q65" s="111" t="e">
        <f>SUMIFS('Portefeuille SP2'!$U:$U,'Portefeuille SP2'!#REF!,1,'Portefeuille SP2'!$Q:$Q,"DECIDED",'Portefeuille SP2'!#REF!,"R",'Portefeuille SP2'!$D:$D,$A65,'Portefeuille SP2'!#REF!,"S",'Portefeuille SP2'!#REF!,"&lt;&gt;")</f>
        <v>#REF!</v>
      </c>
      <c r="R65" s="126" t="e">
        <f>SUMIFS('Portefeuille SP2'!#REF!,'Portefeuille SP2'!#REF!,1,'Portefeuille SP2'!$Q:$Q,"DECIDED",'Portefeuille SP2'!#REF!,"R",'Portefeuille SP2'!$D:$D,$A65,'Portefeuille SP2'!#REF!,"S",'Portefeuille SP2'!#REF!,"&lt;&gt;")</f>
        <v>#REF!</v>
      </c>
      <c r="S65" s="122" t="e">
        <f>SUMIFS('Portefeuille SP2'!#REF!,'Portefeuille SP2'!#REF!,1,'Portefeuille SP2'!$Q:$Q,"DECIDED",'Portefeuille SP2'!#REF!,"R",'Portefeuille SP2'!$D:$D,$A65,'Portefeuille SP2'!#REF!,"S",'Portefeuille SP2'!#REF!,"&lt;&gt;")</f>
        <v>#REF!</v>
      </c>
      <c r="U65" s="111" t="e">
        <f>SUMIFS('Portefeuille SP2'!$U:$U,'Portefeuille SP2'!#REF!,1,'Portefeuille SP2'!$Q:$Q,"IN PROGRESS",'Portefeuille SP2'!#REF!,"G",'Portefeuille SP2'!$D:$D,$A65,'Portefeuille SP2'!#REF!,"O")</f>
        <v>#REF!</v>
      </c>
      <c r="V65" s="126" t="e">
        <f>SUMIFS('Portefeuille SP2'!#REF!,'Portefeuille SP2'!#REF!,1,'Portefeuille SP2'!$Q:$Q,"IN PROGRESS",'Portefeuille SP2'!#REF!,"G",'Portefeuille SP2'!$D:$D,$A65,'Portefeuille SP2'!#REF!,"o")</f>
        <v>#REF!</v>
      </c>
      <c r="W65" s="117" t="e">
        <f>SUMIFS('Portefeuille SP2'!#REF!,'Portefeuille SP2'!#REF!,1,'Portefeuille SP2'!$Q:$Q,"IN PROGRESS",'Portefeuille SP2'!#REF!,"G",'Portefeuille SP2'!$D:$D,$A65,'Portefeuille SP2'!#REF!,"o")</f>
        <v>#REF!</v>
      </c>
      <c r="X65" s="111" t="e">
        <f>SUMIFS('Portefeuille SP2'!$U:$U,'Portefeuille SP2'!#REF!,1,'Portefeuille SP2'!$Q:$Q,"IN PROGRESS",'Portefeuille SP2'!#REF!,"R",'Portefeuille SP2'!$D:$D,$A65,'Portefeuille SP2'!#REF!,"o")</f>
        <v>#REF!</v>
      </c>
      <c r="Y65" s="126" t="e">
        <f>SUMIFS('Portefeuille SP2'!#REF!,'Portefeuille SP2'!#REF!,1,'Portefeuille SP2'!$Q:$Q,"IN PROGRESS",'Portefeuille SP2'!#REF!,"R",'Portefeuille SP2'!$D:$D,$A65,'Portefeuille SP2'!#REF!,"o")</f>
        <v>#REF!</v>
      </c>
      <c r="Z65" s="117" t="e">
        <f>SUMIFS('Portefeuille SP2'!#REF!,'Portefeuille SP2'!#REF!,1,'Portefeuille SP2'!$Q:$Q,"IN PROGRESS",'Portefeuille SP2'!#REF!,"R",'Portefeuille SP2'!$D:$D,$A65,'Portefeuille SP2'!#REF!,"o")</f>
        <v>#REF!</v>
      </c>
      <c r="AA65" s="111" t="e">
        <f>SUMIFS('Portefeuille SP2'!$U:$U,'Portefeuille SP2'!#REF!,1,'Portefeuille SP2'!$Q:$Q,"DECIDED",'Portefeuille SP2'!#REF!,"G",'Portefeuille SP2'!$D:$D,$A65,'Portefeuille SP2'!#REF!,"o",'Portefeuille SP2'!#REF!,"=")</f>
        <v>#REF!</v>
      </c>
      <c r="AB65" s="126" t="e">
        <f>SUMIFS('Portefeuille SP2'!#REF!,'Portefeuille SP2'!#REF!,1,'Portefeuille SP2'!$Q:$Q,"DECIDED",'Portefeuille SP2'!#REF!,"G",'Portefeuille SP2'!$D:$D,$A65,'Portefeuille SP2'!#REF!,"o",'Portefeuille SP2'!#REF!,"=")</f>
        <v>#REF!</v>
      </c>
      <c r="AC65" s="117" t="e">
        <f>SUMIFS('Portefeuille SP2'!#REF!,'Portefeuille SP2'!#REF!,1,'Portefeuille SP2'!$Q:$Q,"DECIDED",'Portefeuille SP2'!#REF!,"G",'Portefeuille SP2'!$D:$D,$A65,'Portefeuille SP2'!#REF!,"o",'Portefeuille SP2'!#REF!,"=")</f>
        <v>#REF!</v>
      </c>
      <c r="AD65" s="111" t="e">
        <f>SUMIFS('Portefeuille SP2'!$U:$U,'Portefeuille SP2'!#REF!,1,'Portefeuille SP2'!$Q:$Q,"DECIDED",'Portefeuille SP2'!#REF!,"R",'Portefeuille SP2'!$D:$D,$A65,'Portefeuille SP2'!#REF!,"o",'Portefeuille SP2'!#REF!,"=")</f>
        <v>#REF!</v>
      </c>
      <c r="AE65" s="126" t="e">
        <f>SUMIFS('Portefeuille SP2'!#REF!,'Portefeuille SP2'!#REF!,1,'Portefeuille SP2'!$Q:$Q,"DECIDED",'Portefeuille SP2'!#REF!,"R",'Portefeuille SP2'!$D:$D,$A65,'Portefeuille SP2'!#REF!,"o",'Portefeuille SP2'!#REF!,"=")</f>
        <v>#REF!</v>
      </c>
      <c r="AF65" s="117" t="e">
        <f>SUMIFS('Portefeuille SP2'!#REF!,'Portefeuille SP2'!#REF!,1,'Portefeuille SP2'!$Q:$Q,"DECIDED",'Portefeuille SP2'!#REF!,"R",'Portefeuille SP2'!$D:$D,$A65,'Portefeuille SP2'!#REF!,"o",'Portefeuille SP2'!#REF!,"=")</f>
        <v>#REF!</v>
      </c>
      <c r="AG65" s="111" t="e">
        <f>SUMIFS('Portefeuille SP2'!$U:$U,'Portefeuille SP2'!#REF!,1,'Portefeuille SP2'!$Q:$Q,"DECIDED",'Portefeuille SP2'!#REF!,"G",'Portefeuille SP2'!$D:$D,$A65,'Portefeuille SP2'!#REF!,"o",'Portefeuille SP2'!#REF!,"&lt;&gt;")</f>
        <v>#REF!</v>
      </c>
      <c r="AH65" s="126" t="e">
        <f>SUMIFS('Portefeuille SP2'!#REF!,'Portefeuille SP2'!#REF!,1,'Portefeuille SP2'!$Q:$Q,"DECIDED",'Portefeuille SP2'!#REF!,"G",'Portefeuille SP2'!$D:$D,$A65,'Portefeuille SP2'!#REF!,"o",'Portefeuille SP2'!#REF!,"&lt;&gt;")</f>
        <v>#REF!</v>
      </c>
      <c r="AI65" s="117" t="e">
        <f>SUMIFS('Portefeuille SP2'!#REF!,'Portefeuille SP2'!#REF!,1,'Portefeuille SP2'!$Q:$Q,"DECIDED",'Portefeuille SP2'!#REF!,"G",'Portefeuille SP2'!$D:$D,$A65,'Portefeuille SP2'!#REF!,"o",'Portefeuille SP2'!#REF!,"&lt;&gt;")</f>
        <v>#REF!</v>
      </c>
      <c r="AJ65" s="111" t="e">
        <f>SUMIFS('Portefeuille SP2'!$U:$U,'Portefeuille SP2'!#REF!,1,'Portefeuille SP2'!$Q:$Q,"DECIDED",'Portefeuille SP2'!#REF!,"R",'Portefeuille SP2'!$D:$D,$A65,'Portefeuille SP2'!#REF!,"o",'Portefeuille SP2'!#REF!,"&lt;&gt;")</f>
        <v>#REF!</v>
      </c>
      <c r="AK65" s="126" t="e">
        <f>SUMIFS('Portefeuille SP2'!#REF!,'Portefeuille SP2'!#REF!,1,'Portefeuille SP2'!$Q:$Q,"DECIDED",'Portefeuille SP2'!#REF!,"R",'Portefeuille SP2'!$D:$D,$A65,'Portefeuille SP2'!#REF!,"o",'Portefeuille SP2'!#REF!,"&lt;&gt;")</f>
        <v>#REF!</v>
      </c>
      <c r="AL65" s="117" t="e">
        <f>SUMIFS('Portefeuille SP2'!#REF!,'Portefeuille SP2'!#REF!,1,'Portefeuille SP2'!$Q:$Q,"DECIDED",'Portefeuille SP2'!#REF!,"R",'Portefeuille SP2'!$D:$D,$A65,'Portefeuille SP2'!#REF!,"o",'Portefeuille SP2'!#REF!,"&lt;&gt;")</f>
        <v>#REF!</v>
      </c>
      <c r="AM65" s="117"/>
      <c r="AN65" t="s">
        <v>1308</v>
      </c>
      <c r="AO65" s="111" t="e">
        <f t="shared" ref="AO65" si="306">B71</f>
        <v>#REF!</v>
      </c>
      <c r="AP65" s="126" t="e">
        <f t="shared" ref="AP65" si="307">C71</f>
        <v>#REF!</v>
      </c>
      <c r="AQ65" s="122" t="e">
        <f t="shared" ref="AQ65" si="308">D71</f>
        <v>#REF!</v>
      </c>
      <c r="AR65" s="112" t="e">
        <f t="shared" ref="AR65" si="309">E71</f>
        <v>#REF!</v>
      </c>
      <c r="AS65" s="126" t="e">
        <f t="shared" ref="AS65" si="310">F71</f>
        <v>#REF!</v>
      </c>
      <c r="AT65" s="122" t="e">
        <f t="shared" ref="AT65" si="311">G71</f>
        <v>#REF!</v>
      </c>
      <c r="AU65" s="112" t="e">
        <f t="shared" ref="AU65:AU72" si="312">AO65+AR65</f>
        <v>#REF!</v>
      </c>
      <c r="AV65" s="126" t="e">
        <f t="shared" si="281"/>
        <v>#REF!</v>
      </c>
      <c r="AW65" s="122" t="e">
        <f t="shared" si="282"/>
        <v>#REF!</v>
      </c>
      <c r="AX65" s="111" t="e">
        <f t="shared" ref="AX65" si="313">H71</f>
        <v>#REF!</v>
      </c>
      <c r="AY65" s="126" t="e">
        <f t="shared" ref="AY65" si="314">I71</f>
        <v>#REF!</v>
      </c>
      <c r="AZ65" s="122" t="e">
        <f t="shared" ref="AZ65" si="315">J71</f>
        <v>#REF!</v>
      </c>
      <c r="BA65" s="111" t="e">
        <f t="shared" ref="BA65" si="316">K71</f>
        <v>#REF!</v>
      </c>
      <c r="BB65" s="126" t="e">
        <f t="shared" ref="BB65" si="317">L71</f>
        <v>#REF!</v>
      </c>
      <c r="BC65" s="122" t="e">
        <f t="shared" ref="BC65" si="318">M71</f>
        <v>#REF!</v>
      </c>
      <c r="BD65" s="112" t="e">
        <f t="shared" ref="BD65:BD72" si="319">AX65+BA65</f>
        <v>#REF!</v>
      </c>
      <c r="BE65" s="126" t="e">
        <f t="shared" si="289"/>
        <v>#REF!</v>
      </c>
      <c r="BF65" s="122" t="e">
        <f t="shared" si="290"/>
        <v>#REF!</v>
      </c>
      <c r="BH65" s="111" t="e">
        <f>U71</f>
        <v>#REF!</v>
      </c>
      <c r="BI65" s="126" t="e">
        <f t="shared" ref="BI65" si="320">V71</f>
        <v>#REF!</v>
      </c>
      <c r="BJ65" s="122" t="e">
        <f t="shared" ref="BJ65" si="321">W71</f>
        <v>#REF!</v>
      </c>
      <c r="BK65" s="111" t="e">
        <f t="shared" ref="BK65" si="322">X71</f>
        <v>#REF!</v>
      </c>
      <c r="BL65" s="126" t="e">
        <f t="shared" ref="BL65" si="323">Y71</f>
        <v>#REF!</v>
      </c>
      <c r="BM65" s="122" t="e">
        <f t="shared" ref="BM65" si="324">Z71</f>
        <v>#REF!</v>
      </c>
      <c r="BN65" s="112" t="e">
        <f t="shared" ref="BN65:BN72" si="325">BH65+BK65</f>
        <v>#REF!</v>
      </c>
      <c r="BO65" s="126" t="e">
        <f t="shared" si="296"/>
        <v>#REF!</v>
      </c>
      <c r="BP65" s="122" t="e">
        <f t="shared" si="297"/>
        <v>#REF!</v>
      </c>
      <c r="BQ65" s="111" t="e">
        <f t="shared" ref="BQ65" si="326">AA71</f>
        <v>#REF!</v>
      </c>
      <c r="BR65" s="126" t="e">
        <f t="shared" ref="BR65" si="327">AB71</f>
        <v>#REF!</v>
      </c>
      <c r="BS65" s="122" t="e">
        <f t="shared" ref="BS65" si="328">AC71</f>
        <v>#REF!</v>
      </c>
      <c r="BT65" s="111" t="e">
        <f t="shared" ref="BT65" si="329">AD71</f>
        <v>#REF!</v>
      </c>
      <c r="BU65" s="126" t="e">
        <f t="shared" ref="BU65" si="330">AE71</f>
        <v>#REF!</v>
      </c>
      <c r="BV65" s="122" t="e">
        <f t="shared" ref="BV65" si="331">AF71</f>
        <v>#REF!</v>
      </c>
      <c r="BW65" s="111" t="e">
        <f t="shared" ref="BW65:BW72" si="332">BQ65+BT65</f>
        <v>#REF!</v>
      </c>
      <c r="BX65" s="126" t="e">
        <f t="shared" si="304"/>
        <v>#REF!</v>
      </c>
      <c r="BY65" s="122" t="e">
        <f t="shared" si="305"/>
        <v>#REF!</v>
      </c>
    </row>
    <row r="66" spans="1:77" outlineLevel="1">
      <c r="A66" t="s">
        <v>1309</v>
      </c>
      <c r="B66" s="139" t="e">
        <f>SUMIFS('Portefeuille SP2'!$U:$U,'Portefeuille SP2'!#REF!,1,'Portefeuille SP2'!$Q:$Q,"IN PROGRESS",'Portefeuille SP2'!#REF!,"G",'Portefeuille SP2'!$D:$D,$A66,'Portefeuille SP2'!#REF!,"S")</f>
        <v>#REF!</v>
      </c>
      <c r="C66" s="126" t="e">
        <f>SUMIFS('Portefeuille SP2'!#REF!,'Portefeuille SP2'!#REF!,1,'Portefeuille SP2'!$Q:$Q,"IN PROGRESS",'Portefeuille SP2'!#REF!,"G",'Portefeuille SP2'!$D:$D,$A66,'Portefeuille SP2'!#REF!,"S")</f>
        <v>#REF!</v>
      </c>
      <c r="D66" s="122" t="e">
        <f>SUMIFS('Portefeuille SP2'!#REF!,'Portefeuille SP2'!#REF!,1,'Portefeuille SP2'!$Q:$Q,"IN PROGRESS",'Portefeuille SP2'!#REF!,"G",'Portefeuille SP2'!$D:$D,$A66,'Portefeuille SP2'!#REF!,"S")</f>
        <v>#REF!</v>
      </c>
      <c r="E66" s="111" t="e">
        <f>SUMIFS('Portefeuille SP2'!$U:$U,'Portefeuille SP2'!#REF!,1,'Portefeuille SP2'!$Q:$Q,"IN PROGRESS",'Portefeuille SP2'!#REF!,"R",'Portefeuille SP2'!$D:$D,$A66,'Portefeuille SP2'!#REF!,"S")</f>
        <v>#REF!</v>
      </c>
      <c r="F66" s="126" t="e">
        <f>SUMIFS('Portefeuille SP2'!#REF!,'Portefeuille SP2'!#REF!,1,'Portefeuille SP2'!$Q:$Q,"IN PROGRESS",'Portefeuille SP2'!#REF!,"R",'Portefeuille SP2'!$D:$D,$A66,'Portefeuille SP2'!#REF!,"S")</f>
        <v>#REF!</v>
      </c>
      <c r="G66" s="117" t="e">
        <f>SUMIFS('Portefeuille SP2'!#REF!,'Portefeuille SP2'!#REF!,1,'Portefeuille SP2'!$Q:$Q,"IN PROGRESS",'Portefeuille SP2'!#REF!,"R",'Portefeuille SP2'!$D:$D,$A66,'Portefeuille SP2'!#REF!,"S")</f>
        <v>#REF!</v>
      </c>
      <c r="H66" s="111" t="e">
        <f>SUMIFS('Portefeuille SP2'!$U:$U,'Portefeuille SP2'!#REF!,1,'Portefeuille SP2'!$Q:$Q,"DECIDED",'Portefeuille SP2'!#REF!,"G",'Portefeuille SP2'!$D:$D,$A66,'Portefeuille SP2'!#REF!,"S",'Portefeuille SP2'!#REF!,"=")</f>
        <v>#REF!</v>
      </c>
      <c r="I66" s="117" t="e">
        <f>SUMIFS('Portefeuille SP2'!#REF!,'Portefeuille SP2'!#REF!,1,'Portefeuille SP2'!$Q:$Q,"DECIDED",'Portefeuille SP2'!#REF!,"G",'Portefeuille SP2'!$D:$D,$A66,'Portefeuille SP2'!#REF!,"S",'Portefeuille SP2'!#REF!,"=")</f>
        <v>#REF!</v>
      </c>
      <c r="J66" s="117" t="e">
        <f>SUMIFS('Portefeuille SP2'!#REF!,'Portefeuille SP2'!#REF!,1,'Portefeuille SP2'!$Q:$Q,"DECIDED",'Portefeuille SP2'!#REF!,"G",'Portefeuille SP2'!$D:$D,$A66,'Portefeuille SP2'!#REF!,"S",'Portefeuille SP2'!#REF!,"=")</f>
        <v>#REF!</v>
      </c>
      <c r="K66" s="111" t="e">
        <f>SUMIFS('Portefeuille SP2'!$U:$U,'Portefeuille SP2'!#REF!,1,'Portefeuille SP2'!$Q:$Q,"DECIDED",'Portefeuille SP2'!#REF!,"R",'Portefeuille SP2'!$D:$D,$A66,'Portefeuille SP2'!#REF!,"S",'Portefeuille SP2'!#REF!,"=")</f>
        <v>#REF!</v>
      </c>
      <c r="L66" s="126" t="e">
        <f>SUMIFS('Portefeuille SP2'!#REF!,'Portefeuille SP2'!#REF!,1,'Portefeuille SP2'!$Q:$Q,"DECIDED",'Portefeuille SP2'!#REF!,"R",'Portefeuille SP2'!$D:$D,$A66,'Portefeuille SP2'!#REF!,"S",'Portefeuille SP2'!#REF!,"=")</f>
        <v>#REF!</v>
      </c>
      <c r="M66" s="117" t="e">
        <f>SUMIFS('Portefeuille SP2'!#REF!,'Portefeuille SP2'!#REF!,1,'Portefeuille SP2'!$Q:$Q,"DECIDED",'Portefeuille SP2'!#REF!,"R",'Portefeuille SP2'!$D:$D,$A66,'Portefeuille SP2'!#REF!,"S",'Portefeuille SP2'!#REF!,"=")</f>
        <v>#REF!</v>
      </c>
      <c r="N66" s="111" t="e">
        <f>SUMIFS('Portefeuille SP2'!$U:$U,'Portefeuille SP2'!#REF!,1,'Portefeuille SP2'!$Q:$Q,"DECIDED",'Portefeuille SP2'!#REF!,"G",'Portefeuille SP2'!$D:$D,$A66,'Portefeuille SP2'!#REF!,"S",'Portefeuille SP2'!#REF!,"&lt;&gt;")</f>
        <v>#REF!</v>
      </c>
      <c r="O66" s="126" t="e">
        <f>SUMIFS('Portefeuille SP2'!#REF!,'Portefeuille SP2'!#REF!,1,'Portefeuille SP2'!$Q:$Q,"DECIDED",'Portefeuille SP2'!#REF!,"G",'Portefeuille SP2'!$D:$D,$A66,'Portefeuille SP2'!#REF!,"S",'Portefeuille SP2'!#REF!,"&lt;&gt;")</f>
        <v>#REF!</v>
      </c>
      <c r="P66" s="117" t="e">
        <f>SUMIFS('Portefeuille SP2'!#REF!,'Portefeuille SP2'!#REF!,1,'Portefeuille SP2'!$Q:$Q,"DECIDED",'Portefeuille SP2'!#REF!,"G",'Portefeuille SP2'!$D:$D,$A66,'Portefeuille SP2'!#REF!,"S",'Portefeuille SP2'!#REF!,"&lt;&gt;")</f>
        <v>#REF!</v>
      </c>
      <c r="Q66" s="111" t="e">
        <f>SUMIFS('Portefeuille SP2'!$U:$U,'Portefeuille SP2'!#REF!,1,'Portefeuille SP2'!$Q:$Q,"DECIDED",'Portefeuille SP2'!#REF!,"R",'Portefeuille SP2'!$D:$D,$A66,'Portefeuille SP2'!#REF!,"S",'Portefeuille SP2'!#REF!,"&lt;&gt;")</f>
        <v>#REF!</v>
      </c>
      <c r="R66" s="126" t="e">
        <f>SUMIFS('Portefeuille SP2'!#REF!,'Portefeuille SP2'!#REF!,1,'Portefeuille SP2'!$Q:$Q,"DECIDED",'Portefeuille SP2'!#REF!,"R",'Portefeuille SP2'!$D:$D,$A66,'Portefeuille SP2'!#REF!,"S",'Portefeuille SP2'!#REF!,"&lt;&gt;")</f>
        <v>#REF!</v>
      </c>
      <c r="S66" s="122" t="e">
        <f>SUMIFS('Portefeuille SP2'!#REF!,'Portefeuille SP2'!#REF!,1,'Portefeuille SP2'!$Q:$Q,"DECIDED",'Portefeuille SP2'!#REF!,"R",'Portefeuille SP2'!$D:$D,$A66,'Portefeuille SP2'!#REF!,"S",'Portefeuille SP2'!#REF!,"&lt;&gt;")</f>
        <v>#REF!</v>
      </c>
      <c r="U66" s="111" t="e">
        <f>SUMIFS('Portefeuille SP2'!$U:$U,'Portefeuille SP2'!#REF!,1,'Portefeuille SP2'!$Q:$Q,"IN PROGRESS",'Portefeuille SP2'!#REF!,"G",'Portefeuille SP2'!$D:$D,$A66,'Portefeuille SP2'!#REF!,"O")</f>
        <v>#REF!</v>
      </c>
      <c r="V66" s="126" t="e">
        <f>SUMIFS('Portefeuille SP2'!#REF!,'Portefeuille SP2'!#REF!,1,'Portefeuille SP2'!$Q:$Q,"IN PROGRESS",'Portefeuille SP2'!#REF!,"G",'Portefeuille SP2'!$D:$D,$A66,'Portefeuille SP2'!#REF!,"o")</f>
        <v>#REF!</v>
      </c>
      <c r="W66" s="117" t="e">
        <f>SUMIFS('Portefeuille SP2'!#REF!,'Portefeuille SP2'!#REF!,1,'Portefeuille SP2'!$Q:$Q,"IN PROGRESS",'Portefeuille SP2'!#REF!,"G",'Portefeuille SP2'!$D:$D,$A66,'Portefeuille SP2'!#REF!,"o")</f>
        <v>#REF!</v>
      </c>
      <c r="X66" s="111" t="e">
        <f>SUMIFS('Portefeuille SP2'!$U:$U,'Portefeuille SP2'!#REF!,1,'Portefeuille SP2'!$Q:$Q,"IN PROGRESS",'Portefeuille SP2'!#REF!,"R",'Portefeuille SP2'!$D:$D,$A66,'Portefeuille SP2'!#REF!,"o")</f>
        <v>#REF!</v>
      </c>
      <c r="Y66" s="126" t="e">
        <f>SUMIFS('Portefeuille SP2'!#REF!,'Portefeuille SP2'!#REF!,1,'Portefeuille SP2'!$Q:$Q,"IN PROGRESS",'Portefeuille SP2'!#REF!,"R",'Portefeuille SP2'!$D:$D,$A66,'Portefeuille SP2'!#REF!,"o")</f>
        <v>#REF!</v>
      </c>
      <c r="Z66" s="117" t="e">
        <f>SUMIFS('Portefeuille SP2'!#REF!,'Portefeuille SP2'!#REF!,1,'Portefeuille SP2'!$Q:$Q,"IN PROGRESS",'Portefeuille SP2'!#REF!,"R",'Portefeuille SP2'!$D:$D,$A66,'Portefeuille SP2'!#REF!,"o")</f>
        <v>#REF!</v>
      </c>
      <c r="AA66" s="111" t="e">
        <f>SUMIFS('Portefeuille SP2'!$U:$U,'Portefeuille SP2'!#REF!,1,'Portefeuille SP2'!$Q:$Q,"DECIDED",'Portefeuille SP2'!#REF!,"G",'Portefeuille SP2'!$D:$D,$A66,'Portefeuille SP2'!#REF!,"o",'Portefeuille SP2'!#REF!,"=")</f>
        <v>#REF!</v>
      </c>
      <c r="AB66" s="126" t="e">
        <f>SUMIFS('Portefeuille SP2'!#REF!,'Portefeuille SP2'!#REF!,1,'Portefeuille SP2'!$Q:$Q,"DECIDED",'Portefeuille SP2'!#REF!,"G",'Portefeuille SP2'!$D:$D,$A66,'Portefeuille SP2'!#REF!,"o",'Portefeuille SP2'!#REF!,"=")</f>
        <v>#REF!</v>
      </c>
      <c r="AC66" s="117" t="e">
        <f>SUMIFS('Portefeuille SP2'!#REF!,'Portefeuille SP2'!#REF!,1,'Portefeuille SP2'!$Q:$Q,"DECIDED",'Portefeuille SP2'!#REF!,"G",'Portefeuille SP2'!$D:$D,$A66,'Portefeuille SP2'!#REF!,"o",'Portefeuille SP2'!#REF!,"=")</f>
        <v>#REF!</v>
      </c>
      <c r="AD66" s="111" t="e">
        <f>SUMIFS('Portefeuille SP2'!$U:$U,'Portefeuille SP2'!#REF!,1,'Portefeuille SP2'!$Q:$Q,"DECIDED",'Portefeuille SP2'!#REF!,"R",'Portefeuille SP2'!$D:$D,$A66,'Portefeuille SP2'!#REF!,"o",'Portefeuille SP2'!#REF!,"=")</f>
        <v>#REF!</v>
      </c>
      <c r="AE66" s="126" t="e">
        <f>SUMIFS('Portefeuille SP2'!#REF!,'Portefeuille SP2'!#REF!,1,'Portefeuille SP2'!$Q:$Q,"DECIDED",'Portefeuille SP2'!#REF!,"R",'Portefeuille SP2'!$D:$D,$A66,'Portefeuille SP2'!#REF!,"o",'Portefeuille SP2'!#REF!,"=")</f>
        <v>#REF!</v>
      </c>
      <c r="AF66" s="117" t="e">
        <f>SUMIFS('Portefeuille SP2'!#REF!,'Portefeuille SP2'!#REF!,1,'Portefeuille SP2'!$Q:$Q,"DECIDED",'Portefeuille SP2'!#REF!,"R",'Portefeuille SP2'!$D:$D,$A66,'Portefeuille SP2'!#REF!,"o",'Portefeuille SP2'!#REF!,"=")</f>
        <v>#REF!</v>
      </c>
      <c r="AG66" s="111" t="e">
        <f>SUMIFS('Portefeuille SP2'!$U:$U,'Portefeuille SP2'!#REF!,1,'Portefeuille SP2'!$Q:$Q,"DECIDED",'Portefeuille SP2'!#REF!,"G",'Portefeuille SP2'!$D:$D,$A66,'Portefeuille SP2'!#REF!,"o",'Portefeuille SP2'!#REF!,"&lt;&gt;")</f>
        <v>#REF!</v>
      </c>
      <c r="AH66" s="126" t="e">
        <f>SUMIFS('Portefeuille SP2'!#REF!,'Portefeuille SP2'!#REF!,1,'Portefeuille SP2'!$Q:$Q,"DECIDED",'Portefeuille SP2'!#REF!,"G",'Portefeuille SP2'!$D:$D,$A66,'Portefeuille SP2'!#REF!,"o",'Portefeuille SP2'!#REF!,"&lt;&gt;")</f>
        <v>#REF!</v>
      </c>
      <c r="AI66" s="117" t="e">
        <f>SUMIFS('Portefeuille SP2'!#REF!,'Portefeuille SP2'!#REF!,1,'Portefeuille SP2'!$Q:$Q,"DECIDED",'Portefeuille SP2'!#REF!,"G",'Portefeuille SP2'!$D:$D,$A66,'Portefeuille SP2'!#REF!,"o",'Portefeuille SP2'!#REF!,"&lt;&gt;")</f>
        <v>#REF!</v>
      </c>
      <c r="AJ66" s="111" t="e">
        <f>SUMIFS('Portefeuille SP2'!$U:$U,'Portefeuille SP2'!#REF!,1,'Portefeuille SP2'!$Q:$Q,"DECIDED",'Portefeuille SP2'!#REF!,"R",'Portefeuille SP2'!$D:$D,$A66,'Portefeuille SP2'!#REF!,"o",'Portefeuille SP2'!#REF!,"&lt;&gt;")</f>
        <v>#REF!</v>
      </c>
      <c r="AK66" s="126" t="e">
        <f>SUMIFS('Portefeuille SP2'!#REF!,'Portefeuille SP2'!#REF!,1,'Portefeuille SP2'!$Q:$Q,"DECIDED",'Portefeuille SP2'!#REF!,"R",'Portefeuille SP2'!$D:$D,$A66,'Portefeuille SP2'!#REF!,"o",'Portefeuille SP2'!#REF!,"&lt;&gt;")</f>
        <v>#REF!</v>
      </c>
      <c r="AL66" s="117" t="e">
        <f>SUMIFS('Portefeuille SP2'!#REF!,'Portefeuille SP2'!#REF!,1,'Portefeuille SP2'!$Q:$Q,"DECIDED",'Portefeuille SP2'!#REF!,"R",'Portefeuille SP2'!$D:$D,$A66,'Portefeuille SP2'!#REF!,"o",'Portefeuille SP2'!#REF!,"&lt;&gt;")</f>
        <v>#REF!</v>
      </c>
      <c r="AM66" s="117"/>
      <c r="AN66" t="s">
        <v>150</v>
      </c>
      <c r="AO66" s="111" t="e">
        <f t="shared" ref="AO66" si="333">B74</f>
        <v>#REF!</v>
      </c>
      <c r="AP66" s="126" t="e">
        <f t="shared" ref="AP66" si="334">C74</f>
        <v>#REF!</v>
      </c>
      <c r="AQ66" s="122" t="e">
        <f t="shared" ref="AQ66" si="335">D74</f>
        <v>#REF!</v>
      </c>
      <c r="AR66" s="112" t="e">
        <f t="shared" ref="AR66" si="336">E74</f>
        <v>#REF!</v>
      </c>
      <c r="AS66" s="126" t="e">
        <f t="shared" ref="AS66" si="337">F74</f>
        <v>#REF!</v>
      </c>
      <c r="AT66" s="122" t="e">
        <f t="shared" ref="AT66" si="338">G74</f>
        <v>#REF!</v>
      </c>
      <c r="AU66" s="112" t="e">
        <f t="shared" si="312"/>
        <v>#REF!</v>
      </c>
      <c r="AV66" s="126" t="e">
        <f t="shared" si="281"/>
        <v>#REF!</v>
      </c>
      <c r="AW66" s="122" t="e">
        <f t="shared" si="282"/>
        <v>#REF!</v>
      </c>
      <c r="AX66" s="111" t="e">
        <f t="shared" ref="AX66" si="339">H74</f>
        <v>#REF!</v>
      </c>
      <c r="AY66" s="126" t="e">
        <f t="shared" ref="AY66" si="340">I74</f>
        <v>#REF!</v>
      </c>
      <c r="AZ66" s="122" t="e">
        <f t="shared" ref="AZ66" si="341">J74</f>
        <v>#REF!</v>
      </c>
      <c r="BA66" s="111" t="e">
        <f t="shared" ref="BA66" si="342">K74</f>
        <v>#REF!</v>
      </c>
      <c r="BB66" s="126" t="e">
        <f t="shared" ref="BB66" si="343">L74</f>
        <v>#REF!</v>
      </c>
      <c r="BC66" s="122" t="e">
        <f t="shared" ref="BC66" si="344">M74</f>
        <v>#REF!</v>
      </c>
      <c r="BD66" s="112" t="e">
        <f t="shared" si="319"/>
        <v>#REF!</v>
      </c>
      <c r="BE66" s="126" t="e">
        <f t="shared" si="289"/>
        <v>#REF!</v>
      </c>
      <c r="BF66" s="122" t="e">
        <f t="shared" si="290"/>
        <v>#REF!</v>
      </c>
      <c r="BH66" s="111" t="e">
        <f>U74</f>
        <v>#REF!</v>
      </c>
      <c r="BI66" s="126" t="e">
        <f t="shared" ref="BI66" si="345">V74</f>
        <v>#REF!</v>
      </c>
      <c r="BJ66" s="122" t="e">
        <f t="shared" ref="BJ66" si="346">W74</f>
        <v>#REF!</v>
      </c>
      <c r="BK66" s="111" t="e">
        <f t="shared" ref="BK66" si="347">X74</f>
        <v>#REF!</v>
      </c>
      <c r="BL66" s="126" t="e">
        <f t="shared" ref="BL66" si="348">Y74</f>
        <v>#REF!</v>
      </c>
      <c r="BM66" s="122" t="e">
        <f t="shared" ref="BM66" si="349">Z74</f>
        <v>#REF!</v>
      </c>
      <c r="BN66" s="112" t="e">
        <f t="shared" si="325"/>
        <v>#REF!</v>
      </c>
      <c r="BO66" s="126" t="e">
        <f t="shared" si="296"/>
        <v>#REF!</v>
      </c>
      <c r="BP66" s="122" t="e">
        <f t="shared" si="297"/>
        <v>#REF!</v>
      </c>
      <c r="BQ66" s="111" t="e">
        <f t="shared" ref="BQ66" si="350">AA74</f>
        <v>#REF!</v>
      </c>
      <c r="BR66" s="126" t="e">
        <f t="shared" ref="BR66" si="351">AB74</f>
        <v>#REF!</v>
      </c>
      <c r="BS66" s="122" t="e">
        <f t="shared" ref="BS66" si="352">AC74</f>
        <v>#REF!</v>
      </c>
      <c r="BT66" s="111" t="e">
        <f t="shared" ref="BT66" si="353">AD74</f>
        <v>#REF!</v>
      </c>
      <c r="BU66" s="126" t="e">
        <f t="shared" ref="BU66" si="354">AE74</f>
        <v>#REF!</v>
      </c>
      <c r="BV66" s="122" t="e">
        <f t="shared" ref="BV66" si="355">AF74</f>
        <v>#REF!</v>
      </c>
      <c r="BW66" s="111" t="e">
        <f t="shared" si="332"/>
        <v>#REF!</v>
      </c>
      <c r="BX66" s="126" t="e">
        <f t="shared" si="304"/>
        <v>#REF!</v>
      </c>
      <c r="BY66" s="122" t="e">
        <f t="shared" si="305"/>
        <v>#REF!</v>
      </c>
    </row>
    <row r="67" spans="1:77" outlineLevel="1">
      <c r="A67" t="s">
        <v>1310</v>
      </c>
      <c r="B67" s="139" t="e">
        <f>SUMIFS('Portefeuille SP2'!$U:$U,'Portefeuille SP2'!#REF!,1,'Portefeuille SP2'!$Q:$Q,"IN PROGRESS",'Portefeuille SP2'!#REF!,"G",'Portefeuille SP2'!$D:$D,$A67,'Portefeuille SP2'!#REF!,"S")</f>
        <v>#REF!</v>
      </c>
      <c r="C67" s="126" t="e">
        <f>SUMIFS('Portefeuille SP2'!#REF!,'Portefeuille SP2'!#REF!,1,'Portefeuille SP2'!$Q:$Q,"IN PROGRESS",'Portefeuille SP2'!#REF!,"G",'Portefeuille SP2'!$D:$D,$A67,'Portefeuille SP2'!#REF!,"S")</f>
        <v>#REF!</v>
      </c>
      <c r="D67" s="122" t="e">
        <f>SUMIFS('Portefeuille SP2'!#REF!,'Portefeuille SP2'!#REF!,1,'Portefeuille SP2'!$Q:$Q,"IN PROGRESS",'Portefeuille SP2'!#REF!,"G",'Portefeuille SP2'!$D:$D,$A67,'Portefeuille SP2'!#REF!,"S")</f>
        <v>#REF!</v>
      </c>
      <c r="E67" s="111" t="e">
        <f>SUMIFS('Portefeuille SP2'!$U:$U,'Portefeuille SP2'!#REF!,1,'Portefeuille SP2'!$Q:$Q,"IN PROGRESS",'Portefeuille SP2'!#REF!,"R",'Portefeuille SP2'!$D:$D,$A67,'Portefeuille SP2'!#REF!,"S")</f>
        <v>#REF!</v>
      </c>
      <c r="F67" s="126" t="e">
        <f>SUMIFS('Portefeuille SP2'!#REF!,'Portefeuille SP2'!#REF!,1,'Portefeuille SP2'!$Q:$Q,"IN PROGRESS",'Portefeuille SP2'!#REF!,"R",'Portefeuille SP2'!$D:$D,$A67,'Portefeuille SP2'!#REF!,"S")</f>
        <v>#REF!</v>
      </c>
      <c r="G67" s="117" t="e">
        <f>SUMIFS('Portefeuille SP2'!#REF!,'Portefeuille SP2'!#REF!,1,'Portefeuille SP2'!$Q:$Q,"IN PROGRESS",'Portefeuille SP2'!#REF!,"R",'Portefeuille SP2'!$D:$D,$A67,'Portefeuille SP2'!#REF!,"S")</f>
        <v>#REF!</v>
      </c>
      <c r="H67" s="111" t="e">
        <f>SUMIFS('Portefeuille SP2'!$U:$U,'Portefeuille SP2'!#REF!,1,'Portefeuille SP2'!$Q:$Q,"DECIDED",'Portefeuille SP2'!#REF!,"G",'Portefeuille SP2'!$D:$D,$A67,'Portefeuille SP2'!#REF!,"S",'Portefeuille SP2'!#REF!,"=")</f>
        <v>#REF!</v>
      </c>
      <c r="I67" s="117" t="e">
        <f>SUMIFS('Portefeuille SP2'!#REF!,'Portefeuille SP2'!#REF!,1,'Portefeuille SP2'!$Q:$Q,"DECIDED",'Portefeuille SP2'!#REF!,"G",'Portefeuille SP2'!$D:$D,$A67,'Portefeuille SP2'!#REF!,"S",'Portefeuille SP2'!#REF!,"=")</f>
        <v>#REF!</v>
      </c>
      <c r="J67" s="117" t="e">
        <f>SUMIFS('Portefeuille SP2'!#REF!,'Portefeuille SP2'!#REF!,1,'Portefeuille SP2'!$Q:$Q,"DECIDED",'Portefeuille SP2'!#REF!,"G",'Portefeuille SP2'!$D:$D,$A67,'Portefeuille SP2'!#REF!,"S",'Portefeuille SP2'!#REF!,"=")</f>
        <v>#REF!</v>
      </c>
      <c r="K67" s="111" t="e">
        <f>SUMIFS('Portefeuille SP2'!$U:$U,'Portefeuille SP2'!#REF!,1,'Portefeuille SP2'!$Q:$Q,"DECIDED",'Portefeuille SP2'!#REF!,"R",'Portefeuille SP2'!$D:$D,$A67,'Portefeuille SP2'!#REF!,"S",'Portefeuille SP2'!#REF!,"=")</f>
        <v>#REF!</v>
      </c>
      <c r="L67" s="126" t="e">
        <f>SUMIFS('Portefeuille SP2'!#REF!,'Portefeuille SP2'!#REF!,1,'Portefeuille SP2'!$Q:$Q,"DECIDED",'Portefeuille SP2'!#REF!,"R",'Portefeuille SP2'!$D:$D,$A67,'Portefeuille SP2'!#REF!,"S",'Portefeuille SP2'!#REF!,"=")</f>
        <v>#REF!</v>
      </c>
      <c r="M67" s="117" t="e">
        <f>SUMIFS('Portefeuille SP2'!#REF!,'Portefeuille SP2'!#REF!,1,'Portefeuille SP2'!$Q:$Q,"DECIDED",'Portefeuille SP2'!#REF!,"R",'Portefeuille SP2'!$D:$D,$A67,'Portefeuille SP2'!#REF!,"S",'Portefeuille SP2'!#REF!,"=")</f>
        <v>#REF!</v>
      </c>
      <c r="N67" s="111" t="e">
        <f>SUMIFS('Portefeuille SP2'!$U:$U,'Portefeuille SP2'!#REF!,1,'Portefeuille SP2'!$Q:$Q,"DECIDED",'Portefeuille SP2'!#REF!,"G",'Portefeuille SP2'!$D:$D,$A67,'Portefeuille SP2'!#REF!,"S",'Portefeuille SP2'!#REF!,"&lt;&gt;")</f>
        <v>#REF!</v>
      </c>
      <c r="O67" s="126" t="e">
        <f>SUMIFS('Portefeuille SP2'!#REF!,'Portefeuille SP2'!#REF!,1,'Portefeuille SP2'!$Q:$Q,"DECIDED",'Portefeuille SP2'!#REF!,"G",'Portefeuille SP2'!$D:$D,$A67,'Portefeuille SP2'!#REF!,"S",'Portefeuille SP2'!#REF!,"&lt;&gt;")</f>
        <v>#REF!</v>
      </c>
      <c r="P67" s="117" t="e">
        <f>SUMIFS('Portefeuille SP2'!#REF!,'Portefeuille SP2'!#REF!,1,'Portefeuille SP2'!$Q:$Q,"DECIDED",'Portefeuille SP2'!#REF!,"G",'Portefeuille SP2'!$D:$D,$A67,'Portefeuille SP2'!#REF!,"S",'Portefeuille SP2'!#REF!,"&lt;&gt;")</f>
        <v>#REF!</v>
      </c>
      <c r="Q67" s="111" t="e">
        <f>SUMIFS('Portefeuille SP2'!$U:$U,'Portefeuille SP2'!#REF!,1,'Portefeuille SP2'!$Q:$Q,"DECIDED",'Portefeuille SP2'!#REF!,"R",'Portefeuille SP2'!$D:$D,$A67,'Portefeuille SP2'!#REF!,"S",'Portefeuille SP2'!#REF!,"&lt;&gt;")</f>
        <v>#REF!</v>
      </c>
      <c r="R67" s="126" t="e">
        <f>SUMIFS('Portefeuille SP2'!#REF!,'Portefeuille SP2'!#REF!,1,'Portefeuille SP2'!$Q:$Q,"DECIDED",'Portefeuille SP2'!#REF!,"R",'Portefeuille SP2'!$D:$D,$A67,'Portefeuille SP2'!#REF!,"S",'Portefeuille SP2'!#REF!,"&lt;&gt;")</f>
        <v>#REF!</v>
      </c>
      <c r="S67" s="122" t="e">
        <f>SUMIFS('Portefeuille SP2'!#REF!,'Portefeuille SP2'!#REF!,1,'Portefeuille SP2'!$Q:$Q,"DECIDED",'Portefeuille SP2'!#REF!,"R",'Portefeuille SP2'!$D:$D,$A67,'Portefeuille SP2'!#REF!,"S",'Portefeuille SP2'!#REF!,"&lt;&gt;")</f>
        <v>#REF!</v>
      </c>
      <c r="U67" s="111" t="e">
        <f>SUMIFS('Portefeuille SP2'!$U:$U,'Portefeuille SP2'!#REF!,1,'Portefeuille SP2'!$Q:$Q,"IN PROGRESS",'Portefeuille SP2'!#REF!,"G",'Portefeuille SP2'!$D:$D,$A67,'Portefeuille SP2'!#REF!,"O")</f>
        <v>#REF!</v>
      </c>
      <c r="V67" s="126" t="e">
        <f>SUMIFS('Portefeuille SP2'!#REF!,'Portefeuille SP2'!#REF!,1,'Portefeuille SP2'!$Q:$Q,"IN PROGRESS",'Portefeuille SP2'!#REF!,"G",'Portefeuille SP2'!$D:$D,$A67,'Portefeuille SP2'!#REF!,"o")</f>
        <v>#REF!</v>
      </c>
      <c r="W67" s="117" t="e">
        <f>SUMIFS('Portefeuille SP2'!#REF!,'Portefeuille SP2'!#REF!,1,'Portefeuille SP2'!$Q:$Q,"IN PROGRESS",'Portefeuille SP2'!#REF!,"G",'Portefeuille SP2'!$D:$D,$A67,'Portefeuille SP2'!#REF!,"o")</f>
        <v>#REF!</v>
      </c>
      <c r="X67" s="111" t="e">
        <f>SUMIFS('Portefeuille SP2'!$U:$U,'Portefeuille SP2'!#REF!,1,'Portefeuille SP2'!$Q:$Q,"IN PROGRESS",'Portefeuille SP2'!#REF!,"R",'Portefeuille SP2'!$D:$D,$A67,'Portefeuille SP2'!#REF!,"o")</f>
        <v>#REF!</v>
      </c>
      <c r="Y67" s="126" t="e">
        <f>SUMIFS('Portefeuille SP2'!#REF!,'Portefeuille SP2'!#REF!,1,'Portefeuille SP2'!$Q:$Q,"IN PROGRESS",'Portefeuille SP2'!#REF!,"R",'Portefeuille SP2'!$D:$D,$A67,'Portefeuille SP2'!#REF!,"o")</f>
        <v>#REF!</v>
      </c>
      <c r="Z67" s="117" t="e">
        <f>SUMIFS('Portefeuille SP2'!#REF!,'Portefeuille SP2'!#REF!,1,'Portefeuille SP2'!$Q:$Q,"IN PROGRESS",'Portefeuille SP2'!#REF!,"R",'Portefeuille SP2'!$D:$D,$A67,'Portefeuille SP2'!#REF!,"o")</f>
        <v>#REF!</v>
      </c>
      <c r="AA67" s="111" t="e">
        <f>SUMIFS('Portefeuille SP2'!$U:$U,'Portefeuille SP2'!#REF!,1,'Portefeuille SP2'!$Q:$Q,"DECIDED",'Portefeuille SP2'!#REF!,"G",'Portefeuille SP2'!$D:$D,$A67,'Portefeuille SP2'!#REF!,"o",'Portefeuille SP2'!#REF!,"=")</f>
        <v>#REF!</v>
      </c>
      <c r="AB67" s="126" t="e">
        <f>SUMIFS('Portefeuille SP2'!#REF!,'Portefeuille SP2'!#REF!,1,'Portefeuille SP2'!$Q:$Q,"DECIDED",'Portefeuille SP2'!#REF!,"G",'Portefeuille SP2'!$D:$D,$A67,'Portefeuille SP2'!#REF!,"o",'Portefeuille SP2'!#REF!,"=")</f>
        <v>#REF!</v>
      </c>
      <c r="AC67" s="117" t="e">
        <f>SUMIFS('Portefeuille SP2'!#REF!,'Portefeuille SP2'!#REF!,1,'Portefeuille SP2'!$Q:$Q,"DECIDED",'Portefeuille SP2'!#REF!,"G",'Portefeuille SP2'!$D:$D,$A67,'Portefeuille SP2'!#REF!,"o",'Portefeuille SP2'!#REF!,"=")</f>
        <v>#REF!</v>
      </c>
      <c r="AD67" s="111" t="e">
        <f>SUMIFS('Portefeuille SP2'!$U:$U,'Portefeuille SP2'!#REF!,1,'Portefeuille SP2'!$Q:$Q,"DECIDED",'Portefeuille SP2'!#REF!,"R",'Portefeuille SP2'!$D:$D,$A67,'Portefeuille SP2'!#REF!,"o",'Portefeuille SP2'!#REF!,"=")</f>
        <v>#REF!</v>
      </c>
      <c r="AE67" s="126" t="e">
        <f>SUMIFS('Portefeuille SP2'!#REF!,'Portefeuille SP2'!#REF!,1,'Portefeuille SP2'!$Q:$Q,"DECIDED",'Portefeuille SP2'!#REF!,"R",'Portefeuille SP2'!$D:$D,$A67,'Portefeuille SP2'!#REF!,"o",'Portefeuille SP2'!#REF!,"=")</f>
        <v>#REF!</v>
      </c>
      <c r="AF67" s="117" t="e">
        <f>SUMIFS('Portefeuille SP2'!#REF!,'Portefeuille SP2'!#REF!,1,'Portefeuille SP2'!$Q:$Q,"DECIDED",'Portefeuille SP2'!#REF!,"R",'Portefeuille SP2'!$D:$D,$A67,'Portefeuille SP2'!#REF!,"o",'Portefeuille SP2'!#REF!,"=")</f>
        <v>#REF!</v>
      </c>
      <c r="AG67" s="111" t="e">
        <f>SUMIFS('Portefeuille SP2'!$U:$U,'Portefeuille SP2'!#REF!,1,'Portefeuille SP2'!$Q:$Q,"DECIDED",'Portefeuille SP2'!#REF!,"G",'Portefeuille SP2'!$D:$D,$A67,'Portefeuille SP2'!#REF!,"o",'Portefeuille SP2'!#REF!,"&lt;&gt;")</f>
        <v>#REF!</v>
      </c>
      <c r="AH67" s="126" t="e">
        <f>SUMIFS('Portefeuille SP2'!#REF!,'Portefeuille SP2'!#REF!,1,'Portefeuille SP2'!$Q:$Q,"DECIDED",'Portefeuille SP2'!#REF!,"G",'Portefeuille SP2'!$D:$D,$A67,'Portefeuille SP2'!#REF!,"o",'Portefeuille SP2'!#REF!,"&lt;&gt;")</f>
        <v>#REF!</v>
      </c>
      <c r="AI67" s="117" t="e">
        <f>SUMIFS('Portefeuille SP2'!#REF!,'Portefeuille SP2'!#REF!,1,'Portefeuille SP2'!$Q:$Q,"DECIDED",'Portefeuille SP2'!#REF!,"G",'Portefeuille SP2'!$D:$D,$A67,'Portefeuille SP2'!#REF!,"o",'Portefeuille SP2'!#REF!,"&lt;&gt;")</f>
        <v>#REF!</v>
      </c>
      <c r="AJ67" s="111" t="e">
        <f>SUMIFS('Portefeuille SP2'!$U:$U,'Portefeuille SP2'!#REF!,1,'Portefeuille SP2'!$Q:$Q,"DECIDED",'Portefeuille SP2'!#REF!,"R",'Portefeuille SP2'!$D:$D,$A67,'Portefeuille SP2'!#REF!,"o",'Portefeuille SP2'!#REF!,"&lt;&gt;")</f>
        <v>#REF!</v>
      </c>
      <c r="AK67" s="126" t="e">
        <f>SUMIFS('Portefeuille SP2'!#REF!,'Portefeuille SP2'!#REF!,1,'Portefeuille SP2'!$Q:$Q,"DECIDED",'Portefeuille SP2'!#REF!,"R",'Portefeuille SP2'!$D:$D,$A67,'Portefeuille SP2'!#REF!,"o",'Portefeuille SP2'!#REF!,"&lt;&gt;")</f>
        <v>#REF!</v>
      </c>
      <c r="AL67" s="117" t="e">
        <f>SUMIFS('Portefeuille SP2'!#REF!,'Portefeuille SP2'!#REF!,1,'Portefeuille SP2'!$Q:$Q,"DECIDED",'Portefeuille SP2'!#REF!,"R",'Portefeuille SP2'!$D:$D,$A67,'Portefeuille SP2'!#REF!,"o",'Portefeuille SP2'!#REF!,"&lt;&gt;")</f>
        <v>#REF!</v>
      </c>
      <c r="AM67" s="117"/>
      <c r="AN67" t="s">
        <v>1311</v>
      </c>
      <c r="AO67" s="111" t="e">
        <f t="shared" ref="AO67" si="356">B72</f>
        <v>#REF!</v>
      </c>
      <c r="AP67" s="126" t="e">
        <f t="shared" ref="AP67" si="357">C72</f>
        <v>#REF!</v>
      </c>
      <c r="AQ67" s="122" t="e">
        <f t="shared" ref="AQ67" si="358">D72</f>
        <v>#REF!</v>
      </c>
      <c r="AR67" s="112" t="e">
        <f t="shared" ref="AR67" si="359">E72</f>
        <v>#REF!</v>
      </c>
      <c r="AS67" s="126" t="e">
        <f t="shared" ref="AS67" si="360">F72</f>
        <v>#REF!</v>
      </c>
      <c r="AT67" s="122" t="e">
        <f t="shared" ref="AT67" si="361">G72</f>
        <v>#REF!</v>
      </c>
      <c r="AU67" s="112" t="e">
        <f t="shared" si="312"/>
        <v>#REF!</v>
      </c>
      <c r="AV67" s="126" t="e">
        <f t="shared" si="281"/>
        <v>#REF!</v>
      </c>
      <c r="AW67" s="122" t="e">
        <f t="shared" si="282"/>
        <v>#REF!</v>
      </c>
      <c r="AX67" s="111" t="e">
        <f t="shared" ref="AX67" si="362">H72</f>
        <v>#REF!</v>
      </c>
      <c r="AY67" s="126" t="e">
        <f t="shared" ref="AY67" si="363">I72</f>
        <v>#REF!</v>
      </c>
      <c r="AZ67" s="122" t="e">
        <f t="shared" ref="AZ67" si="364">J72</f>
        <v>#REF!</v>
      </c>
      <c r="BA67" s="111" t="e">
        <f t="shared" ref="BA67" si="365">K72</f>
        <v>#REF!</v>
      </c>
      <c r="BB67" s="126" t="e">
        <f t="shared" ref="BB67" si="366">L72</f>
        <v>#REF!</v>
      </c>
      <c r="BC67" s="122" t="e">
        <f t="shared" ref="BC67" si="367">M72</f>
        <v>#REF!</v>
      </c>
      <c r="BD67" s="112" t="e">
        <f t="shared" si="319"/>
        <v>#REF!</v>
      </c>
      <c r="BE67" s="126" t="e">
        <f t="shared" si="289"/>
        <v>#REF!</v>
      </c>
      <c r="BF67" s="122" t="e">
        <f t="shared" si="290"/>
        <v>#REF!</v>
      </c>
      <c r="BH67" s="111" t="e">
        <f>U72</f>
        <v>#REF!</v>
      </c>
      <c r="BI67" s="126" t="e">
        <f t="shared" ref="BI67" si="368">V72</f>
        <v>#REF!</v>
      </c>
      <c r="BJ67" s="122" t="e">
        <f t="shared" ref="BJ67" si="369">W72</f>
        <v>#REF!</v>
      </c>
      <c r="BK67" s="111" t="e">
        <f t="shared" ref="BK67" si="370">X72</f>
        <v>#REF!</v>
      </c>
      <c r="BL67" s="126" t="e">
        <f t="shared" ref="BL67" si="371">Y72</f>
        <v>#REF!</v>
      </c>
      <c r="BM67" s="122" t="e">
        <f t="shared" ref="BM67" si="372">Z72</f>
        <v>#REF!</v>
      </c>
      <c r="BN67" s="112" t="e">
        <f t="shared" si="325"/>
        <v>#REF!</v>
      </c>
      <c r="BO67" s="126" t="e">
        <f t="shared" si="296"/>
        <v>#REF!</v>
      </c>
      <c r="BP67" s="122" t="e">
        <f t="shared" si="297"/>
        <v>#REF!</v>
      </c>
      <c r="BQ67" s="111" t="e">
        <f t="shared" ref="BQ67" si="373">AA72</f>
        <v>#REF!</v>
      </c>
      <c r="BR67" s="126" t="e">
        <f t="shared" ref="BR67" si="374">AB72</f>
        <v>#REF!</v>
      </c>
      <c r="BS67" s="122" t="e">
        <f t="shared" ref="BS67" si="375">AC72</f>
        <v>#REF!</v>
      </c>
      <c r="BT67" s="111" t="e">
        <f t="shared" ref="BT67" si="376">AD72</f>
        <v>#REF!</v>
      </c>
      <c r="BU67" s="126" t="e">
        <f t="shared" ref="BU67" si="377">AE72</f>
        <v>#REF!</v>
      </c>
      <c r="BV67" s="122" t="e">
        <f t="shared" ref="BV67" si="378">AF72</f>
        <v>#REF!</v>
      </c>
      <c r="BW67" s="111" t="e">
        <f t="shared" si="332"/>
        <v>#REF!</v>
      </c>
      <c r="BX67" s="126" t="e">
        <f t="shared" si="304"/>
        <v>#REF!</v>
      </c>
      <c r="BY67" s="122" t="e">
        <f t="shared" si="305"/>
        <v>#REF!</v>
      </c>
    </row>
    <row r="68" spans="1:77" outlineLevel="1">
      <c r="A68" t="s">
        <v>1312</v>
      </c>
      <c r="B68" s="139" t="e">
        <f>SUMIFS('Portefeuille SP2'!$U:$U,'Portefeuille SP2'!#REF!,1,'Portefeuille SP2'!$Q:$Q,"IN PROGRESS",'Portefeuille SP2'!#REF!,"G",'Portefeuille SP2'!$D:$D,$A68,'Portefeuille SP2'!#REF!,"S")</f>
        <v>#REF!</v>
      </c>
      <c r="C68" s="126" t="e">
        <f>SUMIFS('Portefeuille SP2'!#REF!,'Portefeuille SP2'!#REF!,1,'Portefeuille SP2'!$Q:$Q,"IN PROGRESS",'Portefeuille SP2'!#REF!,"G",'Portefeuille SP2'!$D:$D,$A68,'Portefeuille SP2'!#REF!,"S")</f>
        <v>#REF!</v>
      </c>
      <c r="D68" s="122" t="e">
        <f>SUMIFS('Portefeuille SP2'!#REF!,'Portefeuille SP2'!#REF!,1,'Portefeuille SP2'!$Q:$Q,"IN PROGRESS",'Portefeuille SP2'!#REF!,"G",'Portefeuille SP2'!$D:$D,$A68,'Portefeuille SP2'!#REF!,"S")</f>
        <v>#REF!</v>
      </c>
      <c r="E68" s="111" t="e">
        <f>SUMIFS('Portefeuille SP2'!$U:$U,'Portefeuille SP2'!#REF!,1,'Portefeuille SP2'!$Q:$Q,"IN PROGRESS",'Portefeuille SP2'!#REF!,"R",'Portefeuille SP2'!$D:$D,$A68,'Portefeuille SP2'!#REF!,"S")</f>
        <v>#REF!</v>
      </c>
      <c r="F68" s="126" t="e">
        <f>SUMIFS('Portefeuille SP2'!#REF!,'Portefeuille SP2'!#REF!,1,'Portefeuille SP2'!$Q:$Q,"IN PROGRESS",'Portefeuille SP2'!#REF!,"R",'Portefeuille SP2'!$D:$D,$A68,'Portefeuille SP2'!#REF!,"S")</f>
        <v>#REF!</v>
      </c>
      <c r="G68" s="117" t="e">
        <f>SUMIFS('Portefeuille SP2'!#REF!,'Portefeuille SP2'!#REF!,1,'Portefeuille SP2'!$Q:$Q,"IN PROGRESS",'Portefeuille SP2'!#REF!,"R",'Portefeuille SP2'!$D:$D,$A68,'Portefeuille SP2'!#REF!,"S")</f>
        <v>#REF!</v>
      </c>
      <c r="H68" s="111" t="e">
        <f>SUMIFS('Portefeuille SP2'!$U:$U,'Portefeuille SP2'!#REF!,1,'Portefeuille SP2'!$Q:$Q,"DECIDED",'Portefeuille SP2'!#REF!,"G",'Portefeuille SP2'!$D:$D,$A68,'Portefeuille SP2'!#REF!,"S",'Portefeuille SP2'!#REF!,"=")</f>
        <v>#REF!</v>
      </c>
      <c r="I68" s="117" t="e">
        <f>SUMIFS('Portefeuille SP2'!#REF!,'Portefeuille SP2'!#REF!,1,'Portefeuille SP2'!$Q:$Q,"DECIDED",'Portefeuille SP2'!#REF!,"G",'Portefeuille SP2'!$D:$D,$A68,'Portefeuille SP2'!#REF!,"S",'Portefeuille SP2'!#REF!,"=")</f>
        <v>#REF!</v>
      </c>
      <c r="J68" s="117" t="e">
        <f>SUMIFS('Portefeuille SP2'!#REF!,'Portefeuille SP2'!#REF!,1,'Portefeuille SP2'!$Q:$Q,"DECIDED",'Portefeuille SP2'!#REF!,"G",'Portefeuille SP2'!$D:$D,$A68,'Portefeuille SP2'!#REF!,"S",'Portefeuille SP2'!#REF!,"=")</f>
        <v>#REF!</v>
      </c>
      <c r="K68" s="111" t="e">
        <f>SUMIFS('Portefeuille SP2'!$U:$U,'Portefeuille SP2'!#REF!,1,'Portefeuille SP2'!$Q:$Q,"DECIDED",'Portefeuille SP2'!#REF!,"R",'Portefeuille SP2'!$D:$D,$A68,'Portefeuille SP2'!#REF!,"S",'Portefeuille SP2'!#REF!,"=")</f>
        <v>#REF!</v>
      </c>
      <c r="L68" s="126" t="e">
        <f>SUMIFS('Portefeuille SP2'!#REF!,'Portefeuille SP2'!#REF!,1,'Portefeuille SP2'!$Q:$Q,"DECIDED",'Portefeuille SP2'!#REF!,"R",'Portefeuille SP2'!$D:$D,$A68,'Portefeuille SP2'!#REF!,"S",'Portefeuille SP2'!#REF!,"=")</f>
        <v>#REF!</v>
      </c>
      <c r="M68" s="117" t="e">
        <f>SUMIFS('Portefeuille SP2'!#REF!,'Portefeuille SP2'!#REF!,1,'Portefeuille SP2'!$Q:$Q,"DECIDED",'Portefeuille SP2'!#REF!,"R",'Portefeuille SP2'!$D:$D,$A68,'Portefeuille SP2'!#REF!,"S",'Portefeuille SP2'!#REF!,"=")</f>
        <v>#REF!</v>
      </c>
      <c r="N68" s="111" t="e">
        <f>SUMIFS('Portefeuille SP2'!$U:$U,'Portefeuille SP2'!#REF!,1,'Portefeuille SP2'!$Q:$Q,"DECIDED",'Portefeuille SP2'!#REF!,"G",'Portefeuille SP2'!$D:$D,$A68,'Portefeuille SP2'!#REF!,"S",'Portefeuille SP2'!#REF!,"&lt;&gt;")</f>
        <v>#REF!</v>
      </c>
      <c r="O68" s="126" t="e">
        <f>SUMIFS('Portefeuille SP2'!#REF!,'Portefeuille SP2'!#REF!,1,'Portefeuille SP2'!$Q:$Q,"DECIDED",'Portefeuille SP2'!#REF!,"G",'Portefeuille SP2'!$D:$D,$A68,'Portefeuille SP2'!#REF!,"S",'Portefeuille SP2'!#REF!,"&lt;&gt;")</f>
        <v>#REF!</v>
      </c>
      <c r="P68" s="117" t="e">
        <f>SUMIFS('Portefeuille SP2'!#REF!,'Portefeuille SP2'!#REF!,1,'Portefeuille SP2'!$Q:$Q,"DECIDED",'Portefeuille SP2'!#REF!,"G",'Portefeuille SP2'!$D:$D,$A68,'Portefeuille SP2'!#REF!,"S",'Portefeuille SP2'!#REF!,"&lt;&gt;")</f>
        <v>#REF!</v>
      </c>
      <c r="Q68" s="111" t="e">
        <f>SUMIFS('Portefeuille SP2'!$U:$U,'Portefeuille SP2'!#REF!,1,'Portefeuille SP2'!$Q:$Q,"DECIDED",'Portefeuille SP2'!#REF!,"R",'Portefeuille SP2'!$D:$D,$A68,'Portefeuille SP2'!#REF!,"S",'Portefeuille SP2'!#REF!,"&lt;&gt;")</f>
        <v>#REF!</v>
      </c>
      <c r="R68" s="126" t="e">
        <f>SUMIFS('Portefeuille SP2'!#REF!,'Portefeuille SP2'!#REF!,1,'Portefeuille SP2'!$Q:$Q,"DECIDED",'Portefeuille SP2'!#REF!,"R",'Portefeuille SP2'!$D:$D,$A68,'Portefeuille SP2'!#REF!,"S",'Portefeuille SP2'!#REF!,"&lt;&gt;")</f>
        <v>#REF!</v>
      </c>
      <c r="S68" s="122" t="e">
        <f>SUMIFS('Portefeuille SP2'!#REF!,'Portefeuille SP2'!#REF!,1,'Portefeuille SP2'!$Q:$Q,"DECIDED",'Portefeuille SP2'!#REF!,"R",'Portefeuille SP2'!$D:$D,$A68,'Portefeuille SP2'!#REF!,"S",'Portefeuille SP2'!#REF!,"&lt;&gt;")</f>
        <v>#REF!</v>
      </c>
      <c r="U68" s="111" t="e">
        <f>SUMIFS('Portefeuille SP2'!$U:$U,'Portefeuille SP2'!#REF!,1,'Portefeuille SP2'!$Q:$Q,"IN PROGRESS",'Portefeuille SP2'!#REF!,"G",'Portefeuille SP2'!$D:$D,$A68,'Portefeuille SP2'!#REF!,"O")</f>
        <v>#REF!</v>
      </c>
      <c r="V68" s="126" t="e">
        <f>SUMIFS('Portefeuille SP2'!#REF!,'Portefeuille SP2'!#REF!,1,'Portefeuille SP2'!$Q:$Q,"IN PROGRESS",'Portefeuille SP2'!#REF!,"G",'Portefeuille SP2'!$D:$D,$A68,'Portefeuille SP2'!#REF!,"o")</f>
        <v>#REF!</v>
      </c>
      <c r="W68" s="117" t="e">
        <f>SUMIFS('Portefeuille SP2'!#REF!,'Portefeuille SP2'!#REF!,1,'Portefeuille SP2'!$Q:$Q,"IN PROGRESS",'Portefeuille SP2'!#REF!,"G",'Portefeuille SP2'!$D:$D,$A68,'Portefeuille SP2'!#REF!,"o")</f>
        <v>#REF!</v>
      </c>
      <c r="X68" s="111" t="e">
        <f>SUMIFS('Portefeuille SP2'!$U:$U,'Portefeuille SP2'!#REF!,1,'Portefeuille SP2'!$Q:$Q,"IN PROGRESS",'Portefeuille SP2'!#REF!,"R",'Portefeuille SP2'!$D:$D,$A68,'Portefeuille SP2'!#REF!,"o")</f>
        <v>#REF!</v>
      </c>
      <c r="Y68" s="126" t="e">
        <f>SUMIFS('Portefeuille SP2'!#REF!,'Portefeuille SP2'!#REF!,1,'Portefeuille SP2'!$Q:$Q,"IN PROGRESS",'Portefeuille SP2'!#REF!,"R",'Portefeuille SP2'!$D:$D,$A68,'Portefeuille SP2'!#REF!,"o")</f>
        <v>#REF!</v>
      </c>
      <c r="Z68" s="117" t="e">
        <f>SUMIFS('Portefeuille SP2'!#REF!,'Portefeuille SP2'!#REF!,1,'Portefeuille SP2'!$Q:$Q,"IN PROGRESS",'Portefeuille SP2'!#REF!,"R",'Portefeuille SP2'!$D:$D,$A68,'Portefeuille SP2'!#REF!,"o")</f>
        <v>#REF!</v>
      </c>
      <c r="AA68" s="111" t="e">
        <f>SUMIFS('Portefeuille SP2'!$U:$U,'Portefeuille SP2'!#REF!,1,'Portefeuille SP2'!$Q:$Q,"DECIDED",'Portefeuille SP2'!#REF!,"G",'Portefeuille SP2'!$D:$D,$A68,'Portefeuille SP2'!#REF!,"o",'Portefeuille SP2'!#REF!,"=")</f>
        <v>#REF!</v>
      </c>
      <c r="AB68" s="126" t="e">
        <f>SUMIFS('Portefeuille SP2'!#REF!,'Portefeuille SP2'!#REF!,1,'Portefeuille SP2'!$Q:$Q,"DECIDED",'Portefeuille SP2'!#REF!,"G",'Portefeuille SP2'!$D:$D,$A68,'Portefeuille SP2'!#REF!,"o",'Portefeuille SP2'!#REF!,"=")</f>
        <v>#REF!</v>
      </c>
      <c r="AC68" s="117" t="e">
        <f>SUMIFS('Portefeuille SP2'!#REF!,'Portefeuille SP2'!#REF!,1,'Portefeuille SP2'!$Q:$Q,"DECIDED",'Portefeuille SP2'!#REF!,"G",'Portefeuille SP2'!$D:$D,$A68,'Portefeuille SP2'!#REF!,"o",'Portefeuille SP2'!#REF!,"=")</f>
        <v>#REF!</v>
      </c>
      <c r="AD68" s="111" t="e">
        <f>SUMIFS('Portefeuille SP2'!$U:$U,'Portefeuille SP2'!#REF!,1,'Portefeuille SP2'!$Q:$Q,"DECIDED",'Portefeuille SP2'!#REF!,"R",'Portefeuille SP2'!$D:$D,$A68,'Portefeuille SP2'!#REF!,"o",'Portefeuille SP2'!#REF!,"=")</f>
        <v>#REF!</v>
      </c>
      <c r="AE68" s="126" t="e">
        <f>SUMIFS('Portefeuille SP2'!#REF!,'Portefeuille SP2'!#REF!,1,'Portefeuille SP2'!$Q:$Q,"DECIDED",'Portefeuille SP2'!#REF!,"R",'Portefeuille SP2'!$D:$D,$A68,'Portefeuille SP2'!#REF!,"o",'Portefeuille SP2'!#REF!,"=")</f>
        <v>#REF!</v>
      </c>
      <c r="AF68" s="117" t="e">
        <f>SUMIFS('Portefeuille SP2'!#REF!,'Portefeuille SP2'!#REF!,1,'Portefeuille SP2'!$Q:$Q,"DECIDED",'Portefeuille SP2'!#REF!,"R",'Portefeuille SP2'!$D:$D,$A68,'Portefeuille SP2'!#REF!,"o",'Portefeuille SP2'!#REF!,"=")</f>
        <v>#REF!</v>
      </c>
      <c r="AG68" s="111" t="e">
        <f>SUMIFS('Portefeuille SP2'!$U:$U,'Portefeuille SP2'!#REF!,1,'Portefeuille SP2'!$Q:$Q,"DECIDED",'Portefeuille SP2'!#REF!,"G",'Portefeuille SP2'!$D:$D,$A68,'Portefeuille SP2'!#REF!,"o",'Portefeuille SP2'!#REF!,"&lt;&gt;")</f>
        <v>#REF!</v>
      </c>
      <c r="AH68" s="126" t="e">
        <f>SUMIFS('Portefeuille SP2'!#REF!,'Portefeuille SP2'!#REF!,1,'Portefeuille SP2'!$Q:$Q,"DECIDED",'Portefeuille SP2'!#REF!,"G",'Portefeuille SP2'!$D:$D,$A68,'Portefeuille SP2'!#REF!,"o",'Portefeuille SP2'!#REF!,"&lt;&gt;")</f>
        <v>#REF!</v>
      </c>
      <c r="AI68" s="117" t="e">
        <f>SUMIFS('Portefeuille SP2'!#REF!,'Portefeuille SP2'!#REF!,1,'Portefeuille SP2'!$Q:$Q,"DECIDED",'Portefeuille SP2'!#REF!,"G",'Portefeuille SP2'!$D:$D,$A68,'Portefeuille SP2'!#REF!,"o",'Portefeuille SP2'!#REF!,"&lt;&gt;")</f>
        <v>#REF!</v>
      </c>
      <c r="AJ68" s="111" t="e">
        <f>SUMIFS('Portefeuille SP2'!$U:$U,'Portefeuille SP2'!#REF!,1,'Portefeuille SP2'!$Q:$Q,"DECIDED",'Portefeuille SP2'!#REF!,"R",'Portefeuille SP2'!$D:$D,$A68,'Portefeuille SP2'!#REF!,"o",'Portefeuille SP2'!#REF!,"&lt;&gt;")</f>
        <v>#REF!</v>
      </c>
      <c r="AK68" s="126" t="e">
        <f>SUMIFS('Portefeuille SP2'!#REF!,'Portefeuille SP2'!#REF!,1,'Portefeuille SP2'!$Q:$Q,"DECIDED",'Portefeuille SP2'!#REF!,"R",'Portefeuille SP2'!$D:$D,$A68,'Portefeuille SP2'!#REF!,"o",'Portefeuille SP2'!#REF!,"&lt;&gt;")</f>
        <v>#REF!</v>
      </c>
      <c r="AL68" s="117" t="e">
        <f>SUMIFS('Portefeuille SP2'!#REF!,'Portefeuille SP2'!#REF!,1,'Portefeuille SP2'!$Q:$Q,"DECIDED",'Portefeuille SP2'!#REF!,"R",'Portefeuille SP2'!$D:$D,$A68,'Portefeuille SP2'!#REF!,"o",'Portefeuille SP2'!#REF!,"&lt;&gt;")</f>
        <v>#REF!</v>
      </c>
      <c r="AM68" s="117"/>
      <c r="AN68" t="s">
        <v>1307</v>
      </c>
      <c r="AO68" s="111" t="e">
        <f>B65+B67+B68+B69+B70+B77+B78</f>
        <v>#REF!</v>
      </c>
      <c r="AP68" s="126" t="e">
        <f>C65+C67+C68+C69+C70+C77</f>
        <v>#REF!</v>
      </c>
      <c r="AQ68" s="122" t="e">
        <f>D65+D67+D68+D69+D70+D77</f>
        <v>#REF!</v>
      </c>
      <c r="AR68" s="112" t="e">
        <f>E65+E67+E68+E69+E70+E77+E78</f>
        <v>#REF!</v>
      </c>
      <c r="AS68" s="126" t="e">
        <f>F65+F67+F68+F69+F70+F77</f>
        <v>#REF!</v>
      </c>
      <c r="AT68" s="122" t="e">
        <f>G65+G67+G68+G69+G70+G77</f>
        <v>#REF!</v>
      </c>
      <c r="AU68" s="112" t="e">
        <f t="shared" si="312"/>
        <v>#REF!</v>
      </c>
      <c r="AV68" s="126" t="e">
        <f t="shared" si="281"/>
        <v>#REF!</v>
      </c>
      <c r="AW68" s="122" t="e">
        <f t="shared" si="282"/>
        <v>#REF!</v>
      </c>
      <c r="AX68" s="111" t="e">
        <f>H65+H67+H68+H69+H70+H77+H78</f>
        <v>#REF!</v>
      </c>
      <c r="AY68" s="126" t="e">
        <f t="shared" ref="AY68" si="379">I65+I67+I68+I69+I70+I77+I78</f>
        <v>#REF!</v>
      </c>
      <c r="AZ68" s="122" t="e">
        <f t="shared" ref="AZ68" si="380">J65+J67+J68+J69+J70+J77+J78</f>
        <v>#REF!</v>
      </c>
      <c r="BA68" s="111" t="e">
        <f>K65+K67+K68+K69+K70+K77+K78</f>
        <v>#REF!</v>
      </c>
      <c r="BB68" s="126" t="e">
        <f t="shared" ref="BB68" si="381">L65+L67+L68+L69+L70+L77+L78</f>
        <v>#REF!</v>
      </c>
      <c r="BC68" s="122" t="e">
        <f t="shared" ref="BC68" si="382">M65+M67+M68+M69+M70+M77+M78</f>
        <v>#REF!</v>
      </c>
      <c r="BD68" s="112" t="e">
        <f t="shared" si="319"/>
        <v>#REF!</v>
      </c>
      <c r="BE68" s="126" t="e">
        <f t="shared" si="289"/>
        <v>#REF!</v>
      </c>
      <c r="BF68" s="122" t="e">
        <f t="shared" si="290"/>
        <v>#REF!</v>
      </c>
      <c r="BH68" s="111" t="e">
        <f>U65+U67+U68+U69+U70+U77+U78</f>
        <v>#REF!</v>
      </c>
      <c r="BI68" s="126" t="e">
        <f t="shared" ref="BI68" si="383">V65+V67+V68+V69+V70+V77+V78</f>
        <v>#REF!</v>
      </c>
      <c r="BJ68" s="122" t="e">
        <f t="shared" ref="BJ68" si="384">W65+W67+W68+W69+W70+W77+W78</f>
        <v>#REF!</v>
      </c>
      <c r="BK68" s="111" t="e">
        <f t="shared" ref="BK68" si="385">X65+X67+X68+X69+X70+X77+X78</f>
        <v>#REF!</v>
      </c>
      <c r="BL68" s="126" t="e">
        <f t="shared" ref="BL68" si="386">Y65+Y67+Y68+Y69+Y70+Y77+Y78</f>
        <v>#REF!</v>
      </c>
      <c r="BM68" s="122" t="e">
        <f t="shared" ref="BM68" si="387">Z65+Z67+Z68+Z69+Z70+Z77+Z78</f>
        <v>#REF!</v>
      </c>
      <c r="BN68" s="112" t="e">
        <f t="shared" si="325"/>
        <v>#REF!</v>
      </c>
      <c r="BO68" s="126" t="e">
        <f t="shared" si="296"/>
        <v>#REF!</v>
      </c>
      <c r="BP68" s="122" t="e">
        <f t="shared" si="297"/>
        <v>#REF!</v>
      </c>
      <c r="BQ68" s="111" t="e">
        <f t="shared" ref="BQ68" si="388">AA65+AA67+AA68+AA69+AA70+AA77+AA78</f>
        <v>#REF!</v>
      </c>
      <c r="BR68" s="126" t="e">
        <f t="shared" ref="BR68" si="389">AB65+AB67+AB68+AB69+AB70+AB77+AB78</f>
        <v>#REF!</v>
      </c>
      <c r="BS68" s="122" t="e">
        <f t="shared" ref="BS68" si="390">AC65+AC67+AC68+AC69+AC70+AC77+AC78</f>
        <v>#REF!</v>
      </c>
      <c r="BT68" s="111" t="e">
        <f t="shared" ref="BT68" si="391">AD65+AD67+AD68+AD69+AD70+AD77+AD78</f>
        <v>#REF!</v>
      </c>
      <c r="BU68" s="126" t="e">
        <f t="shared" ref="BU68" si="392">AE65+AE67+AE68+AE69+AE70+AE77+AE78</f>
        <v>#REF!</v>
      </c>
      <c r="BV68" s="122" t="e">
        <f t="shared" ref="BV68" si="393">AF65+AF67+AF68+AF69+AF70+AF77+AF78</f>
        <v>#REF!</v>
      </c>
      <c r="BW68" s="111" t="e">
        <f t="shared" si="332"/>
        <v>#REF!</v>
      </c>
      <c r="BX68" s="126" t="e">
        <f t="shared" si="304"/>
        <v>#REF!</v>
      </c>
      <c r="BY68" s="122" t="e">
        <f t="shared" si="305"/>
        <v>#REF!</v>
      </c>
    </row>
    <row r="69" spans="1:77" outlineLevel="1">
      <c r="A69" t="s">
        <v>1313</v>
      </c>
      <c r="B69" s="139" t="e">
        <f>SUMIFS('Portefeuille SP2'!$U:$U,'Portefeuille SP2'!#REF!,1,'Portefeuille SP2'!$Q:$Q,"IN PROGRESS",'Portefeuille SP2'!#REF!,"G",'Portefeuille SP2'!$D:$D,$A69,'Portefeuille SP2'!#REF!,"S")</f>
        <v>#REF!</v>
      </c>
      <c r="C69" s="126" t="e">
        <f>SUMIFS('Portefeuille SP2'!#REF!,'Portefeuille SP2'!#REF!,1,'Portefeuille SP2'!$Q:$Q,"IN PROGRESS",'Portefeuille SP2'!#REF!,"G",'Portefeuille SP2'!$D:$D,$A69,'Portefeuille SP2'!#REF!,"S")</f>
        <v>#REF!</v>
      </c>
      <c r="D69" s="122" t="e">
        <f>SUMIFS('Portefeuille SP2'!#REF!,'Portefeuille SP2'!#REF!,1,'Portefeuille SP2'!$Q:$Q,"IN PROGRESS",'Portefeuille SP2'!#REF!,"G",'Portefeuille SP2'!$D:$D,$A69,'Portefeuille SP2'!#REF!,"S")</f>
        <v>#REF!</v>
      </c>
      <c r="E69" s="111" t="e">
        <f>SUMIFS('Portefeuille SP2'!$U:$U,'Portefeuille SP2'!#REF!,1,'Portefeuille SP2'!$Q:$Q,"IN PROGRESS",'Portefeuille SP2'!#REF!,"R",'Portefeuille SP2'!$D:$D,$A69,'Portefeuille SP2'!#REF!,"S")</f>
        <v>#REF!</v>
      </c>
      <c r="F69" s="126" t="e">
        <f>SUMIFS('Portefeuille SP2'!#REF!,'Portefeuille SP2'!#REF!,1,'Portefeuille SP2'!$Q:$Q,"IN PROGRESS",'Portefeuille SP2'!#REF!,"R",'Portefeuille SP2'!$D:$D,$A69,'Portefeuille SP2'!#REF!,"S")</f>
        <v>#REF!</v>
      </c>
      <c r="G69" s="117" t="e">
        <f>SUMIFS('Portefeuille SP2'!#REF!,'Portefeuille SP2'!#REF!,1,'Portefeuille SP2'!$Q:$Q,"IN PROGRESS",'Portefeuille SP2'!#REF!,"R",'Portefeuille SP2'!$D:$D,$A69,'Portefeuille SP2'!#REF!,"S")</f>
        <v>#REF!</v>
      </c>
      <c r="H69" s="111" t="e">
        <f>SUMIFS('Portefeuille SP2'!$U:$U,'Portefeuille SP2'!#REF!,1,'Portefeuille SP2'!$Q:$Q,"DECIDED",'Portefeuille SP2'!#REF!,"G",'Portefeuille SP2'!$D:$D,$A69,'Portefeuille SP2'!#REF!,"S",'Portefeuille SP2'!#REF!,"=")</f>
        <v>#REF!</v>
      </c>
      <c r="I69" s="117" t="e">
        <f>SUMIFS('Portefeuille SP2'!#REF!,'Portefeuille SP2'!#REF!,1,'Portefeuille SP2'!$Q:$Q,"DECIDED",'Portefeuille SP2'!#REF!,"G",'Portefeuille SP2'!$D:$D,$A69,'Portefeuille SP2'!#REF!,"S",'Portefeuille SP2'!#REF!,"=")</f>
        <v>#REF!</v>
      </c>
      <c r="J69" s="117" t="e">
        <f>SUMIFS('Portefeuille SP2'!#REF!,'Portefeuille SP2'!#REF!,1,'Portefeuille SP2'!$Q:$Q,"DECIDED",'Portefeuille SP2'!#REF!,"G",'Portefeuille SP2'!$D:$D,$A69,'Portefeuille SP2'!#REF!,"S",'Portefeuille SP2'!#REF!,"=")</f>
        <v>#REF!</v>
      </c>
      <c r="K69" s="111" t="e">
        <f>SUMIFS('Portefeuille SP2'!$U:$U,'Portefeuille SP2'!#REF!,1,'Portefeuille SP2'!$Q:$Q,"DECIDED",'Portefeuille SP2'!#REF!,"R",'Portefeuille SP2'!$D:$D,$A69,'Portefeuille SP2'!#REF!,"S",'Portefeuille SP2'!#REF!,"=")</f>
        <v>#REF!</v>
      </c>
      <c r="L69" s="126" t="e">
        <f>SUMIFS('Portefeuille SP2'!#REF!,'Portefeuille SP2'!#REF!,1,'Portefeuille SP2'!$Q:$Q,"DECIDED",'Portefeuille SP2'!#REF!,"R",'Portefeuille SP2'!$D:$D,$A69,'Portefeuille SP2'!#REF!,"S",'Portefeuille SP2'!#REF!,"=")</f>
        <v>#REF!</v>
      </c>
      <c r="M69" s="117" t="e">
        <f>SUMIFS('Portefeuille SP2'!#REF!,'Portefeuille SP2'!#REF!,1,'Portefeuille SP2'!$Q:$Q,"DECIDED",'Portefeuille SP2'!#REF!,"R",'Portefeuille SP2'!$D:$D,$A69,'Portefeuille SP2'!#REF!,"S",'Portefeuille SP2'!#REF!,"=")</f>
        <v>#REF!</v>
      </c>
      <c r="N69" s="111" t="e">
        <f>SUMIFS('Portefeuille SP2'!$U:$U,'Portefeuille SP2'!#REF!,1,'Portefeuille SP2'!$Q:$Q,"DECIDED",'Portefeuille SP2'!#REF!,"G",'Portefeuille SP2'!$D:$D,$A69,'Portefeuille SP2'!#REF!,"S",'Portefeuille SP2'!#REF!,"&lt;&gt;")</f>
        <v>#REF!</v>
      </c>
      <c r="O69" s="126" t="e">
        <f>SUMIFS('Portefeuille SP2'!#REF!,'Portefeuille SP2'!#REF!,1,'Portefeuille SP2'!$Q:$Q,"DECIDED",'Portefeuille SP2'!#REF!,"G",'Portefeuille SP2'!$D:$D,$A69,'Portefeuille SP2'!#REF!,"S",'Portefeuille SP2'!#REF!,"&lt;&gt;")</f>
        <v>#REF!</v>
      </c>
      <c r="P69" s="117" t="e">
        <f>SUMIFS('Portefeuille SP2'!#REF!,'Portefeuille SP2'!#REF!,1,'Portefeuille SP2'!$Q:$Q,"DECIDED",'Portefeuille SP2'!#REF!,"G",'Portefeuille SP2'!$D:$D,$A69,'Portefeuille SP2'!#REF!,"S",'Portefeuille SP2'!#REF!,"&lt;&gt;")</f>
        <v>#REF!</v>
      </c>
      <c r="Q69" s="111" t="e">
        <f>SUMIFS('Portefeuille SP2'!$U:$U,'Portefeuille SP2'!#REF!,1,'Portefeuille SP2'!$Q:$Q,"DECIDED",'Portefeuille SP2'!#REF!,"R",'Portefeuille SP2'!$D:$D,$A69,'Portefeuille SP2'!#REF!,"S",'Portefeuille SP2'!#REF!,"&lt;&gt;")</f>
        <v>#REF!</v>
      </c>
      <c r="R69" s="126" t="e">
        <f>SUMIFS('Portefeuille SP2'!#REF!,'Portefeuille SP2'!#REF!,1,'Portefeuille SP2'!$Q:$Q,"DECIDED",'Portefeuille SP2'!#REF!,"R",'Portefeuille SP2'!$D:$D,$A69,'Portefeuille SP2'!#REF!,"S",'Portefeuille SP2'!#REF!,"&lt;&gt;")</f>
        <v>#REF!</v>
      </c>
      <c r="S69" s="122" t="e">
        <f>SUMIFS('Portefeuille SP2'!#REF!,'Portefeuille SP2'!#REF!,1,'Portefeuille SP2'!$Q:$Q,"DECIDED",'Portefeuille SP2'!#REF!,"R",'Portefeuille SP2'!$D:$D,$A69,'Portefeuille SP2'!#REF!,"S",'Portefeuille SP2'!#REF!,"&lt;&gt;")</f>
        <v>#REF!</v>
      </c>
      <c r="U69" s="111" t="e">
        <f>SUMIFS('Portefeuille SP2'!$U:$U,'Portefeuille SP2'!#REF!,1,'Portefeuille SP2'!$Q:$Q,"IN PROGRESS",'Portefeuille SP2'!#REF!,"G",'Portefeuille SP2'!$D:$D,$A69,'Portefeuille SP2'!#REF!,"O")</f>
        <v>#REF!</v>
      </c>
      <c r="V69" s="126" t="e">
        <f>SUMIFS('Portefeuille SP2'!#REF!,'Portefeuille SP2'!#REF!,1,'Portefeuille SP2'!$Q:$Q,"IN PROGRESS",'Portefeuille SP2'!#REF!,"G",'Portefeuille SP2'!$D:$D,$A69,'Portefeuille SP2'!#REF!,"o")</f>
        <v>#REF!</v>
      </c>
      <c r="W69" s="117" t="e">
        <f>SUMIFS('Portefeuille SP2'!#REF!,'Portefeuille SP2'!#REF!,1,'Portefeuille SP2'!$Q:$Q,"IN PROGRESS",'Portefeuille SP2'!#REF!,"G",'Portefeuille SP2'!$D:$D,$A69,'Portefeuille SP2'!#REF!,"o")</f>
        <v>#REF!</v>
      </c>
      <c r="X69" s="111" t="e">
        <f>SUMIFS('Portefeuille SP2'!$U:$U,'Portefeuille SP2'!#REF!,1,'Portefeuille SP2'!$Q:$Q,"IN PROGRESS",'Portefeuille SP2'!#REF!,"R",'Portefeuille SP2'!$D:$D,$A69,'Portefeuille SP2'!#REF!,"o")</f>
        <v>#REF!</v>
      </c>
      <c r="Y69" s="126" t="e">
        <f>SUMIFS('Portefeuille SP2'!#REF!,'Portefeuille SP2'!#REF!,1,'Portefeuille SP2'!$Q:$Q,"IN PROGRESS",'Portefeuille SP2'!#REF!,"R",'Portefeuille SP2'!$D:$D,$A69,'Portefeuille SP2'!#REF!,"o")</f>
        <v>#REF!</v>
      </c>
      <c r="Z69" s="117" t="e">
        <f>SUMIFS('Portefeuille SP2'!#REF!,'Portefeuille SP2'!#REF!,1,'Portefeuille SP2'!$Q:$Q,"IN PROGRESS",'Portefeuille SP2'!#REF!,"R",'Portefeuille SP2'!$D:$D,$A69,'Portefeuille SP2'!#REF!,"o")</f>
        <v>#REF!</v>
      </c>
      <c r="AA69" s="111" t="e">
        <f>SUMIFS('Portefeuille SP2'!$U:$U,'Portefeuille SP2'!#REF!,1,'Portefeuille SP2'!$Q:$Q,"DECIDED",'Portefeuille SP2'!#REF!,"G",'Portefeuille SP2'!$D:$D,$A69,'Portefeuille SP2'!#REF!,"o",'Portefeuille SP2'!#REF!,"=")</f>
        <v>#REF!</v>
      </c>
      <c r="AB69" s="126" t="e">
        <f>SUMIFS('Portefeuille SP2'!#REF!,'Portefeuille SP2'!#REF!,1,'Portefeuille SP2'!$Q:$Q,"DECIDED",'Portefeuille SP2'!#REF!,"G",'Portefeuille SP2'!$D:$D,$A69,'Portefeuille SP2'!#REF!,"o",'Portefeuille SP2'!#REF!,"=")</f>
        <v>#REF!</v>
      </c>
      <c r="AC69" s="117" t="e">
        <f>SUMIFS('Portefeuille SP2'!#REF!,'Portefeuille SP2'!#REF!,1,'Portefeuille SP2'!$Q:$Q,"DECIDED",'Portefeuille SP2'!#REF!,"G",'Portefeuille SP2'!$D:$D,$A69,'Portefeuille SP2'!#REF!,"o",'Portefeuille SP2'!#REF!,"=")</f>
        <v>#REF!</v>
      </c>
      <c r="AD69" s="111" t="e">
        <f>SUMIFS('Portefeuille SP2'!$U:$U,'Portefeuille SP2'!#REF!,1,'Portefeuille SP2'!$Q:$Q,"DECIDED",'Portefeuille SP2'!#REF!,"R",'Portefeuille SP2'!$D:$D,$A69,'Portefeuille SP2'!#REF!,"o",'Portefeuille SP2'!#REF!,"=")</f>
        <v>#REF!</v>
      </c>
      <c r="AE69" s="126" t="e">
        <f>SUMIFS('Portefeuille SP2'!#REF!,'Portefeuille SP2'!#REF!,1,'Portefeuille SP2'!$Q:$Q,"DECIDED",'Portefeuille SP2'!#REF!,"R",'Portefeuille SP2'!$D:$D,$A69,'Portefeuille SP2'!#REF!,"o",'Portefeuille SP2'!#REF!,"=")</f>
        <v>#REF!</v>
      </c>
      <c r="AF69" s="117" t="e">
        <f>SUMIFS('Portefeuille SP2'!#REF!,'Portefeuille SP2'!#REF!,1,'Portefeuille SP2'!$Q:$Q,"DECIDED",'Portefeuille SP2'!#REF!,"R",'Portefeuille SP2'!$D:$D,$A69,'Portefeuille SP2'!#REF!,"o",'Portefeuille SP2'!#REF!,"=")</f>
        <v>#REF!</v>
      </c>
      <c r="AG69" s="111" t="e">
        <f>SUMIFS('Portefeuille SP2'!$U:$U,'Portefeuille SP2'!#REF!,1,'Portefeuille SP2'!$Q:$Q,"DECIDED",'Portefeuille SP2'!#REF!,"G",'Portefeuille SP2'!$D:$D,$A69,'Portefeuille SP2'!#REF!,"o",'Portefeuille SP2'!#REF!,"&lt;&gt;")</f>
        <v>#REF!</v>
      </c>
      <c r="AH69" s="126" t="e">
        <f>SUMIFS('Portefeuille SP2'!#REF!,'Portefeuille SP2'!#REF!,1,'Portefeuille SP2'!$Q:$Q,"DECIDED",'Portefeuille SP2'!#REF!,"G",'Portefeuille SP2'!$D:$D,$A69,'Portefeuille SP2'!#REF!,"o",'Portefeuille SP2'!#REF!,"&lt;&gt;")</f>
        <v>#REF!</v>
      </c>
      <c r="AI69" s="117" t="e">
        <f>SUMIFS('Portefeuille SP2'!#REF!,'Portefeuille SP2'!#REF!,1,'Portefeuille SP2'!$Q:$Q,"DECIDED",'Portefeuille SP2'!#REF!,"G",'Portefeuille SP2'!$D:$D,$A69,'Portefeuille SP2'!#REF!,"o",'Portefeuille SP2'!#REF!,"&lt;&gt;")</f>
        <v>#REF!</v>
      </c>
      <c r="AJ69" s="111" t="e">
        <f>SUMIFS('Portefeuille SP2'!$U:$U,'Portefeuille SP2'!#REF!,1,'Portefeuille SP2'!$Q:$Q,"DECIDED",'Portefeuille SP2'!#REF!,"R",'Portefeuille SP2'!$D:$D,$A69,'Portefeuille SP2'!#REF!,"o",'Portefeuille SP2'!#REF!,"&lt;&gt;")</f>
        <v>#REF!</v>
      </c>
      <c r="AK69" s="126" t="e">
        <f>SUMIFS('Portefeuille SP2'!#REF!,'Portefeuille SP2'!#REF!,1,'Portefeuille SP2'!$Q:$Q,"DECIDED",'Portefeuille SP2'!#REF!,"R",'Portefeuille SP2'!$D:$D,$A69,'Portefeuille SP2'!#REF!,"o",'Portefeuille SP2'!#REF!,"&lt;&gt;")</f>
        <v>#REF!</v>
      </c>
      <c r="AL69" s="117" t="e">
        <f>SUMIFS('Portefeuille SP2'!#REF!,'Portefeuille SP2'!#REF!,1,'Portefeuille SP2'!$Q:$Q,"DECIDED",'Portefeuille SP2'!#REF!,"R",'Portefeuille SP2'!$D:$D,$A69,'Portefeuille SP2'!#REF!,"o",'Portefeuille SP2'!#REF!,"&lt;&gt;")</f>
        <v>#REF!</v>
      </c>
      <c r="AM69" s="117"/>
      <c r="AN69" t="s">
        <v>1314</v>
      </c>
      <c r="AO69" s="111" t="e">
        <f t="shared" ref="AO69" si="394">B76</f>
        <v>#REF!</v>
      </c>
      <c r="AP69" s="126" t="e">
        <f t="shared" ref="AP69" si="395">C76</f>
        <v>#REF!</v>
      </c>
      <c r="AQ69" s="122" t="e">
        <f t="shared" ref="AQ69" si="396">D76</f>
        <v>#REF!</v>
      </c>
      <c r="AR69" s="112" t="e">
        <f t="shared" ref="AR69" si="397">E76</f>
        <v>#REF!</v>
      </c>
      <c r="AS69" s="126" t="e">
        <f t="shared" ref="AS69" si="398">F76</f>
        <v>#REF!</v>
      </c>
      <c r="AT69" s="122" t="e">
        <f t="shared" ref="AT69" si="399">G76</f>
        <v>#REF!</v>
      </c>
      <c r="AU69" s="112" t="e">
        <f t="shared" si="312"/>
        <v>#REF!</v>
      </c>
      <c r="AV69" s="126" t="e">
        <f t="shared" si="281"/>
        <v>#REF!</v>
      </c>
      <c r="AW69" s="122" t="e">
        <f t="shared" si="282"/>
        <v>#REF!</v>
      </c>
      <c r="AX69" s="111" t="e">
        <f t="shared" ref="AX69" si="400">H76</f>
        <v>#REF!</v>
      </c>
      <c r="AY69" s="126" t="e">
        <f t="shared" ref="AY69" si="401">I76</f>
        <v>#REF!</v>
      </c>
      <c r="AZ69" s="122" t="e">
        <f t="shared" ref="AZ69" si="402">J76</f>
        <v>#REF!</v>
      </c>
      <c r="BA69" s="111" t="e">
        <f t="shared" ref="BA69" si="403">K76</f>
        <v>#REF!</v>
      </c>
      <c r="BB69" s="126" t="e">
        <f t="shared" ref="BB69" si="404">L76</f>
        <v>#REF!</v>
      </c>
      <c r="BC69" s="122" t="e">
        <f t="shared" ref="BC69" si="405">M76</f>
        <v>#REF!</v>
      </c>
      <c r="BD69" s="112" t="e">
        <f t="shared" si="319"/>
        <v>#REF!</v>
      </c>
      <c r="BE69" s="126" t="e">
        <f t="shared" si="289"/>
        <v>#REF!</v>
      </c>
      <c r="BF69" s="122" t="e">
        <f t="shared" si="290"/>
        <v>#REF!</v>
      </c>
      <c r="BH69" s="111" t="e">
        <f>U76</f>
        <v>#REF!</v>
      </c>
      <c r="BI69" s="126" t="e">
        <f t="shared" ref="BI69" si="406">V76</f>
        <v>#REF!</v>
      </c>
      <c r="BJ69" s="122" t="e">
        <f t="shared" ref="BJ69" si="407">W76</f>
        <v>#REF!</v>
      </c>
      <c r="BK69" s="111" t="e">
        <f t="shared" ref="BK69" si="408">X76</f>
        <v>#REF!</v>
      </c>
      <c r="BL69" s="126" t="e">
        <f t="shared" ref="BL69" si="409">Y76</f>
        <v>#REF!</v>
      </c>
      <c r="BM69" s="122" t="e">
        <f t="shared" ref="BM69" si="410">Z76</f>
        <v>#REF!</v>
      </c>
      <c r="BN69" s="112" t="e">
        <f t="shared" si="325"/>
        <v>#REF!</v>
      </c>
      <c r="BO69" s="126" t="e">
        <f t="shared" si="296"/>
        <v>#REF!</v>
      </c>
      <c r="BP69" s="122" t="e">
        <f t="shared" si="297"/>
        <v>#REF!</v>
      </c>
      <c r="BQ69" s="111" t="e">
        <f t="shared" ref="BQ69" si="411">AA76</f>
        <v>#REF!</v>
      </c>
      <c r="BR69" s="126" t="e">
        <f t="shared" ref="BR69" si="412">AB76</f>
        <v>#REF!</v>
      </c>
      <c r="BS69" s="122" t="e">
        <f t="shared" ref="BS69" si="413">AC76</f>
        <v>#REF!</v>
      </c>
      <c r="BT69" s="111" t="e">
        <f t="shared" ref="BT69" si="414">AD76</f>
        <v>#REF!</v>
      </c>
      <c r="BU69" s="126" t="e">
        <f t="shared" ref="BU69" si="415">AE76</f>
        <v>#REF!</v>
      </c>
      <c r="BV69" s="122" t="e">
        <f t="shared" ref="BV69" si="416">AF76</f>
        <v>#REF!</v>
      </c>
      <c r="BW69" s="111" t="e">
        <f t="shared" si="332"/>
        <v>#REF!</v>
      </c>
      <c r="BX69" s="126" t="e">
        <f t="shared" si="304"/>
        <v>#REF!</v>
      </c>
      <c r="BY69" s="122" t="e">
        <f t="shared" si="305"/>
        <v>#REF!</v>
      </c>
    </row>
    <row r="70" spans="1:77" outlineLevel="1">
      <c r="A70" t="s">
        <v>1315</v>
      </c>
      <c r="B70" s="139" t="e">
        <f>SUMIFS('Portefeuille SP2'!$U:$U,'Portefeuille SP2'!#REF!,1,'Portefeuille SP2'!$Q:$Q,"IN PROGRESS",'Portefeuille SP2'!#REF!,"G",'Portefeuille SP2'!$D:$D,$A70,'Portefeuille SP2'!#REF!,"S")</f>
        <v>#REF!</v>
      </c>
      <c r="C70" s="126" t="e">
        <f>SUMIFS('Portefeuille SP2'!#REF!,'Portefeuille SP2'!#REF!,1,'Portefeuille SP2'!$Q:$Q,"IN PROGRESS",'Portefeuille SP2'!#REF!,"G",'Portefeuille SP2'!$D:$D,$A70,'Portefeuille SP2'!#REF!,"S")</f>
        <v>#REF!</v>
      </c>
      <c r="D70" s="122" t="e">
        <f>SUMIFS('Portefeuille SP2'!#REF!,'Portefeuille SP2'!#REF!,1,'Portefeuille SP2'!$Q:$Q,"IN PROGRESS",'Portefeuille SP2'!#REF!,"G",'Portefeuille SP2'!$D:$D,$A70,'Portefeuille SP2'!#REF!,"S")</f>
        <v>#REF!</v>
      </c>
      <c r="E70" s="111" t="e">
        <f>SUMIFS('Portefeuille SP2'!$U:$U,'Portefeuille SP2'!#REF!,1,'Portefeuille SP2'!$Q:$Q,"IN PROGRESS",'Portefeuille SP2'!#REF!,"R",'Portefeuille SP2'!$D:$D,$A70,'Portefeuille SP2'!#REF!,"S")</f>
        <v>#REF!</v>
      </c>
      <c r="F70" s="126" t="e">
        <f>SUMIFS('Portefeuille SP2'!#REF!,'Portefeuille SP2'!#REF!,1,'Portefeuille SP2'!$Q:$Q,"IN PROGRESS",'Portefeuille SP2'!#REF!,"R",'Portefeuille SP2'!$D:$D,$A70,'Portefeuille SP2'!#REF!,"S")</f>
        <v>#REF!</v>
      </c>
      <c r="G70" s="117" t="e">
        <f>SUMIFS('Portefeuille SP2'!#REF!,'Portefeuille SP2'!#REF!,1,'Portefeuille SP2'!$Q:$Q,"IN PROGRESS",'Portefeuille SP2'!#REF!,"R",'Portefeuille SP2'!$D:$D,$A70,'Portefeuille SP2'!#REF!,"S")</f>
        <v>#REF!</v>
      </c>
      <c r="H70" s="111" t="e">
        <f>SUMIFS('Portefeuille SP2'!$U:$U,'Portefeuille SP2'!#REF!,1,'Portefeuille SP2'!$Q:$Q,"DECIDED",'Portefeuille SP2'!#REF!,"G",'Portefeuille SP2'!$D:$D,$A70,'Portefeuille SP2'!#REF!,"S",'Portefeuille SP2'!#REF!,"=")</f>
        <v>#REF!</v>
      </c>
      <c r="I70" s="117" t="e">
        <f>SUMIFS('Portefeuille SP2'!#REF!,'Portefeuille SP2'!#REF!,1,'Portefeuille SP2'!$Q:$Q,"DECIDED",'Portefeuille SP2'!#REF!,"G",'Portefeuille SP2'!$D:$D,$A70,'Portefeuille SP2'!#REF!,"S",'Portefeuille SP2'!#REF!,"=")</f>
        <v>#REF!</v>
      </c>
      <c r="J70" s="117" t="e">
        <f>SUMIFS('Portefeuille SP2'!#REF!,'Portefeuille SP2'!#REF!,1,'Portefeuille SP2'!$Q:$Q,"DECIDED",'Portefeuille SP2'!#REF!,"G",'Portefeuille SP2'!$D:$D,$A70,'Portefeuille SP2'!#REF!,"S",'Portefeuille SP2'!#REF!,"=")</f>
        <v>#REF!</v>
      </c>
      <c r="K70" s="111" t="e">
        <f>SUMIFS('Portefeuille SP2'!$U:$U,'Portefeuille SP2'!#REF!,1,'Portefeuille SP2'!$Q:$Q,"DECIDED",'Portefeuille SP2'!#REF!,"R",'Portefeuille SP2'!$D:$D,$A70,'Portefeuille SP2'!#REF!,"S",'Portefeuille SP2'!#REF!,"=")</f>
        <v>#REF!</v>
      </c>
      <c r="L70" s="126" t="e">
        <f>SUMIFS('Portefeuille SP2'!#REF!,'Portefeuille SP2'!#REF!,1,'Portefeuille SP2'!$Q:$Q,"DECIDED",'Portefeuille SP2'!#REF!,"R",'Portefeuille SP2'!$D:$D,$A70,'Portefeuille SP2'!#REF!,"S",'Portefeuille SP2'!#REF!,"=")</f>
        <v>#REF!</v>
      </c>
      <c r="M70" s="117" t="e">
        <f>SUMIFS('Portefeuille SP2'!#REF!,'Portefeuille SP2'!#REF!,1,'Portefeuille SP2'!$Q:$Q,"DECIDED",'Portefeuille SP2'!#REF!,"R",'Portefeuille SP2'!$D:$D,$A70,'Portefeuille SP2'!#REF!,"S",'Portefeuille SP2'!#REF!,"=")</f>
        <v>#REF!</v>
      </c>
      <c r="N70" s="111" t="e">
        <f>SUMIFS('Portefeuille SP2'!$U:$U,'Portefeuille SP2'!#REF!,1,'Portefeuille SP2'!$Q:$Q,"DECIDED",'Portefeuille SP2'!#REF!,"G",'Portefeuille SP2'!$D:$D,$A70,'Portefeuille SP2'!#REF!,"S",'Portefeuille SP2'!#REF!,"&lt;&gt;")</f>
        <v>#REF!</v>
      </c>
      <c r="O70" s="126" t="e">
        <f>SUMIFS('Portefeuille SP2'!#REF!,'Portefeuille SP2'!#REF!,1,'Portefeuille SP2'!$Q:$Q,"DECIDED",'Portefeuille SP2'!#REF!,"G",'Portefeuille SP2'!$D:$D,$A70,'Portefeuille SP2'!#REF!,"S",'Portefeuille SP2'!#REF!,"&lt;&gt;")</f>
        <v>#REF!</v>
      </c>
      <c r="P70" s="117" t="e">
        <f>SUMIFS('Portefeuille SP2'!#REF!,'Portefeuille SP2'!#REF!,1,'Portefeuille SP2'!$Q:$Q,"DECIDED",'Portefeuille SP2'!#REF!,"G",'Portefeuille SP2'!$D:$D,$A70,'Portefeuille SP2'!#REF!,"S",'Portefeuille SP2'!#REF!,"&lt;&gt;")</f>
        <v>#REF!</v>
      </c>
      <c r="Q70" s="111" t="e">
        <f>SUMIFS('Portefeuille SP2'!$U:$U,'Portefeuille SP2'!#REF!,1,'Portefeuille SP2'!$Q:$Q,"DECIDED",'Portefeuille SP2'!#REF!,"R",'Portefeuille SP2'!$D:$D,$A70,'Portefeuille SP2'!#REF!,"S",'Portefeuille SP2'!#REF!,"&lt;&gt;")</f>
        <v>#REF!</v>
      </c>
      <c r="R70" s="126" t="e">
        <f>SUMIFS('Portefeuille SP2'!#REF!,'Portefeuille SP2'!#REF!,1,'Portefeuille SP2'!$Q:$Q,"DECIDED",'Portefeuille SP2'!#REF!,"R",'Portefeuille SP2'!$D:$D,$A70,'Portefeuille SP2'!#REF!,"S",'Portefeuille SP2'!#REF!,"&lt;&gt;")</f>
        <v>#REF!</v>
      </c>
      <c r="S70" s="122" t="e">
        <f>SUMIFS('Portefeuille SP2'!#REF!,'Portefeuille SP2'!#REF!,1,'Portefeuille SP2'!$Q:$Q,"DECIDED",'Portefeuille SP2'!#REF!,"R",'Portefeuille SP2'!$D:$D,$A70,'Portefeuille SP2'!#REF!,"S",'Portefeuille SP2'!#REF!,"&lt;&gt;")</f>
        <v>#REF!</v>
      </c>
      <c r="U70" s="111" t="e">
        <f>SUMIFS('Portefeuille SP2'!$U:$U,'Portefeuille SP2'!#REF!,1,'Portefeuille SP2'!$Q:$Q,"IN PROGRESS",'Portefeuille SP2'!#REF!,"G",'Portefeuille SP2'!$D:$D,$A70,'Portefeuille SP2'!#REF!,"O")</f>
        <v>#REF!</v>
      </c>
      <c r="V70" s="126" t="e">
        <f>SUMIFS('Portefeuille SP2'!#REF!,'Portefeuille SP2'!#REF!,1,'Portefeuille SP2'!$Q:$Q,"IN PROGRESS",'Portefeuille SP2'!#REF!,"G",'Portefeuille SP2'!$D:$D,$A70,'Portefeuille SP2'!#REF!,"o")</f>
        <v>#REF!</v>
      </c>
      <c r="W70" s="117" t="e">
        <f>SUMIFS('Portefeuille SP2'!#REF!,'Portefeuille SP2'!#REF!,1,'Portefeuille SP2'!$Q:$Q,"IN PROGRESS",'Portefeuille SP2'!#REF!,"G",'Portefeuille SP2'!$D:$D,$A70,'Portefeuille SP2'!#REF!,"o")</f>
        <v>#REF!</v>
      </c>
      <c r="X70" s="111" t="e">
        <f>SUMIFS('Portefeuille SP2'!$U:$U,'Portefeuille SP2'!#REF!,1,'Portefeuille SP2'!$Q:$Q,"IN PROGRESS",'Portefeuille SP2'!#REF!,"R",'Portefeuille SP2'!$D:$D,$A70,'Portefeuille SP2'!#REF!,"o")</f>
        <v>#REF!</v>
      </c>
      <c r="Y70" s="126" t="e">
        <f>SUMIFS('Portefeuille SP2'!#REF!,'Portefeuille SP2'!#REF!,1,'Portefeuille SP2'!$Q:$Q,"IN PROGRESS",'Portefeuille SP2'!#REF!,"R",'Portefeuille SP2'!$D:$D,$A70,'Portefeuille SP2'!#REF!,"o")</f>
        <v>#REF!</v>
      </c>
      <c r="Z70" s="117" t="e">
        <f>SUMIFS('Portefeuille SP2'!#REF!,'Portefeuille SP2'!#REF!,1,'Portefeuille SP2'!$Q:$Q,"IN PROGRESS",'Portefeuille SP2'!#REF!,"R",'Portefeuille SP2'!$D:$D,$A70,'Portefeuille SP2'!#REF!,"o")</f>
        <v>#REF!</v>
      </c>
      <c r="AA70" s="111" t="e">
        <f>SUMIFS('Portefeuille SP2'!$U:$U,'Portefeuille SP2'!#REF!,1,'Portefeuille SP2'!$Q:$Q,"DECIDED",'Portefeuille SP2'!#REF!,"G",'Portefeuille SP2'!$D:$D,$A70,'Portefeuille SP2'!#REF!,"o",'Portefeuille SP2'!#REF!,"=")</f>
        <v>#REF!</v>
      </c>
      <c r="AB70" s="126" t="e">
        <f>SUMIFS('Portefeuille SP2'!#REF!,'Portefeuille SP2'!#REF!,1,'Portefeuille SP2'!$Q:$Q,"DECIDED",'Portefeuille SP2'!#REF!,"G",'Portefeuille SP2'!$D:$D,$A70,'Portefeuille SP2'!#REF!,"o",'Portefeuille SP2'!#REF!,"=")</f>
        <v>#REF!</v>
      </c>
      <c r="AC70" s="117" t="e">
        <f>SUMIFS('Portefeuille SP2'!#REF!,'Portefeuille SP2'!#REF!,1,'Portefeuille SP2'!$Q:$Q,"DECIDED",'Portefeuille SP2'!#REF!,"G",'Portefeuille SP2'!$D:$D,$A70,'Portefeuille SP2'!#REF!,"o",'Portefeuille SP2'!#REF!,"=")</f>
        <v>#REF!</v>
      </c>
      <c r="AD70" s="111" t="e">
        <f>SUMIFS('Portefeuille SP2'!$U:$U,'Portefeuille SP2'!#REF!,1,'Portefeuille SP2'!$Q:$Q,"DECIDED",'Portefeuille SP2'!#REF!,"R",'Portefeuille SP2'!$D:$D,$A70,'Portefeuille SP2'!#REF!,"o",'Portefeuille SP2'!#REF!,"=")</f>
        <v>#REF!</v>
      </c>
      <c r="AE70" s="126" t="e">
        <f>SUMIFS('Portefeuille SP2'!#REF!,'Portefeuille SP2'!#REF!,1,'Portefeuille SP2'!$Q:$Q,"DECIDED",'Portefeuille SP2'!#REF!,"R",'Portefeuille SP2'!$D:$D,$A70,'Portefeuille SP2'!#REF!,"o",'Portefeuille SP2'!#REF!,"=")</f>
        <v>#REF!</v>
      </c>
      <c r="AF70" s="117" t="e">
        <f>SUMIFS('Portefeuille SP2'!#REF!,'Portefeuille SP2'!#REF!,1,'Portefeuille SP2'!$Q:$Q,"DECIDED",'Portefeuille SP2'!#REF!,"R",'Portefeuille SP2'!$D:$D,$A70,'Portefeuille SP2'!#REF!,"o",'Portefeuille SP2'!#REF!,"=")</f>
        <v>#REF!</v>
      </c>
      <c r="AG70" s="111" t="e">
        <f>SUMIFS('Portefeuille SP2'!$U:$U,'Portefeuille SP2'!#REF!,1,'Portefeuille SP2'!$Q:$Q,"DECIDED",'Portefeuille SP2'!#REF!,"G",'Portefeuille SP2'!$D:$D,$A70,'Portefeuille SP2'!#REF!,"o",'Portefeuille SP2'!#REF!,"&lt;&gt;")</f>
        <v>#REF!</v>
      </c>
      <c r="AH70" s="126" t="e">
        <f>SUMIFS('Portefeuille SP2'!#REF!,'Portefeuille SP2'!#REF!,1,'Portefeuille SP2'!$Q:$Q,"DECIDED",'Portefeuille SP2'!#REF!,"G",'Portefeuille SP2'!$D:$D,$A70,'Portefeuille SP2'!#REF!,"o",'Portefeuille SP2'!#REF!,"&lt;&gt;")</f>
        <v>#REF!</v>
      </c>
      <c r="AI70" s="117" t="e">
        <f>SUMIFS('Portefeuille SP2'!#REF!,'Portefeuille SP2'!#REF!,1,'Portefeuille SP2'!$Q:$Q,"DECIDED",'Portefeuille SP2'!#REF!,"G",'Portefeuille SP2'!$D:$D,$A70,'Portefeuille SP2'!#REF!,"o",'Portefeuille SP2'!#REF!,"&lt;&gt;")</f>
        <v>#REF!</v>
      </c>
      <c r="AJ70" s="111" t="e">
        <f>SUMIFS('Portefeuille SP2'!$U:$U,'Portefeuille SP2'!#REF!,1,'Portefeuille SP2'!$Q:$Q,"DECIDED",'Portefeuille SP2'!#REF!,"R",'Portefeuille SP2'!$D:$D,$A70,'Portefeuille SP2'!#REF!,"o",'Portefeuille SP2'!#REF!,"&lt;&gt;")</f>
        <v>#REF!</v>
      </c>
      <c r="AK70" s="126" t="e">
        <f>SUMIFS('Portefeuille SP2'!#REF!,'Portefeuille SP2'!#REF!,1,'Portefeuille SP2'!$Q:$Q,"DECIDED",'Portefeuille SP2'!#REF!,"R",'Portefeuille SP2'!$D:$D,$A70,'Portefeuille SP2'!#REF!,"o",'Portefeuille SP2'!#REF!,"&lt;&gt;")</f>
        <v>#REF!</v>
      </c>
      <c r="AL70" s="117" t="e">
        <f>SUMIFS('Portefeuille SP2'!#REF!,'Portefeuille SP2'!#REF!,1,'Portefeuille SP2'!$Q:$Q,"DECIDED",'Portefeuille SP2'!#REF!,"R",'Portefeuille SP2'!$D:$D,$A70,'Portefeuille SP2'!#REF!,"o",'Portefeuille SP2'!#REF!,"&lt;&gt;")</f>
        <v>#REF!</v>
      </c>
      <c r="AM70" s="117"/>
      <c r="AN70" t="s">
        <v>1316</v>
      </c>
      <c r="AO70" s="111" t="e">
        <f t="shared" ref="AO70" si="417">B66+B79</f>
        <v>#REF!</v>
      </c>
      <c r="AP70" s="126" t="e">
        <f t="shared" ref="AP70" si="418">C66+C79</f>
        <v>#REF!</v>
      </c>
      <c r="AQ70" s="122" t="e">
        <f t="shared" ref="AQ70" si="419">D66+D79</f>
        <v>#REF!</v>
      </c>
      <c r="AR70" s="112" t="e">
        <f t="shared" ref="AR70" si="420">E66+E79</f>
        <v>#REF!</v>
      </c>
      <c r="AS70" s="126" t="e">
        <f t="shared" ref="AS70" si="421">F66+F79</f>
        <v>#REF!</v>
      </c>
      <c r="AT70" s="122" t="e">
        <f t="shared" ref="AT70" si="422">G66+G79</f>
        <v>#REF!</v>
      </c>
      <c r="AU70" s="112" t="e">
        <f t="shared" si="312"/>
        <v>#REF!</v>
      </c>
      <c r="AV70" s="126" t="e">
        <f t="shared" si="281"/>
        <v>#REF!</v>
      </c>
      <c r="AW70" s="122" t="e">
        <f t="shared" si="282"/>
        <v>#REF!</v>
      </c>
      <c r="AX70" s="111" t="e">
        <f t="shared" ref="AX70" si="423">H66+H79</f>
        <v>#REF!</v>
      </c>
      <c r="AY70" s="126" t="e">
        <f t="shared" ref="AY70" si="424">I66+I79</f>
        <v>#REF!</v>
      </c>
      <c r="AZ70" s="122" t="e">
        <f t="shared" ref="AZ70" si="425">J66+J79</f>
        <v>#REF!</v>
      </c>
      <c r="BA70" s="111" t="e">
        <f t="shared" ref="BA70" si="426">K66+K79</f>
        <v>#REF!</v>
      </c>
      <c r="BB70" s="126" t="e">
        <f t="shared" ref="BB70" si="427">L66+L79</f>
        <v>#REF!</v>
      </c>
      <c r="BC70" s="122" t="e">
        <f t="shared" ref="BC70" si="428">M66+M79</f>
        <v>#REF!</v>
      </c>
      <c r="BD70" s="112" t="e">
        <f t="shared" si="319"/>
        <v>#REF!</v>
      </c>
      <c r="BE70" s="126" t="e">
        <f t="shared" si="289"/>
        <v>#REF!</v>
      </c>
      <c r="BF70" s="122" t="e">
        <f t="shared" si="290"/>
        <v>#REF!</v>
      </c>
      <c r="BH70" s="111" t="e">
        <f>U66+U79</f>
        <v>#REF!</v>
      </c>
      <c r="BI70" s="126" t="e">
        <f t="shared" ref="BI70" si="429">V66+V79</f>
        <v>#REF!</v>
      </c>
      <c r="BJ70" s="122" t="e">
        <f t="shared" ref="BJ70" si="430">W66+W79</f>
        <v>#REF!</v>
      </c>
      <c r="BK70" s="111" t="e">
        <f t="shared" ref="BK70" si="431">X66+X79</f>
        <v>#REF!</v>
      </c>
      <c r="BL70" s="126" t="e">
        <f t="shared" ref="BL70" si="432">Y66+Y79</f>
        <v>#REF!</v>
      </c>
      <c r="BM70" s="122" t="e">
        <f t="shared" ref="BM70" si="433">Z66+Z79</f>
        <v>#REF!</v>
      </c>
      <c r="BN70" s="112" t="e">
        <f t="shared" si="325"/>
        <v>#REF!</v>
      </c>
      <c r="BO70" s="126" t="e">
        <f t="shared" si="296"/>
        <v>#REF!</v>
      </c>
      <c r="BP70" s="122" t="e">
        <f t="shared" si="297"/>
        <v>#REF!</v>
      </c>
      <c r="BQ70" s="111" t="e">
        <f t="shared" ref="BQ70" si="434">AA66+AA79</f>
        <v>#REF!</v>
      </c>
      <c r="BR70" s="126" t="e">
        <f t="shared" ref="BR70" si="435">AB66+AB79</f>
        <v>#REF!</v>
      </c>
      <c r="BS70" s="122" t="e">
        <f t="shared" ref="BS70" si="436">AC66+AC79</f>
        <v>#REF!</v>
      </c>
      <c r="BT70" s="111" t="e">
        <f t="shared" ref="BT70" si="437">AD66+AD79</f>
        <v>#REF!</v>
      </c>
      <c r="BU70" s="126" t="e">
        <f t="shared" ref="BU70" si="438">AE66+AE79</f>
        <v>#REF!</v>
      </c>
      <c r="BV70" s="122" t="e">
        <f t="shared" ref="BV70" si="439">AF66+AF79</f>
        <v>#REF!</v>
      </c>
      <c r="BW70" s="111" t="e">
        <f t="shared" si="332"/>
        <v>#REF!</v>
      </c>
      <c r="BX70" s="126" t="e">
        <f t="shared" si="304"/>
        <v>#REF!</v>
      </c>
      <c r="BY70" s="122" t="e">
        <f t="shared" si="305"/>
        <v>#REF!</v>
      </c>
    </row>
    <row r="71" spans="1:77" outlineLevel="1">
      <c r="A71" t="s">
        <v>1308</v>
      </c>
      <c r="B71" s="139" t="e">
        <f>SUMIFS('Portefeuille SP2'!$U:$U,'Portefeuille SP2'!#REF!,1,'Portefeuille SP2'!$Q:$Q,"IN PROGRESS",'Portefeuille SP2'!#REF!,"G",'Portefeuille SP2'!$D:$D,$A71,'Portefeuille SP2'!#REF!,"S")</f>
        <v>#REF!</v>
      </c>
      <c r="C71" s="126" t="e">
        <f>SUMIFS('Portefeuille SP2'!#REF!,'Portefeuille SP2'!#REF!,1,'Portefeuille SP2'!$Q:$Q,"IN PROGRESS",'Portefeuille SP2'!#REF!,"G",'Portefeuille SP2'!$D:$D,$A71,'Portefeuille SP2'!#REF!,"S")</f>
        <v>#REF!</v>
      </c>
      <c r="D71" s="122" t="e">
        <f>SUMIFS('Portefeuille SP2'!#REF!,'Portefeuille SP2'!#REF!,1,'Portefeuille SP2'!$Q:$Q,"IN PROGRESS",'Portefeuille SP2'!#REF!,"G",'Portefeuille SP2'!$D:$D,$A71,'Portefeuille SP2'!#REF!,"S")</f>
        <v>#REF!</v>
      </c>
      <c r="E71" s="111" t="e">
        <f>SUMIFS('Portefeuille SP2'!$U:$U,'Portefeuille SP2'!#REF!,1,'Portefeuille SP2'!$Q:$Q,"IN PROGRESS",'Portefeuille SP2'!#REF!,"R",'Portefeuille SP2'!$D:$D,$A71,'Portefeuille SP2'!#REF!,"S")</f>
        <v>#REF!</v>
      </c>
      <c r="F71" s="126" t="e">
        <f>SUMIFS('Portefeuille SP2'!#REF!,'Portefeuille SP2'!#REF!,1,'Portefeuille SP2'!$Q:$Q,"IN PROGRESS",'Portefeuille SP2'!#REF!,"R",'Portefeuille SP2'!$D:$D,$A71,'Portefeuille SP2'!#REF!,"S")</f>
        <v>#REF!</v>
      </c>
      <c r="G71" s="117" t="e">
        <f>SUMIFS('Portefeuille SP2'!#REF!,'Portefeuille SP2'!#REF!,1,'Portefeuille SP2'!$Q:$Q,"IN PROGRESS",'Portefeuille SP2'!#REF!,"R",'Portefeuille SP2'!$D:$D,$A71,'Portefeuille SP2'!#REF!,"S")</f>
        <v>#REF!</v>
      </c>
      <c r="H71" s="111" t="e">
        <f>SUMIFS('Portefeuille SP2'!$U:$U,'Portefeuille SP2'!#REF!,1,'Portefeuille SP2'!$Q:$Q,"DECIDED",'Portefeuille SP2'!#REF!,"G",'Portefeuille SP2'!$D:$D,$A71,'Portefeuille SP2'!#REF!,"S",'Portefeuille SP2'!#REF!,"=")</f>
        <v>#REF!</v>
      </c>
      <c r="I71" s="117" t="e">
        <f>SUMIFS('Portefeuille SP2'!#REF!,'Portefeuille SP2'!#REF!,1,'Portefeuille SP2'!$Q:$Q,"DECIDED",'Portefeuille SP2'!#REF!,"G",'Portefeuille SP2'!$D:$D,$A71,'Portefeuille SP2'!#REF!,"S",'Portefeuille SP2'!#REF!,"=")</f>
        <v>#REF!</v>
      </c>
      <c r="J71" s="117" t="e">
        <f>SUMIFS('Portefeuille SP2'!#REF!,'Portefeuille SP2'!#REF!,1,'Portefeuille SP2'!$Q:$Q,"DECIDED",'Portefeuille SP2'!#REF!,"G",'Portefeuille SP2'!$D:$D,$A71,'Portefeuille SP2'!#REF!,"S",'Portefeuille SP2'!#REF!,"=")</f>
        <v>#REF!</v>
      </c>
      <c r="K71" s="111" t="e">
        <f>SUMIFS('Portefeuille SP2'!$U:$U,'Portefeuille SP2'!#REF!,1,'Portefeuille SP2'!$Q:$Q,"DECIDED",'Portefeuille SP2'!#REF!,"R",'Portefeuille SP2'!$D:$D,$A71,'Portefeuille SP2'!#REF!,"S",'Portefeuille SP2'!#REF!,"=")</f>
        <v>#REF!</v>
      </c>
      <c r="L71" s="126" t="e">
        <f>SUMIFS('Portefeuille SP2'!#REF!,'Portefeuille SP2'!#REF!,1,'Portefeuille SP2'!$Q:$Q,"DECIDED",'Portefeuille SP2'!#REF!,"R",'Portefeuille SP2'!$D:$D,$A71,'Portefeuille SP2'!#REF!,"S",'Portefeuille SP2'!#REF!,"=")</f>
        <v>#REF!</v>
      </c>
      <c r="M71" s="117" t="e">
        <f>SUMIFS('Portefeuille SP2'!#REF!,'Portefeuille SP2'!#REF!,1,'Portefeuille SP2'!$Q:$Q,"DECIDED",'Portefeuille SP2'!#REF!,"R",'Portefeuille SP2'!$D:$D,$A71,'Portefeuille SP2'!#REF!,"S",'Portefeuille SP2'!#REF!,"=")</f>
        <v>#REF!</v>
      </c>
      <c r="N71" s="111" t="e">
        <f>SUMIFS('Portefeuille SP2'!$U:$U,'Portefeuille SP2'!#REF!,1,'Portefeuille SP2'!$Q:$Q,"DECIDED",'Portefeuille SP2'!#REF!,"G",'Portefeuille SP2'!$D:$D,$A71,'Portefeuille SP2'!#REF!,"S",'Portefeuille SP2'!#REF!,"&lt;&gt;")</f>
        <v>#REF!</v>
      </c>
      <c r="O71" s="126" t="e">
        <f>SUMIFS('Portefeuille SP2'!#REF!,'Portefeuille SP2'!#REF!,1,'Portefeuille SP2'!$Q:$Q,"DECIDED",'Portefeuille SP2'!#REF!,"G",'Portefeuille SP2'!$D:$D,$A71,'Portefeuille SP2'!#REF!,"S",'Portefeuille SP2'!#REF!,"&lt;&gt;")</f>
        <v>#REF!</v>
      </c>
      <c r="P71" s="117" t="e">
        <f>SUMIFS('Portefeuille SP2'!#REF!,'Portefeuille SP2'!#REF!,1,'Portefeuille SP2'!$Q:$Q,"DECIDED",'Portefeuille SP2'!#REF!,"G",'Portefeuille SP2'!$D:$D,$A71,'Portefeuille SP2'!#REF!,"S",'Portefeuille SP2'!#REF!,"&lt;&gt;")</f>
        <v>#REF!</v>
      </c>
      <c r="Q71" s="111" t="e">
        <f>SUMIFS('Portefeuille SP2'!$U:$U,'Portefeuille SP2'!#REF!,1,'Portefeuille SP2'!$Q:$Q,"DECIDED",'Portefeuille SP2'!#REF!,"R",'Portefeuille SP2'!$D:$D,$A71,'Portefeuille SP2'!#REF!,"S",'Portefeuille SP2'!#REF!,"&lt;&gt;")</f>
        <v>#REF!</v>
      </c>
      <c r="R71" s="126" t="e">
        <f>SUMIFS('Portefeuille SP2'!#REF!,'Portefeuille SP2'!#REF!,1,'Portefeuille SP2'!$Q:$Q,"DECIDED",'Portefeuille SP2'!#REF!,"R",'Portefeuille SP2'!$D:$D,$A71,'Portefeuille SP2'!#REF!,"S",'Portefeuille SP2'!#REF!,"&lt;&gt;")</f>
        <v>#REF!</v>
      </c>
      <c r="S71" s="122" t="e">
        <f>SUMIFS('Portefeuille SP2'!#REF!,'Portefeuille SP2'!#REF!,1,'Portefeuille SP2'!$Q:$Q,"DECIDED",'Portefeuille SP2'!#REF!,"R",'Portefeuille SP2'!$D:$D,$A71,'Portefeuille SP2'!#REF!,"S",'Portefeuille SP2'!#REF!,"&lt;&gt;")</f>
        <v>#REF!</v>
      </c>
      <c r="U71" s="111" t="e">
        <f>SUMIFS('Portefeuille SP2'!$U:$U,'Portefeuille SP2'!#REF!,1,'Portefeuille SP2'!$Q:$Q,"IN PROGRESS",'Portefeuille SP2'!#REF!,"G",'Portefeuille SP2'!$D:$D,$A71,'Portefeuille SP2'!#REF!,"O")</f>
        <v>#REF!</v>
      </c>
      <c r="V71" s="126" t="e">
        <f>SUMIFS('Portefeuille SP2'!#REF!,'Portefeuille SP2'!#REF!,1,'Portefeuille SP2'!$Q:$Q,"IN PROGRESS",'Portefeuille SP2'!#REF!,"G",'Portefeuille SP2'!$D:$D,$A71,'Portefeuille SP2'!#REF!,"o")</f>
        <v>#REF!</v>
      </c>
      <c r="W71" s="117" t="e">
        <f>SUMIFS('Portefeuille SP2'!#REF!,'Portefeuille SP2'!#REF!,1,'Portefeuille SP2'!$Q:$Q,"IN PROGRESS",'Portefeuille SP2'!#REF!,"G",'Portefeuille SP2'!$D:$D,$A71,'Portefeuille SP2'!#REF!,"o")</f>
        <v>#REF!</v>
      </c>
      <c r="X71" s="111" t="e">
        <f>SUMIFS('Portefeuille SP2'!$U:$U,'Portefeuille SP2'!#REF!,1,'Portefeuille SP2'!$Q:$Q,"IN PROGRESS",'Portefeuille SP2'!#REF!,"R",'Portefeuille SP2'!$D:$D,$A71,'Portefeuille SP2'!#REF!,"o")</f>
        <v>#REF!</v>
      </c>
      <c r="Y71" s="126" t="e">
        <f>SUMIFS('Portefeuille SP2'!#REF!,'Portefeuille SP2'!#REF!,1,'Portefeuille SP2'!$Q:$Q,"IN PROGRESS",'Portefeuille SP2'!#REF!,"R",'Portefeuille SP2'!$D:$D,$A71,'Portefeuille SP2'!#REF!,"o")</f>
        <v>#REF!</v>
      </c>
      <c r="Z71" s="117" t="e">
        <f>SUMIFS('Portefeuille SP2'!#REF!,'Portefeuille SP2'!#REF!,1,'Portefeuille SP2'!$Q:$Q,"IN PROGRESS",'Portefeuille SP2'!#REF!,"R",'Portefeuille SP2'!$D:$D,$A71,'Portefeuille SP2'!#REF!,"o")</f>
        <v>#REF!</v>
      </c>
      <c r="AA71" s="111" t="e">
        <f>SUMIFS('Portefeuille SP2'!$U:$U,'Portefeuille SP2'!#REF!,1,'Portefeuille SP2'!$Q:$Q,"DECIDED",'Portefeuille SP2'!#REF!,"G",'Portefeuille SP2'!$D:$D,$A71,'Portefeuille SP2'!#REF!,"o",'Portefeuille SP2'!#REF!,"=")</f>
        <v>#REF!</v>
      </c>
      <c r="AB71" s="126" t="e">
        <f>SUMIFS('Portefeuille SP2'!#REF!,'Portefeuille SP2'!#REF!,1,'Portefeuille SP2'!$Q:$Q,"DECIDED",'Portefeuille SP2'!#REF!,"G",'Portefeuille SP2'!$D:$D,$A71,'Portefeuille SP2'!#REF!,"o",'Portefeuille SP2'!#REF!,"=")</f>
        <v>#REF!</v>
      </c>
      <c r="AC71" s="117" t="e">
        <f>SUMIFS('Portefeuille SP2'!#REF!,'Portefeuille SP2'!#REF!,1,'Portefeuille SP2'!$Q:$Q,"DECIDED",'Portefeuille SP2'!#REF!,"G",'Portefeuille SP2'!$D:$D,$A71,'Portefeuille SP2'!#REF!,"o",'Portefeuille SP2'!#REF!,"=")</f>
        <v>#REF!</v>
      </c>
      <c r="AD71" s="111" t="e">
        <f>SUMIFS('Portefeuille SP2'!$U:$U,'Portefeuille SP2'!#REF!,1,'Portefeuille SP2'!$Q:$Q,"DECIDED",'Portefeuille SP2'!#REF!,"R",'Portefeuille SP2'!$D:$D,$A71,'Portefeuille SP2'!#REF!,"o",'Portefeuille SP2'!#REF!,"=")</f>
        <v>#REF!</v>
      </c>
      <c r="AE71" s="126" t="e">
        <f>SUMIFS('Portefeuille SP2'!#REF!,'Portefeuille SP2'!#REF!,1,'Portefeuille SP2'!$Q:$Q,"DECIDED",'Portefeuille SP2'!#REF!,"R",'Portefeuille SP2'!$D:$D,$A71,'Portefeuille SP2'!#REF!,"o",'Portefeuille SP2'!#REF!,"=")</f>
        <v>#REF!</v>
      </c>
      <c r="AF71" s="117" t="e">
        <f>SUMIFS('Portefeuille SP2'!#REF!,'Portefeuille SP2'!#REF!,1,'Portefeuille SP2'!$Q:$Q,"DECIDED",'Portefeuille SP2'!#REF!,"R",'Portefeuille SP2'!$D:$D,$A71,'Portefeuille SP2'!#REF!,"o",'Portefeuille SP2'!#REF!,"=")</f>
        <v>#REF!</v>
      </c>
      <c r="AG71" s="111" t="e">
        <f>SUMIFS('Portefeuille SP2'!$U:$U,'Portefeuille SP2'!#REF!,1,'Portefeuille SP2'!$Q:$Q,"DECIDED",'Portefeuille SP2'!#REF!,"G",'Portefeuille SP2'!$D:$D,$A71,'Portefeuille SP2'!#REF!,"o",'Portefeuille SP2'!#REF!,"&lt;&gt;")</f>
        <v>#REF!</v>
      </c>
      <c r="AH71" s="126" t="e">
        <f>SUMIFS('Portefeuille SP2'!#REF!,'Portefeuille SP2'!#REF!,1,'Portefeuille SP2'!$Q:$Q,"DECIDED",'Portefeuille SP2'!#REF!,"G",'Portefeuille SP2'!$D:$D,$A71,'Portefeuille SP2'!#REF!,"o",'Portefeuille SP2'!#REF!,"&lt;&gt;")</f>
        <v>#REF!</v>
      </c>
      <c r="AI71" s="117" t="e">
        <f>SUMIFS('Portefeuille SP2'!#REF!,'Portefeuille SP2'!#REF!,1,'Portefeuille SP2'!$Q:$Q,"DECIDED",'Portefeuille SP2'!#REF!,"G",'Portefeuille SP2'!$D:$D,$A71,'Portefeuille SP2'!#REF!,"o",'Portefeuille SP2'!#REF!,"&lt;&gt;")</f>
        <v>#REF!</v>
      </c>
      <c r="AJ71" s="111" t="e">
        <f>SUMIFS('Portefeuille SP2'!$U:$U,'Portefeuille SP2'!#REF!,1,'Portefeuille SP2'!$Q:$Q,"DECIDED",'Portefeuille SP2'!#REF!,"R",'Portefeuille SP2'!$D:$D,$A71,'Portefeuille SP2'!#REF!,"o",'Portefeuille SP2'!#REF!,"&lt;&gt;")</f>
        <v>#REF!</v>
      </c>
      <c r="AK71" s="126" t="e">
        <f>SUMIFS('Portefeuille SP2'!#REF!,'Portefeuille SP2'!#REF!,1,'Portefeuille SP2'!$Q:$Q,"DECIDED",'Portefeuille SP2'!#REF!,"R",'Portefeuille SP2'!$D:$D,$A71,'Portefeuille SP2'!#REF!,"o",'Portefeuille SP2'!#REF!,"&lt;&gt;")</f>
        <v>#REF!</v>
      </c>
      <c r="AL71" s="117" t="e">
        <f>SUMIFS('Portefeuille SP2'!#REF!,'Portefeuille SP2'!#REF!,1,'Portefeuille SP2'!$Q:$Q,"DECIDED",'Portefeuille SP2'!#REF!,"R",'Portefeuille SP2'!$D:$D,$A71,'Portefeuille SP2'!#REF!,"o",'Portefeuille SP2'!#REF!,"&lt;&gt;")</f>
        <v>#REF!</v>
      </c>
      <c r="AM71" s="117"/>
      <c r="AN71" t="s">
        <v>1317</v>
      </c>
      <c r="AO71" s="111" t="e">
        <f t="shared" ref="AO71" si="440">B84+B85</f>
        <v>#REF!</v>
      </c>
      <c r="AP71" s="126" t="e">
        <f t="shared" ref="AP71" si="441">C84+C85</f>
        <v>#REF!</v>
      </c>
      <c r="AQ71" s="122" t="e">
        <f t="shared" ref="AQ71" si="442">D84+D85</f>
        <v>#REF!</v>
      </c>
      <c r="AR71" s="112" t="e">
        <f t="shared" ref="AR71" si="443">E84+E85</f>
        <v>#REF!</v>
      </c>
      <c r="AS71" s="126" t="e">
        <f t="shared" ref="AS71" si="444">F84+F85</f>
        <v>#REF!</v>
      </c>
      <c r="AT71" s="122" t="e">
        <f t="shared" ref="AT71" si="445">G84+G85</f>
        <v>#REF!</v>
      </c>
      <c r="AU71" s="112" t="e">
        <f t="shared" si="312"/>
        <v>#REF!</v>
      </c>
      <c r="AV71" s="126" t="e">
        <f t="shared" si="281"/>
        <v>#REF!</v>
      </c>
      <c r="AW71" s="122" t="e">
        <f t="shared" si="282"/>
        <v>#REF!</v>
      </c>
      <c r="AX71" s="111" t="e">
        <f t="shared" ref="AX71" si="446">H84+H85</f>
        <v>#REF!</v>
      </c>
      <c r="AY71" s="126" t="e">
        <f t="shared" ref="AY71" si="447">I84+I85</f>
        <v>#REF!</v>
      </c>
      <c r="AZ71" s="122" t="e">
        <f t="shared" ref="AZ71" si="448">J84+J85</f>
        <v>#REF!</v>
      </c>
      <c r="BA71" s="111" t="e">
        <f t="shared" ref="BA71" si="449">K84+K85</f>
        <v>#REF!</v>
      </c>
      <c r="BB71" s="126" t="e">
        <f t="shared" ref="BB71" si="450">L84+L85</f>
        <v>#REF!</v>
      </c>
      <c r="BC71" s="122" t="e">
        <f t="shared" ref="BC71" si="451">M84+M85</f>
        <v>#REF!</v>
      </c>
      <c r="BD71" s="112" t="e">
        <f t="shared" si="319"/>
        <v>#REF!</v>
      </c>
      <c r="BE71" s="126" t="e">
        <f t="shared" si="289"/>
        <v>#REF!</v>
      </c>
      <c r="BF71" s="122" t="e">
        <f t="shared" si="290"/>
        <v>#REF!</v>
      </c>
      <c r="BH71" s="111" t="e">
        <f>U84+U85</f>
        <v>#REF!</v>
      </c>
      <c r="BI71" s="126" t="e">
        <f t="shared" ref="BI71" si="452">V84+V85</f>
        <v>#REF!</v>
      </c>
      <c r="BJ71" s="122" t="e">
        <f t="shared" ref="BJ71" si="453">W84+W85</f>
        <v>#REF!</v>
      </c>
      <c r="BK71" s="111" t="e">
        <f t="shared" ref="BK71" si="454">X84+X85</f>
        <v>#REF!</v>
      </c>
      <c r="BL71" s="126" t="e">
        <f t="shared" ref="BL71" si="455">Y84+Y85</f>
        <v>#REF!</v>
      </c>
      <c r="BM71" s="122" t="e">
        <f t="shared" ref="BM71" si="456">Z84+Z85</f>
        <v>#REF!</v>
      </c>
      <c r="BN71" s="112" t="e">
        <f t="shared" si="325"/>
        <v>#REF!</v>
      </c>
      <c r="BO71" s="126" t="e">
        <f t="shared" si="296"/>
        <v>#REF!</v>
      </c>
      <c r="BP71" s="122" t="e">
        <f t="shared" si="297"/>
        <v>#REF!</v>
      </c>
      <c r="BQ71" s="111" t="e">
        <f t="shared" ref="BQ71" si="457">AA84+AA85</f>
        <v>#REF!</v>
      </c>
      <c r="BR71" s="126" t="e">
        <f t="shared" ref="BR71" si="458">AB84+AB85</f>
        <v>#REF!</v>
      </c>
      <c r="BS71" s="122" t="e">
        <f t="shared" ref="BS71" si="459">AC84+AC85</f>
        <v>#REF!</v>
      </c>
      <c r="BT71" s="111" t="e">
        <f t="shared" ref="BT71" si="460">AD84+AD85</f>
        <v>#REF!</v>
      </c>
      <c r="BU71" s="126" t="e">
        <f t="shared" ref="BU71" si="461">AE84+AE85</f>
        <v>#REF!</v>
      </c>
      <c r="BV71" s="122" t="e">
        <f t="shared" ref="BV71" si="462">AF84+AF85</f>
        <v>#REF!</v>
      </c>
      <c r="BW71" s="111" t="e">
        <f t="shared" si="332"/>
        <v>#REF!</v>
      </c>
      <c r="BX71" s="126" t="e">
        <f t="shared" si="304"/>
        <v>#REF!</v>
      </c>
      <c r="BY71" s="122" t="e">
        <f t="shared" si="305"/>
        <v>#REF!</v>
      </c>
    </row>
    <row r="72" spans="1:77" outlineLevel="1">
      <c r="A72" t="s">
        <v>1311</v>
      </c>
      <c r="B72" s="139" t="e">
        <f>SUMIFS('Portefeuille SP2'!$U:$U,'Portefeuille SP2'!#REF!,1,'Portefeuille SP2'!$Q:$Q,"IN PROGRESS",'Portefeuille SP2'!#REF!,"G",'Portefeuille SP2'!$D:$D,$A72,'Portefeuille SP2'!#REF!,"S")</f>
        <v>#REF!</v>
      </c>
      <c r="C72" s="126" t="e">
        <f>SUMIFS('Portefeuille SP2'!#REF!,'Portefeuille SP2'!#REF!,1,'Portefeuille SP2'!$Q:$Q,"IN PROGRESS",'Portefeuille SP2'!#REF!,"G",'Portefeuille SP2'!$D:$D,$A72,'Portefeuille SP2'!#REF!,"S")</f>
        <v>#REF!</v>
      </c>
      <c r="D72" s="122" t="e">
        <f>SUMIFS('Portefeuille SP2'!#REF!,'Portefeuille SP2'!#REF!,1,'Portefeuille SP2'!$Q:$Q,"IN PROGRESS",'Portefeuille SP2'!#REF!,"G",'Portefeuille SP2'!$D:$D,$A72,'Portefeuille SP2'!#REF!,"S")</f>
        <v>#REF!</v>
      </c>
      <c r="E72" s="111" t="e">
        <f>SUMIFS('Portefeuille SP2'!$U:$U,'Portefeuille SP2'!#REF!,1,'Portefeuille SP2'!$Q:$Q,"IN PROGRESS",'Portefeuille SP2'!#REF!,"R",'Portefeuille SP2'!$D:$D,$A72,'Portefeuille SP2'!#REF!,"S")</f>
        <v>#REF!</v>
      </c>
      <c r="F72" s="126" t="e">
        <f>SUMIFS('Portefeuille SP2'!#REF!,'Portefeuille SP2'!#REF!,1,'Portefeuille SP2'!$Q:$Q,"IN PROGRESS",'Portefeuille SP2'!#REF!,"R",'Portefeuille SP2'!$D:$D,$A72,'Portefeuille SP2'!#REF!,"S")</f>
        <v>#REF!</v>
      </c>
      <c r="G72" s="117" t="e">
        <f>SUMIFS('Portefeuille SP2'!#REF!,'Portefeuille SP2'!#REF!,1,'Portefeuille SP2'!$Q:$Q,"IN PROGRESS",'Portefeuille SP2'!#REF!,"R",'Portefeuille SP2'!$D:$D,$A72,'Portefeuille SP2'!#REF!,"S")</f>
        <v>#REF!</v>
      </c>
      <c r="H72" s="111" t="e">
        <f>SUMIFS('Portefeuille SP2'!$U:$U,'Portefeuille SP2'!#REF!,1,'Portefeuille SP2'!$Q:$Q,"DECIDED",'Portefeuille SP2'!#REF!,"G",'Portefeuille SP2'!$D:$D,$A72,'Portefeuille SP2'!#REF!,"S",'Portefeuille SP2'!#REF!,"=")</f>
        <v>#REF!</v>
      </c>
      <c r="I72" s="117" t="e">
        <f>SUMIFS('Portefeuille SP2'!#REF!,'Portefeuille SP2'!#REF!,1,'Portefeuille SP2'!$Q:$Q,"DECIDED",'Portefeuille SP2'!#REF!,"G",'Portefeuille SP2'!$D:$D,$A72,'Portefeuille SP2'!#REF!,"S",'Portefeuille SP2'!#REF!,"=")</f>
        <v>#REF!</v>
      </c>
      <c r="J72" s="117" t="e">
        <f>SUMIFS('Portefeuille SP2'!#REF!,'Portefeuille SP2'!#REF!,1,'Portefeuille SP2'!$Q:$Q,"DECIDED",'Portefeuille SP2'!#REF!,"G",'Portefeuille SP2'!$D:$D,$A72,'Portefeuille SP2'!#REF!,"S",'Portefeuille SP2'!#REF!,"=")</f>
        <v>#REF!</v>
      </c>
      <c r="K72" s="111" t="e">
        <f>SUMIFS('Portefeuille SP2'!$U:$U,'Portefeuille SP2'!#REF!,1,'Portefeuille SP2'!$Q:$Q,"DECIDED",'Portefeuille SP2'!#REF!,"R",'Portefeuille SP2'!$D:$D,$A72,'Portefeuille SP2'!#REF!,"S",'Portefeuille SP2'!#REF!,"=")</f>
        <v>#REF!</v>
      </c>
      <c r="L72" s="126" t="e">
        <f>SUMIFS('Portefeuille SP2'!#REF!,'Portefeuille SP2'!#REF!,1,'Portefeuille SP2'!$Q:$Q,"DECIDED",'Portefeuille SP2'!#REF!,"R",'Portefeuille SP2'!$D:$D,$A72,'Portefeuille SP2'!#REF!,"S",'Portefeuille SP2'!#REF!,"=")</f>
        <v>#REF!</v>
      </c>
      <c r="M72" s="117" t="e">
        <f>SUMIFS('Portefeuille SP2'!#REF!,'Portefeuille SP2'!#REF!,1,'Portefeuille SP2'!$Q:$Q,"DECIDED",'Portefeuille SP2'!#REF!,"R",'Portefeuille SP2'!$D:$D,$A72,'Portefeuille SP2'!#REF!,"S",'Portefeuille SP2'!#REF!,"=")</f>
        <v>#REF!</v>
      </c>
      <c r="N72" s="111" t="e">
        <f>SUMIFS('Portefeuille SP2'!$U:$U,'Portefeuille SP2'!#REF!,1,'Portefeuille SP2'!$Q:$Q,"DECIDED",'Portefeuille SP2'!#REF!,"G",'Portefeuille SP2'!$D:$D,$A72,'Portefeuille SP2'!#REF!,"S",'Portefeuille SP2'!#REF!,"&lt;&gt;")</f>
        <v>#REF!</v>
      </c>
      <c r="O72" s="126" t="e">
        <f>SUMIFS('Portefeuille SP2'!#REF!,'Portefeuille SP2'!#REF!,1,'Portefeuille SP2'!$Q:$Q,"DECIDED",'Portefeuille SP2'!#REF!,"G",'Portefeuille SP2'!$D:$D,$A72,'Portefeuille SP2'!#REF!,"S",'Portefeuille SP2'!#REF!,"&lt;&gt;")</f>
        <v>#REF!</v>
      </c>
      <c r="P72" s="117" t="e">
        <f>SUMIFS('Portefeuille SP2'!#REF!,'Portefeuille SP2'!#REF!,1,'Portefeuille SP2'!$Q:$Q,"DECIDED",'Portefeuille SP2'!#REF!,"G",'Portefeuille SP2'!$D:$D,$A72,'Portefeuille SP2'!#REF!,"S",'Portefeuille SP2'!#REF!,"&lt;&gt;")</f>
        <v>#REF!</v>
      </c>
      <c r="Q72" s="111" t="e">
        <f>SUMIFS('Portefeuille SP2'!$U:$U,'Portefeuille SP2'!#REF!,1,'Portefeuille SP2'!$Q:$Q,"DECIDED",'Portefeuille SP2'!#REF!,"R",'Portefeuille SP2'!$D:$D,$A72,'Portefeuille SP2'!#REF!,"S",'Portefeuille SP2'!#REF!,"&lt;&gt;")</f>
        <v>#REF!</v>
      </c>
      <c r="R72" s="126" t="e">
        <f>SUMIFS('Portefeuille SP2'!#REF!,'Portefeuille SP2'!#REF!,1,'Portefeuille SP2'!$Q:$Q,"DECIDED",'Portefeuille SP2'!#REF!,"R",'Portefeuille SP2'!$D:$D,$A72,'Portefeuille SP2'!#REF!,"S",'Portefeuille SP2'!#REF!,"&lt;&gt;")</f>
        <v>#REF!</v>
      </c>
      <c r="S72" s="122" t="e">
        <f>SUMIFS('Portefeuille SP2'!#REF!,'Portefeuille SP2'!#REF!,1,'Portefeuille SP2'!$Q:$Q,"DECIDED",'Portefeuille SP2'!#REF!,"R",'Portefeuille SP2'!$D:$D,$A72,'Portefeuille SP2'!#REF!,"S",'Portefeuille SP2'!#REF!,"&lt;&gt;")</f>
        <v>#REF!</v>
      </c>
      <c r="U72" s="111" t="e">
        <f>SUMIFS('Portefeuille SP2'!$U:$U,'Portefeuille SP2'!#REF!,1,'Portefeuille SP2'!$Q:$Q,"IN PROGRESS",'Portefeuille SP2'!#REF!,"G",'Portefeuille SP2'!$D:$D,$A72,'Portefeuille SP2'!#REF!,"O")</f>
        <v>#REF!</v>
      </c>
      <c r="V72" s="126" t="e">
        <f>SUMIFS('Portefeuille SP2'!#REF!,'Portefeuille SP2'!#REF!,1,'Portefeuille SP2'!$Q:$Q,"IN PROGRESS",'Portefeuille SP2'!#REF!,"G",'Portefeuille SP2'!$D:$D,$A72,'Portefeuille SP2'!#REF!,"o")</f>
        <v>#REF!</v>
      </c>
      <c r="W72" s="117" t="e">
        <f>SUMIFS('Portefeuille SP2'!#REF!,'Portefeuille SP2'!#REF!,1,'Portefeuille SP2'!$Q:$Q,"IN PROGRESS",'Portefeuille SP2'!#REF!,"G",'Portefeuille SP2'!$D:$D,$A72,'Portefeuille SP2'!#REF!,"o")</f>
        <v>#REF!</v>
      </c>
      <c r="X72" s="111" t="e">
        <f>SUMIFS('Portefeuille SP2'!$U:$U,'Portefeuille SP2'!#REF!,1,'Portefeuille SP2'!$Q:$Q,"IN PROGRESS",'Portefeuille SP2'!#REF!,"R",'Portefeuille SP2'!$D:$D,$A72,'Portefeuille SP2'!#REF!,"o")</f>
        <v>#REF!</v>
      </c>
      <c r="Y72" s="126" t="e">
        <f>SUMIFS('Portefeuille SP2'!#REF!,'Portefeuille SP2'!#REF!,1,'Portefeuille SP2'!$Q:$Q,"IN PROGRESS",'Portefeuille SP2'!#REF!,"R",'Portefeuille SP2'!$D:$D,$A72,'Portefeuille SP2'!#REF!,"o")</f>
        <v>#REF!</v>
      </c>
      <c r="Z72" s="117" t="e">
        <f>SUMIFS('Portefeuille SP2'!#REF!,'Portefeuille SP2'!#REF!,1,'Portefeuille SP2'!$Q:$Q,"IN PROGRESS",'Portefeuille SP2'!#REF!,"R",'Portefeuille SP2'!$D:$D,$A72,'Portefeuille SP2'!#REF!,"o")</f>
        <v>#REF!</v>
      </c>
      <c r="AA72" s="111" t="e">
        <f>SUMIFS('Portefeuille SP2'!$U:$U,'Portefeuille SP2'!#REF!,1,'Portefeuille SP2'!$Q:$Q,"DECIDED",'Portefeuille SP2'!#REF!,"G",'Portefeuille SP2'!$D:$D,$A72,'Portefeuille SP2'!#REF!,"o",'Portefeuille SP2'!#REF!,"=")</f>
        <v>#REF!</v>
      </c>
      <c r="AB72" s="126" t="e">
        <f>SUMIFS('Portefeuille SP2'!#REF!,'Portefeuille SP2'!#REF!,1,'Portefeuille SP2'!$Q:$Q,"DECIDED",'Portefeuille SP2'!#REF!,"G",'Portefeuille SP2'!$D:$D,$A72,'Portefeuille SP2'!#REF!,"o",'Portefeuille SP2'!#REF!,"=")</f>
        <v>#REF!</v>
      </c>
      <c r="AC72" s="117" t="e">
        <f>SUMIFS('Portefeuille SP2'!#REF!,'Portefeuille SP2'!#REF!,1,'Portefeuille SP2'!$Q:$Q,"DECIDED",'Portefeuille SP2'!#REF!,"G",'Portefeuille SP2'!$D:$D,$A72,'Portefeuille SP2'!#REF!,"o",'Portefeuille SP2'!#REF!,"=")</f>
        <v>#REF!</v>
      </c>
      <c r="AD72" s="111" t="e">
        <f>SUMIFS('Portefeuille SP2'!$U:$U,'Portefeuille SP2'!#REF!,1,'Portefeuille SP2'!$Q:$Q,"DECIDED",'Portefeuille SP2'!#REF!,"R",'Portefeuille SP2'!$D:$D,$A72,'Portefeuille SP2'!#REF!,"o",'Portefeuille SP2'!#REF!,"=")</f>
        <v>#REF!</v>
      </c>
      <c r="AE72" s="126" t="e">
        <f>SUMIFS('Portefeuille SP2'!#REF!,'Portefeuille SP2'!#REF!,1,'Portefeuille SP2'!$Q:$Q,"DECIDED",'Portefeuille SP2'!#REF!,"R",'Portefeuille SP2'!$D:$D,$A72,'Portefeuille SP2'!#REF!,"o",'Portefeuille SP2'!#REF!,"=")</f>
        <v>#REF!</v>
      </c>
      <c r="AF72" s="117" t="e">
        <f>SUMIFS('Portefeuille SP2'!#REF!,'Portefeuille SP2'!#REF!,1,'Portefeuille SP2'!$Q:$Q,"DECIDED",'Portefeuille SP2'!#REF!,"R",'Portefeuille SP2'!$D:$D,$A72,'Portefeuille SP2'!#REF!,"o",'Portefeuille SP2'!#REF!,"=")</f>
        <v>#REF!</v>
      </c>
      <c r="AG72" s="111" t="e">
        <f>SUMIFS('Portefeuille SP2'!$U:$U,'Portefeuille SP2'!#REF!,1,'Portefeuille SP2'!$Q:$Q,"DECIDED",'Portefeuille SP2'!#REF!,"G",'Portefeuille SP2'!$D:$D,$A72,'Portefeuille SP2'!#REF!,"o",'Portefeuille SP2'!#REF!,"&lt;&gt;")</f>
        <v>#REF!</v>
      </c>
      <c r="AH72" s="126" t="e">
        <f>SUMIFS('Portefeuille SP2'!#REF!,'Portefeuille SP2'!#REF!,1,'Portefeuille SP2'!$Q:$Q,"DECIDED",'Portefeuille SP2'!#REF!,"G",'Portefeuille SP2'!$D:$D,$A72,'Portefeuille SP2'!#REF!,"o",'Portefeuille SP2'!#REF!,"&lt;&gt;")</f>
        <v>#REF!</v>
      </c>
      <c r="AI72" s="117" t="e">
        <f>SUMIFS('Portefeuille SP2'!#REF!,'Portefeuille SP2'!#REF!,1,'Portefeuille SP2'!$Q:$Q,"DECIDED",'Portefeuille SP2'!#REF!,"G",'Portefeuille SP2'!$D:$D,$A72,'Portefeuille SP2'!#REF!,"o",'Portefeuille SP2'!#REF!,"&lt;&gt;")</f>
        <v>#REF!</v>
      </c>
      <c r="AJ72" s="111" t="e">
        <f>SUMIFS('Portefeuille SP2'!$U:$U,'Portefeuille SP2'!#REF!,1,'Portefeuille SP2'!$Q:$Q,"DECIDED",'Portefeuille SP2'!#REF!,"R",'Portefeuille SP2'!$D:$D,$A72,'Portefeuille SP2'!#REF!,"o",'Portefeuille SP2'!#REF!,"&lt;&gt;")</f>
        <v>#REF!</v>
      </c>
      <c r="AK72" s="126" t="e">
        <f>SUMIFS('Portefeuille SP2'!#REF!,'Portefeuille SP2'!#REF!,1,'Portefeuille SP2'!$Q:$Q,"DECIDED",'Portefeuille SP2'!#REF!,"R",'Portefeuille SP2'!$D:$D,$A72,'Portefeuille SP2'!#REF!,"o",'Portefeuille SP2'!#REF!,"&lt;&gt;")</f>
        <v>#REF!</v>
      </c>
      <c r="AL72" s="117" t="e">
        <f>SUMIFS('Portefeuille SP2'!#REF!,'Portefeuille SP2'!#REF!,1,'Portefeuille SP2'!$Q:$Q,"DECIDED",'Portefeuille SP2'!#REF!,"R",'Portefeuille SP2'!$D:$D,$A72,'Portefeuille SP2'!#REF!,"o",'Portefeuille SP2'!#REF!,"&lt;&gt;")</f>
        <v>#REF!</v>
      </c>
      <c r="AM72" s="117"/>
      <c r="AN72" t="s">
        <v>1318</v>
      </c>
      <c r="AO72" s="110" t="e">
        <f t="shared" ref="AO72" si="463">B81+B82+B83</f>
        <v>#REF!</v>
      </c>
      <c r="AP72" s="127" t="e">
        <f t="shared" ref="AP72" si="464">C81+C82+C83</f>
        <v>#REF!</v>
      </c>
      <c r="AQ72" s="124" t="e">
        <f t="shared" ref="AQ72" si="465">D81+D82+D83</f>
        <v>#REF!</v>
      </c>
      <c r="AR72" s="115" t="e">
        <f t="shared" ref="AR72" si="466">E81+E82+E83</f>
        <v>#REF!</v>
      </c>
      <c r="AS72" s="127" t="e">
        <f t="shared" ref="AS72" si="467">F81+F82+F83</f>
        <v>#REF!</v>
      </c>
      <c r="AT72" s="124" t="e">
        <f t="shared" ref="AT72" si="468">G81+G82+G83</f>
        <v>#REF!</v>
      </c>
      <c r="AU72" s="115" t="e">
        <f t="shared" si="312"/>
        <v>#REF!</v>
      </c>
      <c r="AV72" s="127" t="e">
        <f t="shared" si="281"/>
        <v>#REF!</v>
      </c>
      <c r="AW72" s="124" t="e">
        <f t="shared" si="282"/>
        <v>#REF!</v>
      </c>
      <c r="AX72" s="110" t="e">
        <f t="shared" ref="AX72" si="469">H81+H82+H83</f>
        <v>#REF!</v>
      </c>
      <c r="AY72" s="127" t="e">
        <f t="shared" ref="AY72" si="470">I81+I82+I83</f>
        <v>#REF!</v>
      </c>
      <c r="AZ72" s="124" t="e">
        <f t="shared" ref="AZ72" si="471">J81+J82+J83</f>
        <v>#REF!</v>
      </c>
      <c r="BA72" s="110" t="e">
        <f t="shared" ref="BA72" si="472">K81+K82+K83</f>
        <v>#REF!</v>
      </c>
      <c r="BB72" s="127" t="e">
        <f t="shared" ref="BB72" si="473">L81+L82+L83</f>
        <v>#REF!</v>
      </c>
      <c r="BC72" s="124" t="e">
        <f t="shared" ref="BC72" si="474">M81+M82+M83</f>
        <v>#REF!</v>
      </c>
      <c r="BD72" s="115" t="e">
        <f t="shared" si="319"/>
        <v>#REF!</v>
      </c>
      <c r="BE72" s="127" t="e">
        <f t="shared" si="289"/>
        <v>#REF!</v>
      </c>
      <c r="BF72" s="124" t="e">
        <f t="shared" si="290"/>
        <v>#REF!</v>
      </c>
      <c r="BH72" s="110" t="e">
        <f>U81+U82+U83</f>
        <v>#REF!</v>
      </c>
      <c r="BI72" s="127" t="e">
        <f t="shared" ref="BI72" si="475">V81+V82+V83</f>
        <v>#REF!</v>
      </c>
      <c r="BJ72" s="124" t="e">
        <f t="shared" ref="BJ72" si="476">W81+W82+W83</f>
        <v>#REF!</v>
      </c>
      <c r="BK72" s="110" t="e">
        <f t="shared" ref="BK72" si="477">X81+X82+X83</f>
        <v>#REF!</v>
      </c>
      <c r="BL72" s="127" t="e">
        <f t="shared" ref="BL72" si="478">Y81+Y82+Y83</f>
        <v>#REF!</v>
      </c>
      <c r="BM72" s="124" t="e">
        <f t="shared" ref="BM72" si="479">Z81+Z82+Z83</f>
        <v>#REF!</v>
      </c>
      <c r="BN72" s="115" t="e">
        <f t="shared" si="325"/>
        <v>#REF!</v>
      </c>
      <c r="BO72" s="127" t="e">
        <f t="shared" si="296"/>
        <v>#REF!</v>
      </c>
      <c r="BP72" s="124" t="e">
        <f t="shared" si="297"/>
        <v>#REF!</v>
      </c>
      <c r="BQ72" s="110" t="e">
        <f t="shared" ref="BQ72" si="480">AA81+AA82+AA83</f>
        <v>#REF!</v>
      </c>
      <c r="BR72" s="127" t="e">
        <f t="shared" ref="BR72" si="481">AB81+AB82+AB83</f>
        <v>#REF!</v>
      </c>
      <c r="BS72" s="124" t="e">
        <f t="shared" ref="BS72" si="482">AC81+AC82+AC83</f>
        <v>#REF!</v>
      </c>
      <c r="BT72" s="110" t="e">
        <f t="shared" ref="BT72" si="483">AD81+AD82+AD83</f>
        <v>#REF!</v>
      </c>
      <c r="BU72" s="127" t="e">
        <f t="shared" ref="BU72" si="484">AE81+AE82+AE83</f>
        <v>#REF!</v>
      </c>
      <c r="BV72" s="124" t="e">
        <f t="shared" ref="BV72" si="485">AF81+AF82+AF83</f>
        <v>#REF!</v>
      </c>
      <c r="BW72" s="110" t="e">
        <f t="shared" si="332"/>
        <v>#REF!</v>
      </c>
      <c r="BX72" s="127" t="e">
        <f t="shared" si="304"/>
        <v>#REF!</v>
      </c>
      <c r="BY72" s="124" t="e">
        <f t="shared" si="305"/>
        <v>#REF!</v>
      </c>
    </row>
    <row r="73" spans="1:77" outlineLevel="1">
      <c r="A73" t="s">
        <v>1319</v>
      </c>
      <c r="B73" s="139" t="e">
        <f>SUMIFS('Portefeuille SP2'!$U:$U,'Portefeuille SP2'!#REF!,1,'Portefeuille SP2'!$Q:$Q,"IN PROGRESS",'Portefeuille SP2'!#REF!,"G",'Portefeuille SP2'!$D:$D,$A73,'Portefeuille SP2'!#REF!,"S")</f>
        <v>#REF!</v>
      </c>
      <c r="C73" s="126" t="e">
        <f>SUMIFS('Portefeuille SP2'!#REF!,'Portefeuille SP2'!#REF!,1,'Portefeuille SP2'!$Q:$Q,"IN PROGRESS",'Portefeuille SP2'!#REF!,"G",'Portefeuille SP2'!$D:$D,$A73,'Portefeuille SP2'!#REF!,"S")</f>
        <v>#REF!</v>
      </c>
      <c r="D73" s="122" t="e">
        <f>SUMIFS('Portefeuille SP2'!#REF!,'Portefeuille SP2'!#REF!,1,'Portefeuille SP2'!$Q:$Q,"IN PROGRESS",'Portefeuille SP2'!#REF!,"G",'Portefeuille SP2'!$D:$D,$A73,'Portefeuille SP2'!#REF!,"S")</f>
        <v>#REF!</v>
      </c>
      <c r="E73" s="111" t="e">
        <f>SUMIFS('Portefeuille SP2'!$U:$U,'Portefeuille SP2'!#REF!,1,'Portefeuille SP2'!$Q:$Q,"IN PROGRESS",'Portefeuille SP2'!#REF!,"R",'Portefeuille SP2'!$D:$D,$A73,'Portefeuille SP2'!#REF!,"S")</f>
        <v>#REF!</v>
      </c>
      <c r="F73" s="126" t="e">
        <f>SUMIFS('Portefeuille SP2'!#REF!,'Portefeuille SP2'!#REF!,1,'Portefeuille SP2'!$Q:$Q,"IN PROGRESS",'Portefeuille SP2'!#REF!,"R",'Portefeuille SP2'!$D:$D,$A73,'Portefeuille SP2'!#REF!,"S")</f>
        <v>#REF!</v>
      </c>
      <c r="G73" s="117" t="e">
        <f>SUMIFS('Portefeuille SP2'!#REF!,'Portefeuille SP2'!#REF!,1,'Portefeuille SP2'!$Q:$Q,"IN PROGRESS",'Portefeuille SP2'!#REF!,"R",'Portefeuille SP2'!$D:$D,$A73,'Portefeuille SP2'!#REF!,"S")</f>
        <v>#REF!</v>
      </c>
      <c r="H73" s="111" t="e">
        <f>SUMIFS('Portefeuille SP2'!$U:$U,'Portefeuille SP2'!#REF!,1,'Portefeuille SP2'!$Q:$Q,"DECIDED",'Portefeuille SP2'!#REF!,"G",'Portefeuille SP2'!$D:$D,$A73,'Portefeuille SP2'!#REF!,"S",'Portefeuille SP2'!#REF!,"=")</f>
        <v>#REF!</v>
      </c>
      <c r="I73" s="117" t="e">
        <f>SUMIFS('Portefeuille SP2'!#REF!,'Portefeuille SP2'!#REF!,1,'Portefeuille SP2'!$Q:$Q,"DECIDED",'Portefeuille SP2'!#REF!,"G",'Portefeuille SP2'!$D:$D,$A73,'Portefeuille SP2'!#REF!,"S",'Portefeuille SP2'!#REF!,"=")</f>
        <v>#REF!</v>
      </c>
      <c r="J73" s="117" t="e">
        <f>SUMIFS('Portefeuille SP2'!#REF!,'Portefeuille SP2'!#REF!,1,'Portefeuille SP2'!$Q:$Q,"DECIDED",'Portefeuille SP2'!#REF!,"G",'Portefeuille SP2'!$D:$D,$A73,'Portefeuille SP2'!#REF!,"S",'Portefeuille SP2'!#REF!,"=")</f>
        <v>#REF!</v>
      </c>
      <c r="K73" s="111" t="e">
        <f>SUMIFS('Portefeuille SP2'!$U:$U,'Portefeuille SP2'!#REF!,1,'Portefeuille SP2'!$Q:$Q,"DECIDED",'Portefeuille SP2'!#REF!,"R",'Portefeuille SP2'!$D:$D,$A73,'Portefeuille SP2'!#REF!,"S",'Portefeuille SP2'!#REF!,"=")</f>
        <v>#REF!</v>
      </c>
      <c r="L73" s="126" t="e">
        <f>SUMIFS('Portefeuille SP2'!#REF!,'Portefeuille SP2'!#REF!,1,'Portefeuille SP2'!$Q:$Q,"DECIDED",'Portefeuille SP2'!#REF!,"R",'Portefeuille SP2'!$D:$D,$A73,'Portefeuille SP2'!#REF!,"S",'Portefeuille SP2'!#REF!,"=")</f>
        <v>#REF!</v>
      </c>
      <c r="M73" s="117" t="e">
        <f>SUMIFS('Portefeuille SP2'!#REF!,'Portefeuille SP2'!#REF!,1,'Portefeuille SP2'!$Q:$Q,"DECIDED",'Portefeuille SP2'!#REF!,"R",'Portefeuille SP2'!$D:$D,$A73,'Portefeuille SP2'!#REF!,"S",'Portefeuille SP2'!#REF!,"=")</f>
        <v>#REF!</v>
      </c>
      <c r="N73" s="111" t="e">
        <f>SUMIFS('Portefeuille SP2'!$U:$U,'Portefeuille SP2'!#REF!,1,'Portefeuille SP2'!$Q:$Q,"DECIDED",'Portefeuille SP2'!#REF!,"G",'Portefeuille SP2'!$D:$D,$A73,'Portefeuille SP2'!#REF!,"S",'Portefeuille SP2'!#REF!,"&lt;&gt;")</f>
        <v>#REF!</v>
      </c>
      <c r="O73" s="126" t="e">
        <f>SUMIFS('Portefeuille SP2'!#REF!,'Portefeuille SP2'!#REF!,1,'Portefeuille SP2'!$Q:$Q,"DECIDED",'Portefeuille SP2'!#REF!,"G",'Portefeuille SP2'!$D:$D,$A73,'Portefeuille SP2'!#REF!,"S",'Portefeuille SP2'!#REF!,"&lt;&gt;")</f>
        <v>#REF!</v>
      </c>
      <c r="P73" s="117" t="e">
        <f>SUMIFS('Portefeuille SP2'!#REF!,'Portefeuille SP2'!#REF!,1,'Portefeuille SP2'!$Q:$Q,"DECIDED",'Portefeuille SP2'!#REF!,"G",'Portefeuille SP2'!$D:$D,$A73,'Portefeuille SP2'!#REF!,"S",'Portefeuille SP2'!#REF!,"&lt;&gt;")</f>
        <v>#REF!</v>
      </c>
      <c r="Q73" s="111" t="e">
        <f>SUMIFS('Portefeuille SP2'!$U:$U,'Portefeuille SP2'!#REF!,1,'Portefeuille SP2'!$Q:$Q,"DECIDED",'Portefeuille SP2'!#REF!,"R",'Portefeuille SP2'!$D:$D,$A73,'Portefeuille SP2'!#REF!,"S",'Portefeuille SP2'!#REF!,"&lt;&gt;")</f>
        <v>#REF!</v>
      </c>
      <c r="R73" s="126" t="e">
        <f>SUMIFS('Portefeuille SP2'!#REF!,'Portefeuille SP2'!#REF!,1,'Portefeuille SP2'!$Q:$Q,"DECIDED",'Portefeuille SP2'!#REF!,"R",'Portefeuille SP2'!$D:$D,$A73,'Portefeuille SP2'!#REF!,"S",'Portefeuille SP2'!#REF!,"&lt;&gt;")</f>
        <v>#REF!</v>
      </c>
      <c r="S73" s="122" t="e">
        <f>SUMIFS('Portefeuille SP2'!#REF!,'Portefeuille SP2'!#REF!,1,'Portefeuille SP2'!$Q:$Q,"DECIDED",'Portefeuille SP2'!#REF!,"R",'Portefeuille SP2'!$D:$D,$A73,'Portefeuille SP2'!#REF!,"S",'Portefeuille SP2'!#REF!,"&lt;&gt;")</f>
        <v>#REF!</v>
      </c>
      <c r="U73" s="111" t="e">
        <f>SUMIFS('Portefeuille SP2'!$U:$U,'Portefeuille SP2'!#REF!,1,'Portefeuille SP2'!$Q:$Q,"IN PROGRESS",'Portefeuille SP2'!#REF!,"G",'Portefeuille SP2'!$D:$D,$A73,'Portefeuille SP2'!#REF!,"O")</f>
        <v>#REF!</v>
      </c>
      <c r="V73" s="126" t="e">
        <f>SUMIFS('Portefeuille SP2'!#REF!,'Portefeuille SP2'!#REF!,1,'Portefeuille SP2'!$Q:$Q,"IN PROGRESS",'Portefeuille SP2'!#REF!,"G",'Portefeuille SP2'!$D:$D,$A73,'Portefeuille SP2'!#REF!,"o")</f>
        <v>#REF!</v>
      </c>
      <c r="W73" s="117" t="e">
        <f>SUMIFS('Portefeuille SP2'!#REF!,'Portefeuille SP2'!#REF!,1,'Portefeuille SP2'!$Q:$Q,"IN PROGRESS",'Portefeuille SP2'!#REF!,"G",'Portefeuille SP2'!$D:$D,$A73,'Portefeuille SP2'!#REF!,"o")</f>
        <v>#REF!</v>
      </c>
      <c r="X73" s="111" t="e">
        <f>SUMIFS('Portefeuille SP2'!$U:$U,'Portefeuille SP2'!#REF!,1,'Portefeuille SP2'!$Q:$Q,"IN PROGRESS",'Portefeuille SP2'!#REF!,"R",'Portefeuille SP2'!$D:$D,$A73,'Portefeuille SP2'!#REF!,"o")</f>
        <v>#REF!</v>
      </c>
      <c r="Y73" s="126" t="e">
        <f>SUMIFS('Portefeuille SP2'!#REF!,'Portefeuille SP2'!#REF!,1,'Portefeuille SP2'!$Q:$Q,"IN PROGRESS",'Portefeuille SP2'!#REF!,"R",'Portefeuille SP2'!$D:$D,$A73,'Portefeuille SP2'!#REF!,"o")</f>
        <v>#REF!</v>
      </c>
      <c r="Z73" s="117" t="e">
        <f>SUMIFS('Portefeuille SP2'!#REF!,'Portefeuille SP2'!#REF!,1,'Portefeuille SP2'!$Q:$Q,"IN PROGRESS",'Portefeuille SP2'!#REF!,"R",'Portefeuille SP2'!$D:$D,$A73,'Portefeuille SP2'!#REF!,"o")</f>
        <v>#REF!</v>
      </c>
      <c r="AA73" s="111" t="e">
        <f>SUMIFS('Portefeuille SP2'!$U:$U,'Portefeuille SP2'!#REF!,1,'Portefeuille SP2'!$Q:$Q,"DECIDED",'Portefeuille SP2'!#REF!,"G",'Portefeuille SP2'!$D:$D,$A73,'Portefeuille SP2'!#REF!,"o",'Portefeuille SP2'!#REF!,"=")</f>
        <v>#REF!</v>
      </c>
      <c r="AB73" s="126" t="e">
        <f>SUMIFS('Portefeuille SP2'!#REF!,'Portefeuille SP2'!#REF!,1,'Portefeuille SP2'!$Q:$Q,"DECIDED",'Portefeuille SP2'!#REF!,"G",'Portefeuille SP2'!$D:$D,$A73,'Portefeuille SP2'!#REF!,"o",'Portefeuille SP2'!#REF!,"=")</f>
        <v>#REF!</v>
      </c>
      <c r="AC73" s="117" t="e">
        <f>SUMIFS('Portefeuille SP2'!#REF!,'Portefeuille SP2'!#REF!,1,'Portefeuille SP2'!$Q:$Q,"DECIDED",'Portefeuille SP2'!#REF!,"G",'Portefeuille SP2'!$D:$D,$A73,'Portefeuille SP2'!#REF!,"o",'Portefeuille SP2'!#REF!,"=")</f>
        <v>#REF!</v>
      </c>
      <c r="AD73" s="111" t="e">
        <f>SUMIFS('Portefeuille SP2'!$U:$U,'Portefeuille SP2'!#REF!,1,'Portefeuille SP2'!$Q:$Q,"DECIDED",'Portefeuille SP2'!#REF!,"R",'Portefeuille SP2'!$D:$D,$A73,'Portefeuille SP2'!#REF!,"o",'Portefeuille SP2'!#REF!,"=")</f>
        <v>#REF!</v>
      </c>
      <c r="AE73" s="126" t="e">
        <f>SUMIFS('Portefeuille SP2'!#REF!,'Portefeuille SP2'!#REF!,1,'Portefeuille SP2'!$Q:$Q,"DECIDED",'Portefeuille SP2'!#REF!,"R",'Portefeuille SP2'!$D:$D,$A73,'Portefeuille SP2'!#REF!,"o",'Portefeuille SP2'!#REF!,"=")</f>
        <v>#REF!</v>
      </c>
      <c r="AF73" s="117" t="e">
        <f>SUMIFS('Portefeuille SP2'!#REF!,'Portefeuille SP2'!#REF!,1,'Portefeuille SP2'!$Q:$Q,"DECIDED",'Portefeuille SP2'!#REF!,"R",'Portefeuille SP2'!$D:$D,$A73,'Portefeuille SP2'!#REF!,"o",'Portefeuille SP2'!#REF!,"=")</f>
        <v>#REF!</v>
      </c>
      <c r="AG73" s="111" t="e">
        <f>SUMIFS('Portefeuille SP2'!$U:$U,'Portefeuille SP2'!#REF!,1,'Portefeuille SP2'!$Q:$Q,"DECIDED",'Portefeuille SP2'!#REF!,"G",'Portefeuille SP2'!$D:$D,$A73,'Portefeuille SP2'!#REF!,"o",'Portefeuille SP2'!#REF!,"&lt;&gt;")</f>
        <v>#REF!</v>
      </c>
      <c r="AH73" s="126" t="e">
        <f>SUMIFS('Portefeuille SP2'!#REF!,'Portefeuille SP2'!#REF!,1,'Portefeuille SP2'!$Q:$Q,"DECIDED",'Portefeuille SP2'!#REF!,"G",'Portefeuille SP2'!$D:$D,$A73,'Portefeuille SP2'!#REF!,"o",'Portefeuille SP2'!#REF!,"&lt;&gt;")</f>
        <v>#REF!</v>
      </c>
      <c r="AI73" s="117" t="e">
        <f>SUMIFS('Portefeuille SP2'!#REF!,'Portefeuille SP2'!#REF!,1,'Portefeuille SP2'!$Q:$Q,"DECIDED",'Portefeuille SP2'!#REF!,"G",'Portefeuille SP2'!$D:$D,$A73,'Portefeuille SP2'!#REF!,"o",'Portefeuille SP2'!#REF!,"&lt;&gt;")</f>
        <v>#REF!</v>
      </c>
      <c r="AJ73" s="111" t="e">
        <f>SUMIFS('Portefeuille SP2'!$U:$U,'Portefeuille SP2'!#REF!,1,'Portefeuille SP2'!$Q:$Q,"DECIDED",'Portefeuille SP2'!#REF!,"R",'Portefeuille SP2'!$D:$D,$A73,'Portefeuille SP2'!#REF!,"o",'Portefeuille SP2'!#REF!,"&lt;&gt;")</f>
        <v>#REF!</v>
      </c>
      <c r="AK73" s="126" t="e">
        <f>SUMIFS('Portefeuille SP2'!#REF!,'Portefeuille SP2'!#REF!,1,'Portefeuille SP2'!$Q:$Q,"DECIDED",'Portefeuille SP2'!#REF!,"R",'Portefeuille SP2'!$D:$D,$A73,'Portefeuille SP2'!#REF!,"o",'Portefeuille SP2'!#REF!,"&lt;&gt;")</f>
        <v>#REF!</v>
      </c>
      <c r="AL73" s="117" t="e">
        <f>SUMIFS('Portefeuille SP2'!#REF!,'Portefeuille SP2'!#REF!,1,'Portefeuille SP2'!$Q:$Q,"DECIDED",'Portefeuille SP2'!#REF!,"R",'Portefeuille SP2'!$D:$D,$A73,'Portefeuille SP2'!#REF!,"o",'Portefeuille SP2'!#REF!,"&lt;&gt;")</f>
        <v>#REF!</v>
      </c>
      <c r="AM73" s="117"/>
      <c r="AR73" s="112"/>
      <c r="AS73" s="117"/>
      <c r="AT73" s="117"/>
      <c r="AU73" s="112"/>
      <c r="AV73" s="130"/>
      <c r="AW73" s="130"/>
      <c r="BD73" s="112"/>
      <c r="BH73" s="113"/>
      <c r="BI73" s="128"/>
      <c r="BJ73" s="128"/>
      <c r="BK73" s="112"/>
      <c r="BL73" s="117"/>
      <c r="BM73" s="117"/>
      <c r="BN73" s="112"/>
      <c r="BO73" s="130"/>
      <c r="BP73" s="130"/>
      <c r="BQ73" s="113"/>
      <c r="BR73" s="128"/>
      <c r="BS73" s="128"/>
      <c r="BT73" s="113"/>
      <c r="BU73" s="128"/>
      <c r="BV73" s="128"/>
      <c r="BW73" s="112"/>
      <c r="BX73" s="130"/>
      <c r="BY73" s="130"/>
    </row>
    <row r="74" spans="1:77" outlineLevel="1">
      <c r="A74" t="s">
        <v>150</v>
      </c>
      <c r="B74" s="139" t="e">
        <f>SUMIFS('Portefeuille SP2'!$U:$U,'Portefeuille SP2'!#REF!,1,'Portefeuille SP2'!$Q:$Q,"IN PROGRESS",'Portefeuille SP2'!#REF!,"G",'Portefeuille SP2'!$D:$D,$A74,'Portefeuille SP2'!#REF!,"S")</f>
        <v>#REF!</v>
      </c>
      <c r="C74" s="126" t="e">
        <f>SUMIFS('Portefeuille SP2'!#REF!,'Portefeuille SP2'!#REF!,1,'Portefeuille SP2'!$Q:$Q,"IN PROGRESS",'Portefeuille SP2'!#REF!,"G",'Portefeuille SP2'!$D:$D,$A74,'Portefeuille SP2'!#REF!,"S")</f>
        <v>#REF!</v>
      </c>
      <c r="D74" s="122" t="e">
        <f>SUMIFS('Portefeuille SP2'!#REF!,'Portefeuille SP2'!#REF!,1,'Portefeuille SP2'!$Q:$Q,"IN PROGRESS",'Portefeuille SP2'!#REF!,"G",'Portefeuille SP2'!$D:$D,$A74,'Portefeuille SP2'!#REF!,"S")</f>
        <v>#REF!</v>
      </c>
      <c r="E74" s="111" t="e">
        <f>SUMIFS('Portefeuille SP2'!$U:$U,'Portefeuille SP2'!#REF!,1,'Portefeuille SP2'!$Q:$Q,"IN PROGRESS",'Portefeuille SP2'!#REF!,"R",'Portefeuille SP2'!$D:$D,$A74,'Portefeuille SP2'!#REF!,"S")</f>
        <v>#REF!</v>
      </c>
      <c r="F74" s="126" t="e">
        <f>SUMIFS('Portefeuille SP2'!#REF!,'Portefeuille SP2'!#REF!,1,'Portefeuille SP2'!$Q:$Q,"IN PROGRESS",'Portefeuille SP2'!#REF!,"R",'Portefeuille SP2'!$D:$D,$A74,'Portefeuille SP2'!#REF!,"S")</f>
        <v>#REF!</v>
      </c>
      <c r="G74" s="117" t="e">
        <f>SUMIFS('Portefeuille SP2'!#REF!,'Portefeuille SP2'!#REF!,1,'Portefeuille SP2'!$Q:$Q,"IN PROGRESS",'Portefeuille SP2'!#REF!,"R",'Portefeuille SP2'!$D:$D,$A74,'Portefeuille SP2'!#REF!,"S")</f>
        <v>#REF!</v>
      </c>
      <c r="H74" s="111" t="e">
        <f>SUMIFS('Portefeuille SP2'!$U:$U,'Portefeuille SP2'!#REF!,1,'Portefeuille SP2'!$Q:$Q,"DECIDED",'Portefeuille SP2'!#REF!,"G",'Portefeuille SP2'!$D:$D,$A74,'Portefeuille SP2'!#REF!,"S",'Portefeuille SP2'!#REF!,"=")</f>
        <v>#REF!</v>
      </c>
      <c r="I74" s="117" t="e">
        <f>SUMIFS('Portefeuille SP2'!#REF!,'Portefeuille SP2'!#REF!,1,'Portefeuille SP2'!$Q:$Q,"DECIDED",'Portefeuille SP2'!#REF!,"G",'Portefeuille SP2'!$D:$D,$A74,'Portefeuille SP2'!#REF!,"S",'Portefeuille SP2'!#REF!,"=")</f>
        <v>#REF!</v>
      </c>
      <c r="J74" s="117" t="e">
        <f>SUMIFS('Portefeuille SP2'!#REF!,'Portefeuille SP2'!#REF!,1,'Portefeuille SP2'!$Q:$Q,"DECIDED",'Portefeuille SP2'!#REF!,"G",'Portefeuille SP2'!$D:$D,$A74,'Portefeuille SP2'!#REF!,"S",'Portefeuille SP2'!#REF!,"=")</f>
        <v>#REF!</v>
      </c>
      <c r="K74" s="111" t="e">
        <f>SUMIFS('Portefeuille SP2'!$U:$U,'Portefeuille SP2'!#REF!,1,'Portefeuille SP2'!$Q:$Q,"DECIDED",'Portefeuille SP2'!#REF!,"R",'Portefeuille SP2'!$D:$D,$A74,'Portefeuille SP2'!#REF!,"S",'Portefeuille SP2'!#REF!,"=")</f>
        <v>#REF!</v>
      </c>
      <c r="L74" s="126" t="e">
        <f>SUMIFS('Portefeuille SP2'!#REF!,'Portefeuille SP2'!#REF!,1,'Portefeuille SP2'!$Q:$Q,"DECIDED",'Portefeuille SP2'!#REF!,"R",'Portefeuille SP2'!$D:$D,$A74,'Portefeuille SP2'!#REF!,"S",'Portefeuille SP2'!#REF!,"=")</f>
        <v>#REF!</v>
      </c>
      <c r="M74" s="117" t="e">
        <f>SUMIFS('Portefeuille SP2'!#REF!,'Portefeuille SP2'!#REF!,1,'Portefeuille SP2'!$Q:$Q,"DECIDED",'Portefeuille SP2'!#REF!,"R",'Portefeuille SP2'!$D:$D,$A74,'Portefeuille SP2'!#REF!,"S",'Portefeuille SP2'!#REF!,"=")</f>
        <v>#REF!</v>
      </c>
      <c r="N74" s="111" t="e">
        <f>SUMIFS('Portefeuille SP2'!$U:$U,'Portefeuille SP2'!#REF!,1,'Portefeuille SP2'!$Q:$Q,"DECIDED",'Portefeuille SP2'!#REF!,"G",'Portefeuille SP2'!$D:$D,$A74,'Portefeuille SP2'!#REF!,"S",'Portefeuille SP2'!#REF!,"&lt;&gt;")</f>
        <v>#REF!</v>
      </c>
      <c r="O74" s="126" t="e">
        <f>SUMIFS('Portefeuille SP2'!#REF!,'Portefeuille SP2'!#REF!,1,'Portefeuille SP2'!$Q:$Q,"DECIDED",'Portefeuille SP2'!#REF!,"G",'Portefeuille SP2'!$D:$D,$A74,'Portefeuille SP2'!#REF!,"S",'Portefeuille SP2'!#REF!,"&lt;&gt;")</f>
        <v>#REF!</v>
      </c>
      <c r="P74" s="117" t="e">
        <f>SUMIFS('Portefeuille SP2'!#REF!,'Portefeuille SP2'!#REF!,1,'Portefeuille SP2'!$Q:$Q,"DECIDED",'Portefeuille SP2'!#REF!,"G",'Portefeuille SP2'!$D:$D,$A74,'Portefeuille SP2'!#REF!,"S",'Portefeuille SP2'!#REF!,"&lt;&gt;")</f>
        <v>#REF!</v>
      </c>
      <c r="Q74" s="111" t="e">
        <f>SUMIFS('Portefeuille SP2'!$U:$U,'Portefeuille SP2'!#REF!,1,'Portefeuille SP2'!$Q:$Q,"DECIDED",'Portefeuille SP2'!#REF!,"R",'Portefeuille SP2'!$D:$D,$A74,'Portefeuille SP2'!#REF!,"S",'Portefeuille SP2'!#REF!,"&lt;&gt;")</f>
        <v>#REF!</v>
      </c>
      <c r="R74" s="126" t="e">
        <f>SUMIFS('Portefeuille SP2'!#REF!,'Portefeuille SP2'!#REF!,1,'Portefeuille SP2'!$Q:$Q,"DECIDED",'Portefeuille SP2'!#REF!,"R",'Portefeuille SP2'!$D:$D,$A74,'Portefeuille SP2'!#REF!,"S",'Portefeuille SP2'!#REF!,"&lt;&gt;")</f>
        <v>#REF!</v>
      </c>
      <c r="S74" s="122" t="e">
        <f>SUMIFS('Portefeuille SP2'!#REF!,'Portefeuille SP2'!#REF!,1,'Portefeuille SP2'!$Q:$Q,"DECIDED",'Portefeuille SP2'!#REF!,"R",'Portefeuille SP2'!$D:$D,$A74,'Portefeuille SP2'!#REF!,"S",'Portefeuille SP2'!#REF!,"&lt;&gt;")</f>
        <v>#REF!</v>
      </c>
      <c r="U74" s="111" t="e">
        <f>SUMIFS('Portefeuille SP2'!$U:$U,'Portefeuille SP2'!#REF!,1,'Portefeuille SP2'!$Q:$Q,"IN PROGRESS",'Portefeuille SP2'!#REF!,"G",'Portefeuille SP2'!$D:$D,$A74,'Portefeuille SP2'!#REF!,"O")</f>
        <v>#REF!</v>
      </c>
      <c r="V74" s="126" t="e">
        <f>SUMIFS('Portefeuille SP2'!#REF!,'Portefeuille SP2'!#REF!,1,'Portefeuille SP2'!$Q:$Q,"IN PROGRESS",'Portefeuille SP2'!#REF!,"G",'Portefeuille SP2'!$D:$D,$A74,'Portefeuille SP2'!#REF!,"o")</f>
        <v>#REF!</v>
      </c>
      <c r="W74" s="117" t="e">
        <f>SUMIFS('Portefeuille SP2'!#REF!,'Portefeuille SP2'!#REF!,1,'Portefeuille SP2'!$Q:$Q,"IN PROGRESS",'Portefeuille SP2'!#REF!,"G",'Portefeuille SP2'!$D:$D,$A74,'Portefeuille SP2'!#REF!,"o")</f>
        <v>#REF!</v>
      </c>
      <c r="X74" s="111" t="e">
        <f>SUMIFS('Portefeuille SP2'!$U:$U,'Portefeuille SP2'!#REF!,1,'Portefeuille SP2'!$Q:$Q,"IN PROGRESS",'Portefeuille SP2'!#REF!,"R",'Portefeuille SP2'!$D:$D,$A74,'Portefeuille SP2'!#REF!,"o")</f>
        <v>#REF!</v>
      </c>
      <c r="Y74" s="126" t="e">
        <f>SUMIFS('Portefeuille SP2'!#REF!,'Portefeuille SP2'!#REF!,1,'Portefeuille SP2'!$Q:$Q,"IN PROGRESS",'Portefeuille SP2'!#REF!,"R",'Portefeuille SP2'!$D:$D,$A74,'Portefeuille SP2'!#REF!,"o")</f>
        <v>#REF!</v>
      </c>
      <c r="Z74" s="117" t="e">
        <f>SUMIFS('Portefeuille SP2'!#REF!,'Portefeuille SP2'!#REF!,1,'Portefeuille SP2'!$Q:$Q,"IN PROGRESS",'Portefeuille SP2'!#REF!,"R",'Portefeuille SP2'!$D:$D,$A74,'Portefeuille SP2'!#REF!,"o")</f>
        <v>#REF!</v>
      </c>
      <c r="AA74" s="111" t="e">
        <f>SUMIFS('Portefeuille SP2'!$U:$U,'Portefeuille SP2'!#REF!,1,'Portefeuille SP2'!$Q:$Q,"DECIDED",'Portefeuille SP2'!#REF!,"G",'Portefeuille SP2'!$D:$D,$A74,'Portefeuille SP2'!#REF!,"o",'Portefeuille SP2'!#REF!,"=")</f>
        <v>#REF!</v>
      </c>
      <c r="AB74" s="126" t="e">
        <f>SUMIFS('Portefeuille SP2'!#REF!,'Portefeuille SP2'!#REF!,1,'Portefeuille SP2'!$Q:$Q,"DECIDED",'Portefeuille SP2'!#REF!,"G",'Portefeuille SP2'!$D:$D,$A74,'Portefeuille SP2'!#REF!,"o",'Portefeuille SP2'!#REF!,"=")</f>
        <v>#REF!</v>
      </c>
      <c r="AC74" s="117" t="e">
        <f>SUMIFS('Portefeuille SP2'!#REF!,'Portefeuille SP2'!#REF!,1,'Portefeuille SP2'!$Q:$Q,"DECIDED",'Portefeuille SP2'!#REF!,"G",'Portefeuille SP2'!$D:$D,$A74,'Portefeuille SP2'!#REF!,"o",'Portefeuille SP2'!#REF!,"=")</f>
        <v>#REF!</v>
      </c>
      <c r="AD74" s="111" t="e">
        <f>SUMIFS('Portefeuille SP2'!$U:$U,'Portefeuille SP2'!#REF!,1,'Portefeuille SP2'!$Q:$Q,"DECIDED",'Portefeuille SP2'!#REF!,"R",'Portefeuille SP2'!$D:$D,$A74,'Portefeuille SP2'!#REF!,"o",'Portefeuille SP2'!#REF!,"=")</f>
        <v>#REF!</v>
      </c>
      <c r="AE74" s="126" t="e">
        <f>SUMIFS('Portefeuille SP2'!#REF!,'Portefeuille SP2'!#REF!,1,'Portefeuille SP2'!$Q:$Q,"DECIDED",'Portefeuille SP2'!#REF!,"R",'Portefeuille SP2'!$D:$D,$A74,'Portefeuille SP2'!#REF!,"o",'Portefeuille SP2'!#REF!,"=")</f>
        <v>#REF!</v>
      </c>
      <c r="AF74" s="117" t="e">
        <f>SUMIFS('Portefeuille SP2'!#REF!,'Portefeuille SP2'!#REF!,1,'Portefeuille SP2'!$Q:$Q,"DECIDED",'Portefeuille SP2'!#REF!,"R",'Portefeuille SP2'!$D:$D,$A74,'Portefeuille SP2'!#REF!,"o",'Portefeuille SP2'!#REF!,"=")</f>
        <v>#REF!</v>
      </c>
      <c r="AG74" s="111" t="e">
        <f>SUMIFS('Portefeuille SP2'!$U:$U,'Portefeuille SP2'!#REF!,1,'Portefeuille SP2'!$Q:$Q,"DECIDED",'Portefeuille SP2'!#REF!,"G",'Portefeuille SP2'!$D:$D,$A74,'Portefeuille SP2'!#REF!,"o",'Portefeuille SP2'!#REF!,"&lt;&gt;")</f>
        <v>#REF!</v>
      </c>
      <c r="AH74" s="126" t="e">
        <f>SUMIFS('Portefeuille SP2'!#REF!,'Portefeuille SP2'!#REF!,1,'Portefeuille SP2'!$Q:$Q,"DECIDED",'Portefeuille SP2'!#REF!,"G",'Portefeuille SP2'!$D:$D,$A74,'Portefeuille SP2'!#REF!,"o",'Portefeuille SP2'!#REF!,"&lt;&gt;")</f>
        <v>#REF!</v>
      </c>
      <c r="AI74" s="117" t="e">
        <f>SUMIFS('Portefeuille SP2'!#REF!,'Portefeuille SP2'!#REF!,1,'Portefeuille SP2'!$Q:$Q,"DECIDED",'Portefeuille SP2'!#REF!,"G",'Portefeuille SP2'!$D:$D,$A74,'Portefeuille SP2'!#REF!,"o",'Portefeuille SP2'!#REF!,"&lt;&gt;")</f>
        <v>#REF!</v>
      </c>
      <c r="AJ74" s="111" t="e">
        <f>SUMIFS('Portefeuille SP2'!$U:$U,'Portefeuille SP2'!#REF!,1,'Portefeuille SP2'!$Q:$Q,"DECIDED",'Portefeuille SP2'!#REF!,"R",'Portefeuille SP2'!$D:$D,$A74,'Portefeuille SP2'!#REF!,"o",'Portefeuille SP2'!#REF!,"&lt;&gt;")</f>
        <v>#REF!</v>
      </c>
      <c r="AK74" s="126" t="e">
        <f>SUMIFS('Portefeuille SP2'!#REF!,'Portefeuille SP2'!#REF!,1,'Portefeuille SP2'!$Q:$Q,"DECIDED",'Portefeuille SP2'!#REF!,"R",'Portefeuille SP2'!$D:$D,$A74,'Portefeuille SP2'!#REF!,"o",'Portefeuille SP2'!#REF!,"&lt;&gt;")</f>
        <v>#REF!</v>
      </c>
      <c r="AL74" s="117" t="e">
        <f>SUMIFS('Portefeuille SP2'!#REF!,'Portefeuille SP2'!#REF!,1,'Portefeuille SP2'!$Q:$Q,"DECIDED",'Portefeuille SP2'!#REF!,"R",'Portefeuille SP2'!$D:$D,$A74,'Portefeuille SP2'!#REF!,"o",'Portefeuille SP2'!#REF!,"&lt;&gt;")</f>
        <v>#REF!</v>
      </c>
      <c r="AM74" s="117"/>
      <c r="AO74" s="114" t="e">
        <f>SUM(AO64:AO73)</f>
        <v>#REF!</v>
      </c>
      <c r="AP74" s="117" t="e">
        <f t="shared" ref="AP74:AQ74" si="486">SUM(AP64:AP73)</f>
        <v>#REF!</v>
      </c>
      <c r="AQ74" s="117" t="e">
        <f t="shared" si="486"/>
        <v>#REF!</v>
      </c>
      <c r="AR74" s="114" t="e">
        <f>SUM(AR64:AR73)</f>
        <v>#REF!</v>
      </c>
      <c r="AS74" s="117" t="e">
        <f t="shared" ref="AS74:BF74" si="487">SUM(AS64:AS73)</f>
        <v>#REF!</v>
      </c>
      <c r="AT74" s="117" t="e">
        <f t="shared" si="487"/>
        <v>#REF!</v>
      </c>
      <c r="AU74" s="114" t="e">
        <f t="shared" si="487"/>
        <v>#REF!</v>
      </c>
      <c r="AV74" s="117" t="e">
        <f t="shared" si="487"/>
        <v>#REF!</v>
      </c>
      <c r="AW74" s="117" t="e">
        <f t="shared" si="487"/>
        <v>#REF!</v>
      </c>
      <c r="AX74" s="114" t="e">
        <f t="shared" si="487"/>
        <v>#REF!</v>
      </c>
      <c r="AY74" s="117" t="e">
        <f t="shared" si="487"/>
        <v>#REF!</v>
      </c>
      <c r="AZ74" s="117" t="e">
        <f t="shared" si="487"/>
        <v>#REF!</v>
      </c>
      <c r="BA74" s="114" t="e">
        <f t="shared" si="487"/>
        <v>#REF!</v>
      </c>
      <c r="BB74" s="117" t="e">
        <f t="shared" si="487"/>
        <v>#REF!</v>
      </c>
      <c r="BC74" s="117" t="e">
        <f t="shared" si="487"/>
        <v>#REF!</v>
      </c>
      <c r="BD74" s="114" t="e">
        <f t="shared" si="487"/>
        <v>#REF!</v>
      </c>
      <c r="BE74" s="117" t="e">
        <f t="shared" si="487"/>
        <v>#REF!</v>
      </c>
      <c r="BF74" s="117" t="e">
        <f t="shared" si="487"/>
        <v>#REF!</v>
      </c>
      <c r="BH74" s="114" t="e">
        <f>SUM(BH64:BH73)</f>
        <v>#REF!</v>
      </c>
      <c r="BI74" s="117" t="e">
        <f t="shared" ref="BI74:BJ74" si="488">SUM(BI64:BI73)</f>
        <v>#REF!</v>
      </c>
      <c r="BJ74" s="117" t="e">
        <f t="shared" si="488"/>
        <v>#REF!</v>
      </c>
      <c r="BK74" s="114" t="e">
        <f>SUM(BK64:BK73)</f>
        <v>#REF!</v>
      </c>
      <c r="BL74" s="117" t="e">
        <f t="shared" ref="BL74:BY74" si="489">SUM(BL64:BL73)</f>
        <v>#REF!</v>
      </c>
      <c r="BM74" s="117" t="e">
        <f t="shared" si="489"/>
        <v>#REF!</v>
      </c>
      <c r="BN74" s="114" t="e">
        <f t="shared" si="489"/>
        <v>#REF!</v>
      </c>
      <c r="BO74" s="117" t="e">
        <f t="shared" si="489"/>
        <v>#REF!</v>
      </c>
      <c r="BP74" s="117" t="e">
        <f t="shared" si="489"/>
        <v>#REF!</v>
      </c>
      <c r="BQ74" s="114" t="e">
        <f t="shared" si="489"/>
        <v>#REF!</v>
      </c>
      <c r="BR74" s="117" t="e">
        <f t="shared" si="489"/>
        <v>#REF!</v>
      </c>
      <c r="BS74" s="117" t="e">
        <f t="shared" si="489"/>
        <v>#REF!</v>
      </c>
      <c r="BT74" s="114" t="e">
        <f t="shared" si="489"/>
        <v>#REF!</v>
      </c>
      <c r="BU74" s="117" t="e">
        <f t="shared" si="489"/>
        <v>#REF!</v>
      </c>
      <c r="BV74" s="117" t="e">
        <f t="shared" si="489"/>
        <v>#REF!</v>
      </c>
      <c r="BW74" s="114" t="e">
        <f t="shared" si="489"/>
        <v>#REF!</v>
      </c>
      <c r="BX74" s="117" t="e">
        <f t="shared" si="489"/>
        <v>#REF!</v>
      </c>
      <c r="BY74" s="117" t="e">
        <f t="shared" si="489"/>
        <v>#REF!</v>
      </c>
    </row>
    <row r="75" spans="1:77" outlineLevel="1">
      <c r="A75" t="s">
        <v>1320</v>
      </c>
      <c r="B75" s="139" t="e">
        <f>SUMIFS('Portefeuille SP2'!$U:$U,'Portefeuille SP2'!#REF!,1,'Portefeuille SP2'!$Q:$Q,"IN PROGRESS",'Portefeuille SP2'!#REF!,"G",'Portefeuille SP2'!$D:$D,$A75,'Portefeuille SP2'!#REF!,"S")</f>
        <v>#REF!</v>
      </c>
      <c r="C75" s="126" t="e">
        <f>SUMIFS('Portefeuille SP2'!#REF!,'Portefeuille SP2'!#REF!,1,'Portefeuille SP2'!$Q:$Q,"IN PROGRESS",'Portefeuille SP2'!#REF!,"G",'Portefeuille SP2'!$D:$D,$A75,'Portefeuille SP2'!#REF!,"S")</f>
        <v>#REF!</v>
      </c>
      <c r="D75" s="122" t="e">
        <f>SUMIFS('Portefeuille SP2'!#REF!,'Portefeuille SP2'!#REF!,1,'Portefeuille SP2'!$Q:$Q,"IN PROGRESS",'Portefeuille SP2'!#REF!,"G",'Portefeuille SP2'!$D:$D,$A75,'Portefeuille SP2'!#REF!,"S")</f>
        <v>#REF!</v>
      </c>
      <c r="E75" s="111" t="e">
        <f>SUMIFS('Portefeuille SP2'!$U:$U,'Portefeuille SP2'!#REF!,1,'Portefeuille SP2'!$Q:$Q,"IN PROGRESS",'Portefeuille SP2'!#REF!,"R",'Portefeuille SP2'!$D:$D,$A75,'Portefeuille SP2'!#REF!,"S")</f>
        <v>#REF!</v>
      </c>
      <c r="F75" s="126" t="e">
        <f>SUMIFS('Portefeuille SP2'!#REF!,'Portefeuille SP2'!#REF!,1,'Portefeuille SP2'!$Q:$Q,"IN PROGRESS",'Portefeuille SP2'!#REF!,"R",'Portefeuille SP2'!$D:$D,$A75,'Portefeuille SP2'!#REF!,"S")</f>
        <v>#REF!</v>
      </c>
      <c r="G75" s="117" t="e">
        <f>SUMIFS('Portefeuille SP2'!#REF!,'Portefeuille SP2'!#REF!,1,'Portefeuille SP2'!$Q:$Q,"IN PROGRESS",'Portefeuille SP2'!#REF!,"R",'Portefeuille SP2'!$D:$D,$A75,'Portefeuille SP2'!#REF!,"S")</f>
        <v>#REF!</v>
      </c>
      <c r="H75" s="111" t="e">
        <f>SUMIFS('Portefeuille SP2'!$U:$U,'Portefeuille SP2'!#REF!,1,'Portefeuille SP2'!$Q:$Q,"DECIDED",'Portefeuille SP2'!#REF!,"G",'Portefeuille SP2'!$D:$D,$A75,'Portefeuille SP2'!#REF!,"S",'Portefeuille SP2'!#REF!,"=")</f>
        <v>#REF!</v>
      </c>
      <c r="I75" s="117" t="e">
        <f>SUMIFS('Portefeuille SP2'!#REF!,'Portefeuille SP2'!#REF!,1,'Portefeuille SP2'!$Q:$Q,"DECIDED",'Portefeuille SP2'!#REF!,"G",'Portefeuille SP2'!$D:$D,$A75,'Portefeuille SP2'!#REF!,"S",'Portefeuille SP2'!#REF!,"=")</f>
        <v>#REF!</v>
      </c>
      <c r="J75" s="117" t="e">
        <f>SUMIFS('Portefeuille SP2'!#REF!,'Portefeuille SP2'!#REF!,1,'Portefeuille SP2'!$Q:$Q,"DECIDED",'Portefeuille SP2'!#REF!,"G",'Portefeuille SP2'!$D:$D,$A75,'Portefeuille SP2'!#REF!,"S",'Portefeuille SP2'!#REF!,"=")</f>
        <v>#REF!</v>
      </c>
      <c r="K75" s="111" t="e">
        <f>SUMIFS('Portefeuille SP2'!$U:$U,'Portefeuille SP2'!#REF!,1,'Portefeuille SP2'!$Q:$Q,"DECIDED",'Portefeuille SP2'!#REF!,"R",'Portefeuille SP2'!$D:$D,$A75,'Portefeuille SP2'!#REF!,"S",'Portefeuille SP2'!#REF!,"=")</f>
        <v>#REF!</v>
      </c>
      <c r="L75" s="126" t="e">
        <f>SUMIFS('Portefeuille SP2'!#REF!,'Portefeuille SP2'!#REF!,1,'Portefeuille SP2'!$Q:$Q,"DECIDED",'Portefeuille SP2'!#REF!,"R",'Portefeuille SP2'!$D:$D,$A75,'Portefeuille SP2'!#REF!,"S",'Portefeuille SP2'!#REF!,"=")</f>
        <v>#REF!</v>
      </c>
      <c r="M75" s="117" t="e">
        <f>SUMIFS('Portefeuille SP2'!#REF!,'Portefeuille SP2'!#REF!,1,'Portefeuille SP2'!$Q:$Q,"DECIDED",'Portefeuille SP2'!#REF!,"R",'Portefeuille SP2'!$D:$D,$A75,'Portefeuille SP2'!#REF!,"S",'Portefeuille SP2'!#REF!,"=")</f>
        <v>#REF!</v>
      </c>
      <c r="N75" s="111" t="e">
        <f>SUMIFS('Portefeuille SP2'!$U:$U,'Portefeuille SP2'!#REF!,1,'Portefeuille SP2'!$Q:$Q,"DECIDED",'Portefeuille SP2'!#REF!,"G",'Portefeuille SP2'!$D:$D,$A75,'Portefeuille SP2'!#REF!,"S",'Portefeuille SP2'!#REF!,"&lt;&gt;")</f>
        <v>#REF!</v>
      </c>
      <c r="O75" s="126" t="e">
        <f>SUMIFS('Portefeuille SP2'!#REF!,'Portefeuille SP2'!#REF!,1,'Portefeuille SP2'!$Q:$Q,"DECIDED",'Portefeuille SP2'!#REF!,"G",'Portefeuille SP2'!$D:$D,$A75,'Portefeuille SP2'!#REF!,"S",'Portefeuille SP2'!#REF!,"&lt;&gt;")</f>
        <v>#REF!</v>
      </c>
      <c r="P75" s="117" t="e">
        <f>SUMIFS('Portefeuille SP2'!#REF!,'Portefeuille SP2'!#REF!,1,'Portefeuille SP2'!$Q:$Q,"DECIDED",'Portefeuille SP2'!#REF!,"G",'Portefeuille SP2'!$D:$D,$A75,'Portefeuille SP2'!#REF!,"S",'Portefeuille SP2'!#REF!,"&lt;&gt;")</f>
        <v>#REF!</v>
      </c>
      <c r="Q75" s="111" t="e">
        <f>SUMIFS('Portefeuille SP2'!$U:$U,'Portefeuille SP2'!#REF!,1,'Portefeuille SP2'!$Q:$Q,"DECIDED",'Portefeuille SP2'!#REF!,"R",'Portefeuille SP2'!$D:$D,$A75,'Portefeuille SP2'!#REF!,"S",'Portefeuille SP2'!#REF!,"&lt;&gt;")</f>
        <v>#REF!</v>
      </c>
      <c r="R75" s="126" t="e">
        <f>SUMIFS('Portefeuille SP2'!#REF!,'Portefeuille SP2'!#REF!,1,'Portefeuille SP2'!$Q:$Q,"DECIDED",'Portefeuille SP2'!#REF!,"R",'Portefeuille SP2'!$D:$D,$A75,'Portefeuille SP2'!#REF!,"S",'Portefeuille SP2'!#REF!,"&lt;&gt;")</f>
        <v>#REF!</v>
      </c>
      <c r="S75" s="122" t="e">
        <f>SUMIFS('Portefeuille SP2'!#REF!,'Portefeuille SP2'!#REF!,1,'Portefeuille SP2'!$Q:$Q,"DECIDED",'Portefeuille SP2'!#REF!,"R",'Portefeuille SP2'!$D:$D,$A75,'Portefeuille SP2'!#REF!,"S",'Portefeuille SP2'!#REF!,"&lt;&gt;")</f>
        <v>#REF!</v>
      </c>
      <c r="U75" s="111" t="e">
        <f>SUMIFS('Portefeuille SP2'!$U:$U,'Portefeuille SP2'!#REF!,1,'Portefeuille SP2'!$Q:$Q,"IN PROGRESS",'Portefeuille SP2'!#REF!,"G",'Portefeuille SP2'!$D:$D,$A75,'Portefeuille SP2'!#REF!,"O")</f>
        <v>#REF!</v>
      </c>
      <c r="V75" s="126" t="e">
        <f>SUMIFS('Portefeuille SP2'!#REF!,'Portefeuille SP2'!#REF!,1,'Portefeuille SP2'!$Q:$Q,"IN PROGRESS",'Portefeuille SP2'!#REF!,"G",'Portefeuille SP2'!$D:$D,$A75,'Portefeuille SP2'!#REF!,"o")</f>
        <v>#REF!</v>
      </c>
      <c r="W75" s="117" t="e">
        <f>SUMIFS('Portefeuille SP2'!#REF!,'Portefeuille SP2'!#REF!,1,'Portefeuille SP2'!$Q:$Q,"IN PROGRESS",'Portefeuille SP2'!#REF!,"G",'Portefeuille SP2'!$D:$D,$A75,'Portefeuille SP2'!#REF!,"o")</f>
        <v>#REF!</v>
      </c>
      <c r="X75" s="111" t="e">
        <f>SUMIFS('Portefeuille SP2'!$U:$U,'Portefeuille SP2'!#REF!,1,'Portefeuille SP2'!$Q:$Q,"IN PROGRESS",'Portefeuille SP2'!#REF!,"R",'Portefeuille SP2'!$D:$D,$A75,'Portefeuille SP2'!#REF!,"o")</f>
        <v>#REF!</v>
      </c>
      <c r="Y75" s="126" t="e">
        <f>SUMIFS('Portefeuille SP2'!#REF!,'Portefeuille SP2'!#REF!,1,'Portefeuille SP2'!$Q:$Q,"IN PROGRESS",'Portefeuille SP2'!#REF!,"R",'Portefeuille SP2'!$D:$D,$A75,'Portefeuille SP2'!#REF!,"o")</f>
        <v>#REF!</v>
      </c>
      <c r="Z75" s="117" t="e">
        <f>SUMIFS('Portefeuille SP2'!#REF!,'Portefeuille SP2'!#REF!,1,'Portefeuille SP2'!$Q:$Q,"IN PROGRESS",'Portefeuille SP2'!#REF!,"R",'Portefeuille SP2'!$D:$D,$A75,'Portefeuille SP2'!#REF!,"o")</f>
        <v>#REF!</v>
      </c>
      <c r="AA75" s="111" t="e">
        <f>SUMIFS('Portefeuille SP2'!$U:$U,'Portefeuille SP2'!#REF!,1,'Portefeuille SP2'!$Q:$Q,"DECIDED",'Portefeuille SP2'!#REF!,"G",'Portefeuille SP2'!$D:$D,$A75,'Portefeuille SP2'!#REF!,"o",'Portefeuille SP2'!#REF!,"=")</f>
        <v>#REF!</v>
      </c>
      <c r="AB75" s="126" t="e">
        <f>SUMIFS('Portefeuille SP2'!#REF!,'Portefeuille SP2'!#REF!,1,'Portefeuille SP2'!$Q:$Q,"DECIDED",'Portefeuille SP2'!#REF!,"G",'Portefeuille SP2'!$D:$D,$A75,'Portefeuille SP2'!#REF!,"o",'Portefeuille SP2'!#REF!,"=")</f>
        <v>#REF!</v>
      </c>
      <c r="AC75" s="117" t="e">
        <f>SUMIFS('Portefeuille SP2'!#REF!,'Portefeuille SP2'!#REF!,1,'Portefeuille SP2'!$Q:$Q,"DECIDED",'Portefeuille SP2'!#REF!,"G",'Portefeuille SP2'!$D:$D,$A75,'Portefeuille SP2'!#REF!,"o",'Portefeuille SP2'!#REF!,"=")</f>
        <v>#REF!</v>
      </c>
      <c r="AD75" s="111" t="e">
        <f>SUMIFS('Portefeuille SP2'!$U:$U,'Portefeuille SP2'!#REF!,1,'Portefeuille SP2'!$Q:$Q,"DECIDED",'Portefeuille SP2'!#REF!,"R",'Portefeuille SP2'!$D:$D,$A75,'Portefeuille SP2'!#REF!,"o",'Portefeuille SP2'!#REF!,"=")</f>
        <v>#REF!</v>
      </c>
      <c r="AE75" s="126" t="e">
        <f>SUMIFS('Portefeuille SP2'!#REF!,'Portefeuille SP2'!#REF!,1,'Portefeuille SP2'!$Q:$Q,"DECIDED",'Portefeuille SP2'!#REF!,"R",'Portefeuille SP2'!$D:$D,$A75,'Portefeuille SP2'!#REF!,"o",'Portefeuille SP2'!#REF!,"=")</f>
        <v>#REF!</v>
      </c>
      <c r="AF75" s="117" t="e">
        <f>SUMIFS('Portefeuille SP2'!#REF!,'Portefeuille SP2'!#REF!,1,'Portefeuille SP2'!$Q:$Q,"DECIDED",'Portefeuille SP2'!#REF!,"R",'Portefeuille SP2'!$D:$D,$A75,'Portefeuille SP2'!#REF!,"o",'Portefeuille SP2'!#REF!,"=")</f>
        <v>#REF!</v>
      </c>
      <c r="AG75" s="111" t="e">
        <f>SUMIFS('Portefeuille SP2'!$U:$U,'Portefeuille SP2'!#REF!,1,'Portefeuille SP2'!$Q:$Q,"DECIDED",'Portefeuille SP2'!#REF!,"G",'Portefeuille SP2'!$D:$D,$A75,'Portefeuille SP2'!#REF!,"o",'Portefeuille SP2'!#REF!,"&lt;&gt;")</f>
        <v>#REF!</v>
      </c>
      <c r="AH75" s="126" t="e">
        <f>SUMIFS('Portefeuille SP2'!#REF!,'Portefeuille SP2'!#REF!,1,'Portefeuille SP2'!$Q:$Q,"DECIDED",'Portefeuille SP2'!#REF!,"G",'Portefeuille SP2'!$D:$D,$A75,'Portefeuille SP2'!#REF!,"o",'Portefeuille SP2'!#REF!,"&lt;&gt;")</f>
        <v>#REF!</v>
      </c>
      <c r="AI75" s="117" t="e">
        <f>SUMIFS('Portefeuille SP2'!#REF!,'Portefeuille SP2'!#REF!,1,'Portefeuille SP2'!$Q:$Q,"DECIDED",'Portefeuille SP2'!#REF!,"G",'Portefeuille SP2'!$D:$D,$A75,'Portefeuille SP2'!#REF!,"o",'Portefeuille SP2'!#REF!,"&lt;&gt;")</f>
        <v>#REF!</v>
      </c>
      <c r="AJ75" s="111" t="e">
        <f>SUMIFS('Portefeuille SP2'!$U:$U,'Portefeuille SP2'!#REF!,1,'Portefeuille SP2'!$Q:$Q,"DECIDED",'Portefeuille SP2'!#REF!,"R",'Portefeuille SP2'!$D:$D,$A75,'Portefeuille SP2'!#REF!,"o",'Portefeuille SP2'!#REF!,"&lt;&gt;")</f>
        <v>#REF!</v>
      </c>
      <c r="AK75" s="126" t="e">
        <f>SUMIFS('Portefeuille SP2'!#REF!,'Portefeuille SP2'!#REF!,1,'Portefeuille SP2'!$Q:$Q,"DECIDED",'Portefeuille SP2'!#REF!,"R",'Portefeuille SP2'!$D:$D,$A75,'Portefeuille SP2'!#REF!,"o",'Portefeuille SP2'!#REF!,"&lt;&gt;")</f>
        <v>#REF!</v>
      </c>
      <c r="AL75" s="117" t="e">
        <f>SUMIFS('Portefeuille SP2'!#REF!,'Portefeuille SP2'!#REF!,1,'Portefeuille SP2'!$Q:$Q,"DECIDED",'Portefeuille SP2'!#REF!,"R",'Portefeuille SP2'!$D:$D,$A75,'Portefeuille SP2'!#REF!,"o",'Portefeuille SP2'!#REF!,"&lt;&gt;")</f>
        <v>#REF!</v>
      </c>
      <c r="AM75" s="117"/>
      <c r="AO75" s="131" t="e">
        <f>AO74-AP74-AQ74</f>
        <v>#REF!</v>
      </c>
      <c r="AP75" s="132"/>
      <c r="AQ75" s="132"/>
      <c r="AR75" s="131" t="e">
        <f>AR74-AS74-AT74</f>
        <v>#REF!</v>
      </c>
      <c r="AS75" s="132"/>
      <c r="AT75" s="132"/>
      <c r="AU75" s="131" t="e">
        <f>AU74-AV74-AW74</f>
        <v>#REF!</v>
      </c>
      <c r="AV75" s="133"/>
      <c r="AW75" s="133"/>
      <c r="AX75" s="131" t="e">
        <f>AX74-AY74-AZ74</f>
        <v>#REF!</v>
      </c>
      <c r="AY75" s="132"/>
      <c r="AZ75" s="132"/>
      <c r="BA75" s="131" t="e">
        <f>BA74-BB74-BC74</f>
        <v>#REF!</v>
      </c>
      <c r="BB75" s="132"/>
      <c r="BC75" s="132"/>
      <c r="BD75" s="131" t="e">
        <f>BD74-BE74-BF74</f>
        <v>#REF!</v>
      </c>
      <c r="BE75" s="133"/>
      <c r="BF75" s="133"/>
      <c r="BG75" s="137"/>
      <c r="BH75" s="131" t="e">
        <f>BH74-BI74-BJ74</f>
        <v>#REF!</v>
      </c>
      <c r="BI75" s="132"/>
      <c r="BJ75" s="132"/>
      <c r="BK75" s="131" t="e">
        <f>BK74-BL74-BM74</f>
        <v>#REF!</v>
      </c>
      <c r="BL75" s="132"/>
      <c r="BM75" s="132"/>
      <c r="BN75" s="131" t="e">
        <f>BN74-BO74-BP74</f>
        <v>#REF!</v>
      </c>
      <c r="BO75" s="133"/>
      <c r="BP75" s="133"/>
      <c r="BQ75" s="131" t="e">
        <f>BQ74-BR74-BS74</f>
        <v>#REF!</v>
      </c>
      <c r="BR75" s="132"/>
      <c r="BS75" s="132"/>
      <c r="BT75" s="131" t="e">
        <f>BT74-BU74-BV74</f>
        <v>#REF!</v>
      </c>
      <c r="BU75" s="132"/>
      <c r="BV75" s="132"/>
      <c r="BW75" s="131" t="e">
        <f>BW74-BX74-BY74</f>
        <v>#REF!</v>
      </c>
      <c r="BX75" s="133"/>
      <c r="BY75" s="133"/>
    </row>
    <row r="76" spans="1:77" outlineLevel="1">
      <c r="A76" t="s">
        <v>1321</v>
      </c>
      <c r="B76" s="139" t="e">
        <f>SUMIFS('Portefeuille SP2'!$U:$U,'Portefeuille SP2'!#REF!,1,'Portefeuille SP2'!$Q:$Q,"IN PROGRESS",'Portefeuille SP2'!#REF!,"G",'Portefeuille SP2'!$D:$D,$A76,'Portefeuille SP2'!#REF!,"S")</f>
        <v>#REF!</v>
      </c>
      <c r="C76" s="126" t="e">
        <f>SUMIFS('Portefeuille SP2'!#REF!,'Portefeuille SP2'!#REF!,1,'Portefeuille SP2'!$Q:$Q,"IN PROGRESS",'Portefeuille SP2'!#REF!,"G",'Portefeuille SP2'!$D:$D,$A76,'Portefeuille SP2'!#REF!,"S")</f>
        <v>#REF!</v>
      </c>
      <c r="D76" s="122" t="e">
        <f>SUMIFS('Portefeuille SP2'!#REF!,'Portefeuille SP2'!#REF!,1,'Portefeuille SP2'!$Q:$Q,"IN PROGRESS",'Portefeuille SP2'!#REF!,"G",'Portefeuille SP2'!$D:$D,$A76,'Portefeuille SP2'!#REF!,"S")</f>
        <v>#REF!</v>
      </c>
      <c r="E76" s="111" t="e">
        <f>SUMIFS('Portefeuille SP2'!$U:$U,'Portefeuille SP2'!#REF!,1,'Portefeuille SP2'!$Q:$Q,"IN PROGRESS",'Portefeuille SP2'!#REF!,"R",'Portefeuille SP2'!$D:$D,$A76,'Portefeuille SP2'!#REF!,"S")</f>
        <v>#REF!</v>
      </c>
      <c r="F76" s="126" t="e">
        <f>SUMIFS('Portefeuille SP2'!#REF!,'Portefeuille SP2'!#REF!,1,'Portefeuille SP2'!$Q:$Q,"IN PROGRESS",'Portefeuille SP2'!#REF!,"R",'Portefeuille SP2'!$D:$D,$A76,'Portefeuille SP2'!#REF!,"S")</f>
        <v>#REF!</v>
      </c>
      <c r="G76" s="117" t="e">
        <f>SUMIFS('Portefeuille SP2'!#REF!,'Portefeuille SP2'!#REF!,1,'Portefeuille SP2'!$Q:$Q,"IN PROGRESS",'Portefeuille SP2'!#REF!,"R",'Portefeuille SP2'!$D:$D,$A76,'Portefeuille SP2'!#REF!,"S")</f>
        <v>#REF!</v>
      </c>
      <c r="H76" s="111" t="e">
        <f>SUMIFS('Portefeuille SP2'!$U:$U,'Portefeuille SP2'!#REF!,1,'Portefeuille SP2'!$Q:$Q,"DECIDED",'Portefeuille SP2'!#REF!,"G",'Portefeuille SP2'!$D:$D,$A76,'Portefeuille SP2'!#REF!,"S",'Portefeuille SP2'!#REF!,"=")</f>
        <v>#REF!</v>
      </c>
      <c r="I76" s="117" t="e">
        <f>SUMIFS('Portefeuille SP2'!#REF!,'Portefeuille SP2'!#REF!,1,'Portefeuille SP2'!$Q:$Q,"DECIDED",'Portefeuille SP2'!#REF!,"G",'Portefeuille SP2'!$D:$D,$A76,'Portefeuille SP2'!#REF!,"S",'Portefeuille SP2'!#REF!,"=")</f>
        <v>#REF!</v>
      </c>
      <c r="J76" s="117" t="e">
        <f>SUMIFS('Portefeuille SP2'!#REF!,'Portefeuille SP2'!#REF!,1,'Portefeuille SP2'!$Q:$Q,"DECIDED",'Portefeuille SP2'!#REF!,"G",'Portefeuille SP2'!$D:$D,$A76,'Portefeuille SP2'!#REF!,"S",'Portefeuille SP2'!#REF!,"=")</f>
        <v>#REF!</v>
      </c>
      <c r="K76" s="111" t="e">
        <f>SUMIFS('Portefeuille SP2'!$U:$U,'Portefeuille SP2'!#REF!,1,'Portefeuille SP2'!$Q:$Q,"DECIDED",'Portefeuille SP2'!#REF!,"R",'Portefeuille SP2'!$D:$D,$A76,'Portefeuille SP2'!#REF!,"S",'Portefeuille SP2'!#REF!,"=")</f>
        <v>#REF!</v>
      </c>
      <c r="L76" s="126" t="e">
        <f>SUMIFS('Portefeuille SP2'!#REF!,'Portefeuille SP2'!#REF!,1,'Portefeuille SP2'!$Q:$Q,"DECIDED",'Portefeuille SP2'!#REF!,"R",'Portefeuille SP2'!$D:$D,$A76,'Portefeuille SP2'!#REF!,"S",'Portefeuille SP2'!#REF!,"=")</f>
        <v>#REF!</v>
      </c>
      <c r="M76" s="117" t="e">
        <f>SUMIFS('Portefeuille SP2'!#REF!,'Portefeuille SP2'!#REF!,1,'Portefeuille SP2'!$Q:$Q,"DECIDED",'Portefeuille SP2'!#REF!,"R",'Portefeuille SP2'!$D:$D,$A76,'Portefeuille SP2'!#REF!,"S",'Portefeuille SP2'!#REF!,"=")</f>
        <v>#REF!</v>
      </c>
      <c r="N76" s="111" t="e">
        <f>SUMIFS('Portefeuille SP2'!$U:$U,'Portefeuille SP2'!#REF!,1,'Portefeuille SP2'!$Q:$Q,"DECIDED",'Portefeuille SP2'!#REF!,"G",'Portefeuille SP2'!$D:$D,$A76,'Portefeuille SP2'!#REF!,"S",'Portefeuille SP2'!#REF!,"&lt;&gt;")</f>
        <v>#REF!</v>
      </c>
      <c r="O76" s="126" t="e">
        <f>SUMIFS('Portefeuille SP2'!#REF!,'Portefeuille SP2'!#REF!,1,'Portefeuille SP2'!$Q:$Q,"DECIDED",'Portefeuille SP2'!#REF!,"G",'Portefeuille SP2'!$D:$D,$A76,'Portefeuille SP2'!#REF!,"S",'Portefeuille SP2'!#REF!,"&lt;&gt;")</f>
        <v>#REF!</v>
      </c>
      <c r="P76" s="117" t="e">
        <f>SUMIFS('Portefeuille SP2'!#REF!,'Portefeuille SP2'!#REF!,1,'Portefeuille SP2'!$Q:$Q,"DECIDED",'Portefeuille SP2'!#REF!,"G",'Portefeuille SP2'!$D:$D,$A76,'Portefeuille SP2'!#REF!,"S",'Portefeuille SP2'!#REF!,"&lt;&gt;")</f>
        <v>#REF!</v>
      </c>
      <c r="Q76" s="111" t="e">
        <f>SUMIFS('Portefeuille SP2'!$U:$U,'Portefeuille SP2'!#REF!,1,'Portefeuille SP2'!$Q:$Q,"DECIDED",'Portefeuille SP2'!#REF!,"R",'Portefeuille SP2'!$D:$D,$A76,'Portefeuille SP2'!#REF!,"S",'Portefeuille SP2'!#REF!,"&lt;&gt;")</f>
        <v>#REF!</v>
      </c>
      <c r="R76" s="126" t="e">
        <f>SUMIFS('Portefeuille SP2'!#REF!,'Portefeuille SP2'!#REF!,1,'Portefeuille SP2'!$Q:$Q,"DECIDED",'Portefeuille SP2'!#REF!,"R",'Portefeuille SP2'!$D:$D,$A76,'Portefeuille SP2'!#REF!,"S",'Portefeuille SP2'!#REF!,"&lt;&gt;")</f>
        <v>#REF!</v>
      </c>
      <c r="S76" s="122" t="e">
        <f>SUMIFS('Portefeuille SP2'!#REF!,'Portefeuille SP2'!#REF!,1,'Portefeuille SP2'!$Q:$Q,"DECIDED",'Portefeuille SP2'!#REF!,"R",'Portefeuille SP2'!$D:$D,$A76,'Portefeuille SP2'!#REF!,"S",'Portefeuille SP2'!#REF!,"&lt;&gt;")</f>
        <v>#REF!</v>
      </c>
      <c r="U76" s="111" t="e">
        <f>SUMIFS('Portefeuille SP2'!$U:$U,'Portefeuille SP2'!#REF!,1,'Portefeuille SP2'!$Q:$Q,"IN PROGRESS",'Portefeuille SP2'!#REF!,"G",'Portefeuille SP2'!$D:$D,$A76,'Portefeuille SP2'!#REF!,"O")</f>
        <v>#REF!</v>
      </c>
      <c r="V76" s="126" t="e">
        <f>SUMIFS('Portefeuille SP2'!#REF!,'Portefeuille SP2'!#REF!,1,'Portefeuille SP2'!$Q:$Q,"IN PROGRESS",'Portefeuille SP2'!#REF!,"G",'Portefeuille SP2'!$D:$D,$A76,'Portefeuille SP2'!#REF!,"o")</f>
        <v>#REF!</v>
      </c>
      <c r="W76" s="117" t="e">
        <f>SUMIFS('Portefeuille SP2'!#REF!,'Portefeuille SP2'!#REF!,1,'Portefeuille SP2'!$Q:$Q,"IN PROGRESS",'Portefeuille SP2'!#REF!,"G",'Portefeuille SP2'!$D:$D,$A76,'Portefeuille SP2'!#REF!,"o")</f>
        <v>#REF!</v>
      </c>
      <c r="X76" s="111" t="e">
        <f>SUMIFS('Portefeuille SP2'!$U:$U,'Portefeuille SP2'!#REF!,1,'Portefeuille SP2'!$Q:$Q,"IN PROGRESS",'Portefeuille SP2'!#REF!,"R",'Portefeuille SP2'!$D:$D,$A76,'Portefeuille SP2'!#REF!,"o")</f>
        <v>#REF!</v>
      </c>
      <c r="Y76" s="126" t="e">
        <f>SUMIFS('Portefeuille SP2'!#REF!,'Portefeuille SP2'!#REF!,1,'Portefeuille SP2'!$Q:$Q,"IN PROGRESS",'Portefeuille SP2'!#REF!,"R",'Portefeuille SP2'!$D:$D,$A76,'Portefeuille SP2'!#REF!,"o")</f>
        <v>#REF!</v>
      </c>
      <c r="Z76" s="117" t="e">
        <f>SUMIFS('Portefeuille SP2'!#REF!,'Portefeuille SP2'!#REF!,1,'Portefeuille SP2'!$Q:$Q,"IN PROGRESS",'Portefeuille SP2'!#REF!,"R",'Portefeuille SP2'!$D:$D,$A76,'Portefeuille SP2'!#REF!,"o")</f>
        <v>#REF!</v>
      </c>
      <c r="AA76" s="111" t="e">
        <f>SUMIFS('Portefeuille SP2'!$U:$U,'Portefeuille SP2'!#REF!,1,'Portefeuille SP2'!$Q:$Q,"DECIDED",'Portefeuille SP2'!#REF!,"G",'Portefeuille SP2'!$D:$D,$A76,'Portefeuille SP2'!#REF!,"o",'Portefeuille SP2'!#REF!,"=")</f>
        <v>#REF!</v>
      </c>
      <c r="AB76" s="126" t="e">
        <f>SUMIFS('Portefeuille SP2'!#REF!,'Portefeuille SP2'!#REF!,1,'Portefeuille SP2'!$Q:$Q,"DECIDED",'Portefeuille SP2'!#REF!,"G",'Portefeuille SP2'!$D:$D,$A76,'Portefeuille SP2'!#REF!,"o",'Portefeuille SP2'!#REF!,"=")</f>
        <v>#REF!</v>
      </c>
      <c r="AC76" s="117" t="e">
        <f>SUMIFS('Portefeuille SP2'!#REF!,'Portefeuille SP2'!#REF!,1,'Portefeuille SP2'!$Q:$Q,"DECIDED",'Portefeuille SP2'!#REF!,"G",'Portefeuille SP2'!$D:$D,$A76,'Portefeuille SP2'!#REF!,"o",'Portefeuille SP2'!#REF!,"=")</f>
        <v>#REF!</v>
      </c>
      <c r="AD76" s="111" t="e">
        <f>SUMIFS('Portefeuille SP2'!$U:$U,'Portefeuille SP2'!#REF!,1,'Portefeuille SP2'!$Q:$Q,"DECIDED",'Portefeuille SP2'!#REF!,"R",'Portefeuille SP2'!$D:$D,$A76,'Portefeuille SP2'!#REF!,"o",'Portefeuille SP2'!#REF!,"=")</f>
        <v>#REF!</v>
      </c>
      <c r="AE76" s="126" t="e">
        <f>SUMIFS('Portefeuille SP2'!#REF!,'Portefeuille SP2'!#REF!,1,'Portefeuille SP2'!$Q:$Q,"DECIDED",'Portefeuille SP2'!#REF!,"R",'Portefeuille SP2'!$D:$D,$A76,'Portefeuille SP2'!#REF!,"o",'Portefeuille SP2'!#REF!,"=")</f>
        <v>#REF!</v>
      </c>
      <c r="AF76" s="117" t="e">
        <f>SUMIFS('Portefeuille SP2'!#REF!,'Portefeuille SP2'!#REF!,1,'Portefeuille SP2'!$Q:$Q,"DECIDED",'Portefeuille SP2'!#REF!,"R",'Portefeuille SP2'!$D:$D,$A76,'Portefeuille SP2'!#REF!,"o",'Portefeuille SP2'!#REF!,"=")</f>
        <v>#REF!</v>
      </c>
      <c r="AG76" s="111" t="e">
        <f>SUMIFS('Portefeuille SP2'!$U:$U,'Portefeuille SP2'!#REF!,1,'Portefeuille SP2'!$Q:$Q,"DECIDED",'Portefeuille SP2'!#REF!,"G",'Portefeuille SP2'!$D:$D,$A76,'Portefeuille SP2'!#REF!,"o",'Portefeuille SP2'!#REF!,"&lt;&gt;")</f>
        <v>#REF!</v>
      </c>
      <c r="AH76" s="126" t="e">
        <f>SUMIFS('Portefeuille SP2'!#REF!,'Portefeuille SP2'!#REF!,1,'Portefeuille SP2'!$Q:$Q,"DECIDED",'Portefeuille SP2'!#REF!,"G",'Portefeuille SP2'!$D:$D,$A76,'Portefeuille SP2'!#REF!,"o",'Portefeuille SP2'!#REF!,"&lt;&gt;")</f>
        <v>#REF!</v>
      </c>
      <c r="AI76" s="117" t="e">
        <f>SUMIFS('Portefeuille SP2'!#REF!,'Portefeuille SP2'!#REF!,1,'Portefeuille SP2'!$Q:$Q,"DECIDED",'Portefeuille SP2'!#REF!,"G",'Portefeuille SP2'!$D:$D,$A76,'Portefeuille SP2'!#REF!,"o",'Portefeuille SP2'!#REF!,"&lt;&gt;")</f>
        <v>#REF!</v>
      </c>
      <c r="AJ76" s="111" t="e">
        <f>SUMIFS('Portefeuille SP2'!$U:$U,'Portefeuille SP2'!#REF!,1,'Portefeuille SP2'!$Q:$Q,"DECIDED",'Portefeuille SP2'!#REF!,"R",'Portefeuille SP2'!$D:$D,$A76,'Portefeuille SP2'!#REF!,"o",'Portefeuille SP2'!#REF!,"&lt;&gt;")</f>
        <v>#REF!</v>
      </c>
      <c r="AK76" s="126" t="e">
        <f>SUMIFS('Portefeuille SP2'!#REF!,'Portefeuille SP2'!#REF!,1,'Portefeuille SP2'!$Q:$Q,"DECIDED",'Portefeuille SP2'!#REF!,"R",'Portefeuille SP2'!$D:$D,$A76,'Portefeuille SP2'!#REF!,"o",'Portefeuille SP2'!#REF!,"&lt;&gt;")</f>
        <v>#REF!</v>
      </c>
      <c r="AL76" s="117" t="e">
        <f>SUMIFS('Portefeuille SP2'!#REF!,'Portefeuille SP2'!#REF!,1,'Portefeuille SP2'!$Q:$Q,"DECIDED",'Portefeuille SP2'!#REF!,"R",'Portefeuille SP2'!$D:$D,$A76,'Portefeuille SP2'!#REF!,"o",'Portefeuille SP2'!#REF!,"&lt;&gt;")</f>
        <v>#REF!</v>
      </c>
      <c r="AM76" s="117"/>
    </row>
    <row r="77" spans="1:77" outlineLevel="1">
      <c r="A77" t="s">
        <v>1322</v>
      </c>
      <c r="B77" s="139" t="e">
        <f>SUMIFS('Portefeuille SP2'!$U:$U,'Portefeuille SP2'!#REF!,1,'Portefeuille SP2'!$Q:$Q,"IN PROGRESS",'Portefeuille SP2'!#REF!,"G",'Portefeuille SP2'!$D:$D,$A77,'Portefeuille SP2'!#REF!,"S")</f>
        <v>#REF!</v>
      </c>
      <c r="C77" s="126" t="e">
        <f>SUMIFS('Portefeuille SP2'!#REF!,'Portefeuille SP2'!#REF!,1,'Portefeuille SP2'!$Q:$Q,"IN PROGRESS",'Portefeuille SP2'!#REF!,"G",'Portefeuille SP2'!$D:$D,$A77,'Portefeuille SP2'!#REF!,"S")</f>
        <v>#REF!</v>
      </c>
      <c r="D77" s="122" t="e">
        <f>SUMIFS('Portefeuille SP2'!#REF!,'Portefeuille SP2'!#REF!,1,'Portefeuille SP2'!$Q:$Q,"IN PROGRESS",'Portefeuille SP2'!#REF!,"G",'Portefeuille SP2'!$D:$D,$A77,'Portefeuille SP2'!#REF!,"S")</f>
        <v>#REF!</v>
      </c>
      <c r="E77" s="111" t="e">
        <f>SUMIFS('Portefeuille SP2'!$U:$U,'Portefeuille SP2'!#REF!,1,'Portefeuille SP2'!$Q:$Q,"IN PROGRESS",'Portefeuille SP2'!#REF!,"R",'Portefeuille SP2'!$D:$D,$A77,'Portefeuille SP2'!#REF!,"S")</f>
        <v>#REF!</v>
      </c>
      <c r="F77" s="126" t="e">
        <f>SUMIFS('Portefeuille SP2'!#REF!,'Portefeuille SP2'!#REF!,1,'Portefeuille SP2'!$Q:$Q,"IN PROGRESS",'Portefeuille SP2'!#REF!,"R",'Portefeuille SP2'!$D:$D,$A77,'Portefeuille SP2'!#REF!,"S")</f>
        <v>#REF!</v>
      </c>
      <c r="G77" s="117" t="e">
        <f>SUMIFS('Portefeuille SP2'!#REF!,'Portefeuille SP2'!#REF!,1,'Portefeuille SP2'!$Q:$Q,"IN PROGRESS",'Portefeuille SP2'!#REF!,"R",'Portefeuille SP2'!$D:$D,$A77,'Portefeuille SP2'!#REF!,"S")</f>
        <v>#REF!</v>
      </c>
      <c r="H77" s="111" t="e">
        <f>SUMIFS('Portefeuille SP2'!$U:$U,'Portefeuille SP2'!#REF!,1,'Portefeuille SP2'!$Q:$Q,"DECIDED",'Portefeuille SP2'!#REF!,"G",'Portefeuille SP2'!$D:$D,$A77,'Portefeuille SP2'!#REF!,"S",'Portefeuille SP2'!#REF!,"=")</f>
        <v>#REF!</v>
      </c>
      <c r="I77" s="117" t="e">
        <f>SUMIFS('Portefeuille SP2'!#REF!,'Portefeuille SP2'!#REF!,1,'Portefeuille SP2'!$Q:$Q,"DECIDED",'Portefeuille SP2'!#REF!,"G",'Portefeuille SP2'!$D:$D,$A77,'Portefeuille SP2'!#REF!,"S",'Portefeuille SP2'!#REF!,"=")</f>
        <v>#REF!</v>
      </c>
      <c r="J77" s="117" t="e">
        <f>SUMIFS('Portefeuille SP2'!#REF!,'Portefeuille SP2'!#REF!,1,'Portefeuille SP2'!$Q:$Q,"DECIDED",'Portefeuille SP2'!#REF!,"G",'Portefeuille SP2'!$D:$D,$A77,'Portefeuille SP2'!#REF!,"S",'Portefeuille SP2'!#REF!,"=")</f>
        <v>#REF!</v>
      </c>
      <c r="K77" s="111" t="e">
        <f>SUMIFS('Portefeuille SP2'!$U:$U,'Portefeuille SP2'!#REF!,1,'Portefeuille SP2'!$Q:$Q,"DECIDED",'Portefeuille SP2'!#REF!,"R",'Portefeuille SP2'!$D:$D,$A77,'Portefeuille SP2'!#REF!,"S",'Portefeuille SP2'!#REF!,"=")</f>
        <v>#REF!</v>
      </c>
      <c r="L77" s="126" t="e">
        <f>SUMIFS('Portefeuille SP2'!#REF!,'Portefeuille SP2'!#REF!,1,'Portefeuille SP2'!$Q:$Q,"DECIDED",'Portefeuille SP2'!#REF!,"R",'Portefeuille SP2'!$D:$D,$A77,'Portefeuille SP2'!#REF!,"S",'Portefeuille SP2'!#REF!,"=")</f>
        <v>#REF!</v>
      </c>
      <c r="M77" s="117" t="e">
        <f>SUMIFS('Portefeuille SP2'!#REF!,'Portefeuille SP2'!#REF!,1,'Portefeuille SP2'!$Q:$Q,"DECIDED",'Portefeuille SP2'!#REF!,"R",'Portefeuille SP2'!$D:$D,$A77,'Portefeuille SP2'!#REF!,"S",'Portefeuille SP2'!#REF!,"=")</f>
        <v>#REF!</v>
      </c>
      <c r="N77" s="111" t="e">
        <f>SUMIFS('Portefeuille SP2'!$U:$U,'Portefeuille SP2'!#REF!,1,'Portefeuille SP2'!$Q:$Q,"DECIDED",'Portefeuille SP2'!#REF!,"G",'Portefeuille SP2'!$D:$D,$A77,'Portefeuille SP2'!#REF!,"S",'Portefeuille SP2'!#REF!,"&lt;&gt;")</f>
        <v>#REF!</v>
      </c>
      <c r="O77" s="126" t="e">
        <f>SUMIFS('Portefeuille SP2'!#REF!,'Portefeuille SP2'!#REF!,1,'Portefeuille SP2'!$Q:$Q,"DECIDED",'Portefeuille SP2'!#REF!,"G",'Portefeuille SP2'!$D:$D,$A77,'Portefeuille SP2'!#REF!,"S",'Portefeuille SP2'!#REF!,"&lt;&gt;")</f>
        <v>#REF!</v>
      </c>
      <c r="P77" s="117" t="e">
        <f>SUMIFS('Portefeuille SP2'!#REF!,'Portefeuille SP2'!#REF!,1,'Portefeuille SP2'!$Q:$Q,"DECIDED",'Portefeuille SP2'!#REF!,"G",'Portefeuille SP2'!$D:$D,$A77,'Portefeuille SP2'!#REF!,"S",'Portefeuille SP2'!#REF!,"&lt;&gt;")</f>
        <v>#REF!</v>
      </c>
      <c r="Q77" s="111" t="e">
        <f>SUMIFS('Portefeuille SP2'!$U:$U,'Portefeuille SP2'!#REF!,1,'Portefeuille SP2'!$Q:$Q,"DECIDED",'Portefeuille SP2'!#REF!,"R",'Portefeuille SP2'!$D:$D,$A77,'Portefeuille SP2'!#REF!,"S",'Portefeuille SP2'!#REF!,"&lt;&gt;")</f>
        <v>#REF!</v>
      </c>
      <c r="R77" s="126" t="e">
        <f>SUMIFS('Portefeuille SP2'!#REF!,'Portefeuille SP2'!#REF!,1,'Portefeuille SP2'!$Q:$Q,"DECIDED",'Portefeuille SP2'!#REF!,"R",'Portefeuille SP2'!$D:$D,$A77,'Portefeuille SP2'!#REF!,"S",'Portefeuille SP2'!#REF!,"&lt;&gt;")</f>
        <v>#REF!</v>
      </c>
      <c r="S77" s="122" t="e">
        <f>SUMIFS('Portefeuille SP2'!#REF!,'Portefeuille SP2'!#REF!,1,'Portefeuille SP2'!$Q:$Q,"DECIDED",'Portefeuille SP2'!#REF!,"R",'Portefeuille SP2'!$D:$D,$A77,'Portefeuille SP2'!#REF!,"S",'Portefeuille SP2'!#REF!,"&lt;&gt;")</f>
        <v>#REF!</v>
      </c>
      <c r="U77" s="111" t="e">
        <f>SUMIFS('Portefeuille SP2'!$U:$U,'Portefeuille SP2'!#REF!,1,'Portefeuille SP2'!$Q:$Q,"IN PROGRESS",'Portefeuille SP2'!#REF!,"G",'Portefeuille SP2'!$D:$D,$A77,'Portefeuille SP2'!#REF!,"O")</f>
        <v>#REF!</v>
      </c>
      <c r="V77" s="126" t="e">
        <f>SUMIFS('Portefeuille SP2'!#REF!,'Portefeuille SP2'!#REF!,1,'Portefeuille SP2'!$Q:$Q,"IN PROGRESS",'Portefeuille SP2'!#REF!,"G",'Portefeuille SP2'!$D:$D,$A77,'Portefeuille SP2'!#REF!,"o")</f>
        <v>#REF!</v>
      </c>
      <c r="W77" s="117" t="e">
        <f>SUMIFS('Portefeuille SP2'!#REF!,'Portefeuille SP2'!#REF!,1,'Portefeuille SP2'!$Q:$Q,"IN PROGRESS",'Portefeuille SP2'!#REF!,"G",'Portefeuille SP2'!$D:$D,$A77,'Portefeuille SP2'!#REF!,"o")</f>
        <v>#REF!</v>
      </c>
      <c r="X77" s="111" t="e">
        <f>SUMIFS('Portefeuille SP2'!$U:$U,'Portefeuille SP2'!#REF!,1,'Portefeuille SP2'!$Q:$Q,"IN PROGRESS",'Portefeuille SP2'!#REF!,"R",'Portefeuille SP2'!$D:$D,$A77,'Portefeuille SP2'!#REF!,"o")</f>
        <v>#REF!</v>
      </c>
      <c r="Y77" s="126" t="e">
        <f>SUMIFS('Portefeuille SP2'!#REF!,'Portefeuille SP2'!#REF!,1,'Portefeuille SP2'!$Q:$Q,"IN PROGRESS",'Portefeuille SP2'!#REF!,"R",'Portefeuille SP2'!$D:$D,$A77,'Portefeuille SP2'!#REF!,"o")</f>
        <v>#REF!</v>
      </c>
      <c r="Z77" s="117" t="e">
        <f>SUMIFS('Portefeuille SP2'!#REF!,'Portefeuille SP2'!#REF!,1,'Portefeuille SP2'!$Q:$Q,"IN PROGRESS",'Portefeuille SP2'!#REF!,"R",'Portefeuille SP2'!$D:$D,$A77,'Portefeuille SP2'!#REF!,"o")</f>
        <v>#REF!</v>
      </c>
      <c r="AA77" s="111" t="e">
        <f>SUMIFS('Portefeuille SP2'!$U:$U,'Portefeuille SP2'!#REF!,1,'Portefeuille SP2'!$Q:$Q,"DECIDED",'Portefeuille SP2'!#REF!,"G",'Portefeuille SP2'!$D:$D,$A77,'Portefeuille SP2'!#REF!,"o",'Portefeuille SP2'!#REF!,"=")</f>
        <v>#REF!</v>
      </c>
      <c r="AB77" s="126" t="e">
        <f>SUMIFS('Portefeuille SP2'!#REF!,'Portefeuille SP2'!#REF!,1,'Portefeuille SP2'!$Q:$Q,"DECIDED",'Portefeuille SP2'!#REF!,"G",'Portefeuille SP2'!$D:$D,$A77,'Portefeuille SP2'!#REF!,"o",'Portefeuille SP2'!#REF!,"=")</f>
        <v>#REF!</v>
      </c>
      <c r="AC77" s="117" t="e">
        <f>SUMIFS('Portefeuille SP2'!#REF!,'Portefeuille SP2'!#REF!,1,'Portefeuille SP2'!$Q:$Q,"DECIDED",'Portefeuille SP2'!#REF!,"G",'Portefeuille SP2'!$D:$D,$A77,'Portefeuille SP2'!#REF!,"o",'Portefeuille SP2'!#REF!,"=")</f>
        <v>#REF!</v>
      </c>
      <c r="AD77" s="111" t="e">
        <f>SUMIFS('Portefeuille SP2'!$U:$U,'Portefeuille SP2'!#REF!,1,'Portefeuille SP2'!$Q:$Q,"DECIDED",'Portefeuille SP2'!#REF!,"R",'Portefeuille SP2'!$D:$D,$A77,'Portefeuille SP2'!#REF!,"o",'Portefeuille SP2'!#REF!,"=")</f>
        <v>#REF!</v>
      </c>
      <c r="AE77" s="126" t="e">
        <f>SUMIFS('Portefeuille SP2'!#REF!,'Portefeuille SP2'!#REF!,1,'Portefeuille SP2'!$Q:$Q,"DECIDED",'Portefeuille SP2'!#REF!,"R",'Portefeuille SP2'!$D:$D,$A77,'Portefeuille SP2'!#REF!,"o",'Portefeuille SP2'!#REF!,"=")</f>
        <v>#REF!</v>
      </c>
      <c r="AF77" s="117" t="e">
        <f>SUMIFS('Portefeuille SP2'!#REF!,'Portefeuille SP2'!#REF!,1,'Portefeuille SP2'!$Q:$Q,"DECIDED",'Portefeuille SP2'!#REF!,"R",'Portefeuille SP2'!$D:$D,$A77,'Portefeuille SP2'!#REF!,"o",'Portefeuille SP2'!#REF!,"=")</f>
        <v>#REF!</v>
      </c>
      <c r="AG77" s="111" t="e">
        <f>SUMIFS('Portefeuille SP2'!$U:$U,'Portefeuille SP2'!#REF!,1,'Portefeuille SP2'!$Q:$Q,"DECIDED",'Portefeuille SP2'!#REF!,"G",'Portefeuille SP2'!$D:$D,$A77,'Portefeuille SP2'!#REF!,"o",'Portefeuille SP2'!#REF!,"&lt;&gt;")</f>
        <v>#REF!</v>
      </c>
      <c r="AH77" s="126" t="e">
        <f>SUMIFS('Portefeuille SP2'!#REF!,'Portefeuille SP2'!#REF!,1,'Portefeuille SP2'!$Q:$Q,"DECIDED",'Portefeuille SP2'!#REF!,"G",'Portefeuille SP2'!$D:$D,$A77,'Portefeuille SP2'!#REF!,"o",'Portefeuille SP2'!#REF!,"&lt;&gt;")</f>
        <v>#REF!</v>
      </c>
      <c r="AI77" s="117" t="e">
        <f>SUMIFS('Portefeuille SP2'!#REF!,'Portefeuille SP2'!#REF!,1,'Portefeuille SP2'!$Q:$Q,"DECIDED",'Portefeuille SP2'!#REF!,"G",'Portefeuille SP2'!$D:$D,$A77,'Portefeuille SP2'!#REF!,"o",'Portefeuille SP2'!#REF!,"&lt;&gt;")</f>
        <v>#REF!</v>
      </c>
      <c r="AJ77" s="111" t="e">
        <f>SUMIFS('Portefeuille SP2'!$U:$U,'Portefeuille SP2'!#REF!,1,'Portefeuille SP2'!$Q:$Q,"DECIDED",'Portefeuille SP2'!#REF!,"R",'Portefeuille SP2'!$D:$D,$A77,'Portefeuille SP2'!#REF!,"o",'Portefeuille SP2'!#REF!,"&lt;&gt;")</f>
        <v>#REF!</v>
      </c>
      <c r="AK77" s="126" t="e">
        <f>SUMIFS('Portefeuille SP2'!#REF!,'Portefeuille SP2'!#REF!,1,'Portefeuille SP2'!$Q:$Q,"DECIDED",'Portefeuille SP2'!#REF!,"R",'Portefeuille SP2'!$D:$D,$A77,'Portefeuille SP2'!#REF!,"o",'Portefeuille SP2'!#REF!,"&lt;&gt;")</f>
        <v>#REF!</v>
      </c>
      <c r="AL77" s="117" t="e">
        <f>SUMIFS('Portefeuille SP2'!#REF!,'Portefeuille SP2'!#REF!,1,'Portefeuille SP2'!$Q:$Q,"DECIDED",'Portefeuille SP2'!#REF!,"R",'Portefeuille SP2'!$D:$D,$A77,'Portefeuille SP2'!#REF!,"o",'Portefeuille SP2'!#REF!,"&lt;&gt;")</f>
        <v>#REF!</v>
      </c>
      <c r="AM77" s="117"/>
    </row>
    <row r="78" spans="1:77" outlineLevel="1">
      <c r="A78" t="s">
        <v>1323</v>
      </c>
      <c r="B78" s="139" t="e">
        <f>SUMIFS('Portefeuille SP2'!$U:$U,'Portefeuille SP2'!#REF!,1,'Portefeuille SP2'!$Q:$Q,"IN PROGRESS",'Portefeuille SP2'!#REF!,"G",'Portefeuille SP2'!$D:$D,$A78,'Portefeuille SP2'!#REF!,"S")</f>
        <v>#REF!</v>
      </c>
      <c r="C78" s="126" t="e">
        <f>SUMIFS('Portefeuille SP2'!#REF!,'Portefeuille SP2'!#REF!,1,'Portefeuille SP2'!$Q:$Q,"IN PROGRESS",'Portefeuille SP2'!#REF!,"G",'Portefeuille SP2'!$D:$D,$A78,'Portefeuille SP2'!#REF!,"S")</f>
        <v>#REF!</v>
      </c>
      <c r="D78" s="122" t="e">
        <f>SUMIFS('Portefeuille SP2'!#REF!,'Portefeuille SP2'!#REF!,1,'Portefeuille SP2'!$Q:$Q,"IN PROGRESS",'Portefeuille SP2'!#REF!,"G",'Portefeuille SP2'!$D:$D,$A78,'Portefeuille SP2'!#REF!,"S")</f>
        <v>#REF!</v>
      </c>
      <c r="E78" s="111" t="e">
        <f>SUMIFS('Portefeuille SP2'!$U:$U,'Portefeuille SP2'!#REF!,1,'Portefeuille SP2'!$Q:$Q,"IN PROGRESS",'Portefeuille SP2'!#REF!,"R",'Portefeuille SP2'!$D:$D,$A78,'Portefeuille SP2'!#REF!,"S")</f>
        <v>#REF!</v>
      </c>
      <c r="F78" s="126" t="e">
        <f>SUMIFS('Portefeuille SP2'!#REF!,'Portefeuille SP2'!#REF!,1,'Portefeuille SP2'!$Q:$Q,"IN PROGRESS",'Portefeuille SP2'!#REF!,"R",'Portefeuille SP2'!$D:$D,$A78,'Portefeuille SP2'!#REF!,"S")</f>
        <v>#REF!</v>
      </c>
      <c r="G78" s="117" t="e">
        <f>SUMIFS('Portefeuille SP2'!#REF!,'Portefeuille SP2'!#REF!,1,'Portefeuille SP2'!$Q:$Q,"IN PROGRESS",'Portefeuille SP2'!#REF!,"R",'Portefeuille SP2'!$D:$D,$A78,'Portefeuille SP2'!#REF!,"S")</f>
        <v>#REF!</v>
      </c>
      <c r="H78" s="111" t="e">
        <f>SUMIFS('Portefeuille SP2'!$U:$U,'Portefeuille SP2'!#REF!,1,'Portefeuille SP2'!$Q:$Q,"DECIDED",'Portefeuille SP2'!#REF!,"G",'Portefeuille SP2'!$D:$D,$A78,'Portefeuille SP2'!#REF!,"S",'Portefeuille SP2'!#REF!,"=")</f>
        <v>#REF!</v>
      </c>
      <c r="I78" s="117" t="e">
        <f>SUMIFS('Portefeuille SP2'!#REF!,'Portefeuille SP2'!#REF!,1,'Portefeuille SP2'!$Q:$Q,"DECIDED",'Portefeuille SP2'!#REF!,"G",'Portefeuille SP2'!$D:$D,$A78,'Portefeuille SP2'!#REF!,"S",'Portefeuille SP2'!#REF!,"=")</f>
        <v>#REF!</v>
      </c>
      <c r="J78" s="117" t="e">
        <f>SUMIFS('Portefeuille SP2'!#REF!,'Portefeuille SP2'!#REF!,1,'Portefeuille SP2'!$Q:$Q,"DECIDED",'Portefeuille SP2'!#REF!,"G",'Portefeuille SP2'!$D:$D,$A78,'Portefeuille SP2'!#REF!,"S",'Portefeuille SP2'!#REF!,"=")</f>
        <v>#REF!</v>
      </c>
      <c r="K78" s="111" t="e">
        <f>SUMIFS('Portefeuille SP2'!$U:$U,'Portefeuille SP2'!#REF!,1,'Portefeuille SP2'!$Q:$Q,"DECIDED",'Portefeuille SP2'!#REF!,"R",'Portefeuille SP2'!$D:$D,$A78,'Portefeuille SP2'!#REF!,"S",'Portefeuille SP2'!#REF!,"=")</f>
        <v>#REF!</v>
      </c>
      <c r="L78" s="126" t="e">
        <f>SUMIFS('Portefeuille SP2'!#REF!,'Portefeuille SP2'!#REF!,1,'Portefeuille SP2'!$Q:$Q,"DECIDED",'Portefeuille SP2'!#REF!,"R",'Portefeuille SP2'!$D:$D,$A78,'Portefeuille SP2'!#REF!,"S",'Portefeuille SP2'!#REF!,"=")</f>
        <v>#REF!</v>
      </c>
      <c r="M78" s="117" t="e">
        <f>SUMIFS('Portefeuille SP2'!#REF!,'Portefeuille SP2'!#REF!,1,'Portefeuille SP2'!$Q:$Q,"DECIDED",'Portefeuille SP2'!#REF!,"R",'Portefeuille SP2'!$D:$D,$A78,'Portefeuille SP2'!#REF!,"S",'Portefeuille SP2'!#REF!,"=")</f>
        <v>#REF!</v>
      </c>
      <c r="N78" s="111" t="e">
        <f>SUMIFS('Portefeuille SP2'!$U:$U,'Portefeuille SP2'!#REF!,1,'Portefeuille SP2'!$Q:$Q,"DECIDED",'Portefeuille SP2'!#REF!,"G",'Portefeuille SP2'!$D:$D,$A78,'Portefeuille SP2'!#REF!,"S",'Portefeuille SP2'!#REF!,"&lt;&gt;")</f>
        <v>#REF!</v>
      </c>
      <c r="O78" s="126" t="e">
        <f>SUMIFS('Portefeuille SP2'!#REF!,'Portefeuille SP2'!#REF!,1,'Portefeuille SP2'!$Q:$Q,"DECIDED",'Portefeuille SP2'!#REF!,"G",'Portefeuille SP2'!$D:$D,$A78,'Portefeuille SP2'!#REF!,"S",'Portefeuille SP2'!#REF!,"&lt;&gt;")</f>
        <v>#REF!</v>
      </c>
      <c r="P78" s="117" t="e">
        <f>SUMIFS('Portefeuille SP2'!#REF!,'Portefeuille SP2'!#REF!,1,'Portefeuille SP2'!$Q:$Q,"DECIDED",'Portefeuille SP2'!#REF!,"G",'Portefeuille SP2'!$D:$D,$A78,'Portefeuille SP2'!#REF!,"S",'Portefeuille SP2'!#REF!,"&lt;&gt;")</f>
        <v>#REF!</v>
      </c>
      <c r="Q78" s="111" t="e">
        <f>SUMIFS('Portefeuille SP2'!$U:$U,'Portefeuille SP2'!#REF!,1,'Portefeuille SP2'!$Q:$Q,"DECIDED",'Portefeuille SP2'!#REF!,"R",'Portefeuille SP2'!$D:$D,$A78,'Portefeuille SP2'!#REF!,"S",'Portefeuille SP2'!#REF!,"&lt;&gt;")</f>
        <v>#REF!</v>
      </c>
      <c r="R78" s="126" t="e">
        <f>SUMIFS('Portefeuille SP2'!#REF!,'Portefeuille SP2'!#REF!,1,'Portefeuille SP2'!$Q:$Q,"DECIDED",'Portefeuille SP2'!#REF!,"R",'Portefeuille SP2'!$D:$D,$A78,'Portefeuille SP2'!#REF!,"S",'Portefeuille SP2'!#REF!,"&lt;&gt;")</f>
        <v>#REF!</v>
      </c>
      <c r="S78" s="122" t="e">
        <f>SUMIFS('Portefeuille SP2'!#REF!,'Portefeuille SP2'!#REF!,1,'Portefeuille SP2'!$Q:$Q,"DECIDED",'Portefeuille SP2'!#REF!,"R",'Portefeuille SP2'!$D:$D,$A78,'Portefeuille SP2'!#REF!,"S",'Portefeuille SP2'!#REF!,"&lt;&gt;")</f>
        <v>#REF!</v>
      </c>
      <c r="U78" s="111" t="e">
        <f>SUMIFS('Portefeuille SP2'!$U:$U,'Portefeuille SP2'!#REF!,1,'Portefeuille SP2'!$Q:$Q,"IN PROGRESS",'Portefeuille SP2'!#REF!,"G",'Portefeuille SP2'!$D:$D,$A78,'Portefeuille SP2'!#REF!,"O")</f>
        <v>#REF!</v>
      </c>
      <c r="V78" s="126" t="e">
        <f>SUMIFS('Portefeuille SP2'!#REF!,'Portefeuille SP2'!#REF!,1,'Portefeuille SP2'!$Q:$Q,"IN PROGRESS",'Portefeuille SP2'!#REF!,"G",'Portefeuille SP2'!$D:$D,$A78,'Portefeuille SP2'!#REF!,"o")</f>
        <v>#REF!</v>
      </c>
      <c r="W78" s="117" t="e">
        <f>SUMIFS('Portefeuille SP2'!#REF!,'Portefeuille SP2'!#REF!,1,'Portefeuille SP2'!$Q:$Q,"IN PROGRESS",'Portefeuille SP2'!#REF!,"G",'Portefeuille SP2'!$D:$D,$A78,'Portefeuille SP2'!#REF!,"o")</f>
        <v>#REF!</v>
      </c>
      <c r="X78" s="111" t="e">
        <f>SUMIFS('Portefeuille SP2'!$U:$U,'Portefeuille SP2'!#REF!,1,'Portefeuille SP2'!$Q:$Q,"IN PROGRESS",'Portefeuille SP2'!#REF!,"R",'Portefeuille SP2'!$D:$D,$A78,'Portefeuille SP2'!#REF!,"o")</f>
        <v>#REF!</v>
      </c>
      <c r="Y78" s="126" t="e">
        <f>SUMIFS('Portefeuille SP2'!#REF!,'Portefeuille SP2'!#REF!,1,'Portefeuille SP2'!$Q:$Q,"IN PROGRESS",'Portefeuille SP2'!#REF!,"R",'Portefeuille SP2'!$D:$D,$A78,'Portefeuille SP2'!#REF!,"o")</f>
        <v>#REF!</v>
      </c>
      <c r="Z78" s="117" t="e">
        <f>SUMIFS('Portefeuille SP2'!#REF!,'Portefeuille SP2'!#REF!,1,'Portefeuille SP2'!$Q:$Q,"IN PROGRESS",'Portefeuille SP2'!#REF!,"R",'Portefeuille SP2'!$D:$D,$A78,'Portefeuille SP2'!#REF!,"o")</f>
        <v>#REF!</v>
      </c>
      <c r="AA78" s="111" t="e">
        <f>SUMIFS('Portefeuille SP2'!$U:$U,'Portefeuille SP2'!#REF!,1,'Portefeuille SP2'!$Q:$Q,"DECIDED",'Portefeuille SP2'!#REF!,"G",'Portefeuille SP2'!$D:$D,$A78,'Portefeuille SP2'!#REF!,"o",'Portefeuille SP2'!#REF!,"=")</f>
        <v>#REF!</v>
      </c>
      <c r="AB78" s="126" t="e">
        <f>SUMIFS('Portefeuille SP2'!#REF!,'Portefeuille SP2'!#REF!,1,'Portefeuille SP2'!$Q:$Q,"DECIDED",'Portefeuille SP2'!#REF!,"G",'Portefeuille SP2'!$D:$D,$A78,'Portefeuille SP2'!#REF!,"o",'Portefeuille SP2'!#REF!,"=")</f>
        <v>#REF!</v>
      </c>
      <c r="AC78" s="117" t="e">
        <f>SUMIFS('Portefeuille SP2'!#REF!,'Portefeuille SP2'!#REF!,1,'Portefeuille SP2'!$Q:$Q,"DECIDED",'Portefeuille SP2'!#REF!,"G",'Portefeuille SP2'!$D:$D,$A78,'Portefeuille SP2'!#REF!,"o",'Portefeuille SP2'!#REF!,"=")</f>
        <v>#REF!</v>
      </c>
      <c r="AD78" s="111" t="e">
        <f>SUMIFS('Portefeuille SP2'!$U:$U,'Portefeuille SP2'!#REF!,1,'Portefeuille SP2'!$Q:$Q,"DECIDED",'Portefeuille SP2'!#REF!,"R",'Portefeuille SP2'!$D:$D,$A78,'Portefeuille SP2'!#REF!,"o",'Portefeuille SP2'!#REF!,"=")</f>
        <v>#REF!</v>
      </c>
      <c r="AE78" s="126" t="e">
        <f>SUMIFS('Portefeuille SP2'!#REF!,'Portefeuille SP2'!#REF!,1,'Portefeuille SP2'!$Q:$Q,"DECIDED",'Portefeuille SP2'!#REF!,"R",'Portefeuille SP2'!$D:$D,$A78,'Portefeuille SP2'!#REF!,"o",'Portefeuille SP2'!#REF!,"=")</f>
        <v>#REF!</v>
      </c>
      <c r="AF78" s="117" t="e">
        <f>SUMIFS('Portefeuille SP2'!#REF!,'Portefeuille SP2'!#REF!,1,'Portefeuille SP2'!$Q:$Q,"DECIDED",'Portefeuille SP2'!#REF!,"R",'Portefeuille SP2'!$D:$D,$A78,'Portefeuille SP2'!#REF!,"o",'Portefeuille SP2'!#REF!,"=")</f>
        <v>#REF!</v>
      </c>
      <c r="AG78" s="111" t="e">
        <f>SUMIFS('Portefeuille SP2'!$U:$U,'Portefeuille SP2'!#REF!,1,'Portefeuille SP2'!$Q:$Q,"DECIDED",'Portefeuille SP2'!#REF!,"G",'Portefeuille SP2'!$D:$D,$A78,'Portefeuille SP2'!#REF!,"o",'Portefeuille SP2'!#REF!,"&lt;&gt;")</f>
        <v>#REF!</v>
      </c>
      <c r="AH78" s="126" t="e">
        <f>SUMIFS('Portefeuille SP2'!#REF!,'Portefeuille SP2'!#REF!,1,'Portefeuille SP2'!$Q:$Q,"DECIDED",'Portefeuille SP2'!#REF!,"G",'Portefeuille SP2'!$D:$D,$A78,'Portefeuille SP2'!#REF!,"o",'Portefeuille SP2'!#REF!,"&lt;&gt;")</f>
        <v>#REF!</v>
      </c>
      <c r="AI78" s="117" t="e">
        <f>SUMIFS('Portefeuille SP2'!#REF!,'Portefeuille SP2'!#REF!,1,'Portefeuille SP2'!$Q:$Q,"DECIDED",'Portefeuille SP2'!#REF!,"G",'Portefeuille SP2'!$D:$D,$A78,'Portefeuille SP2'!#REF!,"o",'Portefeuille SP2'!#REF!,"&lt;&gt;")</f>
        <v>#REF!</v>
      </c>
      <c r="AJ78" s="111" t="e">
        <f>SUMIFS('Portefeuille SP2'!$U:$U,'Portefeuille SP2'!#REF!,1,'Portefeuille SP2'!$Q:$Q,"DECIDED",'Portefeuille SP2'!#REF!,"R",'Portefeuille SP2'!$D:$D,$A78,'Portefeuille SP2'!#REF!,"o",'Portefeuille SP2'!#REF!,"&lt;&gt;")</f>
        <v>#REF!</v>
      </c>
      <c r="AK78" s="126" t="e">
        <f>SUMIFS('Portefeuille SP2'!#REF!,'Portefeuille SP2'!#REF!,1,'Portefeuille SP2'!$Q:$Q,"DECIDED",'Portefeuille SP2'!#REF!,"R",'Portefeuille SP2'!$D:$D,$A78,'Portefeuille SP2'!#REF!,"o",'Portefeuille SP2'!#REF!,"&lt;&gt;")</f>
        <v>#REF!</v>
      </c>
      <c r="AL78" s="117" t="e">
        <f>SUMIFS('Portefeuille SP2'!#REF!,'Portefeuille SP2'!#REF!,1,'Portefeuille SP2'!$Q:$Q,"DECIDED",'Portefeuille SP2'!#REF!,"R",'Portefeuille SP2'!$D:$D,$A78,'Portefeuille SP2'!#REF!,"o",'Portefeuille SP2'!#REF!,"&lt;&gt;")</f>
        <v>#REF!</v>
      </c>
      <c r="AM78" s="117"/>
    </row>
    <row r="79" spans="1:77" outlineLevel="1">
      <c r="A79" t="s">
        <v>1316</v>
      </c>
      <c r="B79" s="139" t="e">
        <f>SUMIFS('Portefeuille SP2'!$U:$U,'Portefeuille SP2'!#REF!,1,'Portefeuille SP2'!$Q:$Q,"IN PROGRESS",'Portefeuille SP2'!#REF!,"G",'Portefeuille SP2'!$D:$D,$A79,'Portefeuille SP2'!#REF!,"S")</f>
        <v>#REF!</v>
      </c>
      <c r="C79" s="126" t="e">
        <f>SUMIFS('Portefeuille SP2'!#REF!,'Portefeuille SP2'!#REF!,1,'Portefeuille SP2'!$Q:$Q,"IN PROGRESS",'Portefeuille SP2'!#REF!,"G",'Portefeuille SP2'!$D:$D,$A79,'Portefeuille SP2'!#REF!,"S")</f>
        <v>#REF!</v>
      </c>
      <c r="D79" s="122" t="e">
        <f>SUMIFS('Portefeuille SP2'!#REF!,'Portefeuille SP2'!#REF!,1,'Portefeuille SP2'!$Q:$Q,"IN PROGRESS",'Portefeuille SP2'!#REF!,"G",'Portefeuille SP2'!$D:$D,$A79,'Portefeuille SP2'!#REF!,"S")</f>
        <v>#REF!</v>
      </c>
      <c r="E79" s="111" t="e">
        <f>SUMIFS('Portefeuille SP2'!$U:$U,'Portefeuille SP2'!#REF!,1,'Portefeuille SP2'!$Q:$Q,"IN PROGRESS",'Portefeuille SP2'!#REF!,"R",'Portefeuille SP2'!$D:$D,$A79,'Portefeuille SP2'!#REF!,"S")</f>
        <v>#REF!</v>
      </c>
      <c r="F79" s="126" t="e">
        <f>SUMIFS('Portefeuille SP2'!#REF!,'Portefeuille SP2'!#REF!,1,'Portefeuille SP2'!$Q:$Q,"IN PROGRESS",'Portefeuille SP2'!#REF!,"R",'Portefeuille SP2'!$D:$D,$A79,'Portefeuille SP2'!#REF!,"S")</f>
        <v>#REF!</v>
      </c>
      <c r="G79" s="117" t="e">
        <f>SUMIFS('Portefeuille SP2'!#REF!,'Portefeuille SP2'!#REF!,1,'Portefeuille SP2'!$Q:$Q,"IN PROGRESS",'Portefeuille SP2'!#REF!,"R",'Portefeuille SP2'!$D:$D,$A79,'Portefeuille SP2'!#REF!,"S")</f>
        <v>#REF!</v>
      </c>
      <c r="H79" s="111" t="e">
        <f>SUMIFS('Portefeuille SP2'!$U:$U,'Portefeuille SP2'!#REF!,1,'Portefeuille SP2'!$Q:$Q,"DECIDED",'Portefeuille SP2'!#REF!,"G",'Portefeuille SP2'!$D:$D,$A79,'Portefeuille SP2'!#REF!,"S",'Portefeuille SP2'!#REF!,"=")</f>
        <v>#REF!</v>
      </c>
      <c r="I79" s="117" t="e">
        <f>SUMIFS('Portefeuille SP2'!#REF!,'Portefeuille SP2'!#REF!,1,'Portefeuille SP2'!$Q:$Q,"DECIDED",'Portefeuille SP2'!#REF!,"G",'Portefeuille SP2'!$D:$D,$A79,'Portefeuille SP2'!#REF!,"S",'Portefeuille SP2'!#REF!,"=")</f>
        <v>#REF!</v>
      </c>
      <c r="J79" s="117" t="e">
        <f>SUMIFS('Portefeuille SP2'!#REF!,'Portefeuille SP2'!#REF!,1,'Portefeuille SP2'!$Q:$Q,"DECIDED",'Portefeuille SP2'!#REF!,"G",'Portefeuille SP2'!$D:$D,$A79,'Portefeuille SP2'!#REF!,"S",'Portefeuille SP2'!#REF!,"=")</f>
        <v>#REF!</v>
      </c>
      <c r="K79" s="111" t="e">
        <f>SUMIFS('Portefeuille SP2'!$U:$U,'Portefeuille SP2'!#REF!,1,'Portefeuille SP2'!$Q:$Q,"DECIDED",'Portefeuille SP2'!#REF!,"R",'Portefeuille SP2'!$D:$D,$A79,'Portefeuille SP2'!#REF!,"S",'Portefeuille SP2'!#REF!,"=")</f>
        <v>#REF!</v>
      </c>
      <c r="L79" s="126" t="e">
        <f>SUMIFS('Portefeuille SP2'!#REF!,'Portefeuille SP2'!#REF!,1,'Portefeuille SP2'!$Q:$Q,"DECIDED",'Portefeuille SP2'!#REF!,"R",'Portefeuille SP2'!$D:$D,$A79,'Portefeuille SP2'!#REF!,"S",'Portefeuille SP2'!#REF!,"=")</f>
        <v>#REF!</v>
      </c>
      <c r="M79" s="117" t="e">
        <f>SUMIFS('Portefeuille SP2'!#REF!,'Portefeuille SP2'!#REF!,1,'Portefeuille SP2'!$Q:$Q,"DECIDED",'Portefeuille SP2'!#REF!,"R",'Portefeuille SP2'!$D:$D,$A79,'Portefeuille SP2'!#REF!,"S",'Portefeuille SP2'!#REF!,"=")</f>
        <v>#REF!</v>
      </c>
      <c r="N79" s="111" t="e">
        <f>SUMIFS('Portefeuille SP2'!$U:$U,'Portefeuille SP2'!#REF!,1,'Portefeuille SP2'!$Q:$Q,"DECIDED",'Portefeuille SP2'!#REF!,"G",'Portefeuille SP2'!$D:$D,$A79,'Portefeuille SP2'!#REF!,"S",'Portefeuille SP2'!#REF!,"&lt;&gt;")</f>
        <v>#REF!</v>
      </c>
      <c r="O79" s="126" t="e">
        <f>SUMIFS('Portefeuille SP2'!#REF!,'Portefeuille SP2'!#REF!,1,'Portefeuille SP2'!$Q:$Q,"DECIDED",'Portefeuille SP2'!#REF!,"G",'Portefeuille SP2'!$D:$D,$A79,'Portefeuille SP2'!#REF!,"S",'Portefeuille SP2'!#REF!,"&lt;&gt;")</f>
        <v>#REF!</v>
      </c>
      <c r="P79" s="117" t="e">
        <f>SUMIFS('Portefeuille SP2'!#REF!,'Portefeuille SP2'!#REF!,1,'Portefeuille SP2'!$Q:$Q,"DECIDED",'Portefeuille SP2'!#REF!,"G",'Portefeuille SP2'!$D:$D,$A79,'Portefeuille SP2'!#REF!,"S",'Portefeuille SP2'!#REF!,"&lt;&gt;")</f>
        <v>#REF!</v>
      </c>
      <c r="Q79" s="111" t="e">
        <f>SUMIFS('Portefeuille SP2'!$U:$U,'Portefeuille SP2'!#REF!,1,'Portefeuille SP2'!$Q:$Q,"DECIDED",'Portefeuille SP2'!#REF!,"R",'Portefeuille SP2'!$D:$D,$A79,'Portefeuille SP2'!#REF!,"S",'Portefeuille SP2'!#REF!,"&lt;&gt;")</f>
        <v>#REF!</v>
      </c>
      <c r="R79" s="126" t="e">
        <f>SUMIFS('Portefeuille SP2'!#REF!,'Portefeuille SP2'!#REF!,1,'Portefeuille SP2'!$Q:$Q,"DECIDED",'Portefeuille SP2'!#REF!,"R",'Portefeuille SP2'!$D:$D,$A79,'Portefeuille SP2'!#REF!,"S",'Portefeuille SP2'!#REF!,"&lt;&gt;")</f>
        <v>#REF!</v>
      </c>
      <c r="S79" s="122" t="e">
        <f>SUMIFS('Portefeuille SP2'!#REF!,'Portefeuille SP2'!#REF!,1,'Portefeuille SP2'!$Q:$Q,"DECIDED",'Portefeuille SP2'!#REF!,"R",'Portefeuille SP2'!$D:$D,$A79,'Portefeuille SP2'!#REF!,"S",'Portefeuille SP2'!#REF!,"&lt;&gt;")</f>
        <v>#REF!</v>
      </c>
      <c r="U79" s="111" t="e">
        <f>SUMIFS('Portefeuille SP2'!$U:$U,'Portefeuille SP2'!#REF!,1,'Portefeuille SP2'!$Q:$Q,"IN PROGRESS",'Portefeuille SP2'!#REF!,"G",'Portefeuille SP2'!$D:$D,$A79,'Portefeuille SP2'!#REF!,"O")</f>
        <v>#REF!</v>
      </c>
      <c r="V79" s="126" t="e">
        <f>SUMIFS('Portefeuille SP2'!#REF!,'Portefeuille SP2'!#REF!,1,'Portefeuille SP2'!$Q:$Q,"IN PROGRESS",'Portefeuille SP2'!#REF!,"G",'Portefeuille SP2'!$D:$D,$A79,'Portefeuille SP2'!#REF!,"o")</f>
        <v>#REF!</v>
      </c>
      <c r="W79" s="117" t="e">
        <f>SUMIFS('Portefeuille SP2'!#REF!,'Portefeuille SP2'!#REF!,1,'Portefeuille SP2'!$Q:$Q,"IN PROGRESS",'Portefeuille SP2'!#REF!,"G",'Portefeuille SP2'!$D:$D,$A79,'Portefeuille SP2'!#REF!,"o")</f>
        <v>#REF!</v>
      </c>
      <c r="X79" s="111" t="e">
        <f>SUMIFS('Portefeuille SP2'!$U:$U,'Portefeuille SP2'!#REF!,1,'Portefeuille SP2'!$Q:$Q,"IN PROGRESS",'Portefeuille SP2'!#REF!,"R",'Portefeuille SP2'!$D:$D,$A79,'Portefeuille SP2'!#REF!,"o")</f>
        <v>#REF!</v>
      </c>
      <c r="Y79" s="126" t="e">
        <f>SUMIFS('Portefeuille SP2'!#REF!,'Portefeuille SP2'!#REF!,1,'Portefeuille SP2'!$Q:$Q,"IN PROGRESS",'Portefeuille SP2'!#REF!,"R",'Portefeuille SP2'!$D:$D,$A79,'Portefeuille SP2'!#REF!,"o")</f>
        <v>#REF!</v>
      </c>
      <c r="Z79" s="117" t="e">
        <f>SUMIFS('Portefeuille SP2'!#REF!,'Portefeuille SP2'!#REF!,1,'Portefeuille SP2'!$Q:$Q,"IN PROGRESS",'Portefeuille SP2'!#REF!,"R",'Portefeuille SP2'!$D:$D,$A79,'Portefeuille SP2'!#REF!,"o")</f>
        <v>#REF!</v>
      </c>
      <c r="AA79" s="111" t="e">
        <f>SUMIFS('Portefeuille SP2'!$U:$U,'Portefeuille SP2'!#REF!,1,'Portefeuille SP2'!$Q:$Q,"DECIDED",'Portefeuille SP2'!#REF!,"G",'Portefeuille SP2'!$D:$D,$A79,'Portefeuille SP2'!#REF!,"o",'Portefeuille SP2'!#REF!,"=")</f>
        <v>#REF!</v>
      </c>
      <c r="AB79" s="126" t="e">
        <f>SUMIFS('Portefeuille SP2'!#REF!,'Portefeuille SP2'!#REF!,1,'Portefeuille SP2'!$Q:$Q,"DECIDED",'Portefeuille SP2'!#REF!,"G",'Portefeuille SP2'!$D:$D,$A79,'Portefeuille SP2'!#REF!,"o",'Portefeuille SP2'!#REF!,"=")</f>
        <v>#REF!</v>
      </c>
      <c r="AC79" s="117" t="e">
        <f>SUMIFS('Portefeuille SP2'!#REF!,'Portefeuille SP2'!#REF!,1,'Portefeuille SP2'!$Q:$Q,"DECIDED",'Portefeuille SP2'!#REF!,"G",'Portefeuille SP2'!$D:$D,$A79,'Portefeuille SP2'!#REF!,"o",'Portefeuille SP2'!#REF!,"=")</f>
        <v>#REF!</v>
      </c>
      <c r="AD79" s="111" t="e">
        <f>SUMIFS('Portefeuille SP2'!$U:$U,'Portefeuille SP2'!#REF!,1,'Portefeuille SP2'!$Q:$Q,"DECIDED",'Portefeuille SP2'!#REF!,"R",'Portefeuille SP2'!$D:$D,$A79,'Portefeuille SP2'!#REF!,"o",'Portefeuille SP2'!#REF!,"=")</f>
        <v>#REF!</v>
      </c>
      <c r="AE79" s="126" t="e">
        <f>SUMIFS('Portefeuille SP2'!#REF!,'Portefeuille SP2'!#REF!,1,'Portefeuille SP2'!$Q:$Q,"DECIDED",'Portefeuille SP2'!#REF!,"R",'Portefeuille SP2'!$D:$D,$A79,'Portefeuille SP2'!#REF!,"o",'Portefeuille SP2'!#REF!,"=")</f>
        <v>#REF!</v>
      </c>
      <c r="AF79" s="117" t="e">
        <f>SUMIFS('Portefeuille SP2'!#REF!,'Portefeuille SP2'!#REF!,1,'Portefeuille SP2'!$Q:$Q,"DECIDED",'Portefeuille SP2'!#REF!,"R",'Portefeuille SP2'!$D:$D,$A79,'Portefeuille SP2'!#REF!,"o",'Portefeuille SP2'!#REF!,"=")</f>
        <v>#REF!</v>
      </c>
      <c r="AG79" s="111" t="e">
        <f>SUMIFS('Portefeuille SP2'!$U:$U,'Portefeuille SP2'!#REF!,1,'Portefeuille SP2'!$Q:$Q,"DECIDED",'Portefeuille SP2'!#REF!,"G",'Portefeuille SP2'!$D:$D,$A79,'Portefeuille SP2'!#REF!,"o",'Portefeuille SP2'!#REF!,"&lt;&gt;")</f>
        <v>#REF!</v>
      </c>
      <c r="AH79" s="126" t="e">
        <f>SUMIFS('Portefeuille SP2'!#REF!,'Portefeuille SP2'!#REF!,1,'Portefeuille SP2'!$Q:$Q,"DECIDED",'Portefeuille SP2'!#REF!,"G",'Portefeuille SP2'!$D:$D,$A79,'Portefeuille SP2'!#REF!,"o",'Portefeuille SP2'!#REF!,"&lt;&gt;")</f>
        <v>#REF!</v>
      </c>
      <c r="AI79" s="117" t="e">
        <f>SUMIFS('Portefeuille SP2'!#REF!,'Portefeuille SP2'!#REF!,1,'Portefeuille SP2'!$Q:$Q,"DECIDED",'Portefeuille SP2'!#REF!,"G",'Portefeuille SP2'!$D:$D,$A79,'Portefeuille SP2'!#REF!,"o",'Portefeuille SP2'!#REF!,"&lt;&gt;")</f>
        <v>#REF!</v>
      </c>
      <c r="AJ79" s="111" t="e">
        <f>SUMIFS('Portefeuille SP2'!$U:$U,'Portefeuille SP2'!#REF!,1,'Portefeuille SP2'!$Q:$Q,"DECIDED",'Portefeuille SP2'!#REF!,"R",'Portefeuille SP2'!$D:$D,$A79,'Portefeuille SP2'!#REF!,"o",'Portefeuille SP2'!#REF!,"&lt;&gt;")</f>
        <v>#REF!</v>
      </c>
      <c r="AK79" s="126" t="e">
        <f>SUMIFS('Portefeuille SP2'!#REF!,'Portefeuille SP2'!#REF!,1,'Portefeuille SP2'!$Q:$Q,"DECIDED",'Portefeuille SP2'!#REF!,"R",'Portefeuille SP2'!$D:$D,$A79,'Portefeuille SP2'!#REF!,"o",'Portefeuille SP2'!#REF!,"&lt;&gt;")</f>
        <v>#REF!</v>
      </c>
      <c r="AL79" s="117" t="e">
        <f>SUMIFS('Portefeuille SP2'!#REF!,'Portefeuille SP2'!#REF!,1,'Portefeuille SP2'!$Q:$Q,"DECIDED",'Portefeuille SP2'!#REF!,"R",'Portefeuille SP2'!$D:$D,$A79,'Portefeuille SP2'!#REF!,"o",'Portefeuille SP2'!#REF!,"&lt;&gt;")</f>
        <v>#REF!</v>
      </c>
      <c r="AM79" s="117"/>
    </row>
    <row r="80" spans="1:77" outlineLevel="1">
      <c r="A80" t="s">
        <v>1324</v>
      </c>
      <c r="B80" s="139" t="e">
        <f>SUMIFS('Portefeuille SP2'!$U:$U,'Portefeuille SP2'!#REF!,1,'Portefeuille SP2'!$Q:$Q,"IN PROGRESS",'Portefeuille SP2'!#REF!,"G",'Portefeuille SP2'!$D:$D,$A80,'Portefeuille SP2'!#REF!,"S")</f>
        <v>#REF!</v>
      </c>
      <c r="C80" s="126" t="e">
        <f>SUMIFS('Portefeuille SP2'!#REF!,'Portefeuille SP2'!#REF!,1,'Portefeuille SP2'!$Q:$Q,"IN PROGRESS",'Portefeuille SP2'!#REF!,"G",'Portefeuille SP2'!$D:$D,$A80,'Portefeuille SP2'!#REF!,"S")</f>
        <v>#REF!</v>
      </c>
      <c r="D80" s="122" t="e">
        <f>SUMIFS('Portefeuille SP2'!#REF!,'Portefeuille SP2'!#REF!,1,'Portefeuille SP2'!$Q:$Q,"IN PROGRESS",'Portefeuille SP2'!#REF!,"G",'Portefeuille SP2'!$D:$D,$A80,'Portefeuille SP2'!#REF!,"S")</f>
        <v>#REF!</v>
      </c>
      <c r="E80" s="111" t="e">
        <f>SUMIFS('Portefeuille SP2'!$U:$U,'Portefeuille SP2'!#REF!,1,'Portefeuille SP2'!$Q:$Q,"IN PROGRESS",'Portefeuille SP2'!#REF!,"R",'Portefeuille SP2'!$D:$D,$A80,'Portefeuille SP2'!#REF!,"S")</f>
        <v>#REF!</v>
      </c>
      <c r="F80" s="126" t="e">
        <f>SUMIFS('Portefeuille SP2'!#REF!,'Portefeuille SP2'!#REF!,1,'Portefeuille SP2'!$Q:$Q,"IN PROGRESS",'Portefeuille SP2'!#REF!,"R",'Portefeuille SP2'!$D:$D,$A80,'Portefeuille SP2'!#REF!,"S")</f>
        <v>#REF!</v>
      </c>
      <c r="G80" s="117" t="e">
        <f>SUMIFS('Portefeuille SP2'!#REF!,'Portefeuille SP2'!#REF!,1,'Portefeuille SP2'!$Q:$Q,"IN PROGRESS",'Portefeuille SP2'!#REF!,"R",'Portefeuille SP2'!$D:$D,$A80,'Portefeuille SP2'!#REF!,"S")</f>
        <v>#REF!</v>
      </c>
      <c r="H80" s="111" t="e">
        <f>SUMIFS('Portefeuille SP2'!$U:$U,'Portefeuille SP2'!#REF!,1,'Portefeuille SP2'!$Q:$Q,"DECIDED",'Portefeuille SP2'!#REF!,"G",'Portefeuille SP2'!$D:$D,$A80,'Portefeuille SP2'!#REF!,"S",'Portefeuille SP2'!#REF!,"=")</f>
        <v>#REF!</v>
      </c>
      <c r="I80" s="117" t="e">
        <f>SUMIFS('Portefeuille SP2'!#REF!,'Portefeuille SP2'!#REF!,1,'Portefeuille SP2'!$Q:$Q,"DECIDED",'Portefeuille SP2'!#REF!,"G",'Portefeuille SP2'!$D:$D,$A80,'Portefeuille SP2'!#REF!,"S",'Portefeuille SP2'!#REF!,"=")</f>
        <v>#REF!</v>
      </c>
      <c r="J80" s="117" t="e">
        <f>SUMIFS('Portefeuille SP2'!#REF!,'Portefeuille SP2'!#REF!,1,'Portefeuille SP2'!$Q:$Q,"DECIDED",'Portefeuille SP2'!#REF!,"G",'Portefeuille SP2'!$D:$D,$A80,'Portefeuille SP2'!#REF!,"S",'Portefeuille SP2'!#REF!,"=")</f>
        <v>#REF!</v>
      </c>
      <c r="K80" s="111" t="e">
        <f>SUMIFS('Portefeuille SP2'!$U:$U,'Portefeuille SP2'!#REF!,1,'Portefeuille SP2'!$Q:$Q,"DECIDED",'Portefeuille SP2'!#REF!,"R",'Portefeuille SP2'!$D:$D,$A80,'Portefeuille SP2'!#REF!,"S",'Portefeuille SP2'!#REF!,"=")</f>
        <v>#REF!</v>
      </c>
      <c r="L80" s="126" t="e">
        <f>SUMIFS('Portefeuille SP2'!#REF!,'Portefeuille SP2'!#REF!,1,'Portefeuille SP2'!$Q:$Q,"DECIDED",'Portefeuille SP2'!#REF!,"R",'Portefeuille SP2'!$D:$D,$A80,'Portefeuille SP2'!#REF!,"S",'Portefeuille SP2'!#REF!,"=")</f>
        <v>#REF!</v>
      </c>
      <c r="M80" s="117" t="e">
        <f>SUMIFS('Portefeuille SP2'!#REF!,'Portefeuille SP2'!#REF!,1,'Portefeuille SP2'!$Q:$Q,"DECIDED",'Portefeuille SP2'!#REF!,"R",'Portefeuille SP2'!$D:$D,$A80,'Portefeuille SP2'!#REF!,"S",'Portefeuille SP2'!#REF!,"=")</f>
        <v>#REF!</v>
      </c>
      <c r="N80" s="111" t="e">
        <f>SUMIFS('Portefeuille SP2'!$U:$U,'Portefeuille SP2'!#REF!,1,'Portefeuille SP2'!$Q:$Q,"DECIDED",'Portefeuille SP2'!#REF!,"G",'Portefeuille SP2'!$D:$D,$A80,'Portefeuille SP2'!#REF!,"S",'Portefeuille SP2'!#REF!,"&lt;&gt;")</f>
        <v>#REF!</v>
      </c>
      <c r="O80" s="126" t="e">
        <f>SUMIFS('Portefeuille SP2'!#REF!,'Portefeuille SP2'!#REF!,1,'Portefeuille SP2'!$Q:$Q,"DECIDED",'Portefeuille SP2'!#REF!,"G",'Portefeuille SP2'!$D:$D,$A80,'Portefeuille SP2'!#REF!,"S",'Portefeuille SP2'!#REF!,"&lt;&gt;")</f>
        <v>#REF!</v>
      </c>
      <c r="P80" s="117" t="e">
        <f>SUMIFS('Portefeuille SP2'!#REF!,'Portefeuille SP2'!#REF!,1,'Portefeuille SP2'!$Q:$Q,"DECIDED",'Portefeuille SP2'!#REF!,"G",'Portefeuille SP2'!$D:$D,$A80,'Portefeuille SP2'!#REF!,"S",'Portefeuille SP2'!#REF!,"&lt;&gt;")</f>
        <v>#REF!</v>
      </c>
      <c r="Q80" s="111" t="e">
        <f>SUMIFS('Portefeuille SP2'!$U:$U,'Portefeuille SP2'!#REF!,1,'Portefeuille SP2'!$Q:$Q,"DECIDED",'Portefeuille SP2'!#REF!,"R",'Portefeuille SP2'!$D:$D,$A80,'Portefeuille SP2'!#REF!,"S",'Portefeuille SP2'!#REF!,"&lt;&gt;")</f>
        <v>#REF!</v>
      </c>
      <c r="R80" s="126" t="e">
        <f>SUMIFS('Portefeuille SP2'!#REF!,'Portefeuille SP2'!#REF!,1,'Portefeuille SP2'!$Q:$Q,"DECIDED",'Portefeuille SP2'!#REF!,"R",'Portefeuille SP2'!$D:$D,$A80,'Portefeuille SP2'!#REF!,"S",'Portefeuille SP2'!#REF!,"&lt;&gt;")</f>
        <v>#REF!</v>
      </c>
      <c r="S80" s="122" t="e">
        <f>SUMIFS('Portefeuille SP2'!#REF!,'Portefeuille SP2'!#REF!,1,'Portefeuille SP2'!$Q:$Q,"DECIDED",'Portefeuille SP2'!#REF!,"R",'Portefeuille SP2'!$D:$D,$A80,'Portefeuille SP2'!#REF!,"S",'Portefeuille SP2'!#REF!,"&lt;&gt;")</f>
        <v>#REF!</v>
      </c>
      <c r="U80" s="111" t="e">
        <f>SUMIFS('Portefeuille SP2'!$U:$U,'Portefeuille SP2'!#REF!,1,'Portefeuille SP2'!$Q:$Q,"IN PROGRESS",'Portefeuille SP2'!#REF!,"G",'Portefeuille SP2'!$D:$D,$A80,'Portefeuille SP2'!#REF!,"O")</f>
        <v>#REF!</v>
      </c>
      <c r="V80" s="126" t="e">
        <f>SUMIFS('Portefeuille SP2'!#REF!,'Portefeuille SP2'!#REF!,1,'Portefeuille SP2'!$Q:$Q,"IN PROGRESS",'Portefeuille SP2'!#REF!,"G",'Portefeuille SP2'!$D:$D,$A80,'Portefeuille SP2'!#REF!,"o")</f>
        <v>#REF!</v>
      </c>
      <c r="W80" s="117" t="e">
        <f>SUMIFS('Portefeuille SP2'!#REF!,'Portefeuille SP2'!#REF!,1,'Portefeuille SP2'!$Q:$Q,"IN PROGRESS",'Portefeuille SP2'!#REF!,"G",'Portefeuille SP2'!$D:$D,$A80,'Portefeuille SP2'!#REF!,"o")</f>
        <v>#REF!</v>
      </c>
      <c r="X80" s="111" t="e">
        <f>SUMIFS('Portefeuille SP2'!$U:$U,'Portefeuille SP2'!#REF!,1,'Portefeuille SP2'!$Q:$Q,"IN PROGRESS",'Portefeuille SP2'!#REF!,"R",'Portefeuille SP2'!$D:$D,$A80,'Portefeuille SP2'!#REF!,"o")</f>
        <v>#REF!</v>
      </c>
      <c r="Y80" s="126" t="e">
        <f>SUMIFS('Portefeuille SP2'!#REF!,'Portefeuille SP2'!#REF!,1,'Portefeuille SP2'!$Q:$Q,"IN PROGRESS",'Portefeuille SP2'!#REF!,"R",'Portefeuille SP2'!$D:$D,$A80,'Portefeuille SP2'!#REF!,"o")</f>
        <v>#REF!</v>
      </c>
      <c r="Z80" s="117" t="e">
        <f>SUMIFS('Portefeuille SP2'!#REF!,'Portefeuille SP2'!#REF!,1,'Portefeuille SP2'!$Q:$Q,"IN PROGRESS",'Portefeuille SP2'!#REF!,"R",'Portefeuille SP2'!$D:$D,$A80,'Portefeuille SP2'!#REF!,"o")</f>
        <v>#REF!</v>
      </c>
      <c r="AA80" s="111" t="e">
        <f>SUMIFS('Portefeuille SP2'!$U:$U,'Portefeuille SP2'!#REF!,1,'Portefeuille SP2'!$Q:$Q,"DECIDED",'Portefeuille SP2'!#REF!,"G",'Portefeuille SP2'!$D:$D,$A80,'Portefeuille SP2'!#REF!,"o",'Portefeuille SP2'!#REF!,"=")</f>
        <v>#REF!</v>
      </c>
      <c r="AB80" s="126" t="e">
        <f>SUMIFS('Portefeuille SP2'!#REF!,'Portefeuille SP2'!#REF!,1,'Portefeuille SP2'!$Q:$Q,"DECIDED",'Portefeuille SP2'!#REF!,"G",'Portefeuille SP2'!$D:$D,$A80,'Portefeuille SP2'!#REF!,"o",'Portefeuille SP2'!#REF!,"=")</f>
        <v>#REF!</v>
      </c>
      <c r="AC80" s="117" t="e">
        <f>SUMIFS('Portefeuille SP2'!#REF!,'Portefeuille SP2'!#REF!,1,'Portefeuille SP2'!$Q:$Q,"DECIDED",'Portefeuille SP2'!#REF!,"G",'Portefeuille SP2'!$D:$D,$A80,'Portefeuille SP2'!#REF!,"o",'Portefeuille SP2'!#REF!,"=")</f>
        <v>#REF!</v>
      </c>
      <c r="AD80" s="111" t="e">
        <f>SUMIFS('Portefeuille SP2'!$U:$U,'Portefeuille SP2'!#REF!,1,'Portefeuille SP2'!$Q:$Q,"DECIDED",'Portefeuille SP2'!#REF!,"R",'Portefeuille SP2'!$D:$D,$A80,'Portefeuille SP2'!#REF!,"o",'Portefeuille SP2'!#REF!,"=")</f>
        <v>#REF!</v>
      </c>
      <c r="AE80" s="126" t="e">
        <f>SUMIFS('Portefeuille SP2'!#REF!,'Portefeuille SP2'!#REF!,1,'Portefeuille SP2'!$Q:$Q,"DECIDED",'Portefeuille SP2'!#REF!,"R",'Portefeuille SP2'!$D:$D,$A80,'Portefeuille SP2'!#REF!,"o",'Portefeuille SP2'!#REF!,"=")</f>
        <v>#REF!</v>
      </c>
      <c r="AF80" s="117" t="e">
        <f>SUMIFS('Portefeuille SP2'!#REF!,'Portefeuille SP2'!#REF!,1,'Portefeuille SP2'!$Q:$Q,"DECIDED",'Portefeuille SP2'!#REF!,"R",'Portefeuille SP2'!$D:$D,$A80,'Portefeuille SP2'!#REF!,"o",'Portefeuille SP2'!#REF!,"=")</f>
        <v>#REF!</v>
      </c>
      <c r="AG80" s="111" t="e">
        <f>SUMIFS('Portefeuille SP2'!$U:$U,'Portefeuille SP2'!#REF!,1,'Portefeuille SP2'!$Q:$Q,"DECIDED",'Portefeuille SP2'!#REF!,"G",'Portefeuille SP2'!$D:$D,$A80,'Portefeuille SP2'!#REF!,"o",'Portefeuille SP2'!#REF!,"&lt;&gt;")</f>
        <v>#REF!</v>
      </c>
      <c r="AH80" s="126" t="e">
        <f>SUMIFS('Portefeuille SP2'!#REF!,'Portefeuille SP2'!#REF!,1,'Portefeuille SP2'!$Q:$Q,"DECIDED",'Portefeuille SP2'!#REF!,"G",'Portefeuille SP2'!$D:$D,$A80,'Portefeuille SP2'!#REF!,"o",'Portefeuille SP2'!#REF!,"&lt;&gt;")</f>
        <v>#REF!</v>
      </c>
      <c r="AI80" s="117" t="e">
        <f>SUMIFS('Portefeuille SP2'!#REF!,'Portefeuille SP2'!#REF!,1,'Portefeuille SP2'!$Q:$Q,"DECIDED",'Portefeuille SP2'!#REF!,"G",'Portefeuille SP2'!$D:$D,$A80,'Portefeuille SP2'!#REF!,"o",'Portefeuille SP2'!#REF!,"&lt;&gt;")</f>
        <v>#REF!</v>
      </c>
      <c r="AJ80" s="111" t="e">
        <f>SUMIFS('Portefeuille SP2'!$U:$U,'Portefeuille SP2'!#REF!,1,'Portefeuille SP2'!$Q:$Q,"DECIDED",'Portefeuille SP2'!#REF!,"R",'Portefeuille SP2'!$D:$D,$A80,'Portefeuille SP2'!#REF!,"o",'Portefeuille SP2'!#REF!,"&lt;&gt;")</f>
        <v>#REF!</v>
      </c>
      <c r="AK80" s="126" t="e">
        <f>SUMIFS('Portefeuille SP2'!#REF!,'Portefeuille SP2'!#REF!,1,'Portefeuille SP2'!$Q:$Q,"DECIDED",'Portefeuille SP2'!#REF!,"R",'Portefeuille SP2'!$D:$D,$A80,'Portefeuille SP2'!#REF!,"o",'Portefeuille SP2'!#REF!,"&lt;&gt;")</f>
        <v>#REF!</v>
      </c>
      <c r="AL80" s="117" t="e">
        <f>SUMIFS('Portefeuille SP2'!#REF!,'Portefeuille SP2'!#REF!,1,'Portefeuille SP2'!$Q:$Q,"DECIDED",'Portefeuille SP2'!#REF!,"R",'Portefeuille SP2'!$D:$D,$A80,'Portefeuille SP2'!#REF!,"o",'Portefeuille SP2'!#REF!,"&lt;&gt;")</f>
        <v>#REF!</v>
      </c>
      <c r="AM80" s="117"/>
    </row>
    <row r="81" spans="1:77" outlineLevel="1">
      <c r="A81" t="s">
        <v>1318</v>
      </c>
      <c r="B81" s="139" t="e">
        <f>SUMIFS('Portefeuille SP2'!$U:$U,'Portefeuille SP2'!#REF!,1,'Portefeuille SP2'!$Q:$Q,"IN PROGRESS",'Portefeuille SP2'!#REF!,"G",'Portefeuille SP2'!$D:$D,$A81,'Portefeuille SP2'!#REF!,"S")</f>
        <v>#REF!</v>
      </c>
      <c r="C81" s="126" t="e">
        <f>SUMIFS('Portefeuille SP2'!#REF!,'Portefeuille SP2'!#REF!,1,'Portefeuille SP2'!$Q:$Q,"IN PROGRESS",'Portefeuille SP2'!#REF!,"G",'Portefeuille SP2'!$D:$D,$A81,'Portefeuille SP2'!#REF!,"S")</f>
        <v>#REF!</v>
      </c>
      <c r="D81" s="122" t="e">
        <f>SUMIFS('Portefeuille SP2'!#REF!,'Portefeuille SP2'!#REF!,1,'Portefeuille SP2'!$Q:$Q,"IN PROGRESS",'Portefeuille SP2'!#REF!,"G",'Portefeuille SP2'!$D:$D,$A81,'Portefeuille SP2'!#REF!,"S")</f>
        <v>#REF!</v>
      </c>
      <c r="E81" s="111" t="e">
        <f>SUMIFS('Portefeuille SP2'!$U:$U,'Portefeuille SP2'!#REF!,1,'Portefeuille SP2'!$Q:$Q,"IN PROGRESS",'Portefeuille SP2'!#REF!,"R",'Portefeuille SP2'!$D:$D,$A81,'Portefeuille SP2'!#REF!,"S")</f>
        <v>#REF!</v>
      </c>
      <c r="F81" s="126" t="e">
        <f>SUMIFS('Portefeuille SP2'!#REF!,'Portefeuille SP2'!#REF!,1,'Portefeuille SP2'!$Q:$Q,"IN PROGRESS",'Portefeuille SP2'!#REF!,"R",'Portefeuille SP2'!$D:$D,$A81,'Portefeuille SP2'!#REF!,"S")</f>
        <v>#REF!</v>
      </c>
      <c r="G81" s="117" t="e">
        <f>SUMIFS('Portefeuille SP2'!#REF!,'Portefeuille SP2'!#REF!,1,'Portefeuille SP2'!$Q:$Q,"IN PROGRESS",'Portefeuille SP2'!#REF!,"R",'Portefeuille SP2'!$D:$D,$A81,'Portefeuille SP2'!#REF!,"S")</f>
        <v>#REF!</v>
      </c>
      <c r="H81" s="111" t="e">
        <f>SUMIFS('Portefeuille SP2'!$U:$U,'Portefeuille SP2'!#REF!,1,'Portefeuille SP2'!$Q:$Q,"DECIDED",'Portefeuille SP2'!#REF!,"G",'Portefeuille SP2'!$D:$D,$A81,'Portefeuille SP2'!#REF!,"S",'Portefeuille SP2'!#REF!,"=")</f>
        <v>#REF!</v>
      </c>
      <c r="I81" s="117" t="e">
        <f>SUMIFS('Portefeuille SP2'!#REF!,'Portefeuille SP2'!#REF!,1,'Portefeuille SP2'!$Q:$Q,"DECIDED",'Portefeuille SP2'!#REF!,"G",'Portefeuille SP2'!$D:$D,$A81,'Portefeuille SP2'!#REF!,"S",'Portefeuille SP2'!#REF!,"=")</f>
        <v>#REF!</v>
      </c>
      <c r="J81" s="117" t="e">
        <f>SUMIFS('Portefeuille SP2'!#REF!,'Portefeuille SP2'!#REF!,1,'Portefeuille SP2'!$Q:$Q,"DECIDED",'Portefeuille SP2'!#REF!,"G",'Portefeuille SP2'!$D:$D,$A81,'Portefeuille SP2'!#REF!,"S",'Portefeuille SP2'!#REF!,"=")</f>
        <v>#REF!</v>
      </c>
      <c r="K81" s="111" t="e">
        <f>SUMIFS('Portefeuille SP2'!$U:$U,'Portefeuille SP2'!#REF!,1,'Portefeuille SP2'!$Q:$Q,"DECIDED",'Portefeuille SP2'!#REF!,"R",'Portefeuille SP2'!$D:$D,$A81,'Portefeuille SP2'!#REF!,"S",'Portefeuille SP2'!#REF!,"=")</f>
        <v>#REF!</v>
      </c>
      <c r="L81" s="126" t="e">
        <f>SUMIFS('Portefeuille SP2'!#REF!,'Portefeuille SP2'!#REF!,1,'Portefeuille SP2'!$Q:$Q,"DECIDED",'Portefeuille SP2'!#REF!,"R",'Portefeuille SP2'!$D:$D,$A81,'Portefeuille SP2'!#REF!,"S",'Portefeuille SP2'!#REF!,"=")</f>
        <v>#REF!</v>
      </c>
      <c r="M81" s="117" t="e">
        <f>SUMIFS('Portefeuille SP2'!#REF!,'Portefeuille SP2'!#REF!,1,'Portefeuille SP2'!$Q:$Q,"DECIDED",'Portefeuille SP2'!#REF!,"R",'Portefeuille SP2'!$D:$D,$A81,'Portefeuille SP2'!#REF!,"S",'Portefeuille SP2'!#REF!,"=")</f>
        <v>#REF!</v>
      </c>
      <c r="N81" s="111" t="e">
        <f>SUMIFS('Portefeuille SP2'!$U:$U,'Portefeuille SP2'!#REF!,1,'Portefeuille SP2'!$Q:$Q,"DECIDED",'Portefeuille SP2'!#REF!,"G",'Portefeuille SP2'!$D:$D,$A81,'Portefeuille SP2'!#REF!,"S",'Portefeuille SP2'!#REF!,"&lt;&gt;")</f>
        <v>#REF!</v>
      </c>
      <c r="O81" s="126" t="e">
        <f>SUMIFS('Portefeuille SP2'!#REF!,'Portefeuille SP2'!#REF!,1,'Portefeuille SP2'!$Q:$Q,"DECIDED",'Portefeuille SP2'!#REF!,"G",'Portefeuille SP2'!$D:$D,$A81,'Portefeuille SP2'!#REF!,"S",'Portefeuille SP2'!#REF!,"&lt;&gt;")</f>
        <v>#REF!</v>
      </c>
      <c r="P81" s="117" t="e">
        <f>SUMIFS('Portefeuille SP2'!#REF!,'Portefeuille SP2'!#REF!,1,'Portefeuille SP2'!$Q:$Q,"DECIDED",'Portefeuille SP2'!#REF!,"G",'Portefeuille SP2'!$D:$D,$A81,'Portefeuille SP2'!#REF!,"S",'Portefeuille SP2'!#REF!,"&lt;&gt;")</f>
        <v>#REF!</v>
      </c>
      <c r="Q81" s="111" t="e">
        <f>SUMIFS('Portefeuille SP2'!$U:$U,'Portefeuille SP2'!#REF!,1,'Portefeuille SP2'!$Q:$Q,"DECIDED",'Portefeuille SP2'!#REF!,"R",'Portefeuille SP2'!$D:$D,$A81,'Portefeuille SP2'!#REF!,"S",'Portefeuille SP2'!#REF!,"&lt;&gt;")</f>
        <v>#REF!</v>
      </c>
      <c r="R81" s="126" t="e">
        <f>SUMIFS('Portefeuille SP2'!#REF!,'Portefeuille SP2'!#REF!,1,'Portefeuille SP2'!$Q:$Q,"DECIDED",'Portefeuille SP2'!#REF!,"R",'Portefeuille SP2'!$D:$D,$A81,'Portefeuille SP2'!#REF!,"S",'Portefeuille SP2'!#REF!,"&lt;&gt;")</f>
        <v>#REF!</v>
      </c>
      <c r="S81" s="122" t="e">
        <f>SUMIFS('Portefeuille SP2'!#REF!,'Portefeuille SP2'!#REF!,1,'Portefeuille SP2'!$Q:$Q,"DECIDED",'Portefeuille SP2'!#REF!,"R",'Portefeuille SP2'!$D:$D,$A81,'Portefeuille SP2'!#REF!,"S",'Portefeuille SP2'!#REF!,"&lt;&gt;")</f>
        <v>#REF!</v>
      </c>
      <c r="U81" s="111" t="e">
        <f>SUMIFS('Portefeuille SP2'!$U:$U,'Portefeuille SP2'!#REF!,1,'Portefeuille SP2'!$Q:$Q,"IN PROGRESS",'Portefeuille SP2'!#REF!,"G",'Portefeuille SP2'!$D:$D,$A81,'Portefeuille SP2'!#REF!,"O")</f>
        <v>#REF!</v>
      </c>
      <c r="V81" s="126" t="e">
        <f>SUMIFS('Portefeuille SP2'!#REF!,'Portefeuille SP2'!#REF!,1,'Portefeuille SP2'!$Q:$Q,"IN PROGRESS",'Portefeuille SP2'!#REF!,"G",'Portefeuille SP2'!$D:$D,$A81,'Portefeuille SP2'!#REF!,"o")</f>
        <v>#REF!</v>
      </c>
      <c r="W81" s="117" t="e">
        <f>SUMIFS('Portefeuille SP2'!#REF!,'Portefeuille SP2'!#REF!,1,'Portefeuille SP2'!$Q:$Q,"IN PROGRESS",'Portefeuille SP2'!#REF!,"G",'Portefeuille SP2'!$D:$D,$A81,'Portefeuille SP2'!#REF!,"o")</f>
        <v>#REF!</v>
      </c>
      <c r="X81" s="111" t="e">
        <f>SUMIFS('Portefeuille SP2'!$U:$U,'Portefeuille SP2'!#REF!,1,'Portefeuille SP2'!$Q:$Q,"IN PROGRESS",'Portefeuille SP2'!#REF!,"R",'Portefeuille SP2'!$D:$D,$A81,'Portefeuille SP2'!#REF!,"o")</f>
        <v>#REF!</v>
      </c>
      <c r="Y81" s="126" t="e">
        <f>SUMIFS('Portefeuille SP2'!#REF!,'Portefeuille SP2'!#REF!,1,'Portefeuille SP2'!$Q:$Q,"IN PROGRESS",'Portefeuille SP2'!#REF!,"R",'Portefeuille SP2'!$D:$D,$A81,'Portefeuille SP2'!#REF!,"o")</f>
        <v>#REF!</v>
      </c>
      <c r="Z81" s="117" t="e">
        <f>SUMIFS('Portefeuille SP2'!#REF!,'Portefeuille SP2'!#REF!,1,'Portefeuille SP2'!$Q:$Q,"IN PROGRESS",'Portefeuille SP2'!#REF!,"R",'Portefeuille SP2'!$D:$D,$A81,'Portefeuille SP2'!#REF!,"o")</f>
        <v>#REF!</v>
      </c>
      <c r="AA81" s="111" t="e">
        <f>SUMIFS('Portefeuille SP2'!$U:$U,'Portefeuille SP2'!#REF!,1,'Portefeuille SP2'!$Q:$Q,"DECIDED",'Portefeuille SP2'!#REF!,"G",'Portefeuille SP2'!$D:$D,$A81,'Portefeuille SP2'!#REF!,"o",'Portefeuille SP2'!#REF!,"=")</f>
        <v>#REF!</v>
      </c>
      <c r="AB81" s="126" t="e">
        <f>SUMIFS('Portefeuille SP2'!#REF!,'Portefeuille SP2'!#REF!,1,'Portefeuille SP2'!$Q:$Q,"DECIDED",'Portefeuille SP2'!#REF!,"G",'Portefeuille SP2'!$D:$D,$A81,'Portefeuille SP2'!#REF!,"o",'Portefeuille SP2'!#REF!,"=")</f>
        <v>#REF!</v>
      </c>
      <c r="AC81" s="117" t="e">
        <f>SUMIFS('Portefeuille SP2'!#REF!,'Portefeuille SP2'!#REF!,1,'Portefeuille SP2'!$Q:$Q,"DECIDED",'Portefeuille SP2'!#REF!,"G",'Portefeuille SP2'!$D:$D,$A81,'Portefeuille SP2'!#REF!,"o",'Portefeuille SP2'!#REF!,"=")</f>
        <v>#REF!</v>
      </c>
      <c r="AD81" s="111" t="e">
        <f>SUMIFS('Portefeuille SP2'!$U:$U,'Portefeuille SP2'!#REF!,1,'Portefeuille SP2'!$Q:$Q,"DECIDED",'Portefeuille SP2'!#REF!,"R",'Portefeuille SP2'!$D:$D,$A81,'Portefeuille SP2'!#REF!,"o",'Portefeuille SP2'!#REF!,"=")</f>
        <v>#REF!</v>
      </c>
      <c r="AE81" s="126" t="e">
        <f>SUMIFS('Portefeuille SP2'!#REF!,'Portefeuille SP2'!#REF!,1,'Portefeuille SP2'!$Q:$Q,"DECIDED",'Portefeuille SP2'!#REF!,"R",'Portefeuille SP2'!$D:$D,$A81,'Portefeuille SP2'!#REF!,"o",'Portefeuille SP2'!#REF!,"=")</f>
        <v>#REF!</v>
      </c>
      <c r="AF81" s="117" t="e">
        <f>SUMIFS('Portefeuille SP2'!#REF!,'Portefeuille SP2'!#REF!,1,'Portefeuille SP2'!$Q:$Q,"DECIDED",'Portefeuille SP2'!#REF!,"R",'Portefeuille SP2'!$D:$D,$A81,'Portefeuille SP2'!#REF!,"o",'Portefeuille SP2'!#REF!,"=")</f>
        <v>#REF!</v>
      </c>
      <c r="AG81" s="111" t="e">
        <f>SUMIFS('Portefeuille SP2'!$U:$U,'Portefeuille SP2'!#REF!,1,'Portefeuille SP2'!$Q:$Q,"DECIDED",'Portefeuille SP2'!#REF!,"G",'Portefeuille SP2'!$D:$D,$A81,'Portefeuille SP2'!#REF!,"o",'Portefeuille SP2'!#REF!,"&lt;&gt;")</f>
        <v>#REF!</v>
      </c>
      <c r="AH81" s="126" t="e">
        <f>SUMIFS('Portefeuille SP2'!#REF!,'Portefeuille SP2'!#REF!,1,'Portefeuille SP2'!$Q:$Q,"DECIDED",'Portefeuille SP2'!#REF!,"G",'Portefeuille SP2'!$D:$D,$A81,'Portefeuille SP2'!#REF!,"o",'Portefeuille SP2'!#REF!,"&lt;&gt;")</f>
        <v>#REF!</v>
      </c>
      <c r="AI81" s="117" t="e">
        <f>SUMIFS('Portefeuille SP2'!#REF!,'Portefeuille SP2'!#REF!,1,'Portefeuille SP2'!$Q:$Q,"DECIDED",'Portefeuille SP2'!#REF!,"G",'Portefeuille SP2'!$D:$D,$A81,'Portefeuille SP2'!#REF!,"o",'Portefeuille SP2'!#REF!,"&lt;&gt;")</f>
        <v>#REF!</v>
      </c>
      <c r="AJ81" s="111" t="e">
        <f>SUMIFS('Portefeuille SP2'!$U:$U,'Portefeuille SP2'!#REF!,1,'Portefeuille SP2'!$Q:$Q,"DECIDED",'Portefeuille SP2'!#REF!,"R",'Portefeuille SP2'!$D:$D,$A81,'Portefeuille SP2'!#REF!,"o",'Portefeuille SP2'!#REF!,"&lt;&gt;")</f>
        <v>#REF!</v>
      </c>
      <c r="AK81" s="126" t="e">
        <f>SUMIFS('Portefeuille SP2'!#REF!,'Portefeuille SP2'!#REF!,1,'Portefeuille SP2'!$Q:$Q,"DECIDED",'Portefeuille SP2'!#REF!,"R",'Portefeuille SP2'!$D:$D,$A81,'Portefeuille SP2'!#REF!,"o",'Portefeuille SP2'!#REF!,"&lt;&gt;")</f>
        <v>#REF!</v>
      </c>
      <c r="AL81" s="117" t="e">
        <f>SUMIFS('Portefeuille SP2'!#REF!,'Portefeuille SP2'!#REF!,1,'Portefeuille SP2'!$Q:$Q,"DECIDED",'Portefeuille SP2'!#REF!,"R",'Portefeuille SP2'!$D:$D,$A81,'Portefeuille SP2'!#REF!,"o",'Portefeuille SP2'!#REF!,"&lt;&gt;")</f>
        <v>#REF!</v>
      </c>
      <c r="AM81" s="117"/>
    </row>
    <row r="82" spans="1:77" outlineLevel="1">
      <c r="A82" t="s">
        <v>1325</v>
      </c>
      <c r="B82" s="139" t="e">
        <f>SUMIFS('Portefeuille SP2'!$U:$U,'Portefeuille SP2'!#REF!,1,'Portefeuille SP2'!$Q:$Q,"IN PROGRESS",'Portefeuille SP2'!#REF!,"G",'Portefeuille SP2'!$D:$D,$A82,'Portefeuille SP2'!#REF!,"S")</f>
        <v>#REF!</v>
      </c>
      <c r="C82" s="126" t="e">
        <f>SUMIFS('Portefeuille SP2'!#REF!,'Portefeuille SP2'!#REF!,1,'Portefeuille SP2'!$Q:$Q,"IN PROGRESS",'Portefeuille SP2'!#REF!,"G",'Portefeuille SP2'!$D:$D,$A82,'Portefeuille SP2'!#REF!,"S")</f>
        <v>#REF!</v>
      </c>
      <c r="D82" s="122" t="e">
        <f>SUMIFS('Portefeuille SP2'!#REF!,'Portefeuille SP2'!#REF!,1,'Portefeuille SP2'!$Q:$Q,"IN PROGRESS",'Portefeuille SP2'!#REF!,"G",'Portefeuille SP2'!$D:$D,$A82,'Portefeuille SP2'!#REF!,"S")</f>
        <v>#REF!</v>
      </c>
      <c r="E82" s="111" t="e">
        <f>SUMIFS('Portefeuille SP2'!$U:$U,'Portefeuille SP2'!#REF!,1,'Portefeuille SP2'!$Q:$Q,"IN PROGRESS",'Portefeuille SP2'!#REF!,"R",'Portefeuille SP2'!$D:$D,$A82,'Portefeuille SP2'!#REF!,"S")</f>
        <v>#REF!</v>
      </c>
      <c r="F82" s="126" t="e">
        <f>SUMIFS('Portefeuille SP2'!#REF!,'Portefeuille SP2'!#REF!,1,'Portefeuille SP2'!$Q:$Q,"IN PROGRESS",'Portefeuille SP2'!#REF!,"R",'Portefeuille SP2'!$D:$D,$A82,'Portefeuille SP2'!#REF!,"S")</f>
        <v>#REF!</v>
      </c>
      <c r="G82" s="117" t="e">
        <f>SUMIFS('Portefeuille SP2'!#REF!,'Portefeuille SP2'!#REF!,1,'Portefeuille SP2'!$Q:$Q,"IN PROGRESS",'Portefeuille SP2'!#REF!,"R",'Portefeuille SP2'!$D:$D,$A82,'Portefeuille SP2'!#REF!,"S")</f>
        <v>#REF!</v>
      </c>
      <c r="H82" s="111" t="e">
        <f>SUMIFS('Portefeuille SP2'!$U:$U,'Portefeuille SP2'!#REF!,1,'Portefeuille SP2'!$Q:$Q,"DECIDED",'Portefeuille SP2'!#REF!,"G",'Portefeuille SP2'!$D:$D,$A82,'Portefeuille SP2'!#REF!,"S",'Portefeuille SP2'!#REF!,"=")</f>
        <v>#REF!</v>
      </c>
      <c r="I82" s="117" t="e">
        <f>SUMIFS('Portefeuille SP2'!#REF!,'Portefeuille SP2'!#REF!,1,'Portefeuille SP2'!$Q:$Q,"DECIDED",'Portefeuille SP2'!#REF!,"G",'Portefeuille SP2'!$D:$D,$A82,'Portefeuille SP2'!#REF!,"S",'Portefeuille SP2'!#REF!,"=")</f>
        <v>#REF!</v>
      </c>
      <c r="J82" s="117" t="e">
        <f>SUMIFS('Portefeuille SP2'!#REF!,'Portefeuille SP2'!#REF!,1,'Portefeuille SP2'!$Q:$Q,"DECIDED",'Portefeuille SP2'!#REF!,"G",'Portefeuille SP2'!$D:$D,$A82,'Portefeuille SP2'!#REF!,"S",'Portefeuille SP2'!#REF!,"=")</f>
        <v>#REF!</v>
      </c>
      <c r="K82" s="111" t="e">
        <f>SUMIFS('Portefeuille SP2'!$U:$U,'Portefeuille SP2'!#REF!,1,'Portefeuille SP2'!$Q:$Q,"DECIDED",'Portefeuille SP2'!#REF!,"R",'Portefeuille SP2'!$D:$D,$A82,'Portefeuille SP2'!#REF!,"S",'Portefeuille SP2'!#REF!,"=")</f>
        <v>#REF!</v>
      </c>
      <c r="L82" s="126" t="e">
        <f>SUMIFS('Portefeuille SP2'!#REF!,'Portefeuille SP2'!#REF!,1,'Portefeuille SP2'!$Q:$Q,"DECIDED",'Portefeuille SP2'!#REF!,"R",'Portefeuille SP2'!$D:$D,$A82,'Portefeuille SP2'!#REF!,"S",'Portefeuille SP2'!#REF!,"=")</f>
        <v>#REF!</v>
      </c>
      <c r="M82" s="117" t="e">
        <f>SUMIFS('Portefeuille SP2'!#REF!,'Portefeuille SP2'!#REF!,1,'Portefeuille SP2'!$Q:$Q,"DECIDED",'Portefeuille SP2'!#REF!,"R",'Portefeuille SP2'!$D:$D,$A82,'Portefeuille SP2'!#REF!,"S",'Portefeuille SP2'!#REF!,"=")</f>
        <v>#REF!</v>
      </c>
      <c r="N82" s="111" t="e">
        <f>SUMIFS('Portefeuille SP2'!$U:$U,'Portefeuille SP2'!#REF!,1,'Portefeuille SP2'!$Q:$Q,"DECIDED",'Portefeuille SP2'!#REF!,"G",'Portefeuille SP2'!$D:$D,$A82,'Portefeuille SP2'!#REF!,"S",'Portefeuille SP2'!#REF!,"&lt;&gt;")</f>
        <v>#REF!</v>
      </c>
      <c r="O82" s="126" t="e">
        <f>SUMIFS('Portefeuille SP2'!#REF!,'Portefeuille SP2'!#REF!,1,'Portefeuille SP2'!$Q:$Q,"DECIDED",'Portefeuille SP2'!#REF!,"G",'Portefeuille SP2'!$D:$D,$A82,'Portefeuille SP2'!#REF!,"S",'Portefeuille SP2'!#REF!,"&lt;&gt;")</f>
        <v>#REF!</v>
      </c>
      <c r="P82" s="117" t="e">
        <f>SUMIFS('Portefeuille SP2'!#REF!,'Portefeuille SP2'!#REF!,1,'Portefeuille SP2'!$Q:$Q,"DECIDED",'Portefeuille SP2'!#REF!,"G",'Portefeuille SP2'!$D:$D,$A82,'Portefeuille SP2'!#REF!,"S",'Portefeuille SP2'!#REF!,"&lt;&gt;")</f>
        <v>#REF!</v>
      </c>
      <c r="Q82" s="111" t="e">
        <f>SUMIFS('Portefeuille SP2'!$U:$U,'Portefeuille SP2'!#REF!,1,'Portefeuille SP2'!$Q:$Q,"DECIDED",'Portefeuille SP2'!#REF!,"R",'Portefeuille SP2'!$D:$D,$A82,'Portefeuille SP2'!#REF!,"S",'Portefeuille SP2'!#REF!,"&lt;&gt;")</f>
        <v>#REF!</v>
      </c>
      <c r="R82" s="126" t="e">
        <f>SUMIFS('Portefeuille SP2'!#REF!,'Portefeuille SP2'!#REF!,1,'Portefeuille SP2'!$Q:$Q,"DECIDED",'Portefeuille SP2'!#REF!,"R",'Portefeuille SP2'!$D:$D,$A82,'Portefeuille SP2'!#REF!,"S",'Portefeuille SP2'!#REF!,"&lt;&gt;")</f>
        <v>#REF!</v>
      </c>
      <c r="S82" s="122" t="e">
        <f>SUMIFS('Portefeuille SP2'!#REF!,'Portefeuille SP2'!#REF!,1,'Portefeuille SP2'!$Q:$Q,"DECIDED",'Portefeuille SP2'!#REF!,"R",'Portefeuille SP2'!$D:$D,$A82,'Portefeuille SP2'!#REF!,"S",'Portefeuille SP2'!#REF!,"&lt;&gt;")</f>
        <v>#REF!</v>
      </c>
      <c r="U82" s="111" t="e">
        <f>SUMIFS('Portefeuille SP2'!$U:$U,'Portefeuille SP2'!#REF!,1,'Portefeuille SP2'!$Q:$Q,"IN PROGRESS",'Portefeuille SP2'!#REF!,"G",'Portefeuille SP2'!$D:$D,$A82,'Portefeuille SP2'!#REF!,"O")</f>
        <v>#REF!</v>
      </c>
      <c r="V82" s="126" t="e">
        <f>SUMIFS('Portefeuille SP2'!#REF!,'Portefeuille SP2'!#REF!,1,'Portefeuille SP2'!$Q:$Q,"IN PROGRESS",'Portefeuille SP2'!#REF!,"G",'Portefeuille SP2'!$D:$D,$A82,'Portefeuille SP2'!#REF!,"o")</f>
        <v>#REF!</v>
      </c>
      <c r="W82" s="117" t="e">
        <f>SUMIFS('Portefeuille SP2'!#REF!,'Portefeuille SP2'!#REF!,1,'Portefeuille SP2'!$Q:$Q,"IN PROGRESS",'Portefeuille SP2'!#REF!,"G",'Portefeuille SP2'!$D:$D,$A82,'Portefeuille SP2'!#REF!,"o")</f>
        <v>#REF!</v>
      </c>
      <c r="X82" s="111" t="e">
        <f>SUMIFS('Portefeuille SP2'!$U:$U,'Portefeuille SP2'!#REF!,1,'Portefeuille SP2'!$Q:$Q,"IN PROGRESS",'Portefeuille SP2'!#REF!,"R",'Portefeuille SP2'!$D:$D,$A82,'Portefeuille SP2'!#REF!,"o")</f>
        <v>#REF!</v>
      </c>
      <c r="Y82" s="126" t="e">
        <f>SUMIFS('Portefeuille SP2'!#REF!,'Portefeuille SP2'!#REF!,1,'Portefeuille SP2'!$Q:$Q,"IN PROGRESS",'Portefeuille SP2'!#REF!,"R",'Portefeuille SP2'!$D:$D,$A82,'Portefeuille SP2'!#REF!,"o")</f>
        <v>#REF!</v>
      </c>
      <c r="Z82" s="117" t="e">
        <f>SUMIFS('Portefeuille SP2'!#REF!,'Portefeuille SP2'!#REF!,1,'Portefeuille SP2'!$Q:$Q,"IN PROGRESS",'Portefeuille SP2'!#REF!,"R",'Portefeuille SP2'!$D:$D,$A82,'Portefeuille SP2'!#REF!,"o")</f>
        <v>#REF!</v>
      </c>
      <c r="AA82" s="111" t="e">
        <f>SUMIFS('Portefeuille SP2'!$U:$U,'Portefeuille SP2'!#REF!,1,'Portefeuille SP2'!$Q:$Q,"DECIDED",'Portefeuille SP2'!#REF!,"G",'Portefeuille SP2'!$D:$D,$A82,'Portefeuille SP2'!#REF!,"o",'Portefeuille SP2'!#REF!,"=")</f>
        <v>#REF!</v>
      </c>
      <c r="AB82" s="126" t="e">
        <f>SUMIFS('Portefeuille SP2'!#REF!,'Portefeuille SP2'!#REF!,1,'Portefeuille SP2'!$Q:$Q,"DECIDED",'Portefeuille SP2'!#REF!,"G",'Portefeuille SP2'!$D:$D,$A82,'Portefeuille SP2'!#REF!,"o",'Portefeuille SP2'!#REF!,"=")</f>
        <v>#REF!</v>
      </c>
      <c r="AC82" s="117" t="e">
        <f>SUMIFS('Portefeuille SP2'!#REF!,'Portefeuille SP2'!#REF!,1,'Portefeuille SP2'!$Q:$Q,"DECIDED",'Portefeuille SP2'!#REF!,"G",'Portefeuille SP2'!$D:$D,$A82,'Portefeuille SP2'!#REF!,"o",'Portefeuille SP2'!#REF!,"=")</f>
        <v>#REF!</v>
      </c>
      <c r="AD82" s="111" t="e">
        <f>SUMIFS('Portefeuille SP2'!$U:$U,'Portefeuille SP2'!#REF!,1,'Portefeuille SP2'!$Q:$Q,"DECIDED",'Portefeuille SP2'!#REF!,"R",'Portefeuille SP2'!$D:$D,$A82,'Portefeuille SP2'!#REF!,"o",'Portefeuille SP2'!#REF!,"=")</f>
        <v>#REF!</v>
      </c>
      <c r="AE82" s="126" t="e">
        <f>SUMIFS('Portefeuille SP2'!#REF!,'Portefeuille SP2'!#REF!,1,'Portefeuille SP2'!$Q:$Q,"DECIDED",'Portefeuille SP2'!#REF!,"R",'Portefeuille SP2'!$D:$D,$A82,'Portefeuille SP2'!#REF!,"o",'Portefeuille SP2'!#REF!,"=")</f>
        <v>#REF!</v>
      </c>
      <c r="AF82" s="117" t="e">
        <f>SUMIFS('Portefeuille SP2'!#REF!,'Portefeuille SP2'!#REF!,1,'Portefeuille SP2'!$Q:$Q,"DECIDED",'Portefeuille SP2'!#REF!,"R",'Portefeuille SP2'!$D:$D,$A82,'Portefeuille SP2'!#REF!,"o",'Portefeuille SP2'!#REF!,"=")</f>
        <v>#REF!</v>
      </c>
      <c r="AG82" s="111" t="e">
        <f>SUMIFS('Portefeuille SP2'!$U:$U,'Portefeuille SP2'!#REF!,1,'Portefeuille SP2'!$Q:$Q,"DECIDED",'Portefeuille SP2'!#REF!,"G",'Portefeuille SP2'!$D:$D,$A82,'Portefeuille SP2'!#REF!,"o",'Portefeuille SP2'!#REF!,"&lt;&gt;")</f>
        <v>#REF!</v>
      </c>
      <c r="AH82" s="126" t="e">
        <f>SUMIFS('Portefeuille SP2'!#REF!,'Portefeuille SP2'!#REF!,1,'Portefeuille SP2'!$Q:$Q,"DECIDED",'Portefeuille SP2'!#REF!,"G",'Portefeuille SP2'!$D:$D,$A82,'Portefeuille SP2'!#REF!,"o",'Portefeuille SP2'!#REF!,"&lt;&gt;")</f>
        <v>#REF!</v>
      </c>
      <c r="AI82" s="117" t="e">
        <f>SUMIFS('Portefeuille SP2'!#REF!,'Portefeuille SP2'!#REF!,1,'Portefeuille SP2'!$Q:$Q,"DECIDED",'Portefeuille SP2'!#REF!,"G",'Portefeuille SP2'!$D:$D,$A82,'Portefeuille SP2'!#REF!,"o",'Portefeuille SP2'!#REF!,"&lt;&gt;")</f>
        <v>#REF!</v>
      </c>
      <c r="AJ82" s="111" t="e">
        <f>SUMIFS('Portefeuille SP2'!$U:$U,'Portefeuille SP2'!#REF!,1,'Portefeuille SP2'!$Q:$Q,"DECIDED",'Portefeuille SP2'!#REF!,"R",'Portefeuille SP2'!$D:$D,$A82,'Portefeuille SP2'!#REF!,"o",'Portefeuille SP2'!#REF!,"&lt;&gt;")</f>
        <v>#REF!</v>
      </c>
      <c r="AK82" s="126" t="e">
        <f>SUMIFS('Portefeuille SP2'!#REF!,'Portefeuille SP2'!#REF!,1,'Portefeuille SP2'!$Q:$Q,"DECIDED",'Portefeuille SP2'!#REF!,"R",'Portefeuille SP2'!$D:$D,$A82,'Portefeuille SP2'!#REF!,"o",'Portefeuille SP2'!#REF!,"&lt;&gt;")</f>
        <v>#REF!</v>
      </c>
      <c r="AL82" s="117" t="e">
        <f>SUMIFS('Portefeuille SP2'!#REF!,'Portefeuille SP2'!#REF!,1,'Portefeuille SP2'!$Q:$Q,"DECIDED",'Portefeuille SP2'!#REF!,"R",'Portefeuille SP2'!$D:$D,$A82,'Portefeuille SP2'!#REF!,"o",'Portefeuille SP2'!#REF!,"&lt;&gt;")</f>
        <v>#REF!</v>
      </c>
      <c r="AM82" s="117"/>
    </row>
    <row r="83" spans="1:77" outlineLevel="1">
      <c r="A83" t="s">
        <v>1326</v>
      </c>
      <c r="B83" s="139" t="e">
        <f>SUMIFS('Portefeuille SP2'!$U:$U,'Portefeuille SP2'!#REF!,1,'Portefeuille SP2'!$Q:$Q,"IN PROGRESS",'Portefeuille SP2'!#REF!,"G",'Portefeuille SP2'!$D:$D,$A83,'Portefeuille SP2'!#REF!,"S")</f>
        <v>#REF!</v>
      </c>
      <c r="C83" s="126" t="e">
        <f>SUMIFS('Portefeuille SP2'!#REF!,'Portefeuille SP2'!#REF!,1,'Portefeuille SP2'!$Q:$Q,"IN PROGRESS",'Portefeuille SP2'!#REF!,"G",'Portefeuille SP2'!$D:$D,$A83,'Portefeuille SP2'!#REF!,"S")</f>
        <v>#REF!</v>
      </c>
      <c r="D83" s="122" t="e">
        <f>SUMIFS('Portefeuille SP2'!#REF!,'Portefeuille SP2'!#REF!,1,'Portefeuille SP2'!$Q:$Q,"IN PROGRESS",'Portefeuille SP2'!#REF!,"G",'Portefeuille SP2'!$D:$D,$A83,'Portefeuille SP2'!#REF!,"S")</f>
        <v>#REF!</v>
      </c>
      <c r="E83" s="111" t="e">
        <f>SUMIFS('Portefeuille SP2'!$U:$U,'Portefeuille SP2'!#REF!,1,'Portefeuille SP2'!$Q:$Q,"IN PROGRESS",'Portefeuille SP2'!#REF!,"R",'Portefeuille SP2'!$D:$D,$A83,'Portefeuille SP2'!#REF!,"S")</f>
        <v>#REF!</v>
      </c>
      <c r="F83" s="126" t="e">
        <f>SUMIFS('Portefeuille SP2'!#REF!,'Portefeuille SP2'!#REF!,1,'Portefeuille SP2'!$Q:$Q,"IN PROGRESS",'Portefeuille SP2'!#REF!,"R",'Portefeuille SP2'!$D:$D,$A83,'Portefeuille SP2'!#REF!,"S")</f>
        <v>#REF!</v>
      </c>
      <c r="G83" s="117" t="e">
        <f>SUMIFS('Portefeuille SP2'!#REF!,'Portefeuille SP2'!#REF!,1,'Portefeuille SP2'!$Q:$Q,"IN PROGRESS",'Portefeuille SP2'!#REF!,"R",'Portefeuille SP2'!$D:$D,$A83,'Portefeuille SP2'!#REF!,"S")</f>
        <v>#REF!</v>
      </c>
      <c r="H83" s="111" t="e">
        <f>SUMIFS('Portefeuille SP2'!$U:$U,'Portefeuille SP2'!#REF!,1,'Portefeuille SP2'!$Q:$Q,"DECIDED",'Portefeuille SP2'!#REF!,"G",'Portefeuille SP2'!$D:$D,$A83,'Portefeuille SP2'!#REF!,"S",'Portefeuille SP2'!#REF!,"=")</f>
        <v>#REF!</v>
      </c>
      <c r="I83" s="117" t="e">
        <f>SUMIFS('Portefeuille SP2'!#REF!,'Portefeuille SP2'!#REF!,1,'Portefeuille SP2'!$Q:$Q,"DECIDED",'Portefeuille SP2'!#REF!,"G",'Portefeuille SP2'!$D:$D,$A83,'Portefeuille SP2'!#REF!,"S",'Portefeuille SP2'!#REF!,"=")</f>
        <v>#REF!</v>
      </c>
      <c r="J83" s="117" t="e">
        <f>SUMIFS('Portefeuille SP2'!#REF!,'Portefeuille SP2'!#REF!,1,'Portefeuille SP2'!$Q:$Q,"DECIDED",'Portefeuille SP2'!#REF!,"G",'Portefeuille SP2'!$D:$D,$A83,'Portefeuille SP2'!#REF!,"S",'Portefeuille SP2'!#REF!,"=")</f>
        <v>#REF!</v>
      </c>
      <c r="K83" s="111" t="e">
        <f>SUMIFS('Portefeuille SP2'!$U:$U,'Portefeuille SP2'!#REF!,1,'Portefeuille SP2'!$Q:$Q,"DECIDED",'Portefeuille SP2'!#REF!,"R",'Portefeuille SP2'!$D:$D,$A83,'Portefeuille SP2'!#REF!,"S",'Portefeuille SP2'!#REF!,"=")</f>
        <v>#REF!</v>
      </c>
      <c r="L83" s="126" t="e">
        <f>SUMIFS('Portefeuille SP2'!#REF!,'Portefeuille SP2'!#REF!,1,'Portefeuille SP2'!$Q:$Q,"DECIDED",'Portefeuille SP2'!#REF!,"R",'Portefeuille SP2'!$D:$D,$A83,'Portefeuille SP2'!#REF!,"S",'Portefeuille SP2'!#REF!,"=")</f>
        <v>#REF!</v>
      </c>
      <c r="M83" s="117" t="e">
        <f>SUMIFS('Portefeuille SP2'!#REF!,'Portefeuille SP2'!#REF!,1,'Portefeuille SP2'!$Q:$Q,"DECIDED",'Portefeuille SP2'!#REF!,"R",'Portefeuille SP2'!$D:$D,$A83,'Portefeuille SP2'!#REF!,"S",'Portefeuille SP2'!#REF!,"=")</f>
        <v>#REF!</v>
      </c>
      <c r="N83" s="111" t="e">
        <f>SUMIFS('Portefeuille SP2'!$U:$U,'Portefeuille SP2'!#REF!,1,'Portefeuille SP2'!$Q:$Q,"DECIDED",'Portefeuille SP2'!#REF!,"G",'Portefeuille SP2'!$D:$D,$A83,'Portefeuille SP2'!#REF!,"S",'Portefeuille SP2'!#REF!,"&lt;&gt;")</f>
        <v>#REF!</v>
      </c>
      <c r="O83" s="126" t="e">
        <f>SUMIFS('Portefeuille SP2'!#REF!,'Portefeuille SP2'!#REF!,1,'Portefeuille SP2'!$Q:$Q,"DECIDED",'Portefeuille SP2'!#REF!,"G",'Portefeuille SP2'!$D:$D,$A83,'Portefeuille SP2'!#REF!,"S",'Portefeuille SP2'!#REF!,"&lt;&gt;")</f>
        <v>#REF!</v>
      </c>
      <c r="P83" s="117" t="e">
        <f>SUMIFS('Portefeuille SP2'!#REF!,'Portefeuille SP2'!#REF!,1,'Portefeuille SP2'!$Q:$Q,"DECIDED",'Portefeuille SP2'!#REF!,"G",'Portefeuille SP2'!$D:$D,$A83,'Portefeuille SP2'!#REF!,"S",'Portefeuille SP2'!#REF!,"&lt;&gt;")</f>
        <v>#REF!</v>
      </c>
      <c r="Q83" s="111" t="e">
        <f>SUMIFS('Portefeuille SP2'!$U:$U,'Portefeuille SP2'!#REF!,1,'Portefeuille SP2'!$Q:$Q,"DECIDED",'Portefeuille SP2'!#REF!,"R",'Portefeuille SP2'!$D:$D,$A83,'Portefeuille SP2'!#REF!,"S",'Portefeuille SP2'!#REF!,"&lt;&gt;")</f>
        <v>#REF!</v>
      </c>
      <c r="R83" s="126" t="e">
        <f>SUMIFS('Portefeuille SP2'!#REF!,'Portefeuille SP2'!#REF!,1,'Portefeuille SP2'!$Q:$Q,"DECIDED",'Portefeuille SP2'!#REF!,"R",'Portefeuille SP2'!$D:$D,$A83,'Portefeuille SP2'!#REF!,"S",'Portefeuille SP2'!#REF!,"&lt;&gt;")</f>
        <v>#REF!</v>
      </c>
      <c r="S83" s="122" t="e">
        <f>SUMIFS('Portefeuille SP2'!#REF!,'Portefeuille SP2'!#REF!,1,'Portefeuille SP2'!$Q:$Q,"DECIDED",'Portefeuille SP2'!#REF!,"R",'Portefeuille SP2'!$D:$D,$A83,'Portefeuille SP2'!#REF!,"S",'Portefeuille SP2'!#REF!,"&lt;&gt;")</f>
        <v>#REF!</v>
      </c>
      <c r="U83" s="111" t="e">
        <f>SUMIFS('Portefeuille SP2'!$U:$U,'Portefeuille SP2'!#REF!,1,'Portefeuille SP2'!$Q:$Q,"IN PROGRESS",'Portefeuille SP2'!#REF!,"G",'Portefeuille SP2'!$D:$D,$A83,'Portefeuille SP2'!#REF!,"O")</f>
        <v>#REF!</v>
      </c>
      <c r="V83" s="126" t="e">
        <f>SUMIFS('Portefeuille SP2'!#REF!,'Portefeuille SP2'!#REF!,1,'Portefeuille SP2'!$Q:$Q,"IN PROGRESS",'Portefeuille SP2'!#REF!,"G",'Portefeuille SP2'!$D:$D,$A83,'Portefeuille SP2'!#REF!,"o")</f>
        <v>#REF!</v>
      </c>
      <c r="W83" s="117" t="e">
        <f>SUMIFS('Portefeuille SP2'!#REF!,'Portefeuille SP2'!#REF!,1,'Portefeuille SP2'!$Q:$Q,"IN PROGRESS",'Portefeuille SP2'!#REF!,"G",'Portefeuille SP2'!$D:$D,$A83,'Portefeuille SP2'!#REF!,"o")</f>
        <v>#REF!</v>
      </c>
      <c r="X83" s="111" t="e">
        <f>SUMIFS('Portefeuille SP2'!$U:$U,'Portefeuille SP2'!#REF!,1,'Portefeuille SP2'!$Q:$Q,"IN PROGRESS",'Portefeuille SP2'!#REF!,"R",'Portefeuille SP2'!$D:$D,$A83,'Portefeuille SP2'!#REF!,"o")</f>
        <v>#REF!</v>
      </c>
      <c r="Y83" s="126" t="e">
        <f>SUMIFS('Portefeuille SP2'!#REF!,'Portefeuille SP2'!#REF!,1,'Portefeuille SP2'!$Q:$Q,"IN PROGRESS",'Portefeuille SP2'!#REF!,"R",'Portefeuille SP2'!$D:$D,$A83,'Portefeuille SP2'!#REF!,"o")</f>
        <v>#REF!</v>
      </c>
      <c r="Z83" s="117" t="e">
        <f>SUMIFS('Portefeuille SP2'!#REF!,'Portefeuille SP2'!#REF!,1,'Portefeuille SP2'!$Q:$Q,"IN PROGRESS",'Portefeuille SP2'!#REF!,"R",'Portefeuille SP2'!$D:$D,$A83,'Portefeuille SP2'!#REF!,"o")</f>
        <v>#REF!</v>
      </c>
      <c r="AA83" s="111" t="e">
        <f>SUMIFS('Portefeuille SP2'!$U:$U,'Portefeuille SP2'!#REF!,1,'Portefeuille SP2'!$Q:$Q,"DECIDED",'Portefeuille SP2'!#REF!,"G",'Portefeuille SP2'!$D:$D,$A83,'Portefeuille SP2'!#REF!,"o",'Portefeuille SP2'!#REF!,"=")</f>
        <v>#REF!</v>
      </c>
      <c r="AB83" s="126" t="e">
        <f>SUMIFS('Portefeuille SP2'!#REF!,'Portefeuille SP2'!#REF!,1,'Portefeuille SP2'!$Q:$Q,"DECIDED",'Portefeuille SP2'!#REF!,"G",'Portefeuille SP2'!$D:$D,$A83,'Portefeuille SP2'!#REF!,"o",'Portefeuille SP2'!#REF!,"=")</f>
        <v>#REF!</v>
      </c>
      <c r="AC83" s="117" t="e">
        <f>SUMIFS('Portefeuille SP2'!#REF!,'Portefeuille SP2'!#REF!,1,'Portefeuille SP2'!$Q:$Q,"DECIDED",'Portefeuille SP2'!#REF!,"G",'Portefeuille SP2'!$D:$D,$A83,'Portefeuille SP2'!#REF!,"o",'Portefeuille SP2'!#REF!,"=")</f>
        <v>#REF!</v>
      </c>
      <c r="AD83" s="111" t="e">
        <f>SUMIFS('Portefeuille SP2'!$U:$U,'Portefeuille SP2'!#REF!,1,'Portefeuille SP2'!$Q:$Q,"DECIDED",'Portefeuille SP2'!#REF!,"R",'Portefeuille SP2'!$D:$D,$A83,'Portefeuille SP2'!#REF!,"o",'Portefeuille SP2'!#REF!,"=")</f>
        <v>#REF!</v>
      </c>
      <c r="AE83" s="126" t="e">
        <f>SUMIFS('Portefeuille SP2'!#REF!,'Portefeuille SP2'!#REF!,1,'Portefeuille SP2'!$Q:$Q,"DECIDED",'Portefeuille SP2'!#REF!,"R",'Portefeuille SP2'!$D:$D,$A83,'Portefeuille SP2'!#REF!,"o",'Portefeuille SP2'!#REF!,"=")</f>
        <v>#REF!</v>
      </c>
      <c r="AF83" s="117" t="e">
        <f>SUMIFS('Portefeuille SP2'!#REF!,'Portefeuille SP2'!#REF!,1,'Portefeuille SP2'!$Q:$Q,"DECIDED",'Portefeuille SP2'!#REF!,"R",'Portefeuille SP2'!$D:$D,$A83,'Portefeuille SP2'!#REF!,"o",'Portefeuille SP2'!#REF!,"=")</f>
        <v>#REF!</v>
      </c>
      <c r="AG83" s="111" t="e">
        <f>SUMIFS('Portefeuille SP2'!$U:$U,'Portefeuille SP2'!#REF!,1,'Portefeuille SP2'!$Q:$Q,"DECIDED",'Portefeuille SP2'!#REF!,"G",'Portefeuille SP2'!$D:$D,$A83,'Portefeuille SP2'!#REF!,"o",'Portefeuille SP2'!#REF!,"&lt;&gt;")</f>
        <v>#REF!</v>
      </c>
      <c r="AH83" s="126" t="e">
        <f>SUMIFS('Portefeuille SP2'!#REF!,'Portefeuille SP2'!#REF!,1,'Portefeuille SP2'!$Q:$Q,"DECIDED",'Portefeuille SP2'!#REF!,"G",'Portefeuille SP2'!$D:$D,$A83,'Portefeuille SP2'!#REF!,"o",'Portefeuille SP2'!#REF!,"&lt;&gt;")</f>
        <v>#REF!</v>
      </c>
      <c r="AI83" s="117" t="e">
        <f>SUMIFS('Portefeuille SP2'!#REF!,'Portefeuille SP2'!#REF!,1,'Portefeuille SP2'!$Q:$Q,"DECIDED",'Portefeuille SP2'!#REF!,"G",'Portefeuille SP2'!$D:$D,$A83,'Portefeuille SP2'!#REF!,"o",'Portefeuille SP2'!#REF!,"&lt;&gt;")</f>
        <v>#REF!</v>
      </c>
      <c r="AJ83" s="111" t="e">
        <f>SUMIFS('Portefeuille SP2'!$U:$U,'Portefeuille SP2'!#REF!,1,'Portefeuille SP2'!$Q:$Q,"DECIDED",'Portefeuille SP2'!#REF!,"R",'Portefeuille SP2'!$D:$D,$A83,'Portefeuille SP2'!#REF!,"o",'Portefeuille SP2'!#REF!,"&lt;&gt;")</f>
        <v>#REF!</v>
      </c>
      <c r="AK83" s="126" t="e">
        <f>SUMIFS('Portefeuille SP2'!#REF!,'Portefeuille SP2'!#REF!,1,'Portefeuille SP2'!$Q:$Q,"DECIDED",'Portefeuille SP2'!#REF!,"R",'Portefeuille SP2'!$D:$D,$A83,'Portefeuille SP2'!#REF!,"o",'Portefeuille SP2'!#REF!,"&lt;&gt;")</f>
        <v>#REF!</v>
      </c>
      <c r="AL83" s="117" t="e">
        <f>SUMIFS('Portefeuille SP2'!#REF!,'Portefeuille SP2'!#REF!,1,'Portefeuille SP2'!$Q:$Q,"DECIDED",'Portefeuille SP2'!#REF!,"R",'Portefeuille SP2'!$D:$D,$A83,'Portefeuille SP2'!#REF!,"o",'Portefeuille SP2'!#REF!,"&lt;&gt;")</f>
        <v>#REF!</v>
      </c>
      <c r="AM83" s="117"/>
    </row>
    <row r="84" spans="1:77" outlineLevel="1">
      <c r="A84" t="s">
        <v>1317</v>
      </c>
      <c r="B84" s="139" t="e">
        <f>SUMIFS('Portefeuille SP2'!$U:$U,'Portefeuille SP2'!#REF!,1,'Portefeuille SP2'!$Q:$Q,"IN PROGRESS",'Portefeuille SP2'!#REF!,"G",'Portefeuille SP2'!$D:$D,$A84,'Portefeuille SP2'!#REF!,"S")</f>
        <v>#REF!</v>
      </c>
      <c r="C84" s="126" t="e">
        <f>SUMIFS('Portefeuille SP2'!#REF!,'Portefeuille SP2'!#REF!,1,'Portefeuille SP2'!$Q:$Q,"IN PROGRESS",'Portefeuille SP2'!#REF!,"G",'Portefeuille SP2'!$D:$D,$A84,'Portefeuille SP2'!#REF!,"S")</f>
        <v>#REF!</v>
      </c>
      <c r="D84" s="122" t="e">
        <f>SUMIFS('Portefeuille SP2'!#REF!,'Portefeuille SP2'!#REF!,1,'Portefeuille SP2'!$Q:$Q,"IN PROGRESS",'Portefeuille SP2'!#REF!,"G",'Portefeuille SP2'!$D:$D,$A84,'Portefeuille SP2'!#REF!,"S")</f>
        <v>#REF!</v>
      </c>
      <c r="E84" s="111" t="e">
        <f>SUMIFS('Portefeuille SP2'!$U:$U,'Portefeuille SP2'!#REF!,1,'Portefeuille SP2'!$Q:$Q,"IN PROGRESS",'Portefeuille SP2'!#REF!,"R",'Portefeuille SP2'!$D:$D,$A84,'Portefeuille SP2'!#REF!,"S")</f>
        <v>#REF!</v>
      </c>
      <c r="F84" s="126" t="e">
        <f>SUMIFS('Portefeuille SP2'!#REF!,'Portefeuille SP2'!#REF!,1,'Portefeuille SP2'!$Q:$Q,"IN PROGRESS",'Portefeuille SP2'!#REF!,"R",'Portefeuille SP2'!$D:$D,$A84,'Portefeuille SP2'!#REF!,"S")</f>
        <v>#REF!</v>
      </c>
      <c r="G84" s="117" t="e">
        <f>SUMIFS('Portefeuille SP2'!#REF!,'Portefeuille SP2'!#REF!,1,'Portefeuille SP2'!$Q:$Q,"IN PROGRESS",'Portefeuille SP2'!#REF!,"R",'Portefeuille SP2'!$D:$D,$A84,'Portefeuille SP2'!#REF!,"S")</f>
        <v>#REF!</v>
      </c>
      <c r="H84" s="111" t="e">
        <f>SUMIFS('Portefeuille SP2'!$U:$U,'Portefeuille SP2'!#REF!,1,'Portefeuille SP2'!$Q:$Q,"DECIDED",'Portefeuille SP2'!#REF!,"G",'Portefeuille SP2'!$D:$D,$A84,'Portefeuille SP2'!#REF!,"S",'Portefeuille SP2'!#REF!,"=")</f>
        <v>#REF!</v>
      </c>
      <c r="I84" s="117" t="e">
        <f>SUMIFS('Portefeuille SP2'!#REF!,'Portefeuille SP2'!#REF!,1,'Portefeuille SP2'!$Q:$Q,"DECIDED",'Portefeuille SP2'!#REF!,"G",'Portefeuille SP2'!$D:$D,$A84,'Portefeuille SP2'!#REF!,"S",'Portefeuille SP2'!#REF!,"=")</f>
        <v>#REF!</v>
      </c>
      <c r="J84" s="117" t="e">
        <f>SUMIFS('Portefeuille SP2'!#REF!,'Portefeuille SP2'!#REF!,1,'Portefeuille SP2'!$Q:$Q,"DECIDED",'Portefeuille SP2'!#REF!,"G",'Portefeuille SP2'!$D:$D,$A84,'Portefeuille SP2'!#REF!,"S",'Portefeuille SP2'!#REF!,"=")</f>
        <v>#REF!</v>
      </c>
      <c r="K84" s="111" t="e">
        <f>SUMIFS('Portefeuille SP2'!$U:$U,'Portefeuille SP2'!#REF!,1,'Portefeuille SP2'!$Q:$Q,"DECIDED",'Portefeuille SP2'!#REF!,"R",'Portefeuille SP2'!$D:$D,$A84,'Portefeuille SP2'!#REF!,"S",'Portefeuille SP2'!#REF!,"=")</f>
        <v>#REF!</v>
      </c>
      <c r="L84" s="126" t="e">
        <f>SUMIFS('Portefeuille SP2'!#REF!,'Portefeuille SP2'!#REF!,1,'Portefeuille SP2'!$Q:$Q,"DECIDED",'Portefeuille SP2'!#REF!,"R",'Portefeuille SP2'!$D:$D,$A84,'Portefeuille SP2'!#REF!,"S",'Portefeuille SP2'!#REF!,"=")</f>
        <v>#REF!</v>
      </c>
      <c r="M84" s="117" t="e">
        <f>SUMIFS('Portefeuille SP2'!#REF!,'Portefeuille SP2'!#REF!,1,'Portefeuille SP2'!$Q:$Q,"DECIDED",'Portefeuille SP2'!#REF!,"R",'Portefeuille SP2'!$D:$D,$A84,'Portefeuille SP2'!#REF!,"S",'Portefeuille SP2'!#REF!,"=")</f>
        <v>#REF!</v>
      </c>
      <c r="N84" s="111" t="e">
        <f>SUMIFS('Portefeuille SP2'!$U:$U,'Portefeuille SP2'!#REF!,1,'Portefeuille SP2'!$Q:$Q,"DECIDED",'Portefeuille SP2'!#REF!,"G",'Portefeuille SP2'!$D:$D,$A84,'Portefeuille SP2'!#REF!,"S",'Portefeuille SP2'!#REF!,"&lt;&gt;")</f>
        <v>#REF!</v>
      </c>
      <c r="O84" s="126" t="e">
        <f>SUMIFS('Portefeuille SP2'!#REF!,'Portefeuille SP2'!#REF!,1,'Portefeuille SP2'!$Q:$Q,"DECIDED",'Portefeuille SP2'!#REF!,"G",'Portefeuille SP2'!$D:$D,$A84,'Portefeuille SP2'!#REF!,"S",'Portefeuille SP2'!#REF!,"&lt;&gt;")</f>
        <v>#REF!</v>
      </c>
      <c r="P84" s="117" t="e">
        <f>SUMIFS('Portefeuille SP2'!#REF!,'Portefeuille SP2'!#REF!,1,'Portefeuille SP2'!$Q:$Q,"DECIDED",'Portefeuille SP2'!#REF!,"G",'Portefeuille SP2'!$D:$D,$A84,'Portefeuille SP2'!#REF!,"S",'Portefeuille SP2'!#REF!,"&lt;&gt;")</f>
        <v>#REF!</v>
      </c>
      <c r="Q84" s="111" t="e">
        <f>SUMIFS('Portefeuille SP2'!$U:$U,'Portefeuille SP2'!#REF!,1,'Portefeuille SP2'!$Q:$Q,"DECIDED",'Portefeuille SP2'!#REF!,"R",'Portefeuille SP2'!$D:$D,$A84,'Portefeuille SP2'!#REF!,"S",'Portefeuille SP2'!#REF!,"&lt;&gt;")</f>
        <v>#REF!</v>
      </c>
      <c r="R84" s="126" t="e">
        <f>SUMIFS('Portefeuille SP2'!#REF!,'Portefeuille SP2'!#REF!,1,'Portefeuille SP2'!$Q:$Q,"DECIDED",'Portefeuille SP2'!#REF!,"R",'Portefeuille SP2'!$D:$D,$A84,'Portefeuille SP2'!#REF!,"S",'Portefeuille SP2'!#REF!,"&lt;&gt;")</f>
        <v>#REF!</v>
      </c>
      <c r="S84" s="122" t="e">
        <f>SUMIFS('Portefeuille SP2'!#REF!,'Portefeuille SP2'!#REF!,1,'Portefeuille SP2'!$Q:$Q,"DECIDED",'Portefeuille SP2'!#REF!,"R",'Portefeuille SP2'!$D:$D,$A84,'Portefeuille SP2'!#REF!,"S",'Portefeuille SP2'!#REF!,"&lt;&gt;")</f>
        <v>#REF!</v>
      </c>
      <c r="U84" s="111" t="e">
        <f>SUMIFS('Portefeuille SP2'!$U:$U,'Portefeuille SP2'!#REF!,1,'Portefeuille SP2'!$Q:$Q,"IN PROGRESS",'Portefeuille SP2'!#REF!,"G",'Portefeuille SP2'!$D:$D,$A84,'Portefeuille SP2'!#REF!,"O")</f>
        <v>#REF!</v>
      </c>
      <c r="V84" s="126" t="e">
        <f>SUMIFS('Portefeuille SP2'!#REF!,'Portefeuille SP2'!#REF!,1,'Portefeuille SP2'!$Q:$Q,"IN PROGRESS",'Portefeuille SP2'!#REF!,"G",'Portefeuille SP2'!$D:$D,$A84,'Portefeuille SP2'!#REF!,"o")</f>
        <v>#REF!</v>
      </c>
      <c r="W84" s="117" t="e">
        <f>SUMIFS('Portefeuille SP2'!#REF!,'Portefeuille SP2'!#REF!,1,'Portefeuille SP2'!$Q:$Q,"IN PROGRESS",'Portefeuille SP2'!#REF!,"G",'Portefeuille SP2'!$D:$D,$A84,'Portefeuille SP2'!#REF!,"o")</f>
        <v>#REF!</v>
      </c>
      <c r="X84" s="111" t="e">
        <f>SUMIFS('Portefeuille SP2'!$U:$U,'Portefeuille SP2'!#REF!,1,'Portefeuille SP2'!$Q:$Q,"IN PROGRESS",'Portefeuille SP2'!#REF!,"R",'Portefeuille SP2'!$D:$D,$A84,'Portefeuille SP2'!#REF!,"o")</f>
        <v>#REF!</v>
      </c>
      <c r="Y84" s="126" t="e">
        <f>SUMIFS('Portefeuille SP2'!#REF!,'Portefeuille SP2'!#REF!,1,'Portefeuille SP2'!$Q:$Q,"IN PROGRESS",'Portefeuille SP2'!#REF!,"R",'Portefeuille SP2'!$D:$D,$A84,'Portefeuille SP2'!#REF!,"o")</f>
        <v>#REF!</v>
      </c>
      <c r="Z84" s="117" t="e">
        <f>SUMIFS('Portefeuille SP2'!#REF!,'Portefeuille SP2'!#REF!,1,'Portefeuille SP2'!$Q:$Q,"IN PROGRESS",'Portefeuille SP2'!#REF!,"R",'Portefeuille SP2'!$D:$D,$A84,'Portefeuille SP2'!#REF!,"o")</f>
        <v>#REF!</v>
      </c>
      <c r="AA84" s="111" t="e">
        <f>SUMIFS('Portefeuille SP2'!$U:$U,'Portefeuille SP2'!#REF!,1,'Portefeuille SP2'!$Q:$Q,"DECIDED",'Portefeuille SP2'!#REF!,"G",'Portefeuille SP2'!$D:$D,$A84,'Portefeuille SP2'!#REF!,"o",'Portefeuille SP2'!#REF!,"=")</f>
        <v>#REF!</v>
      </c>
      <c r="AB84" s="126" t="e">
        <f>SUMIFS('Portefeuille SP2'!#REF!,'Portefeuille SP2'!#REF!,1,'Portefeuille SP2'!$Q:$Q,"DECIDED",'Portefeuille SP2'!#REF!,"G",'Portefeuille SP2'!$D:$D,$A84,'Portefeuille SP2'!#REF!,"o",'Portefeuille SP2'!#REF!,"=")</f>
        <v>#REF!</v>
      </c>
      <c r="AC84" s="117" t="e">
        <f>SUMIFS('Portefeuille SP2'!#REF!,'Portefeuille SP2'!#REF!,1,'Portefeuille SP2'!$Q:$Q,"DECIDED",'Portefeuille SP2'!#REF!,"G",'Portefeuille SP2'!$D:$D,$A84,'Portefeuille SP2'!#REF!,"o",'Portefeuille SP2'!#REF!,"=")</f>
        <v>#REF!</v>
      </c>
      <c r="AD84" s="111" t="e">
        <f>SUMIFS('Portefeuille SP2'!$U:$U,'Portefeuille SP2'!#REF!,1,'Portefeuille SP2'!$Q:$Q,"DECIDED",'Portefeuille SP2'!#REF!,"R",'Portefeuille SP2'!$D:$D,$A84,'Portefeuille SP2'!#REF!,"o",'Portefeuille SP2'!#REF!,"=")</f>
        <v>#REF!</v>
      </c>
      <c r="AE84" s="126" t="e">
        <f>SUMIFS('Portefeuille SP2'!#REF!,'Portefeuille SP2'!#REF!,1,'Portefeuille SP2'!$Q:$Q,"DECIDED",'Portefeuille SP2'!#REF!,"R",'Portefeuille SP2'!$D:$D,$A84,'Portefeuille SP2'!#REF!,"o",'Portefeuille SP2'!#REF!,"=")</f>
        <v>#REF!</v>
      </c>
      <c r="AF84" s="117" t="e">
        <f>SUMIFS('Portefeuille SP2'!#REF!,'Portefeuille SP2'!#REF!,1,'Portefeuille SP2'!$Q:$Q,"DECIDED",'Portefeuille SP2'!#REF!,"R",'Portefeuille SP2'!$D:$D,$A84,'Portefeuille SP2'!#REF!,"o",'Portefeuille SP2'!#REF!,"=")</f>
        <v>#REF!</v>
      </c>
      <c r="AG84" s="111" t="e">
        <f>SUMIFS('Portefeuille SP2'!$U:$U,'Portefeuille SP2'!#REF!,1,'Portefeuille SP2'!$Q:$Q,"DECIDED",'Portefeuille SP2'!#REF!,"G",'Portefeuille SP2'!$D:$D,$A84,'Portefeuille SP2'!#REF!,"o",'Portefeuille SP2'!#REF!,"&lt;&gt;")</f>
        <v>#REF!</v>
      </c>
      <c r="AH84" s="126" t="e">
        <f>SUMIFS('Portefeuille SP2'!#REF!,'Portefeuille SP2'!#REF!,1,'Portefeuille SP2'!$Q:$Q,"DECIDED",'Portefeuille SP2'!#REF!,"G",'Portefeuille SP2'!$D:$D,$A84,'Portefeuille SP2'!#REF!,"o",'Portefeuille SP2'!#REF!,"&lt;&gt;")</f>
        <v>#REF!</v>
      </c>
      <c r="AI84" s="117" t="e">
        <f>SUMIFS('Portefeuille SP2'!#REF!,'Portefeuille SP2'!#REF!,1,'Portefeuille SP2'!$Q:$Q,"DECIDED",'Portefeuille SP2'!#REF!,"G",'Portefeuille SP2'!$D:$D,$A84,'Portefeuille SP2'!#REF!,"o",'Portefeuille SP2'!#REF!,"&lt;&gt;")</f>
        <v>#REF!</v>
      </c>
      <c r="AJ84" s="111" t="e">
        <f>SUMIFS('Portefeuille SP2'!$U:$U,'Portefeuille SP2'!#REF!,1,'Portefeuille SP2'!$Q:$Q,"DECIDED",'Portefeuille SP2'!#REF!,"R",'Portefeuille SP2'!$D:$D,$A84,'Portefeuille SP2'!#REF!,"o",'Portefeuille SP2'!#REF!,"&lt;&gt;")</f>
        <v>#REF!</v>
      </c>
      <c r="AK84" s="126" t="e">
        <f>SUMIFS('Portefeuille SP2'!#REF!,'Portefeuille SP2'!#REF!,1,'Portefeuille SP2'!$Q:$Q,"DECIDED",'Portefeuille SP2'!#REF!,"R",'Portefeuille SP2'!$D:$D,$A84,'Portefeuille SP2'!#REF!,"o",'Portefeuille SP2'!#REF!,"&lt;&gt;")</f>
        <v>#REF!</v>
      </c>
      <c r="AL84" s="117" t="e">
        <f>SUMIFS('Portefeuille SP2'!#REF!,'Portefeuille SP2'!#REF!,1,'Portefeuille SP2'!$Q:$Q,"DECIDED",'Portefeuille SP2'!#REF!,"R",'Portefeuille SP2'!$D:$D,$A84,'Portefeuille SP2'!#REF!,"o",'Portefeuille SP2'!#REF!,"&lt;&gt;")</f>
        <v>#REF!</v>
      </c>
      <c r="AM84" s="117"/>
    </row>
    <row r="85" spans="1:77" outlineLevel="1">
      <c r="A85" t="s">
        <v>1327</v>
      </c>
      <c r="B85" s="140" t="e">
        <f>SUMIFS('Portefeuille SP2'!$U:$U,'Portefeuille SP2'!#REF!,1,'Portefeuille SP2'!$Q:$Q,"IN PROGRESS",'Portefeuille SP2'!#REF!,"G",'Portefeuille SP2'!$D:$D,$A85,'Portefeuille SP2'!#REF!,"S")</f>
        <v>#REF!</v>
      </c>
      <c r="C85" s="127" t="e">
        <f>SUMIFS('Portefeuille SP2'!#REF!,'Portefeuille SP2'!#REF!,1,'Portefeuille SP2'!$Q:$Q,"IN PROGRESS",'Portefeuille SP2'!#REF!,"G",'Portefeuille SP2'!$D:$D,$A85,'Portefeuille SP2'!#REF!,"S")</f>
        <v>#REF!</v>
      </c>
      <c r="D85" s="124" t="e">
        <f>SUMIFS('Portefeuille SP2'!#REF!,'Portefeuille SP2'!#REF!,1,'Portefeuille SP2'!$Q:$Q,"IN PROGRESS",'Portefeuille SP2'!#REF!,"G",'Portefeuille SP2'!$D:$D,$A85,'Portefeuille SP2'!#REF!,"S")</f>
        <v>#REF!</v>
      </c>
      <c r="E85" s="110" t="e">
        <f>SUMIFS('Portefeuille SP2'!$U:$U,'Portefeuille SP2'!#REF!,1,'Portefeuille SP2'!$Q:$Q,"IN PROGRESS",'Portefeuille SP2'!#REF!,"R",'Portefeuille SP2'!$D:$D,$A85,'Portefeuille SP2'!#REF!,"S")</f>
        <v>#REF!</v>
      </c>
      <c r="F85" s="127" t="e">
        <f>SUMIFS('Portefeuille SP2'!#REF!,'Portefeuille SP2'!#REF!,1,'Portefeuille SP2'!$Q:$Q,"IN PROGRESS",'Portefeuille SP2'!#REF!,"R",'Portefeuille SP2'!$D:$D,$A85,'Portefeuille SP2'!#REF!,"S")</f>
        <v>#REF!</v>
      </c>
      <c r="G85" s="116" t="e">
        <f>SUMIFS('Portefeuille SP2'!#REF!,'Portefeuille SP2'!#REF!,1,'Portefeuille SP2'!$Q:$Q,"IN PROGRESS",'Portefeuille SP2'!#REF!,"R",'Portefeuille SP2'!$D:$D,$A85,'Portefeuille SP2'!#REF!,"S")</f>
        <v>#REF!</v>
      </c>
      <c r="H85" s="110" t="e">
        <f>SUMIFS('Portefeuille SP2'!$U:$U,'Portefeuille SP2'!#REF!,1,'Portefeuille SP2'!$Q:$Q,"DECIDED",'Portefeuille SP2'!#REF!,"G",'Portefeuille SP2'!$D:$D,$A85,'Portefeuille SP2'!#REF!,"S",'Portefeuille SP2'!#REF!,"=")</f>
        <v>#REF!</v>
      </c>
      <c r="I85" s="116" t="e">
        <f>SUMIFS('Portefeuille SP2'!#REF!,'Portefeuille SP2'!#REF!,1,'Portefeuille SP2'!$Q:$Q,"DECIDED",'Portefeuille SP2'!#REF!,"G",'Portefeuille SP2'!$D:$D,$A85,'Portefeuille SP2'!#REF!,"S",'Portefeuille SP2'!#REF!,"=")</f>
        <v>#REF!</v>
      </c>
      <c r="J85" s="116" t="e">
        <f>SUMIFS('Portefeuille SP2'!#REF!,'Portefeuille SP2'!#REF!,1,'Portefeuille SP2'!$Q:$Q,"DECIDED",'Portefeuille SP2'!#REF!,"G",'Portefeuille SP2'!$D:$D,$A85,'Portefeuille SP2'!#REF!,"S",'Portefeuille SP2'!#REF!,"=")</f>
        <v>#REF!</v>
      </c>
      <c r="K85" s="110" t="e">
        <f>SUMIFS('Portefeuille SP2'!$U:$U,'Portefeuille SP2'!#REF!,1,'Portefeuille SP2'!$Q:$Q,"DECIDED",'Portefeuille SP2'!#REF!,"R",'Portefeuille SP2'!$D:$D,$A85,'Portefeuille SP2'!#REF!,"S",'Portefeuille SP2'!#REF!,"=")</f>
        <v>#REF!</v>
      </c>
      <c r="L85" s="127" t="e">
        <f>SUMIFS('Portefeuille SP2'!#REF!,'Portefeuille SP2'!#REF!,1,'Portefeuille SP2'!$Q:$Q,"DECIDED",'Portefeuille SP2'!#REF!,"R",'Portefeuille SP2'!$D:$D,$A85,'Portefeuille SP2'!#REF!,"S",'Portefeuille SP2'!#REF!,"=")</f>
        <v>#REF!</v>
      </c>
      <c r="M85" s="116" t="e">
        <f>SUMIFS('Portefeuille SP2'!#REF!,'Portefeuille SP2'!#REF!,1,'Portefeuille SP2'!$Q:$Q,"DECIDED",'Portefeuille SP2'!#REF!,"R",'Portefeuille SP2'!$D:$D,$A85,'Portefeuille SP2'!#REF!,"S",'Portefeuille SP2'!#REF!,"=")</f>
        <v>#REF!</v>
      </c>
      <c r="N85" s="110" t="e">
        <f>SUMIFS('Portefeuille SP2'!$U:$U,'Portefeuille SP2'!#REF!,1,'Portefeuille SP2'!$Q:$Q,"DECIDED",'Portefeuille SP2'!#REF!,"G",'Portefeuille SP2'!$D:$D,$A85,'Portefeuille SP2'!#REF!,"S",'Portefeuille SP2'!#REF!,"&lt;&gt;")</f>
        <v>#REF!</v>
      </c>
      <c r="O85" s="127" t="e">
        <f>SUMIFS('Portefeuille SP2'!#REF!,'Portefeuille SP2'!#REF!,1,'Portefeuille SP2'!$Q:$Q,"DECIDED",'Portefeuille SP2'!#REF!,"G",'Portefeuille SP2'!$D:$D,$A85,'Portefeuille SP2'!#REF!,"S",'Portefeuille SP2'!#REF!,"&lt;&gt;")</f>
        <v>#REF!</v>
      </c>
      <c r="P85" s="116" t="e">
        <f>SUMIFS('Portefeuille SP2'!#REF!,'Portefeuille SP2'!#REF!,1,'Portefeuille SP2'!$Q:$Q,"DECIDED",'Portefeuille SP2'!#REF!,"G",'Portefeuille SP2'!$D:$D,$A85,'Portefeuille SP2'!#REF!,"S",'Portefeuille SP2'!#REF!,"&lt;&gt;")</f>
        <v>#REF!</v>
      </c>
      <c r="Q85" s="110" t="e">
        <f>SUMIFS('Portefeuille SP2'!$U:$U,'Portefeuille SP2'!#REF!,1,'Portefeuille SP2'!$Q:$Q,"DECIDED",'Portefeuille SP2'!#REF!,"R",'Portefeuille SP2'!$D:$D,$A85,'Portefeuille SP2'!#REF!,"S",'Portefeuille SP2'!#REF!,"&lt;&gt;")</f>
        <v>#REF!</v>
      </c>
      <c r="R85" s="127" t="e">
        <f>SUMIFS('Portefeuille SP2'!#REF!,'Portefeuille SP2'!#REF!,1,'Portefeuille SP2'!$Q:$Q,"DECIDED",'Portefeuille SP2'!#REF!,"R",'Portefeuille SP2'!$D:$D,$A85,'Portefeuille SP2'!#REF!,"S",'Portefeuille SP2'!#REF!,"&lt;&gt;")</f>
        <v>#REF!</v>
      </c>
      <c r="S85" s="124" t="e">
        <f>SUMIFS('Portefeuille SP2'!#REF!,'Portefeuille SP2'!#REF!,1,'Portefeuille SP2'!$Q:$Q,"DECIDED",'Portefeuille SP2'!#REF!,"R",'Portefeuille SP2'!$D:$D,$A85,'Portefeuille SP2'!#REF!,"S",'Portefeuille SP2'!#REF!,"&lt;&gt;")</f>
        <v>#REF!</v>
      </c>
      <c r="U85" s="110" t="e">
        <f>SUMIFS('Portefeuille SP2'!$U:$U,'Portefeuille SP2'!#REF!,1,'Portefeuille SP2'!$Q:$Q,"IN PROGRESS",'Portefeuille SP2'!#REF!,"G",'Portefeuille SP2'!$D:$D,$A85,'Portefeuille SP2'!#REF!,"O")</f>
        <v>#REF!</v>
      </c>
      <c r="V85" s="127" t="e">
        <f>SUMIFS('Portefeuille SP2'!#REF!,'Portefeuille SP2'!#REF!,1,'Portefeuille SP2'!$Q:$Q,"IN PROGRESS",'Portefeuille SP2'!#REF!,"G",'Portefeuille SP2'!$D:$D,$A85,'Portefeuille SP2'!#REF!,"o")</f>
        <v>#REF!</v>
      </c>
      <c r="W85" s="116" t="e">
        <f>SUMIFS('Portefeuille SP2'!#REF!,'Portefeuille SP2'!#REF!,1,'Portefeuille SP2'!$Q:$Q,"IN PROGRESS",'Portefeuille SP2'!#REF!,"G",'Portefeuille SP2'!$D:$D,$A85,'Portefeuille SP2'!#REF!,"o")</f>
        <v>#REF!</v>
      </c>
      <c r="X85" s="110" t="e">
        <f>SUMIFS('Portefeuille SP2'!$U:$U,'Portefeuille SP2'!#REF!,1,'Portefeuille SP2'!$Q:$Q,"IN PROGRESS",'Portefeuille SP2'!#REF!,"R",'Portefeuille SP2'!$D:$D,$A85,'Portefeuille SP2'!#REF!,"o")</f>
        <v>#REF!</v>
      </c>
      <c r="Y85" s="127" t="e">
        <f>SUMIFS('Portefeuille SP2'!#REF!,'Portefeuille SP2'!#REF!,1,'Portefeuille SP2'!$Q:$Q,"IN PROGRESS",'Portefeuille SP2'!#REF!,"R",'Portefeuille SP2'!$D:$D,$A85,'Portefeuille SP2'!#REF!,"o")</f>
        <v>#REF!</v>
      </c>
      <c r="Z85" s="116" t="e">
        <f>SUMIFS('Portefeuille SP2'!#REF!,'Portefeuille SP2'!#REF!,1,'Portefeuille SP2'!$Q:$Q,"IN PROGRESS",'Portefeuille SP2'!#REF!,"R",'Portefeuille SP2'!$D:$D,$A85,'Portefeuille SP2'!#REF!,"o")</f>
        <v>#REF!</v>
      </c>
      <c r="AA85" s="110" t="e">
        <f>SUMIFS('Portefeuille SP2'!$U:$U,'Portefeuille SP2'!#REF!,1,'Portefeuille SP2'!$Q:$Q,"DECIDED",'Portefeuille SP2'!#REF!,"G",'Portefeuille SP2'!$D:$D,$A85,'Portefeuille SP2'!#REF!,"o",'Portefeuille SP2'!#REF!,"=")</f>
        <v>#REF!</v>
      </c>
      <c r="AB85" s="127" t="e">
        <f>SUMIFS('Portefeuille SP2'!#REF!,'Portefeuille SP2'!#REF!,1,'Portefeuille SP2'!$Q:$Q,"DECIDED",'Portefeuille SP2'!#REF!,"G",'Portefeuille SP2'!$D:$D,$A85,'Portefeuille SP2'!#REF!,"o",'Portefeuille SP2'!#REF!,"=")</f>
        <v>#REF!</v>
      </c>
      <c r="AC85" s="116" t="e">
        <f>SUMIFS('Portefeuille SP2'!#REF!,'Portefeuille SP2'!#REF!,1,'Portefeuille SP2'!$Q:$Q,"DECIDED",'Portefeuille SP2'!#REF!,"G",'Portefeuille SP2'!$D:$D,$A85,'Portefeuille SP2'!#REF!,"o",'Portefeuille SP2'!#REF!,"=")</f>
        <v>#REF!</v>
      </c>
      <c r="AD85" s="110" t="e">
        <f>SUMIFS('Portefeuille SP2'!$U:$U,'Portefeuille SP2'!#REF!,1,'Portefeuille SP2'!$Q:$Q,"DECIDED",'Portefeuille SP2'!#REF!,"R",'Portefeuille SP2'!$D:$D,$A85,'Portefeuille SP2'!#REF!,"o",'Portefeuille SP2'!#REF!,"=")</f>
        <v>#REF!</v>
      </c>
      <c r="AE85" s="127" t="e">
        <f>SUMIFS('Portefeuille SP2'!#REF!,'Portefeuille SP2'!#REF!,1,'Portefeuille SP2'!$Q:$Q,"DECIDED",'Portefeuille SP2'!#REF!,"R",'Portefeuille SP2'!$D:$D,$A85,'Portefeuille SP2'!#REF!,"o",'Portefeuille SP2'!#REF!,"=")</f>
        <v>#REF!</v>
      </c>
      <c r="AF85" s="116" t="e">
        <f>SUMIFS('Portefeuille SP2'!#REF!,'Portefeuille SP2'!#REF!,1,'Portefeuille SP2'!$Q:$Q,"DECIDED",'Portefeuille SP2'!#REF!,"R",'Portefeuille SP2'!$D:$D,$A85,'Portefeuille SP2'!#REF!,"o",'Portefeuille SP2'!#REF!,"=")</f>
        <v>#REF!</v>
      </c>
      <c r="AG85" s="110" t="e">
        <f>SUMIFS('Portefeuille SP2'!$U:$U,'Portefeuille SP2'!#REF!,1,'Portefeuille SP2'!$Q:$Q,"DECIDED",'Portefeuille SP2'!#REF!,"G",'Portefeuille SP2'!$D:$D,$A85,'Portefeuille SP2'!#REF!,"o",'Portefeuille SP2'!#REF!,"&lt;&gt;")</f>
        <v>#REF!</v>
      </c>
      <c r="AH85" s="127" t="e">
        <f>SUMIFS('Portefeuille SP2'!#REF!,'Portefeuille SP2'!#REF!,1,'Portefeuille SP2'!$Q:$Q,"DECIDED",'Portefeuille SP2'!#REF!,"G",'Portefeuille SP2'!$D:$D,$A85,'Portefeuille SP2'!#REF!,"o",'Portefeuille SP2'!#REF!,"&lt;&gt;")</f>
        <v>#REF!</v>
      </c>
      <c r="AI85" s="116" t="e">
        <f>SUMIFS('Portefeuille SP2'!#REF!,'Portefeuille SP2'!#REF!,1,'Portefeuille SP2'!$Q:$Q,"DECIDED",'Portefeuille SP2'!#REF!,"G",'Portefeuille SP2'!$D:$D,$A85,'Portefeuille SP2'!#REF!,"o",'Portefeuille SP2'!#REF!,"&lt;&gt;")</f>
        <v>#REF!</v>
      </c>
      <c r="AJ85" s="110" t="e">
        <f>SUMIFS('Portefeuille SP2'!$U:$U,'Portefeuille SP2'!#REF!,1,'Portefeuille SP2'!$Q:$Q,"DECIDED",'Portefeuille SP2'!#REF!,"R",'Portefeuille SP2'!$D:$D,$A85,'Portefeuille SP2'!#REF!,"o",'Portefeuille SP2'!#REF!,"&lt;&gt;")</f>
        <v>#REF!</v>
      </c>
      <c r="AK85" s="127" t="e">
        <f>SUMIFS('Portefeuille SP2'!#REF!,'Portefeuille SP2'!#REF!,1,'Portefeuille SP2'!$Q:$Q,"DECIDED",'Portefeuille SP2'!#REF!,"R",'Portefeuille SP2'!$D:$D,$A85,'Portefeuille SP2'!#REF!,"o",'Portefeuille SP2'!#REF!,"&lt;&gt;")</f>
        <v>#REF!</v>
      </c>
      <c r="AL85" s="116" t="e">
        <f>SUMIFS('Portefeuille SP2'!#REF!,'Portefeuille SP2'!#REF!,1,'Portefeuille SP2'!$Q:$Q,"DECIDED",'Portefeuille SP2'!#REF!,"R",'Portefeuille SP2'!$D:$D,$A85,'Portefeuille SP2'!#REF!,"o",'Portefeuille SP2'!#REF!,"&lt;&gt;")</f>
        <v>#REF!</v>
      </c>
      <c r="AM85" s="117"/>
      <c r="AO85" s="112" t="s">
        <v>1331</v>
      </c>
      <c r="AP85" s="117" t="s">
        <v>1329</v>
      </c>
    </row>
    <row r="86" spans="1:77" outlineLevel="1">
      <c r="L86" s="117"/>
      <c r="M86" s="117"/>
      <c r="AE86" s="117"/>
      <c r="AF86" s="117"/>
      <c r="AO86" s="112"/>
      <c r="AP86" s="117"/>
    </row>
    <row r="87" spans="1:77" outlineLevel="1">
      <c r="B87" s="114" t="e">
        <f>SUM(B64:B85)</f>
        <v>#REF!</v>
      </c>
      <c r="C87" s="117" t="e">
        <f t="shared" ref="C87:D87" si="490">SUM(C64:C85)</f>
        <v>#REF!</v>
      </c>
      <c r="D87" s="117" t="e">
        <f t="shared" si="490"/>
        <v>#REF!</v>
      </c>
      <c r="E87" s="114" t="e">
        <f>SUM(E64:E85)</f>
        <v>#REF!</v>
      </c>
      <c r="F87" s="117" t="e">
        <f t="shared" ref="F87:S87" si="491">SUM(F64:F85)</f>
        <v>#REF!</v>
      </c>
      <c r="G87" s="117" t="e">
        <f t="shared" si="491"/>
        <v>#REF!</v>
      </c>
      <c r="H87" s="114" t="e">
        <f t="shared" si="491"/>
        <v>#REF!</v>
      </c>
      <c r="I87" s="117" t="e">
        <f t="shared" si="491"/>
        <v>#REF!</v>
      </c>
      <c r="J87" s="117" t="e">
        <f t="shared" si="491"/>
        <v>#REF!</v>
      </c>
      <c r="K87" s="114" t="e">
        <f t="shared" si="491"/>
        <v>#REF!</v>
      </c>
      <c r="L87" s="117" t="e">
        <f t="shared" si="491"/>
        <v>#REF!</v>
      </c>
      <c r="M87" s="117" t="e">
        <f t="shared" si="491"/>
        <v>#REF!</v>
      </c>
      <c r="N87" s="114" t="e">
        <f t="shared" si="491"/>
        <v>#REF!</v>
      </c>
      <c r="O87" s="117" t="e">
        <f t="shared" si="491"/>
        <v>#REF!</v>
      </c>
      <c r="P87" s="117" t="e">
        <f t="shared" si="491"/>
        <v>#REF!</v>
      </c>
      <c r="Q87" s="114" t="e">
        <f t="shared" si="491"/>
        <v>#REF!</v>
      </c>
      <c r="R87" s="117" t="e">
        <f t="shared" si="491"/>
        <v>#REF!</v>
      </c>
      <c r="S87" s="117" t="e">
        <f t="shared" si="491"/>
        <v>#REF!</v>
      </c>
      <c r="U87" s="114" t="e">
        <f>SUM(U64:U85)</f>
        <v>#REF!</v>
      </c>
      <c r="V87" s="117" t="e">
        <f t="shared" ref="V87:W87" si="492">SUM(V64:V85)</f>
        <v>#REF!</v>
      </c>
      <c r="W87" s="117" t="e">
        <f t="shared" si="492"/>
        <v>#REF!</v>
      </c>
      <c r="X87" s="114" t="e">
        <f>SUM(X64:X85)</f>
        <v>#REF!</v>
      </c>
      <c r="Y87" s="117" t="e">
        <f t="shared" ref="Y87:AL87" si="493">SUM(Y64:Y85)</f>
        <v>#REF!</v>
      </c>
      <c r="Z87" s="117" t="e">
        <f t="shared" si="493"/>
        <v>#REF!</v>
      </c>
      <c r="AA87" s="114" t="e">
        <f t="shared" si="493"/>
        <v>#REF!</v>
      </c>
      <c r="AB87" s="117" t="e">
        <f t="shared" si="493"/>
        <v>#REF!</v>
      </c>
      <c r="AC87" s="117" t="e">
        <f t="shared" si="493"/>
        <v>#REF!</v>
      </c>
      <c r="AD87" s="114" t="e">
        <f t="shared" si="493"/>
        <v>#REF!</v>
      </c>
      <c r="AE87" s="117" t="e">
        <f t="shared" si="493"/>
        <v>#REF!</v>
      </c>
      <c r="AF87" s="117" t="e">
        <f t="shared" si="493"/>
        <v>#REF!</v>
      </c>
      <c r="AG87" s="114" t="e">
        <f t="shared" si="493"/>
        <v>#REF!</v>
      </c>
      <c r="AH87" s="117" t="e">
        <f t="shared" si="493"/>
        <v>#REF!</v>
      </c>
      <c r="AI87" s="117" t="e">
        <f t="shared" si="493"/>
        <v>#REF!</v>
      </c>
      <c r="AJ87" s="114" t="e">
        <f t="shared" si="493"/>
        <v>#REF!</v>
      </c>
      <c r="AK87" s="117" t="e">
        <f t="shared" si="493"/>
        <v>#REF!</v>
      </c>
      <c r="AL87" s="117" t="e">
        <f t="shared" si="493"/>
        <v>#REF!</v>
      </c>
      <c r="AM87" s="136"/>
      <c r="AO87" s="112" t="e">
        <f>H87+K87+N87+Q87+AA87+AD87+AG87+AJ87</f>
        <v>#REF!</v>
      </c>
      <c r="AP87" s="112" t="e">
        <f>B87+E87+H87+K87+N87+Q87+U87+X87+AA87+AD87+AG87+AJ87</f>
        <v>#REF!</v>
      </c>
    </row>
    <row r="88" spans="1:77" s="133" customFormat="1" ht="10.15">
      <c r="B88" s="131" t="e">
        <f>B87-C87-D87</f>
        <v>#REF!</v>
      </c>
      <c r="C88" s="131"/>
      <c r="D88" s="131"/>
      <c r="E88" s="131" t="e">
        <f>E87-F87-G87</f>
        <v>#REF!</v>
      </c>
      <c r="F88" s="131"/>
      <c r="G88" s="131"/>
      <c r="H88" s="131" t="e">
        <f>H87-I87-J87</f>
        <v>#REF!</v>
      </c>
      <c r="I88" s="132"/>
      <c r="J88" s="132"/>
      <c r="K88" s="131" t="e">
        <f>K87-L87-M87</f>
        <v>#REF!</v>
      </c>
      <c r="L88" s="132"/>
      <c r="M88" s="132"/>
      <c r="N88" s="131" t="e">
        <f>N87-O87-P87</f>
        <v>#REF!</v>
      </c>
      <c r="O88" s="132"/>
      <c r="P88" s="132"/>
      <c r="Q88" s="131" t="e">
        <f>Q87-R87-S87</f>
        <v>#REF!</v>
      </c>
      <c r="R88" s="132"/>
      <c r="S88" s="132"/>
      <c r="U88" s="131" t="e">
        <f>U87-V87-W87</f>
        <v>#REF!</v>
      </c>
      <c r="V88" s="131"/>
      <c r="W88" s="131"/>
      <c r="X88" s="131" t="e">
        <f>X87-Y87-Z87</f>
        <v>#REF!</v>
      </c>
      <c r="Y88" s="131"/>
      <c r="Z88" s="131"/>
      <c r="AA88" s="131" t="e">
        <f>AA87-AB87-AC87</f>
        <v>#REF!</v>
      </c>
      <c r="AB88" s="132"/>
      <c r="AC88" s="132"/>
      <c r="AD88" s="131" t="e">
        <f>AD87-AE87-AF87</f>
        <v>#REF!</v>
      </c>
      <c r="AE88" s="132"/>
      <c r="AF88" s="132"/>
      <c r="AG88" s="131" t="e">
        <f>AG87-AH87-AI87</f>
        <v>#REF!</v>
      </c>
      <c r="AH88" s="132"/>
      <c r="AI88" s="132"/>
      <c r="AJ88" s="131" t="e">
        <f>AJ87-AK87-AL87</f>
        <v>#REF!</v>
      </c>
      <c r="AK88" s="132"/>
      <c r="AL88" s="132"/>
      <c r="AM88" s="132"/>
      <c r="AO88" s="132"/>
      <c r="AP88" s="132"/>
      <c r="AQ88" s="132"/>
      <c r="AR88" s="132"/>
      <c r="AS88" s="132"/>
      <c r="AT88" s="132"/>
      <c r="AU88" s="132"/>
      <c r="AV88" s="132"/>
      <c r="AW88" s="132"/>
      <c r="AX88" s="132"/>
      <c r="AY88" s="132"/>
      <c r="AZ88" s="132"/>
      <c r="BA88" s="132"/>
      <c r="BB88" s="132"/>
      <c r="BC88" s="132"/>
      <c r="BD88" s="132"/>
    </row>
    <row r="89" spans="1:77" s="133" customFormat="1" ht="10.15">
      <c r="B89" s="131"/>
      <c r="C89" s="131"/>
      <c r="D89" s="131"/>
      <c r="E89" s="131"/>
      <c r="F89" s="131"/>
      <c r="G89" s="131"/>
      <c r="H89" s="131"/>
      <c r="I89" s="132"/>
      <c r="J89" s="132"/>
      <c r="K89" s="131"/>
      <c r="L89" s="132"/>
      <c r="M89" s="132"/>
      <c r="N89" s="131"/>
      <c r="O89" s="132"/>
      <c r="P89" s="132"/>
      <c r="Q89" s="131"/>
      <c r="R89" s="132"/>
      <c r="S89" s="132"/>
      <c r="U89" s="131"/>
      <c r="V89" s="131"/>
      <c r="W89" s="131"/>
      <c r="X89" s="131"/>
      <c r="Y89" s="131"/>
      <c r="Z89" s="131"/>
      <c r="AA89" s="131"/>
      <c r="AB89" s="132"/>
      <c r="AC89" s="132"/>
      <c r="AD89" s="131"/>
      <c r="AE89" s="132"/>
      <c r="AF89" s="132"/>
      <c r="AG89" s="131"/>
      <c r="AH89" s="132"/>
      <c r="AI89" s="132"/>
      <c r="AJ89" s="131"/>
      <c r="AK89" s="132"/>
      <c r="AL89" s="132"/>
      <c r="AM89" s="132"/>
      <c r="AO89" s="132"/>
      <c r="AP89" s="132"/>
      <c r="AQ89" s="132"/>
      <c r="AR89" s="132"/>
      <c r="AS89" s="132"/>
      <c r="AT89" s="132"/>
      <c r="AU89" s="132"/>
      <c r="AV89" s="132"/>
      <c r="AW89" s="132"/>
      <c r="AX89" s="132"/>
      <c r="AY89" s="132"/>
      <c r="AZ89" s="132"/>
      <c r="BA89" s="132"/>
      <c r="BB89" s="132"/>
      <c r="BC89" s="132"/>
      <c r="BD89" s="132"/>
    </row>
    <row r="90" spans="1:77" s="133" customFormat="1" ht="10.15">
      <c r="B90" s="131"/>
      <c r="C90" s="131"/>
      <c r="D90" s="131"/>
      <c r="E90" s="131"/>
      <c r="F90" s="131"/>
      <c r="G90" s="131"/>
      <c r="H90" s="131"/>
      <c r="I90" s="132"/>
      <c r="J90" s="132"/>
      <c r="K90" s="131"/>
      <c r="L90" s="132"/>
      <c r="M90" s="132"/>
      <c r="N90" s="131"/>
      <c r="O90" s="132"/>
      <c r="P90" s="132"/>
      <c r="Q90" s="131"/>
      <c r="R90" s="132"/>
      <c r="S90" s="132"/>
      <c r="U90" s="131"/>
      <c r="V90" s="131"/>
      <c r="W90" s="131"/>
      <c r="X90" s="131"/>
      <c r="Y90" s="131"/>
      <c r="Z90" s="131"/>
      <c r="AA90" s="131"/>
      <c r="AB90" s="132"/>
      <c r="AC90" s="132"/>
      <c r="AD90" s="131"/>
      <c r="AE90" s="132"/>
      <c r="AF90" s="132"/>
      <c r="AG90" s="131"/>
      <c r="AH90" s="132"/>
      <c r="AI90" s="132"/>
      <c r="AJ90" s="131"/>
      <c r="AK90" s="132"/>
      <c r="AL90" s="132"/>
      <c r="AM90" s="132"/>
      <c r="AO90" s="132"/>
      <c r="AP90" s="132"/>
      <c r="AQ90" s="132"/>
      <c r="AR90" s="132"/>
      <c r="AS90" s="132"/>
      <c r="AT90" s="132"/>
      <c r="AU90" s="132"/>
      <c r="AV90" s="132"/>
      <c r="AW90" s="132"/>
      <c r="AX90" s="132"/>
      <c r="AY90" s="132"/>
      <c r="AZ90" s="132"/>
      <c r="BA90" s="132"/>
      <c r="BB90" s="132"/>
      <c r="BC90" s="132"/>
      <c r="BD90" s="132"/>
    </row>
    <row r="93" spans="1:77" ht="43.15">
      <c r="A93" s="134" t="s">
        <v>1333</v>
      </c>
      <c r="B93" s="110" t="s">
        <v>1297</v>
      </c>
      <c r="C93" s="116" t="s">
        <v>1298</v>
      </c>
      <c r="D93" s="116" t="s">
        <v>1299</v>
      </c>
      <c r="E93" s="110" t="s">
        <v>1300</v>
      </c>
      <c r="F93" s="116" t="s">
        <v>1301</v>
      </c>
      <c r="G93" s="116" t="s">
        <v>1302</v>
      </c>
      <c r="H93" s="110" t="s">
        <v>1297</v>
      </c>
      <c r="I93" s="116" t="s">
        <v>1298</v>
      </c>
      <c r="J93" s="116" t="s">
        <v>1299</v>
      </c>
      <c r="K93" s="118" t="s">
        <v>1300</v>
      </c>
      <c r="L93" s="119" t="s">
        <v>1301</v>
      </c>
      <c r="M93" s="120" t="s">
        <v>1302</v>
      </c>
      <c r="N93" s="110" t="s">
        <v>1297</v>
      </c>
      <c r="O93" s="116" t="s">
        <v>1298</v>
      </c>
      <c r="P93" s="116" t="s">
        <v>1299</v>
      </c>
      <c r="Q93" s="118" t="s">
        <v>1300</v>
      </c>
      <c r="R93" s="119" t="s">
        <v>1301</v>
      </c>
      <c r="S93" s="120" t="s">
        <v>1302</v>
      </c>
      <c r="U93" s="111" t="s">
        <v>1297</v>
      </c>
      <c r="V93" s="117" t="s">
        <v>1298</v>
      </c>
      <c r="W93" s="117" t="s">
        <v>1299</v>
      </c>
      <c r="X93" s="111" t="s">
        <v>1300</v>
      </c>
      <c r="Y93" s="117" t="s">
        <v>1301</v>
      </c>
      <c r="Z93" s="117" t="s">
        <v>1302</v>
      </c>
      <c r="AA93" s="111" t="s">
        <v>1297</v>
      </c>
      <c r="AB93" s="117" t="s">
        <v>1298</v>
      </c>
      <c r="AC93" s="117" t="s">
        <v>1299</v>
      </c>
      <c r="AD93" s="135" t="s">
        <v>1300</v>
      </c>
      <c r="AE93" s="121" t="s">
        <v>1301</v>
      </c>
      <c r="AF93" s="123" t="s">
        <v>1302</v>
      </c>
      <c r="AG93" s="111" t="s">
        <v>1297</v>
      </c>
      <c r="AH93" s="117" t="s">
        <v>1298</v>
      </c>
      <c r="AI93" s="117" t="s">
        <v>1299</v>
      </c>
      <c r="AJ93" s="135" t="s">
        <v>1300</v>
      </c>
      <c r="AK93" s="121" t="s">
        <v>1301</v>
      </c>
      <c r="AL93" s="123" t="s">
        <v>1302</v>
      </c>
      <c r="AM93" s="117"/>
      <c r="AN93" s="134" t="s">
        <v>1333</v>
      </c>
      <c r="AO93" s="118" t="s">
        <v>1297</v>
      </c>
      <c r="AP93" s="119" t="s">
        <v>1298</v>
      </c>
      <c r="AQ93" s="120" t="s">
        <v>1299</v>
      </c>
      <c r="AR93" s="129" t="s">
        <v>1300</v>
      </c>
      <c r="AS93" s="119" t="s">
        <v>1301</v>
      </c>
      <c r="AT93" s="120" t="s">
        <v>1302</v>
      </c>
      <c r="AU93" s="129" t="s">
        <v>1303</v>
      </c>
      <c r="AV93" s="119" t="s">
        <v>1304</v>
      </c>
      <c r="AW93" s="120" t="s">
        <v>1305</v>
      </c>
      <c r="AX93" s="118" t="s">
        <v>1297</v>
      </c>
      <c r="AY93" s="119" t="s">
        <v>1298</v>
      </c>
      <c r="AZ93" s="120" t="s">
        <v>1299</v>
      </c>
      <c r="BA93" s="118" t="s">
        <v>1300</v>
      </c>
      <c r="BB93" s="119" t="s">
        <v>1301</v>
      </c>
      <c r="BC93" s="120" t="s">
        <v>1302</v>
      </c>
      <c r="BD93" s="129" t="s">
        <v>1303</v>
      </c>
      <c r="BE93" s="119" t="s">
        <v>1304</v>
      </c>
      <c r="BF93" s="120" t="s">
        <v>1305</v>
      </c>
      <c r="BH93" s="118" t="s">
        <v>1297</v>
      </c>
      <c r="BI93" s="119" t="s">
        <v>1298</v>
      </c>
      <c r="BJ93" s="120" t="s">
        <v>1299</v>
      </c>
      <c r="BK93" s="129" t="s">
        <v>1300</v>
      </c>
      <c r="BL93" s="119" t="s">
        <v>1301</v>
      </c>
      <c r="BM93" s="120" t="s">
        <v>1302</v>
      </c>
      <c r="BN93" s="129" t="s">
        <v>1303</v>
      </c>
      <c r="BO93" s="119" t="s">
        <v>1304</v>
      </c>
      <c r="BP93" s="120" t="s">
        <v>1305</v>
      </c>
      <c r="BQ93" s="118" t="s">
        <v>1297</v>
      </c>
      <c r="BR93" s="119" t="s">
        <v>1298</v>
      </c>
      <c r="BS93" s="120" t="s">
        <v>1299</v>
      </c>
      <c r="BT93" s="118" t="s">
        <v>1300</v>
      </c>
      <c r="BU93" s="119" t="s">
        <v>1301</v>
      </c>
      <c r="BV93" s="120" t="s">
        <v>1302</v>
      </c>
      <c r="BW93" s="129" t="s">
        <v>1303</v>
      </c>
      <c r="BX93" s="119" t="s">
        <v>1304</v>
      </c>
      <c r="BY93" s="120" t="s">
        <v>1305</v>
      </c>
    </row>
    <row r="94" spans="1:77" outlineLevel="1">
      <c r="A94" t="s">
        <v>1306</v>
      </c>
      <c r="B94" s="138" t="e">
        <f>SUMIFS('Portefeuille SP2'!$U:$U,'Portefeuille SP2'!#REF!,1,'Portefeuille SP2'!$Q:$Q,"IN PROGRESS",'Portefeuille SP2'!#REF!,"G",'Portefeuille SP2'!$D:$D,$A94,'Portefeuille SP2'!#REF!,"S")</f>
        <v>#REF!</v>
      </c>
      <c r="C94" s="125" t="e">
        <f>SUMIFS('Portefeuille SP2'!#REF!,'Portefeuille SP2'!#REF!,1,'Portefeuille SP2'!$Q:$Q,"IN PROGRESS",'Portefeuille SP2'!#REF!,"G",'Portefeuille SP2'!$D:$D,$A94,'Portefeuille SP2'!#REF!,"S")</f>
        <v>#REF!</v>
      </c>
      <c r="D94" s="123" t="e">
        <f>SUMIFS('Portefeuille SP2'!#REF!,'Portefeuille SP2'!#REF!,1,'Portefeuille SP2'!$Q:$Q,"IN PROGRESS",'Portefeuille SP2'!#REF!,"G",'Portefeuille SP2'!$D:$D,$A94,'Portefeuille SP2'!#REF!,"S")</f>
        <v>#REF!</v>
      </c>
      <c r="E94" s="135" t="e">
        <f>SUMIFS('Portefeuille SP2'!$U:$U,'Portefeuille SP2'!#REF!,1,'Portefeuille SP2'!$Q:$Q,"IN PROGRESS",'Portefeuille SP2'!#REF!,"R",'Portefeuille SP2'!$D:$D,$A94,'Portefeuille SP2'!#REF!,"S")</f>
        <v>#REF!</v>
      </c>
      <c r="F94" s="125" t="e">
        <f>SUMIFS('Portefeuille SP2'!#REF!,'Portefeuille SP2'!#REF!,1,'Portefeuille SP2'!$Q:$Q,"IN PROGRESS",'Portefeuille SP2'!#REF!,"R",'Portefeuille SP2'!$D:$D,$A94,'Portefeuille SP2'!#REF!,"S")</f>
        <v>#REF!</v>
      </c>
      <c r="G94" s="121" t="e">
        <f>SUMIFS('Portefeuille SP2'!#REF!,'Portefeuille SP2'!#REF!,1,'Portefeuille SP2'!$Q:$Q,"IN PROGRESS",'Portefeuille SP2'!#REF!,"R",'Portefeuille SP2'!$D:$D,$A94,'Portefeuille SP2'!#REF!,"S")</f>
        <v>#REF!</v>
      </c>
      <c r="H94" s="135" t="e">
        <f>SUMIFS('Portefeuille SP2'!$U:$U,'Portefeuille SP2'!#REF!,1,'Portefeuille SP2'!$Q:$Q,"DECIDED",'Portefeuille SP2'!#REF!,"G",'Portefeuille SP2'!$D:$D,$A94,'Portefeuille SP2'!#REF!,"S",'Portefeuille SP2'!#REF!,"=")</f>
        <v>#REF!</v>
      </c>
      <c r="I94" s="121" t="e">
        <f>SUMIFS('Portefeuille SP2'!#REF!,'Portefeuille SP2'!#REF!,1,'Portefeuille SP2'!$Q:$Q,"DECIDED",'Portefeuille SP2'!#REF!,"G",'Portefeuille SP2'!$D:$D,$A94,'Portefeuille SP2'!#REF!,"S",'Portefeuille SP2'!#REF!,"=")</f>
        <v>#REF!</v>
      </c>
      <c r="J94" s="121" t="e">
        <f>SUMIFS('Portefeuille SP2'!#REF!,'Portefeuille SP2'!#REF!,1,'Portefeuille SP2'!$Q:$Q,"DECIDED",'Portefeuille SP2'!#REF!,"G",'Portefeuille SP2'!$D:$D,$A94,'Portefeuille SP2'!#REF!,"S",'Portefeuille SP2'!#REF!,"=")</f>
        <v>#REF!</v>
      </c>
      <c r="K94" s="135" t="e">
        <f>SUMIFS('Portefeuille SP2'!$U:$U,'Portefeuille SP2'!#REF!,1,'Portefeuille SP2'!$Q:$Q,"DECIDED",'Portefeuille SP2'!#REF!,"R",'Portefeuille SP2'!$D:$D,$A94,'Portefeuille SP2'!#REF!,"S",'Portefeuille SP2'!#REF!,"=")</f>
        <v>#REF!</v>
      </c>
      <c r="L94" s="125" t="e">
        <f>SUMIFS('Portefeuille SP2'!#REF!,'Portefeuille SP2'!#REF!,1,'Portefeuille SP2'!$Q:$Q,"DECIDED",'Portefeuille SP2'!#REF!,"R",'Portefeuille SP2'!$D:$D,$A94,'Portefeuille SP2'!#REF!,"S",'Portefeuille SP2'!#REF!,"=")</f>
        <v>#REF!</v>
      </c>
      <c r="M94" s="121" t="e">
        <f>SUMIFS('Portefeuille SP2'!#REF!,'Portefeuille SP2'!#REF!,1,'Portefeuille SP2'!$Q:$Q,"DECIDED",'Portefeuille SP2'!#REF!,"R",'Portefeuille SP2'!$D:$D,$A94,'Portefeuille SP2'!#REF!,"S",'Portefeuille SP2'!#REF!,"=")</f>
        <v>#REF!</v>
      </c>
      <c r="N94" s="135" t="e">
        <f>SUMIFS('Portefeuille SP2'!$U:$U,'Portefeuille SP2'!#REF!,1,'Portefeuille SP2'!$Q:$Q,"DECIDED",'Portefeuille SP2'!#REF!,"G",'Portefeuille SP2'!$D:$D,$A94,'Portefeuille SP2'!#REF!,"S",'Portefeuille SP2'!#REF!,"&lt;&gt;")</f>
        <v>#REF!</v>
      </c>
      <c r="O94" s="125" t="e">
        <f>SUMIFS('Portefeuille SP2'!#REF!,'Portefeuille SP2'!#REF!,1,'Portefeuille SP2'!$Q:$Q,"DECIDED",'Portefeuille SP2'!#REF!,"G",'Portefeuille SP2'!$D:$D,$A94,'Portefeuille SP2'!#REF!,"S",'Portefeuille SP2'!#REF!,"&lt;&gt;")</f>
        <v>#REF!</v>
      </c>
      <c r="P94" s="121" t="e">
        <f>SUMIFS('Portefeuille SP2'!#REF!,'Portefeuille SP2'!#REF!,1,'Portefeuille SP2'!$Q:$Q,"DECIDED",'Portefeuille SP2'!#REF!,"G",'Portefeuille SP2'!$D:$D,$A94,'Portefeuille SP2'!#REF!,"S",'Portefeuille SP2'!#REF!,"&lt;&gt;")</f>
        <v>#REF!</v>
      </c>
      <c r="Q94" s="135" t="e">
        <f>SUMIFS('Portefeuille SP2'!$U:$U,'Portefeuille SP2'!#REF!,1,'Portefeuille SP2'!$Q:$Q,"DECIDED",'Portefeuille SP2'!#REF!,"R",'Portefeuille SP2'!$D:$D,$A94,'Portefeuille SP2'!#REF!,"S",'Portefeuille SP2'!#REF!,"&lt;&gt;")</f>
        <v>#REF!</v>
      </c>
      <c r="R94" s="125" t="e">
        <f>SUMIFS('Portefeuille SP2'!#REF!,'Portefeuille SP2'!#REF!,1,'Portefeuille SP2'!$Q:$Q,"DECIDED",'Portefeuille SP2'!#REF!,"R",'Portefeuille SP2'!$D:$D,$A94,'Portefeuille SP2'!#REF!,"S",'Portefeuille SP2'!#REF!,"&lt;&gt;")</f>
        <v>#REF!</v>
      </c>
      <c r="S94" s="123" t="e">
        <f>SUMIFS('Portefeuille SP2'!#REF!,'Portefeuille SP2'!#REF!,1,'Portefeuille SP2'!$Q:$Q,"DECIDED",'Portefeuille SP2'!#REF!,"R",'Portefeuille SP2'!$D:$D,$A94,'Portefeuille SP2'!#REF!,"S",'Portefeuille SP2'!#REF!,"&lt;&gt;")</f>
        <v>#REF!</v>
      </c>
      <c r="U94" s="135" t="e">
        <f>SUMIFS('Portefeuille SP2'!$U:$U,'Portefeuille SP2'!#REF!,1,'Portefeuille SP2'!$Q:$Q,"IN PROGRESS",'Portefeuille SP2'!#REF!,"G",'Portefeuille SP2'!$D:$D,$A94,'Portefeuille SP2'!#REF!,"O")</f>
        <v>#REF!</v>
      </c>
      <c r="V94" s="125" t="e">
        <f>SUMIFS('Portefeuille SP2'!#REF!,'Portefeuille SP2'!#REF!,1,'Portefeuille SP2'!$Q:$Q,"IN PROGRESS",'Portefeuille SP2'!#REF!,"G",'Portefeuille SP2'!$D:$D,$A94,'Portefeuille SP2'!#REF!,"o")</f>
        <v>#REF!</v>
      </c>
      <c r="W94" s="121" t="e">
        <f>SUMIFS('Portefeuille SP2'!#REF!,'Portefeuille SP2'!#REF!,1,'Portefeuille SP2'!$Q:$Q,"IN PROGRESS",'Portefeuille SP2'!#REF!,"G",'Portefeuille SP2'!$D:$D,$A94,'Portefeuille SP2'!#REF!,"o")</f>
        <v>#REF!</v>
      </c>
      <c r="X94" s="135" t="e">
        <f>SUMIFS('Portefeuille SP2'!$U:$U,'Portefeuille SP2'!#REF!,1,'Portefeuille SP2'!$Q:$Q,"IN PROGRESS",'Portefeuille SP2'!#REF!,"R",'Portefeuille SP2'!$D:$D,$A94,'Portefeuille SP2'!#REF!,"o")</f>
        <v>#REF!</v>
      </c>
      <c r="Y94" s="125" t="e">
        <f>SUMIFS('Portefeuille SP2'!#REF!,'Portefeuille SP2'!#REF!,1,'Portefeuille SP2'!$Q:$Q,"IN PROGRESS",'Portefeuille SP2'!#REF!,"R",'Portefeuille SP2'!$D:$D,$A94,'Portefeuille SP2'!#REF!,"o")</f>
        <v>#REF!</v>
      </c>
      <c r="Z94" s="121" t="e">
        <f>SUMIFS('Portefeuille SP2'!#REF!,'Portefeuille SP2'!#REF!,1,'Portefeuille SP2'!$Q:$Q,"IN PROGRESS",'Portefeuille SP2'!#REF!,"R",'Portefeuille SP2'!$D:$D,$A94,'Portefeuille SP2'!#REF!,"o")</f>
        <v>#REF!</v>
      </c>
      <c r="AA94" s="135" t="e">
        <f>SUMIFS('Portefeuille SP2'!$U:$U,'Portefeuille SP2'!#REF!,1,'Portefeuille SP2'!$Q:$Q,"DECIDED",'Portefeuille SP2'!#REF!,"G",'Portefeuille SP2'!$D:$D,$A94,'Portefeuille SP2'!#REF!,"o",'Portefeuille SP2'!#REF!,"=")</f>
        <v>#REF!</v>
      </c>
      <c r="AB94" s="125" t="e">
        <f>SUMIFS('Portefeuille SP2'!#REF!,'Portefeuille SP2'!#REF!,1,'Portefeuille SP2'!$Q:$Q,"DECIDED",'Portefeuille SP2'!#REF!,"G",'Portefeuille SP2'!$D:$D,$A94,'Portefeuille SP2'!#REF!,"o",'Portefeuille SP2'!#REF!,"=")</f>
        <v>#REF!</v>
      </c>
      <c r="AC94" s="121" t="e">
        <f>SUMIFS('Portefeuille SP2'!#REF!,'Portefeuille SP2'!#REF!,1,'Portefeuille SP2'!$Q:$Q,"DECIDED",'Portefeuille SP2'!#REF!,"G",'Portefeuille SP2'!$D:$D,$A94,'Portefeuille SP2'!#REF!,"o",'Portefeuille SP2'!#REF!,"=")</f>
        <v>#REF!</v>
      </c>
      <c r="AD94" s="135" t="e">
        <f>SUMIFS('Portefeuille SP2'!$U:$U,'Portefeuille SP2'!#REF!,1,'Portefeuille SP2'!$Q:$Q,"DECIDED",'Portefeuille SP2'!#REF!,"R",'Portefeuille SP2'!$D:$D,$A94,'Portefeuille SP2'!#REF!,"o",'Portefeuille SP2'!#REF!,"=")</f>
        <v>#REF!</v>
      </c>
      <c r="AE94" s="125" t="e">
        <f>SUMIFS('Portefeuille SP2'!#REF!,'Portefeuille SP2'!#REF!,1,'Portefeuille SP2'!$Q:$Q,"DECIDED",'Portefeuille SP2'!#REF!,"R",'Portefeuille SP2'!$D:$D,$A94,'Portefeuille SP2'!#REF!,"o",'Portefeuille SP2'!#REF!,"=")</f>
        <v>#REF!</v>
      </c>
      <c r="AF94" s="121" t="e">
        <f>SUMIFS('Portefeuille SP2'!#REF!,'Portefeuille SP2'!#REF!,1,'Portefeuille SP2'!$Q:$Q,"DECIDED",'Portefeuille SP2'!#REF!,"R",'Portefeuille SP2'!$D:$D,$A94,'Portefeuille SP2'!#REF!,"o",'Portefeuille SP2'!#REF!,"=")</f>
        <v>#REF!</v>
      </c>
      <c r="AG94" s="135" t="e">
        <f>SUMIFS('Portefeuille SP2'!$U:$U,'Portefeuille SP2'!#REF!,1,'Portefeuille SP2'!$Q:$Q,"DECIDED",'Portefeuille SP2'!#REF!,"G",'Portefeuille SP2'!$D:$D,$A94,'Portefeuille SP2'!#REF!,"o",'Portefeuille SP2'!#REF!,"&lt;&gt;")</f>
        <v>#REF!</v>
      </c>
      <c r="AH94" s="125" t="e">
        <f>SUMIFS('Portefeuille SP2'!#REF!,'Portefeuille SP2'!#REF!,1,'Portefeuille SP2'!$Q:$Q,"DECIDED",'Portefeuille SP2'!#REF!,"G",'Portefeuille SP2'!$D:$D,$A94,'Portefeuille SP2'!#REF!,"o",'Portefeuille SP2'!#REF!,"&lt;&gt;")</f>
        <v>#REF!</v>
      </c>
      <c r="AI94" s="121" t="e">
        <f>SUMIFS('Portefeuille SP2'!#REF!,'Portefeuille SP2'!#REF!,1,'Portefeuille SP2'!$Q:$Q,"DECIDED",'Portefeuille SP2'!#REF!,"G",'Portefeuille SP2'!$D:$D,$A94,'Portefeuille SP2'!#REF!,"o",'Portefeuille SP2'!#REF!,"&lt;&gt;")</f>
        <v>#REF!</v>
      </c>
      <c r="AJ94" s="135" t="e">
        <f>SUMIFS('Portefeuille SP2'!$U:$U,'Portefeuille SP2'!#REF!,1,'Portefeuille SP2'!$Q:$Q,"DECIDED",'Portefeuille SP2'!#REF!,"R",'Portefeuille SP2'!$D:$D,$A94,'Portefeuille SP2'!#REF!,"o",'Portefeuille SP2'!#REF!,"&lt;&gt;")</f>
        <v>#REF!</v>
      </c>
      <c r="AK94" s="125" t="e">
        <f>SUMIFS('Portefeuille SP2'!#REF!,'Portefeuille SP2'!#REF!,1,'Portefeuille SP2'!$Q:$Q,"DECIDED",'Portefeuille SP2'!#REF!,"R",'Portefeuille SP2'!$D:$D,$A94,'Portefeuille SP2'!#REF!,"o",'Portefeuille SP2'!#REF!,"&lt;&gt;")</f>
        <v>#REF!</v>
      </c>
      <c r="AL94" s="121" t="e">
        <f>SUMIFS('Portefeuille SP2'!#REF!,'Portefeuille SP2'!#REF!,1,'Portefeuille SP2'!$Q:$Q,"DECIDED",'Portefeuille SP2'!#REF!,"R",'Portefeuille SP2'!$D:$D,$A94,'Portefeuille SP2'!#REF!,"o",'Portefeuille SP2'!#REF!,"&lt;&gt;")</f>
        <v>#REF!</v>
      </c>
      <c r="AM94" s="117"/>
      <c r="AN94" t="s">
        <v>1274</v>
      </c>
      <c r="AO94" s="111" t="e">
        <f t="shared" ref="AO94" si="494">B94</f>
        <v>#REF!</v>
      </c>
      <c r="AP94" s="125" t="e">
        <f t="shared" ref="AP94" si="495">C94</f>
        <v>#REF!</v>
      </c>
      <c r="AQ94" s="123" t="e">
        <f t="shared" ref="AQ94" si="496">D94</f>
        <v>#REF!</v>
      </c>
      <c r="AR94" s="112" t="e">
        <f t="shared" ref="AR94" si="497">E94</f>
        <v>#REF!</v>
      </c>
      <c r="AS94" s="125" t="e">
        <f t="shared" ref="AS94" si="498">F94</f>
        <v>#REF!</v>
      </c>
      <c r="AT94" s="123" t="e">
        <f t="shared" ref="AT94" si="499">G94</f>
        <v>#REF!</v>
      </c>
      <c r="AU94" s="112" t="e">
        <f>AO94+AR94</f>
        <v>#REF!</v>
      </c>
      <c r="AV94" s="125" t="e">
        <f t="shared" ref="AV94:AV102" si="500">AP94+AS94</f>
        <v>#REF!</v>
      </c>
      <c r="AW94" s="123" t="e">
        <f t="shared" ref="AW94:AW102" si="501">AQ94+AT94</f>
        <v>#REF!</v>
      </c>
      <c r="AX94" s="111" t="e">
        <f t="shared" ref="AX94" si="502">H94</f>
        <v>#REF!</v>
      </c>
      <c r="AY94" s="125" t="e">
        <f t="shared" ref="AY94" si="503">I94</f>
        <v>#REF!</v>
      </c>
      <c r="AZ94" s="123" t="e">
        <f t="shared" ref="AZ94" si="504">J94</f>
        <v>#REF!</v>
      </c>
      <c r="BA94" s="111" t="e">
        <f t="shared" ref="BA94" si="505">K94</f>
        <v>#REF!</v>
      </c>
      <c r="BB94" s="125" t="e">
        <f t="shared" ref="BB94" si="506">L94</f>
        <v>#REF!</v>
      </c>
      <c r="BC94" s="123" t="e">
        <f t="shared" ref="BC94" si="507">M94</f>
        <v>#REF!</v>
      </c>
      <c r="BD94" s="112" t="e">
        <f>AX94+BA94</f>
        <v>#REF!</v>
      </c>
      <c r="BE94" s="125" t="e">
        <f t="shared" ref="BE94:BE102" si="508">AY94+BB94</f>
        <v>#REF!</v>
      </c>
      <c r="BF94" s="123" t="e">
        <f t="shared" ref="BF94:BF102" si="509">AZ94+BC94</f>
        <v>#REF!</v>
      </c>
      <c r="BH94" s="135" t="e">
        <f>U94</f>
        <v>#REF!</v>
      </c>
      <c r="BI94" s="125" t="e">
        <f t="shared" ref="BI94" si="510">V94</f>
        <v>#REF!</v>
      </c>
      <c r="BJ94" s="123" t="e">
        <f t="shared" ref="BJ94" si="511">W94</f>
        <v>#REF!</v>
      </c>
      <c r="BK94" s="135" t="e">
        <f t="shared" ref="BK94" si="512">X94</f>
        <v>#REF!</v>
      </c>
      <c r="BL94" s="125" t="e">
        <f t="shared" ref="BL94" si="513">Y94</f>
        <v>#REF!</v>
      </c>
      <c r="BM94" s="123" t="e">
        <f t="shared" ref="BM94" si="514">Z94</f>
        <v>#REF!</v>
      </c>
      <c r="BN94" s="112" t="e">
        <f>BH94+BK94</f>
        <v>#REF!</v>
      </c>
      <c r="BO94" s="125" t="e">
        <f t="shared" ref="BO94:BO102" si="515">BI94+BL94</f>
        <v>#REF!</v>
      </c>
      <c r="BP94" s="123" t="e">
        <f t="shared" ref="BP94:BP102" si="516">BJ94+BM94</f>
        <v>#REF!</v>
      </c>
      <c r="BQ94" s="135" t="e">
        <f t="shared" ref="BQ94" si="517">AA94</f>
        <v>#REF!</v>
      </c>
      <c r="BR94" s="125" t="e">
        <f t="shared" ref="BR94" si="518">AB94</f>
        <v>#REF!</v>
      </c>
      <c r="BS94" s="123" t="e">
        <f t="shared" ref="BS94" si="519">AC94</f>
        <v>#REF!</v>
      </c>
      <c r="BT94" s="135" t="e">
        <f t="shared" ref="BT94" si="520">AD94</f>
        <v>#REF!</v>
      </c>
      <c r="BU94" s="125" t="e">
        <f t="shared" ref="BU94" si="521">AE94</f>
        <v>#REF!</v>
      </c>
      <c r="BV94" s="123" t="e">
        <f t="shared" ref="BV94" si="522">AF94</f>
        <v>#REF!</v>
      </c>
      <c r="BW94" s="135" t="e">
        <f>BQ94+BT94</f>
        <v>#REF!</v>
      </c>
      <c r="BX94" s="125" t="e">
        <f t="shared" ref="BX94:BX102" si="523">BR94+BU94</f>
        <v>#REF!</v>
      </c>
      <c r="BY94" s="123" t="e">
        <f t="shared" ref="BY94:BY102" si="524">BS94+BV94</f>
        <v>#REF!</v>
      </c>
    </row>
    <row r="95" spans="1:77" outlineLevel="1">
      <c r="A95" t="s">
        <v>1307</v>
      </c>
      <c r="B95" s="139" t="e">
        <f>SUMIFS('Portefeuille SP2'!$U:$U,'Portefeuille SP2'!#REF!,1,'Portefeuille SP2'!$Q:$Q,"IN PROGRESS",'Portefeuille SP2'!#REF!,"G",'Portefeuille SP2'!$D:$D,$A95,'Portefeuille SP2'!#REF!,"S")</f>
        <v>#REF!</v>
      </c>
      <c r="C95" s="126" t="e">
        <f>SUMIFS('Portefeuille SP2'!#REF!,'Portefeuille SP2'!#REF!,1,'Portefeuille SP2'!$Q:$Q,"IN PROGRESS",'Portefeuille SP2'!#REF!,"G",'Portefeuille SP2'!$D:$D,$A95,'Portefeuille SP2'!#REF!,"S")</f>
        <v>#REF!</v>
      </c>
      <c r="D95" s="122" t="e">
        <f>SUMIFS('Portefeuille SP2'!#REF!,'Portefeuille SP2'!#REF!,1,'Portefeuille SP2'!$Q:$Q,"IN PROGRESS",'Portefeuille SP2'!#REF!,"G",'Portefeuille SP2'!$D:$D,$A95,'Portefeuille SP2'!#REF!,"S")</f>
        <v>#REF!</v>
      </c>
      <c r="E95" s="111" t="e">
        <f>SUMIFS('Portefeuille SP2'!$U:$U,'Portefeuille SP2'!#REF!,1,'Portefeuille SP2'!$Q:$Q,"IN PROGRESS",'Portefeuille SP2'!#REF!,"R",'Portefeuille SP2'!$D:$D,$A95,'Portefeuille SP2'!#REF!,"S")</f>
        <v>#REF!</v>
      </c>
      <c r="F95" s="126" t="e">
        <f>SUMIFS('Portefeuille SP2'!#REF!,'Portefeuille SP2'!#REF!,1,'Portefeuille SP2'!$Q:$Q,"IN PROGRESS",'Portefeuille SP2'!#REF!,"R",'Portefeuille SP2'!$D:$D,$A95,'Portefeuille SP2'!#REF!,"S")</f>
        <v>#REF!</v>
      </c>
      <c r="G95" s="117" t="e">
        <f>SUMIFS('Portefeuille SP2'!#REF!,'Portefeuille SP2'!#REF!,1,'Portefeuille SP2'!$Q:$Q,"IN PROGRESS",'Portefeuille SP2'!#REF!,"R",'Portefeuille SP2'!$D:$D,$A95,'Portefeuille SP2'!#REF!,"S")</f>
        <v>#REF!</v>
      </c>
      <c r="H95" s="111" t="e">
        <f>SUMIFS('Portefeuille SP2'!$U:$U,'Portefeuille SP2'!#REF!,1,'Portefeuille SP2'!$Q:$Q,"DECIDED",'Portefeuille SP2'!#REF!,"G",'Portefeuille SP2'!$D:$D,$A95,'Portefeuille SP2'!#REF!,"S",'Portefeuille SP2'!#REF!,"=")</f>
        <v>#REF!</v>
      </c>
      <c r="I95" s="117" t="e">
        <f>SUMIFS('Portefeuille SP2'!#REF!,'Portefeuille SP2'!#REF!,1,'Portefeuille SP2'!$Q:$Q,"DECIDED",'Portefeuille SP2'!#REF!,"G",'Portefeuille SP2'!$D:$D,$A95,'Portefeuille SP2'!#REF!,"S",'Portefeuille SP2'!#REF!,"=")</f>
        <v>#REF!</v>
      </c>
      <c r="J95" s="117" t="e">
        <f>SUMIFS('Portefeuille SP2'!#REF!,'Portefeuille SP2'!#REF!,1,'Portefeuille SP2'!$Q:$Q,"DECIDED",'Portefeuille SP2'!#REF!,"G",'Portefeuille SP2'!$D:$D,$A95,'Portefeuille SP2'!#REF!,"S",'Portefeuille SP2'!#REF!,"=")</f>
        <v>#REF!</v>
      </c>
      <c r="K95" s="111" t="e">
        <f>SUMIFS('Portefeuille SP2'!$U:$U,'Portefeuille SP2'!#REF!,1,'Portefeuille SP2'!$Q:$Q,"DECIDED",'Portefeuille SP2'!#REF!,"R",'Portefeuille SP2'!$D:$D,$A95,'Portefeuille SP2'!#REF!,"S",'Portefeuille SP2'!#REF!,"=")</f>
        <v>#REF!</v>
      </c>
      <c r="L95" s="126" t="e">
        <f>SUMIFS('Portefeuille SP2'!#REF!,'Portefeuille SP2'!#REF!,1,'Portefeuille SP2'!$Q:$Q,"DECIDED",'Portefeuille SP2'!#REF!,"R",'Portefeuille SP2'!$D:$D,$A95,'Portefeuille SP2'!#REF!,"S",'Portefeuille SP2'!#REF!,"=")</f>
        <v>#REF!</v>
      </c>
      <c r="M95" s="117" t="e">
        <f>SUMIFS('Portefeuille SP2'!#REF!,'Portefeuille SP2'!#REF!,1,'Portefeuille SP2'!$Q:$Q,"DECIDED",'Portefeuille SP2'!#REF!,"R",'Portefeuille SP2'!$D:$D,$A95,'Portefeuille SP2'!#REF!,"S",'Portefeuille SP2'!#REF!,"=")</f>
        <v>#REF!</v>
      </c>
      <c r="N95" s="111" t="e">
        <f>SUMIFS('Portefeuille SP2'!$U:$U,'Portefeuille SP2'!#REF!,1,'Portefeuille SP2'!$Q:$Q,"DECIDED",'Portefeuille SP2'!#REF!,"G",'Portefeuille SP2'!$D:$D,$A95,'Portefeuille SP2'!#REF!,"S",'Portefeuille SP2'!#REF!,"&lt;&gt;")</f>
        <v>#REF!</v>
      </c>
      <c r="O95" s="126" t="e">
        <f>SUMIFS('Portefeuille SP2'!#REF!,'Portefeuille SP2'!#REF!,1,'Portefeuille SP2'!$Q:$Q,"DECIDED",'Portefeuille SP2'!#REF!,"G",'Portefeuille SP2'!$D:$D,$A95,'Portefeuille SP2'!#REF!,"S",'Portefeuille SP2'!#REF!,"&lt;&gt;")</f>
        <v>#REF!</v>
      </c>
      <c r="P95" s="117" t="e">
        <f>SUMIFS('Portefeuille SP2'!#REF!,'Portefeuille SP2'!#REF!,1,'Portefeuille SP2'!$Q:$Q,"DECIDED",'Portefeuille SP2'!#REF!,"G",'Portefeuille SP2'!$D:$D,$A95,'Portefeuille SP2'!#REF!,"S",'Portefeuille SP2'!#REF!,"&lt;&gt;")</f>
        <v>#REF!</v>
      </c>
      <c r="Q95" s="111" t="e">
        <f>SUMIFS('Portefeuille SP2'!$U:$U,'Portefeuille SP2'!#REF!,1,'Portefeuille SP2'!$Q:$Q,"DECIDED",'Portefeuille SP2'!#REF!,"R",'Portefeuille SP2'!$D:$D,$A95,'Portefeuille SP2'!#REF!,"S",'Portefeuille SP2'!#REF!,"&lt;&gt;")</f>
        <v>#REF!</v>
      </c>
      <c r="R95" s="126" t="e">
        <f>SUMIFS('Portefeuille SP2'!#REF!,'Portefeuille SP2'!#REF!,1,'Portefeuille SP2'!$Q:$Q,"DECIDED",'Portefeuille SP2'!#REF!,"R",'Portefeuille SP2'!$D:$D,$A95,'Portefeuille SP2'!#REF!,"S",'Portefeuille SP2'!#REF!,"&lt;&gt;")</f>
        <v>#REF!</v>
      </c>
      <c r="S95" s="122" t="e">
        <f>SUMIFS('Portefeuille SP2'!#REF!,'Portefeuille SP2'!#REF!,1,'Portefeuille SP2'!$Q:$Q,"DECIDED",'Portefeuille SP2'!#REF!,"R",'Portefeuille SP2'!$D:$D,$A95,'Portefeuille SP2'!#REF!,"S",'Portefeuille SP2'!#REF!,"&lt;&gt;")</f>
        <v>#REF!</v>
      </c>
      <c r="U95" s="111" t="e">
        <f>SUMIFS('Portefeuille SP2'!$U:$U,'Portefeuille SP2'!#REF!,1,'Portefeuille SP2'!$Q:$Q,"IN PROGRESS",'Portefeuille SP2'!#REF!,"G",'Portefeuille SP2'!$D:$D,$A95,'Portefeuille SP2'!#REF!,"O")</f>
        <v>#REF!</v>
      </c>
      <c r="V95" s="126" t="e">
        <f>SUMIFS('Portefeuille SP2'!#REF!,'Portefeuille SP2'!#REF!,1,'Portefeuille SP2'!$Q:$Q,"IN PROGRESS",'Portefeuille SP2'!#REF!,"G",'Portefeuille SP2'!$D:$D,$A95,'Portefeuille SP2'!#REF!,"o")</f>
        <v>#REF!</v>
      </c>
      <c r="W95" s="117" t="e">
        <f>SUMIFS('Portefeuille SP2'!#REF!,'Portefeuille SP2'!#REF!,1,'Portefeuille SP2'!$Q:$Q,"IN PROGRESS",'Portefeuille SP2'!#REF!,"G",'Portefeuille SP2'!$D:$D,$A95,'Portefeuille SP2'!#REF!,"o")</f>
        <v>#REF!</v>
      </c>
      <c r="X95" s="111" t="e">
        <f>SUMIFS('Portefeuille SP2'!$U:$U,'Portefeuille SP2'!#REF!,1,'Portefeuille SP2'!$Q:$Q,"IN PROGRESS",'Portefeuille SP2'!#REF!,"R",'Portefeuille SP2'!$D:$D,$A95,'Portefeuille SP2'!#REF!,"o")</f>
        <v>#REF!</v>
      </c>
      <c r="Y95" s="126" t="e">
        <f>SUMIFS('Portefeuille SP2'!#REF!,'Portefeuille SP2'!#REF!,1,'Portefeuille SP2'!$Q:$Q,"IN PROGRESS",'Portefeuille SP2'!#REF!,"R",'Portefeuille SP2'!$D:$D,$A95,'Portefeuille SP2'!#REF!,"o")</f>
        <v>#REF!</v>
      </c>
      <c r="Z95" s="117" t="e">
        <f>SUMIFS('Portefeuille SP2'!#REF!,'Portefeuille SP2'!#REF!,1,'Portefeuille SP2'!$Q:$Q,"IN PROGRESS",'Portefeuille SP2'!#REF!,"R",'Portefeuille SP2'!$D:$D,$A95,'Portefeuille SP2'!#REF!,"o")</f>
        <v>#REF!</v>
      </c>
      <c r="AA95" s="111" t="e">
        <f>SUMIFS('Portefeuille SP2'!$U:$U,'Portefeuille SP2'!#REF!,1,'Portefeuille SP2'!$Q:$Q,"DECIDED",'Portefeuille SP2'!#REF!,"G",'Portefeuille SP2'!$D:$D,$A95,'Portefeuille SP2'!#REF!,"o",'Portefeuille SP2'!#REF!,"=")</f>
        <v>#REF!</v>
      </c>
      <c r="AB95" s="126" t="e">
        <f>SUMIFS('Portefeuille SP2'!#REF!,'Portefeuille SP2'!#REF!,1,'Portefeuille SP2'!$Q:$Q,"DECIDED",'Portefeuille SP2'!#REF!,"G",'Portefeuille SP2'!$D:$D,$A95,'Portefeuille SP2'!#REF!,"o",'Portefeuille SP2'!#REF!,"=")</f>
        <v>#REF!</v>
      </c>
      <c r="AC95" s="117" t="e">
        <f>SUMIFS('Portefeuille SP2'!#REF!,'Portefeuille SP2'!#REF!,1,'Portefeuille SP2'!$Q:$Q,"DECIDED",'Portefeuille SP2'!#REF!,"G",'Portefeuille SP2'!$D:$D,$A95,'Portefeuille SP2'!#REF!,"o",'Portefeuille SP2'!#REF!,"=")</f>
        <v>#REF!</v>
      </c>
      <c r="AD95" s="111" t="e">
        <f>SUMIFS('Portefeuille SP2'!$U:$U,'Portefeuille SP2'!#REF!,1,'Portefeuille SP2'!$Q:$Q,"DECIDED",'Portefeuille SP2'!#REF!,"R",'Portefeuille SP2'!$D:$D,$A95,'Portefeuille SP2'!#REF!,"o",'Portefeuille SP2'!#REF!,"=")</f>
        <v>#REF!</v>
      </c>
      <c r="AE95" s="126" t="e">
        <f>SUMIFS('Portefeuille SP2'!#REF!,'Portefeuille SP2'!#REF!,1,'Portefeuille SP2'!$Q:$Q,"DECIDED",'Portefeuille SP2'!#REF!,"R",'Portefeuille SP2'!$D:$D,$A95,'Portefeuille SP2'!#REF!,"o",'Portefeuille SP2'!#REF!,"=")</f>
        <v>#REF!</v>
      </c>
      <c r="AF95" s="117" t="e">
        <f>SUMIFS('Portefeuille SP2'!#REF!,'Portefeuille SP2'!#REF!,1,'Portefeuille SP2'!$Q:$Q,"DECIDED",'Portefeuille SP2'!#REF!,"R",'Portefeuille SP2'!$D:$D,$A95,'Portefeuille SP2'!#REF!,"o",'Portefeuille SP2'!#REF!,"=")</f>
        <v>#REF!</v>
      </c>
      <c r="AG95" s="111" t="e">
        <f>SUMIFS('Portefeuille SP2'!$U:$U,'Portefeuille SP2'!#REF!,1,'Portefeuille SP2'!$Q:$Q,"DECIDED",'Portefeuille SP2'!#REF!,"G",'Portefeuille SP2'!$D:$D,$A95,'Portefeuille SP2'!#REF!,"o",'Portefeuille SP2'!#REF!,"&lt;&gt;")</f>
        <v>#REF!</v>
      </c>
      <c r="AH95" s="126" t="e">
        <f>SUMIFS('Portefeuille SP2'!#REF!,'Portefeuille SP2'!#REF!,1,'Portefeuille SP2'!$Q:$Q,"DECIDED",'Portefeuille SP2'!#REF!,"G",'Portefeuille SP2'!$D:$D,$A95,'Portefeuille SP2'!#REF!,"o",'Portefeuille SP2'!#REF!,"&lt;&gt;")</f>
        <v>#REF!</v>
      </c>
      <c r="AI95" s="117" t="e">
        <f>SUMIFS('Portefeuille SP2'!#REF!,'Portefeuille SP2'!#REF!,1,'Portefeuille SP2'!$Q:$Q,"DECIDED",'Portefeuille SP2'!#REF!,"G",'Portefeuille SP2'!$D:$D,$A95,'Portefeuille SP2'!#REF!,"o",'Portefeuille SP2'!#REF!,"&lt;&gt;")</f>
        <v>#REF!</v>
      </c>
      <c r="AJ95" s="111" t="e">
        <f>SUMIFS('Portefeuille SP2'!$U:$U,'Portefeuille SP2'!#REF!,1,'Portefeuille SP2'!$Q:$Q,"DECIDED",'Portefeuille SP2'!#REF!,"R",'Portefeuille SP2'!$D:$D,$A95,'Portefeuille SP2'!#REF!,"o",'Portefeuille SP2'!#REF!,"&lt;&gt;")</f>
        <v>#REF!</v>
      </c>
      <c r="AK95" s="126" t="e">
        <f>SUMIFS('Portefeuille SP2'!#REF!,'Portefeuille SP2'!#REF!,1,'Portefeuille SP2'!$Q:$Q,"DECIDED",'Portefeuille SP2'!#REF!,"R",'Portefeuille SP2'!$D:$D,$A95,'Portefeuille SP2'!#REF!,"o",'Portefeuille SP2'!#REF!,"&lt;&gt;")</f>
        <v>#REF!</v>
      </c>
      <c r="AL95" s="117" t="e">
        <f>SUMIFS('Portefeuille SP2'!#REF!,'Portefeuille SP2'!#REF!,1,'Portefeuille SP2'!$Q:$Q,"DECIDED",'Portefeuille SP2'!#REF!,"R",'Portefeuille SP2'!$D:$D,$A95,'Portefeuille SP2'!#REF!,"o",'Portefeuille SP2'!#REF!,"&lt;&gt;")</f>
        <v>#REF!</v>
      </c>
      <c r="AM95" s="117"/>
      <c r="AN95" t="s">
        <v>1308</v>
      </c>
      <c r="AO95" s="111" t="e">
        <f t="shared" ref="AO95" si="525">B101</f>
        <v>#REF!</v>
      </c>
      <c r="AP95" s="126" t="e">
        <f t="shared" ref="AP95" si="526">C101</f>
        <v>#REF!</v>
      </c>
      <c r="AQ95" s="122" t="e">
        <f t="shared" ref="AQ95" si="527">D101</f>
        <v>#REF!</v>
      </c>
      <c r="AR95" s="112" t="e">
        <f t="shared" ref="AR95" si="528">E101</f>
        <v>#REF!</v>
      </c>
      <c r="AS95" s="126" t="e">
        <f t="shared" ref="AS95" si="529">F101</f>
        <v>#REF!</v>
      </c>
      <c r="AT95" s="122" t="e">
        <f t="shared" ref="AT95" si="530">G101</f>
        <v>#REF!</v>
      </c>
      <c r="AU95" s="112" t="e">
        <f t="shared" ref="AU95:AU102" si="531">AO95+AR95</f>
        <v>#REF!</v>
      </c>
      <c r="AV95" s="126" t="e">
        <f t="shared" si="500"/>
        <v>#REF!</v>
      </c>
      <c r="AW95" s="122" t="e">
        <f t="shared" si="501"/>
        <v>#REF!</v>
      </c>
      <c r="AX95" s="111" t="e">
        <f t="shared" ref="AX95" si="532">H101</f>
        <v>#REF!</v>
      </c>
      <c r="AY95" s="126" t="e">
        <f t="shared" ref="AY95" si="533">I101</f>
        <v>#REF!</v>
      </c>
      <c r="AZ95" s="122" t="e">
        <f t="shared" ref="AZ95" si="534">J101</f>
        <v>#REF!</v>
      </c>
      <c r="BA95" s="111" t="e">
        <f t="shared" ref="BA95" si="535">K101</f>
        <v>#REF!</v>
      </c>
      <c r="BB95" s="126" t="e">
        <f t="shared" ref="BB95" si="536">L101</f>
        <v>#REF!</v>
      </c>
      <c r="BC95" s="122" t="e">
        <f t="shared" ref="BC95" si="537">M101</f>
        <v>#REF!</v>
      </c>
      <c r="BD95" s="112" t="e">
        <f t="shared" ref="BD95:BD102" si="538">AX95+BA95</f>
        <v>#REF!</v>
      </c>
      <c r="BE95" s="126" t="e">
        <f t="shared" si="508"/>
        <v>#REF!</v>
      </c>
      <c r="BF95" s="122" t="e">
        <f t="shared" si="509"/>
        <v>#REF!</v>
      </c>
      <c r="BH95" s="111" t="e">
        <f>U101</f>
        <v>#REF!</v>
      </c>
      <c r="BI95" s="126" t="e">
        <f t="shared" ref="BI95" si="539">V101</f>
        <v>#REF!</v>
      </c>
      <c r="BJ95" s="122" t="e">
        <f t="shared" ref="BJ95" si="540">W101</f>
        <v>#REF!</v>
      </c>
      <c r="BK95" s="111" t="e">
        <f t="shared" ref="BK95" si="541">X101</f>
        <v>#REF!</v>
      </c>
      <c r="BL95" s="126" t="e">
        <f t="shared" ref="BL95" si="542">Y101</f>
        <v>#REF!</v>
      </c>
      <c r="BM95" s="122" t="e">
        <f t="shared" ref="BM95" si="543">Z101</f>
        <v>#REF!</v>
      </c>
      <c r="BN95" s="112" t="e">
        <f t="shared" ref="BN95:BN102" si="544">BH95+BK95</f>
        <v>#REF!</v>
      </c>
      <c r="BO95" s="126" t="e">
        <f t="shared" si="515"/>
        <v>#REF!</v>
      </c>
      <c r="BP95" s="122" t="e">
        <f t="shared" si="516"/>
        <v>#REF!</v>
      </c>
      <c r="BQ95" s="111" t="e">
        <f t="shared" ref="BQ95" si="545">AA101</f>
        <v>#REF!</v>
      </c>
      <c r="BR95" s="126" t="e">
        <f t="shared" ref="BR95" si="546">AB101</f>
        <v>#REF!</v>
      </c>
      <c r="BS95" s="122" t="e">
        <f t="shared" ref="BS95" si="547">AC101</f>
        <v>#REF!</v>
      </c>
      <c r="BT95" s="111" t="e">
        <f t="shared" ref="BT95" si="548">AD101</f>
        <v>#REF!</v>
      </c>
      <c r="BU95" s="126" t="e">
        <f t="shared" ref="BU95" si="549">AE101</f>
        <v>#REF!</v>
      </c>
      <c r="BV95" s="122" t="e">
        <f t="shared" ref="BV95" si="550">AF101</f>
        <v>#REF!</v>
      </c>
      <c r="BW95" s="111" t="e">
        <f t="shared" ref="BW95:BW102" si="551">BQ95+BT95</f>
        <v>#REF!</v>
      </c>
      <c r="BX95" s="126" t="e">
        <f t="shared" si="523"/>
        <v>#REF!</v>
      </c>
      <c r="BY95" s="122" t="e">
        <f t="shared" si="524"/>
        <v>#REF!</v>
      </c>
    </row>
    <row r="96" spans="1:77" outlineLevel="1">
      <c r="A96" t="s">
        <v>1309</v>
      </c>
      <c r="B96" s="139" t="e">
        <f>SUMIFS('Portefeuille SP2'!$U:$U,'Portefeuille SP2'!#REF!,1,'Portefeuille SP2'!$Q:$Q,"IN PROGRESS",'Portefeuille SP2'!#REF!,"G",'Portefeuille SP2'!$D:$D,$A96,'Portefeuille SP2'!#REF!,"S")</f>
        <v>#REF!</v>
      </c>
      <c r="C96" s="126" t="e">
        <f>SUMIFS('Portefeuille SP2'!#REF!,'Portefeuille SP2'!#REF!,1,'Portefeuille SP2'!$Q:$Q,"IN PROGRESS",'Portefeuille SP2'!#REF!,"G",'Portefeuille SP2'!$D:$D,$A96,'Portefeuille SP2'!#REF!,"S")</f>
        <v>#REF!</v>
      </c>
      <c r="D96" s="122" t="e">
        <f>SUMIFS('Portefeuille SP2'!#REF!,'Portefeuille SP2'!#REF!,1,'Portefeuille SP2'!$Q:$Q,"IN PROGRESS",'Portefeuille SP2'!#REF!,"G",'Portefeuille SP2'!$D:$D,$A96,'Portefeuille SP2'!#REF!,"S")</f>
        <v>#REF!</v>
      </c>
      <c r="E96" s="111" t="e">
        <f>SUMIFS('Portefeuille SP2'!$U:$U,'Portefeuille SP2'!#REF!,1,'Portefeuille SP2'!$Q:$Q,"IN PROGRESS",'Portefeuille SP2'!#REF!,"R",'Portefeuille SP2'!$D:$D,$A96,'Portefeuille SP2'!#REF!,"S")</f>
        <v>#REF!</v>
      </c>
      <c r="F96" s="126" t="e">
        <f>SUMIFS('Portefeuille SP2'!#REF!,'Portefeuille SP2'!#REF!,1,'Portefeuille SP2'!$Q:$Q,"IN PROGRESS",'Portefeuille SP2'!#REF!,"R",'Portefeuille SP2'!$D:$D,$A96,'Portefeuille SP2'!#REF!,"S")</f>
        <v>#REF!</v>
      </c>
      <c r="G96" s="117" t="e">
        <f>SUMIFS('Portefeuille SP2'!#REF!,'Portefeuille SP2'!#REF!,1,'Portefeuille SP2'!$Q:$Q,"IN PROGRESS",'Portefeuille SP2'!#REF!,"R",'Portefeuille SP2'!$D:$D,$A96,'Portefeuille SP2'!#REF!,"S")</f>
        <v>#REF!</v>
      </c>
      <c r="H96" s="111" t="e">
        <f>SUMIFS('Portefeuille SP2'!$U:$U,'Portefeuille SP2'!#REF!,1,'Portefeuille SP2'!$Q:$Q,"DECIDED",'Portefeuille SP2'!#REF!,"G",'Portefeuille SP2'!$D:$D,$A96,'Portefeuille SP2'!#REF!,"S",'Portefeuille SP2'!#REF!,"=")</f>
        <v>#REF!</v>
      </c>
      <c r="I96" s="117" t="e">
        <f>SUMIFS('Portefeuille SP2'!#REF!,'Portefeuille SP2'!#REF!,1,'Portefeuille SP2'!$Q:$Q,"DECIDED",'Portefeuille SP2'!#REF!,"G",'Portefeuille SP2'!$D:$D,$A96,'Portefeuille SP2'!#REF!,"S",'Portefeuille SP2'!#REF!,"=")</f>
        <v>#REF!</v>
      </c>
      <c r="J96" s="117" t="e">
        <f>SUMIFS('Portefeuille SP2'!#REF!,'Portefeuille SP2'!#REF!,1,'Portefeuille SP2'!$Q:$Q,"DECIDED",'Portefeuille SP2'!#REF!,"G",'Portefeuille SP2'!$D:$D,$A96,'Portefeuille SP2'!#REF!,"S",'Portefeuille SP2'!#REF!,"=")</f>
        <v>#REF!</v>
      </c>
      <c r="K96" s="111" t="e">
        <f>SUMIFS('Portefeuille SP2'!$U:$U,'Portefeuille SP2'!#REF!,1,'Portefeuille SP2'!$Q:$Q,"DECIDED",'Portefeuille SP2'!#REF!,"R",'Portefeuille SP2'!$D:$D,$A96,'Portefeuille SP2'!#REF!,"S",'Portefeuille SP2'!#REF!,"=")</f>
        <v>#REF!</v>
      </c>
      <c r="L96" s="126" t="e">
        <f>SUMIFS('Portefeuille SP2'!#REF!,'Portefeuille SP2'!#REF!,1,'Portefeuille SP2'!$Q:$Q,"DECIDED",'Portefeuille SP2'!#REF!,"R",'Portefeuille SP2'!$D:$D,$A96,'Portefeuille SP2'!#REF!,"S",'Portefeuille SP2'!#REF!,"=")</f>
        <v>#REF!</v>
      </c>
      <c r="M96" s="117" t="e">
        <f>SUMIFS('Portefeuille SP2'!#REF!,'Portefeuille SP2'!#REF!,1,'Portefeuille SP2'!$Q:$Q,"DECIDED",'Portefeuille SP2'!#REF!,"R",'Portefeuille SP2'!$D:$D,$A96,'Portefeuille SP2'!#REF!,"S",'Portefeuille SP2'!#REF!,"=")</f>
        <v>#REF!</v>
      </c>
      <c r="N96" s="111" t="e">
        <f>SUMIFS('Portefeuille SP2'!$U:$U,'Portefeuille SP2'!#REF!,1,'Portefeuille SP2'!$Q:$Q,"DECIDED",'Portefeuille SP2'!#REF!,"G",'Portefeuille SP2'!$D:$D,$A96,'Portefeuille SP2'!#REF!,"S",'Portefeuille SP2'!#REF!,"&lt;&gt;")</f>
        <v>#REF!</v>
      </c>
      <c r="O96" s="126" t="e">
        <f>SUMIFS('Portefeuille SP2'!#REF!,'Portefeuille SP2'!#REF!,1,'Portefeuille SP2'!$Q:$Q,"DECIDED",'Portefeuille SP2'!#REF!,"G",'Portefeuille SP2'!$D:$D,$A96,'Portefeuille SP2'!#REF!,"S",'Portefeuille SP2'!#REF!,"&lt;&gt;")</f>
        <v>#REF!</v>
      </c>
      <c r="P96" s="117" t="e">
        <f>SUMIFS('Portefeuille SP2'!#REF!,'Portefeuille SP2'!#REF!,1,'Portefeuille SP2'!$Q:$Q,"DECIDED",'Portefeuille SP2'!#REF!,"G",'Portefeuille SP2'!$D:$D,$A96,'Portefeuille SP2'!#REF!,"S",'Portefeuille SP2'!#REF!,"&lt;&gt;")</f>
        <v>#REF!</v>
      </c>
      <c r="Q96" s="111" t="e">
        <f>SUMIFS('Portefeuille SP2'!$U:$U,'Portefeuille SP2'!#REF!,1,'Portefeuille SP2'!$Q:$Q,"DECIDED",'Portefeuille SP2'!#REF!,"R",'Portefeuille SP2'!$D:$D,$A96,'Portefeuille SP2'!#REF!,"S",'Portefeuille SP2'!#REF!,"&lt;&gt;")</f>
        <v>#REF!</v>
      </c>
      <c r="R96" s="126" t="e">
        <f>SUMIFS('Portefeuille SP2'!#REF!,'Portefeuille SP2'!#REF!,1,'Portefeuille SP2'!$Q:$Q,"DECIDED",'Portefeuille SP2'!#REF!,"R",'Portefeuille SP2'!$D:$D,$A96,'Portefeuille SP2'!#REF!,"S",'Portefeuille SP2'!#REF!,"&lt;&gt;")</f>
        <v>#REF!</v>
      </c>
      <c r="S96" s="122" t="e">
        <f>SUMIFS('Portefeuille SP2'!#REF!,'Portefeuille SP2'!#REF!,1,'Portefeuille SP2'!$Q:$Q,"DECIDED",'Portefeuille SP2'!#REF!,"R",'Portefeuille SP2'!$D:$D,$A96,'Portefeuille SP2'!#REF!,"S",'Portefeuille SP2'!#REF!,"&lt;&gt;")</f>
        <v>#REF!</v>
      </c>
      <c r="U96" s="111" t="e">
        <f>SUMIFS('Portefeuille SP2'!$U:$U,'Portefeuille SP2'!#REF!,1,'Portefeuille SP2'!$Q:$Q,"IN PROGRESS",'Portefeuille SP2'!#REF!,"G",'Portefeuille SP2'!$D:$D,$A96,'Portefeuille SP2'!#REF!,"O")</f>
        <v>#REF!</v>
      </c>
      <c r="V96" s="126" t="e">
        <f>SUMIFS('Portefeuille SP2'!#REF!,'Portefeuille SP2'!#REF!,1,'Portefeuille SP2'!$Q:$Q,"IN PROGRESS",'Portefeuille SP2'!#REF!,"G",'Portefeuille SP2'!$D:$D,$A96,'Portefeuille SP2'!#REF!,"o")</f>
        <v>#REF!</v>
      </c>
      <c r="W96" s="117" t="e">
        <f>SUMIFS('Portefeuille SP2'!#REF!,'Portefeuille SP2'!#REF!,1,'Portefeuille SP2'!$Q:$Q,"IN PROGRESS",'Portefeuille SP2'!#REF!,"G",'Portefeuille SP2'!$D:$D,$A96,'Portefeuille SP2'!#REF!,"o")</f>
        <v>#REF!</v>
      </c>
      <c r="X96" s="111" t="e">
        <f>SUMIFS('Portefeuille SP2'!$U:$U,'Portefeuille SP2'!#REF!,1,'Portefeuille SP2'!$Q:$Q,"IN PROGRESS",'Portefeuille SP2'!#REF!,"R",'Portefeuille SP2'!$D:$D,$A96,'Portefeuille SP2'!#REF!,"o")</f>
        <v>#REF!</v>
      </c>
      <c r="Y96" s="126" t="e">
        <f>SUMIFS('Portefeuille SP2'!#REF!,'Portefeuille SP2'!#REF!,1,'Portefeuille SP2'!$Q:$Q,"IN PROGRESS",'Portefeuille SP2'!#REF!,"R",'Portefeuille SP2'!$D:$D,$A96,'Portefeuille SP2'!#REF!,"o")</f>
        <v>#REF!</v>
      </c>
      <c r="Z96" s="117" t="e">
        <f>SUMIFS('Portefeuille SP2'!#REF!,'Portefeuille SP2'!#REF!,1,'Portefeuille SP2'!$Q:$Q,"IN PROGRESS",'Portefeuille SP2'!#REF!,"R",'Portefeuille SP2'!$D:$D,$A96,'Portefeuille SP2'!#REF!,"o")</f>
        <v>#REF!</v>
      </c>
      <c r="AA96" s="111" t="e">
        <f>SUMIFS('Portefeuille SP2'!$U:$U,'Portefeuille SP2'!#REF!,1,'Portefeuille SP2'!$Q:$Q,"DECIDED",'Portefeuille SP2'!#REF!,"G",'Portefeuille SP2'!$D:$D,$A96,'Portefeuille SP2'!#REF!,"o",'Portefeuille SP2'!#REF!,"=")</f>
        <v>#REF!</v>
      </c>
      <c r="AB96" s="126" t="e">
        <f>SUMIFS('Portefeuille SP2'!#REF!,'Portefeuille SP2'!#REF!,1,'Portefeuille SP2'!$Q:$Q,"DECIDED",'Portefeuille SP2'!#REF!,"G",'Portefeuille SP2'!$D:$D,$A96,'Portefeuille SP2'!#REF!,"o",'Portefeuille SP2'!#REF!,"=")</f>
        <v>#REF!</v>
      </c>
      <c r="AC96" s="117" t="e">
        <f>SUMIFS('Portefeuille SP2'!#REF!,'Portefeuille SP2'!#REF!,1,'Portefeuille SP2'!$Q:$Q,"DECIDED",'Portefeuille SP2'!#REF!,"G",'Portefeuille SP2'!$D:$D,$A96,'Portefeuille SP2'!#REF!,"o",'Portefeuille SP2'!#REF!,"=")</f>
        <v>#REF!</v>
      </c>
      <c r="AD96" s="111" t="e">
        <f>SUMIFS('Portefeuille SP2'!$U:$U,'Portefeuille SP2'!#REF!,1,'Portefeuille SP2'!$Q:$Q,"DECIDED",'Portefeuille SP2'!#REF!,"R",'Portefeuille SP2'!$D:$D,$A96,'Portefeuille SP2'!#REF!,"o",'Portefeuille SP2'!#REF!,"=")</f>
        <v>#REF!</v>
      </c>
      <c r="AE96" s="126" t="e">
        <f>SUMIFS('Portefeuille SP2'!#REF!,'Portefeuille SP2'!#REF!,1,'Portefeuille SP2'!$Q:$Q,"DECIDED",'Portefeuille SP2'!#REF!,"R",'Portefeuille SP2'!$D:$D,$A96,'Portefeuille SP2'!#REF!,"o",'Portefeuille SP2'!#REF!,"=")</f>
        <v>#REF!</v>
      </c>
      <c r="AF96" s="117" t="e">
        <f>SUMIFS('Portefeuille SP2'!#REF!,'Portefeuille SP2'!#REF!,1,'Portefeuille SP2'!$Q:$Q,"DECIDED",'Portefeuille SP2'!#REF!,"R",'Portefeuille SP2'!$D:$D,$A96,'Portefeuille SP2'!#REF!,"o",'Portefeuille SP2'!#REF!,"=")</f>
        <v>#REF!</v>
      </c>
      <c r="AG96" s="111" t="e">
        <f>SUMIFS('Portefeuille SP2'!$U:$U,'Portefeuille SP2'!#REF!,1,'Portefeuille SP2'!$Q:$Q,"DECIDED",'Portefeuille SP2'!#REF!,"G",'Portefeuille SP2'!$D:$D,$A96,'Portefeuille SP2'!#REF!,"o",'Portefeuille SP2'!#REF!,"&lt;&gt;")</f>
        <v>#REF!</v>
      </c>
      <c r="AH96" s="126" t="e">
        <f>SUMIFS('Portefeuille SP2'!#REF!,'Portefeuille SP2'!#REF!,1,'Portefeuille SP2'!$Q:$Q,"DECIDED",'Portefeuille SP2'!#REF!,"G",'Portefeuille SP2'!$D:$D,$A96,'Portefeuille SP2'!#REF!,"o",'Portefeuille SP2'!#REF!,"&lt;&gt;")</f>
        <v>#REF!</v>
      </c>
      <c r="AI96" s="117" t="e">
        <f>SUMIFS('Portefeuille SP2'!#REF!,'Portefeuille SP2'!#REF!,1,'Portefeuille SP2'!$Q:$Q,"DECIDED",'Portefeuille SP2'!#REF!,"G",'Portefeuille SP2'!$D:$D,$A96,'Portefeuille SP2'!#REF!,"o",'Portefeuille SP2'!#REF!,"&lt;&gt;")</f>
        <v>#REF!</v>
      </c>
      <c r="AJ96" s="111" t="e">
        <f>SUMIFS('Portefeuille SP2'!$U:$U,'Portefeuille SP2'!#REF!,1,'Portefeuille SP2'!$Q:$Q,"DECIDED",'Portefeuille SP2'!#REF!,"R",'Portefeuille SP2'!$D:$D,$A96,'Portefeuille SP2'!#REF!,"o",'Portefeuille SP2'!#REF!,"&lt;&gt;")</f>
        <v>#REF!</v>
      </c>
      <c r="AK96" s="126" t="e">
        <f>SUMIFS('Portefeuille SP2'!#REF!,'Portefeuille SP2'!#REF!,1,'Portefeuille SP2'!$Q:$Q,"DECIDED",'Portefeuille SP2'!#REF!,"R",'Portefeuille SP2'!$D:$D,$A96,'Portefeuille SP2'!#REF!,"o",'Portefeuille SP2'!#REF!,"&lt;&gt;")</f>
        <v>#REF!</v>
      </c>
      <c r="AL96" s="117" t="e">
        <f>SUMIFS('Portefeuille SP2'!#REF!,'Portefeuille SP2'!#REF!,1,'Portefeuille SP2'!$Q:$Q,"DECIDED",'Portefeuille SP2'!#REF!,"R",'Portefeuille SP2'!$D:$D,$A96,'Portefeuille SP2'!#REF!,"o",'Portefeuille SP2'!#REF!,"&lt;&gt;")</f>
        <v>#REF!</v>
      </c>
      <c r="AM96" s="117"/>
      <c r="AN96" t="s">
        <v>150</v>
      </c>
      <c r="AO96" s="111" t="e">
        <f t="shared" ref="AO96" si="552">B104</f>
        <v>#REF!</v>
      </c>
      <c r="AP96" s="126" t="e">
        <f t="shared" ref="AP96" si="553">C104</f>
        <v>#REF!</v>
      </c>
      <c r="AQ96" s="122" t="e">
        <f t="shared" ref="AQ96" si="554">D104</f>
        <v>#REF!</v>
      </c>
      <c r="AR96" s="112" t="e">
        <f t="shared" ref="AR96" si="555">E104</f>
        <v>#REF!</v>
      </c>
      <c r="AS96" s="126" t="e">
        <f t="shared" ref="AS96" si="556">F104</f>
        <v>#REF!</v>
      </c>
      <c r="AT96" s="122" t="e">
        <f t="shared" ref="AT96" si="557">G104</f>
        <v>#REF!</v>
      </c>
      <c r="AU96" s="112" t="e">
        <f t="shared" si="531"/>
        <v>#REF!</v>
      </c>
      <c r="AV96" s="126" t="e">
        <f t="shared" si="500"/>
        <v>#REF!</v>
      </c>
      <c r="AW96" s="122" t="e">
        <f t="shared" si="501"/>
        <v>#REF!</v>
      </c>
      <c r="AX96" s="111" t="e">
        <f t="shared" ref="AX96" si="558">H104</f>
        <v>#REF!</v>
      </c>
      <c r="AY96" s="126" t="e">
        <f t="shared" ref="AY96" si="559">I104</f>
        <v>#REF!</v>
      </c>
      <c r="AZ96" s="122" t="e">
        <f t="shared" ref="AZ96" si="560">J104</f>
        <v>#REF!</v>
      </c>
      <c r="BA96" s="111" t="e">
        <f t="shared" ref="BA96" si="561">K104</f>
        <v>#REF!</v>
      </c>
      <c r="BB96" s="126" t="e">
        <f t="shared" ref="BB96" si="562">L104</f>
        <v>#REF!</v>
      </c>
      <c r="BC96" s="122" t="e">
        <f t="shared" ref="BC96" si="563">M104</f>
        <v>#REF!</v>
      </c>
      <c r="BD96" s="112" t="e">
        <f t="shared" si="538"/>
        <v>#REF!</v>
      </c>
      <c r="BE96" s="126" t="e">
        <f t="shared" si="508"/>
        <v>#REF!</v>
      </c>
      <c r="BF96" s="122" t="e">
        <f t="shared" si="509"/>
        <v>#REF!</v>
      </c>
      <c r="BH96" s="111" t="e">
        <f>U104</f>
        <v>#REF!</v>
      </c>
      <c r="BI96" s="126" t="e">
        <f t="shared" ref="BI96" si="564">V104</f>
        <v>#REF!</v>
      </c>
      <c r="BJ96" s="122" t="e">
        <f t="shared" ref="BJ96" si="565">W104</f>
        <v>#REF!</v>
      </c>
      <c r="BK96" s="111" t="e">
        <f t="shared" ref="BK96" si="566">X104</f>
        <v>#REF!</v>
      </c>
      <c r="BL96" s="126" t="e">
        <f t="shared" ref="BL96" si="567">Y104</f>
        <v>#REF!</v>
      </c>
      <c r="BM96" s="122" t="e">
        <f t="shared" ref="BM96" si="568">Z104</f>
        <v>#REF!</v>
      </c>
      <c r="BN96" s="112" t="e">
        <f t="shared" si="544"/>
        <v>#REF!</v>
      </c>
      <c r="BO96" s="126" t="e">
        <f t="shared" si="515"/>
        <v>#REF!</v>
      </c>
      <c r="BP96" s="122" t="e">
        <f t="shared" si="516"/>
        <v>#REF!</v>
      </c>
      <c r="BQ96" s="111" t="e">
        <f t="shared" ref="BQ96" si="569">AA104</f>
        <v>#REF!</v>
      </c>
      <c r="BR96" s="126" t="e">
        <f t="shared" ref="BR96" si="570">AB104</f>
        <v>#REF!</v>
      </c>
      <c r="BS96" s="122" t="e">
        <f t="shared" ref="BS96" si="571">AC104</f>
        <v>#REF!</v>
      </c>
      <c r="BT96" s="111" t="e">
        <f t="shared" ref="BT96" si="572">AD104</f>
        <v>#REF!</v>
      </c>
      <c r="BU96" s="126" t="e">
        <f t="shared" ref="BU96" si="573">AE104</f>
        <v>#REF!</v>
      </c>
      <c r="BV96" s="122" t="e">
        <f t="shared" ref="BV96" si="574">AF104</f>
        <v>#REF!</v>
      </c>
      <c r="BW96" s="111" t="e">
        <f t="shared" si="551"/>
        <v>#REF!</v>
      </c>
      <c r="BX96" s="126" t="e">
        <f t="shared" si="523"/>
        <v>#REF!</v>
      </c>
      <c r="BY96" s="122" t="e">
        <f t="shared" si="524"/>
        <v>#REF!</v>
      </c>
    </row>
    <row r="97" spans="1:77" outlineLevel="1">
      <c r="A97" t="s">
        <v>1310</v>
      </c>
      <c r="B97" s="139" t="e">
        <f>SUMIFS('Portefeuille SP2'!$U:$U,'Portefeuille SP2'!#REF!,1,'Portefeuille SP2'!$Q:$Q,"IN PROGRESS",'Portefeuille SP2'!#REF!,"G",'Portefeuille SP2'!$D:$D,$A97,'Portefeuille SP2'!#REF!,"S")</f>
        <v>#REF!</v>
      </c>
      <c r="C97" s="126" t="e">
        <f>SUMIFS('Portefeuille SP2'!#REF!,'Portefeuille SP2'!#REF!,1,'Portefeuille SP2'!$Q:$Q,"IN PROGRESS",'Portefeuille SP2'!#REF!,"G",'Portefeuille SP2'!$D:$D,$A97,'Portefeuille SP2'!#REF!,"S")</f>
        <v>#REF!</v>
      </c>
      <c r="D97" s="122" t="e">
        <f>SUMIFS('Portefeuille SP2'!#REF!,'Portefeuille SP2'!#REF!,1,'Portefeuille SP2'!$Q:$Q,"IN PROGRESS",'Portefeuille SP2'!#REF!,"G",'Portefeuille SP2'!$D:$D,$A97,'Portefeuille SP2'!#REF!,"S")</f>
        <v>#REF!</v>
      </c>
      <c r="E97" s="111" t="e">
        <f>SUMIFS('Portefeuille SP2'!$U:$U,'Portefeuille SP2'!#REF!,1,'Portefeuille SP2'!$Q:$Q,"IN PROGRESS",'Portefeuille SP2'!#REF!,"R",'Portefeuille SP2'!$D:$D,$A97,'Portefeuille SP2'!#REF!,"S")</f>
        <v>#REF!</v>
      </c>
      <c r="F97" s="126" t="e">
        <f>SUMIFS('Portefeuille SP2'!#REF!,'Portefeuille SP2'!#REF!,1,'Portefeuille SP2'!$Q:$Q,"IN PROGRESS",'Portefeuille SP2'!#REF!,"R",'Portefeuille SP2'!$D:$D,$A97,'Portefeuille SP2'!#REF!,"S")</f>
        <v>#REF!</v>
      </c>
      <c r="G97" s="117" t="e">
        <f>SUMIFS('Portefeuille SP2'!#REF!,'Portefeuille SP2'!#REF!,1,'Portefeuille SP2'!$Q:$Q,"IN PROGRESS",'Portefeuille SP2'!#REF!,"R",'Portefeuille SP2'!$D:$D,$A97,'Portefeuille SP2'!#REF!,"S")</f>
        <v>#REF!</v>
      </c>
      <c r="H97" s="111" t="e">
        <f>SUMIFS('Portefeuille SP2'!$U:$U,'Portefeuille SP2'!#REF!,1,'Portefeuille SP2'!$Q:$Q,"DECIDED",'Portefeuille SP2'!#REF!,"G",'Portefeuille SP2'!$D:$D,$A97,'Portefeuille SP2'!#REF!,"S",'Portefeuille SP2'!#REF!,"=")</f>
        <v>#REF!</v>
      </c>
      <c r="I97" s="117" t="e">
        <f>SUMIFS('Portefeuille SP2'!#REF!,'Portefeuille SP2'!#REF!,1,'Portefeuille SP2'!$Q:$Q,"DECIDED",'Portefeuille SP2'!#REF!,"G",'Portefeuille SP2'!$D:$D,$A97,'Portefeuille SP2'!#REF!,"S",'Portefeuille SP2'!#REF!,"=")</f>
        <v>#REF!</v>
      </c>
      <c r="J97" s="117" t="e">
        <f>SUMIFS('Portefeuille SP2'!#REF!,'Portefeuille SP2'!#REF!,1,'Portefeuille SP2'!$Q:$Q,"DECIDED",'Portefeuille SP2'!#REF!,"G",'Portefeuille SP2'!$D:$D,$A97,'Portefeuille SP2'!#REF!,"S",'Portefeuille SP2'!#REF!,"=")</f>
        <v>#REF!</v>
      </c>
      <c r="K97" s="111" t="e">
        <f>SUMIFS('Portefeuille SP2'!$U:$U,'Portefeuille SP2'!#REF!,1,'Portefeuille SP2'!$Q:$Q,"DECIDED",'Portefeuille SP2'!#REF!,"R",'Portefeuille SP2'!$D:$D,$A97,'Portefeuille SP2'!#REF!,"S",'Portefeuille SP2'!#REF!,"=")</f>
        <v>#REF!</v>
      </c>
      <c r="L97" s="126" t="e">
        <f>SUMIFS('Portefeuille SP2'!#REF!,'Portefeuille SP2'!#REF!,1,'Portefeuille SP2'!$Q:$Q,"DECIDED",'Portefeuille SP2'!#REF!,"R",'Portefeuille SP2'!$D:$D,$A97,'Portefeuille SP2'!#REF!,"S",'Portefeuille SP2'!#REF!,"=")</f>
        <v>#REF!</v>
      </c>
      <c r="M97" s="117" t="e">
        <f>SUMIFS('Portefeuille SP2'!#REF!,'Portefeuille SP2'!#REF!,1,'Portefeuille SP2'!$Q:$Q,"DECIDED",'Portefeuille SP2'!#REF!,"R",'Portefeuille SP2'!$D:$D,$A97,'Portefeuille SP2'!#REF!,"S",'Portefeuille SP2'!#REF!,"=")</f>
        <v>#REF!</v>
      </c>
      <c r="N97" s="111" t="e">
        <f>SUMIFS('Portefeuille SP2'!$U:$U,'Portefeuille SP2'!#REF!,1,'Portefeuille SP2'!$Q:$Q,"DECIDED",'Portefeuille SP2'!#REF!,"G",'Portefeuille SP2'!$D:$D,$A97,'Portefeuille SP2'!#REF!,"S",'Portefeuille SP2'!#REF!,"&lt;&gt;")</f>
        <v>#REF!</v>
      </c>
      <c r="O97" s="126" t="e">
        <f>SUMIFS('Portefeuille SP2'!#REF!,'Portefeuille SP2'!#REF!,1,'Portefeuille SP2'!$Q:$Q,"DECIDED",'Portefeuille SP2'!#REF!,"G",'Portefeuille SP2'!$D:$D,$A97,'Portefeuille SP2'!#REF!,"S",'Portefeuille SP2'!#REF!,"&lt;&gt;")</f>
        <v>#REF!</v>
      </c>
      <c r="P97" s="117" t="e">
        <f>SUMIFS('Portefeuille SP2'!#REF!,'Portefeuille SP2'!#REF!,1,'Portefeuille SP2'!$Q:$Q,"DECIDED",'Portefeuille SP2'!#REF!,"G",'Portefeuille SP2'!$D:$D,$A97,'Portefeuille SP2'!#REF!,"S",'Portefeuille SP2'!#REF!,"&lt;&gt;")</f>
        <v>#REF!</v>
      </c>
      <c r="Q97" s="111" t="e">
        <f>SUMIFS('Portefeuille SP2'!$U:$U,'Portefeuille SP2'!#REF!,1,'Portefeuille SP2'!$Q:$Q,"DECIDED",'Portefeuille SP2'!#REF!,"R",'Portefeuille SP2'!$D:$D,$A97,'Portefeuille SP2'!#REF!,"S",'Portefeuille SP2'!#REF!,"&lt;&gt;")</f>
        <v>#REF!</v>
      </c>
      <c r="R97" s="126" t="e">
        <f>SUMIFS('Portefeuille SP2'!#REF!,'Portefeuille SP2'!#REF!,1,'Portefeuille SP2'!$Q:$Q,"DECIDED",'Portefeuille SP2'!#REF!,"R",'Portefeuille SP2'!$D:$D,$A97,'Portefeuille SP2'!#REF!,"S",'Portefeuille SP2'!#REF!,"&lt;&gt;")</f>
        <v>#REF!</v>
      </c>
      <c r="S97" s="122" t="e">
        <f>SUMIFS('Portefeuille SP2'!#REF!,'Portefeuille SP2'!#REF!,1,'Portefeuille SP2'!$Q:$Q,"DECIDED",'Portefeuille SP2'!#REF!,"R",'Portefeuille SP2'!$D:$D,$A97,'Portefeuille SP2'!#REF!,"S",'Portefeuille SP2'!#REF!,"&lt;&gt;")</f>
        <v>#REF!</v>
      </c>
      <c r="U97" s="111" t="e">
        <f>SUMIFS('Portefeuille SP2'!$U:$U,'Portefeuille SP2'!#REF!,1,'Portefeuille SP2'!$Q:$Q,"IN PROGRESS",'Portefeuille SP2'!#REF!,"G",'Portefeuille SP2'!$D:$D,$A97,'Portefeuille SP2'!#REF!,"O")</f>
        <v>#REF!</v>
      </c>
      <c r="V97" s="126" t="e">
        <f>SUMIFS('Portefeuille SP2'!#REF!,'Portefeuille SP2'!#REF!,1,'Portefeuille SP2'!$Q:$Q,"IN PROGRESS",'Portefeuille SP2'!#REF!,"G",'Portefeuille SP2'!$D:$D,$A97,'Portefeuille SP2'!#REF!,"o")</f>
        <v>#REF!</v>
      </c>
      <c r="W97" s="117" t="e">
        <f>SUMIFS('Portefeuille SP2'!#REF!,'Portefeuille SP2'!#REF!,1,'Portefeuille SP2'!$Q:$Q,"IN PROGRESS",'Portefeuille SP2'!#REF!,"G",'Portefeuille SP2'!$D:$D,$A97,'Portefeuille SP2'!#REF!,"o")</f>
        <v>#REF!</v>
      </c>
      <c r="X97" s="111" t="e">
        <f>SUMIFS('Portefeuille SP2'!$U:$U,'Portefeuille SP2'!#REF!,1,'Portefeuille SP2'!$Q:$Q,"IN PROGRESS",'Portefeuille SP2'!#REF!,"R",'Portefeuille SP2'!$D:$D,$A97,'Portefeuille SP2'!#REF!,"o")</f>
        <v>#REF!</v>
      </c>
      <c r="Y97" s="126" t="e">
        <f>SUMIFS('Portefeuille SP2'!#REF!,'Portefeuille SP2'!#REF!,1,'Portefeuille SP2'!$Q:$Q,"IN PROGRESS",'Portefeuille SP2'!#REF!,"R",'Portefeuille SP2'!$D:$D,$A97,'Portefeuille SP2'!#REF!,"o")</f>
        <v>#REF!</v>
      </c>
      <c r="Z97" s="117" t="e">
        <f>SUMIFS('Portefeuille SP2'!#REF!,'Portefeuille SP2'!#REF!,1,'Portefeuille SP2'!$Q:$Q,"IN PROGRESS",'Portefeuille SP2'!#REF!,"R",'Portefeuille SP2'!$D:$D,$A97,'Portefeuille SP2'!#REF!,"o")</f>
        <v>#REF!</v>
      </c>
      <c r="AA97" s="111" t="e">
        <f>SUMIFS('Portefeuille SP2'!$U:$U,'Portefeuille SP2'!#REF!,1,'Portefeuille SP2'!$Q:$Q,"DECIDED",'Portefeuille SP2'!#REF!,"G",'Portefeuille SP2'!$D:$D,$A97,'Portefeuille SP2'!#REF!,"o",'Portefeuille SP2'!#REF!,"=")</f>
        <v>#REF!</v>
      </c>
      <c r="AB97" s="126" t="e">
        <f>SUMIFS('Portefeuille SP2'!#REF!,'Portefeuille SP2'!#REF!,1,'Portefeuille SP2'!$Q:$Q,"DECIDED",'Portefeuille SP2'!#REF!,"G",'Portefeuille SP2'!$D:$D,$A97,'Portefeuille SP2'!#REF!,"o",'Portefeuille SP2'!#REF!,"=")</f>
        <v>#REF!</v>
      </c>
      <c r="AC97" s="117" t="e">
        <f>SUMIFS('Portefeuille SP2'!#REF!,'Portefeuille SP2'!#REF!,1,'Portefeuille SP2'!$Q:$Q,"DECIDED",'Portefeuille SP2'!#REF!,"G",'Portefeuille SP2'!$D:$D,$A97,'Portefeuille SP2'!#REF!,"o",'Portefeuille SP2'!#REF!,"=")</f>
        <v>#REF!</v>
      </c>
      <c r="AD97" s="111" t="e">
        <f>SUMIFS('Portefeuille SP2'!$U:$U,'Portefeuille SP2'!#REF!,1,'Portefeuille SP2'!$Q:$Q,"DECIDED",'Portefeuille SP2'!#REF!,"R",'Portefeuille SP2'!$D:$D,$A97,'Portefeuille SP2'!#REF!,"o",'Portefeuille SP2'!#REF!,"=")</f>
        <v>#REF!</v>
      </c>
      <c r="AE97" s="126" t="e">
        <f>SUMIFS('Portefeuille SP2'!#REF!,'Portefeuille SP2'!#REF!,1,'Portefeuille SP2'!$Q:$Q,"DECIDED",'Portefeuille SP2'!#REF!,"R",'Portefeuille SP2'!$D:$D,$A97,'Portefeuille SP2'!#REF!,"o",'Portefeuille SP2'!#REF!,"=")</f>
        <v>#REF!</v>
      </c>
      <c r="AF97" s="117" t="e">
        <f>SUMIFS('Portefeuille SP2'!#REF!,'Portefeuille SP2'!#REF!,1,'Portefeuille SP2'!$Q:$Q,"DECIDED",'Portefeuille SP2'!#REF!,"R",'Portefeuille SP2'!$D:$D,$A97,'Portefeuille SP2'!#REF!,"o",'Portefeuille SP2'!#REF!,"=")</f>
        <v>#REF!</v>
      </c>
      <c r="AG97" s="111" t="e">
        <f>SUMIFS('Portefeuille SP2'!$U:$U,'Portefeuille SP2'!#REF!,1,'Portefeuille SP2'!$Q:$Q,"DECIDED",'Portefeuille SP2'!#REF!,"G",'Portefeuille SP2'!$D:$D,$A97,'Portefeuille SP2'!#REF!,"o",'Portefeuille SP2'!#REF!,"&lt;&gt;")</f>
        <v>#REF!</v>
      </c>
      <c r="AH97" s="126" t="e">
        <f>SUMIFS('Portefeuille SP2'!#REF!,'Portefeuille SP2'!#REF!,1,'Portefeuille SP2'!$Q:$Q,"DECIDED",'Portefeuille SP2'!#REF!,"G",'Portefeuille SP2'!$D:$D,$A97,'Portefeuille SP2'!#REF!,"o",'Portefeuille SP2'!#REF!,"&lt;&gt;")</f>
        <v>#REF!</v>
      </c>
      <c r="AI97" s="117" t="e">
        <f>SUMIFS('Portefeuille SP2'!#REF!,'Portefeuille SP2'!#REF!,1,'Portefeuille SP2'!$Q:$Q,"DECIDED",'Portefeuille SP2'!#REF!,"G",'Portefeuille SP2'!$D:$D,$A97,'Portefeuille SP2'!#REF!,"o",'Portefeuille SP2'!#REF!,"&lt;&gt;")</f>
        <v>#REF!</v>
      </c>
      <c r="AJ97" s="111" t="e">
        <f>SUMIFS('Portefeuille SP2'!$U:$U,'Portefeuille SP2'!#REF!,1,'Portefeuille SP2'!$Q:$Q,"DECIDED",'Portefeuille SP2'!#REF!,"R",'Portefeuille SP2'!$D:$D,$A97,'Portefeuille SP2'!#REF!,"o",'Portefeuille SP2'!#REF!,"&lt;&gt;")</f>
        <v>#REF!</v>
      </c>
      <c r="AK97" s="126" t="e">
        <f>SUMIFS('Portefeuille SP2'!#REF!,'Portefeuille SP2'!#REF!,1,'Portefeuille SP2'!$Q:$Q,"DECIDED",'Portefeuille SP2'!#REF!,"R",'Portefeuille SP2'!$D:$D,$A97,'Portefeuille SP2'!#REF!,"o",'Portefeuille SP2'!#REF!,"&lt;&gt;")</f>
        <v>#REF!</v>
      </c>
      <c r="AL97" s="117" t="e">
        <f>SUMIFS('Portefeuille SP2'!#REF!,'Portefeuille SP2'!#REF!,1,'Portefeuille SP2'!$Q:$Q,"DECIDED",'Portefeuille SP2'!#REF!,"R",'Portefeuille SP2'!$D:$D,$A97,'Portefeuille SP2'!#REF!,"o",'Portefeuille SP2'!#REF!,"&lt;&gt;")</f>
        <v>#REF!</v>
      </c>
      <c r="AM97" s="117"/>
      <c r="AN97" t="s">
        <v>1311</v>
      </c>
      <c r="AO97" s="111" t="e">
        <f t="shared" ref="AO97" si="575">B102</f>
        <v>#REF!</v>
      </c>
      <c r="AP97" s="126" t="e">
        <f t="shared" ref="AP97" si="576">C102</f>
        <v>#REF!</v>
      </c>
      <c r="AQ97" s="122" t="e">
        <f t="shared" ref="AQ97" si="577">D102</f>
        <v>#REF!</v>
      </c>
      <c r="AR97" s="112" t="e">
        <f t="shared" ref="AR97" si="578">E102</f>
        <v>#REF!</v>
      </c>
      <c r="AS97" s="126" t="e">
        <f t="shared" ref="AS97" si="579">F102</f>
        <v>#REF!</v>
      </c>
      <c r="AT97" s="122" t="e">
        <f t="shared" ref="AT97" si="580">G102</f>
        <v>#REF!</v>
      </c>
      <c r="AU97" s="112" t="e">
        <f t="shared" si="531"/>
        <v>#REF!</v>
      </c>
      <c r="AV97" s="126" t="e">
        <f t="shared" si="500"/>
        <v>#REF!</v>
      </c>
      <c r="AW97" s="122" t="e">
        <f t="shared" si="501"/>
        <v>#REF!</v>
      </c>
      <c r="AX97" s="111" t="e">
        <f t="shared" ref="AX97" si="581">H102</f>
        <v>#REF!</v>
      </c>
      <c r="AY97" s="126" t="e">
        <f t="shared" ref="AY97" si="582">I102</f>
        <v>#REF!</v>
      </c>
      <c r="AZ97" s="122" t="e">
        <f t="shared" ref="AZ97" si="583">J102</f>
        <v>#REF!</v>
      </c>
      <c r="BA97" s="111" t="e">
        <f t="shared" ref="BA97" si="584">K102</f>
        <v>#REF!</v>
      </c>
      <c r="BB97" s="126" t="e">
        <f t="shared" ref="BB97" si="585">L102</f>
        <v>#REF!</v>
      </c>
      <c r="BC97" s="122" t="e">
        <f t="shared" ref="BC97" si="586">M102</f>
        <v>#REF!</v>
      </c>
      <c r="BD97" s="112" t="e">
        <f t="shared" si="538"/>
        <v>#REF!</v>
      </c>
      <c r="BE97" s="126" t="e">
        <f t="shared" si="508"/>
        <v>#REF!</v>
      </c>
      <c r="BF97" s="122" t="e">
        <f t="shared" si="509"/>
        <v>#REF!</v>
      </c>
      <c r="BH97" s="111" t="e">
        <f>U102</f>
        <v>#REF!</v>
      </c>
      <c r="BI97" s="126" t="e">
        <f t="shared" ref="BI97" si="587">V102</f>
        <v>#REF!</v>
      </c>
      <c r="BJ97" s="122" t="e">
        <f t="shared" ref="BJ97" si="588">W102</f>
        <v>#REF!</v>
      </c>
      <c r="BK97" s="111" t="e">
        <f t="shared" ref="BK97" si="589">X102</f>
        <v>#REF!</v>
      </c>
      <c r="BL97" s="126" t="e">
        <f t="shared" ref="BL97" si="590">Y102</f>
        <v>#REF!</v>
      </c>
      <c r="BM97" s="122" t="e">
        <f t="shared" ref="BM97" si="591">Z102</f>
        <v>#REF!</v>
      </c>
      <c r="BN97" s="112" t="e">
        <f t="shared" si="544"/>
        <v>#REF!</v>
      </c>
      <c r="BO97" s="126" t="e">
        <f t="shared" si="515"/>
        <v>#REF!</v>
      </c>
      <c r="BP97" s="122" t="e">
        <f t="shared" si="516"/>
        <v>#REF!</v>
      </c>
      <c r="BQ97" s="111" t="e">
        <f t="shared" ref="BQ97" si="592">AA102</f>
        <v>#REF!</v>
      </c>
      <c r="BR97" s="126" t="e">
        <f t="shared" ref="BR97" si="593">AB102</f>
        <v>#REF!</v>
      </c>
      <c r="BS97" s="122" t="e">
        <f t="shared" ref="BS97" si="594">AC102</f>
        <v>#REF!</v>
      </c>
      <c r="BT97" s="111" t="e">
        <f t="shared" ref="BT97" si="595">AD102</f>
        <v>#REF!</v>
      </c>
      <c r="BU97" s="126" t="e">
        <f t="shared" ref="BU97" si="596">AE102</f>
        <v>#REF!</v>
      </c>
      <c r="BV97" s="122" t="e">
        <f t="shared" ref="BV97" si="597">AF102</f>
        <v>#REF!</v>
      </c>
      <c r="BW97" s="111" t="e">
        <f t="shared" si="551"/>
        <v>#REF!</v>
      </c>
      <c r="BX97" s="126" t="e">
        <f t="shared" si="523"/>
        <v>#REF!</v>
      </c>
      <c r="BY97" s="122" t="e">
        <f t="shared" si="524"/>
        <v>#REF!</v>
      </c>
    </row>
    <row r="98" spans="1:77" outlineLevel="1">
      <c r="A98" t="s">
        <v>1312</v>
      </c>
      <c r="B98" s="139" t="e">
        <f>SUMIFS('Portefeuille SP2'!$U:$U,'Portefeuille SP2'!#REF!,1,'Portefeuille SP2'!$Q:$Q,"IN PROGRESS",'Portefeuille SP2'!#REF!,"G",'Portefeuille SP2'!$D:$D,$A98,'Portefeuille SP2'!#REF!,"S")</f>
        <v>#REF!</v>
      </c>
      <c r="C98" s="126" t="e">
        <f>SUMIFS('Portefeuille SP2'!#REF!,'Portefeuille SP2'!#REF!,1,'Portefeuille SP2'!$Q:$Q,"IN PROGRESS",'Portefeuille SP2'!#REF!,"G",'Portefeuille SP2'!$D:$D,$A98,'Portefeuille SP2'!#REF!,"S")</f>
        <v>#REF!</v>
      </c>
      <c r="D98" s="122" t="e">
        <f>SUMIFS('Portefeuille SP2'!#REF!,'Portefeuille SP2'!#REF!,1,'Portefeuille SP2'!$Q:$Q,"IN PROGRESS",'Portefeuille SP2'!#REF!,"G",'Portefeuille SP2'!$D:$D,$A98,'Portefeuille SP2'!#REF!,"S")</f>
        <v>#REF!</v>
      </c>
      <c r="E98" s="111" t="e">
        <f>SUMIFS('Portefeuille SP2'!$U:$U,'Portefeuille SP2'!#REF!,1,'Portefeuille SP2'!$Q:$Q,"IN PROGRESS",'Portefeuille SP2'!#REF!,"R",'Portefeuille SP2'!$D:$D,$A98,'Portefeuille SP2'!#REF!,"S")</f>
        <v>#REF!</v>
      </c>
      <c r="F98" s="126" t="e">
        <f>SUMIFS('Portefeuille SP2'!#REF!,'Portefeuille SP2'!#REF!,1,'Portefeuille SP2'!$Q:$Q,"IN PROGRESS",'Portefeuille SP2'!#REF!,"R",'Portefeuille SP2'!$D:$D,$A98,'Portefeuille SP2'!#REF!,"S")</f>
        <v>#REF!</v>
      </c>
      <c r="G98" s="117" t="e">
        <f>SUMIFS('Portefeuille SP2'!#REF!,'Portefeuille SP2'!#REF!,1,'Portefeuille SP2'!$Q:$Q,"IN PROGRESS",'Portefeuille SP2'!#REF!,"R",'Portefeuille SP2'!$D:$D,$A98,'Portefeuille SP2'!#REF!,"S")</f>
        <v>#REF!</v>
      </c>
      <c r="H98" s="111" t="e">
        <f>SUMIFS('Portefeuille SP2'!$U:$U,'Portefeuille SP2'!#REF!,1,'Portefeuille SP2'!$Q:$Q,"DECIDED",'Portefeuille SP2'!#REF!,"G",'Portefeuille SP2'!$D:$D,$A98,'Portefeuille SP2'!#REF!,"S",'Portefeuille SP2'!#REF!,"=")</f>
        <v>#REF!</v>
      </c>
      <c r="I98" s="117" t="e">
        <f>SUMIFS('Portefeuille SP2'!#REF!,'Portefeuille SP2'!#REF!,1,'Portefeuille SP2'!$Q:$Q,"DECIDED",'Portefeuille SP2'!#REF!,"G",'Portefeuille SP2'!$D:$D,$A98,'Portefeuille SP2'!#REF!,"S",'Portefeuille SP2'!#REF!,"=")</f>
        <v>#REF!</v>
      </c>
      <c r="J98" s="117" t="e">
        <f>SUMIFS('Portefeuille SP2'!#REF!,'Portefeuille SP2'!#REF!,1,'Portefeuille SP2'!$Q:$Q,"DECIDED",'Portefeuille SP2'!#REF!,"G",'Portefeuille SP2'!$D:$D,$A98,'Portefeuille SP2'!#REF!,"S",'Portefeuille SP2'!#REF!,"=")</f>
        <v>#REF!</v>
      </c>
      <c r="K98" s="111" t="e">
        <f>SUMIFS('Portefeuille SP2'!$U:$U,'Portefeuille SP2'!#REF!,1,'Portefeuille SP2'!$Q:$Q,"DECIDED",'Portefeuille SP2'!#REF!,"R",'Portefeuille SP2'!$D:$D,$A98,'Portefeuille SP2'!#REF!,"S",'Portefeuille SP2'!#REF!,"=")</f>
        <v>#REF!</v>
      </c>
      <c r="L98" s="126" t="e">
        <f>SUMIFS('Portefeuille SP2'!#REF!,'Portefeuille SP2'!#REF!,1,'Portefeuille SP2'!$Q:$Q,"DECIDED",'Portefeuille SP2'!#REF!,"R",'Portefeuille SP2'!$D:$D,$A98,'Portefeuille SP2'!#REF!,"S",'Portefeuille SP2'!#REF!,"=")</f>
        <v>#REF!</v>
      </c>
      <c r="M98" s="117" t="e">
        <f>SUMIFS('Portefeuille SP2'!#REF!,'Portefeuille SP2'!#REF!,1,'Portefeuille SP2'!$Q:$Q,"DECIDED",'Portefeuille SP2'!#REF!,"R",'Portefeuille SP2'!$D:$D,$A98,'Portefeuille SP2'!#REF!,"S",'Portefeuille SP2'!#REF!,"=")</f>
        <v>#REF!</v>
      </c>
      <c r="N98" s="111" t="e">
        <f>SUMIFS('Portefeuille SP2'!$U:$U,'Portefeuille SP2'!#REF!,1,'Portefeuille SP2'!$Q:$Q,"DECIDED",'Portefeuille SP2'!#REF!,"G",'Portefeuille SP2'!$D:$D,$A98,'Portefeuille SP2'!#REF!,"S",'Portefeuille SP2'!#REF!,"&lt;&gt;")</f>
        <v>#REF!</v>
      </c>
      <c r="O98" s="126" t="e">
        <f>SUMIFS('Portefeuille SP2'!#REF!,'Portefeuille SP2'!#REF!,1,'Portefeuille SP2'!$Q:$Q,"DECIDED",'Portefeuille SP2'!#REF!,"G",'Portefeuille SP2'!$D:$D,$A98,'Portefeuille SP2'!#REF!,"S",'Portefeuille SP2'!#REF!,"&lt;&gt;")</f>
        <v>#REF!</v>
      </c>
      <c r="P98" s="117" t="e">
        <f>SUMIFS('Portefeuille SP2'!#REF!,'Portefeuille SP2'!#REF!,1,'Portefeuille SP2'!$Q:$Q,"DECIDED",'Portefeuille SP2'!#REF!,"G",'Portefeuille SP2'!$D:$D,$A98,'Portefeuille SP2'!#REF!,"S",'Portefeuille SP2'!#REF!,"&lt;&gt;")</f>
        <v>#REF!</v>
      </c>
      <c r="Q98" s="111" t="e">
        <f>SUMIFS('Portefeuille SP2'!$U:$U,'Portefeuille SP2'!#REF!,1,'Portefeuille SP2'!$Q:$Q,"DECIDED",'Portefeuille SP2'!#REF!,"R",'Portefeuille SP2'!$D:$D,$A98,'Portefeuille SP2'!#REF!,"S",'Portefeuille SP2'!#REF!,"&lt;&gt;")</f>
        <v>#REF!</v>
      </c>
      <c r="R98" s="126" t="e">
        <f>SUMIFS('Portefeuille SP2'!#REF!,'Portefeuille SP2'!#REF!,1,'Portefeuille SP2'!$Q:$Q,"DECIDED",'Portefeuille SP2'!#REF!,"R",'Portefeuille SP2'!$D:$D,$A98,'Portefeuille SP2'!#REF!,"S",'Portefeuille SP2'!#REF!,"&lt;&gt;")</f>
        <v>#REF!</v>
      </c>
      <c r="S98" s="122" t="e">
        <f>SUMIFS('Portefeuille SP2'!#REF!,'Portefeuille SP2'!#REF!,1,'Portefeuille SP2'!$Q:$Q,"DECIDED",'Portefeuille SP2'!#REF!,"R",'Portefeuille SP2'!$D:$D,$A98,'Portefeuille SP2'!#REF!,"S",'Portefeuille SP2'!#REF!,"&lt;&gt;")</f>
        <v>#REF!</v>
      </c>
      <c r="U98" s="111" t="e">
        <f>SUMIFS('Portefeuille SP2'!$U:$U,'Portefeuille SP2'!#REF!,1,'Portefeuille SP2'!$Q:$Q,"IN PROGRESS",'Portefeuille SP2'!#REF!,"G",'Portefeuille SP2'!$D:$D,$A98,'Portefeuille SP2'!#REF!,"O")</f>
        <v>#REF!</v>
      </c>
      <c r="V98" s="126" t="e">
        <f>SUMIFS('Portefeuille SP2'!#REF!,'Portefeuille SP2'!#REF!,1,'Portefeuille SP2'!$Q:$Q,"IN PROGRESS",'Portefeuille SP2'!#REF!,"G",'Portefeuille SP2'!$D:$D,$A98,'Portefeuille SP2'!#REF!,"o")</f>
        <v>#REF!</v>
      </c>
      <c r="W98" s="117" t="e">
        <f>SUMIFS('Portefeuille SP2'!#REF!,'Portefeuille SP2'!#REF!,1,'Portefeuille SP2'!$Q:$Q,"IN PROGRESS",'Portefeuille SP2'!#REF!,"G",'Portefeuille SP2'!$D:$D,$A98,'Portefeuille SP2'!#REF!,"o")</f>
        <v>#REF!</v>
      </c>
      <c r="X98" s="111" t="e">
        <f>SUMIFS('Portefeuille SP2'!$U:$U,'Portefeuille SP2'!#REF!,1,'Portefeuille SP2'!$Q:$Q,"IN PROGRESS",'Portefeuille SP2'!#REF!,"R",'Portefeuille SP2'!$D:$D,$A98,'Portefeuille SP2'!#REF!,"o")</f>
        <v>#REF!</v>
      </c>
      <c r="Y98" s="126" t="e">
        <f>SUMIFS('Portefeuille SP2'!#REF!,'Portefeuille SP2'!#REF!,1,'Portefeuille SP2'!$Q:$Q,"IN PROGRESS",'Portefeuille SP2'!#REF!,"R",'Portefeuille SP2'!$D:$D,$A98,'Portefeuille SP2'!#REF!,"o")</f>
        <v>#REF!</v>
      </c>
      <c r="Z98" s="117" t="e">
        <f>SUMIFS('Portefeuille SP2'!#REF!,'Portefeuille SP2'!#REF!,1,'Portefeuille SP2'!$Q:$Q,"IN PROGRESS",'Portefeuille SP2'!#REF!,"R",'Portefeuille SP2'!$D:$D,$A98,'Portefeuille SP2'!#REF!,"o")</f>
        <v>#REF!</v>
      </c>
      <c r="AA98" s="111" t="e">
        <f>SUMIFS('Portefeuille SP2'!$U:$U,'Portefeuille SP2'!#REF!,1,'Portefeuille SP2'!$Q:$Q,"DECIDED",'Portefeuille SP2'!#REF!,"G",'Portefeuille SP2'!$D:$D,$A98,'Portefeuille SP2'!#REF!,"o",'Portefeuille SP2'!#REF!,"=")</f>
        <v>#REF!</v>
      </c>
      <c r="AB98" s="126" t="e">
        <f>SUMIFS('Portefeuille SP2'!#REF!,'Portefeuille SP2'!#REF!,1,'Portefeuille SP2'!$Q:$Q,"DECIDED",'Portefeuille SP2'!#REF!,"G",'Portefeuille SP2'!$D:$D,$A98,'Portefeuille SP2'!#REF!,"o",'Portefeuille SP2'!#REF!,"=")</f>
        <v>#REF!</v>
      </c>
      <c r="AC98" s="117" t="e">
        <f>SUMIFS('Portefeuille SP2'!#REF!,'Portefeuille SP2'!#REF!,1,'Portefeuille SP2'!$Q:$Q,"DECIDED",'Portefeuille SP2'!#REF!,"G",'Portefeuille SP2'!$D:$D,$A98,'Portefeuille SP2'!#REF!,"o",'Portefeuille SP2'!#REF!,"=")</f>
        <v>#REF!</v>
      </c>
      <c r="AD98" s="111" t="e">
        <f>SUMIFS('Portefeuille SP2'!$U:$U,'Portefeuille SP2'!#REF!,1,'Portefeuille SP2'!$Q:$Q,"DECIDED",'Portefeuille SP2'!#REF!,"R",'Portefeuille SP2'!$D:$D,$A98,'Portefeuille SP2'!#REF!,"o",'Portefeuille SP2'!#REF!,"=")</f>
        <v>#REF!</v>
      </c>
      <c r="AE98" s="126" t="e">
        <f>SUMIFS('Portefeuille SP2'!#REF!,'Portefeuille SP2'!#REF!,1,'Portefeuille SP2'!$Q:$Q,"DECIDED",'Portefeuille SP2'!#REF!,"R",'Portefeuille SP2'!$D:$D,$A98,'Portefeuille SP2'!#REF!,"o",'Portefeuille SP2'!#REF!,"=")</f>
        <v>#REF!</v>
      </c>
      <c r="AF98" s="117" t="e">
        <f>SUMIFS('Portefeuille SP2'!#REF!,'Portefeuille SP2'!#REF!,1,'Portefeuille SP2'!$Q:$Q,"DECIDED",'Portefeuille SP2'!#REF!,"R",'Portefeuille SP2'!$D:$D,$A98,'Portefeuille SP2'!#REF!,"o",'Portefeuille SP2'!#REF!,"=")</f>
        <v>#REF!</v>
      </c>
      <c r="AG98" s="111" t="e">
        <f>SUMIFS('Portefeuille SP2'!$U:$U,'Portefeuille SP2'!#REF!,1,'Portefeuille SP2'!$Q:$Q,"DECIDED",'Portefeuille SP2'!#REF!,"G",'Portefeuille SP2'!$D:$D,$A98,'Portefeuille SP2'!#REF!,"o",'Portefeuille SP2'!#REF!,"&lt;&gt;")</f>
        <v>#REF!</v>
      </c>
      <c r="AH98" s="126" t="e">
        <f>SUMIFS('Portefeuille SP2'!#REF!,'Portefeuille SP2'!#REF!,1,'Portefeuille SP2'!$Q:$Q,"DECIDED",'Portefeuille SP2'!#REF!,"G",'Portefeuille SP2'!$D:$D,$A98,'Portefeuille SP2'!#REF!,"o",'Portefeuille SP2'!#REF!,"&lt;&gt;")</f>
        <v>#REF!</v>
      </c>
      <c r="AI98" s="117" t="e">
        <f>SUMIFS('Portefeuille SP2'!#REF!,'Portefeuille SP2'!#REF!,1,'Portefeuille SP2'!$Q:$Q,"DECIDED",'Portefeuille SP2'!#REF!,"G",'Portefeuille SP2'!$D:$D,$A98,'Portefeuille SP2'!#REF!,"o",'Portefeuille SP2'!#REF!,"&lt;&gt;")</f>
        <v>#REF!</v>
      </c>
      <c r="AJ98" s="111" t="e">
        <f>SUMIFS('Portefeuille SP2'!$U:$U,'Portefeuille SP2'!#REF!,1,'Portefeuille SP2'!$Q:$Q,"DECIDED",'Portefeuille SP2'!#REF!,"R",'Portefeuille SP2'!$D:$D,$A98,'Portefeuille SP2'!#REF!,"o",'Portefeuille SP2'!#REF!,"&lt;&gt;")</f>
        <v>#REF!</v>
      </c>
      <c r="AK98" s="126" t="e">
        <f>SUMIFS('Portefeuille SP2'!#REF!,'Portefeuille SP2'!#REF!,1,'Portefeuille SP2'!$Q:$Q,"DECIDED",'Portefeuille SP2'!#REF!,"R",'Portefeuille SP2'!$D:$D,$A98,'Portefeuille SP2'!#REF!,"o",'Portefeuille SP2'!#REF!,"&lt;&gt;")</f>
        <v>#REF!</v>
      </c>
      <c r="AL98" s="117" t="e">
        <f>SUMIFS('Portefeuille SP2'!#REF!,'Portefeuille SP2'!#REF!,1,'Portefeuille SP2'!$Q:$Q,"DECIDED",'Portefeuille SP2'!#REF!,"R",'Portefeuille SP2'!$D:$D,$A98,'Portefeuille SP2'!#REF!,"o",'Portefeuille SP2'!#REF!,"&lt;&gt;")</f>
        <v>#REF!</v>
      </c>
      <c r="AM98" s="117"/>
      <c r="AN98" t="s">
        <v>1307</v>
      </c>
      <c r="AO98" s="111" t="e">
        <f>B95+B97+B98+B99+B100+B107+B108</f>
        <v>#REF!</v>
      </c>
      <c r="AP98" s="126" t="e">
        <f>C95+C97+C98+C99+C100+C107</f>
        <v>#REF!</v>
      </c>
      <c r="AQ98" s="122" t="e">
        <f>D95+D97+D98+D99+D100+D107</f>
        <v>#REF!</v>
      </c>
      <c r="AR98" s="112" t="e">
        <f>E95+E97+E98+E99+E100+E107+E108</f>
        <v>#REF!</v>
      </c>
      <c r="AS98" s="126" t="e">
        <f>F95+F97+F98+F99+F100+F107</f>
        <v>#REF!</v>
      </c>
      <c r="AT98" s="122" t="e">
        <f>G95+G97+G98+G99+G100+G107</f>
        <v>#REF!</v>
      </c>
      <c r="AU98" s="112" t="e">
        <f t="shared" si="531"/>
        <v>#REF!</v>
      </c>
      <c r="AV98" s="126" t="e">
        <f t="shared" si="500"/>
        <v>#REF!</v>
      </c>
      <c r="AW98" s="122" t="e">
        <f t="shared" si="501"/>
        <v>#REF!</v>
      </c>
      <c r="AX98" s="111" t="e">
        <f>H95+H97+H98+H99+H100+H107+H108</f>
        <v>#REF!</v>
      </c>
      <c r="AY98" s="126" t="e">
        <f t="shared" ref="AY98" si="598">I95+I97+I98+I99+I100+I107+I108</f>
        <v>#REF!</v>
      </c>
      <c r="AZ98" s="122" t="e">
        <f t="shared" ref="AZ98" si="599">J95+J97+J98+J99+J100+J107+J108</f>
        <v>#REF!</v>
      </c>
      <c r="BA98" s="111" t="e">
        <f>K95+K97+K98+K99+K100+K107+K108</f>
        <v>#REF!</v>
      </c>
      <c r="BB98" s="126" t="e">
        <f t="shared" ref="BB98" si="600">L95+L97+L98+L99+L100+L107+L108</f>
        <v>#REF!</v>
      </c>
      <c r="BC98" s="122" t="e">
        <f t="shared" ref="BC98" si="601">M95+M97+M98+M99+M100+M107+M108</f>
        <v>#REF!</v>
      </c>
      <c r="BD98" s="112" t="e">
        <f t="shared" si="538"/>
        <v>#REF!</v>
      </c>
      <c r="BE98" s="126" t="e">
        <f t="shared" si="508"/>
        <v>#REF!</v>
      </c>
      <c r="BF98" s="122" t="e">
        <f t="shared" si="509"/>
        <v>#REF!</v>
      </c>
      <c r="BH98" s="111" t="e">
        <f>U95+U97+U98+U99+U100+U107+U108</f>
        <v>#REF!</v>
      </c>
      <c r="BI98" s="126" t="e">
        <f t="shared" ref="BI98" si="602">V95+V97+V98+V99+V100+V107+V108</f>
        <v>#REF!</v>
      </c>
      <c r="BJ98" s="122" t="e">
        <f t="shared" ref="BJ98" si="603">W95+W97+W98+W99+W100+W107+W108</f>
        <v>#REF!</v>
      </c>
      <c r="BK98" s="111" t="e">
        <f t="shared" ref="BK98" si="604">X95+X97+X98+X99+X100+X107+X108</f>
        <v>#REF!</v>
      </c>
      <c r="BL98" s="126" t="e">
        <f t="shared" ref="BL98" si="605">Y95+Y97+Y98+Y99+Y100+Y107+Y108</f>
        <v>#REF!</v>
      </c>
      <c r="BM98" s="122" t="e">
        <f t="shared" ref="BM98" si="606">Z95+Z97+Z98+Z99+Z100+Z107+Z108</f>
        <v>#REF!</v>
      </c>
      <c r="BN98" s="112" t="e">
        <f t="shared" si="544"/>
        <v>#REF!</v>
      </c>
      <c r="BO98" s="126" t="e">
        <f t="shared" si="515"/>
        <v>#REF!</v>
      </c>
      <c r="BP98" s="122" t="e">
        <f t="shared" si="516"/>
        <v>#REF!</v>
      </c>
      <c r="BQ98" s="111" t="e">
        <f t="shared" ref="BQ98" si="607">AA95+AA97+AA98+AA99+AA100+AA107+AA108</f>
        <v>#REF!</v>
      </c>
      <c r="BR98" s="126" t="e">
        <f t="shared" ref="BR98" si="608">AB95+AB97+AB98+AB99+AB100+AB107+AB108</f>
        <v>#REF!</v>
      </c>
      <c r="BS98" s="122" t="e">
        <f t="shared" ref="BS98" si="609">AC95+AC97+AC98+AC99+AC100+AC107+AC108</f>
        <v>#REF!</v>
      </c>
      <c r="BT98" s="111" t="e">
        <f t="shared" ref="BT98" si="610">AD95+AD97+AD98+AD99+AD100+AD107+AD108</f>
        <v>#REF!</v>
      </c>
      <c r="BU98" s="126" t="e">
        <f t="shared" ref="BU98" si="611">AE95+AE97+AE98+AE99+AE100+AE107+AE108</f>
        <v>#REF!</v>
      </c>
      <c r="BV98" s="122" t="e">
        <f t="shared" ref="BV98" si="612">AF95+AF97+AF98+AF99+AF100+AF107+AF108</f>
        <v>#REF!</v>
      </c>
      <c r="BW98" s="111" t="e">
        <f t="shared" si="551"/>
        <v>#REF!</v>
      </c>
      <c r="BX98" s="126" t="e">
        <f t="shared" si="523"/>
        <v>#REF!</v>
      </c>
      <c r="BY98" s="122" t="e">
        <f t="shared" si="524"/>
        <v>#REF!</v>
      </c>
    </row>
    <row r="99" spans="1:77" outlineLevel="1">
      <c r="A99" t="s">
        <v>1313</v>
      </c>
      <c r="B99" s="139" t="e">
        <f>SUMIFS('Portefeuille SP2'!$U:$U,'Portefeuille SP2'!#REF!,1,'Portefeuille SP2'!$Q:$Q,"IN PROGRESS",'Portefeuille SP2'!#REF!,"G",'Portefeuille SP2'!$D:$D,$A99,'Portefeuille SP2'!#REF!,"S")</f>
        <v>#REF!</v>
      </c>
      <c r="C99" s="126" t="e">
        <f>SUMIFS('Portefeuille SP2'!#REF!,'Portefeuille SP2'!#REF!,1,'Portefeuille SP2'!$Q:$Q,"IN PROGRESS",'Portefeuille SP2'!#REF!,"G",'Portefeuille SP2'!$D:$D,$A99,'Portefeuille SP2'!#REF!,"S")</f>
        <v>#REF!</v>
      </c>
      <c r="D99" s="122" t="e">
        <f>SUMIFS('Portefeuille SP2'!#REF!,'Portefeuille SP2'!#REF!,1,'Portefeuille SP2'!$Q:$Q,"IN PROGRESS",'Portefeuille SP2'!#REF!,"G",'Portefeuille SP2'!$D:$D,$A99,'Portefeuille SP2'!#REF!,"S")</f>
        <v>#REF!</v>
      </c>
      <c r="E99" s="111" t="e">
        <f>SUMIFS('Portefeuille SP2'!$U:$U,'Portefeuille SP2'!#REF!,1,'Portefeuille SP2'!$Q:$Q,"IN PROGRESS",'Portefeuille SP2'!#REF!,"R",'Portefeuille SP2'!$D:$D,$A99,'Portefeuille SP2'!#REF!,"S")</f>
        <v>#REF!</v>
      </c>
      <c r="F99" s="126" t="e">
        <f>SUMIFS('Portefeuille SP2'!#REF!,'Portefeuille SP2'!#REF!,1,'Portefeuille SP2'!$Q:$Q,"IN PROGRESS",'Portefeuille SP2'!#REF!,"R",'Portefeuille SP2'!$D:$D,$A99,'Portefeuille SP2'!#REF!,"S")</f>
        <v>#REF!</v>
      </c>
      <c r="G99" s="117" t="e">
        <f>SUMIFS('Portefeuille SP2'!#REF!,'Portefeuille SP2'!#REF!,1,'Portefeuille SP2'!$Q:$Q,"IN PROGRESS",'Portefeuille SP2'!#REF!,"R",'Portefeuille SP2'!$D:$D,$A99,'Portefeuille SP2'!#REF!,"S")</f>
        <v>#REF!</v>
      </c>
      <c r="H99" s="111" t="e">
        <f>SUMIFS('Portefeuille SP2'!$U:$U,'Portefeuille SP2'!#REF!,1,'Portefeuille SP2'!$Q:$Q,"DECIDED",'Portefeuille SP2'!#REF!,"G",'Portefeuille SP2'!$D:$D,$A99,'Portefeuille SP2'!#REF!,"S",'Portefeuille SP2'!#REF!,"=")</f>
        <v>#REF!</v>
      </c>
      <c r="I99" s="117" t="e">
        <f>SUMIFS('Portefeuille SP2'!#REF!,'Portefeuille SP2'!#REF!,1,'Portefeuille SP2'!$Q:$Q,"DECIDED",'Portefeuille SP2'!#REF!,"G",'Portefeuille SP2'!$D:$D,$A99,'Portefeuille SP2'!#REF!,"S",'Portefeuille SP2'!#REF!,"=")</f>
        <v>#REF!</v>
      </c>
      <c r="J99" s="117" t="e">
        <f>SUMIFS('Portefeuille SP2'!#REF!,'Portefeuille SP2'!#REF!,1,'Portefeuille SP2'!$Q:$Q,"DECIDED",'Portefeuille SP2'!#REF!,"G",'Portefeuille SP2'!$D:$D,$A99,'Portefeuille SP2'!#REF!,"S",'Portefeuille SP2'!#REF!,"=")</f>
        <v>#REF!</v>
      </c>
      <c r="K99" s="111" t="e">
        <f>SUMIFS('Portefeuille SP2'!$U:$U,'Portefeuille SP2'!#REF!,1,'Portefeuille SP2'!$Q:$Q,"DECIDED",'Portefeuille SP2'!#REF!,"R",'Portefeuille SP2'!$D:$D,$A99,'Portefeuille SP2'!#REF!,"S",'Portefeuille SP2'!#REF!,"=")</f>
        <v>#REF!</v>
      </c>
      <c r="L99" s="126" t="e">
        <f>SUMIFS('Portefeuille SP2'!#REF!,'Portefeuille SP2'!#REF!,1,'Portefeuille SP2'!$Q:$Q,"DECIDED",'Portefeuille SP2'!#REF!,"R",'Portefeuille SP2'!$D:$D,$A99,'Portefeuille SP2'!#REF!,"S",'Portefeuille SP2'!#REF!,"=")</f>
        <v>#REF!</v>
      </c>
      <c r="M99" s="117" t="e">
        <f>SUMIFS('Portefeuille SP2'!#REF!,'Portefeuille SP2'!#REF!,1,'Portefeuille SP2'!$Q:$Q,"DECIDED",'Portefeuille SP2'!#REF!,"R",'Portefeuille SP2'!$D:$D,$A99,'Portefeuille SP2'!#REF!,"S",'Portefeuille SP2'!#REF!,"=")</f>
        <v>#REF!</v>
      </c>
      <c r="N99" s="111" t="e">
        <f>SUMIFS('Portefeuille SP2'!$U:$U,'Portefeuille SP2'!#REF!,1,'Portefeuille SP2'!$Q:$Q,"DECIDED",'Portefeuille SP2'!#REF!,"G",'Portefeuille SP2'!$D:$D,$A99,'Portefeuille SP2'!#REF!,"S",'Portefeuille SP2'!#REF!,"&lt;&gt;")</f>
        <v>#REF!</v>
      </c>
      <c r="O99" s="126" t="e">
        <f>SUMIFS('Portefeuille SP2'!#REF!,'Portefeuille SP2'!#REF!,1,'Portefeuille SP2'!$Q:$Q,"DECIDED",'Portefeuille SP2'!#REF!,"G",'Portefeuille SP2'!$D:$D,$A99,'Portefeuille SP2'!#REF!,"S",'Portefeuille SP2'!#REF!,"&lt;&gt;")</f>
        <v>#REF!</v>
      </c>
      <c r="P99" s="117" t="e">
        <f>SUMIFS('Portefeuille SP2'!#REF!,'Portefeuille SP2'!#REF!,1,'Portefeuille SP2'!$Q:$Q,"DECIDED",'Portefeuille SP2'!#REF!,"G",'Portefeuille SP2'!$D:$D,$A99,'Portefeuille SP2'!#REF!,"S",'Portefeuille SP2'!#REF!,"&lt;&gt;")</f>
        <v>#REF!</v>
      </c>
      <c r="Q99" s="111" t="e">
        <f>SUMIFS('Portefeuille SP2'!$U:$U,'Portefeuille SP2'!#REF!,1,'Portefeuille SP2'!$Q:$Q,"DECIDED",'Portefeuille SP2'!#REF!,"R",'Portefeuille SP2'!$D:$D,$A99,'Portefeuille SP2'!#REF!,"S",'Portefeuille SP2'!#REF!,"&lt;&gt;")</f>
        <v>#REF!</v>
      </c>
      <c r="R99" s="126" t="e">
        <f>SUMIFS('Portefeuille SP2'!#REF!,'Portefeuille SP2'!#REF!,1,'Portefeuille SP2'!$Q:$Q,"DECIDED",'Portefeuille SP2'!#REF!,"R",'Portefeuille SP2'!$D:$D,$A99,'Portefeuille SP2'!#REF!,"S",'Portefeuille SP2'!#REF!,"&lt;&gt;")</f>
        <v>#REF!</v>
      </c>
      <c r="S99" s="122" t="e">
        <f>SUMIFS('Portefeuille SP2'!#REF!,'Portefeuille SP2'!#REF!,1,'Portefeuille SP2'!$Q:$Q,"DECIDED",'Portefeuille SP2'!#REF!,"R",'Portefeuille SP2'!$D:$D,$A99,'Portefeuille SP2'!#REF!,"S",'Portefeuille SP2'!#REF!,"&lt;&gt;")</f>
        <v>#REF!</v>
      </c>
      <c r="U99" s="111" t="e">
        <f>SUMIFS('Portefeuille SP2'!$U:$U,'Portefeuille SP2'!#REF!,1,'Portefeuille SP2'!$Q:$Q,"IN PROGRESS",'Portefeuille SP2'!#REF!,"G",'Portefeuille SP2'!$D:$D,$A99,'Portefeuille SP2'!#REF!,"O")</f>
        <v>#REF!</v>
      </c>
      <c r="V99" s="126" t="e">
        <f>SUMIFS('Portefeuille SP2'!#REF!,'Portefeuille SP2'!#REF!,1,'Portefeuille SP2'!$Q:$Q,"IN PROGRESS",'Portefeuille SP2'!#REF!,"G",'Portefeuille SP2'!$D:$D,$A99,'Portefeuille SP2'!#REF!,"o")</f>
        <v>#REF!</v>
      </c>
      <c r="W99" s="117" t="e">
        <f>SUMIFS('Portefeuille SP2'!#REF!,'Portefeuille SP2'!#REF!,1,'Portefeuille SP2'!$Q:$Q,"IN PROGRESS",'Portefeuille SP2'!#REF!,"G",'Portefeuille SP2'!$D:$D,$A99,'Portefeuille SP2'!#REF!,"o")</f>
        <v>#REF!</v>
      </c>
      <c r="X99" s="111" t="e">
        <f>SUMIFS('Portefeuille SP2'!$U:$U,'Portefeuille SP2'!#REF!,1,'Portefeuille SP2'!$Q:$Q,"IN PROGRESS",'Portefeuille SP2'!#REF!,"R",'Portefeuille SP2'!$D:$D,$A99,'Portefeuille SP2'!#REF!,"o")</f>
        <v>#REF!</v>
      </c>
      <c r="Y99" s="126" t="e">
        <f>SUMIFS('Portefeuille SP2'!#REF!,'Portefeuille SP2'!#REF!,1,'Portefeuille SP2'!$Q:$Q,"IN PROGRESS",'Portefeuille SP2'!#REF!,"R",'Portefeuille SP2'!$D:$D,$A99,'Portefeuille SP2'!#REF!,"o")</f>
        <v>#REF!</v>
      </c>
      <c r="Z99" s="117" t="e">
        <f>SUMIFS('Portefeuille SP2'!#REF!,'Portefeuille SP2'!#REF!,1,'Portefeuille SP2'!$Q:$Q,"IN PROGRESS",'Portefeuille SP2'!#REF!,"R",'Portefeuille SP2'!$D:$D,$A99,'Portefeuille SP2'!#REF!,"o")</f>
        <v>#REF!</v>
      </c>
      <c r="AA99" s="111" t="e">
        <f>SUMIFS('Portefeuille SP2'!$U:$U,'Portefeuille SP2'!#REF!,1,'Portefeuille SP2'!$Q:$Q,"DECIDED",'Portefeuille SP2'!#REF!,"G",'Portefeuille SP2'!$D:$D,$A99,'Portefeuille SP2'!#REF!,"o",'Portefeuille SP2'!#REF!,"=")</f>
        <v>#REF!</v>
      </c>
      <c r="AB99" s="126" t="e">
        <f>SUMIFS('Portefeuille SP2'!#REF!,'Portefeuille SP2'!#REF!,1,'Portefeuille SP2'!$Q:$Q,"DECIDED",'Portefeuille SP2'!#REF!,"G",'Portefeuille SP2'!$D:$D,$A99,'Portefeuille SP2'!#REF!,"o",'Portefeuille SP2'!#REF!,"=")</f>
        <v>#REF!</v>
      </c>
      <c r="AC99" s="117" t="e">
        <f>SUMIFS('Portefeuille SP2'!#REF!,'Portefeuille SP2'!#REF!,1,'Portefeuille SP2'!$Q:$Q,"DECIDED",'Portefeuille SP2'!#REF!,"G",'Portefeuille SP2'!$D:$D,$A99,'Portefeuille SP2'!#REF!,"o",'Portefeuille SP2'!#REF!,"=")</f>
        <v>#REF!</v>
      </c>
      <c r="AD99" s="111" t="e">
        <f>SUMIFS('Portefeuille SP2'!$U:$U,'Portefeuille SP2'!#REF!,1,'Portefeuille SP2'!$Q:$Q,"DECIDED",'Portefeuille SP2'!#REF!,"R",'Portefeuille SP2'!$D:$D,$A99,'Portefeuille SP2'!#REF!,"o",'Portefeuille SP2'!#REF!,"=")</f>
        <v>#REF!</v>
      </c>
      <c r="AE99" s="126" t="e">
        <f>SUMIFS('Portefeuille SP2'!#REF!,'Portefeuille SP2'!#REF!,1,'Portefeuille SP2'!$Q:$Q,"DECIDED",'Portefeuille SP2'!#REF!,"R",'Portefeuille SP2'!$D:$D,$A99,'Portefeuille SP2'!#REF!,"o",'Portefeuille SP2'!#REF!,"=")</f>
        <v>#REF!</v>
      </c>
      <c r="AF99" s="117" t="e">
        <f>SUMIFS('Portefeuille SP2'!#REF!,'Portefeuille SP2'!#REF!,1,'Portefeuille SP2'!$Q:$Q,"DECIDED",'Portefeuille SP2'!#REF!,"R",'Portefeuille SP2'!$D:$D,$A99,'Portefeuille SP2'!#REF!,"o",'Portefeuille SP2'!#REF!,"=")</f>
        <v>#REF!</v>
      </c>
      <c r="AG99" s="111" t="e">
        <f>SUMIFS('Portefeuille SP2'!$U:$U,'Portefeuille SP2'!#REF!,1,'Portefeuille SP2'!$Q:$Q,"DECIDED",'Portefeuille SP2'!#REF!,"G",'Portefeuille SP2'!$D:$D,$A99,'Portefeuille SP2'!#REF!,"o",'Portefeuille SP2'!#REF!,"&lt;&gt;")</f>
        <v>#REF!</v>
      </c>
      <c r="AH99" s="126" t="e">
        <f>SUMIFS('Portefeuille SP2'!#REF!,'Portefeuille SP2'!#REF!,1,'Portefeuille SP2'!$Q:$Q,"DECIDED",'Portefeuille SP2'!#REF!,"G",'Portefeuille SP2'!$D:$D,$A99,'Portefeuille SP2'!#REF!,"o",'Portefeuille SP2'!#REF!,"&lt;&gt;")</f>
        <v>#REF!</v>
      </c>
      <c r="AI99" s="117" t="e">
        <f>SUMIFS('Portefeuille SP2'!#REF!,'Portefeuille SP2'!#REF!,1,'Portefeuille SP2'!$Q:$Q,"DECIDED",'Portefeuille SP2'!#REF!,"G",'Portefeuille SP2'!$D:$D,$A99,'Portefeuille SP2'!#REF!,"o",'Portefeuille SP2'!#REF!,"&lt;&gt;")</f>
        <v>#REF!</v>
      </c>
      <c r="AJ99" s="111" t="e">
        <f>SUMIFS('Portefeuille SP2'!$U:$U,'Portefeuille SP2'!#REF!,1,'Portefeuille SP2'!$Q:$Q,"DECIDED",'Portefeuille SP2'!#REF!,"R",'Portefeuille SP2'!$D:$D,$A99,'Portefeuille SP2'!#REF!,"o",'Portefeuille SP2'!#REF!,"&lt;&gt;")</f>
        <v>#REF!</v>
      </c>
      <c r="AK99" s="126" t="e">
        <f>SUMIFS('Portefeuille SP2'!#REF!,'Portefeuille SP2'!#REF!,1,'Portefeuille SP2'!$Q:$Q,"DECIDED",'Portefeuille SP2'!#REF!,"R",'Portefeuille SP2'!$D:$D,$A99,'Portefeuille SP2'!#REF!,"o",'Portefeuille SP2'!#REF!,"&lt;&gt;")</f>
        <v>#REF!</v>
      </c>
      <c r="AL99" s="117" t="e">
        <f>SUMIFS('Portefeuille SP2'!#REF!,'Portefeuille SP2'!#REF!,1,'Portefeuille SP2'!$Q:$Q,"DECIDED",'Portefeuille SP2'!#REF!,"R",'Portefeuille SP2'!$D:$D,$A99,'Portefeuille SP2'!#REF!,"o",'Portefeuille SP2'!#REF!,"&lt;&gt;")</f>
        <v>#REF!</v>
      </c>
      <c r="AM99" s="117"/>
      <c r="AN99" t="s">
        <v>1314</v>
      </c>
      <c r="AO99" s="111" t="e">
        <f t="shared" ref="AO99" si="613">B106</f>
        <v>#REF!</v>
      </c>
      <c r="AP99" s="126" t="e">
        <f t="shared" ref="AP99" si="614">C106</f>
        <v>#REF!</v>
      </c>
      <c r="AQ99" s="122" t="e">
        <f t="shared" ref="AQ99" si="615">D106</f>
        <v>#REF!</v>
      </c>
      <c r="AR99" s="112" t="e">
        <f t="shared" ref="AR99" si="616">E106</f>
        <v>#REF!</v>
      </c>
      <c r="AS99" s="126" t="e">
        <f t="shared" ref="AS99" si="617">F106</f>
        <v>#REF!</v>
      </c>
      <c r="AT99" s="122" t="e">
        <f t="shared" ref="AT99" si="618">G106</f>
        <v>#REF!</v>
      </c>
      <c r="AU99" s="112" t="e">
        <f t="shared" si="531"/>
        <v>#REF!</v>
      </c>
      <c r="AV99" s="126" t="e">
        <f t="shared" si="500"/>
        <v>#REF!</v>
      </c>
      <c r="AW99" s="122" t="e">
        <f t="shared" si="501"/>
        <v>#REF!</v>
      </c>
      <c r="AX99" s="111" t="e">
        <f t="shared" ref="AX99" si="619">H106</f>
        <v>#REF!</v>
      </c>
      <c r="AY99" s="126" t="e">
        <f t="shared" ref="AY99" si="620">I106</f>
        <v>#REF!</v>
      </c>
      <c r="AZ99" s="122" t="e">
        <f t="shared" ref="AZ99" si="621">J106</f>
        <v>#REF!</v>
      </c>
      <c r="BA99" s="111" t="e">
        <f t="shared" ref="BA99" si="622">K106</f>
        <v>#REF!</v>
      </c>
      <c r="BB99" s="126" t="e">
        <f t="shared" ref="BB99" si="623">L106</f>
        <v>#REF!</v>
      </c>
      <c r="BC99" s="122" t="e">
        <f t="shared" ref="BC99" si="624">M106</f>
        <v>#REF!</v>
      </c>
      <c r="BD99" s="112" t="e">
        <f t="shared" si="538"/>
        <v>#REF!</v>
      </c>
      <c r="BE99" s="126" t="e">
        <f t="shared" si="508"/>
        <v>#REF!</v>
      </c>
      <c r="BF99" s="122" t="e">
        <f t="shared" si="509"/>
        <v>#REF!</v>
      </c>
      <c r="BH99" s="111" t="e">
        <f>U106</f>
        <v>#REF!</v>
      </c>
      <c r="BI99" s="126" t="e">
        <f t="shared" ref="BI99" si="625">V106</f>
        <v>#REF!</v>
      </c>
      <c r="BJ99" s="122" t="e">
        <f t="shared" ref="BJ99" si="626">W106</f>
        <v>#REF!</v>
      </c>
      <c r="BK99" s="111" t="e">
        <f t="shared" ref="BK99" si="627">X106</f>
        <v>#REF!</v>
      </c>
      <c r="BL99" s="126" t="e">
        <f t="shared" ref="BL99" si="628">Y106</f>
        <v>#REF!</v>
      </c>
      <c r="BM99" s="122" t="e">
        <f t="shared" ref="BM99" si="629">Z106</f>
        <v>#REF!</v>
      </c>
      <c r="BN99" s="112" t="e">
        <f t="shared" si="544"/>
        <v>#REF!</v>
      </c>
      <c r="BO99" s="126" t="e">
        <f t="shared" si="515"/>
        <v>#REF!</v>
      </c>
      <c r="BP99" s="122" t="e">
        <f t="shared" si="516"/>
        <v>#REF!</v>
      </c>
      <c r="BQ99" s="111" t="e">
        <f t="shared" ref="BQ99" si="630">AA106</f>
        <v>#REF!</v>
      </c>
      <c r="BR99" s="126" t="e">
        <f t="shared" ref="BR99" si="631">AB106</f>
        <v>#REF!</v>
      </c>
      <c r="BS99" s="122" t="e">
        <f t="shared" ref="BS99" si="632">AC106</f>
        <v>#REF!</v>
      </c>
      <c r="BT99" s="111" t="e">
        <f t="shared" ref="BT99" si="633">AD106</f>
        <v>#REF!</v>
      </c>
      <c r="BU99" s="126" t="e">
        <f t="shared" ref="BU99" si="634">AE106</f>
        <v>#REF!</v>
      </c>
      <c r="BV99" s="122" t="e">
        <f t="shared" ref="BV99" si="635">AF106</f>
        <v>#REF!</v>
      </c>
      <c r="BW99" s="111" t="e">
        <f t="shared" si="551"/>
        <v>#REF!</v>
      </c>
      <c r="BX99" s="126" t="e">
        <f t="shared" si="523"/>
        <v>#REF!</v>
      </c>
      <c r="BY99" s="122" t="e">
        <f t="shared" si="524"/>
        <v>#REF!</v>
      </c>
    </row>
    <row r="100" spans="1:77" outlineLevel="1">
      <c r="A100" t="s">
        <v>1315</v>
      </c>
      <c r="B100" s="139" t="e">
        <f>SUMIFS('Portefeuille SP2'!$U:$U,'Portefeuille SP2'!#REF!,1,'Portefeuille SP2'!$Q:$Q,"IN PROGRESS",'Portefeuille SP2'!#REF!,"G",'Portefeuille SP2'!$D:$D,$A100,'Portefeuille SP2'!#REF!,"S")</f>
        <v>#REF!</v>
      </c>
      <c r="C100" s="126" t="e">
        <f>SUMIFS('Portefeuille SP2'!#REF!,'Portefeuille SP2'!#REF!,1,'Portefeuille SP2'!$Q:$Q,"IN PROGRESS",'Portefeuille SP2'!#REF!,"G",'Portefeuille SP2'!$D:$D,$A100,'Portefeuille SP2'!#REF!,"S")</f>
        <v>#REF!</v>
      </c>
      <c r="D100" s="122" t="e">
        <f>SUMIFS('Portefeuille SP2'!#REF!,'Portefeuille SP2'!#REF!,1,'Portefeuille SP2'!$Q:$Q,"IN PROGRESS",'Portefeuille SP2'!#REF!,"G",'Portefeuille SP2'!$D:$D,$A100,'Portefeuille SP2'!#REF!,"S")</f>
        <v>#REF!</v>
      </c>
      <c r="E100" s="111" t="e">
        <f>SUMIFS('Portefeuille SP2'!$U:$U,'Portefeuille SP2'!#REF!,1,'Portefeuille SP2'!$Q:$Q,"IN PROGRESS",'Portefeuille SP2'!#REF!,"R",'Portefeuille SP2'!$D:$D,$A100,'Portefeuille SP2'!#REF!,"S")</f>
        <v>#REF!</v>
      </c>
      <c r="F100" s="126" t="e">
        <f>SUMIFS('Portefeuille SP2'!#REF!,'Portefeuille SP2'!#REF!,1,'Portefeuille SP2'!$Q:$Q,"IN PROGRESS",'Portefeuille SP2'!#REF!,"R",'Portefeuille SP2'!$D:$D,$A100,'Portefeuille SP2'!#REF!,"S")</f>
        <v>#REF!</v>
      </c>
      <c r="G100" s="117" t="e">
        <f>SUMIFS('Portefeuille SP2'!#REF!,'Portefeuille SP2'!#REF!,1,'Portefeuille SP2'!$Q:$Q,"IN PROGRESS",'Portefeuille SP2'!#REF!,"R",'Portefeuille SP2'!$D:$D,$A100,'Portefeuille SP2'!#REF!,"S")</f>
        <v>#REF!</v>
      </c>
      <c r="H100" s="111" t="e">
        <f>SUMIFS('Portefeuille SP2'!$U:$U,'Portefeuille SP2'!#REF!,1,'Portefeuille SP2'!$Q:$Q,"DECIDED",'Portefeuille SP2'!#REF!,"G",'Portefeuille SP2'!$D:$D,$A100,'Portefeuille SP2'!#REF!,"S",'Portefeuille SP2'!#REF!,"=")</f>
        <v>#REF!</v>
      </c>
      <c r="I100" s="117" t="e">
        <f>SUMIFS('Portefeuille SP2'!#REF!,'Portefeuille SP2'!#REF!,1,'Portefeuille SP2'!$Q:$Q,"DECIDED",'Portefeuille SP2'!#REF!,"G",'Portefeuille SP2'!$D:$D,$A100,'Portefeuille SP2'!#REF!,"S",'Portefeuille SP2'!#REF!,"=")</f>
        <v>#REF!</v>
      </c>
      <c r="J100" s="117" t="e">
        <f>SUMIFS('Portefeuille SP2'!#REF!,'Portefeuille SP2'!#REF!,1,'Portefeuille SP2'!$Q:$Q,"DECIDED",'Portefeuille SP2'!#REF!,"G",'Portefeuille SP2'!$D:$D,$A100,'Portefeuille SP2'!#REF!,"S",'Portefeuille SP2'!#REF!,"=")</f>
        <v>#REF!</v>
      </c>
      <c r="K100" s="111" t="e">
        <f>SUMIFS('Portefeuille SP2'!$U:$U,'Portefeuille SP2'!#REF!,1,'Portefeuille SP2'!$Q:$Q,"DECIDED",'Portefeuille SP2'!#REF!,"R",'Portefeuille SP2'!$D:$D,$A100,'Portefeuille SP2'!#REF!,"S",'Portefeuille SP2'!#REF!,"=")</f>
        <v>#REF!</v>
      </c>
      <c r="L100" s="126" t="e">
        <f>SUMIFS('Portefeuille SP2'!#REF!,'Portefeuille SP2'!#REF!,1,'Portefeuille SP2'!$Q:$Q,"DECIDED",'Portefeuille SP2'!#REF!,"R",'Portefeuille SP2'!$D:$D,$A100,'Portefeuille SP2'!#REF!,"S",'Portefeuille SP2'!#REF!,"=")</f>
        <v>#REF!</v>
      </c>
      <c r="M100" s="117" t="e">
        <f>SUMIFS('Portefeuille SP2'!#REF!,'Portefeuille SP2'!#REF!,1,'Portefeuille SP2'!$Q:$Q,"DECIDED",'Portefeuille SP2'!#REF!,"R",'Portefeuille SP2'!$D:$D,$A100,'Portefeuille SP2'!#REF!,"S",'Portefeuille SP2'!#REF!,"=")</f>
        <v>#REF!</v>
      </c>
      <c r="N100" s="111" t="e">
        <f>SUMIFS('Portefeuille SP2'!$U:$U,'Portefeuille SP2'!#REF!,1,'Portefeuille SP2'!$Q:$Q,"DECIDED",'Portefeuille SP2'!#REF!,"G",'Portefeuille SP2'!$D:$D,$A100,'Portefeuille SP2'!#REF!,"S",'Portefeuille SP2'!#REF!,"&lt;&gt;")</f>
        <v>#REF!</v>
      </c>
      <c r="O100" s="126" t="e">
        <f>SUMIFS('Portefeuille SP2'!#REF!,'Portefeuille SP2'!#REF!,1,'Portefeuille SP2'!$Q:$Q,"DECIDED",'Portefeuille SP2'!#REF!,"G",'Portefeuille SP2'!$D:$D,$A100,'Portefeuille SP2'!#REF!,"S",'Portefeuille SP2'!#REF!,"&lt;&gt;")</f>
        <v>#REF!</v>
      </c>
      <c r="P100" s="117" t="e">
        <f>SUMIFS('Portefeuille SP2'!#REF!,'Portefeuille SP2'!#REF!,1,'Portefeuille SP2'!$Q:$Q,"DECIDED",'Portefeuille SP2'!#REF!,"G",'Portefeuille SP2'!$D:$D,$A100,'Portefeuille SP2'!#REF!,"S",'Portefeuille SP2'!#REF!,"&lt;&gt;")</f>
        <v>#REF!</v>
      </c>
      <c r="Q100" s="111" t="e">
        <f>SUMIFS('Portefeuille SP2'!$U:$U,'Portefeuille SP2'!#REF!,1,'Portefeuille SP2'!$Q:$Q,"DECIDED",'Portefeuille SP2'!#REF!,"R",'Portefeuille SP2'!$D:$D,$A100,'Portefeuille SP2'!#REF!,"S",'Portefeuille SP2'!#REF!,"&lt;&gt;")</f>
        <v>#REF!</v>
      </c>
      <c r="R100" s="126" t="e">
        <f>SUMIFS('Portefeuille SP2'!#REF!,'Portefeuille SP2'!#REF!,1,'Portefeuille SP2'!$Q:$Q,"DECIDED",'Portefeuille SP2'!#REF!,"R",'Portefeuille SP2'!$D:$D,$A100,'Portefeuille SP2'!#REF!,"S",'Portefeuille SP2'!#REF!,"&lt;&gt;")</f>
        <v>#REF!</v>
      </c>
      <c r="S100" s="122" t="e">
        <f>SUMIFS('Portefeuille SP2'!#REF!,'Portefeuille SP2'!#REF!,1,'Portefeuille SP2'!$Q:$Q,"DECIDED",'Portefeuille SP2'!#REF!,"R",'Portefeuille SP2'!$D:$D,$A100,'Portefeuille SP2'!#REF!,"S",'Portefeuille SP2'!#REF!,"&lt;&gt;")</f>
        <v>#REF!</v>
      </c>
      <c r="U100" s="111" t="e">
        <f>SUMIFS('Portefeuille SP2'!$U:$U,'Portefeuille SP2'!#REF!,1,'Portefeuille SP2'!$Q:$Q,"IN PROGRESS",'Portefeuille SP2'!#REF!,"G",'Portefeuille SP2'!$D:$D,$A100,'Portefeuille SP2'!#REF!,"O")</f>
        <v>#REF!</v>
      </c>
      <c r="V100" s="126" t="e">
        <f>SUMIFS('Portefeuille SP2'!#REF!,'Portefeuille SP2'!#REF!,1,'Portefeuille SP2'!$Q:$Q,"IN PROGRESS",'Portefeuille SP2'!#REF!,"G",'Portefeuille SP2'!$D:$D,$A100,'Portefeuille SP2'!#REF!,"o")</f>
        <v>#REF!</v>
      </c>
      <c r="W100" s="117" t="e">
        <f>SUMIFS('Portefeuille SP2'!#REF!,'Portefeuille SP2'!#REF!,1,'Portefeuille SP2'!$Q:$Q,"IN PROGRESS",'Portefeuille SP2'!#REF!,"G",'Portefeuille SP2'!$D:$D,$A100,'Portefeuille SP2'!#REF!,"o")</f>
        <v>#REF!</v>
      </c>
      <c r="X100" s="111" t="e">
        <f>SUMIFS('Portefeuille SP2'!$U:$U,'Portefeuille SP2'!#REF!,1,'Portefeuille SP2'!$Q:$Q,"IN PROGRESS",'Portefeuille SP2'!#REF!,"R",'Portefeuille SP2'!$D:$D,$A100,'Portefeuille SP2'!#REF!,"o")</f>
        <v>#REF!</v>
      </c>
      <c r="Y100" s="126" t="e">
        <f>SUMIFS('Portefeuille SP2'!#REF!,'Portefeuille SP2'!#REF!,1,'Portefeuille SP2'!$Q:$Q,"IN PROGRESS",'Portefeuille SP2'!#REF!,"R",'Portefeuille SP2'!$D:$D,$A100,'Portefeuille SP2'!#REF!,"o")</f>
        <v>#REF!</v>
      </c>
      <c r="Z100" s="117" t="e">
        <f>SUMIFS('Portefeuille SP2'!#REF!,'Portefeuille SP2'!#REF!,1,'Portefeuille SP2'!$Q:$Q,"IN PROGRESS",'Portefeuille SP2'!#REF!,"R",'Portefeuille SP2'!$D:$D,$A100,'Portefeuille SP2'!#REF!,"o")</f>
        <v>#REF!</v>
      </c>
      <c r="AA100" s="111" t="e">
        <f>SUMIFS('Portefeuille SP2'!$U:$U,'Portefeuille SP2'!#REF!,1,'Portefeuille SP2'!$Q:$Q,"DECIDED",'Portefeuille SP2'!#REF!,"G",'Portefeuille SP2'!$D:$D,$A100,'Portefeuille SP2'!#REF!,"o",'Portefeuille SP2'!#REF!,"=")</f>
        <v>#REF!</v>
      </c>
      <c r="AB100" s="126" t="e">
        <f>SUMIFS('Portefeuille SP2'!#REF!,'Portefeuille SP2'!#REF!,1,'Portefeuille SP2'!$Q:$Q,"DECIDED",'Portefeuille SP2'!#REF!,"G",'Portefeuille SP2'!$D:$D,$A100,'Portefeuille SP2'!#REF!,"o",'Portefeuille SP2'!#REF!,"=")</f>
        <v>#REF!</v>
      </c>
      <c r="AC100" s="117" t="e">
        <f>SUMIFS('Portefeuille SP2'!#REF!,'Portefeuille SP2'!#REF!,1,'Portefeuille SP2'!$Q:$Q,"DECIDED",'Portefeuille SP2'!#REF!,"G",'Portefeuille SP2'!$D:$D,$A100,'Portefeuille SP2'!#REF!,"o",'Portefeuille SP2'!#REF!,"=")</f>
        <v>#REF!</v>
      </c>
      <c r="AD100" s="111" t="e">
        <f>SUMIFS('Portefeuille SP2'!$U:$U,'Portefeuille SP2'!#REF!,1,'Portefeuille SP2'!$Q:$Q,"DECIDED",'Portefeuille SP2'!#REF!,"R",'Portefeuille SP2'!$D:$D,$A100,'Portefeuille SP2'!#REF!,"o",'Portefeuille SP2'!#REF!,"=")</f>
        <v>#REF!</v>
      </c>
      <c r="AE100" s="126" t="e">
        <f>SUMIFS('Portefeuille SP2'!#REF!,'Portefeuille SP2'!#REF!,1,'Portefeuille SP2'!$Q:$Q,"DECIDED",'Portefeuille SP2'!#REF!,"R",'Portefeuille SP2'!$D:$D,$A100,'Portefeuille SP2'!#REF!,"o",'Portefeuille SP2'!#REF!,"=")</f>
        <v>#REF!</v>
      </c>
      <c r="AF100" s="117" t="e">
        <f>SUMIFS('Portefeuille SP2'!#REF!,'Portefeuille SP2'!#REF!,1,'Portefeuille SP2'!$Q:$Q,"DECIDED",'Portefeuille SP2'!#REF!,"R",'Portefeuille SP2'!$D:$D,$A100,'Portefeuille SP2'!#REF!,"o",'Portefeuille SP2'!#REF!,"=")</f>
        <v>#REF!</v>
      </c>
      <c r="AG100" s="111" t="e">
        <f>SUMIFS('Portefeuille SP2'!$U:$U,'Portefeuille SP2'!#REF!,1,'Portefeuille SP2'!$Q:$Q,"DECIDED",'Portefeuille SP2'!#REF!,"G",'Portefeuille SP2'!$D:$D,$A100,'Portefeuille SP2'!#REF!,"o",'Portefeuille SP2'!#REF!,"&lt;&gt;")</f>
        <v>#REF!</v>
      </c>
      <c r="AH100" s="126" t="e">
        <f>SUMIFS('Portefeuille SP2'!#REF!,'Portefeuille SP2'!#REF!,1,'Portefeuille SP2'!$Q:$Q,"DECIDED",'Portefeuille SP2'!#REF!,"G",'Portefeuille SP2'!$D:$D,$A100,'Portefeuille SP2'!#REF!,"o",'Portefeuille SP2'!#REF!,"&lt;&gt;")</f>
        <v>#REF!</v>
      </c>
      <c r="AI100" s="117" t="e">
        <f>SUMIFS('Portefeuille SP2'!#REF!,'Portefeuille SP2'!#REF!,1,'Portefeuille SP2'!$Q:$Q,"DECIDED",'Portefeuille SP2'!#REF!,"G",'Portefeuille SP2'!$D:$D,$A100,'Portefeuille SP2'!#REF!,"o",'Portefeuille SP2'!#REF!,"&lt;&gt;")</f>
        <v>#REF!</v>
      </c>
      <c r="AJ100" s="111" t="e">
        <f>SUMIFS('Portefeuille SP2'!$U:$U,'Portefeuille SP2'!#REF!,1,'Portefeuille SP2'!$Q:$Q,"DECIDED",'Portefeuille SP2'!#REF!,"R",'Portefeuille SP2'!$D:$D,$A100,'Portefeuille SP2'!#REF!,"o",'Portefeuille SP2'!#REF!,"&lt;&gt;")</f>
        <v>#REF!</v>
      </c>
      <c r="AK100" s="126" t="e">
        <f>SUMIFS('Portefeuille SP2'!#REF!,'Portefeuille SP2'!#REF!,1,'Portefeuille SP2'!$Q:$Q,"DECIDED",'Portefeuille SP2'!#REF!,"R",'Portefeuille SP2'!$D:$D,$A100,'Portefeuille SP2'!#REF!,"o",'Portefeuille SP2'!#REF!,"&lt;&gt;")</f>
        <v>#REF!</v>
      </c>
      <c r="AL100" s="117" t="e">
        <f>SUMIFS('Portefeuille SP2'!#REF!,'Portefeuille SP2'!#REF!,1,'Portefeuille SP2'!$Q:$Q,"DECIDED",'Portefeuille SP2'!#REF!,"R",'Portefeuille SP2'!$D:$D,$A100,'Portefeuille SP2'!#REF!,"o",'Portefeuille SP2'!#REF!,"&lt;&gt;")</f>
        <v>#REF!</v>
      </c>
      <c r="AM100" s="117"/>
      <c r="AN100" t="s">
        <v>1316</v>
      </c>
      <c r="AO100" s="111" t="e">
        <f t="shared" ref="AO100" si="636">B96+B109</f>
        <v>#REF!</v>
      </c>
      <c r="AP100" s="126" t="e">
        <f t="shared" ref="AP100" si="637">C96+C109</f>
        <v>#REF!</v>
      </c>
      <c r="AQ100" s="122" t="e">
        <f t="shared" ref="AQ100" si="638">D96+D109</f>
        <v>#REF!</v>
      </c>
      <c r="AR100" s="112" t="e">
        <f t="shared" ref="AR100" si="639">E96+E109</f>
        <v>#REF!</v>
      </c>
      <c r="AS100" s="126" t="e">
        <f t="shared" ref="AS100" si="640">F96+F109</f>
        <v>#REF!</v>
      </c>
      <c r="AT100" s="122" t="e">
        <f t="shared" ref="AT100" si="641">G96+G109</f>
        <v>#REF!</v>
      </c>
      <c r="AU100" s="112" t="e">
        <f t="shared" si="531"/>
        <v>#REF!</v>
      </c>
      <c r="AV100" s="126" t="e">
        <f t="shared" si="500"/>
        <v>#REF!</v>
      </c>
      <c r="AW100" s="122" t="e">
        <f t="shared" si="501"/>
        <v>#REF!</v>
      </c>
      <c r="AX100" s="111" t="e">
        <f t="shared" ref="AX100" si="642">H96+H109</f>
        <v>#REF!</v>
      </c>
      <c r="AY100" s="126" t="e">
        <f t="shared" ref="AY100" si="643">I96+I109</f>
        <v>#REF!</v>
      </c>
      <c r="AZ100" s="122" t="e">
        <f t="shared" ref="AZ100" si="644">J96+J109</f>
        <v>#REF!</v>
      </c>
      <c r="BA100" s="111" t="e">
        <f t="shared" ref="BA100" si="645">K96+K109</f>
        <v>#REF!</v>
      </c>
      <c r="BB100" s="126" t="e">
        <f t="shared" ref="BB100" si="646">L96+L109</f>
        <v>#REF!</v>
      </c>
      <c r="BC100" s="122" t="e">
        <f t="shared" ref="BC100" si="647">M96+M109</f>
        <v>#REF!</v>
      </c>
      <c r="BD100" s="112" t="e">
        <f t="shared" si="538"/>
        <v>#REF!</v>
      </c>
      <c r="BE100" s="126" t="e">
        <f t="shared" si="508"/>
        <v>#REF!</v>
      </c>
      <c r="BF100" s="122" t="e">
        <f t="shared" si="509"/>
        <v>#REF!</v>
      </c>
      <c r="BH100" s="111" t="e">
        <f>U96+U109</f>
        <v>#REF!</v>
      </c>
      <c r="BI100" s="126" t="e">
        <f t="shared" ref="BI100" si="648">V96+V109</f>
        <v>#REF!</v>
      </c>
      <c r="BJ100" s="122" t="e">
        <f t="shared" ref="BJ100" si="649">W96+W109</f>
        <v>#REF!</v>
      </c>
      <c r="BK100" s="111" t="e">
        <f t="shared" ref="BK100" si="650">X96+X109</f>
        <v>#REF!</v>
      </c>
      <c r="BL100" s="126" t="e">
        <f t="shared" ref="BL100" si="651">Y96+Y109</f>
        <v>#REF!</v>
      </c>
      <c r="BM100" s="122" t="e">
        <f t="shared" ref="BM100" si="652">Z96+Z109</f>
        <v>#REF!</v>
      </c>
      <c r="BN100" s="112" t="e">
        <f t="shared" si="544"/>
        <v>#REF!</v>
      </c>
      <c r="BO100" s="126" t="e">
        <f t="shared" si="515"/>
        <v>#REF!</v>
      </c>
      <c r="BP100" s="122" t="e">
        <f t="shared" si="516"/>
        <v>#REF!</v>
      </c>
      <c r="BQ100" s="111" t="e">
        <f t="shared" ref="BQ100" si="653">AA96+AA109</f>
        <v>#REF!</v>
      </c>
      <c r="BR100" s="126" t="e">
        <f t="shared" ref="BR100" si="654">AB96+AB109</f>
        <v>#REF!</v>
      </c>
      <c r="BS100" s="122" t="e">
        <f t="shared" ref="BS100" si="655">AC96+AC109</f>
        <v>#REF!</v>
      </c>
      <c r="BT100" s="111" t="e">
        <f t="shared" ref="BT100" si="656">AD96+AD109</f>
        <v>#REF!</v>
      </c>
      <c r="BU100" s="126" t="e">
        <f t="shared" ref="BU100" si="657">AE96+AE109</f>
        <v>#REF!</v>
      </c>
      <c r="BV100" s="122" t="e">
        <f t="shared" ref="BV100" si="658">AF96+AF109</f>
        <v>#REF!</v>
      </c>
      <c r="BW100" s="111" t="e">
        <f t="shared" si="551"/>
        <v>#REF!</v>
      </c>
      <c r="BX100" s="126" t="e">
        <f t="shared" si="523"/>
        <v>#REF!</v>
      </c>
      <c r="BY100" s="122" t="e">
        <f t="shared" si="524"/>
        <v>#REF!</v>
      </c>
    </row>
    <row r="101" spans="1:77" outlineLevel="1">
      <c r="A101" t="s">
        <v>1308</v>
      </c>
      <c r="B101" s="139" t="e">
        <f>SUMIFS('Portefeuille SP2'!$U:$U,'Portefeuille SP2'!#REF!,1,'Portefeuille SP2'!$Q:$Q,"IN PROGRESS",'Portefeuille SP2'!#REF!,"G",'Portefeuille SP2'!$D:$D,$A101,'Portefeuille SP2'!#REF!,"S")</f>
        <v>#REF!</v>
      </c>
      <c r="C101" s="126" t="e">
        <f>SUMIFS('Portefeuille SP2'!#REF!,'Portefeuille SP2'!#REF!,1,'Portefeuille SP2'!$Q:$Q,"IN PROGRESS",'Portefeuille SP2'!#REF!,"G",'Portefeuille SP2'!$D:$D,$A101,'Portefeuille SP2'!#REF!,"S")</f>
        <v>#REF!</v>
      </c>
      <c r="D101" s="122" t="e">
        <f>SUMIFS('Portefeuille SP2'!#REF!,'Portefeuille SP2'!#REF!,1,'Portefeuille SP2'!$Q:$Q,"IN PROGRESS",'Portefeuille SP2'!#REF!,"G",'Portefeuille SP2'!$D:$D,$A101,'Portefeuille SP2'!#REF!,"S")</f>
        <v>#REF!</v>
      </c>
      <c r="E101" s="111" t="e">
        <f>SUMIFS('Portefeuille SP2'!$U:$U,'Portefeuille SP2'!#REF!,1,'Portefeuille SP2'!$Q:$Q,"IN PROGRESS",'Portefeuille SP2'!#REF!,"R",'Portefeuille SP2'!$D:$D,$A101,'Portefeuille SP2'!#REF!,"S")</f>
        <v>#REF!</v>
      </c>
      <c r="F101" s="126" t="e">
        <f>SUMIFS('Portefeuille SP2'!#REF!,'Portefeuille SP2'!#REF!,1,'Portefeuille SP2'!$Q:$Q,"IN PROGRESS",'Portefeuille SP2'!#REF!,"R",'Portefeuille SP2'!$D:$D,$A101,'Portefeuille SP2'!#REF!,"S")</f>
        <v>#REF!</v>
      </c>
      <c r="G101" s="117" t="e">
        <f>SUMIFS('Portefeuille SP2'!#REF!,'Portefeuille SP2'!#REF!,1,'Portefeuille SP2'!$Q:$Q,"IN PROGRESS",'Portefeuille SP2'!#REF!,"R",'Portefeuille SP2'!$D:$D,$A101,'Portefeuille SP2'!#REF!,"S")</f>
        <v>#REF!</v>
      </c>
      <c r="H101" s="111" t="e">
        <f>SUMIFS('Portefeuille SP2'!$U:$U,'Portefeuille SP2'!#REF!,1,'Portefeuille SP2'!$Q:$Q,"DECIDED",'Portefeuille SP2'!#REF!,"G",'Portefeuille SP2'!$D:$D,$A101,'Portefeuille SP2'!#REF!,"S",'Portefeuille SP2'!#REF!,"=")</f>
        <v>#REF!</v>
      </c>
      <c r="I101" s="117" t="e">
        <f>SUMIFS('Portefeuille SP2'!#REF!,'Portefeuille SP2'!#REF!,1,'Portefeuille SP2'!$Q:$Q,"DECIDED",'Portefeuille SP2'!#REF!,"G",'Portefeuille SP2'!$D:$D,$A101,'Portefeuille SP2'!#REF!,"S",'Portefeuille SP2'!#REF!,"=")</f>
        <v>#REF!</v>
      </c>
      <c r="J101" s="117" t="e">
        <f>SUMIFS('Portefeuille SP2'!#REF!,'Portefeuille SP2'!#REF!,1,'Portefeuille SP2'!$Q:$Q,"DECIDED",'Portefeuille SP2'!#REF!,"G",'Portefeuille SP2'!$D:$D,$A101,'Portefeuille SP2'!#REF!,"S",'Portefeuille SP2'!#REF!,"=")</f>
        <v>#REF!</v>
      </c>
      <c r="K101" s="111" t="e">
        <f>SUMIFS('Portefeuille SP2'!$U:$U,'Portefeuille SP2'!#REF!,1,'Portefeuille SP2'!$Q:$Q,"DECIDED",'Portefeuille SP2'!#REF!,"R",'Portefeuille SP2'!$D:$D,$A101,'Portefeuille SP2'!#REF!,"S",'Portefeuille SP2'!#REF!,"=")</f>
        <v>#REF!</v>
      </c>
      <c r="L101" s="126" t="e">
        <f>SUMIFS('Portefeuille SP2'!#REF!,'Portefeuille SP2'!#REF!,1,'Portefeuille SP2'!$Q:$Q,"DECIDED",'Portefeuille SP2'!#REF!,"R",'Portefeuille SP2'!$D:$D,$A101,'Portefeuille SP2'!#REF!,"S",'Portefeuille SP2'!#REF!,"=")</f>
        <v>#REF!</v>
      </c>
      <c r="M101" s="117" t="e">
        <f>SUMIFS('Portefeuille SP2'!#REF!,'Portefeuille SP2'!#REF!,1,'Portefeuille SP2'!$Q:$Q,"DECIDED",'Portefeuille SP2'!#REF!,"R",'Portefeuille SP2'!$D:$D,$A101,'Portefeuille SP2'!#REF!,"S",'Portefeuille SP2'!#REF!,"=")</f>
        <v>#REF!</v>
      </c>
      <c r="N101" s="111" t="e">
        <f>SUMIFS('Portefeuille SP2'!$U:$U,'Portefeuille SP2'!#REF!,1,'Portefeuille SP2'!$Q:$Q,"DECIDED",'Portefeuille SP2'!#REF!,"G",'Portefeuille SP2'!$D:$D,$A101,'Portefeuille SP2'!#REF!,"S",'Portefeuille SP2'!#REF!,"&lt;&gt;")</f>
        <v>#REF!</v>
      </c>
      <c r="O101" s="126" t="e">
        <f>SUMIFS('Portefeuille SP2'!#REF!,'Portefeuille SP2'!#REF!,1,'Portefeuille SP2'!$Q:$Q,"DECIDED",'Portefeuille SP2'!#REF!,"G",'Portefeuille SP2'!$D:$D,$A101,'Portefeuille SP2'!#REF!,"S",'Portefeuille SP2'!#REF!,"&lt;&gt;")</f>
        <v>#REF!</v>
      </c>
      <c r="P101" s="117" t="e">
        <f>SUMIFS('Portefeuille SP2'!#REF!,'Portefeuille SP2'!#REF!,1,'Portefeuille SP2'!$Q:$Q,"DECIDED",'Portefeuille SP2'!#REF!,"G",'Portefeuille SP2'!$D:$D,$A101,'Portefeuille SP2'!#REF!,"S",'Portefeuille SP2'!#REF!,"&lt;&gt;")</f>
        <v>#REF!</v>
      </c>
      <c r="Q101" s="111" t="e">
        <f>SUMIFS('Portefeuille SP2'!$U:$U,'Portefeuille SP2'!#REF!,1,'Portefeuille SP2'!$Q:$Q,"DECIDED",'Portefeuille SP2'!#REF!,"R",'Portefeuille SP2'!$D:$D,$A101,'Portefeuille SP2'!#REF!,"S",'Portefeuille SP2'!#REF!,"&lt;&gt;")</f>
        <v>#REF!</v>
      </c>
      <c r="R101" s="126" t="e">
        <f>SUMIFS('Portefeuille SP2'!#REF!,'Portefeuille SP2'!#REF!,1,'Portefeuille SP2'!$Q:$Q,"DECIDED",'Portefeuille SP2'!#REF!,"R",'Portefeuille SP2'!$D:$D,$A101,'Portefeuille SP2'!#REF!,"S",'Portefeuille SP2'!#REF!,"&lt;&gt;")</f>
        <v>#REF!</v>
      </c>
      <c r="S101" s="122" t="e">
        <f>SUMIFS('Portefeuille SP2'!#REF!,'Portefeuille SP2'!#REF!,1,'Portefeuille SP2'!$Q:$Q,"DECIDED",'Portefeuille SP2'!#REF!,"R",'Portefeuille SP2'!$D:$D,$A101,'Portefeuille SP2'!#REF!,"S",'Portefeuille SP2'!#REF!,"&lt;&gt;")</f>
        <v>#REF!</v>
      </c>
      <c r="U101" s="111" t="e">
        <f>SUMIFS('Portefeuille SP2'!$U:$U,'Portefeuille SP2'!#REF!,1,'Portefeuille SP2'!$Q:$Q,"IN PROGRESS",'Portefeuille SP2'!#REF!,"G",'Portefeuille SP2'!$D:$D,$A101,'Portefeuille SP2'!#REF!,"O")</f>
        <v>#REF!</v>
      </c>
      <c r="V101" s="126" t="e">
        <f>SUMIFS('Portefeuille SP2'!#REF!,'Portefeuille SP2'!#REF!,1,'Portefeuille SP2'!$Q:$Q,"IN PROGRESS",'Portefeuille SP2'!#REF!,"G",'Portefeuille SP2'!$D:$D,$A101,'Portefeuille SP2'!#REF!,"o")</f>
        <v>#REF!</v>
      </c>
      <c r="W101" s="117" t="e">
        <f>SUMIFS('Portefeuille SP2'!#REF!,'Portefeuille SP2'!#REF!,1,'Portefeuille SP2'!$Q:$Q,"IN PROGRESS",'Portefeuille SP2'!#REF!,"G",'Portefeuille SP2'!$D:$D,$A101,'Portefeuille SP2'!#REF!,"o")</f>
        <v>#REF!</v>
      </c>
      <c r="X101" s="111" t="e">
        <f>SUMIFS('Portefeuille SP2'!$U:$U,'Portefeuille SP2'!#REF!,1,'Portefeuille SP2'!$Q:$Q,"IN PROGRESS",'Portefeuille SP2'!#REF!,"R",'Portefeuille SP2'!$D:$D,$A101,'Portefeuille SP2'!#REF!,"o")</f>
        <v>#REF!</v>
      </c>
      <c r="Y101" s="126" t="e">
        <f>SUMIFS('Portefeuille SP2'!#REF!,'Portefeuille SP2'!#REF!,1,'Portefeuille SP2'!$Q:$Q,"IN PROGRESS",'Portefeuille SP2'!#REF!,"R",'Portefeuille SP2'!$D:$D,$A101,'Portefeuille SP2'!#REF!,"o")</f>
        <v>#REF!</v>
      </c>
      <c r="Z101" s="117" t="e">
        <f>SUMIFS('Portefeuille SP2'!#REF!,'Portefeuille SP2'!#REF!,1,'Portefeuille SP2'!$Q:$Q,"IN PROGRESS",'Portefeuille SP2'!#REF!,"R",'Portefeuille SP2'!$D:$D,$A101,'Portefeuille SP2'!#REF!,"o")</f>
        <v>#REF!</v>
      </c>
      <c r="AA101" s="111" t="e">
        <f>SUMIFS('Portefeuille SP2'!$U:$U,'Portefeuille SP2'!#REF!,1,'Portefeuille SP2'!$Q:$Q,"DECIDED",'Portefeuille SP2'!#REF!,"G",'Portefeuille SP2'!$D:$D,$A101,'Portefeuille SP2'!#REF!,"o",'Portefeuille SP2'!#REF!,"=")</f>
        <v>#REF!</v>
      </c>
      <c r="AB101" s="126" t="e">
        <f>SUMIFS('Portefeuille SP2'!#REF!,'Portefeuille SP2'!#REF!,1,'Portefeuille SP2'!$Q:$Q,"DECIDED",'Portefeuille SP2'!#REF!,"G",'Portefeuille SP2'!$D:$D,$A101,'Portefeuille SP2'!#REF!,"o",'Portefeuille SP2'!#REF!,"=")</f>
        <v>#REF!</v>
      </c>
      <c r="AC101" s="117" t="e">
        <f>SUMIFS('Portefeuille SP2'!#REF!,'Portefeuille SP2'!#REF!,1,'Portefeuille SP2'!$Q:$Q,"DECIDED",'Portefeuille SP2'!#REF!,"G",'Portefeuille SP2'!$D:$D,$A101,'Portefeuille SP2'!#REF!,"o",'Portefeuille SP2'!#REF!,"=")</f>
        <v>#REF!</v>
      </c>
      <c r="AD101" s="111" t="e">
        <f>SUMIFS('Portefeuille SP2'!$U:$U,'Portefeuille SP2'!#REF!,1,'Portefeuille SP2'!$Q:$Q,"DECIDED",'Portefeuille SP2'!#REF!,"R",'Portefeuille SP2'!$D:$D,$A101,'Portefeuille SP2'!#REF!,"o",'Portefeuille SP2'!#REF!,"=")</f>
        <v>#REF!</v>
      </c>
      <c r="AE101" s="126" t="e">
        <f>SUMIFS('Portefeuille SP2'!#REF!,'Portefeuille SP2'!#REF!,1,'Portefeuille SP2'!$Q:$Q,"DECIDED",'Portefeuille SP2'!#REF!,"R",'Portefeuille SP2'!$D:$D,$A101,'Portefeuille SP2'!#REF!,"o",'Portefeuille SP2'!#REF!,"=")</f>
        <v>#REF!</v>
      </c>
      <c r="AF101" s="117" t="e">
        <f>SUMIFS('Portefeuille SP2'!#REF!,'Portefeuille SP2'!#REF!,1,'Portefeuille SP2'!$Q:$Q,"DECIDED",'Portefeuille SP2'!#REF!,"R",'Portefeuille SP2'!$D:$D,$A101,'Portefeuille SP2'!#REF!,"o",'Portefeuille SP2'!#REF!,"=")</f>
        <v>#REF!</v>
      </c>
      <c r="AG101" s="111" t="e">
        <f>SUMIFS('Portefeuille SP2'!$U:$U,'Portefeuille SP2'!#REF!,1,'Portefeuille SP2'!$Q:$Q,"DECIDED",'Portefeuille SP2'!#REF!,"G",'Portefeuille SP2'!$D:$D,$A101,'Portefeuille SP2'!#REF!,"o",'Portefeuille SP2'!#REF!,"&lt;&gt;")</f>
        <v>#REF!</v>
      </c>
      <c r="AH101" s="126" t="e">
        <f>SUMIFS('Portefeuille SP2'!#REF!,'Portefeuille SP2'!#REF!,1,'Portefeuille SP2'!$Q:$Q,"DECIDED",'Portefeuille SP2'!#REF!,"G",'Portefeuille SP2'!$D:$D,$A101,'Portefeuille SP2'!#REF!,"o",'Portefeuille SP2'!#REF!,"&lt;&gt;")</f>
        <v>#REF!</v>
      </c>
      <c r="AI101" s="117" t="e">
        <f>SUMIFS('Portefeuille SP2'!#REF!,'Portefeuille SP2'!#REF!,1,'Portefeuille SP2'!$Q:$Q,"DECIDED",'Portefeuille SP2'!#REF!,"G",'Portefeuille SP2'!$D:$D,$A101,'Portefeuille SP2'!#REF!,"o",'Portefeuille SP2'!#REF!,"&lt;&gt;")</f>
        <v>#REF!</v>
      </c>
      <c r="AJ101" s="111" t="e">
        <f>SUMIFS('Portefeuille SP2'!$U:$U,'Portefeuille SP2'!#REF!,1,'Portefeuille SP2'!$Q:$Q,"DECIDED",'Portefeuille SP2'!#REF!,"R",'Portefeuille SP2'!$D:$D,$A101,'Portefeuille SP2'!#REF!,"o",'Portefeuille SP2'!#REF!,"&lt;&gt;")</f>
        <v>#REF!</v>
      </c>
      <c r="AK101" s="126" t="e">
        <f>SUMIFS('Portefeuille SP2'!#REF!,'Portefeuille SP2'!#REF!,1,'Portefeuille SP2'!$Q:$Q,"DECIDED",'Portefeuille SP2'!#REF!,"R",'Portefeuille SP2'!$D:$D,$A101,'Portefeuille SP2'!#REF!,"o",'Portefeuille SP2'!#REF!,"&lt;&gt;")</f>
        <v>#REF!</v>
      </c>
      <c r="AL101" s="117" t="e">
        <f>SUMIFS('Portefeuille SP2'!#REF!,'Portefeuille SP2'!#REF!,1,'Portefeuille SP2'!$Q:$Q,"DECIDED",'Portefeuille SP2'!#REF!,"R",'Portefeuille SP2'!$D:$D,$A101,'Portefeuille SP2'!#REF!,"o",'Portefeuille SP2'!#REF!,"&lt;&gt;")</f>
        <v>#REF!</v>
      </c>
      <c r="AM101" s="117"/>
      <c r="AN101" t="s">
        <v>1317</v>
      </c>
      <c r="AO101" s="111" t="e">
        <f t="shared" ref="AO101" si="659">B114+B115</f>
        <v>#REF!</v>
      </c>
      <c r="AP101" s="126" t="e">
        <f t="shared" ref="AP101" si="660">C114+C115</f>
        <v>#REF!</v>
      </c>
      <c r="AQ101" s="122" t="e">
        <f t="shared" ref="AQ101" si="661">D114+D115</f>
        <v>#REF!</v>
      </c>
      <c r="AR101" s="112" t="e">
        <f t="shared" ref="AR101" si="662">E114+E115</f>
        <v>#REF!</v>
      </c>
      <c r="AS101" s="126" t="e">
        <f t="shared" ref="AS101" si="663">F114+F115</f>
        <v>#REF!</v>
      </c>
      <c r="AT101" s="122" t="e">
        <f t="shared" ref="AT101" si="664">G114+G115</f>
        <v>#REF!</v>
      </c>
      <c r="AU101" s="112" t="e">
        <f t="shared" si="531"/>
        <v>#REF!</v>
      </c>
      <c r="AV101" s="126" t="e">
        <f t="shared" si="500"/>
        <v>#REF!</v>
      </c>
      <c r="AW101" s="122" t="e">
        <f t="shared" si="501"/>
        <v>#REF!</v>
      </c>
      <c r="AX101" s="111" t="e">
        <f t="shared" ref="AX101" si="665">H114+H115</f>
        <v>#REF!</v>
      </c>
      <c r="AY101" s="126" t="e">
        <f t="shared" ref="AY101" si="666">I114+I115</f>
        <v>#REF!</v>
      </c>
      <c r="AZ101" s="122" t="e">
        <f t="shared" ref="AZ101" si="667">J114+J115</f>
        <v>#REF!</v>
      </c>
      <c r="BA101" s="111" t="e">
        <f t="shared" ref="BA101" si="668">K114+K115</f>
        <v>#REF!</v>
      </c>
      <c r="BB101" s="126" t="e">
        <f t="shared" ref="BB101" si="669">L114+L115</f>
        <v>#REF!</v>
      </c>
      <c r="BC101" s="122" t="e">
        <f t="shared" ref="BC101" si="670">M114+M115</f>
        <v>#REF!</v>
      </c>
      <c r="BD101" s="112" t="e">
        <f t="shared" si="538"/>
        <v>#REF!</v>
      </c>
      <c r="BE101" s="126" t="e">
        <f t="shared" si="508"/>
        <v>#REF!</v>
      </c>
      <c r="BF101" s="122" t="e">
        <f t="shared" si="509"/>
        <v>#REF!</v>
      </c>
      <c r="BH101" s="111" t="e">
        <f>U114+U115</f>
        <v>#REF!</v>
      </c>
      <c r="BI101" s="126" t="e">
        <f t="shared" ref="BI101" si="671">V114+V115</f>
        <v>#REF!</v>
      </c>
      <c r="BJ101" s="122" t="e">
        <f t="shared" ref="BJ101" si="672">W114+W115</f>
        <v>#REF!</v>
      </c>
      <c r="BK101" s="111" t="e">
        <f t="shared" ref="BK101" si="673">X114+X115</f>
        <v>#REF!</v>
      </c>
      <c r="BL101" s="126" t="e">
        <f t="shared" ref="BL101" si="674">Y114+Y115</f>
        <v>#REF!</v>
      </c>
      <c r="BM101" s="122" t="e">
        <f t="shared" ref="BM101" si="675">Z114+Z115</f>
        <v>#REF!</v>
      </c>
      <c r="BN101" s="112" t="e">
        <f t="shared" si="544"/>
        <v>#REF!</v>
      </c>
      <c r="BO101" s="126" t="e">
        <f t="shared" si="515"/>
        <v>#REF!</v>
      </c>
      <c r="BP101" s="122" t="e">
        <f t="shared" si="516"/>
        <v>#REF!</v>
      </c>
      <c r="BQ101" s="111" t="e">
        <f t="shared" ref="BQ101" si="676">AA114+AA115</f>
        <v>#REF!</v>
      </c>
      <c r="BR101" s="126" t="e">
        <f t="shared" ref="BR101" si="677">AB114+AB115</f>
        <v>#REF!</v>
      </c>
      <c r="BS101" s="122" t="e">
        <f t="shared" ref="BS101" si="678">AC114+AC115</f>
        <v>#REF!</v>
      </c>
      <c r="BT101" s="111" t="e">
        <f t="shared" ref="BT101" si="679">AD114+AD115</f>
        <v>#REF!</v>
      </c>
      <c r="BU101" s="126" t="e">
        <f t="shared" ref="BU101" si="680">AE114+AE115</f>
        <v>#REF!</v>
      </c>
      <c r="BV101" s="122" t="e">
        <f t="shared" ref="BV101" si="681">AF114+AF115</f>
        <v>#REF!</v>
      </c>
      <c r="BW101" s="111" t="e">
        <f t="shared" si="551"/>
        <v>#REF!</v>
      </c>
      <c r="BX101" s="126" t="e">
        <f t="shared" si="523"/>
        <v>#REF!</v>
      </c>
      <c r="BY101" s="122" t="e">
        <f t="shared" si="524"/>
        <v>#REF!</v>
      </c>
    </row>
    <row r="102" spans="1:77" outlineLevel="1">
      <c r="A102" t="s">
        <v>1311</v>
      </c>
      <c r="B102" s="139" t="e">
        <f>SUMIFS('Portefeuille SP2'!$U:$U,'Portefeuille SP2'!#REF!,1,'Portefeuille SP2'!$Q:$Q,"IN PROGRESS",'Portefeuille SP2'!#REF!,"G",'Portefeuille SP2'!$D:$D,$A102,'Portefeuille SP2'!#REF!,"S")</f>
        <v>#REF!</v>
      </c>
      <c r="C102" s="126" t="e">
        <f>SUMIFS('Portefeuille SP2'!#REF!,'Portefeuille SP2'!#REF!,1,'Portefeuille SP2'!$Q:$Q,"IN PROGRESS",'Portefeuille SP2'!#REF!,"G",'Portefeuille SP2'!$D:$D,$A102,'Portefeuille SP2'!#REF!,"S")</f>
        <v>#REF!</v>
      </c>
      <c r="D102" s="122" t="e">
        <f>SUMIFS('Portefeuille SP2'!#REF!,'Portefeuille SP2'!#REF!,1,'Portefeuille SP2'!$Q:$Q,"IN PROGRESS",'Portefeuille SP2'!#REF!,"G",'Portefeuille SP2'!$D:$D,$A102,'Portefeuille SP2'!#REF!,"S")</f>
        <v>#REF!</v>
      </c>
      <c r="E102" s="111" t="e">
        <f>SUMIFS('Portefeuille SP2'!$U:$U,'Portefeuille SP2'!#REF!,1,'Portefeuille SP2'!$Q:$Q,"IN PROGRESS",'Portefeuille SP2'!#REF!,"R",'Portefeuille SP2'!$D:$D,$A102,'Portefeuille SP2'!#REF!,"S")</f>
        <v>#REF!</v>
      </c>
      <c r="F102" s="126" t="e">
        <f>SUMIFS('Portefeuille SP2'!#REF!,'Portefeuille SP2'!#REF!,1,'Portefeuille SP2'!$Q:$Q,"IN PROGRESS",'Portefeuille SP2'!#REF!,"R",'Portefeuille SP2'!$D:$D,$A102,'Portefeuille SP2'!#REF!,"S")</f>
        <v>#REF!</v>
      </c>
      <c r="G102" s="117" t="e">
        <f>SUMIFS('Portefeuille SP2'!#REF!,'Portefeuille SP2'!#REF!,1,'Portefeuille SP2'!$Q:$Q,"IN PROGRESS",'Portefeuille SP2'!#REF!,"R",'Portefeuille SP2'!$D:$D,$A102,'Portefeuille SP2'!#REF!,"S")</f>
        <v>#REF!</v>
      </c>
      <c r="H102" s="111" t="e">
        <f>SUMIFS('Portefeuille SP2'!$U:$U,'Portefeuille SP2'!#REF!,1,'Portefeuille SP2'!$Q:$Q,"DECIDED",'Portefeuille SP2'!#REF!,"G",'Portefeuille SP2'!$D:$D,$A102,'Portefeuille SP2'!#REF!,"S",'Portefeuille SP2'!#REF!,"=")</f>
        <v>#REF!</v>
      </c>
      <c r="I102" s="117" t="e">
        <f>SUMIFS('Portefeuille SP2'!#REF!,'Portefeuille SP2'!#REF!,1,'Portefeuille SP2'!$Q:$Q,"DECIDED",'Portefeuille SP2'!#REF!,"G",'Portefeuille SP2'!$D:$D,$A102,'Portefeuille SP2'!#REF!,"S",'Portefeuille SP2'!#REF!,"=")</f>
        <v>#REF!</v>
      </c>
      <c r="J102" s="117" t="e">
        <f>SUMIFS('Portefeuille SP2'!#REF!,'Portefeuille SP2'!#REF!,1,'Portefeuille SP2'!$Q:$Q,"DECIDED",'Portefeuille SP2'!#REF!,"G",'Portefeuille SP2'!$D:$D,$A102,'Portefeuille SP2'!#REF!,"S",'Portefeuille SP2'!#REF!,"=")</f>
        <v>#REF!</v>
      </c>
      <c r="K102" s="111" t="e">
        <f>SUMIFS('Portefeuille SP2'!$U:$U,'Portefeuille SP2'!#REF!,1,'Portefeuille SP2'!$Q:$Q,"DECIDED",'Portefeuille SP2'!#REF!,"R",'Portefeuille SP2'!$D:$D,$A102,'Portefeuille SP2'!#REF!,"S",'Portefeuille SP2'!#REF!,"=")</f>
        <v>#REF!</v>
      </c>
      <c r="L102" s="126" t="e">
        <f>SUMIFS('Portefeuille SP2'!#REF!,'Portefeuille SP2'!#REF!,1,'Portefeuille SP2'!$Q:$Q,"DECIDED",'Portefeuille SP2'!#REF!,"R",'Portefeuille SP2'!$D:$D,$A102,'Portefeuille SP2'!#REF!,"S",'Portefeuille SP2'!#REF!,"=")</f>
        <v>#REF!</v>
      </c>
      <c r="M102" s="117" t="e">
        <f>SUMIFS('Portefeuille SP2'!#REF!,'Portefeuille SP2'!#REF!,1,'Portefeuille SP2'!$Q:$Q,"DECIDED",'Portefeuille SP2'!#REF!,"R",'Portefeuille SP2'!$D:$D,$A102,'Portefeuille SP2'!#REF!,"S",'Portefeuille SP2'!#REF!,"=")</f>
        <v>#REF!</v>
      </c>
      <c r="N102" s="111" t="e">
        <f>SUMIFS('Portefeuille SP2'!$U:$U,'Portefeuille SP2'!#REF!,1,'Portefeuille SP2'!$Q:$Q,"DECIDED",'Portefeuille SP2'!#REF!,"G",'Portefeuille SP2'!$D:$D,$A102,'Portefeuille SP2'!#REF!,"S",'Portefeuille SP2'!#REF!,"&lt;&gt;")</f>
        <v>#REF!</v>
      </c>
      <c r="O102" s="126" t="e">
        <f>SUMIFS('Portefeuille SP2'!#REF!,'Portefeuille SP2'!#REF!,1,'Portefeuille SP2'!$Q:$Q,"DECIDED",'Portefeuille SP2'!#REF!,"G",'Portefeuille SP2'!$D:$D,$A102,'Portefeuille SP2'!#REF!,"S",'Portefeuille SP2'!#REF!,"&lt;&gt;")</f>
        <v>#REF!</v>
      </c>
      <c r="P102" s="117" t="e">
        <f>SUMIFS('Portefeuille SP2'!#REF!,'Portefeuille SP2'!#REF!,1,'Portefeuille SP2'!$Q:$Q,"DECIDED",'Portefeuille SP2'!#REF!,"G",'Portefeuille SP2'!$D:$D,$A102,'Portefeuille SP2'!#REF!,"S",'Portefeuille SP2'!#REF!,"&lt;&gt;")</f>
        <v>#REF!</v>
      </c>
      <c r="Q102" s="111" t="e">
        <f>SUMIFS('Portefeuille SP2'!$U:$U,'Portefeuille SP2'!#REF!,1,'Portefeuille SP2'!$Q:$Q,"DECIDED",'Portefeuille SP2'!#REF!,"R",'Portefeuille SP2'!$D:$D,$A102,'Portefeuille SP2'!#REF!,"S",'Portefeuille SP2'!#REF!,"&lt;&gt;")</f>
        <v>#REF!</v>
      </c>
      <c r="R102" s="126" t="e">
        <f>SUMIFS('Portefeuille SP2'!#REF!,'Portefeuille SP2'!#REF!,1,'Portefeuille SP2'!$Q:$Q,"DECIDED",'Portefeuille SP2'!#REF!,"R",'Portefeuille SP2'!$D:$D,$A102,'Portefeuille SP2'!#REF!,"S",'Portefeuille SP2'!#REF!,"&lt;&gt;")</f>
        <v>#REF!</v>
      </c>
      <c r="S102" s="122" t="e">
        <f>SUMIFS('Portefeuille SP2'!#REF!,'Portefeuille SP2'!#REF!,1,'Portefeuille SP2'!$Q:$Q,"DECIDED",'Portefeuille SP2'!#REF!,"R",'Portefeuille SP2'!$D:$D,$A102,'Portefeuille SP2'!#REF!,"S",'Portefeuille SP2'!#REF!,"&lt;&gt;")</f>
        <v>#REF!</v>
      </c>
      <c r="U102" s="111" t="e">
        <f>SUMIFS('Portefeuille SP2'!$U:$U,'Portefeuille SP2'!#REF!,1,'Portefeuille SP2'!$Q:$Q,"IN PROGRESS",'Portefeuille SP2'!#REF!,"G",'Portefeuille SP2'!$D:$D,$A102,'Portefeuille SP2'!#REF!,"O")</f>
        <v>#REF!</v>
      </c>
      <c r="V102" s="126" t="e">
        <f>SUMIFS('Portefeuille SP2'!#REF!,'Portefeuille SP2'!#REF!,1,'Portefeuille SP2'!$Q:$Q,"IN PROGRESS",'Portefeuille SP2'!#REF!,"G",'Portefeuille SP2'!$D:$D,$A102,'Portefeuille SP2'!#REF!,"o")</f>
        <v>#REF!</v>
      </c>
      <c r="W102" s="117" t="e">
        <f>SUMIFS('Portefeuille SP2'!#REF!,'Portefeuille SP2'!#REF!,1,'Portefeuille SP2'!$Q:$Q,"IN PROGRESS",'Portefeuille SP2'!#REF!,"G",'Portefeuille SP2'!$D:$D,$A102,'Portefeuille SP2'!#REF!,"o")</f>
        <v>#REF!</v>
      </c>
      <c r="X102" s="111" t="e">
        <f>SUMIFS('Portefeuille SP2'!$U:$U,'Portefeuille SP2'!#REF!,1,'Portefeuille SP2'!$Q:$Q,"IN PROGRESS",'Portefeuille SP2'!#REF!,"R",'Portefeuille SP2'!$D:$D,$A102,'Portefeuille SP2'!#REF!,"o")</f>
        <v>#REF!</v>
      </c>
      <c r="Y102" s="126" t="e">
        <f>SUMIFS('Portefeuille SP2'!#REF!,'Portefeuille SP2'!#REF!,1,'Portefeuille SP2'!$Q:$Q,"IN PROGRESS",'Portefeuille SP2'!#REF!,"R",'Portefeuille SP2'!$D:$D,$A102,'Portefeuille SP2'!#REF!,"o")</f>
        <v>#REF!</v>
      </c>
      <c r="Z102" s="117" t="e">
        <f>SUMIFS('Portefeuille SP2'!#REF!,'Portefeuille SP2'!#REF!,1,'Portefeuille SP2'!$Q:$Q,"IN PROGRESS",'Portefeuille SP2'!#REF!,"R",'Portefeuille SP2'!$D:$D,$A102,'Portefeuille SP2'!#REF!,"o")</f>
        <v>#REF!</v>
      </c>
      <c r="AA102" s="111" t="e">
        <f>SUMIFS('Portefeuille SP2'!$U:$U,'Portefeuille SP2'!#REF!,1,'Portefeuille SP2'!$Q:$Q,"DECIDED",'Portefeuille SP2'!#REF!,"G",'Portefeuille SP2'!$D:$D,$A102,'Portefeuille SP2'!#REF!,"o",'Portefeuille SP2'!#REF!,"=")</f>
        <v>#REF!</v>
      </c>
      <c r="AB102" s="126" t="e">
        <f>SUMIFS('Portefeuille SP2'!#REF!,'Portefeuille SP2'!#REF!,1,'Portefeuille SP2'!$Q:$Q,"DECIDED",'Portefeuille SP2'!#REF!,"G",'Portefeuille SP2'!$D:$D,$A102,'Portefeuille SP2'!#REF!,"o",'Portefeuille SP2'!#REF!,"=")</f>
        <v>#REF!</v>
      </c>
      <c r="AC102" s="117" t="e">
        <f>SUMIFS('Portefeuille SP2'!#REF!,'Portefeuille SP2'!#REF!,1,'Portefeuille SP2'!$Q:$Q,"DECIDED",'Portefeuille SP2'!#REF!,"G",'Portefeuille SP2'!$D:$D,$A102,'Portefeuille SP2'!#REF!,"o",'Portefeuille SP2'!#REF!,"=")</f>
        <v>#REF!</v>
      </c>
      <c r="AD102" s="111" t="e">
        <f>SUMIFS('Portefeuille SP2'!$U:$U,'Portefeuille SP2'!#REF!,1,'Portefeuille SP2'!$Q:$Q,"DECIDED",'Portefeuille SP2'!#REF!,"R",'Portefeuille SP2'!$D:$D,$A102,'Portefeuille SP2'!#REF!,"o",'Portefeuille SP2'!#REF!,"=")</f>
        <v>#REF!</v>
      </c>
      <c r="AE102" s="126" t="e">
        <f>SUMIFS('Portefeuille SP2'!#REF!,'Portefeuille SP2'!#REF!,1,'Portefeuille SP2'!$Q:$Q,"DECIDED",'Portefeuille SP2'!#REF!,"R",'Portefeuille SP2'!$D:$D,$A102,'Portefeuille SP2'!#REF!,"o",'Portefeuille SP2'!#REF!,"=")</f>
        <v>#REF!</v>
      </c>
      <c r="AF102" s="117" t="e">
        <f>SUMIFS('Portefeuille SP2'!#REF!,'Portefeuille SP2'!#REF!,1,'Portefeuille SP2'!$Q:$Q,"DECIDED",'Portefeuille SP2'!#REF!,"R",'Portefeuille SP2'!$D:$D,$A102,'Portefeuille SP2'!#REF!,"o",'Portefeuille SP2'!#REF!,"=")</f>
        <v>#REF!</v>
      </c>
      <c r="AG102" s="111" t="e">
        <f>SUMIFS('Portefeuille SP2'!$U:$U,'Portefeuille SP2'!#REF!,1,'Portefeuille SP2'!$Q:$Q,"DECIDED",'Portefeuille SP2'!#REF!,"G",'Portefeuille SP2'!$D:$D,$A102,'Portefeuille SP2'!#REF!,"o",'Portefeuille SP2'!#REF!,"&lt;&gt;")</f>
        <v>#REF!</v>
      </c>
      <c r="AH102" s="126" t="e">
        <f>SUMIFS('Portefeuille SP2'!#REF!,'Portefeuille SP2'!#REF!,1,'Portefeuille SP2'!$Q:$Q,"DECIDED",'Portefeuille SP2'!#REF!,"G",'Portefeuille SP2'!$D:$D,$A102,'Portefeuille SP2'!#REF!,"o",'Portefeuille SP2'!#REF!,"&lt;&gt;")</f>
        <v>#REF!</v>
      </c>
      <c r="AI102" s="117" t="e">
        <f>SUMIFS('Portefeuille SP2'!#REF!,'Portefeuille SP2'!#REF!,1,'Portefeuille SP2'!$Q:$Q,"DECIDED",'Portefeuille SP2'!#REF!,"G",'Portefeuille SP2'!$D:$D,$A102,'Portefeuille SP2'!#REF!,"o",'Portefeuille SP2'!#REF!,"&lt;&gt;")</f>
        <v>#REF!</v>
      </c>
      <c r="AJ102" s="111" t="e">
        <f>SUMIFS('Portefeuille SP2'!$U:$U,'Portefeuille SP2'!#REF!,1,'Portefeuille SP2'!$Q:$Q,"DECIDED",'Portefeuille SP2'!#REF!,"R",'Portefeuille SP2'!$D:$D,$A102,'Portefeuille SP2'!#REF!,"o",'Portefeuille SP2'!#REF!,"&lt;&gt;")</f>
        <v>#REF!</v>
      </c>
      <c r="AK102" s="126" t="e">
        <f>SUMIFS('Portefeuille SP2'!#REF!,'Portefeuille SP2'!#REF!,1,'Portefeuille SP2'!$Q:$Q,"DECIDED",'Portefeuille SP2'!#REF!,"R",'Portefeuille SP2'!$D:$D,$A102,'Portefeuille SP2'!#REF!,"o",'Portefeuille SP2'!#REF!,"&lt;&gt;")</f>
        <v>#REF!</v>
      </c>
      <c r="AL102" s="117" t="e">
        <f>SUMIFS('Portefeuille SP2'!#REF!,'Portefeuille SP2'!#REF!,1,'Portefeuille SP2'!$Q:$Q,"DECIDED",'Portefeuille SP2'!#REF!,"R",'Portefeuille SP2'!$D:$D,$A102,'Portefeuille SP2'!#REF!,"o",'Portefeuille SP2'!#REF!,"&lt;&gt;")</f>
        <v>#REF!</v>
      </c>
      <c r="AM102" s="117"/>
      <c r="AN102" t="s">
        <v>1318</v>
      </c>
      <c r="AO102" s="110" t="e">
        <f t="shared" ref="AO102" si="682">B111+B112+B113</f>
        <v>#REF!</v>
      </c>
      <c r="AP102" s="127" t="e">
        <f t="shared" ref="AP102" si="683">C111+C112+C113</f>
        <v>#REF!</v>
      </c>
      <c r="AQ102" s="124" t="e">
        <f t="shared" ref="AQ102" si="684">D111+D112+D113</f>
        <v>#REF!</v>
      </c>
      <c r="AR102" s="115" t="e">
        <f t="shared" ref="AR102" si="685">E111+E112+E113</f>
        <v>#REF!</v>
      </c>
      <c r="AS102" s="127" t="e">
        <f t="shared" ref="AS102" si="686">F111+F112+F113</f>
        <v>#REF!</v>
      </c>
      <c r="AT102" s="124" t="e">
        <f t="shared" ref="AT102" si="687">G111+G112+G113</f>
        <v>#REF!</v>
      </c>
      <c r="AU102" s="115" t="e">
        <f t="shared" si="531"/>
        <v>#REF!</v>
      </c>
      <c r="AV102" s="127" t="e">
        <f t="shared" si="500"/>
        <v>#REF!</v>
      </c>
      <c r="AW102" s="124" t="e">
        <f t="shared" si="501"/>
        <v>#REF!</v>
      </c>
      <c r="AX102" s="110" t="e">
        <f t="shared" ref="AX102" si="688">H111+H112+H113</f>
        <v>#REF!</v>
      </c>
      <c r="AY102" s="127" t="e">
        <f t="shared" ref="AY102" si="689">I111+I112+I113</f>
        <v>#REF!</v>
      </c>
      <c r="AZ102" s="124" t="e">
        <f t="shared" ref="AZ102" si="690">J111+J112+J113</f>
        <v>#REF!</v>
      </c>
      <c r="BA102" s="110" t="e">
        <f t="shared" ref="BA102" si="691">K111+K112+K113</f>
        <v>#REF!</v>
      </c>
      <c r="BB102" s="127" t="e">
        <f t="shared" ref="BB102" si="692">L111+L112+L113</f>
        <v>#REF!</v>
      </c>
      <c r="BC102" s="124" t="e">
        <f t="shared" ref="BC102" si="693">M111+M112+M113</f>
        <v>#REF!</v>
      </c>
      <c r="BD102" s="115" t="e">
        <f t="shared" si="538"/>
        <v>#REF!</v>
      </c>
      <c r="BE102" s="127" t="e">
        <f t="shared" si="508"/>
        <v>#REF!</v>
      </c>
      <c r="BF102" s="124" t="e">
        <f t="shared" si="509"/>
        <v>#REF!</v>
      </c>
      <c r="BH102" s="110" t="e">
        <f>U111+U112+U113</f>
        <v>#REF!</v>
      </c>
      <c r="BI102" s="127" t="e">
        <f t="shared" ref="BI102" si="694">V111+V112+V113</f>
        <v>#REF!</v>
      </c>
      <c r="BJ102" s="124" t="e">
        <f t="shared" ref="BJ102" si="695">W111+W112+W113</f>
        <v>#REF!</v>
      </c>
      <c r="BK102" s="110" t="e">
        <f t="shared" ref="BK102" si="696">X111+X112+X113</f>
        <v>#REF!</v>
      </c>
      <c r="BL102" s="127" t="e">
        <f t="shared" ref="BL102" si="697">Y111+Y112+Y113</f>
        <v>#REF!</v>
      </c>
      <c r="BM102" s="124" t="e">
        <f t="shared" ref="BM102" si="698">Z111+Z112+Z113</f>
        <v>#REF!</v>
      </c>
      <c r="BN102" s="115" t="e">
        <f t="shared" si="544"/>
        <v>#REF!</v>
      </c>
      <c r="BO102" s="127" t="e">
        <f t="shared" si="515"/>
        <v>#REF!</v>
      </c>
      <c r="BP102" s="124" t="e">
        <f t="shared" si="516"/>
        <v>#REF!</v>
      </c>
      <c r="BQ102" s="110" t="e">
        <f t="shared" ref="BQ102" si="699">AA111+AA112+AA113</f>
        <v>#REF!</v>
      </c>
      <c r="BR102" s="127" t="e">
        <f t="shared" ref="BR102" si="700">AB111+AB112+AB113</f>
        <v>#REF!</v>
      </c>
      <c r="BS102" s="124" t="e">
        <f t="shared" ref="BS102" si="701">AC111+AC112+AC113</f>
        <v>#REF!</v>
      </c>
      <c r="BT102" s="110" t="e">
        <f t="shared" ref="BT102" si="702">AD111+AD112+AD113</f>
        <v>#REF!</v>
      </c>
      <c r="BU102" s="127" t="e">
        <f t="shared" ref="BU102" si="703">AE111+AE112+AE113</f>
        <v>#REF!</v>
      </c>
      <c r="BV102" s="124" t="e">
        <f t="shared" ref="BV102" si="704">AF111+AF112+AF113</f>
        <v>#REF!</v>
      </c>
      <c r="BW102" s="110" t="e">
        <f t="shared" si="551"/>
        <v>#REF!</v>
      </c>
      <c r="BX102" s="127" t="e">
        <f t="shared" si="523"/>
        <v>#REF!</v>
      </c>
      <c r="BY102" s="124" t="e">
        <f t="shared" si="524"/>
        <v>#REF!</v>
      </c>
    </row>
    <row r="103" spans="1:77" outlineLevel="1">
      <c r="A103" t="s">
        <v>1319</v>
      </c>
      <c r="B103" s="139" t="e">
        <f>SUMIFS('Portefeuille SP2'!$U:$U,'Portefeuille SP2'!#REF!,1,'Portefeuille SP2'!$Q:$Q,"IN PROGRESS",'Portefeuille SP2'!#REF!,"G",'Portefeuille SP2'!$D:$D,$A103,'Portefeuille SP2'!#REF!,"S")</f>
        <v>#REF!</v>
      </c>
      <c r="C103" s="126" t="e">
        <f>SUMIFS('Portefeuille SP2'!#REF!,'Portefeuille SP2'!#REF!,1,'Portefeuille SP2'!$Q:$Q,"IN PROGRESS",'Portefeuille SP2'!#REF!,"G",'Portefeuille SP2'!$D:$D,$A103,'Portefeuille SP2'!#REF!,"S")</f>
        <v>#REF!</v>
      </c>
      <c r="D103" s="122" t="e">
        <f>SUMIFS('Portefeuille SP2'!#REF!,'Portefeuille SP2'!#REF!,1,'Portefeuille SP2'!$Q:$Q,"IN PROGRESS",'Portefeuille SP2'!#REF!,"G",'Portefeuille SP2'!$D:$D,$A103,'Portefeuille SP2'!#REF!,"S")</f>
        <v>#REF!</v>
      </c>
      <c r="E103" s="111" t="e">
        <f>SUMIFS('Portefeuille SP2'!$U:$U,'Portefeuille SP2'!#REF!,1,'Portefeuille SP2'!$Q:$Q,"IN PROGRESS",'Portefeuille SP2'!#REF!,"R",'Portefeuille SP2'!$D:$D,$A103,'Portefeuille SP2'!#REF!,"S")</f>
        <v>#REF!</v>
      </c>
      <c r="F103" s="126" t="e">
        <f>SUMIFS('Portefeuille SP2'!#REF!,'Portefeuille SP2'!#REF!,1,'Portefeuille SP2'!$Q:$Q,"IN PROGRESS",'Portefeuille SP2'!#REF!,"R",'Portefeuille SP2'!$D:$D,$A103,'Portefeuille SP2'!#REF!,"S")</f>
        <v>#REF!</v>
      </c>
      <c r="G103" s="117" t="e">
        <f>SUMIFS('Portefeuille SP2'!#REF!,'Portefeuille SP2'!#REF!,1,'Portefeuille SP2'!$Q:$Q,"IN PROGRESS",'Portefeuille SP2'!#REF!,"R",'Portefeuille SP2'!$D:$D,$A103,'Portefeuille SP2'!#REF!,"S")</f>
        <v>#REF!</v>
      </c>
      <c r="H103" s="111" t="e">
        <f>SUMIFS('Portefeuille SP2'!$U:$U,'Portefeuille SP2'!#REF!,1,'Portefeuille SP2'!$Q:$Q,"DECIDED",'Portefeuille SP2'!#REF!,"G",'Portefeuille SP2'!$D:$D,$A103,'Portefeuille SP2'!#REF!,"S",'Portefeuille SP2'!#REF!,"=")</f>
        <v>#REF!</v>
      </c>
      <c r="I103" s="117" t="e">
        <f>SUMIFS('Portefeuille SP2'!#REF!,'Portefeuille SP2'!#REF!,1,'Portefeuille SP2'!$Q:$Q,"DECIDED",'Portefeuille SP2'!#REF!,"G",'Portefeuille SP2'!$D:$D,$A103,'Portefeuille SP2'!#REF!,"S",'Portefeuille SP2'!#REF!,"=")</f>
        <v>#REF!</v>
      </c>
      <c r="J103" s="117" t="e">
        <f>SUMIFS('Portefeuille SP2'!#REF!,'Portefeuille SP2'!#REF!,1,'Portefeuille SP2'!$Q:$Q,"DECIDED",'Portefeuille SP2'!#REF!,"G",'Portefeuille SP2'!$D:$D,$A103,'Portefeuille SP2'!#REF!,"S",'Portefeuille SP2'!#REF!,"=")</f>
        <v>#REF!</v>
      </c>
      <c r="K103" s="111" t="e">
        <f>SUMIFS('Portefeuille SP2'!$U:$U,'Portefeuille SP2'!#REF!,1,'Portefeuille SP2'!$Q:$Q,"DECIDED",'Portefeuille SP2'!#REF!,"R",'Portefeuille SP2'!$D:$D,$A103,'Portefeuille SP2'!#REF!,"S",'Portefeuille SP2'!#REF!,"=")</f>
        <v>#REF!</v>
      </c>
      <c r="L103" s="126" t="e">
        <f>SUMIFS('Portefeuille SP2'!#REF!,'Portefeuille SP2'!#REF!,1,'Portefeuille SP2'!$Q:$Q,"DECIDED",'Portefeuille SP2'!#REF!,"R",'Portefeuille SP2'!$D:$D,$A103,'Portefeuille SP2'!#REF!,"S",'Portefeuille SP2'!#REF!,"=")</f>
        <v>#REF!</v>
      </c>
      <c r="M103" s="117" t="e">
        <f>SUMIFS('Portefeuille SP2'!#REF!,'Portefeuille SP2'!#REF!,1,'Portefeuille SP2'!$Q:$Q,"DECIDED",'Portefeuille SP2'!#REF!,"R",'Portefeuille SP2'!$D:$D,$A103,'Portefeuille SP2'!#REF!,"S",'Portefeuille SP2'!#REF!,"=")</f>
        <v>#REF!</v>
      </c>
      <c r="N103" s="111" t="e">
        <f>SUMIFS('Portefeuille SP2'!$U:$U,'Portefeuille SP2'!#REF!,1,'Portefeuille SP2'!$Q:$Q,"DECIDED",'Portefeuille SP2'!#REF!,"G",'Portefeuille SP2'!$D:$D,$A103,'Portefeuille SP2'!#REF!,"S",'Portefeuille SP2'!#REF!,"&lt;&gt;")</f>
        <v>#REF!</v>
      </c>
      <c r="O103" s="126" t="e">
        <f>SUMIFS('Portefeuille SP2'!#REF!,'Portefeuille SP2'!#REF!,1,'Portefeuille SP2'!$Q:$Q,"DECIDED",'Portefeuille SP2'!#REF!,"G",'Portefeuille SP2'!$D:$D,$A103,'Portefeuille SP2'!#REF!,"S",'Portefeuille SP2'!#REF!,"&lt;&gt;")</f>
        <v>#REF!</v>
      </c>
      <c r="P103" s="117" t="e">
        <f>SUMIFS('Portefeuille SP2'!#REF!,'Portefeuille SP2'!#REF!,1,'Portefeuille SP2'!$Q:$Q,"DECIDED",'Portefeuille SP2'!#REF!,"G",'Portefeuille SP2'!$D:$D,$A103,'Portefeuille SP2'!#REF!,"S",'Portefeuille SP2'!#REF!,"&lt;&gt;")</f>
        <v>#REF!</v>
      </c>
      <c r="Q103" s="111" t="e">
        <f>SUMIFS('Portefeuille SP2'!$U:$U,'Portefeuille SP2'!#REF!,1,'Portefeuille SP2'!$Q:$Q,"DECIDED",'Portefeuille SP2'!#REF!,"R",'Portefeuille SP2'!$D:$D,$A103,'Portefeuille SP2'!#REF!,"S",'Portefeuille SP2'!#REF!,"&lt;&gt;")</f>
        <v>#REF!</v>
      </c>
      <c r="R103" s="126" t="e">
        <f>SUMIFS('Portefeuille SP2'!#REF!,'Portefeuille SP2'!#REF!,1,'Portefeuille SP2'!$Q:$Q,"DECIDED",'Portefeuille SP2'!#REF!,"R",'Portefeuille SP2'!$D:$D,$A103,'Portefeuille SP2'!#REF!,"S",'Portefeuille SP2'!#REF!,"&lt;&gt;")</f>
        <v>#REF!</v>
      </c>
      <c r="S103" s="122" t="e">
        <f>SUMIFS('Portefeuille SP2'!#REF!,'Portefeuille SP2'!#REF!,1,'Portefeuille SP2'!$Q:$Q,"DECIDED",'Portefeuille SP2'!#REF!,"R",'Portefeuille SP2'!$D:$D,$A103,'Portefeuille SP2'!#REF!,"S",'Portefeuille SP2'!#REF!,"&lt;&gt;")</f>
        <v>#REF!</v>
      </c>
      <c r="U103" s="111" t="e">
        <f>SUMIFS('Portefeuille SP2'!$U:$U,'Portefeuille SP2'!#REF!,1,'Portefeuille SP2'!$Q:$Q,"IN PROGRESS",'Portefeuille SP2'!#REF!,"G",'Portefeuille SP2'!$D:$D,$A103,'Portefeuille SP2'!#REF!,"O")</f>
        <v>#REF!</v>
      </c>
      <c r="V103" s="126" t="e">
        <f>SUMIFS('Portefeuille SP2'!#REF!,'Portefeuille SP2'!#REF!,1,'Portefeuille SP2'!$Q:$Q,"IN PROGRESS",'Portefeuille SP2'!#REF!,"G",'Portefeuille SP2'!$D:$D,$A103,'Portefeuille SP2'!#REF!,"o")</f>
        <v>#REF!</v>
      </c>
      <c r="W103" s="117" t="e">
        <f>SUMIFS('Portefeuille SP2'!#REF!,'Portefeuille SP2'!#REF!,1,'Portefeuille SP2'!$Q:$Q,"IN PROGRESS",'Portefeuille SP2'!#REF!,"G",'Portefeuille SP2'!$D:$D,$A103,'Portefeuille SP2'!#REF!,"o")</f>
        <v>#REF!</v>
      </c>
      <c r="X103" s="111" t="e">
        <f>SUMIFS('Portefeuille SP2'!$U:$U,'Portefeuille SP2'!#REF!,1,'Portefeuille SP2'!$Q:$Q,"IN PROGRESS",'Portefeuille SP2'!#REF!,"R",'Portefeuille SP2'!$D:$D,$A103,'Portefeuille SP2'!#REF!,"o")</f>
        <v>#REF!</v>
      </c>
      <c r="Y103" s="126" t="e">
        <f>SUMIFS('Portefeuille SP2'!#REF!,'Portefeuille SP2'!#REF!,1,'Portefeuille SP2'!$Q:$Q,"IN PROGRESS",'Portefeuille SP2'!#REF!,"R",'Portefeuille SP2'!$D:$D,$A103,'Portefeuille SP2'!#REF!,"o")</f>
        <v>#REF!</v>
      </c>
      <c r="Z103" s="117" t="e">
        <f>SUMIFS('Portefeuille SP2'!#REF!,'Portefeuille SP2'!#REF!,1,'Portefeuille SP2'!$Q:$Q,"IN PROGRESS",'Portefeuille SP2'!#REF!,"R",'Portefeuille SP2'!$D:$D,$A103,'Portefeuille SP2'!#REF!,"o")</f>
        <v>#REF!</v>
      </c>
      <c r="AA103" s="111" t="e">
        <f>SUMIFS('Portefeuille SP2'!$U:$U,'Portefeuille SP2'!#REF!,1,'Portefeuille SP2'!$Q:$Q,"DECIDED",'Portefeuille SP2'!#REF!,"G",'Portefeuille SP2'!$D:$D,$A103,'Portefeuille SP2'!#REF!,"o",'Portefeuille SP2'!#REF!,"=")</f>
        <v>#REF!</v>
      </c>
      <c r="AB103" s="126" t="e">
        <f>SUMIFS('Portefeuille SP2'!#REF!,'Portefeuille SP2'!#REF!,1,'Portefeuille SP2'!$Q:$Q,"DECIDED",'Portefeuille SP2'!#REF!,"G",'Portefeuille SP2'!$D:$D,$A103,'Portefeuille SP2'!#REF!,"o",'Portefeuille SP2'!#REF!,"=")</f>
        <v>#REF!</v>
      </c>
      <c r="AC103" s="117" t="e">
        <f>SUMIFS('Portefeuille SP2'!#REF!,'Portefeuille SP2'!#REF!,1,'Portefeuille SP2'!$Q:$Q,"DECIDED",'Portefeuille SP2'!#REF!,"G",'Portefeuille SP2'!$D:$D,$A103,'Portefeuille SP2'!#REF!,"o",'Portefeuille SP2'!#REF!,"=")</f>
        <v>#REF!</v>
      </c>
      <c r="AD103" s="111" t="e">
        <f>SUMIFS('Portefeuille SP2'!$U:$U,'Portefeuille SP2'!#REF!,1,'Portefeuille SP2'!$Q:$Q,"DECIDED",'Portefeuille SP2'!#REF!,"R",'Portefeuille SP2'!$D:$D,$A103,'Portefeuille SP2'!#REF!,"o",'Portefeuille SP2'!#REF!,"=")</f>
        <v>#REF!</v>
      </c>
      <c r="AE103" s="126" t="e">
        <f>SUMIFS('Portefeuille SP2'!#REF!,'Portefeuille SP2'!#REF!,1,'Portefeuille SP2'!$Q:$Q,"DECIDED",'Portefeuille SP2'!#REF!,"R",'Portefeuille SP2'!$D:$D,$A103,'Portefeuille SP2'!#REF!,"o",'Portefeuille SP2'!#REF!,"=")</f>
        <v>#REF!</v>
      </c>
      <c r="AF103" s="117" t="e">
        <f>SUMIFS('Portefeuille SP2'!#REF!,'Portefeuille SP2'!#REF!,1,'Portefeuille SP2'!$Q:$Q,"DECIDED",'Portefeuille SP2'!#REF!,"R",'Portefeuille SP2'!$D:$D,$A103,'Portefeuille SP2'!#REF!,"o",'Portefeuille SP2'!#REF!,"=")</f>
        <v>#REF!</v>
      </c>
      <c r="AG103" s="111" t="e">
        <f>SUMIFS('Portefeuille SP2'!$U:$U,'Portefeuille SP2'!#REF!,1,'Portefeuille SP2'!$Q:$Q,"DECIDED",'Portefeuille SP2'!#REF!,"G",'Portefeuille SP2'!$D:$D,$A103,'Portefeuille SP2'!#REF!,"o",'Portefeuille SP2'!#REF!,"&lt;&gt;")</f>
        <v>#REF!</v>
      </c>
      <c r="AH103" s="126" t="e">
        <f>SUMIFS('Portefeuille SP2'!#REF!,'Portefeuille SP2'!#REF!,1,'Portefeuille SP2'!$Q:$Q,"DECIDED",'Portefeuille SP2'!#REF!,"G",'Portefeuille SP2'!$D:$D,$A103,'Portefeuille SP2'!#REF!,"o",'Portefeuille SP2'!#REF!,"&lt;&gt;")</f>
        <v>#REF!</v>
      </c>
      <c r="AI103" s="117" t="e">
        <f>SUMIFS('Portefeuille SP2'!#REF!,'Portefeuille SP2'!#REF!,1,'Portefeuille SP2'!$Q:$Q,"DECIDED",'Portefeuille SP2'!#REF!,"G",'Portefeuille SP2'!$D:$D,$A103,'Portefeuille SP2'!#REF!,"o",'Portefeuille SP2'!#REF!,"&lt;&gt;")</f>
        <v>#REF!</v>
      </c>
      <c r="AJ103" s="111" t="e">
        <f>SUMIFS('Portefeuille SP2'!$U:$U,'Portefeuille SP2'!#REF!,1,'Portefeuille SP2'!$Q:$Q,"DECIDED",'Portefeuille SP2'!#REF!,"R",'Portefeuille SP2'!$D:$D,$A103,'Portefeuille SP2'!#REF!,"o",'Portefeuille SP2'!#REF!,"&lt;&gt;")</f>
        <v>#REF!</v>
      </c>
      <c r="AK103" s="126" t="e">
        <f>SUMIFS('Portefeuille SP2'!#REF!,'Portefeuille SP2'!#REF!,1,'Portefeuille SP2'!$Q:$Q,"DECIDED",'Portefeuille SP2'!#REF!,"R",'Portefeuille SP2'!$D:$D,$A103,'Portefeuille SP2'!#REF!,"o",'Portefeuille SP2'!#REF!,"&lt;&gt;")</f>
        <v>#REF!</v>
      </c>
      <c r="AL103" s="117" t="e">
        <f>SUMIFS('Portefeuille SP2'!#REF!,'Portefeuille SP2'!#REF!,1,'Portefeuille SP2'!$Q:$Q,"DECIDED",'Portefeuille SP2'!#REF!,"R",'Portefeuille SP2'!$D:$D,$A103,'Portefeuille SP2'!#REF!,"o",'Portefeuille SP2'!#REF!,"&lt;&gt;")</f>
        <v>#REF!</v>
      </c>
      <c r="AM103" s="117"/>
      <c r="AR103" s="112"/>
      <c r="AS103" s="117"/>
      <c r="AT103" s="117"/>
      <c r="AU103" s="112"/>
      <c r="AV103" s="130"/>
      <c r="AW103" s="130"/>
      <c r="BD103" s="112"/>
      <c r="BH103" s="113"/>
      <c r="BI103" s="128"/>
      <c r="BJ103" s="128"/>
      <c r="BK103" s="112"/>
      <c r="BL103" s="117"/>
      <c r="BM103" s="117"/>
      <c r="BN103" s="112"/>
      <c r="BO103" s="130"/>
      <c r="BP103" s="130"/>
      <c r="BQ103" s="113"/>
      <c r="BR103" s="128"/>
      <c r="BS103" s="128"/>
      <c r="BT103" s="113"/>
      <c r="BU103" s="128"/>
      <c r="BV103" s="128"/>
      <c r="BW103" s="112"/>
      <c r="BX103" s="130"/>
      <c r="BY103" s="130"/>
    </row>
    <row r="104" spans="1:77" outlineLevel="1">
      <c r="A104" t="s">
        <v>150</v>
      </c>
      <c r="B104" s="139" t="e">
        <f>SUMIFS('Portefeuille SP2'!$U:$U,'Portefeuille SP2'!#REF!,1,'Portefeuille SP2'!$Q:$Q,"IN PROGRESS",'Portefeuille SP2'!#REF!,"G",'Portefeuille SP2'!$D:$D,$A104,'Portefeuille SP2'!#REF!,"S")</f>
        <v>#REF!</v>
      </c>
      <c r="C104" s="126" t="e">
        <f>SUMIFS('Portefeuille SP2'!#REF!,'Portefeuille SP2'!#REF!,1,'Portefeuille SP2'!$Q:$Q,"IN PROGRESS",'Portefeuille SP2'!#REF!,"G",'Portefeuille SP2'!$D:$D,$A104,'Portefeuille SP2'!#REF!,"S")</f>
        <v>#REF!</v>
      </c>
      <c r="D104" s="122" t="e">
        <f>SUMIFS('Portefeuille SP2'!#REF!,'Portefeuille SP2'!#REF!,1,'Portefeuille SP2'!$Q:$Q,"IN PROGRESS",'Portefeuille SP2'!#REF!,"G",'Portefeuille SP2'!$D:$D,$A104,'Portefeuille SP2'!#REF!,"S")</f>
        <v>#REF!</v>
      </c>
      <c r="E104" s="111" t="e">
        <f>SUMIFS('Portefeuille SP2'!$U:$U,'Portefeuille SP2'!#REF!,1,'Portefeuille SP2'!$Q:$Q,"IN PROGRESS",'Portefeuille SP2'!#REF!,"R",'Portefeuille SP2'!$D:$D,$A104,'Portefeuille SP2'!#REF!,"S")</f>
        <v>#REF!</v>
      </c>
      <c r="F104" s="126" t="e">
        <f>SUMIFS('Portefeuille SP2'!#REF!,'Portefeuille SP2'!#REF!,1,'Portefeuille SP2'!$Q:$Q,"IN PROGRESS",'Portefeuille SP2'!#REF!,"R",'Portefeuille SP2'!$D:$D,$A104,'Portefeuille SP2'!#REF!,"S")</f>
        <v>#REF!</v>
      </c>
      <c r="G104" s="117" t="e">
        <f>SUMIFS('Portefeuille SP2'!#REF!,'Portefeuille SP2'!#REF!,1,'Portefeuille SP2'!$Q:$Q,"IN PROGRESS",'Portefeuille SP2'!#REF!,"R",'Portefeuille SP2'!$D:$D,$A104,'Portefeuille SP2'!#REF!,"S")</f>
        <v>#REF!</v>
      </c>
      <c r="H104" s="111" t="e">
        <f>SUMIFS('Portefeuille SP2'!$U:$U,'Portefeuille SP2'!#REF!,1,'Portefeuille SP2'!$Q:$Q,"DECIDED",'Portefeuille SP2'!#REF!,"G",'Portefeuille SP2'!$D:$D,$A104,'Portefeuille SP2'!#REF!,"S",'Portefeuille SP2'!#REF!,"=")</f>
        <v>#REF!</v>
      </c>
      <c r="I104" s="117" t="e">
        <f>SUMIFS('Portefeuille SP2'!#REF!,'Portefeuille SP2'!#REF!,1,'Portefeuille SP2'!$Q:$Q,"DECIDED",'Portefeuille SP2'!#REF!,"G",'Portefeuille SP2'!$D:$D,$A104,'Portefeuille SP2'!#REF!,"S",'Portefeuille SP2'!#REF!,"=")</f>
        <v>#REF!</v>
      </c>
      <c r="J104" s="117" t="e">
        <f>SUMIFS('Portefeuille SP2'!#REF!,'Portefeuille SP2'!#REF!,1,'Portefeuille SP2'!$Q:$Q,"DECIDED",'Portefeuille SP2'!#REF!,"G",'Portefeuille SP2'!$D:$D,$A104,'Portefeuille SP2'!#REF!,"S",'Portefeuille SP2'!#REF!,"=")</f>
        <v>#REF!</v>
      </c>
      <c r="K104" s="111" t="e">
        <f>SUMIFS('Portefeuille SP2'!$U:$U,'Portefeuille SP2'!#REF!,1,'Portefeuille SP2'!$Q:$Q,"DECIDED",'Portefeuille SP2'!#REF!,"R",'Portefeuille SP2'!$D:$D,$A104,'Portefeuille SP2'!#REF!,"S",'Portefeuille SP2'!#REF!,"=")</f>
        <v>#REF!</v>
      </c>
      <c r="L104" s="126" t="e">
        <f>SUMIFS('Portefeuille SP2'!#REF!,'Portefeuille SP2'!#REF!,1,'Portefeuille SP2'!$Q:$Q,"DECIDED",'Portefeuille SP2'!#REF!,"R",'Portefeuille SP2'!$D:$D,$A104,'Portefeuille SP2'!#REF!,"S",'Portefeuille SP2'!#REF!,"=")</f>
        <v>#REF!</v>
      </c>
      <c r="M104" s="117" t="e">
        <f>SUMIFS('Portefeuille SP2'!#REF!,'Portefeuille SP2'!#REF!,1,'Portefeuille SP2'!$Q:$Q,"DECIDED",'Portefeuille SP2'!#REF!,"R",'Portefeuille SP2'!$D:$D,$A104,'Portefeuille SP2'!#REF!,"S",'Portefeuille SP2'!#REF!,"=")</f>
        <v>#REF!</v>
      </c>
      <c r="N104" s="111" t="e">
        <f>SUMIFS('Portefeuille SP2'!$U:$U,'Portefeuille SP2'!#REF!,1,'Portefeuille SP2'!$Q:$Q,"DECIDED",'Portefeuille SP2'!#REF!,"G",'Portefeuille SP2'!$D:$D,$A104,'Portefeuille SP2'!#REF!,"S",'Portefeuille SP2'!#REF!,"&lt;&gt;")</f>
        <v>#REF!</v>
      </c>
      <c r="O104" s="126" t="e">
        <f>SUMIFS('Portefeuille SP2'!#REF!,'Portefeuille SP2'!#REF!,1,'Portefeuille SP2'!$Q:$Q,"DECIDED",'Portefeuille SP2'!#REF!,"G",'Portefeuille SP2'!$D:$D,$A104,'Portefeuille SP2'!#REF!,"S",'Portefeuille SP2'!#REF!,"&lt;&gt;")</f>
        <v>#REF!</v>
      </c>
      <c r="P104" s="117" t="e">
        <f>SUMIFS('Portefeuille SP2'!#REF!,'Portefeuille SP2'!#REF!,1,'Portefeuille SP2'!$Q:$Q,"DECIDED",'Portefeuille SP2'!#REF!,"G",'Portefeuille SP2'!$D:$D,$A104,'Portefeuille SP2'!#REF!,"S",'Portefeuille SP2'!#REF!,"&lt;&gt;")</f>
        <v>#REF!</v>
      </c>
      <c r="Q104" s="111" t="e">
        <f>SUMIFS('Portefeuille SP2'!$U:$U,'Portefeuille SP2'!#REF!,1,'Portefeuille SP2'!$Q:$Q,"DECIDED",'Portefeuille SP2'!#REF!,"R",'Portefeuille SP2'!$D:$D,$A104,'Portefeuille SP2'!#REF!,"S",'Portefeuille SP2'!#REF!,"&lt;&gt;")</f>
        <v>#REF!</v>
      </c>
      <c r="R104" s="126" t="e">
        <f>SUMIFS('Portefeuille SP2'!#REF!,'Portefeuille SP2'!#REF!,1,'Portefeuille SP2'!$Q:$Q,"DECIDED",'Portefeuille SP2'!#REF!,"R",'Portefeuille SP2'!$D:$D,$A104,'Portefeuille SP2'!#REF!,"S",'Portefeuille SP2'!#REF!,"&lt;&gt;")</f>
        <v>#REF!</v>
      </c>
      <c r="S104" s="122" t="e">
        <f>SUMIFS('Portefeuille SP2'!#REF!,'Portefeuille SP2'!#REF!,1,'Portefeuille SP2'!$Q:$Q,"DECIDED",'Portefeuille SP2'!#REF!,"R",'Portefeuille SP2'!$D:$D,$A104,'Portefeuille SP2'!#REF!,"S",'Portefeuille SP2'!#REF!,"&lt;&gt;")</f>
        <v>#REF!</v>
      </c>
      <c r="U104" s="111" t="e">
        <f>SUMIFS('Portefeuille SP2'!$U:$U,'Portefeuille SP2'!#REF!,1,'Portefeuille SP2'!$Q:$Q,"IN PROGRESS",'Portefeuille SP2'!#REF!,"G",'Portefeuille SP2'!$D:$D,$A104,'Portefeuille SP2'!#REF!,"O")</f>
        <v>#REF!</v>
      </c>
      <c r="V104" s="126" t="e">
        <f>SUMIFS('Portefeuille SP2'!#REF!,'Portefeuille SP2'!#REF!,1,'Portefeuille SP2'!$Q:$Q,"IN PROGRESS",'Portefeuille SP2'!#REF!,"G",'Portefeuille SP2'!$D:$D,$A104,'Portefeuille SP2'!#REF!,"o")</f>
        <v>#REF!</v>
      </c>
      <c r="W104" s="117" t="e">
        <f>SUMIFS('Portefeuille SP2'!#REF!,'Portefeuille SP2'!#REF!,1,'Portefeuille SP2'!$Q:$Q,"IN PROGRESS",'Portefeuille SP2'!#REF!,"G",'Portefeuille SP2'!$D:$D,$A104,'Portefeuille SP2'!#REF!,"o")</f>
        <v>#REF!</v>
      </c>
      <c r="X104" s="111" t="e">
        <f>SUMIFS('Portefeuille SP2'!$U:$U,'Portefeuille SP2'!#REF!,1,'Portefeuille SP2'!$Q:$Q,"IN PROGRESS",'Portefeuille SP2'!#REF!,"R",'Portefeuille SP2'!$D:$D,$A104,'Portefeuille SP2'!#REF!,"o")</f>
        <v>#REF!</v>
      </c>
      <c r="Y104" s="126" t="e">
        <f>SUMIFS('Portefeuille SP2'!#REF!,'Portefeuille SP2'!#REF!,1,'Portefeuille SP2'!$Q:$Q,"IN PROGRESS",'Portefeuille SP2'!#REF!,"R",'Portefeuille SP2'!$D:$D,$A104,'Portefeuille SP2'!#REF!,"o")</f>
        <v>#REF!</v>
      </c>
      <c r="Z104" s="117" t="e">
        <f>SUMIFS('Portefeuille SP2'!#REF!,'Portefeuille SP2'!#REF!,1,'Portefeuille SP2'!$Q:$Q,"IN PROGRESS",'Portefeuille SP2'!#REF!,"R",'Portefeuille SP2'!$D:$D,$A104,'Portefeuille SP2'!#REF!,"o")</f>
        <v>#REF!</v>
      </c>
      <c r="AA104" s="111" t="e">
        <f>SUMIFS('Portefeuille SP2'!$U:$U,'Portefeuille SP2'!#REF!,1,'Portefeuille SP2'!$Q:$Q,"DECIDED",'Portefeuille SP2'!#REF!,"G",'Portefeuille SP2'!$D:$D,$A104,'Portefeuille SP2'!#REF!,"o",'Portefeuille SP2'!#REF!,"=")</f>
        <v>#REF!</v>
      </c>
      <c r="AB104" s="126" t="e">
        <f>SUMIFS('Portefeuille SP2'!#REF!,'Portefeuille SP2'!#REF!,1,'Portefeuille SP2'!$Q:$Q,"DECIDED",'Portefeuille SP2'!#REF!,"G",'Portefeuille SP2'!$D:$D,$A104,'Portefeuille SP2'!#REF!,"o",'Portefeuille SP2'!#REF!,"=")</f>
        <v>#REF!</v>
      </c>
      <c r="AC104" s="117" t="e">
        <f>SUMIFS('Portefeuille SP2'!#REF!,'Portefeuille SP2'!#REF!,1,'Portefeuille SP2'!$Q:$Q,"DECIDED",'Portefeuille SP2'!#REF!,"G",'Portefeuille SP2'!$D:$D,$A104,'Portefeuille SP2'!#REF!,"o",'Portefeuille SP2'!#REF!,"=")</f>
        <v>#REF!</v>
      </c>
      <c r="AD104" s="111" t="e">
        <f>SUMIFS('Portefeuille SP2'!$U:$U,'Portefeuille SP2'!#REF!,1,'Portefeuille SP2'!$Q:$Q,"DECIDED",'Portefeuille SP2'!#REF!,"R",'Portefeuille SP2'!$D:$D,$A104,'Portefeuille SP2'!#REF!,"o",'Portefeuille SP2'!#REF!,"=")</f>
        <v>#REF!</v>
      </c>
      <c r="AE104" s="126" t="e">
        <f>SUMIFS('Portefeuille SP2'!#REF!,'Portefeuille SP2'!#REF!,1,'Portefeuille SP2'!$Q:$Q,"DECIDED",'Portefeuille SP2'!#REF!,"R",'Portefeuille SP2'!$D:$D,$A104,'Portefeuille SP2'!#REF!,"o",'Portefeuille SP2'!#REF!,"=")</f>
        <v>#REF!</v>
      </c>
      <c r="AF104" s="117" t="e">
        <f>SUMIFS('Portefeuille SP2'!#REF!,'Portefeuille SP2'!#REF!,1,'Portefeuille SP2'!$Q:$Q,"DECIDED",'Portefeuille SP2'!#REF!,"R",'Portefeuille SP2'!$D:$D,$A104,'Portefeuille SP2'!#REF!,"o",'Portefeuille SP2'!#REF!,"=")</f>
        <v>#REF!</v>
      </c>
      <c r="AG104" s="111" t="e">
        <f>SUMIFS('Portefeuille SP2'!$U:$U,'Portefeuille SP2'!#REF!,1,'Portefeuille SP2'!$Q:$Q,"DECIDED",'Portefeuille SP2'!#REF!,"G",'Portefeuille SP2'!$D:$D,$A104,'Portefeuille SP2'!#REF!,"o",'Portefeuille SP2'!#REF!,"&lt;&gt;")</f>
        <v>#REF!</v>
      </c>
      <c r="AH104" s="126" t="e">
        <f>SUMIFS('Portefeuille SP2'!#REF!,'Portefeuille SP2'!#REF!,1,'Portefeuille SP2'!$Q:$Q,"DECIDED",'Portefeuille SP2'!#REF!,"G",'Portefeuille SP2'!$D:$D,$A104,'Portefeuille SP2'!#REF!,"o",'Portefeuille SP2'!#REF!,"&lt;&gt;")</f>
        <v>#REF!</v>
      </c>
      <c r="AI104" s="117" t="e">
        <f>SUMIFS('Portefeuille SP2'!#REF!,'Portefeuille SP2'!#REF!,1,'Portefeuille SP2'!$Q:$Q,"DECIDED",'Portefeuille SP2'!#REF!,"G",'Portefeuille SP2'!$D:$D,$A104,'Portefeuille SP2'!#REF!,"o",'Portefeuille SP2'!#REF!,"&lt;&gt;")</f>
        <v>#REF!</v>
      </c>
      <c r="AJ104" s="111" t="e">
        <f>SUMIFS('Portefeuille SP2'!$U:$U,'Portefeuille SP2'!#REF!,1,'Portefeuille SP2'!$Q:$Q,"DECIDED",'Portefeuille SP2'!#REF!,"R",'Portefeuille SP2'!$D:$D,$A104,'Portefeuille SP2'!#REF!,"o",'Portefeuille SP2'!#REF!,"&lt;&gt;")</f>
        <v>#REF!</v>
      </c>
      <c r="AK104" s="126" t="e">
        <f>SUMIFS('Portefeuille SP2'!#REF!,'Portefeuille SP2'!#REF!,1,'Portefeuille SP2'!$Q:$Q,"DECIDED",'Portefeuille SP2'!#REF!,"R",'Portefeuille SP2'!$D:$D,$A104,'Portefeuille SP2'!#REF!,"o",'Portefeuille SP2'!#REF!,"&lt;&gt;")</f>
        <v>#REF!</v>
      </c>
      <c r="AL104" s="117" t="e">
        <f>SUMIFS('Portefeuille SP2'!#REF!,'Portefeuille SP2'!#REF!,1,'Portefeuille SP2'!$Q:$Q,"DECIDED",'Portefeuille SP2'!#REF!,"R",'Portefeuille SP2'!$D:$D,$A104,'Portefeuille SP2'!#REF!,"o",'Portefeuille SP2'!#REF!,"&lt;&gt;")</f>
        <v>#REF!</v>
      </c>
      <c r="AM104" s="117"/>
      <c r="AO104" s="114" t="e">
        <f>SUM(AO94:AO103)</f>
        <v>#REF!</v>
      </c>
      <c r="AP104" s="117" t="e">
        <f t="shared" ref="AP104:AQ104" si="705">SUM(AP94:AP103)</f>
        <v>#REF!</v>
      </c>
      <c r="AQ104" s="117" t="e">
        <f t="shared" si="705"/>
        <v>#REF!</v>
      </c>
      <c r="AR104" s="114" t="e">
        <f>SUM(AR94:AR103)</f>
        <v>#REF!</v>
      </c>
      <c r="AS104" s="117" t="e">
        <f t="shared" ref="AS104:BF104" si="706">SUM(AS94:AS103)</f>
        <v>#REF!</v>
      </c>
      <c r="AT104" s="117" t="e">
        <f t="shared" si="706"/>
        <v>#REF!</v>
      </c>
      <c r="AU104" s="114" t="e">
        <f t="shared" si="706"/>
        <v>#REF!</v>
      </c>
      <c r="AV104" s="117" t="e">
        <f t="shared" si="706"/>
        <v>#REF!</v>
      </c>
      <c r="AW104" s="117" t="e">
        <f t="shared" si="706"/>
        <v>#REF!</v>
      </c>
      <c r="AX104" s="114" t="e">
        <f t="shared" si="706"/>
        <v>#REF!</v>
      </c>
      <c r="AY104" s="117" t="e">
        <f t="shared" si="706"/>
        <v>#REF!</v>
      </c>
      <c r="AZ104" s="117" t="e">
        <f t="shared" si="706"/>
        <v>#REF!</v>
      </c>
      <c r="BA104" s="114" t="e">
        <f t="shared" si="706"/>
        <v>#REF!</v>
      </c>
      <c r="BB104" s="117" t="e">
        <f t="shared" si="706"/>
        <v>#REF!</v>
      </c>
      <c r="BC104" s="117" t="e">
        <f t="shared" si="706"/>
        <v>#REF!</v>
      </c>
      <c r="BD104" s="114" t="e">
        <f t="shared" si="706"/>
        <v>#REF!</v>
      </c>
      <c r="BE104" s="117" t="e">
        <f t="shared" si="706"/>
        <v>#REF!</v>
      </c>
      <c r="BF104" s="117" t="e">
        <f t="shared" si="706"/>
        <v>#REF!</v>
      </c>
      <c r="BH104" s="114" t="e">
        <f>SUM(BH94:BH103)</f>
        <v>#REF!</v>
      </c>
      <c r="BI104" s="117" t="e">
        <f t="shared" ref="BI104:BJ104" si="707">SUM(BI94:BI103)</f>
        <v>#REF!</v>
      </c>
      <c r="BJ104" s="117" t="e">
        <f t="shared" si="707"/>
        <v>#REF!</v>
      </c>
      <c r="BK104" s="114" t="e">
        <f>SUM(BK94:BK103)</f>
        <v>#REF!</v>
      </c>
      <c r="BL104" s="117" t="e">
        <f t="shared" ref="BL104:BY104" si="708">SUM(BL94:BL103)</f>
        <v>#REF!</v>
      </c>
      <c r="BM104" s="117" t="e">
        <f t="shared" si="708"/>
        <v>#REF!</v>
      </c>
      <c r="BN104" s="114" t="e">
        <f t="shared" si="708"/>
        <v>#REF!</v>
      </c>
      <c r="BO104" s="117" t="e">
        <f t="shared" si="708"/>
        <v>#REF!</v>
      </c>
      <c r="BP104" s="117" t="e">
        <f t="shared" si="708"/>
        <v>#REF!</v>
      </c>
      <c r="BQ104" s="114" t="e">
        <f t="shared" si="708"/>
        <v>#REF!</v>
      </c>
      <c r="BR104" s="117" t="e">
        <f t="shared" si="708"/>
        <v>#REF!</v>
      </c>
      <c r="BS104" s="117" t="e">
        <f t="shared" si="708"/>
        <v>#REF!</v>
      </c>
      <c r="BT104" s="114" t="e">
        <f t="shared" si="708"/>
        <v>#REF!</v>
      </c>
      <c r="BU104" s="117" t="e">
        <f t="shared" si="708"/>
        <v>#REF!</v>
      </c>
      <c r="BV104" s="117" t="e">
        <f t="shared" si="708"/>
        <v>#REF!</v>
      </c>
      <c r="BW104" s="114" t="e">
        <f t="shared" si="708"/>
        <v>#REF!</v>
      </c>
      <c r="BX104" s="117" t="e">
        <f t="shared" si="708"/>
        <v>#REF!</v>
      </c>
      <c r="BY104" s="117" t="e">
        <f t="shared" si="708"/>
        <v>#REF!</v>
      </c>
    </row>
    <row r="105" spans="1:77" outlineLevel="1">
      <c r="A105" t="s">
        <v>1320</v>
      </c>
      <c r="B105" s="139" t="e">
        <f>SUMIFS('Portefeuille SP2'!$U:$U,'Portefeuille SP2'!#REF!,1,'Portefeuille SP2'!$Q:$Q,"IN PROGRESS",'Portefeuille SP2'!#REF!,"G",'Portefeuille SP2'!$D:$D,$A105,'Portefeuille SP2'!#REF!,"S")</f>
        <v>#REF!</v>
      </c>
      <c r="C105" s="126" t="e">
        <f>SUMIFS('Portefeuille SP2'!#REF!,'Portefeuille SP2'!#REF!,1,'Portefeuille SP2'!$Q:$Q,"IN PROGRESS",'Portefeuille SP2'!#REF!,"G",'Portefeuille SP2'!$D:$D,$A105,'Portefeuille SP2'!#REF!,"S")</f>
        <v>#REF!</v>
      </c>
      <c r="D105" s="122" t="e">
        <f>SUMIFS('Portefeuille SP2'!#REF!,'Portefeuille SP2'!#REF!,1,'Portefeuille SP2'!$Q:$Q,"IN PROGRESS",'Portefeuille SP2'!#REF!,"G",'Portefeuille SP2'!$D:$D,$A105,'Portefeuille SP2'!#REF!,"S")</f>
        <v>#REF!</v>
      </c>
      <c r="E105" s="111" t="e">
        <f>SUMIFS('Portefeuille SP2'!$U:$U,'Portefeuille SP2'!#REF!,1,'Portefeuille SP2'!$Q:$Q,"IN PROGRESS",'Portefeuille SP2'!#REF!,"R",'Portefeuille SP2'!$D:$D,$A105,'Portefeuille SP2'!#REF!,"S")</f>
        <v>#REF!</v>
      </c>
      <c r="F105" s="126" t="e">
        <f>SUMIFS('Portefeuille SP2'!#REF!,'Portefeuille SP2'!#REF!,1,'Portefeuille SP2'!$Q:$Q,"IN PROGRESS",'Portefeuille SP2'!#REF!,"R",'Portefeuille SP2'!$D:$D,$A105,'Portefeuille SP2'!#REF!,"S")</f>
        <v>#REF!</v>
      </c>
      <c r="G105" s="117" t="e">
        <f>SUMIFS('Portefeuille SP2'!#REF!,'Portefeuille SP2'!#REF!,1,'Portefeuille SP2'!$Q:$Q,"IN PROGRESS",'Portefeuille SP2'!#REF!,"R",'Portefeuille SP2'!$D:$D,$A105,'Portefeuille SP2'!#REF!,"S")</f>
        <v>#REF!</v>
      </c>
      <c r="H105" s="111" t="e">
        <f>SUMIFS('Portefeuille SP2'!$U:$U,'Portefeuille SP2'!#REF!,1,'Portefeuille SP2'!$Q:$Q,"DECIDED",'Portefeuille SP2'!#REF!,"G",'Portefeuille SP2'!$D:$D,$A105,'Portefeuille SP2'!#REF!,"S",'Portefeuille SP2'!#REF!,"=")</f>
        <v>#REF!</v>
      </c>
      <c r="I105" s="117" t="e">
        <f>SUMIFS('Portefeuille SP2'!#REF!,'Portefeuille SP2'!#REF!,1,'Portefeuille SP2'!$Q:$Q,"DECIDED",'Portefeuille SP2'!#REF!,"G",'Portefeuille SP2'!$D:$D,$A105,'Portefeuille SP2'!#REF!,"S",'Portefeuille SP2'!#REF!,"=")</f>
        <v>#REF!</v>
      </c>
      <c r="J105" s="117" t="e">
        <f>SUMIFS('Portefeuille SP2'!#REF!,'Portefeuille SP2'!#REF!,1,'Portefeuille SP2'!$Q:$Q,"DECIDED",'Portefeuille SP2'!#REF!,"G",'Portefeuille SP2'!$D:$D,$A105,'Portefeuille SP2'!#REF!,"S",'Portefeuille SP2'!#REF!,"=")</f>
        <v>#REF!</v>
      </c>
      <c r="K105" s="111" t="e">
        <f>SUMIFS('Portefeuille SP2'!$U:$U,'Portefeuille SP2'!#REF!,1,'Portefeuille SP2'!$Q:$Q,"DECIDED",'Portefeuille SP2'!#REF!,"R",'Portefeuille SP2'!$D:$D,$A105,'Portefeuille SP2'!#REF!,"S",'Portefeuille SP2'!#REF!,"=")</f>
        <v>#REF!</v>
      </c>
      <c r="L105" s="126" t="e">
        <f>SUMIFS('Portefeuille SP2'!#REF!,'Portefeuille SP2'!#REF!,1,'Portefeuille SP2'!$Q:$Q,"DECIDED",'Portefeuille SP2'!#REF!,"R",'Portefeuille SP2'!$D:$D,$A105,'Portefeuille SP2'!#REF!,"S",'Portefeuille SP2'!#REF!,"=")</f>
        <v>#REF!</v>
      </c>
      <c r="M105" s="117" t="e">
        <f>SUMIFS('Portefeuille SP2'!#REF!,'Portefeuille SP2'!#REF!,1,'Portefeuille SP2'!$Q:$Q,"DECIDED",'Portefeuille SP2'!#REF!,"R",'Portefeuille SP2'!$D:$D,$A105,'Portefeuille SP2'!#REF!,"S",'Portefeuille SP2'!#REF!,"=")</f>
        <v>#REF!</v>
      </c>
      <c r="N105" s="111" t="e">
        <f>SUMIFS('Portefeuille SP2'!$U:$U,'Portefeuille SP2'!#REF!,1,'Portefeuille SP2'!$Q:$Q,"DECIDED",'Portefeuille SP2'!#REF!,"G",'Portefeuille SP2'!$D:$D,$A105,'Portefeuille SP2'!#REF!,"S",'Portefeuille SP2'!#REF!,"&lt;&gt;")</f>
        <v>#REF!</v>
      </c>
      <c r="O105" s="126" t="e">
        <f>SUMIFS('Portefeuille SP2'!#REF!,'Portefeuille SP2'!#REF!,1,'Portefeuille SP2'!$Q:$Q,"DECIDED",'Portefeuille SP2'!#REF!,"G",'Portefeuille SP2'!$D:$D,$A105,'Portefeuille SP2'!#REF!,"S",'Portefeuille SP2'!#REF!,"&lt;&gt;")</f>
        <v>#REF!</v>
      </c>
      <c r="P105" s="117" t="e">
        <f>SUMIFS('Portefeuille SP2'!#REF!,'Portefeuille SP2'!#REF!,1,'Portefeuille SP2'!$Q:$Q,"DECIDED",'Portefeuille SP2'!#REF!,"G",'Portefeuille SP2'!$D:$D,$A105,'Portefeuille SP2'!#REF!,"S",'Portefeuille SP2'!#REF!,"&lt;&gt;")</f>
        <v>#REF!</v>
      </c>
      <c r="Q105" s="111" t="e">
        <f>SUMIFS('Portefeuille SP2'!$U:$U,'Portefeuille SP2'!#REF!,1,'Portefeuille SP2'!$Q:$Q,"DECIDED",'Portefeuille SP2'!#REF!,"R",'Portefeuille SP2'!$D:$D,$A105,'Portefeuille SP2'!#REF!,"S",'Portefeuille SP2'!#REF!,"&lt;&gt;")</f>
        <v>#REF!</v>
      </c>
      <c r="R105" s="126" t="e">
        <f>SUMIFS('Portefeuille SP2'!#REF!,'Portefeuille SP2'!#REF!,1,'Portefeuille SP2'!$Q:$Q,"DECIDED",'Portefeuille SP2'!#REF!,"R",'Portefeuille SP2'!$D:$D,$A105,'Portefeuille SP2'!#REF!,"S",'Portefeuille SP2'!#REF!,"&lt;&gt;")</f>
        <v>#REF!</v>
      </c>
      <c r="S105" s="122" t="e">
        <f>SUMIFS('Portefeuille SP2'!#REF!,'Portefeuille SP2'!#REF!,1,'Portefeuille SP2'!$Q:$Q,"DECIDED",'Portefeuille SP2'!#REF!,"R",'Portefeuille SP2'!$D:$D,$A105,'Portefeuille SP2'!#REF!,"S",'Portefeuille SP2'!#REF!,"&lt;&gt;")</f>
        <v>#REF!</v>
      </c>
      <c r="U105" s="111" t="e">
        <f>SUMIFS('Portefeuille SP2'!$U:$U,'Portefeuille SP2'!#REF!,1,'Portefeuille SP2'!$Q:$Q,"IN PROGRESS",'Portefeuille SP2'!#REF!,"G",'Portefeuille SP2'!$D:$D,$A105,'Portefeuille SP2'!#REF!,"O")</f>
        <v>#REF!</v>
      </c>
      <c r="V105" s="126" t="e">
        <f>SUMIFS('Portefeuille SP2'!#REF!,'Portefeuille SP2'!#REF!,1,'Portefeuille SP2'!$Q:$Q,"IN PROGRESS",'Portefeuille SP2'!#REF!,"G",'Portefeuille SP2'!$D:$D,$A105,'Portefeuille SP2'!#REF!,"o")</f>
        <v>#REF!</v>
      </c>
      <c r="W105" s="117" t="e">
        <f>SUMIFS('Portefeuille SP2'!#REF!,'Portefeuille SP2'!#REF!,1,'Portefeuille SP2'!$Q:$Q,"IN PROGRESS",'Portefeuille SP2'!#REF!,"G",'Portefeuille SP2'!$D:$D,$A105,'Portefeuille SP2'!#REF!,"o")</f>
        <v>#REF!</v>
      </c>
      <c r="X105" s="111" t="e">
        <f>SUMIFS('Portefeuille SP2'!$U:$U,'Portefeuille SP2'!#REF!,1,'Portefeuille SP2'!$Q:$Q,"IN PROGRESS",'Portefeuille SP2'!#REF!,"R",'Portefeuille SP2'!$D:$D,$A105,'Portefeuille SP2'!#REF!,"o")</f>
        <v>#REF!</v>
      </c>
      <c r="Y105" s="126" t="e">
        <f>SUMIFS('Portefeuille SP2'!#REF!,'Portefeuille SP2'!#REF!,1,'Portefeuille SP2'!$Q:$Q,"IN PROGRESS",'Portefeuille SP2'!#REF!,"R",'Portefeuille SP2'!$D:$D,$A105,'Portefeuille SP2'!#REF!,"o")</f>
        <v>#REF!</v>
      </c>
      <c r="Z105" s="117" t="e">
        <f>SUMIFS('Portefeuille SP2'!#REF!,'Portefeuille SP2'!#REF!,1,'Portefeuille SP2'!$Q:$Q,"IN PROGRESS",'Portefeuille SP2'!#REF!,"R",'Portefeuille SP2'!$D:$D,$A105,'Portefeuille SP2'!#REF!,"o")</f>
        <v>#REF!</v>
      </c>
      <c r="AA105" s="111" t="e">
        <f>SUMIFS('Portefeuille SP2'!$U:$U,'Portefeuille SP2'!#REF!,1,'Portefeuille SP2'!$Q:$Q,"DECIDED",'Portefeuille SP2'!#REF!,"G",'Portefeuille SP2'!$D:$D,$A105,'Portefeuille SP2'!#REF!,"o",'Portefeuille SP2'!#REF!,"=")</f>
        <v>#REF!</v>
      </c>
      <c r="AB105" s="126" t="e">
        <f>SUMIFS('Portefeuille SP2'!#REF!,'Portefeuille SP2'!#REF!,1,'Portefeuille SP2'!$Q:$Q,"DECIDED",'Portefeuille SP2'!#REF!,"G",'Portefeuille SP2'!$D:$D,$A105,'Portefeuille SP2'!#REF!,"o",'Portefeuille SP2'!#REF!,"=")</f>
        <v>#REF!</v>
      </c>
      <c r="AC105" s="117" t="e">
        <f>SUMIFS('Portefeuille SP2'!#REF!,'Portefeuille SP2'!#REF!,1,'Portefeuille SP2'!$Q:$Q,"DECIDED",'Portefeuille SP2'!#REF!,"G",'Portefeuille SP2'!$D:$D,$A105,'Portefeuille SP2'!#REF!,"o",'Portefeuille SP2'!#REF!,"=")</f>
        <v>#REF!</v>
      </c>
      <c r="AD105" s="111" t="e">
        <f>SUMIFS('Portefeuille SP2'!$U:$U,'Portefeuille SP2'!#REF!,1,'Portefeuille SP2'!$Q:$Q,"DECIDED",'Portefeuille SP2'!#REF!,"R",'Portefeuille SP2'!$D:$D,$A105,'Portefeuille SP2'!#REF!,"o",'Portefeuille SP2'!#REF!,"=")</f>
        <v>#REF!</v>
      </c>
      <c r="AE105" s="126" t="e">
        <f>SUMIFS('Portefeuille SP2'!#REF!,'Portefeuille SP2'!#REF!,1,'Portefeuille SP2'!$Q:$Q,"DECIDED",'Portefeuille SP2'!#REF!,"R",'Portefeuille SP2'!$D:$D,$A105,'Portefeuille SP2'!#REF!,"o",'Portefeuille SP2'!#REF!,"=")</f>
        <v>#REF!</v>
      </c>
      <c r="AF105" s="117" t="e">
        <f>SUMIFS('Portefeuille SP2'!#REF!,'Portefeuille SP2'!#REF!,1,'Portefeuille SP2'!$Q:$Q,"DECIDED",'Portefeuille SP2'!#REF!,"R",'Portefeuille SP2'!$D:$D,$A105,'Portefeuille SP2'!#REF!,"o",'Portefeuille SP2'!#REF!,"=")</f>
        <v>#REF!</v>
      </c>
      <c r="AG105" s="111" t="e">
        <f>SUMIFS('Portefeuille SP2'!$U:$U,'Portefeuille SP2'!#REF!,1,'Portefeuille SP2'!$Q:$Q,"DECIDED",'Portefeuille SP2'!#REF!,"G",'Portefeuille SP2'!$D:$D,$A105,'Portefeuille SP2'!#REF!,"o",'Portefeuille SP2'!#REF!,"&lt;&gt;")</f>
        <v>#REF!</v>
      </c>
      <c r="AH105" s="126" t="e">
        <f>SUMIFS('Portefeuille SP2'!#REF!,'Portefeuille SP2'!#REF!,1,'Portefeuille SP2'!$Q:$Q,"DECIDED",'Portefeuille SP2'!#REF!,"G",'Portefeuille SP2'!$D:$D,$A105,'Portefeuille SP2'!#REF!,"o",'Portefeuille SP2'!#REF!,"&lt;&gt;")</f>
        <v>#REF!</v>
      </c>
      <c r="AI105" s="117" t="e">
        <f>SUMIFS('Portefeuille SP2'!#REF!,'Portefeuille SP2'!#REF!,1,'Portefeuille SP2'!$Q:$Q,"DECIDED",'Portefeuille SP2'!#REF!,"G",'Portefeuille SP2'!$D:$D,$A105,'Portefeuille SP2'!#REF!,"o",'Portefeuille SP2'!#REF!,"&lt;&gt;")</f>
        <v>#REF!</v>
      </c>
      <c r="AJ105" s="111" t="e">
        <f>SUMIFS('Portefeuille SP2'!$U:$U,'Portefeuille SP2'!#REF!,1,'Portefeuille SP2'!$Q:$Q,"DECIDED",'Portefeuille SP2'!#REF!,"R",'Portefeuille SP2'!$D:$D,$A105,'Portefeuille SP2'!#REF!,"o",'Portefeuille SP2'!#REF!,"&lt;&gt;")</f>
        <v>#REF!</v>
      </c>
      <c r="AK105" s="126" t="e">
        <f>SUMIFS('Portefeuille SP2'!#REF!,'Portefeuille SP2'!#REF!,1,'Portefeuille SP2'!$Q:$Q,"DECIDED",'Portefeuille SP2'!#REF!,"R",'Portefeuille SP2'!$D:$D,$A105,'Portefeuille SP2'!#REF!,"o",'Portefeuille SP2'!#REF!,"&lt;&gt;")</f>
        <v>#REF!</v>
      </c>
      <c r="AL105" s="117" t="e">
        <f>SUMIFS('Portefeuille SP2'!#REF!,'Portefeuille SP2'!#REF!,1,'Portefeuille SP2'!$Q:$Q,"DECIDED",'Portefeuille SP2'!#REF!,"R",'Portefeuille SP2'!$D:$D,$A105,'Portefeuille SP2'!#REF!,"o",'Portefeuille SP2'!#REF!,"&lt;&gt;")</f>
        <v>#REF!</v>
      </c>
      <c r="AM105" s="117"/>
      <c r="AO105" s="131" t="e">
        <f>AO104-AP104-AQ104</f>
        <v>#REF!</v>
      </c>
      <c r="AP105" s="132"/>
      <c r="AQ105" s="132"/>
      <c r="AR105" s="131" t="e">
        <f>AR104-AS104-AT104</f>
        <v>#REF!</v>
      </c>
      <c r="AS105" s="132"/>
      <c r="AT105" s="132"/>
      <c r="AU105" s="131" t="e">
        <f>AU104-AV104-AW104</f>
        <v>#REF!</v>
      </c>
      <c r="AV105" s="133"/>
      <c r="AW105" s="133"/>
      <c r="AX105" s="131" t="e">
        <f>AX104-AY104-AZ104</f>
        <v>#REF!</v>
      </c>
      <c r="AY105" s="132"/>
      <c r="AZ105" s="132"/>
      <c r="BA105" s="131" t="e">
        <f>BA104-BB104-BC104</f>
        <v>#REF!</v>
      </c>
      <c r="BB105" s="132"/>
      <c r="BC105" s="132"/>
      <c r="BD105" s="131" t="e">
        <f>BD104-BE104-BF104</f>
        <v>#REF!</v>
      </c>
      <c r="BE105" s="133"/>
      <c r="BF105" s="133"/>
      <c r="BG105" s="137"/>
      <c r="BH105" s="131" t="e">
        <f>BH104-BI104-BJ104</f>
        <v>#REF!</v>
      </c>
      <c r="BI105" s="132"/>
      <c r="BJ105" s="132"/>
      <c r="BK105" s="131" t="e">
        <f>BK104-BL104-BM104</f>
        <v>#REF!</v>
      </c>
      <c r="BL105" s="132"/>
      <c r="BM105" s="132"/>
      <c r="BN105" s="131" t="e">
        <f>BN104-BO104-BP104</f>
        <v>#REF!</v>
      </c>
      <c r="BO105" s="133"/>
      <c r="BP105" s="133"/>
      <c r="BQ105" s="131" t="e">
        <f>BQ104-BR104-BS104</f>
        <v>#REF!</v>
      </c>
      <c r="BR105" s="132"/>
      <c r="BS105" s="132"/>
      <c r="BT105" s="131" t="e">
        <f>BT104-BU104-BV104</f>
        <v>#REF!</v>
      </c>
      <c r="BU105" s="132"/>
      <c r="BV105" s="132"/>
      <c r="BW105" s="131" t="e">
        <f>BW104-BX104-BY104</f>
        <v>#REF!</v>
      </c>
      <c r="BX105" s="133"/>
      <c r="BY105" s="133"/>
    </row>
    <row r="106" spans="1:77" outlineLevel="1">
      <c r="A106" t="s">
        <v>1321</v>
      </c>
      <c r="B106" s="139" t="e">
        <f>SUMIFS('Portefeuille SP2'!$U:$U,'Portefeuille SP2'!#REF!,1,'Portefeuille SP2'!$Q:$Q,"IN PROGRESS",'Portefeuille SP2'!#REF!,"G",'Portefeuille SP2'!$D:$D,$A106,'Portefeuille SP2'!#REF!,"S")</f>
        <v>#REF!</v>
      </c>
      <c r="C106" s="126" t="e">
        <f>SUMIFS('Portefeuille SP2'!#REF!,'Portefeuille SP2'!#REF!,1,'Portefeuille SP2'!$Q:$Q,"IN PROGRESS",'Portefeuille SP2'!#REF!,"G",'Portefeuille SP2'!$D:$D,$A106,'Portefeuille SP2'!#REF!,"S")</f>
        <v>#REF!</v>
      </c>
      <c r="D106" s="122" t="e">
        <f>SUMIFS('Portefeuille SP2'!#REF!,'Portefeuille SP2'!#REF!,1,'Portefeuille SP2'!$Q:$Q,"IN PROGRESS",'Portefeuille SP2'!#REF!,"G",'Portefeuille SP2'!$D:$D,$A106,'Portefeuille SP2'!#REF!,"S")</f>
        <v>#REF!</v>
      </c>
      <c r="E106" s="111" t="e">
        <f>SUMIFS('Portefeuille SP2'!$U:$U,'Portefeuille SP2'!#REF!,1,'Portefeuille SP2'!$Q:$Q,"IN PROGRESS",'Portefeuille SP2'!#REF!,"R",'Portefeuille SP2'!$D:$D,$A106,'Portefeuille SP2'!#REF!,"S")</f>
        <v>#REF!</v>
      </c>
      <c r="F106" s="126" t="e">
        <f>SUMIFS('Portefeuille SP2'!#REF!,'Portefeuille SP2'!#REF!,1,'Portefeuille SP2'!$Q:$Q,"IN PROGRESS",'Portefeuille SP2'!#REF!,"R",'Portefeuille SP2'!$D:$D,$A106,'Portefeuille SP2'!#REF!,"S")</f>
        <v>#REF!</v>
      </c>
      <c r="G106" s="117" t="e">
        <f>SUMIFS('Portefeuille SP2'!#REF!,'Portefeuille SP2'!#REF!,1,'Portefeuille SP2'!$Q:$Q,"IN PROGRESS",'Portefeuille SP2'!#REF!,"R",'Portefeuille SP2'!$D:$D,$A106,'Portefeuille SP2'!#REF!,"S")</f>
        <v>#REF!</v>
      </c>
      <c r="H106" s="111" t="e">
        <f>SUMIFS('Portefeuille SP2'!$U:$U,'Portefeuille SP2'!#REF!,1,'Portefeuille SP2'!$Q:$Q,"DECIDED",'Portefeuille SP2'!#REF!,"G",'Portefeuille SP2'!$D:$D,$A106,'Portefeuille SP2'!#REF!,"S",'Portefeuille SP2'!#REF!,"=")</f>
        <v>#REF!</v>
      </c>
      <c r="I106" s="117" t="e">
        <f>SUMIFS('Portefeuille SP2'!#REF!,'Portefeuille SP2'!#REF!,1,'Portefeuille SP2'!$Q:$Q,"DECIDED",'Portefeuille SP2'!#REF!,"G",'Portefeuille SP2'!$D:$D,$A106,'Portefeuille SP2'!#REF!,"S",'Portefeuille SP2'!#REF!,"=")</f>
        <v>#REF!</v>
      </c>
      <c r="J106" s="117" t="e">
        <f>SUMIFS('Portefeuille SP2'!#REF!,'Portefeuille SP2'!#REF!,1,'Portefeuille SP2'!$Q:$Q,"DECIDED",'Portefeuille SP2'!#REF!,"G",'Portefeuille SP2'!$D:$D,$A106,'Portefeuille SP2'!#REF!,"S",'Portefeuille SP2'!#REF!,"=")</f>
        <v>#REF!</v>
      </c>
      <c r="K106" s="111" t="e">
        <f>SUMIFS('Portefeuille SP2'!$U:$U,'Portefeuille SP2'!#REF!,1,'Portefeuille SP2'!$Q:$Q,"DECIDED",'Portefeuille SP2'!#REF!,"R",'Portefeuille SP2'!$D:$D,$A106,'Portefeuille SP2'!#REF!,"S",'Portefeuille SP2'!#REF!,"=")</f>
        <v>#REF!</v>
      </c>
      <c r="L106" s="126" t="e">
        <f>SUMIFS('Portefeuille SP2'!#REF!,'Portefeuille SP2'!#REF!,1,'Portefeuille SP2'!$Q:$Q,"DECIDED",'Portefeuille SP2'!#REF!,"R",'Portefeuille SP2'!$D:$D,$A106,'Portefeuille SP2'!#REF!,"S",'Portefeuille SP2'!#REF!,"=")</f>
        <v>#REF!</v>
      </c>
      <c r="M106" s="117" t="e">
        <f>SUMIFS('Portefeuille SP2'!#REF!,'Portefeuille SP2'!#REF!,1,'Portefeuille SP2'!$Q:$Q,"DECIDED",'Portefeuille SP2'!#REF!,"R",'Portefeuille SP2'!$D:$D,$A106,'Portefeuille SP2'!#REF!,"S",'Portefeuille SP2'!#REF!,"=")</f>
        <v>#REF!</v>
      </c>
      <c r="N106" s="111" t="e">
        <f>SUMIFS('Portefeuille SP2'!$U:$U,'Portefeuille SP2'!#REF!,1,'Portefeuille SP2'!$Q:$Q,"DECIDED",'Portefeuille SP2'!#REF!,"G",'Portefeuille SP2'!$D:$D,$A106,'Portefeuille SP2'!#REF!,"S",'Portefeuille SP2'!#REF!,"&lt;&gt;")</f>
        <v>#REF!</v>
      </c>
      <c r="O106" s="126" t="e">
        <f>SUMIFS('Portefeuille SP2'!#REF!,'Portefeuille SP2'!#REF!,1,'Portefeuille SP2'!$Q:$Q,"DECIDED",'Portefeuille SP2'!#REF!,"G",'Portefeuille SP2'!$D:$D,$A106,'Portefeuille SP2'!#REF!,"S",'Portefeuille SP2'!#REF!,"&lt;&gt;")</f>
        <v>#REF!</v>
      </c>
      <c r="P106" s="117" t="e">
        <f>SUMIFS('Portefeuille SP2'!#REF!,'Portefeuille SP2'!#REF!,1,'Portefeuille SP2'!$Q:$Q,"DECIDED",'Portefeuille SP2'!#REF!,"G",'Portefeuille SP2'!$D:$D,$A106,'Portefeuille SP2'!#REF!,"S",'Portefeuille SP2'!#REF!,"&lt;&gt;")</f>
        <v>#REF!</v>
      </c>
      <c r="Q106" s="111" t="e">
        <f>SUMIFS('Portefeuille SP2'!$U:$U,'Portefeuille SP2'!#REF!,1,'Portefeuille SP2'!$Q:$Q,"DECIDED",'Portefeuille SP2'!#REF!,"R",'Portefeuille SP2'!$D:$D,$A106,'Portefeuille SP2'!#REF!,"S",'Portefeuille SP2'!#REF!,"&lt;&gt;")</f>
        <v>#REF!</v>
      </c>
      <c r="R106" s="126" t="e">
        <f>SUMIFS('Portefeuille SP2'!#REF!,'Portefeuille SP2'!#REF!,1,'Portefeuille SP2'!$Q:$Q,"DECIDED",'Portefeuille SP2'!#REF!,"R",'Portefeuille SP2'!$D:$D,$A106,'Portefeuille SP2'!#REF!,"S",'Portefeuille SP2'!#REF!,"&lt;&gt;")</f>
        <v>#REF!</v>
      </c>
      <c r="S106" s="122" t="e">
        <f>SUMIFS('Portefeuille SP2'!#REF!,'Portefeuille SP2'!#REF!,1,'Portefeuille SP2'!$Q:$Q,"DECIDED",'Portefeuille SP2'!#REF!,"R",'Portefeuille SP2'!$D:$D,$A106,'Portefeuille SP2'!#REF!,"S",'Portefeuille SP2'!#REF!,"&lt;&gt;")</f>
        <v>#REF!</v>
      </c>
      <c r="U106" s="111" t="e">
        <f>SUMIFS('Portefeuille SP2'!$U:$U,'Portefeuille SP2'!#REF!,1,'Portefeuille SP2'!$Q:$Q,"IN PROGRESS",'Portefeuille SP2'!#REF!,"G",'Portefeuille SP2'!$D:$D,$A106,'Portefeuille SP2'!#REF!,"O")</f>
        <v>#REF!</v>
      </c>
      <c r="V106" s="126" t="e">
        <f>SUMIFS('Portefeuille SP2'!#REF!,'Portefeuille SP2'!#REF!,1,'Portefeuille SP2'!$Q:$Q,"IN PROGRESS",'Portefeuille SP2'!#REF!,"G",'Portefeuille SP2'!$D:$D,$A106,'Portefeuille SP2'!#REF!,"o")</f>
        <v>#REF!</v>
      </c>
      <c r="W106" s="117" t="e">
        <f>SUMIFS('Portefeuille SP2'!#REF!,'Portefeuille SP2'!#REF!,1,'Portefeuille SP2'!$Q:$Q,"IN PROGRESS",'Portefeuille SP2'!#REF!,"G",'Portefeuille SP2'!$D:$D,$A106,'Portefeuille SP2'!#REF!,"o")</f>
        <v>#REF!</v>
      </c>
      <c r="X106" s="111" t="e">
        <f>SUMIFS('Portefeuille SP2'!$U:$U,'Portefeuille SP2'!#REF!,1,'Portefeuille SP2'!$Q:$Q,"IN PROGRESS",'Portefeuille SP2'!#REF!,"R",'Portefeuille SP2'!$D:$D,$A106,'Portefeuille SP2'!#REF!,"o")</f>
        <v>#REF!</v>
      </c>
      <c r="Y106" s="126" t="e">
        <f>SUMIFS('Portefeuille SP2'!#REF!,'Portefeuille SP2'!#REF!,1,'Portefeuille SP2'!$Q:$Q,"IN PROGRESS",'Portefeuille SP2'!#REF!,"R",'Portefeuille SP2'!$D:$D,$A106,'Portefeuille SP2'!#REF!,"o")</f>
        <v>#REF!</v>
      </c>
      <c r="Z106" s="117" t="e">
        <f>SUMIFS('Portefeuille SP2'!#REF!,'Portefeuille SP2'!#REF!,1,'Portefeuille SP2'!$Q:$Q,"IN PROGRESS",'Portefeuille SP2'!#REF!,"R",'Portefeuille SP2'!$D:$D,$A106,'Portefeuille SP2'!#REF!,"o")</f>
        <v>#REF!</v>
      </c>
      <c r="AA106" s="111" t="e">
        <f>SUMIFS('Portefeuille SP2'!$U:$U,'Portefeuille SP2'!#REF!,1,'Portefeuille SP2'!$Q:$Q,"DECIDED",'Portefeuille SP2'!#REF!,"G",'Portefeuille SP2'!$D:$D,$A106,'Portefeuille SP2'!#REF!,"o",'Portefeuille SP2'!#REF!,"=")</f>
        <v>#REF!</v>
      </c>
      <c r="AB106" s="126" t="e">
        <f>SUMIFS('Portefeuille SP2'!#REF!,'Portefeuille SP2'!#REF!,1,'Portefeuille SP2'!$Q:$Q,"DECIDED",'Portefeuille SP2'!#REF!,"G",'Portefeuille SP2'!$D:$D,$A106,'Portefeuille SP2'!#REF!,"o",'Portefeuille SP2'!#REF!,"=")</f>
        <v>#REF!</v>
      </c>
      <c r="AC106" s="117" t="e">
        <f>SUMIFS('Portefeuille SP2'!#REF!,'Portefeuille SP2'!#REF!,1,'Portefeuille SP2'!$Q:$Q,"DECIDED",'Portefeuille SP2'!#REF!,"G",'Portefeuille SP2'!$D:$D,$A106,'Portefeuille SP2'!#REF!,"o",'Portefeuille SP2'!#REF!,"=")</f>
        <v>#REF!</v>
      </c>
      <c r="AD106" s="111" t="e">
        <f>SUMIFS('Portefeuille SP2'!$U:$U,'Portefeuille SP2'!#REF!,1,'Portefeuille SP2'!$Q:$Q,"DECIDED",'Portefeuille SP2'!#REF!,"R",'Portefeuille SP2'!$D:$D,$A106,'Portefeuille SP2'!#REF!,"o",'Portefeuille SP2'!#REF!,"=")</f>
        <v>#REF!</v>
      </c>
      <c r="AE106" s="126" t="e">
        <f>SUMIFS('Portefeuille SP2'!#REF!,'Portefeuille SP2'!#REF!,1,'Portefeuille SP2'!$Q:$Q,"DECIDED",'Portefeuille SP2'!#REF!,"R",'Portefeuille SP2'!$D:$D,$A106,'Portefeuille SP2'!#REF!,"o",'Portefeuille SP2'!#REF!,"=")</f>
        <v>#REF!</v>
      </c>
      <c r="AF106" s="117" t="e">
        <f>SUMIFS('Portefeuille SP2'!#REF!,'Portefeuille SP2'!#REF!,1,'Portefeuille SP2'!$Q:$Q,"DECIDED",'Portefeuille SP2'!#REF!,"R",'Portefeuille SP2'!$D:$D,$A106,'Portefeuille SP2'!#REF!,"o",'Portefeuille SP2'!#REF!,"=")</f>
        <v>#REF!</v>
      </c>
      <c r="AG106" s="111" t="e">
        <f>SUMIFS('Portefeuille SP2'!$U:$U,'Portefeuille SP2'!#REF!,1,'Portefeuille SP2'!$Q:$Q,"DECIDED",'Portefeuille SP2'!#REF!,"G",'Portefeuille SP2'!$D:$D,$A106,'Portefeuille SP2'!#REF!,"o",'Portefeuille SP2'!#REF!,"&lt;&gt;")</f>
        <v>#REF!</v>
      </c>
      <c r="AH106" s="126" t="e">
        <f>SUMIFS('Portefeuille SP2'!#REF!,'Portefeuille SP2'!#REF!,1,'Portefeuille SP2'!$Q:$Q,"DECIDED",'Portefeuille SP2'!#REF!,"G",'Portefeuille SP2'!$D:$D,$A106,'Portefeuille SP2'!#REF!,"o",'Portefeuille SP2'!#REF!,"&lt;&gt;")</f>
        <v>#REF!</v>
      </c>
      <c r="AI106" s="117" t="e">
        <f>SUMIFS('Portefeuille SP2'!#REF!,'Portefeuille SP2'!#REF!,1,'Portefeuille SP2'!$Q:$Q,"DECIDED",'Portefeuille SP2'!#REF!,"G",'Portefeuille SP2'!$D:$D,$A106,'Portefeuille SP2'!#REF!,"o",'Portefeuille SP2'!#REF!,"&lt;&gt;")</f>
        <v>#REF!</v>
      </c>
      <c r="AJ106" s="111" t="e">
        <f>SUMIFS('Portefeuille SP2'!$U:$U,'Portefeuille SP2'!#REF!,1,'Portefeuille SP2'!$Q:$Q,"DECIDED",'Portefeuille SP2'!#REF!,"R",'Portefeuille SP2'!$D:$D,$A106,'Portefeuille SP2'!#REF!,"o",'Portefeuille SP2'!#REF!,"&lt;&gt;")</f>
        <v>#REF!</v>
      </c>
      <c r="AK106" s="126" t="e">
        <f>SUMIFS('Portefeuille SP2'!#REF!,'Portefeuille SP2'!#REF!,1,'Portefeuille SP2'!$Q:$Q,"DECIDED",'Portefeuille SP2'!#REF!,"R",'Portefeuille SP2'!$D:$D,$A106,'Portefeuille SP2'!#REF!,"o",'Portefeuille SP2'!#REF!,"&lt;&gt;")</f>
        <v>#REF!</v>
      </c>
      <c r="AL106" s="117" t="e">
        <f>SUMIFS('Portefeuille SP2'!#REF!,'Portefeuille SP2'!#REF!,1,'Portefeuille SP2'!$Q:$Q,"DECIDED",'Portefeuille SP2'!#REF!,"R",'Portefeuille SP2'!$D:$D,$A106,'Portefeuille SP2'!#REF!,"o",'Portefeuille SP2'!#REF!,"&lt;&gt;")</f>
        <v>#REF!</v>
      </c>
      <c r="AM106" s="117"/>
    </row>
    <row r="107" spans="1:77" outlineLevel="1">
      <c r="A107" t="s">
        <v>1322</v>
      </c>
      <c r="B107" s="139" t="e">
        <f>SUMIFS('Portefeuille SP2'!$U:$U,'Portefeuille SP2'!#REF!,1,'Portefeuille SP2'!$Q:$Q,"IN PROGRESS",'Portefeuille SP2'!#REF!,"G",'Portefeuille SP2'!$D:$D,$A107,'Portefeuille SP2'!#REF!,"S")</f>
        <v>#REF!</v>
      </c>
      <c r="C107" s="126" t="e">
        <f>SUMIFS('Portefeuille SP2'!#REF!,'Portefeuille SP2'!#REF!,1,'Portefeuille SP2'!$Q:$Q,"IN PROGRESS",'Portefeuille SP2'!#REF!,"G",'Portefeuille SP2'!$D:$D,$A107,'Portefeuille SP2'!#REF!,"S")</f>
        <v>#REF!</v>
      </c>
      <c r="D107" s="122" t="e">
        <f>SUMIFS('Portefeuille SP2'!#REF!,'Portefeuille SP2'!#REF!,1,'Portefeuille SP2'!$Q:$Q,"IN PROGRESS",'Portefeuille SP2'!#REF!,"G",'Portefeuille SP2'!$D:$D,$A107,'Portefeuille SP2'!#REF!,"S")</f>
        <v>#REF!</v>
      </c>
      <c r="E107" s="111" t="e">
        <f>SUMIFS('Portefeuille SP2'!$U:$U,'Portefeuille SP2'!#REF!,1,'Portefeuille SP2'!$Q:$Q,"IN PROGRESS",'Portefeuille SP2'!#REF!,"R",'Portefeuille SP2'!$D:$D,$A107,'Portefeuille SP2'!#REF!,"S")</f>
        <v>#REF!</v>
      </c>
      <c r="F107" s="126" t="e">
        <f>SUMIFS('Portefeuille SP2'!#REF!,'Portefeuille SP2'!#REF!,1,'Portefeuille SP2'!$Q:$Q,"IN PROGRESS",'Portefeuille SP2'!#REF!,"R",'Portefeuille SP2'!$D:$D,$A107,'Portefeuille SP2'!#REF!,"S")</f>
        <v>#REF!</v>
      </c>
      <c r="G107" s="117" t="e">
        <f>SUMIFS('Portefeuille SP2'!#REF!,'Portefeuille SP2'!#REF!,1,'Portefeuille SP2'!$Q:$Q,"IN PROGRESS",'Portefeuille SP2'!#REF!,"R",'Portefeuille SP2'!$D:$D,$A107,'Portefeuille SP2'!#REF!,"S")</f>
        <v>#REF!</v>
      </c>
      <c r="H107" s="111" t="e">
        <f>SUMIFS('Portefeuille SP2'!$U:$U,'Portefeuille SP2'!#REF!,1,'Portefeuille SP2'!$Q:$Q,"DECIDED",'Portefeuille SP2'!#REF!,"G",'Portefeuille SP2'!$D:$D,$A107,'Portefeuille SP2'!#REF!,"S",'Portefeuille SP2'!#REF!,"=")</f>
        <v>#REF!</v>
      </c>
      <c r="I107" s="117" t="e">
        <f>SUMIFS('Portefeuille SP2'!#REF!,'Portefeuille SP2'!#REF!,1,'Portefeuille SP2'!$Q:$Q,"DECIDED",'Portefeuille SP2'!#REF!,"G",'Portefeuille SP2'!$D:$D,$A107,'Portefeuille SP2'!#REF!,"S",'Portefeuille SP2'!#REF!,"=")</f>
        <v>#REF!</v>
      </c>
      <c r="J107" s="117" t="e">
        <f>SUMIFS('Portefeuille SP2'!#REF!,'Portefeuille SP2'!#REF!,1,'Portefeuille SP2'!$Q:$Q,"DECIDED",'Portefeuille SP2'!#REF!,"G",'Portefeuille SP2'!$D:$D,$A107,'Portefeuille SP2'!#REF!,"S",'Portefeuille SP2'!#REF!,"=")</f>
        <v>#REF!</v>
      </c>
      <c r="K107" s="111" t="e">
        <f>SUMIFS('Portefeuille SP2'!$U:$U,'Portefeuille SP2'!#REF!,1,'Portefeuille SP2'!$Q:$Q,"DECIDED",'Portefeuille SP2'!#REF!,"R",'Portefeuille SP2'!$D:$D,$A107,'Portefeuille SP2'!#REF!,"S",'Portefeuille SP2'!#REF!,"=")</f>
        <v>#REF!</v>
      </c>
      <c r="L107" s="126" t="e">
        <f>SUMIFS('Portefeuille SP2'!#REF!,'Portefeuille SP2'!#REF!,1,'Portefeuille SP2'!$Q:$Q,"DECIDED",'Portefeuille SP2'!#REF!,"R",'Portefeuille SP2'!$D:$D,$A107,'Portefeuille SP2'!#REF!,"S",'Portefeuille SP2'!#REF!,"=")</f>
        <v>#REF!</v>
      </c>
      <c r="M107" s="117" t="e">
        <f>SUMIFS('Portefeuille SP2'!#REF!,'Portefeuille SP2'!#REF!,1,'Portefeuille SP2'!$Q:$Q,"DECIDED",'Portefeuille SP2'!#REF!,"R",'Portefeuille SP2'!$D:$D,$A107,'Portefeuille SP2'!#REF!,"S",'Portefeuille SP2'!#REF!,"=")</f>
        <v>#REF!</v>
      </c>
      <c r="N107" s="111" t="e">
        <f>SUMIFS('Portefeuille SP2'!$U:$U,'Portefeuille SP2'!#REF!,1,'Portefeuille SP2'!$Q:$Q,"DECIDED",'Portefeuille SP2'!#REF!,"G",'Portefeuille SP2'!$D:$D,$A107,'Portefeuille SP2'!#REF!,"S",'Portefeuille SP2'!#REF!,"&lt;&gt;")</f>
        <v>#REF!</v>
      </c>
      <c r="O107" s="126" t="e">
        <f>SUMIFS('Portefeuille SP2'!#REF!,'Portefeuille SP2'!#REF!,1,'Portefeuille SP2'!$Q:$Q,"DECIDED",'Portefeuille SP2'!#REF!,"G",'Portefeuille SP2'!$D:$D,$A107,'Portefeuille SP2'!#REF!,"S",'Portefeuille SP2'!#REF!,"&lt;&gt;")</f>
        <v>#REF!</v>
      </c>
      <c r="P107" s="117" t="e">
        <f>SUMIFS('Portefeuille SP2'!#REF!,'Portefeuille SP2'!#REF!,1,'Portefeuille SP2'!$Q:$Q,"DECIDED",'Portefeuille SP2'!#REF!,"G",'Portefeuille SP2'!$D:$D,$A107,'Portefeuille SP2'!#REF!,"S",'Portefeuille SP2'!#REF!,"&lt;&gt;")</f>
        <v>#REF!</v>
      </c>
      <c r="Q107" s="111" t="e">
        <f>SUMIFS('Portefeuille SP2'!$U:$U,'Portefeuille SP2'!#REF!,1,'Portefeuille SP2'!$Q:$Q,"DECIDED",'Portefeuille SP2'!#REF!,"R",'Portefeuille SP2'!$D:$D,$A107,'Portefeuille SP2'!#REF!,"S",'Portefeuille SP2'!#REF!,"&lt;&gt;")</f>
        <v>#REF!</v>
      </c>
      <c r="R107" s="126" t="e">
        <f>SUMIFS('Portefeuille SP2'!#REF!,'Portefeuille SP2'!#REF!,1,'Portefeuille SP2'!$Q:$Q,"DECIDED",'Portefeuille SP2'!#REF!,"R",'Portefeuille SP2'!$D:$D,$A107,'Portefeuille SP2'!#REF!,"S",'Portefeuille SP2'!#REF!,"&lt;&gt;")</f>
        <v>#REF!</v>
      </c>
      <c r="S107" s="122" t="e">
        <f>SUMIFS('Portefeuille SP2'!#REF!,'Portefeuille SP2'!#REF!,1,'Portefeuille SP2'!$Q:$Q,"DECIDED",'Portefeuille SP2'!#REF!,"R",'Portefeuille SP2'!$D:$D,$A107,'Portefeuille SP2'!#REF!,"S",'Portefeuille SP2'!#REF!,"&lt;&gt;")</f>
        <v>#REF!</v>
      </c>
      <c r="U107" s="111" t="e">
        <f>SUMIFS('Portefeuille SP2'!$U:$U,'Portefeuille SP2'!#REF!,1,'Portefeuille SP2'!$Q:$Q,"IN PROGRESS",'Portefeuille SP2'!#REF!,"G",'Portefeuille SP2'!$D:$D,$A107,'Portefeuille SP2'!#REF!,"O")</f>
        <v>#REF!</v>
      </c>
      <c r="V107" s="126" t="e">
        <f>SUMIFS('Portefeuille SP2'!#REF!,'Portefeuille SP2'!#REF!,1,'Portefeuille SP2'!$Q:$Q,"IN PROGRESS",'Portefeuille SP2'!#REF!,"G",'Portefeuille SP2'!$D:$D,$A107,'Portefeuille SP2'!#REF!,"o")</f>
        <v>#REF!</v>
      </c>
      <c r="W107" s="117" t="e">
        <f>SUMIFS('Portefeuille SP2'!#REF!,'Portefeuille SP2'!#REF!,1,'Portefeuille SP2'!$Q:$Q,"IN PROGRESS",'Portefeuille SP2'!#REF!,"G",'Portefeuille SP2'!$D:$D,$A107,'Portefeuille SP2'!#REF!,"o")</f>
        <v>#REF!</v>
      </c>
      <c r="X107" s="111" t="e">
        <f>SUMIFS('Portefeuille SP2'!$U:$U,'Portefeuille SP2'!#REF!,1,'Portefeuille SP2'!$Q:$Q,"IN PROGRESS",'Portefeuille SP2'!#REF!,"R",'Portefeuille SP2'!$D:$D,$A107,'Portefeuille SP2'!#REF!,"o")</f>
        <v>#REF!</v>
      </c>
      <c r="Y107" s="126" t="e">
        <f>SUMIFS('Portefeuille SP2'!#REF!,'Portefeuille SP2'!#REF!,1,'Portefeuille SP2'!$Q:$Q,"IN PROGRESS",'Portefeuille SP2'!#REF!,"R",'Portefeuille SP2'!$D:$D,$A107,'Portefeuille SP2'!#REF!,"o")</f>
        <v>#REF!</v>
      </c>
      <c r="Z107" s="117" t="e">
        <f>SUMIFS('Portefeuille SP2'!#REF!,'Portefeuille SP2'!#REF!,1,'Portefeuille SP2'!$Q:$Q,"IN PROGRESS",'Portefeuille SP2'!#REF!,"R",'Portefeuille SP2'!$D:$D,$A107,'Portefeuille SP2'!#REF!,"o")</f>
        <v>#REF!</v>
      </c>
      <c r="AA107" s="111" t="e">
        <f>SUMIFS('Portefeuille SP2'!$U:$U,'Portefeuille SP2'!#REF!,1,'Portefeuille SP2'!$Q:$Q,"DECIDED",'Portefeuille SP2'!#REF!,"G",'Portefeuille SP2'!$D:$D,$A107,'Portefeuille SP2'!#REF!,"o",'Portefeuille SP2'!#REF!,"=")</f>
        <v>#REF!</v>
      </c>
      <c r="AB107" s="126" t="e">
        <f>SUMIFS('Portefeuille SP2'!#REF!,'Portefeuille SP2'!#REF!,1,'Portefeuille SP2'!$Q:$Q,"DECIDED",'Portefeuille SP2'!#REF!,"G",'Portefeuille SP2'!$D:$D,$A107,'Portefeuille SP2'!#REF!,"o",'Portefeuille SP2'!#REF!,"=")</f>
        <v>#REF!</v>
      </c>
      <c r="AC107" s="117" t="e">
        <f>SUMIFS('Portefeuille SP2'!#REF!,'Portefeuille SP2'!#REF!,1,'Portefeuille SP2'!$Q:$Q,"DECIDED",'Portefeuille SP2'!#REF!,"G",'Portefeuille SP2'!$D:$D,$A107,'Portefeuille SP2'!#REF!,"o",'Portefeuille SP2'!#REF!,"=")</f>
        <v>#REF!</v>
      </c>
      <c r="AD107" s="111" t="e">
        <f>SUMIFS('Portefeuille SP2'!$U:$U,'Portefeuille SP2'!#REF!,1,'Portefeuille SP2'!$Q:$Q,"DECIDED",'Portefeuille SP2'!#REF!,"R",'Portefeuille SP2'!$D:$D,$A107,'Portefeuille SP2'!#REF!,"o",'Portefeuille SP2'!#REF!,"=")</f>
        <v>#REF!</v>
      </c>
      <c r="AE107" s="126" t="e">
        <f>SUMIFS('Portefeuille SP2'!#REF!,'Portefeuille SP2'!#REF!,1,'Portefeuille SP2'!$Q:$Q,"DECIDED",'Portefeuille SP2'!#REF!,"R",'Portefeuille SP2'!$D:$D,$A107,'Portefeuille SP2'!#REF!,"o",'Portefeuille SP2'!#REF!,"=")</f>
        <v>#REF!</v>
      </c>
      <c r="AF107" s="117" t="e">
        <f>SUMIFS('Portefeuille SP2'!#REF!,'Portefeuille SP2'!#REF!,1,'Portefeuille SP2'!$Q:$Q,"DECIDED",'Portefeuille SP2'!#REF!,"R",'Portefeuille SP2'!$D:$D,$A107,'Portefeuille SP2'!#REF!,"o",'Portefeuille SP2'!#REF!,"=")</f>
        <v>#REF!</v>
      </c>
      <c r="AG107" s="111" t="e">
        <f>SUMIFS('Portefeuille SP2'!$U:$U,'Portefeuille SP2'!#REF!,1,'Portefeuille SP2'!$Q:$Q,"DECIDED",'Portefeuille SP2'!#REF!,"G",'Portefeuille SP2'!$D:$D,$A107,'Portefeuille SP2'!#REF!,"o",'Portefeuille SP2'!#REF!,"&lt;&gt;")</f>
        <v>#REF!</v>
      </c>
      <c r="AH107" s="126" t="e">
        <f>SUMIFS('Portefeuille SP2'!#REF!,'Portefeuille SP2'!#REF!,1,'Portefeuille SP2'!$Q:$Q,"DECIDED",'Portefeuille SP2'!#REF!,"G",'Portefeuille SP2'!$D:$D,$A107,'Portefeuille SP2'!#REF!,"o",'Portefeuille SP2'!#REF!,"&lt;&gt;")</f>
        <v>#REF!</v>
      </c>
      <c r="AI107" s="117" t="e">
        <f>SUMIFS('Portefeuille SP2'!#REF!,'Portefeuille SP2'!#REF!,1,'Portefeuille SP2'!$Q:$Q,"DECIDED",'Portefeuille SP2'!#REF!,"G",'Portefeuille SP2'!$D:$D,$A107,'Portefeuille SP2'!#REF!,"o",'Portefeuille SP2'!#REF!,"&lt;&gt;")</f>
        <v>#REF!</v>
      </c>
      <c r="AJ107" s="111" t="e">
        <f>SUMIFS('Portefeuille SP2'!$U:$U,'Portefeuille SP2'!#REF!,1,'Portefeuille SP2'!$Q:$Q,"DECIDED",'Portefeuille SP2'!#REF!,"R",'Portefeuille SP2'!$D:$D,$A107,'Portefeuille SP2'!#REF!,"o",'Portefeuille SP2'!#REF!,"&lt;&gt;")</f>
        <v>#REF!</v>
      </c>
      <c r="AK107" s="126" t="e">
        <f>SUMIFS('Portefeuille SP2'!#REF!,'Portefeuille SP2'!#REF!,1,'Portefeuille SP2'!$Q:$Q,"DECIDED",'Portefeuille SP2'!#REF!,"R",'Portefeuille SP2'!$D:$D,$A107,'Portefeuille SP2'!#REF!,"o",'Portefeuille SP2'!#REF!,"&lt;&gt;")</f>
        <v>#REF!</v>
      </c>
      <c r="AL107" s="117" t="e">
        <f>SUMIFS('Portefeuille SP2'!#REF!,'Portefeuille SP2'!#REF!,1,'Portefeuille SP2'!$Q:$Q,"DECIDED",'Portefeuille SP2'!#REF!,"R",'Portefeuille SP2'!$D:$D,$A107,'Portefeuille SP2'!#REF!,"o",'Portefeuille SP2'!#REF!,"&lt;&gt;")</f>
        <v>#REF!</v>
      </c>
      <c r="AM107" s="117"/>
    </row>
    <row r="108" spans="1:77" outlineLevel="1">
      <c r="A108" t="s">
        <v>1323</v>
      </c>
      <c r="B108" s="139" t="e">
        <f>SUMIFS('Portefeuille SP2'!$U:$U,'Portefeuille SP2'!#REF!,1,'Portefeuille SP2'!$Q:$Q,"IN PROGRESS",'Portefeuille SP2'!#REF!,"G",'Portefeuille SP2'!$D:$D,$A108,'Portefeuille SP2'!#REF!,"S")</f>
        <v>#REF!</v>
      </c>
      <c r="C108" s="126" t="e">
        <f>SUMIFS('Portefeuille SP2'!#REF!,'Portefeuille SP2'!#REF!,1,'Portefeuille SP2'!$Q:$Q,"IN PROGRESS",'Portefeuille SP2'!#REF!,"G",'Portefeuille SP2'!$D:$D,$A108,'Portefeuille SP2'!#REF!,"S")</f>
        <v>#REF!</v>
      </c>
      <c r="D108" s="122" t="e">
        <f>SUMIFS('Portefeuille SP2'!#REF!,'Portefeuille SP2'!#REF!,1,'Portefeuille SP2'!$Q:$Q,"IN PROGRESS",'Portefeuille SP2'!#REF!,"G",'Portefeuille SP2'!$D:$D,$A108,'Portefeuille SP2'!#REF!,"S")</f>
        <v>#REF!</v>
      </c>
      <c r="E108" s="111" t="e">
        <f>SUMIFS('Portefeuille SP2'!$U:$U,'Portefeuille SP2'!#REF!,1,'Portefeuille SP2'!$Q:$Q,"IN PROGRESS",'Portefeuille SP2'!#REF!,"R",'Portefeuille SP2'!$D:$D,$A108,'Portefeuille SP2'!#REF!,"S")</f>
        <v>#REF!</v>
      </c>
      <c r="F108" s="126" t="e">
        <f>SUMIFS('Portefeuille SP2'!#REF!,'Portefeuille SP2'!#REF!,1,'Portefeuille SP2'!$Q:$Q,"IN PROGRESS",'Portefeuille SP2'!#REF!,"R",'Portefeuille SP2'!$D:$D,$A108,'Portefeuille SP2'!#REF!,"S")</f>
        <v>#REF!</v>
      </c>
      <c r="G108" s="117" t="e">
        <f>SUMIFS('Portefeuille SP2'!#REF!,'Portefeuille SP2'!#REF!,1,'Portefeuille SP2'!$Q:$Q,"IN PROGRESS",'Portefeuille SP2'!#REF!,"R",'Portefeuille SP2'!$D:$D,$A108,'Portefeuille SP2'!#REF!,"S")</f>
        <v>#REF!</v>
      </c>
      <c r="H108" s="111" t="e">
        <f>SUMIFS('Portefeuille SP2'!$U:$U,'Portefeuille SP2'!#REF!,1,'Portefeuille SP2'!$Q:$Q,"DECIDED",'Portefeuille SP2'!#REF!,"G",'Portefeuille SP2'!$D:$D,$A108,'Portefeuille SP2'!#REF!,"S",'Portefeuille SP2'!#REF!,"=")</f>
        <v>#REF!</v>
      </c>
      <c r="I108" s="117" t="e">
        <f>SUMIFS('Portefeuille SP2'!#REF!,'Portefeuille SP2'!#REF!,1,'Portefeuille SP2'!$Q:$Q,"DECIDED",'Portefeuille SP2'!#REF!,"G",'Portefeuille SP2'!$D:$D,$A108,'Portefeuille SP2'!#REF!,"S",'Portefeuille SP2'!#REF!,"=")</f>
        <v>#REF!</v>
      </c>
      <c r="J108" s="117" t="e">
        <f>SUMIFS('Portefeuille SP2'!#REF!,'Portefeuille SP2'!#REF!,1,'Portefeuille SP2'!$Q:$Q,"DECIDED",'Portefeuille SP2'!#REF!,"G",'Portefeuille SP2'!$D:$D,$A108,'Portefeuille SP2'!#REF!,"S",'Portefeuille SP2'!#REF!,"=")</f>
        <v>#REF!</v>
      </c>
      <c r="K108" s="111" t="e">
        <f>SUMIFS('Portefeuille SP2'!$U:$U,'Portefeuille SP2'!#REF!,1,'Portefeuille SP2'!$Q:$Q,"DECIDED",'Portefeuille SP2'!#REF!,"R",'Portefeuille SP2'!$D:$D,$A108,'Portefeuille SP2'!#REF!,"S",'Portefeuille SP2'!#REF!,"=")</f>
        <v>#REF!</v>
      </c>
      <c r="L108" s="126" t="e">
        <f>SUMIFS('Portefeuille SP2'!#REF!,'Portefeuille SP2'!#REF!,1,'Portefeuille SP2'!$Q:$Q,"DECIDED",'Portefeuille SP2'!#REF!,"R",'Portefeuille SP2'!$D:$D,$A108,'Portefeuille SP2'!#REF!,"S",'Portefeuille SP2'!#REF!,"=")</f>
        <v>#REF!</v>
      </c>
      <c r="M108" s="117" t="e">
        <f>SUMIFS('Portefeuille SP2'!#REF!,'Portefeuille SP2'!#REF!,1,'Portefeuille SP2'!$Q:$Q,"DECIDED",'Portefeuille SP2'!#REF!,"R",'Portefeuille SP2'!$D:$D,$A108,'Portefeuille SP2'!#REF!,"S",'Portefeuille SP2'!#REF!,"=")</f>
        <v>#REF!</v>
      </c>
      <c r="N108" s="111" t="e">
        <f>SUMIFS('Portefeuille SP2'!$U:$U,'Portefeuille SP2'!#REF!,1,'Portefeuille SP2'!$Q:$Q,"DECIDED",'Portefeuille SP2'!#REF!,"G",'Portefeuille SP2'!$D:$D,$A108,'Portefeuille SP2'!#REF!,"S",'Portefeuille SP2'!#REF!,"&lt;&gt;")</f>
        <v>#REF!</v>
      </c>
      <c r="O108" s="126" t="e">
        <f>SUMIFS('Portefeuille SP2'!#REF!,'Portefeuille SP2'!#REF!,1,'Portefeuille SP2'!$Q:$Q,"DECIDED",'Portefeuille SP2'!#REF!,"G",'Portefeuille SP2'!$D:$D,$A108,'Portefeuille SP2'!#REF!,"S",'Portefeuille SP2'!#REF!,"&lt;&gt;")</f>
        <v>#REF!</v>
      </c>
      <c r="P108" s="117" t="e">
        <f>SUMIFS('Portefeuille SP2'!#REF!,'Portefeuille SP2'!#REF!,1,'Portefeuille SP2'!$Q:$Q,"DECIDED",'Portefeuille SP2'!#REF!,"G",'Portefeuille SP2'!$D:$D,$A108,'Portefeuille SP2'!#REF!,"S",'Portefeuille SP2'!#REF!,"&lt;&gt;")</f>
        <v>#REF!</v>
      </c>
      <c r="Q108" s="111" t="e">
        <f>SUMIFS('Portefeuille SP2'!$U:$U,'Portefeuille SP2'!#REF!,1,'Portefeuille SP2'!$Q:$Q,"DECIDED",'Portefeuille SP2'!#REF!,"R",'Portefeuille SP2'!$D:$D,$A108,'Portefeuille SP2'!#REF!,"S",'Portefeuille SP2'!#REF!,"&lt;&gt;")</f>
        <v>#REF!</v>
      </c>
      <c r="R108" s="126" t="e">
        <f>SUMIFS('Portefeuille SP2'!#REF!,'Portefeuille SP2'!#REF!,1,'Portefeuille SP2'!$Q:$Q,"DECIDED",'Portefeuille SP2'!#REF!,"R",'Portefeuille SP2'!$D:$D,$A108,'Portefeuille SP2'!#REF!,"S",'Portefeuille SP2'!#REF!,"&lt;&gt;")</f>
        <v>#REF!</v>
      </c>
      <c r="S108" s="122" t="e">
        <f>SUMIFS('Portefeuille SP2'!#REF!,'Portefeuille SP2'!#REF!,1,'Portefeuille SP2'!$Q:$Q,"DECIDED",'Portefeuille SP2'!#REF!,"R",'Portefeuille SP2'!$D:$D,$A108,'Portefeuille SP2'!#REF!,"S",'Portefeuille SP2'!#REF!,"&lt;&gt;")</f>
        <v>#REF!</v>
      </c>
      <c r="U108" s="111" t="e">
        <f>SUMIFS('Portefeuille SP2'!$U:$U,'Portefeuille SP2'!#REF!,1,'Portefeuille SP2'!$Q:$Q,"IN PROGRESS",'Portefeuille SP2'!#REF!,"G",'Portefeuille SP2'!$D:$D,$A108,'Portefeuille SP2'!#REF!,"O")</f>
        <v>#REF!</v>
      </c>
      <c r="V108" s="126" t="e">
        <f>SUMIFS('Portefeuille SP2'!#REF!,'Portefeuille SP2'!#REF!,1,'Portefeuille SP2'!$Q:$Q,"IN PROGRESS",'Portefeuille SP2'!#REF!,"G",'Portefeuille SP2'!$D:$D,$A108,'Portefeuille SP2'!#REF!,"o")</f>
        <v>#REF!</v>
      </c>
      <c r="W108" s="117" t="e">
        <f>SUMIFS('Portefeuille SP2'!#REF!,'Portefeuille SP2'!#REF!,1,'Portefeuille SP2'!$Q:$Q,"IN PROGRESS",'Portefeuille SP2'!#REF!,"G",'Portefeuille SP2'!$D:$D,$A108,'Portefeuille SP2'!#REF!,"o")</f>
        <v>#REF!</v>
      </c>
      <c r="X108" s="111" t="e">
        <f>SUMIFS('Portefeuille SP2'!$U:$U,'Portefeuille SP2'!#REF!,1,'Portefeuille SP2'!$Q:$Q,"IN PROGRESS",'Portefeuille SP2'!#REF!,"R",'Portefeuille SP2'!$D:$D,$A108,'Portefeuille SP2'!#REF!,"o")</f>
        <v>#REF!</v>
      </c>
      <c r="Y108" s="126" t="e">
        <f>SUMIFS('Portefeuille SP2'!#REF!,'Portefeuille SP2'!#REF!,1,'Portefeuille SP2'!$Q:$Q,"IN PROGRESS",'Portefeuille SP2'!#REF!,"R",'Portefeuille SP2'!$D:$D,$A108,'Portefeuille SP2'!#REF!,"o")</f>
        <v>#REF!</v>
      </c>
      <c r="Z108" s="117" t="e">
        <f>SUMIFS('Portefeuille SP2'!#REF!,'Portefeuille SP2'!#REF!,1,'Portefeuille SP2'!$Q:$Q,"IN PROGRESS",'Portefeuille SP2'!#REF!,"R",'Portefeuille SP2'!$D:$D,$A108,'Portefeuille SP2'!#REF!,"o")</f>
        <v>#REF!</v>
      </c>
      <c r="AA108" s="111" t="e">
        <f>SUMIFS('Portefeuille SP2'!$U:$U,'Portefeuille SP2'!#REF!,1,'Portefeuille SP2'!$Q:$Q,"DECIDED",'Portefeuille SP2'!#REF!,"G",'Portefeuille SP2'!$D:$D,$A108,'Portefeuille SP2'!#REF!,"o",'Portefeuille SP2'!#REF!,"=")</f>
        <v>#REF!</v>
      </c>
      <c r="AB108" s="126" t="e">
        <f>SUMIFS('Portefeuille SP2'!#REF!,'Portefeuille SP2'!#REF!,1,'Portefeuille SP2'!$Q:$Q,"DECIDED",'Portefeuille SP2'!#REF!,"G",'Portefeuille SP2'!$D:$D,$A108,'Portefeuille SP2'!#REF!,"o",'Portefeuille SP2'!#REF!,"=")</f>
        <v>#REF!</v>
      </c>
      <c r="AC108" s="117" t="e">
        <f>SUMIFS('Portefeuille SP2'!#REF!,'Portefeuille SP2'!#REF!,1,'Portefeuille SP2'!$Q:$Q,"DECIDED",'Portefeuille SP2'!#REF!,"G",'Portefeuille SP2'!$D:$D,$A108,'Portefeuille SP2'!#REF!,"o",'Portefeuille SP2'!#REF!,"=")</f>
        <v>#REF!</v>
      </c>
      <c r="AD108" s="111" t="e">
        <f>SUMIFS('Portefeuille SP2'!$U:$U,'Portefeuille SP2'!#REF!,1,'Portefeuille SP2'!$Q:$Q,"DECIDED",'Portefeuille SP2'!#REF!,"R",'Portefeuille SP2'!$D:$D,$A108,'Portefeuille SP2'!#REF!,"o",'Portefeuille SP2'!#REF!,"=")</f>
        <v>#REF!</v>
      </c>
      <c r="AE108" s="126" t="e">
        <f>SUMIFS('Portefeuille SP2'!#REF!,'Portefeuille SP2'!#REF!,1,'Portefeuille SP2'!$Q:$Q,"DECIDED",'Portefeuille SP2'!#REF!,"R",'Portefeuille SP2'!$D:$D,$A108,'Portefeuille SP2'!#REF!,"o",'Portefeuille SP2'!#REF!,"=")</f>
        <v>#REF!</v>
      </c>
      <c r="AF108" s="117" t="e">
        <f>SUMIFS('Portefeuille SP2'!#REF!,'Portefeuille SP2'!#REF!,1,'Portefeuille SP2'!$Q:$Q,"DECIDED",'Portefeuille SP2'!#REF!,"R",'Portefeuille SP2'!$D:$D,$A108,'Portefeuille SP2'!#REF!,"o",'Portefeuille SP2'!#REF!,"=")</f>
        <v>#REF!</v>
      </c>
      <c r="AG108" s="111" t="e">
        <f>SUMIFS('Portefeuille SP2'!$U:$U,'Portefeuille SP2'!#REF!,1,'Portefeuille SP2'!$Q:$Q,"DECIDED",'Portefeuille SP2'!#REF!,"G",'Portefeuille SP2'!$D:$D,$A108,'Portefeuille SP2'!#REF!,"o",'Portefeuille SP2'!#REF!,"&lt;&gt;")</f>
        <v>#REF!</v>
      </c>
      <c r="AH108" s="126" t="e">
        <f>SUMIFS('Portefeuille SP2'!#REF!,'Portefeuille SP2'!#REF!,1,'Portefeuille SP2'!$Q:$Q,"DECIDED",'Portefeuille SP2'!#REF!,"G",'Portefeuille SP2'!$D:$D,$A108,'Portefeuille SP2'!#REF!,"o",'Portefeuille SP2'!#REF!,"&lt;&gt;")</f>
        <v>#REF!</v>
      </c>
      <c r="AI108" s="117" t="e">
        <f>SUMIFS('Portefeuille SP2'!#REF!,'Portefeuille SP2'!#REF!,1,'Portefeuille SP2'!$Q:$Q,"DECIDED",'Portefeuille SP2'!#REF!,"G",'Portefeuille SP2'!$D:$D,$A108,'Portefeuille SP2'!#REF!,"o",'Portefeuille SP2'!#REF!,"&lt;&gt;")</f>
        <v>#REF!</v>
      </c>
      <c r="AJ108" s="111" t="e">
        <f>SUMIFS('Portefeuille SP2'!$U:$U,'Portefeuille SP2'!#REF!,1,'Portefeuille SP2'!$Q:$Q,"DECIDED",'Portefeuille SP2'!#REF!,"R",'Portefeuille SP2'!$D:$D,$A108,'Portefeuille SP2'!#REF!,"o",'Portefeuille SP2'!#REF!,"&lt;&gt;")</f>
        <v>#REF!</v>
      </c>
      <c r="AK108" s="126" t="e">
        <f>SUMIFS('Portefeuille SP2'!#REF!,'Portefeuille SP2'!#REF!,1,'Portefeuille SP2'!$Q:$Q,"DECIDED",'Portefeuille SP2'!#REF!,"R",'Portefeuille SP2'!$D:$D,$A108,'Portefeuille SP2'!#REF!,"o",'Portefeuille SP2'!#REF!,"&lt;&gt;")</f>
        <v>#REF!</v>
      </c>
      <c r="AL108" s="117" t="e">
        <f>SUMIFS('Portefeuille SP2'!#REF!,'Portefeuille SP2'!#REF!,1,'Portefeuille SP2'!$Q:$Q,"DECIDED",'Portefeuille SP2'!#REF!,"R",'Portefeuille SP2'!$D:$D,$A108,'Portefeuille SP2'!#REF!,"o",'Portefeuille SP2'!#REF!,"&lt;&gt;")</f>
        <v>#REF!</v>
      </c>
      <c r="AM108" s="117"/>
    </row>
    <row r="109" spans="1:77" outlineLevel="1">
      <c r="A109" t="s">
        <v>1316</v>
      </c>
      <c r="B109" s="139" t="e">
        <f>SUMIFS('Portefeuille SP2'!$U:$U,'Portefeuille SP2'!#REF!,1,'Portefeuille SP2'!$Q:$Q,"IN PROGRESS",'Portefeuille SP2'!#REF!,"G",'Portefeuille SP2'!$D:$D,$A109,'Portefeuille SP2'!#REF!,"S")</f>
        <v>#REF!</v>
      </c>
      <c r="C109" s="126" t="e">
        <f>SUMIFS('Portefeuille SP2'!#REF!,'Portefeuille SP2'!#REF!,1,'Portefeuille SP2'!$Q:$Q,"IN PROGRESS",'Portefeuille SP2'!#REF!,"G",'Portefeuille SP2'!$D:$D,$A109,'Portefeuille SP2'!#REF!,"S")</f>
        <v>#REF!</v>
      </c>
      <c r="D109" s="122" t="e">
        <f>SUMIFS('Portefeuille SP2'!#REF!,'Portefeuille SP2'!#REF!,1,'Portefeuille SP2'!$Q:$Q,"IN PROGRESS",'Portefeuille SP2'!#REF!,"G",'Portefeuille SP2'!$D:$D,$A109,'Portefeuille SP2'!#REF!,"S")</f>
        <v>#REF!</v>
      </c>
      <c r="E109" s="111" t="e">
        <f>SUMIFS('Portefeuille SP2'!$U:$U,'Portefeuille SP2'!#REF!,1,'Portefeuille SP2'!$Q:$Q,"IN PROGRESS",'Portefeuille SP2'!#REF!,"R",'Portefeuille SP2'!$D:$D,$A109,'Portefeuille SP2'!#REF!,"S")</f>
        <v>#REF!</v>
      </c>
      <c r="F109" s="126" t="e">
        <f>SUMIFS('Portefeuille SP2'!#REF!,'Portefeuille SP2'!#REF!,1,'Portefeuille SP2'!$Q:$Q,"IN PROGRESS",'Portefeuille SP2'!#REF!,"R",'Portefeuille SP2'!$D:$D,$A109,'Portefeuille SP2'!#REF!,"S")</f>
        <v>#REF!</v>
      </c>
      <c r="G109" s="117" t="e">
        <f>SUMIFS('Portefeuille SP2'!#REF!,'Portefeuille SP2'!#REF!,1,'Portefeuille SP2'!$Q:$Q,"IN PROGRESS",'Portefeuille SP2'!#REF!,"R",'Portefeuille SP2'!$D:$D,$A109,'Portefeuille SP2'!#REF!,"S")</f>
        <v>#REF!</v>
      </c>
      <c r="H109" s="111" t="e">
        <f>SUMIFS('Portefeuille SP2'!$U:$U,'Portefeuille SP2'!#REF!,1,'Portefeuille SP2'!$Q:$Q,"DECIDED",'Portefeuille SP2'!#REF!,"G",'Portefeuille SP2'!$D:$D,$A109,'Portefeuille SP2'!#REF!,"S",'Portefeuille SP2'!#REF!,"=")</f>
        <v>#REF!</v>
      </c>
      <c r="I109" s="117" t="e">
        <f>SUMIFS('Portefeuille SP2'!#REF!,'Portefeuille SP2'!#REF!,1,'Portefeuille SP2'!$Q:$Q,"DECIDED",'Portefeuille SP2'!#REF!,"G",'Portefeuille SP2'!$D:$D,$A109,'Portefeuille SP2'!#REF!,"S",'Portefeuille SP2'!#REF!,"=")</f>
        <v>#REF!</v>
      </c>
      <c r="J109" s="117" t="e">
        <f>SUMIFS('Portefeuille SP2'!#REF!,'Portefeuille SP2'!#REF!,1,'Portefeuille SP2'!$Q:$Q,"DECIDED",'Portefeuille SP2'!#REF!,"G",'Portefeuille SP2'!$D:$D,$A109,'Portefeuille SP2'!#REF!,"S",'Portefeuille SP2'!#REF!,"=")</f>
        <v>#REF!</v>
      </c>
      <c r="K109" s="111" t="e">
        <f>SUMIFS('Portefeuille SP2'!$U:$U,'Portefeuille SP2'!#REF!,1,'Portefeuille SP2'!$Q:$Q,"DECIDED",'Portefeuille SP2'!#REF!,"R",'Portefeuille SP2'!$D:$D,$A109,'Portefeuille SP2'!#REF!,"S",'Portefeuille SP2'!#REF!,"=")</f>
        <v>#REF!</v>
      </c>
      <c r="L109" s="126" t="e">
        <f>SUMIFS('Portefeuille SP2'!#REF!,'Portefeuille SP2'!#REF!,1,'Portefeuille SP2'!$Q:$Q,"DECIDED",'Portefeuille SP2'!#REF!,"R",'Portefeuille SP2'!$D:$D,$A109,'Portefeuille SP2'!#REF!,"S",'Portefeuille SP2'!#REF!,"=")</f>
        <v>#REF!</v>
      </c>
      <c r="M109" s="117" t="e">
        <f>SUMIFS('Portefeuille SP2'!#REF!,'Portefeuille SP2'!#REF!,1,'Portefeuille SP2'!$Q:$Q,"DECIDED",'Portefeuille SP2'!#REF!,"R",'Portefeuille SP2'!$D:$D,$A109,'Portefeuille SP2'!#REF!,"S",'Portefeuille SP2'!#REF!,"=")</f>
        <v>#REF!</v>
      </c>
      <c r="N109" s="111" t="e">
        <f>SUMIFS('Portefeuille SP2'!$U:$U,'Portefeuille SP2'!#REF!,1,'Portefeuille SP2'!$Q:$Q,"DECIDED",'Portefeuille SP2'!#REF!,"G",'Portefeuille SP2'!$D:$D,$A109,'Portefeuille SP2'!#REF!,"S",'Portefeuille SP2'!#REF!,"&lt;&gt;")</f>
        <v>#REF!</v>
      </c>
      <c r="O109" s="126" t="e">
        <f>SUMIFS('Portefeuille SP2'!#REF!,'Portefeuille SP2'!#REF!,1,'Portefeuille SP2'!$Q:$Q,"DECIDED",'Portefeuille SP2'!#REF!,"G",'Portefeuille SP2'!$D:$D,$A109,'Portefeuille SP2'!#REF!,"S",'Portefeuille SP2'!#REF!,"&lt;&gt;")</f>
        <v>#REF!</v>
      </c>
      <c r="P109" s="117" t="e">
        <f>SUMIFS('Portefeuille SP2'!#REF!,'Portefeuille SP2'!#REF!,1,'Portefeuille SP2'!$Q:$Q,"DECIDED",'Portefeuille SP2'!#REF!,"G",'Portefeuille SP2'!$D:$D,$A109,'Portefeuille SP2'!#REF!,"S",'Portefeuille SP2'!#REF!,"&lt;&gt;")</f>
        <v>#REF!</v>
      </c>
      <c r="Q109" s="111" t="e">
        <f>SUMIFS('Portefeuille SP2'!$U:$U,'Portefeuille SP2'!#REF!,1,'Portefeuille SP2'!$Q:$Q,"DECIDED",'Portefeuille SP2'!#REF!,"R",'Portefeuille SP2'!$D:$D,$A109,'Portefeuille SP2'!#REF!,"S",'Portefeuille SP2'!#REF!,"&lt;&gt;")</f>
        <v>#REF!</v>
      </c>
      <c r="R109" s="126" t="e">
        <f>SUMIFS('Portefeuille SP2'!#REF!,'Portefeuille SP2'!#REF!,1,'Portefeuille SP2'!$Q:$Q,"DECIDED",'Portefeuille SP2'!#REF!,"R",'Portefeuille SP2'!$D:$D,$A109,'Portefeuille SP2'!#REF!,"S",'Portefeuille SP2'!#REF!,"&lt;&gt;")</f>
        <v>#REF!</v>
      </c>
      <c r="S109" s="122" t="e">
        <f>SUMIFS('Portefeuille SP2'!#REF!,'Portefeuille SP2'!#REF!,1,'Portefeuille SP2'!$Q:$Q,"DECIDED",'Portefeuille SP2'!#REF!,"R",'Portefeuille SP2'!$D:$D,$A109,'Portefeuille SP2'!#REF!,"S",'Portefeuille SP2'!#REF!,"&lt;&gt;")</f>
        <v>#REF!</v>
      </c>
      <c r="U109" s="111" t="e">
        <f>SUMIFS('Portefeuille SP2'!$U:$U,'Portefeuille SP2'!#REF!,1,'Portefeuille SP2'!$Q:$Q,"IN PROGRESS",'Portefeuille SP2'!#REF!,"G",'Portefeuille SP2'!$D:$D,$A109,'Portefeuille SP2'!#REF!,"O")</f>
        <v>#REF!</v>
      </c>
      <c r="V109" s="126" t="e">
        <f>SUMIFS('Portefeuille SP2'!#REF!,'Portefeuille SP2'!#REF!,1,'Portefeuille SP2'!$Q:$Q,"IN PROGRESS",'Portefeuille SP2'!#REF!,"G",'Portefeuille SP2'!$D:$D,$A109,'Portefeuille SP2'!#REF!,"o")</f>
        <v>#REF!</v>
      </c>
      <c r="W109" s="117" t="e">
        <f>SUMIFS('Portefeuille SP2'!#REF!,'Portefeuille SP2'!#REF!,1,'Portefeuille SP2'!$Q:$Q,"IN PROGRESS",'Portefeuille SP2'!#REF!,"G",'Portefeuille SP2'!$D:$D,$A109,'Portefeuille SP2'!#REF!,"o")</f>
        <v>#REF!</v>
      </c>
      <c r="X109" s="111" t="e">
        <f>SUMIFS('Portefeuille SP2'!$U:$U,'Portefeuille SP2'!#REF!,1,'Portefeuille SP2'!$Q:$Q,"IN PROGRESS",'Portefeuille SP2'!#REF!,"R",'Portefeuille SP2'!$D:$D,$A109,'Portefeuille SP2'!#REF!,"o")</f>
        <v>#REF!</v>
      </c>
      <c r="Y109" s="126" t="e">
        <f>SUMIFS('Portefeuille SP2'!#REF!,'Portefeuille SP2'!#REF!,1,'Portefeuille SP2'!$Q:$Q,"IN PROGRESS",'Portefeuille SP2'!#REF!,"R",'Portefeuille SP2'!$D:$D,$A109,'Portefeuille SP2'!#REF!,"o")</f>
        <v>#REF!</v>
      </c>
      <c r="Z109" s="117" t="e">
        <f>SUMIFS('Portefeuille SP2'!#REF!,'Portefeuille SP2'!#REF!,1,'Portefeuille SP2'!$Q:$Q,"IN PROGRESS",'Portefeuille SP2'!#REF!,"R",'Portefeuille SP2'!$D:$D,$A109,'Portefeuille SP2'!#REF!,"o")</f>
        <v>#REF!</v>
      </c>
      <c r="AA109" s="111" t="e">
        <f>SUMIFS('Portefeuille SP2'!$U:$U,'Portefeuille SP2'!#REF!,1,'Portefeuille SP2'!$Q:$Q,"DECIDED",'Portefeuille SP2'!#REF!,"G",'Portefeuille SP2'!$D:$D,$A109,'Portefeuille SP2'!#REF!,"o",'Portefeuille SP2'!#REF!,"=")</f>
        <v>#REF!</v>
      </c>
      <c r="AB109" s="126" t="e">
        <f>SUMIFS('Portefeuille SP2'!#REF!,'Portefeuille SP2'!#REF!,1,'Portefeuille SP2'!$Q:$Q,"DECIDED",'Portefeuille SP2'!#REF!,"G",'Portefeuille SP2'!$D:$D,$A109,'Portefeuille SP2'!#REF!,"o",'Portefeuille SP2'!#REF!,"=")</f>
        <v>#REF!</v>
      </c>
      <c r="AC109" s="117" t="e">
        <f>SUMIFS('Portefeuille SP2'!#REF!,'Portefeuille SP2'!#REF!,1,'Portefeuille SP2'!$Q:$Q,"DECIDED",'Portefeuille SP2'!#REF!,"G",'Portefeuille SP2'!$D:$D,$A109,'Portefeuille SP2'!#REF!,"o",'Portefeuille SP2'!#REF!,"=")</f>
        <v>#REF!</v>
      </c>
      <c r="AD109" s="111" t="e">
        <f>SUMIFS('Portefeuille SP2'!$U:$U,'Portefeuille SP2'!#REF!,1,'Portefeuille SP2'!$Q:$Q,"DECIDED",'Portefeuille SP2'!#REF!,"R",'Portefeuille SP2'!$D:$D,$A109,'Portefeuille SP2'!#REF!,"o",'Portefeuille SP2'!#REF!,"=")</f>
        <v>#REF!</v>
      </c>
      <c r="AE109" s="126" t="e">
        <f>SUMIFS('Portefeuille SP2'!#REF!,'Portefeuille SP2'!#REF!,1,'Portefeuille SP2'!$Q:$Q,"DECIDED",'Portefeuille SP2'!#REF!,"R",'Portefeuille SP2'!$D:$D,$A109,'Portefeuille SP2'!#REF!,"o",'Portefeuille SP2'!#REF!,"=")</f>
        <v>#REF!</v>
      </c>
      <c r="AF109" s="117" t="e">
        <f>SUMIFS('Portefeuille SP2'!#REF!,'Portefeuille SP2'!#REF!,1,'Portefeuille SP2'!$Q:$Q,"DECIDED",'Portefeuille SP2'!#REF!,"R",'Portefeuille SP2'!$D:$D,$A109,'Portefeuille SP2'!#REF!,"o",'Portefeuille SP2'!#REF!,"=")</f>
        <v>#REF!</v>
      </c>
      <c r="AG109" s="111" t="e">
        <f>SUMIFS('Portefeuille SP2'!$U:$U,'Portefeuille SP2'!#REF!,1,'Portefeuille SP2'!$Q:$Q,"DECIDED",'Portefeuille SP2'!#REF!,"G",'Portefeuille SP2'!$D:$D,$A109,'Portefeuille SP2'!#REF!,"o",'Portefeuille SP2'!#REF!,"&lt;&gt;")</f>
        <v>#REF!</v>
      </c>
      <c r="AH109" s="126" t="e">
        <f>SUMIFS('Portefeuille SP2'!#REF!,'Portefeuille SP2'!#REF!,1,'Portefeuille SP2'!$Q:$Q,"DECIDED",'Portefeuille SP2'!#REF!,"G",'Portefeuille SP2'!$D:$D,$A109,'Portefeuille SP2'!#REF!,"o",'Portefeuille SP2'!#REF!,"&lt;&gt;")</f>
        <v>#REF!</v>
      </c>
      <c r="AI109" s="117" t="e">
        <f>SUMIFS('Portefeuille SP2'!#REF!,'Portefeuille SP2'!#REF!,1,'Portefeuille SP2'!$Q:$Q,"DECIDED",'Portefeuille SP2'!#REF!,"G",'Portefeuille SP2'!$D:$D,$A109,'Portefeuille SP2'!#REF!,"o",'Portefeuille SP2'!#REF!,"&lt;&gt;")</f>
        <v>#REF!</v>
      </c>
      <c r="AJ109" s="111" t="e">
        <f>SUMIFS('Portefeuille SP2'!$U:$U,'Portefeuille SP2'!#REF!,1,'Portefeuille SP2'!$Q:$Q,"DECIDED",'Portefeuille SP2'!#REF!,"R",'Portefeuille SP2'!$D:$D,$A109,'Portefeuille SP2'!#REF!,"o",'Portefeuille SP2'!#REF!,"&lt;&gt;")</f>
        <v>#REF!</v>
      </c>
      <c r="AK109" s="126" t="e">
        <f>SUMIFS('Portefeuille SP2'!#REF!,'Portefeuille SP2'!#REF!,1,'Portefeuille SP2'!$Q:$Q,"DECIDED",'Portefeuille SP2'!#REF!,"R",'Portefeuille SP2'!$D:$D,$A109,'Portefeuille SP2'!#REF!,"o",'Portefeuille SP2'!#REF!,"&lt;&gt;")</f>
        <v>#REF!</v>
      </c>
      <c r="AL109" s="117" t="e">
        <f>SUMIFS('Portefeuille SP2'!#REF!,'Portefeuille SP2'!#REF!,1,'Portefeuille SP2'!$Q:$Q,"DECIDED",'Portefeuille SP2'!#REF!,"R",'Portefeuille SP2'!$D:$D,$A109,'Portefeuille SP2'!#REF!,"o",'Portefeuille SP2'!#REF!,"&lt;&gt;")</f>
        <v>#REF!</v>
      </c>
      <c r="AM109" s="117"/>
    </row>
    <row r="110" spans="1:77" outlineLevel="1">
      <c r="A110" t="s">
        <v>1324</v>
      </c>
      <c r="B110" s="139" t="e">
        <f>SUMIFS('Portefeuille SP2'!$U:$U,'Portefeuille SP2'!#REF!,1,'Portefeuille SP2'!$Q:$Q,"IN PROGRESS",'Portefeuille SP2'!#REF!,"G",'Portefeuille SP2'!$D:$D,$A110,'Portefeuille SP2'!#REF!,"S")</f>
        <v>#REF!</v>
      </c>
      <c r="C110" s="126" t="e">
        <f>SUMIFS('Portefeuille SP2'!#REF!,'Portefeuille SP2'!#REF!,1,'Portefeuille SP2'!$Q:$Q,"IN PROGRESS",'Portefeuille SP2'!#REF!,"G",'Portefeuille SP2'!$D:$D,$A110,'Portefeuille SP2'!#REF!,"S")</f>
        <v>#REF!</v>
      </c>
      <c r="D110" s="122" t="e">
        <f>SUMIFS('Portefeuille SP2'!#REF!,'Portefeuille SP2'!#REF!,1,'Portefeuille SP2'!$Q:$Q,"IN PROGRESS",'Portefeuille SP2'!#REF!,"G",'Portefeuille SP2'!$D:$D,$A110,'Portefeuille SP2'!#REF!,"S")</f>
        <v>#REF!</v>
      </c>
      <c r="E110" s="111" t="e">
        <f>SUMIFS('Portefeuille SP2'!$U:$U,'Portefeuille SP2'!#REF!,1,'Portefeuille SP2'!$Q:$Q,"IN PROGRESS",'Portefeuille SP2'!#REF!,"R",'Portefeuille SP2'!$D:$D,$A110,'Portefeuille SP2'!#REF!,"S")</f>
        <v>#REF!</v>
      </c>
      <c r="F110" s="126" t="e">
        <f>SUMIFS('Portefeuille SP2'!#REF!,'Portefeuille SP2'!#REF!,1,'Portefeuille SP2'!$Q:$Q,"IN PROGRESS",'Portefeuille SP2'!#REF!,"R",'Portefeuille SP2'!$D:$D,$A110,'Portefeuille SP2'!#REF!,"S")</f>
        <v>#REF!</v>
      </c>
      <c r="G110" s="117" t="e">
        <f>SUMIFS('Portefeuille SP2'!#REF!,'Portefeuille SP2'!#REF!,1,'Portefeuille SP2'!$Q:$Q,"IN PROGRESS",'Portefeuille SP2'!#REF!,"R",'Portefeuille SP2'!$D:$D,$A110,'Portefeuille SP2'!#REF!,"S")</f>
        <v>#REF!</v>
      </c>
      <c r="H110" s="111" t="e">
        <f>SUMIFS('Portefeuille SP2'!$U:$U,'Portefeuille SP2'!#REF!,1,'Portefeuille SP2'!$Q:$Q,"DECIDED",'Portefeuille SP2'!#REF!,"G",'Portefeuille SP2'!$D:$D,$A110,'Portefeuille SP2'!#REF!,"S",'Portefeuille SP2'!#REF!,"=")</f>
        <v>#REF!</v>
      </c>
      <c r="I110" s="117" t="e">
        <f>SUMIFS('Portefeuille SP2'!#REF!,'Portefeuille SP2'!#REF!,1,'Portefeuille SP2'!$Q:$Q,"DECIDED",'Portefeuille SP2'!#REF!,"G",'Portefeuille SP2'!$D:$D,$A110,'Portefeuille SP2'!#REF!,"S",'Portefeuille SP2'!#REF!,"=")</f>
        <v>#REF!</v>
      </c>
      <c r="J110" s="117" t="e">
        <f>SUMIFS('Portefeuille SP2'!#REF!,'Portefeuille SP2'!#REF!,1,'Portefeuille SP2'!$Q:$Q,"DECIDED",'Portefeuille SP2'!#REF!,"G",'Portefeuille SP2'!$D:$D,$A110,'Portefeuille SP2'!#REF!,"S",'Portefeuille SP2'!#REF!,"=")</f>
        <v>#REF!</v>
      </c>
      <c r="K110" s="111" t="e">
        <f>SUMIFS('Portefeuille SP2'!$U:$U,'Portefeuille SP2'!#REF!,1,'Portefeuille SP2'!$Q:$Q,"DECIDED",'Portefeuille SP2'!#REF!,"R",'Portefeuille SP2'!$D:$D,$A110,'Portefeuille SP2'!#REF!,"S",'Portefeuille SP2'!#REF!,"=")</f>
        <v>#REF!</v>
      </c>
      <c r="L110" s="126" t="e">
        <f>SUMIFS('Portefeuille SP2'!#REF!,'Portefeuille SP2'!#REF!,1,'Portefeuille SP2'!$Q:$Q,"DECIDED",'Portefeuille SP2'!#REF!,"R",'Portefeuille SP2'!$D:$D,$A110,'Portefeuille SP2'!#REF!,"S",'Portefeuille SP2'!#REF!,"=")</f>
        <v>#REF!</v>
      </c>
      <c r="M110" s="117" t="e">
        <f>SUMIFS('Portefeuille SP2'!#REF!,'Portefeuille SP2'!#REF!,1,'Portefeuille SP2'!$Q:$Q,"DECIDED",'Portefeuille SP2'!#REF!,"R",'Portefeuille SP2'!$D:$D,$A110,'Portefeuille SP2'!#REF!,"S",'Portefeuille SP2'!#REF!,"=")</f>
        <v>#REF!</v>
      </c>
      <c r="N110" s="111" t="e">
        <f>SUMIFS('Portefeuille SP2'!$U:$U,'Portefeuille SP2'!#REF!,1,'Portefeuille SP2'!$Q:$Q,"DECIDED",'Portefeuille SP2'!#REF!,"G",'Portefeuille SP2'!$D:$D,$A110,'Portefeuille SP2'!#REF!,"S",'Portefeuille SP2'!#REF!,"&lt;&gt;")</f>
        <v>#REF!</v>
      </c>
      <c r="O110" s="126" t="e">
        <f>SUMIFS('Portefeuille SP2'!#REF!,'Portefeuille SP2'!#REF!,1,'Portefeuille SP2'!$Q:$Q,"DECIDED",'Portefeuille SP2'!#REF!,"G",'Portefeuille SP2'!$D:$D,$A110,'Portefeuille SP2'!#REF!,"S",'Portefeuille SP2'!#REF!,"&lt;&gt;")</f>
        <v>#REF!</v>
      </c>
      <c r="P110" s="117" t="e">
        <f>SUMIFS('Portefeuille SP2'!#REF!,'Portefeuille SP2'!#REF!,1,'Portefeuille SP2'!$Q:$Q,"DECIDED",'Portefeuille SP2'!#REF!,"G",'Portefeuille SP2'!$D:$D,$A110,'Portefeuille SP2'!#REF!,"S",'Portefeuille SP2'!#REF!,"&lt;&gt;")</f>
        <v>#REF!</v>
      </c>
      <c r="Q110" s="111" t="e">
        <f>SUMIFS('Portefeuille SP2'!$U:$U,'Portefeuille SP2'!#REF!,1,'Portefeuille SP2'!$Q:$Q,"DECIDED",'Portefeuille SP2'!#REF!,"R",'Portefeuille SP2'!$D:$D,$A110,'Portefeuille SP2'!#REF!,"S",'Portefeuille SP2'!#REF!,"&lt;&gt;")</f>
        <v>#REF!</v>
      </c>
      <c r="R110" s="126" t="e">
        <f>SUMIFS('Portefeuille SP2'!#REF!,'Portefeuille SP2'!#REF!,1,'Portefeuille SP2'!$Q:$Q,"DECIDED",'Portefeuille SP2'!#REF!,"R",'Portefeuille SP2'!$D:$D,$A110,'Portefeuille SP2'!#REF!,"S",'Portefeuille SP2'!#REF!,"&lt;&gt;")</f>
        <v>#REF!</v>
      </c>
      <c r="S110" s="122" t="e">
        <f>SUMIFS('Portefeuille SP2'!#REF!,'Portefeuille SP2'!#REF!,1,'Portefeuille SP2'!$Q:$Q,"DECIDED",'Portefeuille SP2'!#REF!,"R",'Portefeuille SP2'!$D:$D,$A110,'Portefeuille SP2'!#REF!,"S",'Portefeuille SP2'!#REF!,"&lt;&gt;")</f>
        <v>#REF!</v>
      </c>
      <c r="U110" s="111" t="e">
        <f>SUMIFS('Portefeuille SP2'!$U:$U,'Portefeuille SP2'!#REF!,1,'Portefeuille SP2'!$Q:$Q,"IN PROGRESS",'Portefeuille SP2'!#REF!,"G",'Portefeuille SP2'!$D:$D,$A110,'Portefeuille SP2'!#REF!,"O")</f>
        <v>#REF!</v>
      </c>
      <c r="V110" s="126" t="e">
        <f>SUMIFS('Portefeuille SP2'!#REF!,'Portefeuille SP2'!#REF!,1,'Portefeuille SP2'!$Q:$Q,"IN PROGRESS",'Portefeuille SP2'!#REF!,"G",'Portefeuille SP2'!$D:$D,$A110,'Portefeuille SP2'!#REF!,"o")</f>
        <v>#REF!</v>
      </c>
      <c r="W110" s="117" t="e">
        <f>SUMIFS('Portefeuille SP2'!#REF!,'Portefeuille SP2'!#REF!,1,'Portefeuille SP2'!$Q:$Q,"IN PROGRESS",'Portefeuille SP2'!#REF!,"G",'Portefeuille SP2'!$D:$D,$A110,'Portefeuille SP2'!#REF!,"o")</f>
        <v>#REF!</v>
      </c>
      <c r="X110" s="111" t="e">
        <f>SUMIFS('Portefeuille SP2'!$U:$U,'Portefeuille SP2'!#REF!,1,'Portefeuille SP2'!$Q:$Q,"IN PROGRESS",'Portefeuille SP2'!#REF!,"R",'Portefeuille SP2'!$D:$D,$A110,'Portefeuille SP2'!#REF!,"o")</f>
        <v>#REF!</v>
      </c>
      <c r="Y110" s="126" t="e">
        <f>SUMIFS('Portefeuille SP2'!#REF!,'Portefeuille SP2'!#REF!,1,'Portefeuille SP2'!$Q:$Q,"IN PROGRESS",'Portefeuille SP2'!#REF!,"R",'Portefeuille SP2'!$D:$D,$A110,'Portefeuille SP2'!#REF!,"o")</f>
        <v>#REF!</v>
      </c>
      <c r="Z110" s="117" t="e">
        <f>SUMIFS('Portefeuille SP2'!#REF!,'Portefeuille SP2'!#REF!,1,'Portefeuille SP2'!$Q:$Q,"IN PROGRESS",'Portefeuille SP2'!#REF!,"R",'Portefeuille SP2'!$D:$D,$A110,'Portefeuille SP2'!#REF!,"o")</f>
        <v>#REF!</v>
      </c>
      <c r="AA110" s="111" t="e">
        <f>SUMIFS('Portefeuille SP2'!$U:$U,'Portefeuille SP2'!#REF!,1,'Portefeuille SP2'!$Q:$Q,"DECIDED",'Portefeuille SP2'!#REF!,"G",'Portefeuille SP2'!$D:$D,$A110,'Portefeuille SP2'!#REF!,"o",'Portefeuille SP2'!#REF!,"=")</f>
        <v>#REF!</v>
      </c>
      <c r="AB110" s="126" t="e">
        <f>SUMIFS('Portefeuille SP2'!#REF!,'Portefeuille SP2'!#REF!,1,'Portefeuille SP2'!$Q:$Q,"DECIDED",'Portefeuille SP2'!#REF!,"G",'Portefeuille SP2'!$D:$D,$A110,'Portefeuille SP2'!#REF!,"o",'Portefeuille SP2'!#REF!,"=")</f>
        <v>#REF!</v>
      </c>
      <c r="AC110" s="117" t="e">
        <f>SUMIFS('Portefeuille SP2'!#REF!,'Portefeuille SP2'!#REF!,1,'Portefeuille SP2'!$Q:$Q,"DECIDED",'Portefeuille SP2'!#REF!,"G",'Portefeuille SP2'!$D:$D,$A110,'Portefeuille SP2'!#REF!,"o",'Portefeuille SP2'!#REF!,"=")</f>
        <v>#REF!</v>
      </c>
      <c r="AD110" s="111" t="e">
        <f>SUMIFS('Portefeuille SP2'!$U:$U,'Portefeuille SP2'!#REF!,1,'Portefeuille SP2'!$Q:$Q,"DECIDED",'Portefeuille SP2'!#REF!,"R",'Portefeuille SP2'!$D:$D,$A110,'Portefeuille SP2'!#REF!,"o",'Portefeuille SP2'!#REF!,"=")</f>
        <v>#REF!</v>
      </c>
      <c r="AE110" s="126" t="e">
        <f>SUMIFS('Portefeuille SP2'!#REF!,'Portefeuille SP2'!#REF!,1,'Portefeuille SP2'!$Q:$Q,"DECIDED",'Portefeuille SP2'!#REF!,"R",'Portefeuille SP2'!$D:$D,$A110,'Portefeuille SP2'!#REF!,"o",'Portefeuille SP2'!#REF!,"=")</f>
        <v>#REF!</v>
      </c>
      <c r="AF110" s="117" t="e">
        <f>SUMIFS('Portefeuille SP2'!#REF!,'Portefeuille SP2'!#REF!,1,'Portefeuille SP2'!$Q:$Q,"DECIDED",'Portefeuille SP2'!#REF!,"R",'Portefeuille SP2'!$D:$D,$A110,'Portefeuille SP2'!#REF!,"o",'Portefeuille SP2'!#REF!,"=")</f>
        <v>#REF!</v>
      </c>
      <c r="AG110" s="111" t="e">
        <f>SUMIFS('Portefeuille SP2'!$U:$U,'Portefeuille SP2'!#REF!,1,'Portefeuille SP2'!$Q:$Q,"DECIDED",'Portefeuille SP2'!#REF!,"G",'Portefeuille SP2'!$D:$D,$A110,'Portefeuille SP2'!#REF!,"o",'Portefeuille SP2'!#REF!,"&lt;&gt;")</f>
        <v>#REF!</v>
      </c>
      <c r="AH110" s="126" t="e">
        <f>SUMIFS('Portefeuille SP2'!#REF!,'Portefeuille SP2'!#REF!,1,'Portefeuille SP2'!$Q:$Q,"DECIDED",'Portefeuille SP2'!#REF!,"G",'Portefeuille SP2'!$D:$D,$A110,'Portefeuille SP2'!#REF!,"o",'Portefeuille SP2'!#REF!,"&lt;&gt;")</f>
        <v>#REF!</v>
      </c>
      <c r="AI110" s="117" t="e">
        <f>SUMIFS('Portefeuille SP2'!#REF!,'Portefeuille SP2'!#REF!,1,'Portefeuille SP2'!$Q:$Q,"DECIDED",'Portefeuille SP2'!#REF!,"G",'Portefeuille SP2'!$D:$D,$A110,'Portefeuille SP2'!#REF!,"o",'Portefeuille SP2'!#REF!,"&lt;&gt;")</f>
        <v>#REF!</v>
      </c>
      <c r="AJ110" s="111" t="e">
        <f>SUMIFS('Portefeuille SP2'!$U:$U,'Portefeuille SP2'!#REF!,1,'Portefeuille SP2'!$Q:$Q,"DECIDED",'Portefeuille SP2'!#REF!,"R",'Portefeuille SP2'!$D:$D,$A110,'Portefeuille SP2'!#REF!,"o",'Portefeuille SP2'!#REF!,"&lt;&gt;")</f>
        <v>#REF!</v>
      </c>
      <c r="AK110" s="126" t="e">
        <f>SUMIFS('Portefeuille SP2'!#REF!,'Portefeuille SP2'!#REF!,1,'Portefeuille SP2'!$Q:$Q,"DECIDED",'Portefeuille SP2'!#REF!,"R",'Portefeuille SP2'!$D:$D,$A110,'Portefeuille SP2'!#REF!,"o",'Portefeuille SP2'!#REF!,"&lt;&gt;")</f>
        <v>#REF!</v>
      </c>
      <c r="AL110" s="117" t="e">
        <f>SUMIFS('Portefeuille SP2'!#REF!,'Portefeuille SP2'!#REF!,1,'Portefeuille SP2'!$Q:$Q,"DECIDED",'Portefeuille SP2'!#REF!,"R",'Portefeuille SP2'!$D:$D,$A110,'Portefeuille SP2'!#REF!,"o",'Portefeuille SP2'!#REF!,"&lt;&gt;")</f>
        <v>#REF!</v>
      </c>
      <c r="AM110" s="117"/>
    </row>
    <row r="111" spans="1:77" outlineLevel="1">
      <c r="A111" t="s">
        <v>1318</v>
      </c>
      <c r="B111" s="139" t="e">
        <f>SUMIFS('Portefeuille SP2'!$U:$U,'Portefeuille SP2'!#REF!,1,'Portefeuille SP2'!$Q:$Q,"IN PROGRESS",'Portefeuille SP2'!#REF!,"G",'Portefeuille SP2'!$D:$D,$A111,'Portefeuille SP2'!#REF!,"S")</f>
        <v>#REF!</v>
      </c>
      <c r="C111" s="126" t="e">
        <f>SUMIFS('Portefeuille SP2'!#REF!,'Portefeuille SP2'!#REF!,1,'Portefeuille SP2'!$Q:$Q,"IN PROGRESS",'Portefeuille SP2'!#REF!,"G",'Portefeuille SP2'!$D:$D,$A111,'Portefeuille SP2'!#REF!,"S")</f>
        <v>#REF!</v>
      </c>
      <c r="D111" s="122" t="e">
        <f>SUMIFS('Portefeuille SP2'!#REF!,'Portefeuille SP2'!#REF!,1,'Portefeuille SP2'!$Q:$Q,"IN PROGRESS",'Portefeuille SP2'!#REF!,"G",'Portefeuille SP2'!$D:$D,$A111,'Portefeuille SP2'!#REF!,"S")</f>
        <v>#REF!</v>
      </c>
      <c r="E111" s="111" t="e">
        <f>SUMIFS('Portefeuille SP2'!$U:$U,'Portefeuille SP2'!#REF!,1,'Portefeuille SP2'!$Q:$Q,"IN PROGRESS",'Portefeuille SP2'!#REF!,"R",'Portefeuille SP2'!$D:$D,$A111,'Portefeuille SP2'!#REF!,"S")</f>
        <v>#REF!</v>
      </c>
      <c r="F111" s="126" t="e">
        <f>SUMIFS('Portefeuille SP2'!#REF!,'Portefeuille SP2'!#REF!,1,'Portefeuille SP2'!$Q:$Q,"IN PROGRESS",'Portefeuille SP2'!#REF!,"R",'Portefeuille SP2'!$D:$D,$A111,'Portefeuille SP2'!#REF!,"S")</f>
        <v>#REF!</v>
      </c>
      <c r="G111" s="117" t="e">
        <f>SUMIFS('Portefeuille SP2'!#REF!,'Portefeuille SP2'!#REF!,1,'Portefeuille SP2'!$Q:$Q,"IN PROGRESS",'Portefeuille SP2'!#REF!,"R",'Portefeuille SP2'!$D:$D,$A111,'Portefeuille SP2'!#REF!,"S")</f>
        <v>#REF!</v>
      </c>
      <c r="H111" s="111" t="e">
        <f>SUMIFS('Portefeuille SP2'!$U:$U,'Portefeuille SP2'!#REF!,1,'Portefeuille SP2'!$Q:$Q,"DECIDED",'Portefeuille SP2'!#REF!,"G",'Portefeuille SP2'!$D:$D,$A111,'Portefeuille SP2'!#REF!,"S",'Portefeuille SP2'!#REF!,"=")</f>
        <v>#REF!</v>
      </c>
      <c r="I111" s="117" t="e">
        <f>SUMIFS('Portefeuille SP2'!#REF!,'Portefeuille SP2'!#REF!,1,'Portefeuille SP2'!$Q:$Q,"DECIDED",'Portefeuille SP2'!#REF!,"G",'Portefeuille SP2'!$D:$D,$A111,'Portefeuille SP2'!#REF!,"S",'Portefeuille SP2'!#REF!,"=")</f>
        <v>#REF!</v>
      </c>
      <c r="J111" s="117" t="e">
        <f>SUMIFS('Portefeuille SP2'!#REF!,'Portefeuille SP2'!#REF!,1,'Portefeuille SP2'!$Q:$Q,"DECIDED",'Portefeuille SP2'!#REF!,"G",'Portefeuille SP2'!$D:$D,$A111,'Portefeuille SP2'!#REF!,"S",'Portefeuille SP2'!#REF!,"=")</f>
        <v>#REF!</v>
      </c>
      <c r="K111" s="111" t="e">
        <f>SUMIFS('Portefeuille SP2'!$U:$U,'Portefeuille SP2'!#REF!,1,'Portefeuille SP2'!$Q:$Q,"DECIDED",'Portefeuille SP2'!#REF!,"R",'Portefeuille SP2'!$D:$D,$A111,'Portefeuille SP2'!#REF!,"S",'Portefeuille SP2'!#REF!,"=")</f>
        <v>#REF!</v>
      </c>
      <c r="L111" s="126" t="e">
        <f>SUMIFS('Portefeuille SP2'!#REF!,'Portefeuille SP2'!#REF!,1,'Portefeuille SP2'!$Q:$Q,"DECIDED",'Portefeuille SP2'!#REF!,"R",'Portefeuille SP2'!$D:$D,$A111,'Portefeuille SP2'!#REF!,"S",'Portefeuille SP2'!#REF!,"=")</f>
        <v>#REF!</v>
      </c>
      <c r="M111" s="117" t="e">
        <f>SUMIFS('Portefeuille SP2'!#REF!,'Portefeuille SP2'!#REF!,1,'Portefeuille SP2'!$Q:$Q,"DECIDED",'Portefeuille SP2'!#REF!,"R",'Portefeuille SP2'!$D:$D,$A111,'Portefeuille SP2'!#REF!,"S",'Portefeuille SP2'!#REF!,"=")</f>
        <v>#REF!</v>
      </c>
      <c r="N111" s="111" t="e">
        <f>SUMIFS('Portefeuille SP2'!$U:$U,'Portefeuille SP2'!#REF!,1,'Portefeuille SP2'!$Q:$Q,"DECIDED",'Portefeuille SP2'!#REF!,"G",'Portefeuille SP2'!$D:$D,$A111,'Portefeuille SP2'!#REF!,"S",'Portefeuille SP2'!#REF!,"&lt;&gt;")</f>
        <v>#REF!</v>
      </c>
      <c r="O111" s="126" t="e">
        <f>SUMIFS('Portefeuille SP2'!#REF!,'Portefeuille SP2'!#REF!,1,'Portefeuille SP2'!$Q:$Q,"DECIDED",'Portefeuille SP2'!#REF!,"G",'Portefeuille SP2'!$D:$D,$A111,'Portefeuille SP2'!#REF!,"S",'Portefeuille SP2'!#REF!,"&lt;&gt;")</f>
        <v>#REF!</v>
      </c>
      <c r="P111" s="117" t="e">
        <f>SUMIFS('Portefeuille SP2'!#REF!,'Portefeuille SP2'!#REF!,1,'Portefeuille SP2'!$Q:$Q,"DECIDED",'Portefeuille SP2'!#REF!,"G",'Portefeuille SP2'!$D:$D,$A111,'Portefeuille SP2'!#REF!,"S",'Portefeuille SP2'!#REF!,"&lt;&gt;")</f>
        <v>#REF!</v>
      </c>
      <c r="Q111" s="111" t="e">
        <f>SUMIFS('Portefeuille SP2'!$U:$U,'Portefeuille SP2'!#REF!,1,'Portefeuille SP2'!$Q:$Q,"DECIDED",'Portefeuille SP2'!#REF!,"R",'Portefeuille SP2'!$D:$D,$A111,'Portefeuille SP2'!#REF!,"S",'Portefeuille SP2'!#REF!,"&lt;&gt;")</f>
        <v>#REF!</v>
      </c>
      <c r="R111" s="126" t="e">
        <f>SUMIFS('Portefeuille SP2'!#REF!,'Portefeuille SP2'!#REF!,1,'Portefeuille SP2'!$Q:$Q,"DECIDED",'Portefeuille SP2'!#REF!,"R",'Portefeuille SP2'!$D:$D,$A111,'Portefeuille SP2'!#REF!,"S",'Portefeuille SP2'!#REF!,"&lt;&gt;")</f>
        <v>#REF!</v>
      </c>
      <c r="S111" s="122" t="e">
        <f>SUMIFS('Portefeuille SP2'!#REF!,'Portefeuille SP2'!#REF!,1,'Portefeuille SP2'!$Q:$Q,"DECIDED",'Portefeuille SP2'!#REF!,"R",'Portefeuille SP2'!$D:$D,$A111,'Portefeuille SP2'!#REF!,"S",'Portefeuille SP2'!#REF!,"&lt;&gt;")</f>
        <v>#REF!</v>
      </c>
      <c r="U111" s="111" t="e">
        <f>SUMIFS('Portefeuille SP2'!$U:$U,'Portefeuille SP2'!#REF!,1,'Portefeuille SP2'!$Q:$Q,"IN PROGRESS",'Portefeuille SP2'!#REF!,"G",'Portefeuille SP2'!$D:$D,$A111,'Portefeuille SP2'!#REF!,"O")</f>
        <v>#REF!</v>
      </c>
      <c r="V111" s="126" t="e">
        <f>SUMIFS('Portefeuille SP2'!#REF!,'Portefeuille SP2'!#REF!,1,'Portefeuille SP2'!$Q:$Q,"IN PROGRESS",'Portefeuille SP2'!#REF!,"G",'Portefeuille SP2'!$D:$D,$A111,'Portefeuille SP2'!#REF!,"o")</f>
        <v>#REF!</v>
      </c>
      <c r="W111" s="117" t="e">
        <f>SUMIFS('Portefeuille SP2'!#REF!,'Portefeuille SP2'!#REF!,1,'Portefeuille SP2'!$Q:$Q,"IN PROGRESS",'Portefeuille SP2'!#REF!,"G",'Portefeuille SP2'!$D:$D,$A111,'Portefeuille SP2'!#REF!,"o")</f>
        <v>#REF!</v>
      </c>
      <c r="X111" s="111" t="e">
        <f>SUMIFS('Portefeuille SP2'!$U:$U,'Portefeuille SP2'!#REF!,1,'Portefeuille SP2'!$Q:$Q,"IN PROGRESS",'Portefeuille SP2'!#REF!,"R",'Portefeuille SP2'!$D:$D,$A111,'Portefeuille SP2'!#REF!,"o")</f>
        <v>#REF!</v>
      </c>
      <c r="Y111" s="126" t="e">
        <f>SUMIFS('Portefeuille SP2'!#REF!,'Portefeuille SP2'!#REF!,1,'Portefeuille SP2'!$Q:$Q,"IN PROGRESS",'Portefeuille SP2'!#REF!,"R",'Portefeuille SP2'!$D:$D,$A111,'Portefeuille SP2'!#REF!,"o")</f>
        <v>#REF!</v>
      </c>
      <c r="Z111" s="117" t="e">
        <f>SUMIFS('Portefeuille SP2'!#REF!,'Portefeuille SP2'!#REF!,1,'Portefeuille SP2'!$Q:$Q,"IN PROGRESS",'Portefeuille SP2'!#REF!,"R",'Portefeuille SP2'!$D:$D,$A111,'Portefeuille SP2'!#REF!,"o")</f>
        <v>#REF!</v>
      </c>
      <c r="AA111" s="111" t="e">
        <f>SUMIFS('Portefeuille SP2'!$U:$U,'Portefeuille SP2'!#REF!,1,'Portefeuille SP2'!$Q:$Q,"DECIDED",'Portefeuille SP2'!#REF!,"G",'Portefeuille SP2'!$D:$D,$A111,'Portefeuille SP2'!#REF!,"o",'Portefeuille SP2'!#REF!,"=")</f>
        <v>#REF!</v>
      </c>
      <c r="AB111" s="126" t="e">
        <f>SUMIFS('Portefeuille SP2'!#REF!,'Portefeuille SP2'!#REF!,1,'Portefeuille SP2'!$Q:$Q,"DECIDED",'Portefeuille SP2'!#REF!,"G",'Portefeuille SP2'!$D:$D,$A111,'Portefeuille SP2'!#REF!,"o",'Portefeuille SP2'!#REF!,"=")</f>
        <v>#REF!</v>
      </c>
      <c r="AC111" s="117" t="e">
        <f>SUMIFS('Portefeuille SP2'!#REF!,'Portefeuille SP2'!#REF!,1,'Portefeuille SP2'!$Q:$Q,"DECIDED",'Portefeuille SP2'!#REF!,"G",'Portefeuille SP2'!$D:$D,$A111,'Portefeuille SP2'!#REF!,"o",'Portefeuille SP2'!#REF!,"=")</f>
        <v>#REF!</v>
      </c>
      <c r="AD111" s="111" t="e">
        <f>SUMIFS('Portefeuille SP2'!$U:$U,'Portefeuille SP2'!#REF!,1,'Portefeuille SP2'!$Q:$Q,"DECIDED",'Portefeuille SP2'!#REF!,"R",'Portefeuille SP2'!$D:$D,$A111,'Portefeuille SP2'!#REF!,"o",'Portefeuille SP2'!#REF!,"=")</f>
        <v>#REF!</v>
      </c>
      <c r="AE111" s="126" t="e">
        <f>SUMIFS('Portefeuille SP2'!#REF!,'Portefeuille SP2'!#REF!,1,'Portefeuille SP2'!$Q:$Q,"DECIDED",'Portefeuille SP2'!#REF!,"R",'Portefeuille SP2'!$D:$D,$A111,'Portefeuille SP2'!#REF!,"o",'Portefeuille SP2'!#REF!,"=")</f>
        <v>#REF!</v>
      </c>
      <c r="AF111" s="117" t="e">
        <f>SUMIFS('Portefeuille SP2'!#REF!,'Portefeuille SP2'!#REF!,1,'Portefeuille SP2'!$Q:$Q,"DECIDED",'Portefeuille SP2'!#REF!,"R",'Portefeuille SP2'!$D:$D,$A111,'Portefeuille SP2'!#REF!,"o",'Portefeuille SP2'!#REF!,"=")</f>
        <v>#REF!</v>
      </c>
      <c r="AG111" s="111" t="e">
        <f>SUMIFS('Portefeuille SP2'!$U:$U,'Portefeuille SP2'!#REF!,1,'Portefeuille SP2'!$Q:$Q,"DECIDED",'Portefeuille SP2'!#REF!,"G",'Portefeuille SP2'!$D:$D,$A111,'Portefeuille SP2'!#REF!,"o",'Portefeuille SP2'!#REF!,"&lt;&gt;")</f>
        <v>#REF!</v>
      </c>
      <c r="AH111" s="126" t="e">
        <f>SUMIFS('Portefeuille SP2'!#REF!,'Portefeuille SP2'!#REF!,1,'Portefeuille SP2'!$Q:$Q,"DECIDED",'Portefeuille SP2'!#REF!,"G",'Portefeuille SP2'!$D:$D,$A111,'Portefeuille SP2'!#REF!,"o",'Portefeuille SP2'!#REF!,"&lt;&gt;")</f>
        <v>#REF!</v>
      </c>
      <c r="AI111" s="117" t="e">
        <f>SUMIFS('Portefeuille SP2'!#REF!,'Portefeuille SP2'!#REF!,1,'Portefeuille SP2'!$Q:$Q,"DECIDED",'Portefeuille SP2'!#REF!,"G",'Portefeuille SP2'!$D:$D,$A111,'Portefeuille SP2'!#REF!,"o",'Portefeuille SP2'!#REF!,"&lt;&gt;")</f>
        <v>#REF!</v>
      </c>
      <c r="AJ111" s="111" t="e">
        <f>SUMIFS('Portefeuille SP2'!$U:$U,'Portefeuille SP2'!#REF!,1,'Portefeuille SP2'!$Q:$Q,"DECIDED",'Portefeuille SP2'!#REF!,"R",'Portefeuille SP2'!$D:$D,$A111,'Portefeuille SP2'!#REF!,"o",'Portefeuille SP2'!#REF!,"&lt;&gt;")</f>
        <v>#REF!</v>
      </c>
      <c r="AK111" s="126" t="e">
        <f>SUMIFS('Portefeuille SP2'!#REF!,'Portefeuille SP2'!#REF!,1,'Portefeuille SP2'!$Q:$Q,"DECIDED",'Portefeuille SP2'!#REF!,"R",'Portefeuille SP2'!$D:$D,$A111,'Portefeuille SP2'!#REF!,"o",'Portefeuille SP2'!#REF!,"&lt;&gt;")</f>
        <v>#REF!</v>
      </c>
      <c r="AL111" s="117" t="e">
        <f>SUMIFS('Portefeuille SP2'!#REF!,'Portefeuille SP2'!#REF!,1,'Portefeuille SP2'!$Q:$Q,"DECIDED",'Portefeuille SP2'!#REF!,"R",'Portefeuille SP2'!$D:$D,$A111,'Portefeuille SP2'!#REF!,"o",'Portefeuille SP2'!#REF!,"&lt;&gt;")</f>
        <v>#REF!</v>
      </c>
      <c r="AM111" s="117"/>
    </row>
    <row r="112" spans="1:77" outlineLevel="1">
      <c r="A112" t="s">
        <v>1325</v>
      </c>
      <c r="B112" s="139" t="e">
        <f>SUMIFS('Portefeuille SP2'!$U:$U,'Portefeuille SP2'!#REF!,1,'Portefeuille SP2'!$Q:$Q,"IN PROGRESS",'Portefeuille SP2'!#REF!,"G",'Portefeuille SP2'!$D:$D,$A112,'Portefeuille SP2'!#REF!,"S")</f>
        <v>#REF!</v>
      </c>
      <c r="C112" s="126" t="e">
        <f>SUMIFS('Portefeuille SP2'!#REF!,'Portefeuille SP2'!#REF!,1,'Portefeuille SP2'!$Q:$Q,"IN PROGRESS",'Portefeuille SP2'!#REF!,"G",'Portefeuille SP2'!$D:$D,$A112,'Portefeuille SP2'!#REF!,"S")</f>
        <v>#REF!</v>
      </c>
      <c r="D112" s="122" t="e">
        <f>SUMIFS('Portefeuille SP2'!#REF!,'Portefeuille SP2'!#REF!,1,'Portefeuille SP2'!$Q:$Q,"IN PROGRESS",'Portefeuille SP2'!#REF!,"G",'Portefeuille SP2'!$D:$D,$A112,'Portefeuille SP2'!#REF!,"S")</f>
        <v>#REF!</v>
      </c>
      <c r="E112" s="111" t="e">
        <f>SUMIFS('Portefeuille SP2'!$U:$U,'Portefeuille SP2'!#REF!,1,'Portefeuille SP2'!$Q:$Q,"IN PROGRESS",'Portefeuille SP2'!#REF!,"R",'Portefeuille SP2'!$D:$D,$A112,'Portefeuille SP2'!#REF!,"S")</f>
        <v>#REF!</v>
      </c>
      <c r="F112" s="126" t="e">
        <f>SUMIFS('Portefeuille SP2'!#REF!,'Portefeuille SP2'!#REF!,1,'Portefeuille SP2'!$Q:$Q,"IN PROGRESS",'Portefeuille SP2'!#REF!,"R",'Portefeuille SP2'!$D:$D,$A112,'Portefeuille SP2'!#REF!,"S")</f>
        <v>#REF!</v>
      </c>
      <c r="G112" s="117" t="e">
        <f>SUMIFS('Portefeuille SP2'!#REF!,'Portefeuille SP2'!#REF!,1,'Portefeuille SP2'!$Q:$Q,"IN PROGRESS",'Portefeuille SP2'!#REF!,"R",'Portefeuille SP2'!$D:$D,$A112,'Portefeuille SP2'!#REF!,"S")</f>
        <v>#REF!</v>
      </c>
      <c r="H112" s="111" t="e">
        <f>SUMIFS('Portefeuille SP2'!$U:$U,'Portefeuille SP2'!#REF!,1,'Portefeuille SP2'!$Q:$Q,"DECIDED",'Portefeuille SP2'!#REF!,"G",'Portefeuille SP2'!$D:$D,$A112,'Portefeuille SP2'!#REF!,"S",'Portefeuille SP2'!#REF!,"=")</f>
        <v>#REF!</v>
      </c>
      <c r="I112" s="117" t="e">
        <f>SUMIFS('Portefeuille SP2'!#REF!,'Portefeuille SP2'!#REF!,1,'Portefeuille SP2'!$Q:$Q,"DECIDED",'Portefeuille SP2'!#REF!,"G",'Portefeuille SP2'!$D:$D,$A112,'Portefeuille SP2'!#REF!,"S",'Portefeuille SP2'!#REF!,"=")</f>
        <v>#REF!</v>
      </c>
      <c r="J112" s="117" t="e">
        <f>SUMIFS('Portefeuille SP2'!#REF!,'Portefeuille SP2'!#REF!,1,'Portefeuille SP2'!$Q:$Q,"DECIDED",'Portefeuille SP2'!#REF!,"G",'Portefeuille SP2'!$D:$D,$A112,'Portefeuille SP2'!#REF!,"S",'Portefeuille SP2'!#REF!,"=")</f>
        <v>#REF!</v>
      </c>
      <c r="K112" s="111" t="e">
        <f>SUMIFS('Portefeuille SP2'!$U:$U,'Portefeuille SP2'!#REF!,1,'Portefeuille SP2'!$Q:$Q,"DECIDED",'Portefeuille SP2'!#REF!,"R",'Portefeuille SP2'!$D:$D,$A112,'Portefeuille SP2'!#REF!,"S",'Portefeuille SP2'!#REF!,"=")</f>
        <v>#REF!</v>
      </c>
      <c r="L112" s="126" t="e">
        <f>SUMIFS('Portefeuille SP2'!#REF!,'Portefeuille SP2'!#REF!,1,'Portefeuille SP2'!$Q:$Q,"DECIDED",'Portefeuille SP2'!#REF!,"R",'Portefeuille SP2'!$D:$D,$A112,'Portefeuille SP2'!#REF!,"S",'Portefeuille SP2'!#REF!,"=")</f>
        <v>#REF!</v>
      </c>
      <c r="M112" s="117" t="e">
        <f>SUMIFS('Portefeuille SP2'!#REF!,'Portefeuille SP2'!#REF!,1,'Portefeuille SP2'!$Q:$Q,"DECIDED",'Portefeuille SP2'!#REF!,"R",'Portefeuille SP2'!$D:$D,$A112,'Portefeuille SP2'!#REF!,"S",'Portefeuille SP2'!#REF!,"=")</f>
        <v>#REF!</v>
      </c>
      <c r="N112" s="111" t="e">
        <f>SUMIFS('Portefeuille SP2'!$U:$U,'Portefeuille SP2'!#REF!,1,'Portefeuille SP2'!$Q:$Q,"DECIDED",'Portefeuille SP2'!#REF!,"G",'Portefeuille SP2'!$D:$D,$A112,'Portefeuille SP2'!#REF!,"S",'Portefeuille SP2'!#REF!,"&lt;&gt;")</f>
        <v>#REF!</v>
      </c>
      <c r="O112" s="126" t="e">
        <f>SUMIFS('Portefeuille SP2'!#REF!,'Portefeuille SP2'!#REF!,1,'Portefeuille SP2'!$Q:$Q,"DECIDED",'Portefeuille SP2'!#REF!,"G",'Portefeuille SP2'!$D:$D,$A112,'Portefeuille SP2'!#REF!,"S",'Portefeuille SP2'!#REF!,"&lt;&gt;")</f>
        <v>#REF!</v>
      </c>
      <c r="P112" s="117" t="e">
        <f>SUMIFS('Portefeuille SP2'!#REF!,'Portefeuille SP2'!#REF!,1,'Portefeuille SP2'!$Q:$Q,"DECIDED",'Portefeuille SP2'!#REF!,"G",'Portefeuille SP2'!$D:$D,$A112,'Portefeuille SP2'!#REF!,"S",'Portefeuille SP2'!#REF!,"&lt;&gt;")</f>
        <v>#REF!</v>
      </c>
      <c r="Q112" s="111" t="e">
        <f>SUMIFS('Portefeuille SP2'!$U:$U,'Portefeuille SP2'!#REF!,1,'Portefeuille SP2'!$Q:$Q,"DECIDED",'Portefeuille SP2'!#REF!,"R",'Portefeuille SP2'!$D:$D,$A112,'Portefeuille SP2'!#REF!,"S",'Portefeuille SP2'!#REF!,"&lt;&gt;")</f>
        <v>#REF!</v>
      </c>
      <c r="R112" s="126" t="e">
        <f>SUMIFS('Portefeuille SP2'!#REF!,'Portefeuille SP2'!#REF!,1,'Portefeuille SP2'!$Q:$Q,"DECIDED",'Portefeuille SP2'!#REF!,"R",'Portefeuille SP2'!$D:$D,$A112,'Portefeuille SP2'!#REF!,"S",'Portefeuille SP2'!#REF!,"&lt;&gt;")</f>
        <v>#REF!</v>
      </c>
      <c r="S112" s="122" t="e">
        <f>SUMIFS('Portefeuille SP2'!#REF!,'Portefeuille SP2'!#REF!,1,'Portefeuille SP2'!$Q:$Q,"DECIDED",'Portefeuille SP2'!#REF!,"R",'Portefeuille SP2'!$D:$D,$A112,'Portefeuille SP2'!#REF!,"S",'Portefeuille SP2'!#REF!,"&lt;&gt;")</f>
        <v>#REF!</v>
      </c>
      <c r="U112" s="111" t="e">
        <f>SUMIFS('Portefeuille SP2'!$U:$U,'Portefeuille SP2'!#REF!,1,'Portefeuille SP2'!$Q:$Q,"IN PROGRESS",'Portefeuille SP2'!#REF!,"G",'Portefeuille SP2'!$D:$D,$A112,'Portefeuille SP2'!#REF!,"O")</f>
        <v>#REF!</v>
      </c>
      <c r="V112" s="126" t="e">
        <f>SUMIFS('Portefeuille SP2'!#REF!,'Portefeuille SP2'!#REF!,1,'Portefeuille SP2'!$Q:$Q,"IN PROGRESS",'Portefeuille SP2'!#REF!,"G",'Portefeuille SP2'!$D:$D,$A112,'Portefeuille SP2'!#REF!,"o")</f>
        <v>#REF!</v>
      </c>
      <c r="W112" s="117" t="e">
        <f>SUMIFS('Portefeuille SP2'!#REF!,'Portefeuille SP2'!#REF!,1,'Portefeuille SP2'!$Q:$Q,"IN PROGRESS",'Portefeuille SP2'!#REF!,"G",'Portefeuille SP2'!$D:$D,$A112,'Portefeuille SP2'!#REF!,"o")</f>
        <v>#REF!</v>
      </c>
      <c r="X112" s="111" t="e">
        <f>SUMIFS('Portefeuille SP2'!$U:$U,'Portefeuille SP2'!#REF!,1,'Portefeuille SP2'!$Q:$Q,"IN PROGRESS",'Portefeuille SP2'!#REF!,"R",'Portefeuille SP2'!$D:$D,$A112,'Portefeuille SP2'!#REF!,"o")</f>
        <v>#REF!</v>
      </c>
      <c r="Y112" s="126" t="e">
        <f>SUMIFS('Portefeuille SP2'!#REF!,'Portefeuille SP2'!#REF!,1,'Portefeuille SP2'!$Q:$Q,"IN PROGRESS",'Portefeuille SP2'!#REF!,"R",'Portefeuille SP2'!$D:$D,$A112,'Portefeuille SP2'!#REF!,"o")</f>
        <v>#REF!</v>
      </c>
      <c r="Z112" s="117" t="e">
        <f>SUMIFS('Portefeuille SP2'!#REF!,'Portefeuille SP2'!#REF!,1,'Portefeuille SP2'!$Q:$Q,"IN PROGRESS",'Portefeuille SP2'!#REF!,"R",'Portefeuille SP2'!$D:$D,$A112,'Portefeuille SP2'!#REF!,"o")</f>
        <v>#REF!</v>
      </c>
      <c r="AA112" s="111" t="e">
        <f>SUMIFS('Portefeuille SP2'!$U:$U,'Portefeuille SP2'!#REF!,1,'Portefeuille SP2'!$Q:$Q,"DECIDED",'Portefeuille SP2'!#REF!,"G",'Portefeuille SP2'!$D:$D,$A112,'Portefeuille SP2'!#REF!,"o",'Portefeuille SP2'!#REF!,"=")</f>
        <v>#REF!</v>
      </c>
      <c r="AB112" s="126" t="e">
        <f>SUMIFS('Portefeuille SP2'!#REF!,'Portefeuille SP2'!#REF!,1,'Portefeuille SP2'!$Q:$Q,"DECIDED",'Portefeuille SP2'!#REF!,"G",'Portefeuille SP2'!$D:$D,$A112,'Portefeuille SP2'!#REF!,"o",'Portefeuille SP2'!#REF!,"=")</f>
        <v>#REF!</v>
      </c>
      <c r="AC112" s="117" t="e">
        <f>SUMIFS('Portefeuille SP2'!#REF!,'Portefeuille SP2'!#REF!,1,'Portefeuille SP2'!$Q:$Q,"DECIDED",'Portefeuille SP2'!#REF!,"G",'Portefeuille SP2'!$D:$D,$A112,'Portefeuille SP2'!#REF!,"o",'Portefeuille SP2'!#REF!,"=")</f>
        <v>#REF!</v>
      </c>
      <c r="AD112" s="111" t="e">
        <f>SUMIFS('Portefeuille SP2'!$U:$U,'Portefeuille SP2'!#REF!,1,'Portefeuille SP2'!$Q:$Q,"DECIDED",'Portefeuille SP2'!#REF!,"R",'Portefeuille SP2'!$D:$D,$A112,'Portefeuille SP2'!#REF!,"o",'Portefeuille SP2'!#REF!,"=")</f>
        <v>#REF!</v>
      </c>
      <c r="AE112" s="126" t="e">
        <f>SUMIFS('Portefeuille SP2'!#REF!,'Portefeuille SP2'!#REF!,1,'Portefeuille SP2'!$Q:$Q,"DECIDED",'Portefeuille SP2'!#REF!,"R",'Portefeuille SP2'!$D:$D,$A112,'Portefeuille SP2'!#REF!,"o",'Portefeuille SP2'!#REF!,"=")</f>
        <v>#REF!</v>
      </c>
      <c r="AF112" s="117" t="e">
        <f>SUMIFS('Portefeuille SP2'!#REF!,'Portefeuille SP2'!#REF!,1,'Portefeuille SP2'!$Q:$Q,"DECIDED",'Portefeuille SP2'!#REF!,"R",'Portefeuille SP2'!$D:$D,$A112,'Portefeuille SP2'!#REF!,"o",'Portefeuille SP2'!#REF!,"=")</f>
        <v>#REF!</v>
      </c>
      <c r="AG112" s="111" t="e">
        <f>SUMIFS('Portefeuille SP2'!$U:$U,'Portefeuille SP2'!#REF!,1,'Portefeuille SP2'!$Q:$Q,"DECIDED",'Portefeuille SP2'!#REF!,"G",'Portefeuille SP2'!$D:$D,$A112,'Portefeuille SP2'!#REF!,"o",'Portefeuille SP2'!#REF!,"&lt;&gt;")</f>
        <v>#REF!</v>
      </c>
      <c r="AH112" s="126" t="e">
        <f>SUMIFS('Portefeuille SP2'!#REF!,'Portefeuille SP2'!#REF!,1,'Portefeuille SP2'!$Q:$Q,"DECIDED",'Portefeuille SP2'!#REF!,"G",'Portefeuille SP2'!$D:$D,$A112,'Portefeuille SP2'!#REF!,"o",'Portefeuille SP2'!#REF!,"&lt;&gt;")</f>
        <v>#REF!</v>
      </c>
      <c r="AI112" s="117" t="e">
        <f>SUMIFS('Portefeuille SP2'!#REF!,'Portefeuille SP2'!#REF!,1,'Portefeuille SP2'!$Q:$Q,"DECIDED",'Portefeuille SP2'!#REF!,"G",'Portefeuille SP2'!$D:$D,$A112,'Portefeuille SP2'!#REF!,"o",'Portefeuille SP2'!#REF!,"&lt;&gt;")</f>
        <v>#REF!</v>
      </c>
      <c r="AJ112" s="111" t="e">
        <f>SUMIFS('Portefeuille SP2'!$U:$U,'Portefeuille SP2'!#REF!,1,'Portefeuille SP2'!$Q:$Q,"DECIDED",'Portefeuille SP2'!#REF!,"R",'Portefeuille SP2'!$D:$D,$A112,'Portefeuille SP2'!#REF!,"o",'Portefeuille SP2'!#REF!,"&lt;&gt;")</f>
        <v>#REF!</v>
      </c>
      <c r="AK112" s="126" t="e">
        <f>SUMIFS('Portefeuille SP2'!#REF!,'Portefeuille SP2'!#REF!,1,'Portefeuille SP2'!$Q:$Q,"DECIDED",'Portefeuille SP2'!#REF!,"R",'Portefeuille SP2'!$D:$D,$A112,'Portefeuille SP2'!#REF!,"o",'Portefeuille SP2'!#REF!,"&lt;&gt;")</f>
        <v>#REF!</v>
      </c>
      <c r="AL112" s="117" t="e">
        <f>SUMIFS('Portefeuille SP2'!#REF!,'Portefeuille SP2'!#REF!,1,'Portefeuille SP2'!$Q:$Q,"DECIDED",'Portefeuille SP2'!#REF!,"R",'Portefeuille SP2'!$D:$D,$A112,'Portefeuille SP2'!#REF!,"o",'Portefeuille SP2'!#REF!,"&lt;&gt;")</f>
        <v>#REF!</v>
      </c>
      <c r="AM112" s="117"/>
    </row>
    <row r="113" spans="1:42" outlineLevel="1">
      <c r="A113" t="s">
        <v>1326</v>
      </c>
      <c r="B113" s="139" t="e">
        <f>SUMIFS('Portefeuille SP2'!$U:$U,'Portefeuille SP2'!#REF!,1,'Portefeuille SP2'!$Q:$Q,"IN PROGRESS",'Portefeuille SP2'!#REF!,"G",'Portefeuille SP2'!$D:$D,$A113,'Portefeuille SP2'!#REF!,"S")</f>
        <v>#REF!</v>
      </c>
      <c r="C113" s="126" t="e">
        <f>SUMIFS('Portefeuille SP2'!#REF!,'Portefeuille SP2'!#REF!,1,'Portefeuille SP2'!$Q:$Q,"IN PROGRESS",'Portefeuille SP2'!#REF!,"G",'Portefeuille SP2'!$D:$D,$A113,'Portefeuille SP2'!#REF!,"S")</f>
        <v>#REF!</v>
      </c>
      <c r="D113" s="122" t="e">
        <f>SUMIFS('Portefeuille SP2'!#REF!,'Portefeuille SP2'!#REF!,1,'Portefeuille SP2'!$Q:$Q,"IN PROGRESS",'Portefeuille SP2'!#REF!,"G",'Portefeuille SP2'!$D:$D,$A113,'Portefeuille SP2'!#REF!,"S")</f>
        <v>#REF!</v>
      </c>
      <c r="E113" s="111" t="e">
        <f>SUMIFS('Portefeuille SP2'!$U:$U,'Portefeuille SP2'!#REF!,1,'Portefeuille SP2'!$Q:$Q,"IN PROGRESS",'Portefeuille SP2'!#REF!,"R",'Portefeuille SP2'!$D:$D,$A113,'Portefeuille SP2'!#REF!,"S")</f>
        <v>#REF!</v>
      </c>
      <c r="F113" s="126" t="e">
        <f>SUMIFS('Portefeuille SP2'!#REF!,'Portefeuille SP2'!#REF!,1,'Portefeuille SP2'!$Q:$Q,"IN PROGRESS",'Portefeuille SP2'!#REF!,"R",'Portefeuille SP2'!$D:$D,$A113,'Portefeuille SP2'!#REF!,"S")</f>
        <v>#REF!</v>
      </c>
      <c r="G113" s="117" t="e">
        <f>SUMIFS('Portefeuille SP2'!#REF!,'Portefeuille SP2'!#REF!,1,'Portefeuille SP2'!$Q:$Q,"IN PROGRESS",'Portefeuille SP2'!#REF!,"R",'Portefeuille SP2'!$D:$D,$A113,'Portefeuille SP2'!#REF!,"S")</f>
        <v>#REF!</v>
      </c>
      <c r="H113" s="111" t="e">
        <f>SUMIFS('Portefeuille SP2'!$U:$U,'Portefeuille SP2'!#REF!,1,'Portefeuille SP2'!$Q:$Q,"DECIDED",'Portefeuille SP2'!#REF!,"G",'Portefeuille SP2'!$D:$D,$A113,'Portefeuille SP2'!#REF!,"S",'Portefeuille SP2'!#REF!,"=")</f>
        <v>#REF!</v>
      </c>
      <c r="I113" s="117" t="e">
        <f>SUMIFS('Portefeuille SP2'!#REF!,'Portefeuille SP2'!#REF!,1,'Portefeuille SP2'!$Q:$Q,"DECIDED",'Portefeuille SP2'!#REF!,"G",'Portefeuille SP2'!$D:$D,$A113,'Portefeuille SP2'!#REF!,"S",'Portefeuille SP2'!#REF!,"=")</f>
        <v>#REF!</v>
      </c>
      <c r="J113" s="117" t="e">
        <f>SUMIFS('Portefeuille SP2'!#REF!,'Portefeuille SP2'!#REF!,1,'Portefeuille SP2'!$Q:$Q,"DECIDED",'Portefeuille SP2'!#REF!,"G",'Portefeuille SP2'!$D:$D,$A113,'Portefeuille SP2'!#REF!,"S",'Portefeuille SP2'!#REF!,"=")</f>
        <v>#REF!</v>
      </c>
      <c r="K113" s="111" t="e">
        <f>SUMIFS('Portefeuille SP2'!$U:$U,'Portefeuille SP2'!#REF!,1,'Portefeuille SP2'!$Q:$Q,"DECIDED",'Portefeuille SP2'!#REF!,"R",'Portefeuille SP2'!$D:$D,$A113,'Portefeuille SP2'!#REF!,"S",'Portefeuille SP2'!#REF!,"=")</f>
        <v>#REF!</v>
      </c>
      <c r="L113" s="126" t="e">
        <f>SUMIFS('Portefeuille SP2'!#REF!,'Portefeuille SP2'!#REF!,1,'Portefeuille SP2'!$Q:$Q,"DECIDED",'Portefeuille SP2'!#REF!,"R",'Portefeuille SP2'!$D:$D,$A113,'Portefeuille SP2'!#REF!,"S",'Portefeuille SP2'!#REF!,"=")</f>
        <v>#REF!</v>
      </c>
      <c r="M113" s="117" t="e">
        <f>SUMIFS('Portefeuille SP2'!#REF!,'Portefeuille SP2'!#REF!,1,'Portefeuille SP2'!$Q:$Q,"DECIDED",'Portefeuille SP2'!#REF!,"R",'Portefeuille SP2'!$D:$D,$A113,'Portefeuille SP2'!#REF!,"S",'Portefeuille SP2'!#REF!,"=")</f>
        <v>#REF!</v>
      </c>
      <c r="N113" s="111" t="e">
        <f>SUMIFS('Portefeuille SP2'!$U:$U,'Portefeuille SP2'!#REF!,1,'Portefeuille SP2'!$Q:$Q,"DECIDED",'Portefeuille SP2'!#REF!,"G",'Portefeuille SP2'!$D:$D,$A113,'Portefeuille SP2'!#REF!,"S",'Portefeuille SP2'!#REF!,"&lt;&gt;")</f>
        <v>#REF!</v>
      </c>
      <c r="O113" s="126" t="e">
        <f>SUMIFS('Portefeuille SP2'!#REF!,'Portefeuille SP2'!#REF!,1,'Portefeuille SP2'!$Q:$Q,"DECIDED",'Portefeuille SP2'!#REF!,"G",'Portefeuille SP2'!$D:$D,$A113,'Portefeuille SP2'!#REF!,"S",'Portefeuille SP2'!#REF!,"&lt;&gt;")</f>
        <v>#REF!</v>
      </c>
      <c r="P113" s="117" t="e">
        <f>SUMIFS('Portefeuille SP2'!#REF!,'Portefeuille SP2'!#REF!,1,'Portefeuille SP2'!$Q:$Q,"DECIDED",'Portefeuille SP2'!#REF!,"G",'Portefeuille SP2'!$D:$D,$A113,'Portefeuille SP2'!#REF!,"S",'Portefeuille SP2'!#REF!,"&lt;&gt;")</f>
        <v>#REF!</v>
      </c>
      <c r="Q113" s="111" t="e">
        <f>SUMIFS('Portefeuille SP2'!$U:$U,'Portefeuille SP2'!#REF!,1,'Portefeuille SP2'!$Q:$Q,"DECIDED",'Portefeuille SP2'!#REF!,"R",'Portefeuille SP2'!$D:$D,$A113,'Portefeuille SP2'!#REF!,"S",'Portefeuille SP2'!#REF!,"&lt;&gt;")</f>
        <v>#REF!</v>
      </c>
      <c r="R113" s="126" t="e">
        <f>SUMIFS('Portefeuille SP2'!#REF!,'Portefeuille SP2'!#REF!,1,'Portefeuille SP2'!$Q:$Q,"DECIDED",'Portefeuille SP2'!#REF!,"R",'Portefeuille SP2'!$D:$D,$A113,'Portefeuille SP2'!#REF!,"S",'Portefeuille SP2'!#REF!,"&lt;&gt;")</f>
        <v>#REF!</v>
      </c>
      <c r="S113" s="122" t="e">
        <f>SUMIFS('Portefeuille SP2'!#REF!,'Portefeuille SP2'!#REF!,1,'Portefeuille SP2'!$Q:$Q,"DECIDED",'Portefeuille SP2'!#REF!,"R",'Portefeuille SP2'!$D:$D,$A113,'Portefeuille SP2'!#REF!,"S",'Portefeuille SP2'!#REF!,"&lt;&gt;")</f>
        <v>#REF!</v>
      </c>
      <c r="U113" s="111" t="e">
        <f>SUMIFS('Portefeuille SP2'!$U:$U,'Portefeuille SP2'!#REF!,1,'Portefeuille SP2'!$Q:$Q,"IN PROGRESS",'Portefeuille SP2'!#REF!,"G",'Portefeuille SP2'!$D:$D,$A113,'Portefeuille SP2'!#REF!,"O")</f>
        <v>#REF!</v>
      </c>
      <c r="V113" s="126" t="e">
        <f>SUMIFS('Portefeuille SP2'!#REF!,'Portefeuille SP2'!#REF!,1,'Portefeuille SP2'!$Q:$Q,"IN PROGRESS",'Portefeuille SP2'!#REF!,"G",'Portefeuille SP2'!$D:$D,$A113,'Portefeuille SP2'!#REF!,"o")</f>
        <v>#REF!</v>
      </c>
      <c r="W113" s="117" t="e">
        <f>SUMIFS('Portefeuille SP2'!#REF!,'Portefeuille SP2'!#REF!,1,'Portefeuille SP2'!$Q:$Q,"IN PROGRESS",'Portefeuille SP2'!#REF!,"G",'Portefeuille SP2'!$D:$D,$A113,'Portefeuille SP2'!#REF!,"o")</f>
        <v>#REF!</v>
      </c>
      <c r="X113" s="111" t="e">
        <f>SUMIFS('Portefeuille SP2'!$U:$U,'Portefeuille SP2'!#REF!,1,'Portefeuille SP2'!$Q:$Q,"IN PROGRESS",'Portefeuille SP2'!#REF!,"R",'Portefeuille SP2'!$D:$D,$A113,'Portefeuille SP2'!#REF!,"o")</f>
        <v>#REF!</v>
      </c>
      <c r="Y113" s="126" t="e">
        <f>SUMIFS('Portefeuille SP2'!#REF!,'Portefeuille SP2'!#REF!,1,'Portefeuille SP2'!$Q:$Q,"IN PROGRESS",'Portefeuille SP2'!#REF!,"R",'Portefeuille SP2'!$D:$D,$A113,'Portefeuille SP2'!#REF!,"o")</f>
        <v>#REF!</v>
      </c>
      <c r="Z113" s="117" t="e">
        <f>SUMIFS('Portefeuille SP2'!#REF!,'Portefeuille SP2'!#REF!,1,'Portefeuille SP2'!$Q:$Q,"IN PROGRESS",'Portefeuille SP2'!#REF!,"R",'Portefeuille SP2'!$D:$D,$A113,'Portefeuille SP2'!#REF!,"o")</f>
        <v>#REF!</v>
      </c>
      <c r="AA113" s="111" t="e">
        <f>SUMIFS('Portefeuille SP2'!$U:$U,'Portefeuille SP2'!#REF!,1,'Portefeuille SP2'!$Q:$Q,"DECIDED",'Portefeuille SP2'!#REF!,"G",'Portefeuille SP2'!$D:$D,$A113,'Portefeuille SP2'!#REF!,"o",'Portefeuille SP2'!#REF!,"=")</f>
        <v>#REF!</v>
      </c>
      <c r="AB113" s="126" t="e">
        <f>SUMIFS('Portefeuille SP2'!#REF!,'Portefeuille SP2'!#REF!,1,'Portefeuille SP2'!$Q:$Q,"DECIDED",'Portefeuille SP2'!#REF!,"G",'Portefeuille SP2'!$D:$D,$A113,'Portefeuille SP2'!#REF!,"o",'Portefeuille SP2'!#REF!,"=")</f>
        <v>#REF!</v>
      </c>
      <c r="AC113" s="117" t="e">
        <f>SUMIFS('Portefeuille SP2'!#REF!,'Portefeuille SP2'!#REF!,1,'Portefeuille SP2'!$Q:$Q,"DECIDED",'Portefeuille SP2'!#REF!,"G",'Portefeuille SP2'!$D:$D,$A113,'Portefeuille SP2'!#REF!,"o",'Portefeuille SP2'!#REF!,"=")</f>
        <v>#REF!</v>
      </c>
      <c r="AD113" s="111" t="e">
        <f>SUMIFS('Portefeuille SP2'!$U:$U,'Portefeuille SP2'!#REF!,1,'Portefeuille SP2'!$Q:$Q,"DECIDED",'Portefeuille SP2'!#REF!,"R",'Portefeuille SP2'!$D:$D,$A113,'Portefeuille SP2'!#REF!,"o",'Portefeuille SP2'!#REF!,"=")</f>
        <v>#REF!</v>
      </c>
      <c r="AE113" s="126" t="e">
        <f>SUMIFS('Portefeuille SP2'!#REF!,'Portefeuille SP2'!#REF!,1,'Portefeuille SP2'!$Q:$Q,"DECIDED",'Portefeuille SP2'!#REF!,"R",'Portefeuille SP2'!$D:$D,$A113,'Portefeuille SP2'!#REF!,"o",'Portefeuille SP2'!#REF!,"=")</f>
        <v>#REF!</v>
      </c>
      <c r="AF113" s="117" t="e">
        <f>SUMIFS('Portefeuille SP2'!#REF!,'Portefeuille SP2'!#REF!,1,'Portefeuille SP2'!$Q:$Q,"DECIDED",'Portefeuille SP2'!#REF!,"R",'Portefeuille SP2'!$D:$D,$A113,'Portefeuille SP2'!#REF!,"o",'Portefeuille SP2'!#REF!,"=")</f>
        <v>#REF!</v>
      </c>
      <c r="AG113" s="111" t="e">
        <f>SUMIFS('Portefeuille SP2'!$U:$U,'Portefeuille SP2'!#REF!,1,'Portefeuille SP2'!$Q:$Q,"DECIDED",'Portefeuille SP2'!#REF!,"G",'Portefeuille SP2'!$D:$D,$A113,'Portefeuille SP2'!#REF!,"o",'Portefeuille SP2'!#REF!,"&lt;&gt;")</f>
        <v>#REF!</v>
      </c>
      <c r="AH113" s="126" t="e">
        <f>SUMIFS('Portefeuille SP2'!#REF!,'Portefeuille SP2'!#REF!,1,'Portefeuille SP2'!$Q:$Q,"DECIDED",'Portefeuille SP2'!#REF!,"G",'Portefeuille SP2'!$D:$D,$A113,'Portefeuille SP2'!#REF!,"o",'Portefeuille SP2'!#REF!,"&lt;&gt;")</f>
        <v>#REF!</v>
      </c>
      <c r="AI113" s="117" t="e">
        <f>SUMIFS('Portefeuille SP2'!#REF!,'Portefeuille SP2'!#REF!,1,'Portefeuille SP2'!$Q:$Q,"DECIDED",'Portefeuille SP2'!#REF!,"G",'Portefeuille SP2'!$D:$D,$A113,'Portefeuille SP2'!#REF!,"o",'Portefeuille SP2'!#REF!,"&lt;&gt;")</f>
        <v>#REF!</v>
      </c>
      <c r="AJ113" s="111" t="e">
        <f>SUMIFS('Portefeuille SP2'!$U:$U,'Portefeuille SP2'!#REF!,1,'Portefeuille SP2'!$Q:$Q,"DECIDED",'Portefeuille SP2'!#REF!,"R",'Portefeuille SP2'!$D:$D,$A113,'Portefeuille SP2'!#REF!,"o",'Portefeuille SP2'!#REF!,"&lt;&gt;")</f>
        <v>#REF!</v>
      </c>
      <c r="AK113" s="126" t="e">
        <f>SUMIFS('Portefeuille SP2'!#REF!,'Portefeuille SP2'!#REF!,1,'Portefeuille SP2'!$Q:$Q,"DECIDED",'Portefeuille SP2'!#REF!,"R",'Portefeuille SP2'!$D:$D,$A113,'Portefeuille SP2'!#REF!,"o",'Portefeuille SP2'!#REF!,"&lt;&gt;")</f>
        <v>#REF!</v>
      </c>
      <c r="AL113" s="117" t="e">
        <f>SUMIFS('Portefeuille SP2'!#REF!,'Portefeuille SP2'!#REF!,1,'Portefeuille SP2'!$Q:$Q,"DECIDED",'Portefeuille SP2'!#REF!,"R",'Portefeuille SP2'!$D:$D,$A113,'Portefeuille SP2'!#REF!,"o",'Portefeuille SP2'!#REF!,"&lt;&gt;")</f>
        <v>#REF!</v>
      </c>
      <c r="AM113" s="117"/>
    </row>
    <row r="114" spans="1:42" outlineLevel="1">
      <c r="A114" t="s">
        <v>1317</v>
      </c>
      <c r="B114" s="139" t="e">
        <f>SUMIFS('Portefeuille SP2'!$U:$U,'Portefeuille SP2'!#REF!,1,'Portefeuille SP2'!$Q:$Q,"IN PROGRESS",'Portefeuille SP2'!#REF!,"G",'Portefeuille SP2'!$D:$D,$A114,'Portefeuille SP2'!#REF!,"S")</f>
        <v>#REF!</v>
      </c>
      <c r="C114" s="126" t="e">
        <f>SUMIFS('Portefeuille SP2'!#REF!,'Portefeuille SP2'!#REF!,1,'Portefeuille SP2'!$Q:$Q,"IN PROGRESS",'Portefeuille SP2'!#REF!,"G",'Portefeuille SP2'!$D:$D,$A114,'Portefeuille SP2'!#REF!,"S")</f>
        <v>#REF!</v>
      </c>
      <c r="D114" s="122" t="e">
        <f>SUMIFS('Portefeuille SP2'!#REF!,'Portefeuille SP2'!#REF!,1,'Portefeuille SP2'!$Q:$Q,"IN PROGRESS",'Portefeuille SP2'!#REF!,"G",'Portefeuille SP2'!$D:$D,$A114,'Portefeuille SP2'!#REF!,"S")</f>
        <v>#REF!</v>
      </c>
      <c r="E114" s="111" t="e">
        <f>SUMIFS('Portefeuille SP2'!$U:$U,'Portefeuille SP2'!#REF!,1,'Portefeuille SP2'!$Q:$Q,"IN PROGRESS",'Portefeuille SP2'!#REF!,"R",'Portefeuille SP2'!$D:$D,$A114,'Portefeuille SP2'!#REF!,"S")</f>
        <v>#REF!</v>
      </c>
      <c r="F114" s="126" t="e">
        <f>SUMIFS('Portefeuille SP2'!#REF!,'Portefeuille SP2'!#REF!,1,'Portefeuille SP2'!$Q:$Q,"IN PROGRESS",'Portefeuille SP2'!#REF!,"R",'Portefeuille SP2'!$D:$D,$A114,'Portefeuille SP2'!#REF!,"S")</f>
        <v>#REF!</v>
      </c>
      <c r="G114" s="117" t="e">
        <f>SUMIFS('Portefeuille SP2'!#REF!,'Portefeuille SP2'!#REF!,1,'Portefeuille SP2'!$Q:$Q,"IN PROGRESS",'Portefeuille SP2'!#REF!,"R",'Portefeuille SP2'!$D:$D,$A114,'Portefeuille SP2'!#REF!,"S")</f>
        <v>#REF!</v>
      </c>
      <c r="H114" s="111" t="e">
        <f>SUMIFS('Portefeuille SP2'!$U:$U,'Portefeuille SP2'!#REF!,1,'Portefeuille SP2'!$Q:$Q,"DECIDED",'Portefeuille SP2'!#REF!,"G",'Portefeuille SP2'!$D:$D,$A114,'Portefeuille SP2'!#REF!,"S",'Portefeuille SP2'!#REF!,"=")</f>
        <v>#REF!</v>
      </c>
      <c r="I114" s="117" t="e">
        <f>SUMIFS('Portefeuille SP2'!#REF!,'Portefeuille SP2'!#REF!,1,'Portefeuille SP2'!$Q:$Q,"DECIDED",'Portefeuille SP2'!#REF!,"G",'Portefeuille SP2'!$D:$D,$A114,'Portefeuille SP2'!#REF!,"S",'Portefeuille SP2'!#REF!,"=")</f>
        <v>#REF!</v>
      </c>
      <c r="J114" s="117" t="e">
        <f>SUMIFS('Portefeuille SP2'!#REF!,'Portefeuille SP2'!#REF!,1,'Portefeuille SP2'!$Q:$Q,"DECIDED",'Portefeuille SP2'!#REF!,"G",'Portefeuille SP2'!$D:$D,$A114,'Portefeuille SP2'!#REF!,"S",'Portefeuille SP2'!#REF!,"=")</f>
        <v>#REF!</v>
      </c>
      <c r="K114" s="111" t="e">
        <f>SUMIFS('Portefeuille SP2'!$U:$U,'Portefeuille SP2'!#REF!,1,'Portefeuille SP2'!$Q:$Q,"DECIDED",'Portefeuille SP2'!#REF!,"R",'Portefeuille SP2'!$D:$D,$A114,'Portefeuille SP2'!#REF!,"S",'Portefeuille SP2'!#REF!,"=")</f>
        <v>#REF!</v>
      </c>
      <c r="L114" s="126" t="e">
        <f>SUMIFS('Portefeuille SP2'!#REF!,'Portefeuille SP2'!#REF!,1,'Portefeuille SP2'!$Q:$Q,"DECIDED",'Portefeuille SP2'!#REF!,"R",'Portefeuille SP2'!$D:$D,$A114,'Portefeuille SP2'!#REF!,"S",'Portefeuille SP2'!#REF!,"=")</f>
        <v>#REF!</v>
      </c>
      <c r="M114" s="117" t="e">
        <f>SUMIFS('Portefeuille SP2'!#REF!,'Portefeuille SP2'!#REF!,1,'Portefeuille SP2'!$Q:$Q,"DECIDED",'Portefeuille SP2'!#REF!,"R",'Portefeuille SP2'!$D:$D,$A114,'Portefeuille SP2'!#REF!,"S",'Portefeuille SP2'!#REF!,"=")</f>
        <v>#REF!</v>
      </c>
      <c r="N114" s="111" t="e">
        <f>SUMIFS('Portefeuille SP2'!$U:$U,'Portefeuille SP2'!#REF!,1,'Portefeuille SP2'!$Q:$Q,"DECIDED",'Portefeuille SP2'!#REF!,"G",'Portefeuille SP2'!$D:$D,$A114,'Portefeuille SP2'!#REF!,"S",'Portefeuille SP2'!#REF!,"&lt;&gt;")</f>
        <v>#REF!</v>
      </c>
      <c r="O114" s="126" t="e">
        <f>SUMIFS('Portefeuille SP2'!#REF!,'Portefeuille SP2'!#REF!,1,'Portefeuille SP2'!$Q:$Q,"DECIDED",'Portefeuille SP2'!#REF!,"G",'Portefeuille SP2'!$D:$D,$A114,'Portefeuille SP2'!#REF!,"S",'Portefeuille SP2'!#REF!,"&lt;&gt;")</f>
        <v>#REF!</v>
      </c>
      <c r="P114" s="117" t="e">
        <f>SUMIFS('Portefeuille SP2'!#REF!,'Portefeuille SP2'!#REF!,1,'Portefeuille SP2'!$Q:$Q,"DECIDED",'Portefeuille SP2'!#REF!,"G",'Portefeuille SP2'!$D:$D,$A114,'Portefeuille SP2'!#REF!,"S",'Portefeuille SP2'!#REF!,"&lt;&gt;")</f>
        <v>#REF!</v>
      </c>
      <c r="Q114" s="111" t="e">
        <f>SUMIFS('Portefeuille SP2'!$U:$U,'Portefeuille SP2'!#REF!,1,'Portefeuille SP2'!$Q:$Q,"DECIDED",'Portefeuille SP2'!#REF!,"R",'Portefeuille SP2'!$D:$D,$A114,'Portefeuille SP2'!#REF!,"S",'Portefeuille SP2'!#REF!,"&lt;&gt;")</f>
        <v>#REF!</v>
      </c>
      <c r="R114" s="126" t="e">
        <f>SUMIFS('Portefeuille SP2'!#REF!,'Portefeuille SP2'!#REF!,1,'Portefeuille SP2'!$Q:$Q,"DECIDED",'Portefeuille SP2'!#REF!,"R",'Portefeuille SP2'!$D:$D,$A114,'Portefeuille SP2'!#REF!,"S",'Portefeuille SP2'!#REF!,"&lt;&gt;")</f>
        <v>#REF!</v>
      </c>
      <c r="S114" s="122" t="e">
        <f>SUMIFS('Portefeuille SP2'!#REF!,'Portefeuille SP2'!#REF!,1,'Portefeuille SP2'!$Q:$Q,"DECIDED",'Portefeuille SP2'!#REF!,"R",'Portefeuille SP2'!$D:$D,$A114,'Portefeuille SP2'!#REF!,"S",'Portefeuille SP2'!#REF!,"&lt;&gt;")</f>
        <v>#REF!</v>
      </c>
      <c r="U114" s="111" t="e">
        <f>SUMIFS('Portefeuille SP2'!$U:$U,'Portefeuille SP2'!#REF!,1,'Portefeuille SP2'!$Q:$Q,"IN PROGRESS",'Portefeuille SP2'!#REF!,"G",'Portefeuille SP2'!$D:$D,$A114,'Portefeuille SP2'!#REF!,"O")</f>
        <v>#REF!</v>
      </c>
      <c r="V114" s="126" t="e">
        <f>SUMIFS('Portefeuille SP2'!#REF!,'Portefeuille SP2'!#REF!,1,'Portefeuille SP2'!$Q:$Q,"IN PROGRESS",'Portefeuille SP2'!#REF!,"G",'Portefeuille SP2'!$D:$D,$A114,'Portefeuille SP2'!#REF!,"o")</f>
        <v>#REF!</v>
      </c>
      <c r="W114" s="117" t="e">
        <f>SUMIFS('Portefeuille SP2'!#REF!,'Portefeuille SP2'!#REF!,1,'Portefeuille SP2'!$Q:$Q,"IN PROGRESS",'Portefeuille SP2'!#REF!,"G",'Portefeuille SP2'!$D:$D,$A114,'Portefeuille SP2'!#REF!,"o")</f>
        <v>#REF!</v>
      </c>
      <c r="X114" s="111" t="e">
        <f>SUMIFS('Portefeuille SP2'!$U:$U,'Portefeuille SP2'!#REF!,1,'Portefeuille SP2'!$Q:$Q,"IN PROGRESS",'Portefeuille SP2'!#REF!,"R",'Portefeuille SP2'!$D:$D,$A114,'Portefeuille SP2'!#REF!,"o")</f>
        <v>#REF!</v>
      </c>
      <c r="Y114" s="126" t="e">
        <f>SUMIFS('Portefeuille SP2'!#REF!,'Portefeuille SP2'!#REF!,1,'Portefeuille SP2'!$Q:$Q,"IN PROGRESS",'Portefeuille SP2'!#REF!,"R",'Portefeuille SP2'!$D:$D,$A114,'Portefeuille SP2'!#REF!,"o")</f>
        <v>#REF!</v>
      </c>
      <c r="Z114" s="117" t="e">
        <f>SUMIFS('Portefeuille SP2'!#REF!,'Portefeuille SP2'!#REF!,1,'Portefeuille SP2'!$Q:$Q,"IN PROGRESS",'Portefeuille SP2'!#REF!,"R",'Portefeuille SP2'!$D:$D,$A114,'Portefeuille SP2'!#REF!,"o")</f>
        <v>#REF!</v>
      </c>
      <c r="AA114" s="111" t="e">
        <f>SUMIFS('Portefeuille SP2'!$U:$U,'Portefeuille SP2'!#REF!,1,'Portefeuille SP2'!$Q:$Q,"DECIDED",'Portefeuille SP2'!#REF!,"G",'Portefeuille SP2'!$D:$D,$A114,'Portefeuille SP2'!#REF!,"o",'Portefeuille SP2'!#REF!,"=")</f>
        <v>#REF!</v>
      </c>
      <c r="AB114" s="126" t="e">
        <f>SUMIFS('Portefeuille SP2'!#REF!,'Portefeuille SP2'!#REF!,1,'Portefeuille SP2'!$Q:$Q,"DECIDED",'Portefeuille SP2'!#REF!,"G",'Portefeuille SP2'!$D:$D,$A114,'Portefeuille SP2'!#REF!,"o",'Portefeuille SP2'!#REF!,"=")</f>
        <v>#REF!</v>
      </c>
      <c r="AC114" s="117" t="e">
        <f>SUMIFS('Portefeuille SP2'!#REF!,'Portefeuille SP2'!#REF!,1,'Portefeuille SP2'!$Q:$Q,"DECIDED",'Portefeuille SP2'!#REF!,"G",'Portefeuille SP2'!$D:$D,$A114,'Portefeuille SP2'!#REF!,"o",'Portefeuille SP2'!#REF!,"=")</f>
        <v>#REF!</v>
      </c>
      <c r="AD114" s="111" t="e">
        <f>SUMIFS('Portefeuille SP2'!$U:$U,'Portefeuille SP2'!#REF!,1,'Portefeuille SP2'!$Q:$Q,"DECIDED",'Portefeuille SP2'!#REF!,"R",'Portefeuille SP2'!$D:$D,$A114,'Portefeuille SP2'!#REF!,"o",'Portefeuille SP2'!#REF!,"=")</f>
        <v>#REF!</v>
      </c>
      <c r="AE114" s="126" t="e">
        <f>SUMIFS('Portefeuille SP2'!#REF!,'Portefeuille SP2'!#REF!,1,'Portefeuille SP2'!$Q:$Q,"DECIDED",'Portefeuille SP2'!#REF!,"R",'Portefeuille SP2'!$D:$D,$A114,'Portefeuille SP2'!#REF!,"o",'Portefeuille SP2'!#REF!,"=")</f>
        <v>#REF!</v>
      </c>
      <c r="AF114" s="117" t="e">
        <f>SUMIFS('Portefeuille SP2'!#REF!,'Portefeuille SP2'!#REF!,1,'Portefeuille SP2'!$Q:$Q,"DECIDED",'Portefeuille SP2'!#REF!,"R",'Portefeuille SP2'!$D:$D,$A114,'Portefeuille SP2'!#REF!,"o",'Portefeuille SP2'!#REF!,"=")</f>
        <v>#REF!</v>
      </c>
      <c r="AG114" s="111" t="e">
        <f>SUMIFS('Portefeuille SP2'!$U:$U,'Portefeuille SP2'!#REF!,1,'Portefeuille SP2'!$Q:$Q,"DECIDED",'Portefeuille SP2'!#REF!,"G",'Portefeuille SP2'!$D:$D,$A114,'Portefeuille SP2'!#REF!,"o",'Portefeuille SP2'!#REF!,"&lt;&gt;")</f>
        <v>#REF!</v>
      </c>
      <c r="AH114" s="126" t="e">
        <f>SUMIFS('Portefeuille SP2'!#REF!,'Portefeuille SP2'!#REF!,1,'Portefeuille SP2'!$Q:$Q,"DECIDED",'Portefeuille SP2'!#REF!,"G",'Portefeuille SP2'!$D:$D,$A114,'Portefeuille SP2'!#REF!,"o",'Portefeuille SP2'!#REF!,"&lt;&gt;")</f>
        <v>#REF!</v>
      </c>
      <c r="AI114" s="117" t="e">
        <f>SUMIFS('Portefeuille SP2'!#REF!,'Portefeuille SP2'!#REF!,1,'Portefeuille SP2'!$Q:$Q,"DECIDED",'Portefeuille SP2'!#REF!,"G",'Portefeuille SP2'!$D:$D,$A114,'Portefeuille SP2'!#REF!,"o",'Portefeuille SP2'!#REF!,"&lt;&gt;")</f>
        <v>#REF!</v>
      </c>
      <c r="AJ114" s="111" t="e">
        <f>SUMIFS('Portefeuille SP2'!$U:$U,'Portefeuille SP2'!#REF!,1,'Portefeuille SP2'!$Q:$Q,"DECIDED",'Portefeuille SP2'!#REF!,"R",'Portefeuille SP2'!$D:$D,$A114,'Portefeuille SP2'!#REF!,"o",'Portefeuille SP2'!#REF!,"&lt;&gt;")</f>
        <v>#REF!</v>
      </c>
      <c r="AK114" s="126" t="e">
        <f>SUMIFS('Portefeuille SP2'!#REF!,'Portefeuille SP2'!#REF!,1,'Portefeuille SP2'!$Q:$Q,"DECIDED",'Portefeuille SP2'!#REF!,"R",'Portefeuille SP2'!$D:$D,$A114,'Portefeuille SP2'!#REF!,"o",'Portefeuille SP2'!#REF!,"&lt;&gt;")</f>
        <v>#REF!</v>
      </c>
      <c r="AL114" s="117" t="e">
        <f>SUMIFS('Portefeuille SP2'!#REF!,'Portefeuille SP2'!#REF!,1,'Portefeuille SP2'!$Q:$Q,"DECIDED",'Portefeuille SP2'!#REF!,"R",'Portefeuille SP2'!$D:$D,$A114,'Portefeuille SP2'!#REF!,"o",'Portefeuille SP2'!#REF!,"&lt;&gt;")</f>
        <v>#REF!</v>
      </c>
      <c r="AM114" s="117"/>
    </row>
    <row r="115" spans="1:42" outlineLevel="1">
      <c r="A115" t="s">
        <v>1327</v>
      </c>
      <c r="B115" s="140" t="e">
        <f>SUMIFS('Portefeuille SP2'!$U:$U,'Portefeuille SP2'!#REF!,1,'Portefeuille SP2'!$Q:$Q,"IN PROGRESS",'Portefeuille SP2'!#REF!,"G",'Portefeuille SP2'!$D:$D,$A115,'Portefeuille SP2'!#REF!,"S")</f>
        <v>#REF!</v>
      </c>
      <c r="C115" s="127" t="e">
        <f>SUMIFS('Portefeuille SP2'!#REF!,'Portefeuille SP2'!#REF!,1,'Portefeuille SP2'!$Q:$Q,"IN PROGRESS",'Portefeuille SP2'!#REF!,"G",'Portefeuille SP2'!$D:$D,$A115,'Portefeuille SP2'!#REF!,"S")</f>
        <v>#REF!</v>
      </c>
      <c r="D115" s="124" t="e">
        <f>SUMIFS('Portefeuille SP2'!#REF!,'Portefeuille SP2'!#REF!,1,'Portefeuille SP2'!$Q:$Q,"IN PROGRESS",'Portefeuille SP2'!#REF!,"G",'Portefeuille SP2'!$D:$D,$A115,'Portefeuille SP2'!#REF!,"S")</f>
        <v>#REF!</v>
      </c>
      <c r="E115" s="110" t="e">
        <f>SUMIFS('Portefeuille SP2'!$U:$U,'Portefeuille SP2'!#REF!,1,'Portefeuille SP2'!$Q:$Q,"IN PROGRESS",'Portefeuille SP2'!#REF!,"R",'Portefeuille SP2'!$D:$D,$A115,'Portefeuille SP2'!#REF!,"S")</f>
        <v>#REF!</v>
      </c>
      <c r="F115" s="127" t="e">
        <f>SUMIFS('Portefeuille SP2'!#REF!,'Portefeuille SP2'!#REF!,1,'Portefeuille SP2'!$Q:$Q,"IN PROGRESS",'Portefeuille SP2'!#REF!,"R",'Portefeuille SP2'!$D:$D,$A115,'Portefeuille SP2'!#REF!,"S")</f>
        <v>#REF!</v>
      </c>
      <c r="G115" s="116" t="e">
        <f>SUMIFS('Portefeuille SP2'!#REF!,'Portefeuille SP2'!#REF!,1,'Portefeuille SP2'!$Q:$Q,"IN PROGRESS",'Portefeuille SP2'!#REF!,"R",'Portefeuille SP2'!$D:$D,$A115,'Portefeuille SP2'!#REF!,"S")</f>
        <v>#REF!</v>
      </c>
      <c r="H115" s="110" t="e">
        <f>SUMIFS('Portefeuille SP2'!$U:$U,'Portefeuille SP2'!#REF!,1,'Portefeuille SP2'!$Q:$Q,"DECIDED",'Portefeuille SP2'!#REF!,"G",'Portefeuille SP2'!$D:$D,$A115,'Portefeuille SP2'!#REF!,"S",'Portefeuille SP2'!#REF!,"=")</f>
        <v>#REF!</v>
      </c>
      <c r="I115" s="116" t="e">
        <f>SUMIFS('Portefeuille SP2'!#REF!,'Portefeuille SP2'!#REF!,1,'Portefeuille SP2'!$Q:$Q,"DECIDED",'Portefeuille SP2'!#REF!,"G",'Portefeuille SP2'!$D:$D,$A115,'Portefeuille SP2'!#REF!,"S",'Portefeuille SP2'!#REF!,"=")</f>
        <v>#REF!</v>
      </c>
      <c r="J115" s="116" t="e">
        <f>SUMIFS('Portefeuille SP2'!#REF!,'Portefeuille SP2'!#REF!,1,'Portefeuille SP2'!$Q:$Q,"DECIDED",'Portefeuille SP2'!#REF!,"G",'Portefeuille SP2'!$D:$D,$A115,'Portefeuille SP2'!#REF!,"S",'Portefeuille SP2'!#REF!,"=")</f>
        <v>#REF!</v>
      </c>
      <c r="K115" s="110" t="e">
        <f>SUMIFS('Portefeuille SP2'!$U:$U,'Portefeuille SP2'!#REF!,1,'Portefeuille SP2'!$Q:$Q,"DECIDED",'Portefeuille SP2'!#REF!,"R",'Portefeuille SP2'!$D:$D,$A115,'Portefeuille SP2'!#REF!,"S",'Portefeuille SP2'!#REF!,"=")</f>
        <v>#REF!</v>
      </c>
      <c r="L115" s="127" t="e">
        <f>SUMIFS('Portefeuille SP2'!#REF!,'Portefeuille SP2'!#REF!,1,'Portefeuille SP2'!$Q:$Q,"DECIDED",'Portefeuille SP2'!#REF!,"R",'Portefeuille SP2'!$D:$D,$A115,'Portefeuille SP2'!#REF!,"S",'Portefeuille SP2'!#REF!,"=")</f>
        <v>#REF!</v>
      </c>
      <c r="M115" s="116" t="e">
        <f>SUMIFS('Portefeuille SP2'!#REF!,'Portefeuille SP2'!#REF!,1,'Portefeuille SP2'!$Q:$Q,"DECIDED",'Portefeuille SP2'!#REF!,"R",'Portefeuille SP2'!$D:$D,$A115,'Portefeuille SP2'!#REF!,"S",'Portefeuille SP2'!#REF!,"=")</f>
        <v>#REF!</v>
      </c>
      <c r="N115" s="110" t="e">
        <f>SUMIFS('Portefeuille SP2'!$U:$U,'Portefeuille SP2'!#REF!,1,'Portefeuille SP2'!$Q:$Q,"DECIDED",'Portefeuille SP2'!#REF!,"G",'Portefeuille SP2'!$D:$D,$A115,'Portefeuille SP2'!#REF!,"S",'Portefeuille SP2'!#REF!,"&lt;&gt;")</f>
        <v>#REF!</v>
      </c>
      <c r="O115" s="127" t="e">
        <f>SUMIFS('Portefeuille SP2'!#REF!,'Portefeuille SP2'!#REF!,1,'Portefeuille SP2'!$Q:$Q,"DECIDED",'Portefeuille SP2'!#REF!,"G",'Portefeuille SP2'!$D:$D,$A115,'Portefeuille SP2'!#REF!,"S",'Portefeuille SP2'!#REF!,"&lt;&gt;")</f>
        <v>#REF!</v>
      </c>
      <c r="P115" s="116" t="e">
        <f>SUMIFS('Portefeuille SP2'!#REF!,'Portefeuille SP2'!#REF!,1,'Portefeuille SP2'!$Q:$Q,"DECIDED",'Portefeuille SP2'!#REF!,"G",'Portefeuille SP2'!$D:$D,$A115,'Portefeuille SP2'!#REF!,"S",'Portefeuille SP2'!#REF!,"&lt;&gt;")</f>
        <v>#REF!</v>
      </c>
      <c r="Q115" s="110" t="e">
        <f>SUMIFS('Portefeuille SP2'!$U:$U,'Portefeuille SP2'!#REF!,1,'Portefeuille SP2'!$Q:$Q,"DECIDED",'Portefeuille SP2'!#REF!,"R",'Portefeuille SP2'!$D:$D,$A115,'Portefeuille SP2'!#REF!,"S",'Portefeuille SP2'!#REF!,"&lt;&gt;")</f>
        <v>#REF!</v>
      </c>
      <c r="R115" s="127" t="e">
        <f>SUMIFS('Portefeuille SP2'!#REF!,'Portefeuille SP2'!#REF!,1,'Portefeuille SP2'!$Q:$Q,"DECIDED",'Portefeuille SP2'!#REF!,"R",'Portefeuille SP2'!$D:$D,$A115,'Portefeuille SP2'!#REF!,"S",'Portefeuille SP2'!#REF!,"&lt;&gt;")</f>
        <v>#REF!</v>
      </c>
      <c r="S115" s="124" t="e">
        <f>SUMIFS('Portefeuille SP2'!#REF!,'Portefeuille SP2'!#REF!,1,'Portefeuille SP2'!$Q:$Q,"DECIDED",'Portefeuille SP2'!#REF!,"R",'Portefeuille SP2'!$D:$D,$A115,'Portefeuille SP2'!#REF!,"S",'Portefeuille SP2'!#REF!,"&lt;&gt;")</f>
        <v>#REF!</v>
      </c>
      <c r="U115" s="110" t="e">
        <f>SUMIFS('Portefeuille SP2'!$U:$U,'Portefeuille SP2'!#REF!,1,'Portefeuille SP2'!$Q:$Q,"IN PROGRESS",'Portefeuille SP2'!#REF!,"G",'Portefeuille SP2'!$D:$D,$A115,'Portefeuille SP2'!#REF!,"O")</f>
        <v>#REF!</v>
      </c>
      <c r="V115" s="127" t="e">
        <f>SUMIFS('Portefeuille SP2'!#REF!,'Portefeuille SP2'!#REF!,1,'Portefeuille SP2'!$Q:$Q,"IN PROGRESS",'Portefeuille SP2'!#REF!,"G",'Portefeuille SP2'!$D:$D,$A115,'Portefeuille SP2'!#REF!,"o")</f>
        <v>#REF!</v>
      </c>
      <c r="W115" s="116" t="e">
        <f>SUMIFS('Portefeuille SP2'!#REF!,'Portefeuille SP2'!#REF!,1,'Portefeuille SP2'!$Q:$Q,"IN PROGRESS",'Portefeuille SP2'!#REF!,"G",'Portefeuille SP2'!$D:$D,$A115,'Portefeuille SP2'!#REF!,"o")</f>
        <v>#REF!</v>
      </c>
      <c r="X115" s="110" t="e">
        <f>SUMIFS('Portefeuille SP2'!$U:$U,'Portefeuille SP2'!#REF!,1,'Portefeuille SP2'!$Q:$Q,"IN PROGRESS",'Portefeuille SP2'!#REF!,"R",'Portefeuille SP2'!$D:$D,$A115,'Portefeuille SP2'!#REF!,"o")</f>
        <v>#REF!</v>
      </c>
      <c r="Y115" s="127" t="e">
        <f>SUMIFS('Portefeuille SP2'!#REF!,'Portefeuille SP2'!#REF!,1,'Portefeuille SP2'!$Q:$Q,"IN PROGRESS",'Portefeuille SP2'!#REF!,"R",'Portefeuille SP2'!$D:$D,$A115,'Portefeuille SP2'!#REF!,"o")</f>
        <v>#REF!</v>
      </c>
      <c r="Z115" s="116" t="e">
        <f>SUMIFS('Portefeuille SP2'!#REF!,'Portefeuille SP2'!#REF!,1,'Portefeuille SP2'!$Q:$Q,"IN PROGRESS",'Portefeuille SP2'!#REF!,"R",'Portefeuille SP2'!$D:$D,$A115,'Portefeuille SP2'!#REF!,"o")</f>
        <v>#REF!</v>
      </c>
      <c r="AA115" s="110" t="e">
        <f>SUMIFS('Portefeuille SP2'!$U:$U,'Portefeuille SP2'!#REF!,1,'Portefeuille SP2'!$Q:$Q,"DECIDED",'Portefeuille SP2'!#REF!,"G",'Portefeuille SP2'!$D:$D,$A115,'Portefeuille SP2'!#REF!,"o",'Portefeuille SP2'!#REF!,"=")</f>
        <v>#REF!</v>
      </c>
      <c r="AB115" s="127" t="e">
        <f>SUMIFS('Portefeuille SP2'!#REF!,'Portefeuille SP2'!#REF!,1,'Portefeuille SP2'!$Q:$Q,"DECIDED",'Portefeuille SP2'!#REF!,"G",'Portefeuille SP2'!$D:$D,$A115,'Portefeuille SP2'!#REF!,"o",'Portefeuille SP2'!#REF!,"=")</f>
        <v>#REF!</v>
      </c>
      <c r="AC115" s="116" t="e">
        <f>SUMIFS('Portefeuille SP2'!#REF!,'Portefeuille SP2'!#REF!,1,'Portefeuille SP2'!$Q:$Q,"DECIDED",'Portefeuille SP2'!#REF!,"G",'Portefeuille SP2'!$D:$D,$A115,'Portefeuille SP2'!#REF!,"o",'Portefeuille SP2'!#REF!,"=")</f>
        <v>#REF!</v>
      </c>
      <c r="AD115" s="110" t="e">
        <f>SUMIFS('Portefeuille SP2'!$U:$U,'Portefeuille SP2'!#REF!,1,'Portefeuille SP2'!$Q:$Q,"DECIDED",'Portefeuille SP2'!#REF!,"R",'Portefeuille SP2'!$D:$D,$A115,'Portefeuille SP2'!#REF!,"o",'Portefeuille SP2'!#REF!,"=")</f>
        <v>#REF!</v>
      </c>
      <c r="AE115" s="127" t="e">
        <f>SUMIFS('Portefeuille SP2'!#REF!,'Portefeuille SP2'!#REF!,1,'Portefeuille SP2'!$Q:$Q,"DECIDED",'Portefeuille SP2'!#REF!,"R",'Portefeuille SP2'!$D:$D,$A115,'Portefeuille SP2'!#REF!,"o",'Portefeuille SP2'!#REF!,"=")</f>
        <v>#REF!</v>
      </c>
      <c r="AF115" s="116" t="e">
        <f>SUMIFS('Portefeuille SP2'!#REF!,'Portefeuille SP2'!#REF!,1,'Portefeuille SP2'!$Q:$Q,"DECIDED",'Portefeuille SP2'!#REF!,"R",'Portefeuille SP2'!$D:$D,$A115,'Portefeuille SP2'!#REF!,"o",'Portefeuille SP2'!#REF!,"=")</f>
        <v>#REF!</v>
      </c>
      <c r="AG115" s="110" t="e">
        <f>SUMIFS('Portefeuille SP2'!$U:$U,'Portefeuille SP2'!#REF!,1,'Portefeuille SP2'!$Q:$Q,"DECIDED",'Portefeuille SP2'!#REF!,"G",'Portefeuille SP2'!$D:$D,$A115,'Portefeuille SP2'!#REF!,"o",'Portefeuille SP2'!#REF!,"&lt;&gt;")</f>
        <v>#REF!</v>
      </c>
      <c r="AH115" s="127" t="e">
        <f>SUMIFS('Portefeuille SP2'!#REF!,'Portefeuille SP2'!#REF!,1,'Portefeuille SP2'!$Q:$Q,"DECIDED",'Portefeuille SP2'!#REF!,"G",'Portefeuille SP2'!$D:$D,$A115,'Portefeuille SP2'!#REF!,"o",'Portefeuille SP2'!#REF!,"&lt;&gt;")</f>
        <v>#REF!</v>
      </c>
      <c r="AI115" s="116" t="e">
        <f>SUMIFS('Portefeuille SP2'!#REF!,'Portefeuille SP2'!#REF!,1,'Portefeuille SP2'!$Q:$Q,"DECIDED",'Portefeuille SP2'!#REF!,"G",'Portefeuille SP2'!$D:$D,$A115,'Portefeuille SP2'!#REF!,"o",'Portefeuille SP2'!#REF!,"&lt;&gt;")</f>
        <v>#REF!</v>
      </c>
      <c r="AJ115" s="110" t="e">
        <f>SUMIFS('Portefeuille SP2'!$U:$U,'Portefeuille SP2'!#REF!,1,'Portefeuille SP2'!$Q:$Q,"DECIDED",'Portefeuille SP2'!#REF!,"R",'Portefeuille SP2'!$D:$D,$A115,'Portefeuille SP2'!#REF!,"o",'Portefeuille SP2'!#REF!,"&lt;&gt;")</f>
        <v>#REF!</v>
      </c>
      <c r="AK115" s="127" t="e">
        <f>SUMIFS('Portefeuille SP2'!#REF!,'Portefeuille SP2'!#REF!,1,'Portefeuille SP2'!$Q:$Q,"DECIDED",'Portefeuille SP2'!#REF!,"R",'Portefeuille SP2'!$D:$D,$A115,'Portefeuille SP2'!#REF!,"o",'Portefeuille SP2'!#REF!,"&lt;&gt;")</f>
        <v>#REF!</v>
      </c>
      <c r="AL115" s="116" t="e">
        <f>SUMIFS('Portefeuille SP2'!#REF!,'Portefeuille SP2'!#REF!,1,'Portefeuille SP2'!$Q:$Q,"DECIDED",'Portefeuille SP2'!#REF!,"R",'Portefeuille SP2'!$D:$D,$A115,'Portefeuille SP2'!#REF!,"o",'Portefeuille SP2'!#REF!,"&lt;&gt;")</f>
        <v>#REF!</v>
      </c>
      <c r="AM115" s="117"/>
      <c r="AO115" s="112" t="s">
        <v>1331</v>
      </c>
      <c r="AP115" s="117" t="s">
        <v>1329</v>
      </c>
    </row>
    <row r="116" spans="1:42" outlineLevel="1">
      <c r="L116" s="117"/>
      <c r="M116" s="117"/>
      <c r="AE116" s="117"/>
      <c r="AF116" s="117"/>
      <c r="AO116" s="112"/>
      <c r="AP116" s="117"/>
    </row>
    <row r="117" spans="1:42" outlineLevel="1">
      <c r="B117" s="114" t="e">
        <f>SUM(B94:B115)</f>
        <v>#REF!</v>
      </c>
      <c r="C117" s="117" t="e">
        <f t="shared" ref="C117:D117" si="709">SUM(C94:C115)</f>
        <v>#REF!</v>
      </c>
      <c r="D117" s="117" t="e">
        <f t="shared" si="709"/>
        <v>#REF!</v>
      </c>
      <c r="E117" s="114" t="e">
        <f>SUM(E94:E115)</f>
        <v>#REF!</v>
      </c>
      <c r="F117" s="117" t="e">
        <f t="shared" ref="F117:S117" si="710">SUM(F94:F115)</f>
        <v>#REF!</v>
      </c>
      <c r="G117" s="117" t="e">
        <f t="shared" si="710"/>
        <v>#REF!</v>
      </c>
      <c r="H117" s="114" t="e">
        <f t="shared" si="710"/>
        <v>#REF!</v>
      </c>
      <c r="I117" s="117" t="e">
        <f t="shared" si="710"/>
        <v>#REF!</v>
      </c>
      <c r="J117" s="117" t="e">
        <f t="shared" si="710"/>
        <v>#REF!</v>
      </c>
      <c r="K117" s="114" t="e">
        <f t="shared" si="710"/>
        <v>#REF!</v>
      </c>
      <c r="L117" s="117" t="e">
        <f t="shared" si="710"/>
        <v>#REF!</v>
      </c>
      <c r="M117" s="117" t="e">
        <f t="shared" si="710"/>
        <v>#REF!</v>
      </c>
      <c r="N117" s="114" t="e">
        <f t="shared" si="710"/>
        <v>#REF!</v>
      </c>
      <c r="O117" s="117" t="e">
        <f t="shared" si="710"/>
        <v>#REF!</v>
      </c>
      <c r="P117" s="117" t="e">
        <f t="shared" si="710"/>
        <v>#REF!</v>
      </c>
      <c r="Q117" s="114" t="e">
        <f t="shared" si="710"/>
        <v>#REF!</v>
      </c>
      <c r="R117" s="117" t="e">
        <f t="shared" si="710"/>
        <v>#REF!</v>
      </c>
      <c r="S117" s="117" t="e">
        <f t="shared" si="710"/>
        <v>#REF!</v>
      </c>
      <c r="U117" s="114" t="e">
        <f>SUM(U94:U115)</f>
        <v>#REF!</v>
      </c>
      <c r="V117" s="117" t="e">
        <f t="shared" ref="V117:W117" si="711">SUM(V94:V115)</f>
        <v>#REF!</v>
      </c>
      <c r="W117" s="117" t="e">
        <f t="shared" si="711"/>
        <v>#REF!</v>
      </c>
      <c r="X117" s="114" t="e">
        <f>SUM(X94:X115)</f>
        <v>#REF!</v>
      </c>
      <c r="Y117" s="117" t="e">
        <f t="shared" ref="Y117:AL117" si="712">SUM(Y94:Y115)</f>
        <v>#REF!</v>
      </c>
      <c r="Z117" s="117" t="e">
        <f t="shared" si="712"/>
        <v>#REF!</v>
      </c>
      <c r="AA117" s="114" t="e">
        <f t="shared" si="712"/>
        <v>#REF!</v>
      </c>
      <c r="AB117" s="117" t="e">
        <f t="shared" si="712"/>
        <v>#REF!</v>
      </c>
      <c r="AC117" s="117" t="e">
        <f t="shared" si="712"/>
        <v>#REF!</v>
      </c>
      <c r="AD117" s="114" t="e">
        <f t="shared" si="712"/>
        <v>#REF!</v>
      </c>
      <c r="AE117" s="117" t="e">
        <f t="shared" si="712"/>
        <v>#REF!</v>
      </c>
      <c r="AF117" s="117" t="e">
        <f t="shared" si="712"/>
        <v>#REF!</v>
      </c>
      <c r="AG117" s="114" t="e">
        <f t="shared" si="712"/>
        <v>#REF!</v>
      </c>
      <c r="AH117" s="117" t="e">
        <f t="shared" si="712"/>
        <v>#REF!</v>
      </c>
      <c r="AI117" s="117" t="e">
        <f t="shared" si="712"/>
        <v>#REF!</v>
      </c>
      <c r="AJ117" s="114" t="e">
        <f t="shared" si="712"/>
        <v>#REF!</v>
      </c>
      <c r="AK117" s="117" t="e">
        <f t="shared" si="712"/>
        <v>#REF!</v>
      </c>
      <c r="AL117" s="117" t="e">
        <f t="shared" si="712"/>
        <v>#REF!</v>
      </c>
      <c r="AM117" s="136"/>
      <c r="AO117" s="112" t="e">
        <f>H117+K117+N117+Q117+AA117+AD117+AG117+AJ117</f>
        <v>#REF!</v>
      </c>
      <c r="AP117" s="112" t="e">
        <f>B117+E117+H117+K117+N117+Q117+U117+X117+AA117+AD117+AG117+AJ117</f>
        <v>#REF!</v>
      </c>
    </row>
    <row r="118" spans="1:42" s="133" customFormat="1" ht="10.15">
      <c r="B118" s="131" t="e">
        <f>B117-C117-D117</f>
        <v>#REF!</v>
      </c>
      <c r="C118" s="131"/>
      <c r="D118" s="131"/>
      <c r="E118" s="131" t="e">
        <f>E117-F117-G117</f>
        <v>#REF!</v>
      </c>
      <c r="F118" s="131"/>
      <c r="G118" s="131"/>
      <c r="H118" s="131" t="e">
        <f>H117-I117-J117</f>
        <v>#REF!</v>
      </c>
      <c r="I118" s="132"/>
      <c r="J118" s="132"/>
      <c r="K118" s="131" t="e">
        <f>K117-L117-M117</f>
        <v>#REF!</v>
      </c>
      <c r="L118" s="132"/>
      <c r="M118" s="132"/>
      <c r="N118" s="131" t="e">
        <f>N117-O117-P117</f>
        <v>#REF!</v>
      </c>
      <c r="O118" s="132"/>
      <c r="P118" s="132"/>
      <c r="Q118" s="131" t="e">
        <f>Q117-R117-S117</f>
        <v>#REF!</v>
      </c>
      <c r="R118" s="132"/>
      <c r="S118" s="132"/>
      <c r="U118" s="131" t="e">
        <f>U117-V117-W117</f>
        <v>#REF!</v>
      </c>
      <c r="V118" s="131"/>
      <c r="W118" s="131"/>
      <c r="X118" s="131" t="e">
        <f>X117-Y117-Z117</f>
        <v>#REF!</v>
      </c>
      <c r="Y118" s="131"/>
      <c r="Z118" s="131"/>
      <c r="AA118" s="131" t="e">
        <f>AA117-AB117-AC117</f>
        <v>#REF!</v>
      </c>
      <c r="AB118" s="132"/>
      <c r="AC118" s="132"/>
      <c r="AD118" s="131" t="e">
        <f>AD117-AE117-AF117</f>
        <v>#REF!</v>
      </c>
      <c r="AE118" s="132"/>
      <c r="AF118" s="132"/>
      <c r="AG118" s="131" t="e">
        <f>AG117-AH117-AI117</f>
        <v>#REF!</v>
      </c>
      <c r="AH118" s="132"/>
      <c r="AI118" s="132"/>
      <c r="AJ118" s="131" t="e">
        <f>AJ117-AK117-AL117</f>
        <v>#REF!</v>
      </c>
      <c r="AK118" s="132"/>
      <c r="AL118" s="132"/>
      <c r="AM118" s="132"/>
      <c r="AO118" s="132"/>
      <c r="AP118" s="132"/>
    </row>
  </sheetData>
  <mergeCells count="14">
    <mergeCell ref="AO1:BF1"/>
    <mergeCell ref="BH1:BY1"/>
    <mergeCell ref="BH2:BM2"/>
    <mergeCell ref="BQ2:BY2"/>
    <mergeCell ref="B1:S1"/>
    <mergeCell ref="U1:AL1"/>
    <mergeCell ref="U2:Z2"/>
    <mergeCell ref="AA2:AF2"/>
    <mergeCell ref="AG2:AL2"/>
    <mergeCell ref="B2:G2"/>
    <mergeCell ref="H2:M2"/>
    <mergeCell ref="N2:S2"/>
    <mergeCell ref="AO2:AT2"/>
    <mergeCell ref="AX2:BF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22" filterMode="1"/>
  <dimension ref="A1:L131"/>
  <sheetViews>
    <sheetView workbookViewId="0"/>
  </sheetViews>
  <sheetFormatPr defaultColWidth="11.42578125" defaultRowHeight="14.45" outlineLevelRow="1"/>
  <cols>
    <col min="3" max="3" width="41.28515625" bestFit="1" customWidth="1"/>
    <col min="7" max="7" width="22.7109375" bestFit="1" customWidth="1"/>
    <col min="8" max="8" width="8.85546875" customWidth="1"/>
  </cols>
  <sheetData>
    <row r="1" spans="1:9">
      <c r="A1" s="89" t="s">
        <v>1334</v>
      </c>
      <c r="B1" s="90">
        <v>43354</v>
      </c>
      <c r="C1" s="88"/>
      <c r="D1" s="88"/>
      <c r="E1" s="88"/>
      <c r="F1" s="88"/>
      <c r="G1" s="88"/>
      <c r="H1" s="88"/>
    </row>
    <row r="2" spans="1:9">
      <c r="A2" t="s">
        <v>1335</v>
      </c>
      <c r="D2" t="s">
        <v>1336</v>
      </c>
      <c r="G2" t="s">
        <v>1337</v>
      </c>
    </row>
    <row r="3" spans="1:9">
      <c r="A3" t="s">
        <v>1338</v>
      </c>
      <c r="B3" s="87">
        <v>51.1</v>
      </c>
      <c r="D3" t="s">
        <v>1338</v>
      </c>
      <c r="E3" s="87">
        <v>33.5</v>
      </c>
      <c r="G3" t="s">
        <v>1338</v>
      </c>
      <c r="H3" s="87">
        <v>17.600000000000001</v>
      </c>
    </row>
    <row r="4" spans="1:9">
      <c r="A4" t="s">
        <v>150</v>
      </c>
      <c r="B4" s="87">
        <v>37</v>
      </c>
      <c r="D4" t="s">
        <v>150</v>
      </c>
      <c r="E4" s="87">
        <v>22</v>
      </c>
      <c r="G4" t="s">
        <v>150</v>
      </c>
      <c r="H4" s="87">
        <v>15</v>
      </c>
    </row>
    <row r="5" spans="1:9">
      <c r="A5" t="s">
        <v>1339</v>
      </c>
      <c r="B5" s="87">
        <v>7.6</v>
      </c>
      <c r="D5" t="s">
        <v>1339</v>
      </c>
      <c r="E5" s="87">
        <v>7.6</v>
      </c>
      <c r="G5" t="s">
        <v>1339</v>
      </c>
      <c r="H5" s="87">
        <v>0</v>
      </c>
    </row>
    <row r="6" spans="1:9">
      <c r="A6" t="s">
        <v>1311</v>
      </c>
      <c r="B6" s="87">
        <v>-5</v>
      </c>
      <c r="G6" t="s">
        <v>1311</v>
      </c>
      <c r="H6" s="87">
        <v>0</v>
      </c>
      <c r="I6">
        <v>-5</v>
      </c>
    </row>
    <row r="18" spans="1:12" ht="57" hidden="1" outlineLevel="1">
      <c r="A18" s="2" t="s">
        <v>1340</v>
      </c>
      <c r="B18" s="3" t="s">
        <v>1341</v>
      </c>
      <c r="C18" s="3" t="s">
        <v>30</v>
      </c>
      <c r="D18" s="4" t="s">
        <v>1106</v>
      </c>
      <c r="E18" s="2" t="s">
        <v>1100</v>
      </c>
    </row>
    <row r="19" spans="1:12" ht="23.45" hidden="1" outlineLevel="1">
      <c r="A19" s="92" t="s">
        <v>1274</v>
      </c>
      <c r="B19" s="103" t="s">
        <v>1342</v>
      </c>
      <c r="C19" s="104" t="s">
        <v>1343</v>
      </c>
      <c r="D19" s="95">
        <v>-0.35</v>
      </c>
      <c r="E19" s="96" t="s">
        <v>1339</v>
      </c>
      <c r="G19" s="97" t="s">
        <v>1338</v>
      </c>
      <c r="H19" s="97" t="s">
        <v>1274</v>
      </c>
      <c r="I19" s="97" t="s">
        <v>1344</v>
      </c>
      <c r="J19" s="97" t="s">
        <v>1345</v>
      </c>
      <c r="K19" s="97" t="s">
        <v>1346</v>
      </c>
      <c r="L19" s="97">
        <v>-1.1000000000000001</v>
      </c>
    </row>
    <row r="20" spans="1:12" hidden="1" outlineLevel="1">
      <c r="A20" s="6" t="s">
        <v>1274</v>
      </c>
      <c r="B20" s="7" t="s">
        <v>1347</v>
      </c>
      <c r="C20" s="8" t="s">
        <v>1348</v>
      </c>
      <c r="D20" s="101">
        <v>7.9</v>
      </c>
      <c r="E20" s="5" t="s">
        <v>1339</v>
      </c>
      <c r="G20" s="98" t="s">
        <v>150</v>
      </c>
      <c r="H20" s="98" t="s">
        <v>1349</v>
      </c>
      <c r="I20" s="98" t="s">
        <v>1350</v>
      </c>
      <c r="J20" s="98" t="s">
        <v>1351</v>
      </c>
      <c r="K20" s="98" t="s">
        <v>1346</v>
      </c>
      <c r="L20" s="98">
        <v>-15</v>
      </c>
    </row>
    <row r="21" spans="1:12" ht="34.9" hidden="1" outlineLevel="1">
      <c r="A21" s="92" t="s">
        <v>1274</v>
      </c>
      <c r="B21" s="93" t="s">
        <v>1344</v>
      </c>
      <c r="C21" s="94" t="s">
        <v>1352</v>
      </c>
      <c r="D21" s="95">
        <v>-1.1000000000000001</v>
      </c>
      <c r="E21" s="96" t="s">
        <v>1338</v>
      </c>
      <c r="G21" s="97" t="s">
        <v>1338</v>
      </c>
      <c r="H21" s="97" t="s">
        <v>1274</v>
      </c>
      <c r="I21" s="97" t="s">
        <v>1353</v>
      </c>
      <c r="J21" s="97" t="s">
        <v>1354</v>
      </c>
      <c r="K21" s="97" t="s">
        <v>1346</v>
      </c>
      <c r="L21" s="97">
        <v>0.95</v>
      </c>
    </row>
    <row r="22" spans="1:12" hidden="1" outlineLevel="1">
      <c r="A22" s="92" t="s">
        <v>1274</v>
      </c>
      <c r="B22" s="93" t="s">
        <v>1355</v>
      </c>
      <c r="C22" s="94" t="s">
        <v>1356</v>
      </c>
      <c r="D22" s="95">
        <v>-0.8</v>
      </c>
      <c r="E22" s="96" t="s">
        <v>1338</v>
      </c>
      <c r="G22" s="98" t="s">
        <v>1311</v>
      </c>
      <c r="H22" s="98" t="s">
        <v>1357</v>
      </c>
      <c r="I22" s="98" t="s">
        <v>1358</v>
      </c>
      <c r="J22" s="98" t="s">
        <v>1359</v>
      </c>
      <c r="K22" s="98" t="s">
        <v>1346</v>
      </c>
      <c r="L22" s="98">
        <v>-12</v>
      </c>
    </row>
    <row r="23" spans="1:12" ht="24" hidden="1" outlineLevel="1">
      <c r="A23" s="92" t="s">
        <v>1274</v>
      </c>
      <c r="B23" s="93" t="s">
        <v>1353</v>
      </c>
      <c r="C23" s="94" t="s">
        <v>1360</v>
      </c>
      <c r="D23" s="95">
        <v>0.95</v>
      </c>
      <c r="E23" s="96" t="s">
        <v>1338</v>
      </c>
      <c r="G23" s="97" t="s">
        <v>1338</v>
      </c>
      <c r="H23" s="97" t="s">
        <v>1349</v>
      </c>
      <c r="I23" s="97" t="s">
        <v>1361</v>
      </c>
      <c r="J23" s="97" t="s">
        <v>1362</v>
      </c>
      <c r="K23" s="97" t="s">
        <v>1346</v>
      </c>
      <c r="L23" s="97">
        <v>-5.6</v>
      </c>
    </row>
    <row r="24" spans="1:12" ht="24" hidden="1" outlineLevel="1">
      <c r="A24" s="92" t="s">
        <v>1274</v>
      </c>
      <c r="B24" s="93" t="s">
        <v>1363</v>
      </c>
      <c r="C24" s="94" t="s">
        <v>1364</v>
      </c>
      <c r="D24" s="95">
        <v>2.9</v>
      </c>
      <c r="E24" s="96" t="s">
        <v>1338</v>
      </c>
      <c r="G24" s="97" t="s">
        <v>1338</v>
      </c>
      <c r="H24" s="97" t="s">
        <v>1274</v>
      </c>
      <c r="I24" s="97" t="s">
        <v>1355</v>
      </c>
      <c r="J24" s="97" t="s">
        <v>1365</v>
      </c>
      <c r="K24" s="97" t="s">
        <v>1346</v>
      </c>
      <c r="L24" s="97">
        <v>-0.8</v>
      </c>
    </row>
    <row r="25" spans="1:12" ht="23.45" hidden="1" outlineLevel="1">
      <c r="A25" s="92" t="s">
        <v>1349</v>
      </c>
      <c r="B25" s="93" t="s">
        <v>1361</v>
      </c>
      <c r="C25" s="94" t="s">
        <v>1366</v>
      </c>
      <c r="D25" s="95">
        <v>0.2</v>
      </c>
      <c r="E25" s="96" t="s">
        <v>1338</v>
      </c>
      <c r="G25" s="97" t="s">
        <v>1339</v>
      </c>
      <c r="H25" s="97" t="s">
        <v>1274</v>
      </c>
      <c r="I25" s="97" t="s">
        <v>1342</v>
      </c>
      <c r="J25" s="97" t="s">
        <v>1367</v>
      </c>
      <c r="K25" s="97" t="s">
        <v>1346</v>
      </c>
      <c r="L25" s="97">
        <v>-0.35</v>
      </c>
    </row>
    <row r="26" spans="1:12" ht="22.9" hidden="1" outlineLevel="1">
      <c r="A26" s="92" t="s">
        <v>1349</v>
      </c>
      <c r="B26" s="93" t="s">
        <v>1361</v>
      </c>
      <c r="C26" s="94" t="s">
        <v>1362</v>
      </c>
      <c r="D26" s="95">
        <v>-5.6</v>
      </c>
      <c r="E26" s="96" t="s">
        <v>1338</v>
      </c>
      <c r="G26" s="97" t="s">
        <v>150</v>
      </c>
      <c r="H26" s="97" t="s">
        <v>1274</v>
      </c>
      <c r="I26" s="97" t="s">
        <v>819</v>
      </c>
      <c r="J26" s="97" t="s">
        <v>1368</v>
      </c>
      <c r="K26" s="97" t="s">
        <v>1346</v>
      </c>
      <c r="L26" s="97">
        <v>-0.1</v>
      </c>
    </row>
    <row r="27" spans="1:12" ht="36" hidden="1" outlineLevel="1">
      <c r="A27" s="92" t="s">
        <v>1349</v>
      </c>
      <c r="B27" s="93" t="s">
        <v>1369</v>
      </c>
      <c r="C27" s="94" t="s">
        <v>1370</v>
      </c>
      <c r="D27" s="95">
        <v>1.4</v>
      </c>
      <c r="E27" s="96" t="s">
        <v>1338</v>
      </c>
      <c r="G27" s="97" t="s">
        <v>1311</v>
      </c>
      <c r="H27" s="97" t="s">
        <v>1371</v>
      </c>
      <c r="I27" s="97" t="s">
        <v>1372</v>
      </c>
      <c r="J27" s="97" t="s">
        <v>1373</v>
      </c>
      <c r="K27" s="97" t="s">
        <v>1346</v>
      </c>
      <c r="L27" s="97">
        <v>0</v>
      </c>
    </row>
    <row r="28" spans="1:12" ht="23.45" hidden="1" outlineLevel="1">
      <c r="A28" s="92" t="s">
        <v>1349</v>
      </c>
      <c r="B28" s="93" t="s">
        <v>1374</v>
      </c>
      <c r="C28" s="94" t="s">
        <v>1375</v>
      </c>
      <c r="D28" s="95">
        <v>1</v>
      </c>
      <c r="E28" s="96" t="s">
        <v>1338</v>
      </c>
      <c r="G28" s="97" t="s">
        <v>1338</v>
      </c>
      <c r="H28" s="97" t="s">
        <v>1349</v>
      </c>
      <c r="I28" s="97" t="s">
        <v>1361</v>
      </c>
      <c r="J28" s="97" t="s">
        <v>1376</v>
      </c>
      <c r="K28" s="97" t="s">
        <v>1346</v>
      </c>
      <c r="L28" s="97">
        <v>0.2</v>
      </c>
    </row>
    <row r="29" spans="1:12" ht="24" hidden="1" outlineLevel="1">
      <c r="A29" s="92" t="s">
        <v>1349</v>
      </c>
      <c r="B29" s="93" t="s">
        <v>1377</v>
      </c>
      <c r="C29" s="94" t="s">
        <v>1378</v>
      </c>
      <c r="D29" s="95">
        <v>0.7</v>
      </c>
      <c r="E29" s="96" t="s">
        <v>1338</v>
      </c>
      <c r="G29" s="97" t="s">
        <v>1338</v>
      </c>
      <c r="H29" s="97" t="s">
        <v>1349</v>
      </c>
      <c r="I29" s="97" t="s">
        <v>1374</v>
      </c>
      <c r="J29" s="97" t="s">
        <v>1379</v>
      </c>
      <c r="K29" s="97" t="s">
        <v>1346</v>
      </c>
      <c r="L29" s="97">
        <v>1</v>
      </c>
    </row>
    <row r="30" spans="1:12" ht="36" hidden="1" outlineLevel="1">
      <c r="A30" s="6" t="s">
        <v>1274</v>
      </c>
      <c r="B30" s="11" t="s">
        <v>1380</v>
      </c>
      <c r="C30" s="8" t="s">
        <v>1381</v>
      </c>
      <c r="D30" s="101">
        <v>1.1000000000000001</v>
      </c>
      <c r="E30" s="5" t="s">
        <v>1338</v>
      </c>
      <c r="G30" s="98" t="s">
        <v>1338</v>
      </c>
      <c r="H30" s="98" t="s">
        <v>1349</v>
      </c>
      <c r="I30" s="98" t="s">
        <v>1382</v>
      </c>
      <c r="J30" s="98" t="s">
        <v>1383</v>
      </c>
      <c r="K30" s="98" t="s">
        <v>1346</v>
      </c>
      <c r="L30" s="98">
        <v>1.5</v>
      </c>
    </row>
    <row r="31" spans="1:12" ht="36" hidden="1" outlineLevel="1">
      <c r="A31" s="92" t="s">
        <v>1349</v>
      </c>
      <c r="B31" s="93" t="s">
        <v>1384</v>
      </c>
      <c r="C31" s="94" t="s">
        <v>1385</v>
      </c>
      <c r="D31" s="95">
        <v>0.4</v>
      </c>
      <c r="E31" s="96" t="s">
        <v>1338</v>
      </c>
      <c r="G31" s="97" t="s">
        <v>1338</v>
      </c>
      <c r="H31" s="97" t="s">
        <v>1349</v>
      </c>
      <c r="I31" s="97" t="s">
        <v>1369</v>
      </c>
      <c r="J31" s="97" t="s">
        <v>1386</v>
      </c>
      <c r="K31" s="97" t="s">
        <v>1346</v>
      </c>
      <c r="L31" s="97">
        <v>1.4</v>
      </c>
    </row>
    <row r="32" spans="1:12" ht="36" hidden="1" outlineLevel="1">
      <c r="A32" s="6" t="s">
        <v>1349</v>
      </c>
      <c r="B32" s="11" t="s">
        <v>1387</v>
      </c>
      <c r="C32" s="8" t="s">
        <v>1388</v>
      </c>
      <c r="D32" s="101">
        <v>1</v>
      </c>
      <c r="E32" s="5" t="s">
        <v>1338</v>
      </c>
      <c r="G32" s="97" t="s">
        <v>150</v>
      </c>
      <c r="H32" s="97" t="s">
        <v>1274</v>
      </c>
      <c r="I32" s="97" t="s">
        <v>1389</v>
      </c>
      <c r="J32" s="97" t="s">
        <v>1390</v>
      </c>
      <c r="K32" s="97" t="s">
        <v>1346</v>
      </c>
      <c r="L32" s="97">
        <v>3.8</v>
      </c>
    </row>
    <row r="33" spans="1:12" ht="34.15" hidden="1" outlineLevel="1">
      <c r="A33" s="6" t="s">
        <v>1274</v>
      </c>
      <c r="B33" s="7" t="s">
        <v>1344</v>
      </c>
      <c r="C33" s="8" t="s">
        <v>1391</v>
      </c>
      <c r="D33" s="101">
        <v>7</v>
      </c>
      <c r="E33" s="5" t="s">
        <v>1338</v>
      </c>
      <c r="G33" s="97" t="s">
        <v>1338</v>
      </c>
      <c r="H33" s="97" t="s">
        <v>1349</v>
      </c>
      <c r="I33" s="97" t="s">
        <v>1377</v>
      </c>
      <c r="J33" s="97" t="s">
        <v>1378</v>
      </c>
      <c r="K33" s="97" t="s">
        <v>1346</v>
      </c>
      <c r="L33" s="97">
        <v>0.7</v>
      </c>
    </row>
    <row r="34" spans="1:12" ht="36" hidden="1" outlineLevel="1">
      <c r="A34" s="92" t="s">
        <v>1349</v>
      </c>
      <c r="B34" s="93" t="s">
        <v>1384</v>
      </c>
      <c r="C34" s="94" t="s">
        <v>1392</v>
      </c>
      <c r="D34" s="95">
        <v>0.2</v>
      </c>
      <c r="E34" s="96" t="s">
        <v>1338</v>
      </c>
      <c r="G34" s="97" t="s">
        <v>150</v>
      </c>
      <c r="H34" s="97" t="s">
        <v>1274</v>
      </c>
      <c r="I34" s="97" t="s">
        <v>1393</v>
      </c>
      <c r="J34" s="97" t="s">
        <v>1394</v>
      </c>
      <c r="K34" s="97" t="s">
        <v>1346</v>
      </c>
      <c r="L34" s="97">
        <v>6</v>
      </c>
    </row>
    <row r="35" spans="1:12" ht="45.6" hidden="1" outlineLevel="1">
      <c r="A35" s="6" t="s">
        <v>1274</v>
      </c>
      <c r="B35" s="7" t="s">
        <v>1395</v>
      </c>
      <c r="C35" s="8" t="s">
        <v>1396</v>
      </c>
      <c r="D35" s="9">
        <v>4.5</v>
      </c>
      <c r="E35" s="5" t="s">
        <v>1338</v>
      </c>
      <c r="G35" s="97" t="s">
        <v>150</v>
      </c>
      <c r="H35" s="97" t="s">
        <v>1349</v>
      </c>
      <c r="I35" s="97" t="s">
        <v>1397</v>
      </c>
      <c r="J35" s="97" t="s">
        <v>1398</v>
      </c>
      <c r="K35" s="97" t="s">
        <v>1346</v>
      </c>
      <c r="L35" s="97">
        <v>15</v>
      </c>
    </row>
    <row r="36" spans="1:12" ht="48" hidden="1" outlineLevel="1">
      <c r="A36" s="6" t="s">
        <v>1349</v>
      </c>
      <c r="B36" s="11" t="s">
        <v>1399</v>
      </c>
      <c r="C36" s="8" t="s">
        <v>1400</v>
      </c>
      <c r="D36" s="101">
        <v>0.5</v>
      </c>
      <c r="E36" s="5" t="s">
        <v>1338</v>
      </c>
      <c r="G36" s="97" t="s">
        <v>1338</v>
      </c>
      <c r="H36" s="97" t="s">
        <v>1274</v>
      </c>
      <c r="I36" s="97" t="s">
        <v>1363</v>
      </c>
      <c r="J36" s="97" t="s">
        <v>1401</v>
      </c>
      <c r="K36" s="97" t="s">
        <v>1346</v>
      </c>
      <c r="L36" s="97">
        <v>2.9</v>
      </c>
    </row>
    <row r="37" spans="1:12" ht="36" hidden="1" outlineLevel="1">
      <c r="A37" s="6" t="s">
        <v>1274</v>
      </c>
      <c r="B37" s="7" t="s">
        <v>1402</v>
      </c>
      <c r="C37" s="8" t="s">
        <v>1403</v>
      </c>
      <c r="D37" s="101">
        <v>14.85</v>
      </c>
      <c r="E37" s="5" t="s">
        <v>1338</v>
      </c>
      <c r="G37" s="97" t="s">
        <v>1338</v>
      </c>
      <c r="H37" s="97" t="s">
        <v>1349</v>
      </c>
      <c r="I37" s="97" t="s">
        <v>1384</v>
      </c>
      <c r="J37" s="97" t="s">
        <v>1385</v>
      </c>
      <c r="K37" s="97" t="s">
        <v>1346</v>
      </c>
      <c r="L37" s="97">
        <v>0.4</v>
      </c>
    </row>
    <row r="38" spans="1:12" ht="36" hidden="1" outlineLevel="1">
      <c r="A38" s="6" t="s">
        <v>1349</v>
      </c>
      <c r="B38" s="85" t="s">
        <v>1404</v>
      </c>
      <c r="C38" s="8" t="s">
        <v>1405</v>
      </c>
      <c r="D38" s="101">
        <v>5</v>
      </c>
      <c r="E38" s="5" t="s">
        <v>1338</v>
      </c>
      <c r="G38" s="98" t="s">
        <v>1338</v>
      </c>
      <c r="H38" s="98" t="s">
        <v>1349</v>
      </c>
      <c r="I38" s="98" t="s">
        <v>1406</v>
      </c>
      <c r="J38" s="98" t="s">
        <v>1407</v>
      </c>
      <c r="K38" s="98" t="s">
        <v>1346</v>
      </c>
      <c r="L38" s="98">
        <v>1.4</v>
      </c>
    </row>
    <row r="39" spans="1:12" ht="36" hidden="1" outlineLevel="1">
      <c r="A39" s="92" t="s">
        <v>1349</v>
      </c>
      <c r="B39" s="93" t="s">
        <v>1387</v>
      </c>
      <c r="C39" s="94" t="s">
        <v>1408</v>
      </c>
      <c r="D39" s="95">
        <v>1</v>
      </c>
      <c r="E39" s="96" t="s">
        <v>1338</v>
      </c>
      <c r="G39" s="98" t="s">
        <v>1338</v>
      </c>
      <c r="H39" s="98" t="s">
        <v>1274</v>
      </c>
      <c r="I39" s="98" t="s">
        <v>1409</v>
      </c>
      <c r="J39" s="98" t="s">
        <v>1410</v>
      </c>
      <c r="K39" s="98" t="s">
        <v>1346</v>
      </c>
      <c r="L39" s="98">
        <v>14.5</v>
      </c>
    </row>
    <row r="40" spans="1:12" hidden="1" outlineLevel="1">
      <c r="A40" s="6" t="s">
        <v>1274</v>
      </c>
      <c r="B40" s="7" t="s">
        <v>1411</v>
      </c>
      <c r="C40" s="8" t="s">
        <v>1411</v>
      </c>
      <c r="D40" s="101">
        <v>4.0999999999999996</v>
      </c>
      <c r="E40" s="5" t="s">
        <v>1338</v>
      </c>
      <c r="G40" s="98" t="s">
        <v>1338</v>
      </c>
      <c r="H40" s="98" t="s">
        <v>1274</v>
      </c>
      <c r="I40" s="98" t="s">
        <v>1412</v>
      </c>
      <c r="J40" s="98" t="s">
        <v>1413</v>
      </c>
      <c r="K40" s="98" t="s">
        <v>1346</v>
      </c>
      <c r="L40" s="98">
        <v>15</v>
      </c>
    </row>
    <row r="41" spans="1:12" ht="45.6" hidden="1" outlineLevel="1">
      <c r="A41" s="6" t="s">
        <v>1349</v>
      </c>
      <c r="B41" s="7" t="s">
        <v>1344</v>
      </c>
      <c r="C41" s="8" t="s">
        <v>1414</v>
      </c>
      <c r="D41" s="101">
        <v>2</v>
      </c>
      <c r="E41" s="5" t="s">
        <v>1338</v>
      </c>
      <c r="G41" s="97" t="s">
        <v>1338</v>
      </c>
      <c r="H41" s="97" t="s">
        <v>1349</v>
      </c>
      <c r="I41" s="97" t="s">
        <v>1387</v>
      </c>
      <c r="J41" s="97" t="s">
        <v>1415</v>
      </c>
      <c r="K41" s="97" t="s">
        <v>1346</v>
      </c>
      <c r="L41" s="97">
        <v>1</v>
      </c>
    </row>
    <row r="42" spans="1:12" ht="24" hidden="1" outlineLevel="1">
      <c r="A42" s="6" t="s">
        <v>1349</v>
      </c>
      <c r="B42" s="7" t="s">
        <v>1416</v>
      </c>
      <c r="C42" s="8" t="s">
        <v>1417</v>
      </c>
      <c r="D42" s="101">
        <v>1.36</v>
      </c>
      <c r="E42" s="5" t="s">
        <v>1338</v>
      </c>
      <c r="G42" t="s">
        <v>1338</v>
      </c>
      <c r="H42" t="s">
        <v>1274</v>
      </c>
      <c r="I42" t="s">
        <v>1380</v>
      </c>
      <c r="J42" t="s">
        <v>1418</v>
      </c>
      <c r="K42" t="s">
        <v>1346</v>
      </c>
      <c r="L42">
        <v>5</v>
      </c>
    </row>
    <row r="43" spans="1:12" ht="24" hidden="1" outlineLevel="1">
      <c r="A43" s="6" t="s">
        <v>1349</v>
      </c>
      <c r="B43" s="7" t="s">
        <v>1416</v>
      </c>
      <c r="C43" s="8" t="s">
        <v>1419</v>
      </c>
      <c r="D43" s="101">
        <v>0.8</v>
      </c>
      <c r="E43" s="5" t="s">
        <v>1338</v>
      </c>
      <c r="G43" s="97" t="s">
        <v>1338</v>
      </c>
      <c r="H43" s="97" t="s">
        <v>1349</v>
      </c>
      <c r="I43" s="97" t="s">
        <v>1384</v>
      </c>
      <c r="J43" s="97" t="s">
        <v>1392</v>
      </c>
      <c r="K43" s="97" t="s">
        <v>1346</v>
      </c>
      <c r="L43" s="97">
        <v>0.2</v>
      </c>
    </row>
    <row r="44" spans="1:12" ht="24" hidden="1" outlineLevel="1">
      <c r="A44" s="6" t="s">
        <v>1349</v>
      </c>
      <c r="B44" s="7" t="s">
        <v>1420</v>
      </c>
      <c r="C44" s="8" t="s">
        <v>1421</v>
      </c>
      <c r="D44" s="101">
        <v>1</v>
      </c>
      <c r="E44" s="5" t="s">
        <v>1338</v>
      </c>
      <c r="G44" s="97" t="s">
        <v>1338</v>
      </c>
      <c r="H44" s="97" t="s">
        <v>1349</v>
      </c>
      <c r="I44" s="97" t="s">
        <v>1409</v>
      </c>
      <c r="J44" s="97" t="s">
        <v>1422</v>
      </c>
      <c r="K44" s="97" t="s">
        <v>1346</v>
      </c>
      <c r="L44" s="97"/>
    </row>
    <row r="45" spans="1:12" hidden="1" outlineLevel="1">
      <c r="A45" s="6" t="s">
        <v>1349</v>
      </c>
      <c r="B45" s="7" t="s">
        <v>1411</v>
      </c>
      <c r="C45" s="8" t="s">
        <v>1411</v>
      </c>
      <c r="D45" s="101">
        <v>6.6</v>
      </c>
      <c r="E45" s="5" t="s">
        <v>1338</v>
      </c>
      <c r="G45" s="97" t="s">
        <v>1338</v>
      </c>
      <c r="H45" s="97" t="s">
        <v>1349</v>
      </c>
      <c r="I45" s="97" t="s">
        <v>1409</v>
      </c>
      <c r="J45" s="97" t="s">
        <v>1423</v>
      </c>
      <c r="K45" s="97" t="s">
        <v>1346</v>
      </c>
      <c r="L45" s="97"/>
    </row>
    <row r="46" spans="1:12" ht="23.45" hidden="1" outlineLevel="1">
      <c r="A46" s="92" t="s">
        <v>1371</v>
      </c>
      <c r="B46" s="93" t="s">
        <v>1372</v>
      </c>
      <c r="C46" s="94" t="s">
        <v>1424</v>
      </c>
      <c r="D46" s="95">
        <v>0</v>
      </c>
      <c r="E46" s="96" t="s">
        <v>1311</v>
      </c>
      <c r="G46" s="97" t="s">
        <v>150</v>
      </c>
      <c r="H46" s="97" t="s">
        <v>1274</v>
      </c>
      <c r="I46" s="97" t="s">
        <v>1425</v>
      </c>
      <c r="J46" s="97" t="s">
        <v>1426</v>
      </c>
      <c r="K46" s="97" t="s">
        <v>1346</v>
      </c>
      <c r="L46" s="97">
        <v>12.3</v>
      </c>
    </row>
    <row r="47" spans="1:12" ht="34.9" hidden="1" outlineLevel="1">
      <c r="A47" s="92" t="s">
        <v>1371</v>
      </c>
      <c r="B47" s="93" t="s">
        <v>1427</v>
      </c>
      <c r="C47" s="94" t="s">
        <v>1428</v>
      </c>
      <c r="D47" s="95"/>
      <c r="E47" s="96" t="s">
        <v>1311</v>
      </c>
      <c r="G47" s="97" t="s">
        <v>1338</v>
      </c>
      <c r="H47" s="97" t="s">
        <v>1349</v>
      </c>
      <c r="I47" s="97" t="s">
        <v>1412</v>
      </c>
      <c r="J47" s="97" t="s">
        <v>1429</v>
      </c>
      <c r="K47" s="97" t="s">
        <v>1346</v>
      </c>
      <c r="L47" s="97"/>
    </row>
    <row r="48" spans="1:12" ht="23.45" hidden="1" outlineLevel="1">
      <c r="A48" s="99" t="s">
        <v>1357</v>
      </c>
      <c r="B48" s="84" t="s">
        <v>1358</v>
      </c>
      <c r="C48" s="100" t="s">
        <v>1430</v>
      </c>
      <c r="D48" s="101">
        <v>-5</v>
      </c>
      <c r="E48" s="102" t="s">
        <v>1311</v>
      </c>
      <c r="G48" s="97" t="s">
        <v>1311</v>
      </c>
      <c r="H48" s="97" t="s">
        <v>1371</v>
      </c>
      <c r="I48" s="97" t="s">
        <v>1427</v>
      </c>
      <c r="J48" s="97" t="s">
        <v>1431</v>
      </c>
      <c r="K48" s="97" t="s">
        <v>1346</v>
      </c>
      <c r="L48" s="97"/>
    </row>
    <row r="49" spans="1:12" ht="23.45" hidden="1" outlineLevel="1">
      <c r="A49" s="92" t="s">
        <v>1371</v>
      </c>
      <c r="B49" s="93" t="s">
        <v>1427</v>
      </c>
      <c r="C49" s="94" t="s">
        <v>1432</v>
      </c>
      <c r="D49" s="95"/>
      <c r="E49" s="96" t="s">
        <v>1311</v>
      </c>
      <c r="G49" s="97" t="s">
        <v>1311</v>
      </c>
      <c r="H49" s="97" t="s">
        <v>1371</v>
      </c>
      <c r="I49" s="97" t="s">
        <v>1427</v>
      </c>
      <c r="J49" s="97" t="s">
        <v>1433</v>
      </c>
      <c r="K49" s="97" t="s">
        <v>1346</v>
      </c>
      <c r="L49" s="97"/>
    </row>
    <row r="50" spans="1:12" hidden="1" outlineLevel="1">
      <c r="A50" s="92" t="s">
        <v>1349</v>
      </c>
      <c r="B50" s="93" t="s">
        <v>1397</v>
      </c>
      <c r="C50" s="94" t="s">
        <v>1398</v>
      </c>
      <c r="D50" s="95">
        <v>15</v>
      </c>
      <c r="E50" s="96" t="s">
        <v>150</v>
      </c>
    </row>
    <row r="51" spans="1:12" ht="23.45" hidden="1" outlineLevel="1">
      <c r="A51" s="92" t="s">
        <v>1274</v>
      </c>
      <c r="B51" s="93" t="s">
        <v>1393</v>
      </c>
      <c r="C51" s="94" t="s">
        <v>1434</v>
      </c>
      <c r="D51" s="95">
        <v>6</v>
      </c>
      <c r="E51" s="96" t="s">
        <v>150</v>
      </c>
    </row>
    <row r="52" spans="1:12" ht="23.45" hidden="1" outlineLevel="1">
      <c r="A52" s="92" t="s">
        <v>1274</v>
      </c>
      <c r="B52" s="93" t="s">
        <v>819</v>
      </c>
      <c r="C52" s="94" t="s">
        <v>1435</v>
      </c>
      <c r="D52" s="95">
        <v>-0.1</v>
      </c>
      <c r="E52" s="96" t="s">
        <v>150</v>
      </c>
    </row>
    <row r="53" spans="1:12" ht="36" hidden="1" outlineLevel="1">
      <c r="A53" s="92" t="s">
        <v>1274</v>
      </c>
      <c r="B53" s="93" t="s">
        <v>1425</v>
      </c>
      <c r="C53" s="94" t="s">
        <v>1436</v>
      </c>
      <c r="D53" s="95">
        <v>12.3</v>
      </c>
      <c r="E53" s="96" t="s">
        <v>150</v>
      </c>
    </row>
    <row r="54" spans="1:12" ht="23.45" hidden="1" outlineLevel="1">
      <c r="A54" s="92" t="s">
        <v>1274</v>
      </c>
      <c r="B54" s="93" t="s">
        <v>1389</v>
      </c>
      <c r="C54" s="94" t="s">
        <v>1437</v>
      </c>
      <c r="D54" s="95">
        <v>3.8</v>
      </c>
      <c r="E54" s="96" t="s">
        <v>150</v>
      </c>
    </row>
    <row r="55" spans="1:12" collapsed="1"/>
    <row r="57" spans="1:12">
      <c r="A57" s="89" t="s">
        <v>1334</v>
      </c>
      <c r="B57" s="90">
        <v>43301</v>
      </c>
      <c r="C57" s="88"/>
      <c r="D57" s="88"/>
      <c r="E57" s="88"/>
      <c r="F57" s="88"/>
      <c r="G57" s="88"/>
      <c r="H57" s="88"/>
    </row>
    <row r="58" spans="1:12">
      <c r="A58" t="s">
        <v>1335</v>
      </c>
      <c r="D58" t="s">
        <v>1336</v>
      </c>
      <c r="G58" t="s">
        <v>1337</v>
      </c>
      <c r="J58" t="s">
        <v>1438</v>
      </c>
    </row>
    <row r="59" spans="1:12">
      <c r="A59" t="s">
        <v>1338</v>
      </c>
      <c r="B59" s="87">
        <f>38.65+10.6</f>
        <v>49.25</v>
      </c>
      <c r="D59" t="s">
        <v>1338</v>
      </c>
      <c r="E59" s="87">
        <v>36.450000000000003</v>
      </c>
      <c r="G59" t="s">
        <v>1338</v>
      </c>
      <c r="H59" s="87">
        <v>2.2000000000000002</v>
      </c>
      <c r="J59" t="s">
        <v>1338</v>
      </c>
      <c r="K59" s="87">
        <v>22.56</v>
      </c>
    </row>
    <row r="60" spans="1:12">
      <c r="A60" t="s">
        <v>150</v>
      </c>
      <c r="B60" s="87">
        <v>22</v>
      </c>
      <c r="D60" t="s">
        <v>150</v>
      </c>
      <c r="E60" s="87">
        <v>22</v>
      </c>
      <c r="G60" t="s">
        <v>150</v>
      </c>
      <c r="H60" s="87">
        <v>0</v>
      </c>
      <c r="J60" t="s">
        <v>150</v>
      </c>
      <c r="K60" s="87">
        <v>8.9</v>
      </c>
    </row>
    <row r="61" spans="1:12">
      <c r="A61" t="s">
        <v>1339</v>
      </c>
      <c r="B61" s="87">
        <v>0</v>
      </c>
      <c r="C61" s="91">
        <v>-0.4</v>
      </c>
      <c r="D61" t="s">
        <v>1339</v>
      </c>
      <c r="E61" s="87">
        <v>0</v>
      </c>
      <c r="F61" s="91">
        <v>-0.4</v>
      </c>
      <c r="G61" t="s">
        <v>1339</v>
      </c>
      <c r="H61" s="87">
        <v>0</v>
      </c>
      <c r="J61" t="s">
        <v>1339</v>
      </c>
      <c r="K61" s="87">
        <v>2.4</v>
      </c>
    </row>
    <row r="62" spans="1:12">
      <c r="A62" t="s">
        <v>1311</v>
      </c>
      <c r="B62" s="87">
        <v>0</v>
      </c>
      <c r="C62" s="91">
        <v>-12</v>
      </c>
      <c r="G62" t="s">
        <v>1311</v>
      </c>
      <c r="H62" s="87">
        <v>0</v>
      </c>
      <c r="I62" s="91">
        <v>-12</v>
      </c>
      <c r="J62" t="s">
        <v>1311</v>
      </c>
      <c r="K62" s="87">
        <v>0.4</v>
      </c>
    </row>
    <row r="76" spans="1:6">
      <c r="A76" t="s">
        <v>1100</v>
      </c>
      <c r="B76" t="s">
        <v>1340</v>
      </c>
      <c r="C76" t="s">
        <v>1341</v>
      </c>
      <c r="D76" t="s">
        <v>30</v>
      </c>
      <c r="E76" t="s">
        <v>38</v>
      </c>
      <c r="F76" t="s">
        <v>1106</v>
      </c>
    </row>
    <row r="77" spans="1:6">
      <c r="A77" t="s">
        <v>1338</v>
      </c>
      <c r="B77" t="s">
        <v>1274</v>
      </c>
      <c r="C77" t="s">
        <v>1344</v>
      </c>
      <c r="D77" t="s">
        <v>1345</v>
      </c>
      <c r="E77" t="s">
        <v>1346</v>
      </c>
      <c r="F77">
        <v>-1.1000000000000001</v>
      </c>
    </row>
    <row r="78" spans="1:6">
      <c r="A78" t="s">
        <v>150</v>
      </c>
      <c r="B78" t="s">
        <v>1349</v>
      </c>
      <c r="C78" t="s">
        <v>1350</v>
      </c>
      <c r="D78" t="s">
        <v>1351</v>
      </c>
      <c r="E78" t="s">
        <v>1346</v>
      </c>
      <c r="F78">
        <v>-15</v>
      </c>
    </row>
    <row r="79" spans="1:6">
      <c r="A79" t="s">
        <v>1338</v>
      </c>
      <c r="B79" t="s">
        <v>1274</v>
      </c>
      <c r="C79" t="s">
        <v>1353</v>
      </c>
      <c r="D79" t="s">
        <v>1354</v>
      </c>
      <c r="E79" t="s">
        <v>1346</v>
      </c>
      <c r="F79">
        <v>0.95</v>
      </c>
    </row>
    <row r="80" spans="1:6">
      <c r="A80" t="s">
        <v>1311</v>
      </c>
      <c r="B80" t="s">
        <v>1357</v>
      </c>
      <c r="C80" t="s">
        <v>1358</v>
      </c>
      <c r="D80" t="s">
        <v>1359</v>
      </c>
      <c r="E80" t="s">
        <v>1346</v>
      </c>
      <c r="F80">
        <v>-12</v>
      </c>
    </row>
    <row r="81" spans="1:6">
      <c r="A81" t="s">
        <v>1338</v>
      </c>
      <c r="B81" t="s">
        <v>1349</v>
      </c>
      <c r="C81" t="s">
        <v>1361</v>
      </c>
      <c r="D81" t="s">
        <v>1362</v>
      </c>
      <c r="E81" t="s">
        <v>1346</v>
      </c>
      <c r="F81">
        <v>-5.6</v>
      </c>
    </row>
    <row r="82" spans="1:6">
      <c r="A82" t="s">
        <v>1338</v>
      </c>
      <c r="B82" t="s">
        <v>1274</v>
      </c>
      <c r="C82" t="s">
        <v>1355</v>
      </c>
      <c r="D82" t="s">
        <v>1365</v>
      </c>
      <c r="E82" t="s">
        <v>1346</v>
      </c>
      <c r="F82">
        <v>-0.8</v>
      </c>
    </row>
    <row r="83" spans="1:6">
      <c r="A83" t="s">
        <v>1339</v>
      </c>
      <c r="B83" t="s">
        <v>1274</v>
      </c>
      <c r="C83" t="s">
        <v>1342</v>
      </c>
      <c r="D83" t="s">
        <v>1367</v>
      </c>
      <c r="E83" t="s">
        <v>1346</v>
      </c>
      <c r="F83">
        <v>-0.35</v>
      </c>
    </row>
    <row r="84" spans="1:6">
      <c r="A84" t="s">
        <v>150</v>
      </c>
      <c r="B84" t="s">
        <v>1274</v>
      </c>
      <c r="C84" t="s">
        <v>819</v>
      </c>
      <c r="D84" t="s">
        <v>1368</v>
      </c>
      <c r="E84" t="s">
        <v>1346</v>
      </c>
      <c r="F84">
        <v>-0.1</v>
      </c>
    </row>
    <row r="85" spans="1:6">
      <c r="A85" t="s">
        <v>1311</v>
      </c>
      <c r="B85" t="s">
        <v>1371</v>
      </c>
      <c r="C85" t="s">
        <v>1372</v>
      </c>
      <c r="D85" t="s">
        <v>1373</v>
      </c>
      <c r="E85" t="s">
        <v>1346</v>
      </c>
      <c r="F85">
        <v>0</v>
      </c>
    </row>
    <row r="86" spans="1:6">
      <c r="A86" t="s">
        <v>1338</v>
      </c>
      <c r="B86" t="s">
        <v>1349</v>
      </c>
      <c r="C86" t="s">
        <v>1361</v>
      </c>
      <c r="D86" t="s">
        <v>1376</v>
      </c>
      <c r="E86" t="s">
        <v>1346</v>
      </c>
      <c r="F86">
        <v>0.2</v>
      </c>
    </row>
    <row r="87" spans="1:6">
      <c r="A87" t="s">
        <v>1338</v>
      </c>
      <c r="B87" t="s">
        <v>1349</v>
      </c>
      <c r="C87" t="s">
        <v>1374</v>
      </c>
      <c r="D87" t="s">
        <v>1379</v>
      </c>
      <c r="E87" t="s">
        <v>1346</v>
      </c>
      <c r="F87">
        <v>1</v>
      </c>
    </row>
    <row r="88" spans="1:6">
      <c r="A88" t="s">
        <v>1338</v>
      </c>
      <c r="B88" t="s">
        <v>1349</v>
      </c>
      <c r="C88" t="s">
        <v>1382</v>
      </c>
      <c r="D88" t="s">
        <v>1383</v>
      </c>
      <c r="E88" t="s">
        <v>1346</v>
      </c>
      <c r="F88">
        <v>1.5</v>
      </c>
    </row>
    <row r="89" spans="1:6">
      <c r="A89" t="s">
        <v>1338</v>
      </c>
      <c r="B89" t="s">
        <v>1349</v>
      </c>
      <c r="C89" t="s">
        <v>1369</v>
      </c>
      <c r="D89" t="s">
        <v>1386</v>
      </c>
      <c r="E89" t="s">
        <v>1346</v>
      </c>
      <c r="F89">
        <v>1.4</v>
      </c>
    </row>
    <row r="90" spans="1:6">
      <c r="A90" t="s">
        <v>150</v>
      </c>
      <c r="B90" t="s">
        <v>1274</v>
      </c>
      <c r="C90" t="s">
        <v>1389</v>
      </c>
      <c r="D90" t="s">
        <v>1390</v>
      </c>
      <c r="E90" t="s">
        <v>1346</v>
      </c>
      <c r="F90">
        <v>3.8</v>
      </c>
    </row>
    <row r="91" spans="1:6">
      <c r="A91" t="s">
        <v>1338</v>
      </c>
      <c r="B91" t="s">
        <v>1349</v>
      </c>
      <c r="C91" t="s">
        <v>1377</v>
      </c>
      <c r="D91" t="s">
        <v>1378</v>
      </c>
      <c r="E91" t="s">
        <v>1346</v>
      </c>
      <c r="F91">
        <v>0.7</v>
      </c>
    </row>
    <row r="92" spans="1:6">
      <c r="A92" t="s">
        <v>150</v>
      </c>
      <c r="B92" t="s">
        <v>1274</v>
      </c>
      <c r="C92" t="s">
        <v>1393</v>
      </c>
      <c r="D92" t="s">
        <v>1394</v>
      </c>
      <c r="E92" t="s">
        <v>1346</v>
      </c>
      <c r="F92">
        <v>6</v>
      </c>
    </row>
    <row r="93" spans="1:6">
      <c r="A93" t="s">
        <v>150</v>
      </c>
      <c r="B93" t="s">
        <v>1349</v>
      </c>
      <c r="C93" t="s">
        <v>1397</v>
      </c>
      <c r="D93" t="s">
        <v>1398</v>
      </c>
      <c r="E93" t="s">
        <v>1346</v>
      </c>
      <c r="F93">
        <v>15</v>
      </c>
    </row>
    <row r="94" spans="1:6">
      <c r="A94" t="s">
        <v>1338</v>
      </c>
      <c r="B94" t="s">
        <v>1274</v>
      </c>
      <c r="C94" t="s">
        <v>1363</v>
      </c>
      <c r="D94" t="s">
        <v>1401</v>
      </c>
      <c r="E94" t="s">
        <v>1346</v>
      </c>
      <c r="F94">
        <v>2.9</v>
      </c>
    </row>
    <row r="95" spans="1:6">
      <c r="A95" t="s">
        <v>1338</v>
      </c>
      <c r="B95" t="s">
        <v>1349</v>
      </c>
      <c r="C95" t="s">
        <v>1384</v>
      </c>
      <c r="D95" t="s">
        <v>1385</v>
      </c>
      <c r="E95" t="s">
        <v>1346</v>
      </c>
      <c r="F95">
        <v>0.4</v>
      </c>
    </row>
    <row r="96" spans="1:6">
      <c r="A96" t="s">
        <v>1338</v>
      </c>
      <c r="B96" t="s">
        <v>1349</v>
      </c>
      <c r="C96" t="s">
        <v>1406</v>
      </c>
      <c r="D96" t="s">
        <v>1407</v>
      </c>
      <c r="E96" t="s">
        <v>1346</v>
      </c>
      <c r="F96">
        <v>1.4</v>
      </c>
    </row>
    <row r="97" spans="1:6">
      <c r="A97" t="s">
        <v>1338</v>
      </c>
      <c r="B97" t="s">
        <v>1274</v>
      </c>
      <c r="C97" t="s">
        <v>1409</v>
      </c>
      <c r="D97" t="s">
        <v>1410</v>
      </c>
      <c r="E97" t="s">
        <v>1346</v>
      </c>
      <c r="F97">
        <v>14.5</v>
      </c>
    </row>
    <row r="98" spans="1:6">
      <c r="A98" t="s">
        <v>1338</v>
      </c>
      <c r="B98" t="s">
        <v>1274</v>
      </c>
      <c r="C98" t="s">
        <v>1412</v>
      </c>
      <c r="D98" t="s">
        <v>1413</v>
      </c>
      <c r="E98" t="s">
        <v>1346</v>
      </c>
      <c r="F98">
        <v>15</v>
      </c>
    </row>
    <row r="99" spans="1:6">
      <c r="A99" t="s">
        <v>1338</v>
      </c>
      <c r="B99" t="s">
        <v>1349</v>
      </c>
      <c r="C99" t="s">
        <v>1387</v>
      </c>
      <c r="D99" t="s">
        <v>1415</v>
      </c>
      <c r="E99" t="s">
        <v>1346</v>
      </c>
      <c r="F99">
        <v>1</v>
      </c>
    </row>
    <row r="100" spans="1:6">
      <c r="A100" t="s">
        <v>1338</v>
      </c>
      <c r="B100" t="s">
        <v>1274</v>
      </c>
      <c r="C100" t="s">
        <v>1380</v>
      </c>
      <c r="D100" t="s">
        <v>1418</v>
      </c>
      <c r="E100" t="s">
        <v>1346</v>
      </c>
      <c r="F100">
        <v>5</v>
      </c>
    </row>
    <row r="101" spans="1:6">
      <c r="A101" t="s">
        <v>1338</v>
      </c>
      <c r="B101" t="s">
        <v>1349</v>
      </c>
      <c r="C101" t="s">
        <v>1384</v>
      </c>
      <c r="D101" t="s">
        <v>1392</v>
      </c>
      <c r="E101" t="s">
        <v>1346</v>
      </c>
      <c r="F101">
        <v>0.2</v>
      </c>
    </row>
    <row r="102" spans="1:6">
      <c r="A102" t="s">
        <v>1338</v>
      </c>
      <c r="B102" t="s">
        <v>1349</v>
      </c>
      <c r="C102" t="s">
        <v>1409</v>
      </c>
      <c r="D102" t="s">
        <v>1422</v>
      </c>
      <c r="E102" t="s">
        <v>1346</v>
      </c>
    </row>
    <row r="103" spans="1:6">
      <c r="A103" t="s">
        <v>1338</v>
      </c>
      <c r="B103" t="s">
        <v>1349</v>
      </c>
      <c r="C103" t="s">
        <v>1409</v>
      </c>
      <c r="D103" t="s">
        <v>1423</v>
      </c>
      <c r="E103" t="s">
        <v>1346</v>
      </c>
    </row>
    <row r="104" spans="1:6">
      <c r="A104" t="s">
        <v>150</v>
      </c>
      <c r="B104" t="s">
        <v>1274</v>
      </c>
      <c r="C104" t="s">
        <v>1425</v>
      </c>
      <c r="D104" t="s">
        <v>1426</v>
      </c>
      <c r="E104" t="s">
        <v>1346</v>
      </c>
      <c r="F104">
        <v>12.3</v>
      </c>
    </row>
    <row r="105" spans="1:6">
      <c r="A105" t="s">
        <v>1338</v>
      </c>
      <c r="B105" t="s">
        <v>1349</v>
      </c>
      <c r="C105" t="s">
        <v>1412</v>
      </c>
      <c r="D105" t="s">
        <v>1429</v>
      </c>
      <c r="E105" t="s">
        <v>1346</v>
      </c>
    </row>
    <row r="106" spans="1:6">
      <c r="A106" t="s">
        <v>1311</v>
      </c>
      <c r="B106" t="s">
        <v>1371</v>
      </c>
      <c r="C106" t="s">
        <v>1427</v>
      </c>
      <c r="D106" t="s">
        <v>1431</v>
      </c>
      <c r="E106" t="s">
        <v>1346</v>
      </c>
    </row>
    <row r="107" spans="1:6">
      <c r="A107" t="s">
        <v>1311</v>
      </c>
      <c r="B107" t="s">
        <v>1371</v>
      </c>
      <c r="C107" t="s">
        <v>1427</v>
      </c>
      <c r="D107" t="s">
        <v>1433</v>
      </c>
      <c r="E107" t="s">
        <v>1346</v>
      </c>
    </row>
    <row r="108" spans="1:6" hidden="1">
      <c r="A108" t="s">
        <v>1100</v>
      </c>
      <c r="B108" t="s">
        <v>1340</v>
      </c>
      <c r="C108" t="s">
        <v>1341</v>
      </c>
      <c r="D108" t="s">
        <v>30</v>
      </c>
      <c r="E108" t="s">
        <v>38</v>
      </c>
      <c r="F108" t="s">
        <v>1106</v>
      </c>
    </row>
    <row r="109" spans="1:6" hidden="1">
      <c r="A109" t="s">
        <v>1338</v>
      </c>
      <c r="B109" t="s">
        <v>1274</v>
      </c>
      <c r="C109" t="s">
        <v>1409</v>
      </c>
      <c r="D109" t="s">
        <v>1439</v>
      </c>
      <c r="E109" t="s">
        <v>1224</v>
      </c>
      <c r="F109">
        <v>6</v>
      </c>
    </row>
    <row r="110" spans="1:6" hidden="1">
      <c r="A110" t="s">
        <v>150</v>
      </c>
      <c r="B110" t="s">
        <v>1274</v>
      </c>
      <c r="C110" t="s">
        <v>1440</v>
      </c>
      <c r="D110" t="s">
        <v>1441</v>
      </c>
      <c r="E110" t="s">
        <v>1224</v>
      </c>
      <c r="F110">
        <v>4.2</v>
      </c>
    </row>
    <row r="111" spans="1:6" hidden="1">
      <c r="A111" t="s">
        <v>1338</v>
      </c>
      <c r="B111" t="s">
        <v>1274</v>
      </c>
      <c r="C111" t="s">
        <v>1442</v>
      </c>
      <c r="D111" t="s">
        <v>1443</v>
      </c>
      <c r="E111" t="s">
        <v>1224</v>
      </c>
      <c r="F111">
        <v>4</v>
      </c>
    </row>
    <row r="112" spans="1:6" hidden="1">
      <c r="A112" t="s">
        <v>150</v>
      </c>
      <c r="B112" t="s">
        <v>1274</v>
      </c>
      <c r="C112" t="s">
        <v>1444</v>
      </c>
      <c r="D112" t="s">
        <v>1445</v>
      </c>
      <c r="E112" t="s">
        <v>1224</v>
      </c>
      <c r="F112">
        <v>3</v>
      </c>
    </row>
    <row r="113" spans="1:6" hidden="1">
      <c r="A113" t="s">
        <v>1338</v>
      </c>
      <c r="B113" t="s">
        <v>1274</v>
      </c>
      <c r="C113" t="s">
        <v>1446</v>
      </c>
      <c r="D113" t="s">
        <v>1447</v>
      </c>
      <c r="E113" t="s">
        <v>1224</v>
      </c>
      <c r="F113">
        <v>2.5</v>
      </c>
    </row>
    <row r="114" spans="1:6" hidden="1">
      <c r="A114" t="s">
        <v>1339</v>
      </c>
      <c r="B114" t="s">
        <v>1274</v>
      </c>
      <c r="C114" t="s">
        <v>1448</v>
      </c>
      <c r="D114" t="s">
        <v>1449</v>
      </c>
      <c r="E114" t="s">
        <v>1224</v>
      </c>
      <c r="F114">
        <v>2</v>
      </c>
    </row>
    <row r="115" spans="1:6" hidden="1">
      <c r="A115" t="s">
        <v>1338</v>
      </c>
      <c r="B115" t="s">
        <v>1349</v>
      </c>
      <c r="C115" t="s">
        <v>1450</v>
      </c>
      <c r="D115" t="s">
        <v>1451</v>
      </c>
      <c r="E115" t="s">
        <v>1224</v>
      </c>
      <c r="F115">
        <v>2</v>
      </c>
    </row>
    <row r="116" spans="1:6" hidden="1">
      <c r="A116" t="s">
        <v>1338</v>
      </c>
      <c r="B116" t="s">
        <v>1349</v>
      </c>
      <c r="C116" t="s">
        <v>533</v>
      </c>
      <c r="D116" t="s">
        <v>1452</v>
      </c>
      <c r="E116" t="s">
        <v>1224</v>
      </c>
      <c r="F116">
        <v>1.7</v>
      </c>
    </row>
    <row r="117" spans="1:6" hidden="1">
      <c r="A117" t="s">
        <v>1338</v>
      </c>
      <c r="B117" t="s">
        <v>1349</v>
      </c>
      <c r="C117" t="s">
        <v>1453</v>
      </c>
      <c r="D117" t="s">
        <v>1454</v>
      </c>
      <c r="E117" t="s">
        <v>1224</v>
      </c>
      <c r="F117">
        <v>1.5</v>
      </c>
    </row>
    <row r="118" spans="1:6" hidden="1">
      <c r="A118" t="s">
        <v>1338</v>
      </c>
      <c r="B118" t="s">
        <v>1274</v>
      </c>
      <c r="C118" t="s">
        <v>1455</v>
      </c>
      <c r="D118" t="s">
        <v>1456</v>
      </c>
      <c r="E118" t="s">
        <v>1224</v>
      </c>
      <c r="F118">
        <v>1</v>
      </c>
    </row>
    <row r="119" spans="1:6" hidden="1">
      <c r="A119" t="s">
        <v>1338</v>
      </c>
      <c r="B119" t="s">
        <v>1371</v>
      </c>
      <c r="C119" t="s">
        <v>1457</v>
      </c>
      <c r="D119" t="s">
        <v>1458</v>
      </c>
      <c r="E119" t="s">
        <v>1224</v>
      </c>
      <c r="F119">
        <v>0.46</v>
      </c>
    </row>
    <row r="120" spans="1:6" hidden="1">
      <c r="A120" t="s">
        <v>1338</v>
      </c>
      <c r="B120" t="s">
        <v>1349</v>
      </c>
      <c r="C120" t="s">
        <v>1459</v>
      </c>
      <c r="D120" t="s">
        <v>1460</v>
      </c>
      <c r="E120" t="s">
        <v>1224</v>
      </c>
      <c r="F120">
        <v>1</v>
      </c>
    </row>
    <row r="121" spans="1:6" hidden="1">
      <c r="A121" t="s">
        <v>1338</v>
      </c>
      <c r="B121" t="s">
        <v>1349</v>
      </c>
      <c r="C121" t="s">
        <v>1453</v>
      </c>
      <c r="D121" t="s">
        <v>1461</v>
      </c>
      <c r="E121" t="s">
        <v>1224</v>
      </c>
      <c r="F121">
        <v>1</v>
      </c>
    </row>
    <row r="122" spans="1:6" hidden="1">
      <c r="A122" t="s">
        <v>1338</v>
      </c>
      <c r="B122" t="s">
        <v>1349</v>
      </c>
      <c r="C122" t="s">
        <v>1462</v>
      </c>
      <c r="D122" t="s">
        <v>1463</v>
      </c>
      <c r="E122" t="s">
        <v>1224</v>
      </c>
      <c r="F122">
        <v>1</v>
      </c>
    </row>
    <row r="123" spans="1:6" hidden="1">
      <c r="A123" t="s">
        <v>150</v>
      </c>
      <c r="B123" t="s">
        <v>1274</v>
      </c>
      <c r="C123" t="s">
        <v>1464</v>
      </c>
      <c r="D123" t="s">
        <v>1465</v>
      </c>
      <c r="E123" t="s">
        <v>1224</v>
      </c>
      <c r="F123">
        <v>0.9</v>
      </c>
    </row>
    <row r="124" spans="1:6" hidden="1">
      <c r="A124" t="s">
        <v>150</v>
      </c>
      <c r="B124" t="s">
        <v>1274</v>
      </c>
      <c r="C124" t="s">
        <v>1466</v>
      </c>
      <c r="D124" t="s">
        <v>1467</v>
      </c>
      <c r="E124" t="s">
        <v>1224</v>
      </c>
      <c r="F124">
        <v>0.6</v>
      </c>
    </row>
    <row r="125" spans="1:6" hidden="1">
      <c r="A125" t="s">
        <v>1311</v>
      </c>
      <c r="B125" t="s">
        <v>1371</v>
      </c>
      <c r="C125" t="s">
        <v>533</v>
      </c>
      <c r="D125" t="s">
        <v>1452</v>
      </c>
      <c r="E125" t="s">
        <v>1224</v>
      </c>
      <c r="F125">
        <v>0.4</v>
      </c>
    </row>
    <row r="126" spans="1:6" hidden="1">
      <c r="A126" t="s">
        <v>1339</v>
      </c>
      <c r="B126" t="s">
        <v>1274</v>
      </c>
      <c r="C126" t="s">
        <v>1468</v>
      </c>
      <c r="D126" t="s">
        <v>1469</v>
      </c>
      <c r="E126" t="s">
        <v>1224</v>
      </c>
      <c r="F126">
        <v>0.3</v>
      </c>
    </row>
    <row r="127" spans="1:6" hidden="1">
      <c r="A127" t="s">
        <v>1338</v>
      </c>
      <c r="B127" t="s">
        <v>1349</v>
      </c>
      <c r="C127" t="s">
        <v>1457</v>
      </c>
      <c r="D127" t="s">
        <v>1470</v>
      </c>
      <c r="E127" t="s">
        <v>1224</v>
      </c>
      <c r="F127">
        <v>0.2</v>
      </c>
    </row>
    <row r="128" spans="1:6" hidden="1">
      <c r="A128" t="s">
        <v>1338</v>
      </c>
      <c r="B128" t="s">
        <v>1349</v>
      </c>
      <c r="C128" t="s">
        <v>1384</v>
      </c>
      <c r="D128" t="s">
        <v>1471</v>
      </c>
      <c r="E128" t="s">
        <v>1224</v>
      </c>
      <c r="F128">
        <v>0.2</v>
      </c>
    </row>
    <row r="129" spans="1:6" hidden="1">
      <c r="A129" t="s">
        <v>150</v>
      </c>
      <c r="B129" t="s">
        <v>1274</v>
      </c>
      <c r="C129" t="s">
        <v>1444</v>
      </c>
      <c r="D129" t="s">
        <v>1472</v>
      </c>
      <c r="E129" t="s">
        <v>1224</v>
      </c>
      <c r="F129">
        <v>0.1</v>
      </c>
    </row>
    <row r="130" spans="1:6" hidden="1">
      <c r="A130" t="s">
        <v>150</v>
      </c>
      <c r="B130" t="s">
        <v>1274</v>
      </c>
      <c r="C130" t="s">
        <v>1440</v>
      </c>
      <c r="D130" t="s">
        <v>1473</v>
      </c>
      <c r="E130" t="s">
        <v>1224</v>
      </c>
      <c r="F130">
        <v>0.1</v>
      </c>
    </row>
    <row r="131" spans="1:6" hidden="1">
      <c r="A131" t="s">
        <v>1339</v>
      </c>
      <c r="B131" t="s">
        <v>1274</v>
      </c>
      <c r="C131" t="s">
        <v>1474</v>
      </c>
      <c r="D131" t="s">
        <v>1475</v>
      </c>
      <c r="E131" t="s">
        <v>1224</v>
      </c>
      <c r="F131">
        <v>0.1</v>
      </c>
    </row>
  </sheetData>
  <autoFilter ref="A76:F131" xr:uid="{00000000-0009-0000-0000-000006000000}">
    <filterColumn colId="4">
      <filters>
        <filter val="REF"/>
      </filters>
    </filterColumn>
  </autoFilter>
  <dataValidations count="1">
    <dataValidation type="list" allowBlank="1" showInputMessage="1" showErrorMessage="1" sqref="D34" xr:uid="{00000000-0002-0000-0600-000000000000}">
      <formula1>"P1,P2,P3,P3_ECO,P3&gt;3€/Kg,REF,BILAN,BILAN D34,BILAN CMP,ANNULE,ATT,RISQUE,RISQUE_P3"</formula1>
    </dataValidation>
  </dataValidations>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37"/>
  <dimension ref="A1:AI247"/>
  <sheetViews>
    <sheetView workbookViewId="0">
      <selection activeCell="N1" sqref="A1:XFD1048576"/>
    </sheetView>
  </sheetViews>
  <sheetFormatPr defaultColWidth="11.42578125" defaultRowHeight="14.45"/>
  <cols>
    <col min="3" max="3" width="12.85546875" bestFit="1" customWidth="1"/>
    <col min="4" max="4" width="0.85546875" customWidth="1"/>
    <col min="5" max="5" width="14.140625" bestFit="1" customWidth="1"/>
    <col min="8" max="8" width="0.85546875" customWidth="1"/>
    <col min="9" max="9" width="17" bestFit="1" customWidth="1"/>
    <col min="10" max="10" width="0.5703125" customWidth="1"/>
    <col min="11" max="11" width="14.42578125" bestFit="1" customWidth="1"/>
    <col min="12" max="12" width="0.7109375" customWidth="1"/>
    <col min="13" max="13" width="12.28515625" bestFit="1" customWidth="1"/>
    <col min="14" max="14" width="0.85546875" customWidth="1"/>
    <col min="15" max="15" width="15.42578125" bestFit="1" customWidth="1"/>
    <col min="16" max="16" width="1.140625" customWidth="1"/>
    <col min="17" max="17" width="37.28515625" bestFit="1" customWidth="1"/>
    <col min="18" max="18" width="1" customWidth="1"/>
  </cols>
  <sheetData>
    <row r="1" spans="1:35" ht="15" thickBot="1">
      <c r="A1" s="13" t="s">
        <v>1476</v>
      </c>
      <c r="B1" s="14" t="s">
        <v>1477</v>
      </c>
      <c r="C1" s="15" t="s">
        <v>1478</v>
      </c>
      <c r="E1" s="13" t="s">
        <v>1479</v>
      </c>
      <c r="F1" s="14" t="s">
        <v>1480</v>
      </c>
      <c r="G1" s="15" t="s">
        <v>1481</v>
      </c>
      <c r="I1" s="16" t="s">
        <v>1482</v>
      </c>
      <c r="K1" s="17" t="s">
        <v>1483</v>
      </c>
      <c r="M1" s="17" t="s">
        <v>1484</v>
      </c>
      <c r="O1" s="17" t="s">
        <v>1485</v>
      </c>
      <c r="Q1" s="17" t="s">
        <v>1486</v>
      </c>
      <c r="S1" s="17" t="s">
        <v>1487</v>
      </c>
      <c r="U1" s="16" t="s">
        <v>1311</v>
      </c>
      <c r="W1" s="16" t="s">
        <v>1316</v>
      </c>
      <c r="Y1" s="16" t="s">
        <v>1488</v>
      </c>
      <c r="AA1" s="16" t="s">
        <v>1317</v>
      </c>
      <c r="AC1" s="16" t="s">
        <v>1489</v>
      </c>
      <c r="AE1" s="16" t="s">
        <v>150</v>
      </c>
      <c r="AG1" s="16" t="s">
        <v>1490</v>
      </c>
      <c r="AI1" s="16" t="s">
        <v>780</v>
      </c>
    </row>
    <row r="2" spans="1:35">
      <c r="A2" s="18" t="s">
        <v>1491</v>
      </c>
      <c r="B2" s="19" t="s">
        <v>1311</v>
      </c>
      <c r="C2" s="20" t="s">
        <v>1311</v>
      </c>
      <c r="E2" s="21" t="s">
        <v>1492</v>
      </c>
      <c r="F2" t="s">
        <v>1349</v>
      </c>
      <c r="G2" s="22"/>
      <c r="I2" s="23" t="s">
        <v>1493</v>
      </c>
      <c r="K2" s="23" t="s">
        <v>1490</v>
      </c>
      <c r="M2" s="24">
        <v>1.0000000000000001E-5</v>
      </c>
      <c r="O2" s="23" t="s">
        <v>1494</v>
      </c>
      <c r="Q2" s="23" t="s">
        <v>1495</v>
      </c>
      <c r="S2" s="23" t="s">
        <v>941</v>
      </c>
      <c r="U2" s="23">
        <v>1</v>
      </c>
      <c r="W2" s="23">
        <v>4</v>
      </c>
      <c r="Y2" s="23">
        <v>7</v>
      </c>
      <c r="AA2" s="23">
        <v>10</v>
      </c>
      <c r="AC2" s="23">
        <v>1</v>
      </c>
      <c r="AE2" s="23">
        <v>1</v>
      </c>
      <c r="AG2" s="23">
        <v>1</v>
      </c>
      <c r="AI2" s="23">
        <v>1</v>
      </c>
    </row>
    <row r="3" spans="1:35">
      <c r="A3" s="21" t="s">
        <v>1496</v>
      </c>
      <c r="B3" t="s">
        <v>1489</v>
      </c>
      <c r="C3" s="22" t="s">
        <v>1489</v>
      </c>
      <c r="E3" s="21" t="s">
        <v>1497</v>
      </c>
      <c r="F3" t="s">
        <v>1274</v>
      </c>
      <c r="G3" s="22" t="s">
        <v>1498</v>
      </c>
      <c r="I3" s="23" t="s">
        <v>1499</v>
      </c>
      <c r="K3" s="23" t="s">
        <v>1500</v>
      </c>
      <c r="M3" s="24">
        <v>0.2</v>
      </c>
      <c r="O3" s="23" t="s">
        <v>1501</v>
      </c>
      <c r="Q3" s="23" t="s">
        <v>1502</v>
      </c>
      <c r="S3" s="23" t="s">
        <v>1503</v>
      </c>
      <c r="U3" s="23">
        <v>2</v>
      </c>
      <c r="W3" s="23">
        <v>5</v>
      </c>
      <c r="Y3" s="23">
        <v>8</v>
      </c>
      <c r="AA3" s="23">
        <v>11</v>
      </c>
      <c r="AC3" s="23">
        <v>2</v>
      </c>
      <c r="AE3" s="23">
        <v>2</v>
      </c>
      <c r="AG3" s="23">
        <v>2</v>
      </c>
      <c r="AI3" s="23">
        <v>2</v>
      </c>
    </row>
    <row r="4" spans="1:35" ht="15" thickBot="1">
      <c r="A4" s="21" t="s">
        <v>1504</v>
      </c>
      <c r="B4" t="s">
        <v>1338</v>
      </c>
      <c r="C4" s="22" t="s">
        <v>1505</v>
      </c>
      <c r="E4" s="21" t="s">
        <v>1506</v>
      </c>
      <c r="F4" t="s">
        <v>1274</v>
      </c>
      <c r="G4" s="22" t="s">
        <v>1498</v>
      </c>
      <c r="I4" s="23" t="s">
        <v>1507</v>
      </c>
      <c r="K4" s="23" t="s">
        <v>1311</v>
      </c>
      <c r="M4" s="24">
        <v>0.5</v>
      </c>
      <c r="O4" s="23" t="s">
        <v>1508</v>
      </c>
      <c r="Q4" s="23" t="s">
        <v>1509</v>
      </c>
      <c r="S4" s="23" t="s">
        <v>1510</v>
      </c>
      <c r="U4" s="25">
        <v>3</v>
      </c>
      <c r="W4" s="25">
        <v>6</v>
      </c>
      <c r="Y4" s="25">
        <v>9</v>
      </c>
      <c r="AA4" s="25">
        <v>12</v>
      </c>
      <c r="AC4" s="25">
        <v>3</v>
      </c>
      <c r="AE4" s="25">
        <v>3</v>
      </c>
      <c r="AG4" s="25">
        <v>3</v>
      </c>
      <c r="AI4" s="25">
        <v>3</v>
      </c>
    </row>
    <row r="5" spans="1:35" ht="15" thickBot="1">
      <c r="A5" s="21" t="s">
        <v>1511</v>
      </c>
      <c r="B5" t="s">
        <v>1489</v>
      </c>
      <c r="C5" s="22" t="s">
        <v>1489</v>
      </c>
      <c r="E5" s="21" t="s">
        <v>1512</v>
      </c>
      <c r="F5" t="s">
        <v>1274</v>
      </c>
      <c r="G5" s="22" t="s">
        <v>1498</v>
      </c>
      <c r="I5" s="23" t="s">
        <v>1513</v>
      </c>
      <c r="K5" s="23" t="s">
        <v>780</v>
      </c>
      <c r="M5" s="24">
        <v>0.8</v>
      </c>
      <c r="O5" s="23" t="s">
        <v>1514</v>
      </c>
      <c r="Q5" s="23" t="s">
        <v>1515</v>
      </c>
      <c r="S5" s="25" t="s">
        <v>1516</v>
      </c>
    </row>
    <row r="6" spans="1:35">
      <c r="A6" s="21" t="s">
        <v>1517</v>
      </c>
      <c r="B6" t="s">
        <v>780</v>
      </c>
      <c r="C6" s="22" t="s">
        <v>1518</v>
      </c>
      <c r="E6" s="21" t="s">
        <v>1519</v>
      </c>
      <c r="F6" t="s">
        <v>1274</v>
      </c>
      <c r="G6" s="22" t="s">
        <v>1498</v>
      </c>
      <c r="I6" s="23" t="s">
        <v>1520</v>
      </c>
      <c r="K6" s="23" t="s">
        <v>1489</v>
      </c>
      <c r="M6" s="24">
        <v>1</v>
      </c>
      <c r="O6" s="23" t="s">
        <v>1521</v>
      </c>
      <c r="Q6" s="23" t="s">
        <v>1522</v>
      </c>
    </row>
    <row r="7" spans="1:35">
      <c r="A7" s="21" t="s">
        <v>1523</v>
      </c>
      <c r="B7" t="s">
        <v>1524</v>
      </c>
      <c r="C7" s="22" t="s">
        <v>1524</v>
      </c>
      <c r="E7" s="21" t="s">
        <v>1525</v>
      </c>
      <c r="F7" t="s">
        <v>1274</v>
      </c>
      <c r="G7" s="22" t="s">
        <v>1498</v>
      </c>
      <c r="I7" s="23" t="s">
        <v>1526</v>
      </c>
      <c r="K7" s="23" t="s">
        <v>150</v>
      </c>
      <c r="M7" s="23" t="s">
        <v>1527</v>
      </c>
      <c r="O7" s="23" t="s">
        <v>1528</v>
      </c>
      <c r="Q7" s="23" t="s">
        <v>1529</v>
      </c>
    </row>
    <row r="8" spans="1:35" ht="15" thickBot="1">
      <c r="A8" s="21" t="s">
        <v>1530</v>
      </c>
      <c r="B8" t="s">
        <v>1489</v>
      </c>
      <c r="C8" s="22" t="s">
        <v>1518</v>
      </c>
      <c r="E8" s="21" t="s">
        <v>1531</v>
      </c>
      <c r="F8" t="s">
        <v>1274</v>
      </c>
      <c r="G8" s="22" t="s">
        <v>1498</v>
      </c>
      <c r="I8" s="23" t="s">
        <v>1532</v>
      </c>
      <c r="K8" s="23" t="s">
        <v>1316</v>
      </c>
      <c r="M8" s="25" t="s">
        <v>1533</v>
      </c>
      <c r="O8" s="23" t="s">
        <v>1534</v>
      </c>
      <c r="Q8" s="23" t="s">
        <v>1535</v>
      </c>
    </row>
    <row r="9" spans="1:35" ht="15" thickBot="1">
      <c r="A9" s="21" t="s">
        <v>1536</v>
      </c>
      <c r="B9" t="s">
        <v>1524</v>
      </c>
      <c r="C9" s="22" t="s">
        <v>1524</v>
      </c>
      <c r="E9" s="21" t="s">
        <v>1537</v>
      </c>
      <c r="F9" t="s">
        <v>1274</v>
      </c>
      <c r="G9" s="22" t="s">
        <v>1498</v>
      </c>
      <c r="I9" s="23" t="s">
        <v>1538</v>
      </c>
      <c r="K9" s="23" t="s">
        <v>1488</v>
      </c>
      <c r="O9" s="23" t="s">
        <v>1539</v>
      </c>
      <c r="Q9" s="23" t="s">
        <v>1540</v>
      </c>
      <c r="S9" s="17"/>
    </row>
    <row r="10" spans="1:35">
      <c r="A10" s="21" t="s">
        <v>1541</v>
      </c>
      <c r="B10" t="s">
        <v>150</v>
      </c>
      <c r="C10" s="22" t="s">
        <v>150</v>
      </c>
      <c r="E10" s="21" t="s">
        <v>1542</v>
      </c>
      <c r="F10" t="s">
        <v>1274</v>
      </c>
      <c r="G10" s="22" t="s">
        <v>1498</v>
      </c>
      <c r="I10" s="23" t="s">
        <v>1543</v>
      </c>
      <c r="K10" s="23" t="s">
        <v>1317</v>
      </c>
      <c r="O10" s="23" t="s">
        <v>1544</v>
      </c>
      <c r="Q10" s="23" t="s">
        <v>1545</v>
      </c>
    </row>
    <row r="11" spans="1:35" ht="15" thickBot="1">
      <c r="A11" s="21" t="s">
        <v>1546</v>
      </c>
      <c r="B11" t="s">
        <v>1311</v>
      </c>
      <c r="C11" s="22" t="s">
        <v>1311</v>
      </c>
      <c r="E11" s="21" t="s">
        <v>1547</v>
      </c>
      <c r="F11" t="s">
        <v>1274</v>
      </c>
      <c r="G11" s="22" t="s">
        <v>1498</v>
      </c>
      <c r="I11" s="23" t="s">
        <v>1548</v>
      </c>
      <c r="K11" s="23" t="s">
        <v>1549</v>
      </c>
      <c r="O11" s="25" t="s">
        <v>1550</v>
      </c>
      <c r="Q11" s="23" t="s">
        <v>1551</v>
      </c>
    </row>
    <row r="12" spans="1:35" ht="15" thickBot="1">
      <c r="A12" s="21" t="s">
        <v>1552</v>
      </c>
      <c r="B12" t="s">
        <v>1338</v>
      </c>
      <c r="C12" s="22" t="s">
        <v>1553</v>
      </c>
      <c r="E12" s="21" t="s">
        <v>1554</v>
      </c>
      <c r="F12" t="s">
        <v>1274</v>
      </c>
      <c r="G12" s="22" t="s">
        <v>1498</v>
      </c>
      <c r="I12" s="23" t="s">
        <v>1555</v>
      </c>
      <c r="K12" s="25" t="s">
        <v>1556</v>
      </c>
      <c r="O12" t="s">
        <v>1557</v>
      </c>
      <c r="Q12" s="23" t="s">
        <v>1558</v>
      </c>
    </row>
    <row r="13" spans="1:35" ht="15" thickBot="1">
      <c r="A13" s="21" t="s">
        <v>1559</v>
      </c>
      <c r="B13" t="s">
        <v>150</v>
      </c>
      <c r="C13" s="22" t="s">
        <v>150</v>
      </c>
      <c r="E13" s="21" t="s">
        <v>1560</v>
      </c>
      <c r="F13" t="s">
        <v>1274</v>
      </c>
      <c r="G13" s="22" t="s">
        <v>1498</v>
      </c>
      <c r="I13" s="25" t="s">
        <v>1561</v>
      </c>
      <c r="O13" t="s">
        <v>1562</v>
      </c>
      <c r="Q13" s="23" t="s">
        <v>1563</v>
      </c>
    </row>
    <row r="14" spans="1:35">
      <c r="A14" s="21" t="s">
        <v>1564</v>
      </c>
      <c r="B14" t="s">
        <v>150</v>
      </c>
      <c r="C14" s="22" t="s">
        <v>150</v>
      </c>
      <c r="E14" s="21" t="s">
        <v>1565</v>
      </c>
      <c r="F14" t="s">
        <v>1274</v>
      </c>
      <c r="G14" s="22" t="s">
        <v>1498</v>
      </c>
      <c r="O14" t="s">
        <v>1566</v>
      </c>
      <c r="Q14" s="23" t="s">
        <v>1567</v>
      </c>
    </row>
    <row r="15" spans="1:35">
      <c r="A15" s="21" t="s">
        <v>1568</v>
      </c>
      <c r="B15" t="s">
        <v>1338</v>
      </c>
      <c r="C15" s="22" t="s">
        <v>1505</v>
      </c>
      <c r="E15" s="21" t="s">
        <v>1569</v>
      </c>
      <c r="F15" t="s">
        <v>1274</v>
      </c>
      <c r="G15" s="22" t="s">
        <v>1498</v>
      </c>
      <c r="O15" t="s">
        <v>1570</v>
      </c>
      <c r="Q15" s="23" t="s">
        <v>1571</v>
      </c>
    </row>
    <row r="16" spans="1:35">
      <c r="A16" s="21" t="s">
        <v>1572</v>
      </c>
      <c r="B16" t="s">
        <v>150</v>
      </c>
      <c r="C16" s="22" t="s">
        <v>150</v>
      </c>
      <c r="E16" s="21" t="s">
        <v>1573</v>
      </c>
      <c r="F16" t="s">
        <v>1357</v>
      </c>
      <c r="G16" s="22" t="s">
        <v>1498</v>
      </c>
      <c r="O16" t="s">
        <v>1574</v>
      </c>
      <c r="Q16" s="23" t="s">
        <v>1575</v>
      </c>
    </row>
    <row r="17" spans="1:17">
      <c r="A17" s="21" t="s">
        <v>1576</v>
      </c>
      <c r="B17" t="s">
        <v>1524</v>
      </c>
      <c r="C17" s="22" t="s">
        <v>1524</v>
      </c>
      <c r="E17" s="21" t="s">
        <v>1577</v>
      </c>
      <c r="F17" t="s">
        <v>1274</v>
      </c>
      <c r="G17" s="22" t="s">
        <v>1498</v>
      </c>
      <c r="O17" t="s">
        <v>1578</v>
      </c>
      <c r="Q17" s="23" t="s">
        <v>1579</v>
      </c>
    </row>
    <row r="18" spans="1:17">
      <c r="A18" s="21" t="s">
        <v>1580</v>
      </c>
      <c r="B18" t="s">
        <v>780</v>
      </c>
      <c r="C18" s="22" t="s">
        <v>1518</v>
      </c>
      <c r="E18" s="21" t="s">
        <v>1581</v>
      </c>
      <c r="F18" t="s">
        <v>1371</v>
      </c>
      <c r="G18" s="22" t="s">
        <v>1582</v>
      </c>
      <c r="O18" t="s">
        <v>1583</v>
      </c>
      <c r="Q18" s="23" t="s">
        <v>1584</v>
      </c>
    </row>
    <row r="19" spans="1:17">
      <c r="A19" s="21" t="s">
        <v>1585</v>
      </c>
      <c r="B19" t="s">
        <v>1338</v>
      </c>
      <c r="C19" s="22" t="s">
        <v>1553</v>
      </c>
      <c r="E19" s="21" t="s">
        <v>1586</v>
      </c>
      <c r="F19" t="s">
        <v>1274</v>
      </c>
      <c r="G19" s="22" t="s">
        <v>1498</v>
      </c>
      <c r="O19" t="s">
        <v>1587</v>
      </c>
      <c r="Q19" s="23" t="s">
        <v>1588</v>
      </c>
    </row>
    <row r="20" spans="1:17">
      <c r="A20" s="21" t="s">
        <v>1589</v>
      </c>
      <c r="B20" t="s">
        <v>1338</v>
      </c>
      <c r="C20" s="22" t="s">
        <v>1505</v>
      </c>
      <c r="E20" s="21" t="s">
        <v>1590</v>
      </c>
      <c r="F20" t="s">
        <v>1274</v>
      </c>
      <c r="G20" s="22" t="s">
        <v>1498</v>
      </c>
      <c r="O20" t="s">
        <v>1591</v>
      </c>
      <c r="Q20" s="23" t="s">
        <v>1592</v>
      </c>
    </row>
    <row r="21" spans="1:17">
      <c r="A21" s="21" t="s">
        <v>1593</v>
      </c>
      <c r="B21" t="s">
        <v>1490</v>
      </c>
      <c r="C21" s="22" t="s">
        <v>1594</v>
      </c>
      <c r="E21" s="21" t="s">
        <v>1595</v>
      </c>
      <c r="F21" t="s">
        <v>1274</v>
      </c>
      <c r="G21" s="22" t="s">
        <v>1498</v>
      </c>
      <c r="O21" t="s">
        <v>1596</v>
      </c>
      <c r="Q21" s="23" t="s">
        <v>1597</v>
      </c>
    </row>
    <row r="22" spans="1:17">
      <c r="A22" s="21" t="s">
        <v>1598</v>
      </c>
      <c r="B22" t="s">
        <v>1524</v>
      </c>
      <c r="C22" s="22" t="s">
        <v>1524</v>
      </c>
      <c r="E22" s="21" t="s">
        <v>1599</v>
      </c>
      <c r="F22" t="s">
        <v>1274</v>
      </c>
      <c r="G22" s="22" t="s">
        <v>1498</v>
      </c>
      <c r="O22" t="s">
        <v>1600</v>
      </c>
      <c r="Q22" s="23" t="s">
        <v>1601</v>
      </c>
    </row>
    <row r="23" spans="1:17">
      <c r="A23" s="21" t="s">
        <v>1602</v>
      </c>
      <c r="B23" t="s">
        <v>1338</v>
      </c>
      <c r="C23" s="22" t="s">
        <v>1553</v>
      </c>
      <c r="E23" s="21" t="s">
        <v>1603</v>
      </c>
      <c r="F23" t="s">
        <v>1274</v>
      </c>
      <c r="G23" s="22" t="s">
        <v>1498</v>
      </c>
      <c r="O23" t="s">
        <v>1604</v>
      </c>
      <c r="Q23" s="23" t="s">
        <v>1605</v>
      </c>
    </row>
    <row r="24" spans="1:17">
      <c r="A24" s="21"/>
      <c r="C24" s="22"/>
      <c r="E24" s="21" t="s">
        <v>1606</v>
      </c>
      <c r="F24" t="s">
        <v>1371</v>
      </c>
      <c r="G24" s="22" t="s">
        <v>1582</v>
      </c>
      <c r="Q24" s="23" t="s">
        <v>1607</v>
      </c>
    </row>
    <row r="25" spans="1:17" ht="15" thickBot="1">
      <c r="A25" s="26" t="s">
        <v>1549</v>
      </c>
      <c r="B25" s="27" t="s">
        <v>1524</v>
      </c>
      <c r="C25" s="28"/>
      <c r="E25" s="21" t="s">
        <v>1608</v>
      </c>
      <c r="F25" t="s">
        <v>1371</v>
      </c>
      <c r="G25" s="22" t="s">
        <v>1582</v>
      </c>
      <c r="Q25" s="23" t="s">
        <v>1609</v>
      </c>
    </row>
    <row r="26" spans="1:17">
      <c r="E26" s="21" t="s">
        <v>1610</v>
      </c>
      <c r="F26" t="s">
        <v>1274</v>
      </c>
      <c r="G26" s="22" t="s">
        <v>1498</v>
      </c>
      <c r="Q26" s="23" t="s">
        <v>1611</v>
      </c>
    </row>
    <row r="27" spans="1:17">
      <c r="E27" s="21" t="s">
        <v>1612</v>
      </c>
      <c r="F27" t="s">
        <v>1274</v>
      </c>
      <c r="G27" s="22" t="s">
        <v>1498</v>
      </c>
      <c r="Q27" s="23" t="s">
        <v>1613</v>
      </c>
    </row>
    <row r="28" spans="1:17">
      <c r="E28" s="21" t="s">
        <v>1614</v>
      </c>
      <c r="F28" t="s">
        <v>1371</v>
      </c>
      <c r="G28" s="22" t="s">
        <v>1582</v>
      </c>
      <c r="Q28" s="23" t="s">
        <v>1615</v>
      </c>
    </row>
    <row r="29" spans="1:17">
      <c r="E29" s="21" t="s">
        <v>1616</v>
      </c>
      <c r="F29" t="s">
        <v>1371</v>
      </c>
      <c r="G29" s="22" t="s">
        <v>1582</v>
      </c>
      <c r="Q29" s="23" t="s">
        <v>1617</v>
      </c>
    </row>
    <row r="30" spans="1:17">
      <c r="E30" s="21" t="s">
        <v>1618</v>
      </c>
      <c r="F30" t="s">
        <v>1371</v>
      </c>
      <c r="G30" s="22" t="s">
        <v>1491</v>
      </c>
      <c r="Q30" s="23" t="s">
        <v>1619</v>
      </c>
    </row>
    <row r="31" spans="1:17">
      <c r="E31" s="21" t="s">
        <v>1620</v>
      </c>
      <c r="F31" t="s">
        <v>1371</v>
      </c>
      <c r="G31" s="22" t="s">
        <v>1621</v>
      </c>
      <c r="Q31" s="23" t="s">
        <v>1622</v>
      </c>
    </row>
    <row r="32" spans="1:17">
      <c r="E32" s="21" t="s">
        <v>1623</v>
      </c>
      <c r="F32" t="s">
        <v>1371</v>
      </c>
      <c r="G32" s="22" t="s">
        <v>1582</v>
      </c>
      <c r="Q32" s="23" t="s">
        <v>1624</v>
      </c>
    </row>
    <row r="33" spans="5:17">
      <c r="E33" s="21" t="s">
        <v>1625</v>
      </c>
      <c r="F33" t="s">
        <v>1371</v>
      </c>
      <c r="G33" s="22" t="s">
        <v>1582</v>
      </c>
      <c r="Q33" s="23" t="s">
        <v>1626</v>
      </c>
    </row>
    <row r="34" spans="5:17">
      <c r="E34" s="21" t="s">
        <v>1627</v>
      </c>
      <c r="F34" t="s">
        <v>1371</v>
      </c>
      <c r="G34" s="22" t="s">
        <v>1582</v>
      </c>
      <c r="Q34" s="23" t="s">
        <v>1628</v>
      </c>
    </row>
    <row r="35" spans="5:17">
      <c r="E35" s="21" t="s">
        <v>1629</v>
      </c>
      <c r="F35" t="s">
        <v>1371</v>
      </c>
      <c r="G35" s="22" t="s">
        <v>1372</v>
      </c>
      <c r="Q35" s="23" t="s">
        <v>1630</v>
      </c>
    </row>
    <row r="36" spans="5:17">
      <c r="E36" s="21" t="s">
        <v>1631</v>
      </c>
      <c r="F36" t="s">
        <v>1371</v>
      </c>
      <c r="G36" s="22" t="s">
        <v>1372</v>
      </c>
      <c r="Q36" s="23" t="s">
        <v>1632</v>
      </c>
    </row>
    <row r="37" spans="5:17">
      <c r="E37" s="21" t="s">
        <v>1633</v>
      </c>
      <c r="F37" t="s">
        <v>1371</v>
      </c>
      <c r="G37" s="22" t="s">
        <v>291</v>
      </c>
      <c r="Q37" s="23" t="s">
        <v>1634</v>
      </c>
    </row>
    <row r="38" spans="5:17">
      <c r="E38" s="21" t="s">
        <v>1635</v>
      </c>
      <c r="F38" t="s">
        <v>1371</v>
      </c>
      <c r="G38" s="22" t="s">
        <v>1636</v>
      </c>
      <c r="Q38" s="23" t="s">
        <v>1637</v>
      </c>
    </row>
    <row r="39" spans="5:17">
      <c r="E39" s="21" t="s">
        <v>1638</v>
      </c>
      <c r="F39" t="s">
        <v>1371</v>
      </c>
      <c r="G39" s="22" t="s">
        <v>1582</v>
      </c>
      <c r="Q39" s="23" t="s">
        <v>1639</v>
      </c>
    </row>
    <row r="40" spans="5:17">
      <c r="E40" s="21" t="s">
        <v>1640</v>
      </c>
      <c r="F40" t="s">
        <v>1371</v>
      </c>
      <c r="G40" s="22" t="s">
        <v>1636</v>
      </c>
      <c r="Q40" s="23" t="s">
        <v>1641</v>
      </c>
    </row>
    <row r="41" spans="5:17">
      <c r="E41" s="21" t="s">
        <v>1642</v>
      </c>
      <c r="F41" t="s">
        <v>1371</v>
      </c>
      <c r="G41" s="22" t="s">
        <v>1372</v>
      </c>
      <c r="Q41" s="23" t="s">
        <v>1643</v>
      </c>
    </row>
    <row r="42" spans="5:17">
      <c r="E42" s="21" t="s">
        <v>1644</v>
      </c>
      <c r="F42" t="s">
        <v>1357</v>
      </c>
      <c r="G42" s="22" t="s">
        <v>1498</v>
      </c>
      <c r="Q42" s="23" t="s">
        <v>1645</v>
      </c>
    </row>
    <row r="43" spans="5:17">
      <c r="E43" s="21" t="s">
        <v>1646</v>
      </c>
      <c r="F43" t="s">
        <v>1357</v>
      </c>
      <c r="G43" s="22" t="s">
        <v>1498</v>
      </c>
      <c r="Q43" s="23" t="s">
        <v>1647</v>
      </c>
    </row>
    <row r="44" spans="5:17">
      <c r="E44" s="21" t="s">
        <v>1648</v>
      </c>
      <c r="F44" t="s">
        <v>1357</v>
      </c>
      <c r="G44" s="22" t="s">
        <v>1498</v>
      </c>
      <c r="Q44" s="23" t="s">
        <v>1649</v>
      </c>
    </row>
    <row r="45" spans="5:17">
      <c r="E45" s="21" t="s">
        <v>1650</v>
      </c>
      <c r="F45" t="s">
        <v>1357</v>
      </c>
      <c r="G45" s="22" t="s">
        <v>1498</v>
      </c>
      <c r="Q45" s="23" t="s">
        <v>1651</v>
      </c>
    </row>
    <row r="46" spans="5:17">
      <c r="E46" s="21" t="s">
        <v>1652</v>
      </c>
      <c r="F46" t="s">
        <v>1357</v>
      </c>
      <c r="G46" s="22" t="s">
        <v>1498</v>
      </c>
      <c r="Q46" s="23" t="s">
        <v>1653</v>
      </c>
    </row>
    <row r="47" spans="5:17">
      <c r="E47" s="21" t="s">
        <v>1654</v>
      </c>
      <c r="F47" t="s">
        <v>1357</v>
      </c>
      <c r="G47" s="22" t="s">
        <v>1498</v>
      </c>
      <c r="Q47" s="23" t="s">
        <v>1655</v>
      </c>
    </row>
    <row r="48" spans="5:17">
      <c r="E48" s="21" t="s">
        <v>1656</v>
      </c>
      <c r="F48" t="s">
        <v>1357</v>
      </c>
      <c r="G48" s="22" t="s">
        <v>1498</v>
      </c>
      <c r="Q48" s="23" t="s">
        <v>1657</v>
      </c>
    </row>
    <row r="49" spans="5:17">
      <c r="E49" s="21" t="s">
        <v>1658</v>
      </c>
      <c r="F49" t="s">
        <v>1357</v>
      </c>
      <c r="G49" s="22" t="s">
        <v>1498</v>
      </c>
      <c r="Q49" s="23" t="s">
        <v>1659</v>
      </c>
    </row>
    <row r="50" spans="5:17">
      <c r="E50" s="21" t="s">
        <v>1660</v>
      </c>
      <c r="F50" t="s">
        <v>1357</v>
      </c>
      <c r="G50" s="22" t="s">
        <v>1498</v>
      </c>
      <c r="Q50" s="23" t="s">
        <v>1661</v>
      </c>
    </row>
    <row r="51" spans="5:17">
      <c r="E51" s="21" t="s">
        <v>1662</v>
      </c>
      <c r="F51" t="s">
        <v>1357</v>
      </c>
      <c r="G51" s="22" t="s">
        <v>1498</v>
      </c>
      <c r="Q51" s="23" t="s">
        <v>1663</v>
      </c>
    </row>
    <row r="52" spans="5:17">
      <c r="E52" s="21" t="s">
        <v>1664</v>
      </c>
      <c r="F52" t="s">
        <v>1357</v>
      </c>
      <c r="G52" s="22" t="s">
        <v>1498</v>
      </c>
      <c r="Q52" s="23" t="s">
        <v>1665</v>
      </c>
    </row>
    <row r="53" spans="5:17">
      <c r="E53" s="21" t="s">
        <v>1666</v>
      </c>
      <c r="F53" t="s">
        <v>1357</v>
      </c>
      <c r="G53" s="22" t="s">
        <v>1498</v>
      </c>
      <c r="Q53" s="23" t="s">
        <v>1667</v>
      </c>
    </row>
    <row r="54" spans="5:17">
      <c r="E54" s="21" t="s">
        <v>1668</v>
      </c>
      <c r="F54" t="s">
        <v>1357</v>
      </c>
      <c r="G54" s="22" t="s">
        <v>1498</v>
      </c>
      <c r="Q54" s="23" t="s">
        <v>1669</v>
      </c>
    </row>
    <row r="55" spans="5:17">
      <c r="E55" s="21" t="s">
        <v>1670</v>
      </c>
      <c r="F55" t="s">
        <v>1357</v>
      </c>
      <c r="G55" s="22" t="s">
        <v>1498</v>
      </c>
      <c r="Q55" s="23" t="s">
        <v>1671</v>
      </c>
    </row>
    <row r="56" spans="5:17">
      <c r="E56" s="21" t="s">
        <v>1672</v>
      </c>
      <c r="F56" t="s">
        <v>1357</v>
      </c>
      <c r="G56" s="22" t="s">
        <v>1498</v>
      </c>
      <c r="Q56" s="23" t="s">
        <v>1673</v>
      </c>
    </row>
    <row r="57" spans="5:17">
      <c r="E57" s="21" t="s">
        <v>1674</v>
      </c>
      <c r="F57" t="s">
        <v>1357</v>
      </c>
      <c r="G57" s="22" t="s">
        <v>1498</v>
      </c>
      <c r="Q57" s="23" t="s">
        <v>1675</v>
      </c>
    </row>
    <row r="58" spans="5:17">
      <c r="E58" s="21" t="s">
        <v>1676</v>
      </c>
      <c r="F58" t="s">
        <v>1357</v>
      </c>
      <c r="G58" s="22" t="s">
        <v>1498</v>
      </c>
      <c r="Q58" s="23" t="s">
        <v>1677</v>
      </c>
    </row>
    <row r="59" spans="5:17">
      <c r="E59" s="21" t="s">
        <v>1678</v>
      </c>
      <c r="F59" t="s">
        <v>1357</v>
      </c>
      <c r="G59" s="22" t="s">
        <v>1498</v>
      </c>
      <c r="Q59" s="23" t="s">
        <v>1679</v>
      </c>
    </row>
    <row r="60" spans="5:17">
      <c r="E60" s="21" t="s">
        <v>1680</v>
      </c>
      <c r="F60" t="s">
        <v>1357</v>
      </c>
      <c r="G60" s="22" t="s">
        <v>1498</v>
      </c>
      <c r="Q60" s="23" t="s">
        <v>1681</v>
      </c>
    </row>
    <row r="61" spans="5:17">
      <c r="E61" s="21" t="s">
        <v>1682</v>
      </c>
      <c r="F61" t="s">
        <v>1357</v>
      </c>
      <c r="G61" s="22" t="s">
        <v>1498</v>
      </c>
      <c r="Q61" s="23" t="s">
        <v>1683</v>
      </c>
    </row>
    <row r="62" spans="5:17">
      <c r="E62" s="21" t="s">
        <v>1684</v>
      </c>
      <c r="F62" t="s">
        <v>1357</v>
      </c>
      <c r="G62" s="22" t="s">
        <v>1498</v>
      </c>
      <c r="Q62" s="23" t="s">
        <v>1685</v>
      </c>
    </row>
    <row r="63" spans="5:17">
      <c r="E63" s="21" t="s">
        <v>1686</v>
      </c>
      <c r="F63" t="s">
        <v>1357</v>
      </c>
      <c r="G63" s="22" t="s">
        <v>1498</v>
      </c>
      <c r="Q63" s="23" t="s">
        <v>1687</v>
      </c>
    </row>
    <row r="64" spans="5:17">
      <c r="E64" s="21" t="s">
        <v>1688</v>
      </c>
      <c r="F64" t="s">
        <v>1357</v>
      </c>
      <c r="G64" s="22" t="s">
        <v>1498</v>
      </c>
      <c r="Q64" s="23" t="s">
        <v>1689</v>
      </c>
    </row>
    <row r="65" spans="5:17">
      <c r="E65" s="21" t="s">
        <v>1690</v>
      </c>
      <c r="F65" t="s">
        <v>1371</v>
      </c>
      <c r="G65" s="22" t="s">
        <v>1691</v>
      </c>
      <c r="Q65" s="23" t="s">
        <v>1692</v>
      </c>
    </row>
    <row r="66" spans="5:17">
      <c r="E66" s="21" t="s">
        <v>1693</v>
      </c>
      <c r="F66" t="s">
        <v>1371</v>
      </c>
      <c r="G66" s="22" t="s">
        <v>1691</v>
      </c>
      <c r="Q66" s="23" t="s">
        <v>1694</v>
      </c>
    </row>
    <row r="67" spans="5:17">
      <c r="E67" s="21" t="s">
        <v>1695</v>
      </c>
      <c r="F67" t="s">
        <v>1371</v>
      </c>
      <c r="G67" s="22" t="s">
        <v>1691</v>
      </c>
      <c r="Q67" s="23" t="s">
        <v>1696</v>
      </c>
    </row>
    <row r="68" spans="5:17">
      <c r="E68" s="21" t="s">
        <v>1697</v>
      </c>
      <c r="F68" t="s">
        <v>1371</v>
      </c>
      <c r="G68" s="22" t="s">
        <v>1691</v>
      </c>
      <c r="Q68" s="23" t="s">
        <v>1698</v>
      </c>
    </row>
    <row r="69" spans="5:17">
      <c r="E69" s="21" t="s">
        <v>1699</v>
      </c>
      <c r="F69" t="s">
        <v>1371</v>
      </c>
      <c r="G69" s="22" t="s">
        <v>291</v>
      </c>
      <c r="Q69" s="23" t="s">
        <v>1700</v>
      </c>
    </row>
    <row r="70" spans="5:17">
      <c r="E70" s="21" t="s">
        <v>1701</v>
      </c>
      <c r="F70" t="s">
        <v>1371</v>
      </c>
      <c r="G70" s="22" t="s">
        <v>291</v>
      </c>
      <c r="Q70" s="23" t="s">
        <v>1702</v>
      </c>
    </row>
    <row r="71" spans="5:17">
      <c r="E71" s="21" t="s">
        <v>1703</v>
      </c>
      <c r="F71" t="s">
        <v>1371</v>
      </c>
      <c r="G71" s="22" t="s">
        <v>1582</v>
      </c>
      <c r="Q71" s="23" t="s">
        <v>1704</v>
      </c>
    </row>
    <row r="72" spans="5:17">
      <c r="E72" s="21" t="s">
        <v>1705</v>
      </c>
      <c r="F72" t="s">
        <v>1371</v>
      </c>
      <c r="G72" s="22" t="s">
        <v>1582</v>
      </c>
      <c r="Q72" s="23" t="s">
        <v>1706</v>
      </c>
    </row>
    <row r="73" spans="5:17">
      <c r="E73" s="21" t="s">
        <v>1707</v>
      </c>
      <c r="F73" t="s">
        <v>1371</v>
      </c>
      <c r="G73" s="22" t="s">
        <v>1636</v>
      </c>
      <c r="Q73" s="23" t="s">
        <v>1708</v>
      </c>
    </row>
    <row r="74" spans="5:17">
      <c r="E74" s="21" t="s">
        <v>1709</v>
      </c>
      <c r="F74" t="s">
        <v>1274</v>
      </c>
      <c r="G74" s="22" t="s">
        <v>1498</v>
      </c>
      <c r="Q74" s="23" t="s">
        <v>1710</v>
      </c>
    </row>
    <row r="75" spans="5:17">
      <c r="E75" s="21" t="s">
        <v>1711</v>
      </c>
      <c r="F75" t="s">
        <v>1274</v>
      </c>
      <c r="G75" s="22" t="s">
        <v>1498</v>
      </c>
      <c r="Q75" s="23" t="s">
        <v>1712</v>
      </c>
    </row>
    <row r="76" spans="5:17">
      <c r="E76" s="21" t="s">
        <v>1713</v>
      </c>
      <c r="F76" t="s">
        <v>1274</v>
      </c>
      <c r="G76" s="22" t="s">
        <v>1498</v>
      </c>
      <c r="Q76" s="23" t="s">
        <v>1714</v>
      </c>
    </row>
    <row r="77" spans="5:17">
      <c r="E77" s="21" t="s">
        <v>1715</v>
      </c>
      <c r="F77" t="s">
        <v>1274</v>
      </c>
      <c r="G77" s="22" t="s">
        <v>1498</v>
      </c>
      <c r="Q77" s="23" t="s">
        <v>1716</v>
      </c>
    </row>
    <row r="78" spans="5:17">
      <c r="E78" s="21" t="s">
        <v>1717</v>
      </c>
      <c r="F78" t="s">
        <v>1274</v>
      </c>
      <c r="G78" s="22" t="s">
        <v>1498</v>
      </c>
      <c r="Q78" s="23" t="s">
        <v>1718</v>
      </c>
    </row>
    <row r="79" spans="5:17">
      <c r="E79" s="21" t="s">
        <v>1719</v>
      </c>
      <c r="F79" t="s">
        <v>1274</v>
      </c>
      <c r="G79" s="22" t="s">
        <v>1498</v>
      </c>
      <c r="Q79" s="23" t="s">
        <v>1720</v>
      </c>
    </row>
    <row r="80" spans="5:17">
      <c r="E80" s="21" t="s">
        <v>1721</v>
      </c>
      <c r="F80" t="s">
        <v>1274</v>
      </c>
      <c r="G80" s="22" t="s">
        <v>1498</v>
      </c>
      <c r="Q80" s="23" t="s">
        <v>1722</v>
      </c>
    </row>
    <row r="81" spans="5:17">
      <c r="E81" s="21" t="s">
        <v>1723</v>
      </c>
      <c r="F81" t="s">
        <v>1274</v>
      </c>
      <c r="G81" s="22" t="s">
        <v>1498</v>
      </c>
      <c r="Q81" s="23" t="s">
        <v>1724</v>
      </c>
    </row>
    <row r="82" spans="5:17">
      <c r="E82" s="21" t="s">
        <v>1725</v>
      </c>
      <c r="F82" t="s">
        <v>1274</v>
      </c>
      <c r="G82" s="22" t="s">
        <v>1498</v>
      </c>
      <c r="Q82" s="23" t="s">
        <v>1726</v>
      </c>
    </row>
    <row r="83" spans="5:17">
      <c r="E83" s="21" t="s">
        <v>1727</v>
      </c>
      <c r="F83" t="s">
        <v>1274</v>
      </c>
      <c r="G83" s="22" t="s">
        <v>1498</v>
      </c>
      <c r="Q83" s="23" t="s">
        <v>1728</v>
      </c>
    </row>
    <row r="84" spans="5:17">
      <c r="E84" s="21" t="s">
        <v>1729</v>
      </c>
      <c r="F84" t="s">
        <v>1274</v>
      </c>
      <c r="G84" s="22" t="s">
        <v>1498</v>
      </c>
      <c r="Q84" s="23" t="s">
        <v>1730</v>
      </c>
    </row>
    <row r="85" spans="5:17">
      <c r="E85" s="21" t="s">
        <v>1731</v>
      </c>
      <c r="F85" t="s">
        <v>1274</v>
      </c>
      <c r="G85" s="22" t="s">
        <v>1498</v>
      </c>
      <c r="Q85" s="23" t="s">
        <v>1732</v>
      </c>
    </row>
    <row r="86" spans="5:17">
      <c r="E86" s="21" t="s">
        <v>1733</v>
      </c>
      <c r="F86" t="s">
        <v>1274</v>
      </c>
      <c r="G86" s="22" t="s">
        <v>1498</v>
      </c>
      <c r="Q86" s="23" t="s">
        <v>1734</v>
      </c>
    </row>
    <row r="87" spans="5:17">
      <c r="E87" s="21" t="s">
        <v>1735</v>
      </c>
      <c r="F87" t="s">
        <v>1274</v>
      </c>
      <c r="G87" s="22" t="s">
        <v>1498</v>
      </c>
      <c r="Q87" s="23" t="s">
        <v>1736</v>
      </c>
    </row>
    <row r="88" spans="5:17">
      <c r="E88" s="21" t="s">
        <v>1737</v>
      </c>
      <c r="F88" t="s">
        <v>1274</v>
      </c>
      <c r="G88" s="22" t="s">
        <v>1498</v>
      </c>
      <c r="Q88" s="23" t="s">
        <v>1738</v>
      </c>
    </row>
    <row r="89" spans="5:17">
      <c r="E89" s="21" t="s">
        <v>1739</v>
      </c>
      <c r="F89" t="s">
        <v>1349</v>
      </c>
      <c r="G89" s="22" t="s">
        <v>1498</v>
      </c>
      <c r="Q89" s="23" t="s">
        <v>1740</v>
      </c>
    </row>
    <row r="90" spans="5:17">
      <c r="E90" s="21" t="s">
        <v>1741</v>
      </c>
      <c r="F90" t="s">
        <v>1349</v>
      </c>
      <c r="G90" s="22" t="s">
        <v>1498</v>
      </c>
      <c r="Q90" s="23" t="s">
        <v>1742</v>
      </c>
    </row>
    <row r="91" spans="5:17">
      <c r="E91" s="21" t="s">
        <v>1743</v>
      </c>
      <c r="F91" t="s">
        <v>1349</v>
      </c>
      <c r="G91" s="22" t="s">
        <v>1498</v>
      </c>
      <c r="Q91" s="23" t="s">
        <v>1744</v>
      </c>
    </row>
    <row r="92" spans="5:17">
      <c r="E92" s="21" t="s">
        <v>1745</v>
      </c>
      <c r="F92" t="s">
        <v>1349</v>
      </c>
      <c r="G92" s="22" t="s">
        <v>1498</v>
      </c>
      <c r="Q92" s="23" t="s">
        <v>1746</v>
      </c>
    </row>
    <row r="93" spans="5:17">
      <c r="E93" s="21" t="s">
        <v>1747</v>
      </c>
      <c r="F93" t="s">
        <v>1349</v>
      </c>
      <c r="G93" s="22" t="s">
        <v>1498</v>
      </c>
      <c r="Q93" s="23" t="s">
        <v>1748</v>
      </c>
    </row>
    <row r="94" spans="5:17">
      <c r="E94" s="21" t="s">
        <v>1749</v>
      </c>
      <c r="F94" t="s">
        <v>1349</v>
      </c>
      <c r="G94" s="22" t="s">
        <v>1498</v>
      </c>
      <c r="Q94" s="23" t="s">
        <v>1750</v>
      </c>
    </row>
    <row r="95" spans="5:17">
      <c r="E95" s="21" t="s">
        <v>1751</v>
      </c>
      <c r="F95" t="s">
        <v>1349</v>
      </c>
      <c r="G95" s="22" t="s">
        <v>1498</v>
      </c>
      <c r="Q95" s="23" t="s">
        <v>1752</v>
      </c>
    </row>
    <row r="96" spans="5:17">
      <c r="E96" s="21" t="s">
        <v>1753</v>
      </c>
      <c r="F96" t="s">
        <v>1349</v>
      </c>
      <c r="G96" s="22" t="s">
        <v>1498</v>
      </c>
      <c r="Q96" s="23" t="s">
        <v>1754</v>
      </c>
    </row>
    <row r="97" spans="5:17">
      <c r="E97" s="21" t="s">
        <v>1755</v>
      </c>
      <c r="F97" t="s">
        <v>1349</v>
      </c>
      <c r="G97" s="22" t="s">
        <v>1498</v>
      </c>
      <c r="Q97" s="23" t="s">
        <v>1117</v>
      </c>
    </row>
    <row r="98" spans="5:17">
      <c r="E98" s="21" t="s">
        <v>1756</v>
      </c>
      <c r="F98" t="s">
        <v>1349</v>
      </c>
      <c r="G98" s="22" t="s">
        <v>1498</v>
      </c>
      <c r="Q98" s="23" t="s">
        <v>1757</v>
      </c>
    </row>
    <row r="99" spans="5:17" ht="15" thickBot="1">
      <c r="E99" s="26" t="s">
        <v>1758</v>
      </c>
      <c r="F99" s="27" t="s">
        <v>1349</v>
      </c>
      <c r="G99" s="28" t="s">
        <v>1498</v>
      </c>
      <c r="Q99" s="23" t="s">
        <v>1759</v>
      </c>
    </row>
    <row r="100" spans="5:17">
      <c r="Q100" s="23" t="s">
        <v>1760</v>
      </c>
    </row>
    <row r="101" spans="5:17">
      <c r="Q101" s="23" t="s">
        <v>1761</v>
      </c>
    </row>
    <row r="102" spans="5:17">
      <c r="Q102" s="23" t="s">
        <v>1762</v>
      </c>
    </row>
    <row r="103" spans="5:17">
      <c r="Q103" s="23" t="s">
        <v>1763</v>
      </c>
    </row>
    <row r="104" spans="5:17">
      <c r="Q104" s="23" t="s">
        <v>1764</v>
      </c>
    </row>
    <row r="105" spans="5:17">
      <c r="Q105" s="23" t="s">
        <v>1765</v>
      </c>
    </row>
    <row r="106" spans="5:17">
      <c r="Q106" s="23" t="s">
        <v>1766</v>
      </c>
    </row>
    <row r="107" spans="5:17">
      <c r="Q107" s="23" t="s">
        <v>1767</v>
      </c>
    </row>
    <row r="108" spans="5:17">
      <c r="Q108" s="23" t="s">
        <v>1768</v>
      </c>
    </row>
    <row r="109" spans="5:17">
      <c r="Q109" s="23" t="s">
        <v>1769</v>
      </c>
    </row>
    <row r="110" spans="5:17">
      <c r="Q110" s="23" t="s">
        <v>1770</v>
      </c>
    </row>
    <row r="111" spans="5:17">
      <c r="Q111" s="23" t="s">
        <v>1771</v>
      </c>
    </row>
    <row r="112" spans="5:17">
      <c r="Q112" s="23" t="s">
        <v>1772</v>
      </c>
    </row>
    <row r="113" spans="17:17">
      <c r="Q113" s="23" t="s">
        <v>1773</v>
      </c>
    </row>
    <row r="114" spans="17:17">
      <c r="Q114" s="23" t="s">
        <v>1774</v>
      </c>
    </row>
    <row r="115" spans="17:17">
      <c r="Q115" s="23" t="s">
        <v>1775</v>
      </c>
    </row>
    <row r="116" spans="17:17">
      <c r="Q116" s="23" t="s">
        <v>1776</v>
      </c>
    </row>
    <row r="117" spans="17:17">
      <c r="Q117" s="23" t="s">
        <v>1777</v>
      </c>
    </row>
    <row r="118" spans="17:17">
      <c r="Q118" s="23" t="s">
        <v>1778</v>
      </c>
    </row>
    <row r="119" spans="17:17">
      <c r="Q119" s="23" t="s">
        <v>1779</v>
      </c>
    </row>
    <row r="120" spans="17:17">
      <c r="Q120" s="23" t="s">
        <v>1780</v>
      </c>
    </row>
    <row r="121" spans="17:17">
      <c r="Q121" s="23" t="s">
        <v>1274</v>
      </c>
    </row>
    <row r="122" spans="17:17">
      <c r="Q122" s="23" t="s">
        <v>1781</v>
      </c>
    </row>
    <row r="123" spans="17:17">
      <c r="Q123" s="23" t="s">
        <v>1782</v>
      </c>
    </row>
    <row r="124" spans="17:17">
      <c r="Q124" s="23" t="s">
        <v>1783</v>
      </c>
    </row>
    <row r="125" spans="17:17">
      <c r="Q125" s="23" t="s">
        <v>1784</v>
      </c>
    </row>
    <row r="126" spans="17:17">
      <c r="Q126" s="23" t="s">
        <v>1785</v>
      </c>
    </row>
    <row r="127" spans="17:17">
      <c r="Q127" s="23" t="s">
        <v>1786</v>
      </c>
    </row>
    <row r="128" spans="17:17">
      <c r="Q128" s="23" t="s">
        <v>1787</v>
      </c>
    </row>
    <row r="129" spans="17:17">
      <c r="Q129" s="23" t="s">
        <v>1788</v>
      </c>
    </row>
    <row r="130" spans="17:17">
      <c r="Q130" s="23" t="s">
        <v>1789</v>
      </c>
    </row>
    <row r="131" spans="17:17">
      <c r="Q131" s="23" t="s">
        <v>1790</v>
      </c>
    </row>
    <row r="132" spans="17:17">
      <c r="Q132" s="23" t="s">
        <v>1791</v>
      </c>
    </row>
    <row r="133" spans="17:17">
      <c r="Q133" s="23" t="s">
        <v>1792</v>
      </c>
    </row>
    <row r="134" spans="17:17">
      <c r="Q134" s="23" t="s">
        <v>1793</v>
      </c>
    </row>
    <row r="135" spans="17:17">
      <c r="Q135" s="23" t="s">
        <v>111</v>
      </c>
    </row>
    <row r="136" spans="17:17">
      <c r="Q136" s="23" t="s">
        <v>1794</v>
      </c>
    </row>
    <row r="137" spans="17:17">
      <c r="Q137" s="23" t="s">
        <v>1795</v>
      </c>
    </row>
    <row r="138" spans="17:17">
      <c r="Q138" s="23" t="s">
        <v>1796</v>
      </c>
    </row>
    <row r="139" spans="17:17">
      <c r="Q139" s="23" t="s">
        <v>1797</v>
      </c>
    </row>
    <row r="140" spans="17:17">
      <c r="Q140" s="23" t="s">
        <v>1798</v>
      </c>
    </row>
    <row r="141" spans="17:17">
      <c r="Q141" s="23" t="s">
        <v>1799</v>
      </c>
    </row>
    <row r="142" spans="17:17">
      <c r="Q142" s="23" t="s">
        <v>1800</v>
      </c>
    </row>
    <row r="143" spans="17:17">
      <c r="Q143" s="23" t="s">
        <v>1801</v>
      </c>
    </row>
    <row r="144" spans="17:17">
      <c r="Q144" s="23" t="s">
        <v>1802</v>
      </c>
    </row>
    <row r="145" spans="17:17">
      <c r="Q145" s="23" t="s">
        <v>1803</v>
      </c>
    </row>
    <row r="146" spans="17:17">
      <c r="Q146" s="23" t="s">
        <v>1804</v>
      </c>
    </row>
    <row r="147" spans="17:17">
      <c r="Q147" s="23" t="s">
        <v>1805</v>
      </c>
    </row>
    <row r="148" spans="17:17">
      <c r="Q148" s="23" t="s">
        <v>1806</v>
      </c>
    </row>
    <row r="149" spans="17:17">
      <c r="Q149" s="23" t="s">
        <v>1807</v>
      </c>
    </row>
    <row r="150" spans="17:17">
      <c r="Q150" s="23" t="s">
        <v>1808</v>
      </c>
    </row>
    <row r="151" spans="17:17">
      <c r="Q151" s="23" t="s">
        <v>1809</v>
      </c>
    </row>
    <row r="152" spans="17:17">
      <c r="Q152" s="23" t="s">
        <v>1810</v>
      </c>
    </row>
    <row r="153" spans="17:17">
      <c r="Q153" s="23" t="s">
        <v>1811</v>
      </c>
    </row>
    <row r="154" spans="17:17">
      <c r="Q154" s="23" t="s">
        <v>1812</v>
      </c>
    </row>
    <row r="155" spans="17:17">
      <c r="Q155" s="23" t="s">
        <v>1813</v>
      </c>
    </row>
    <row r="156" spans="17:17">
      <c r="Q156" s="23" t="s">
        <v>1814</v>
      </c>
    </row>
    <row r="157" spans="17:17">
      <c r="Q157" s="23" t="s">
        <v>1815</v>
      </c>
    </row>
    <row r="158" spans="17:17">
      <c r="Q158" s="23" t="s">
        <v>1816</v>
      </c>
    </row>
    <row r="159" spans="17:17">
      <c r="Q159" s="23" t="s">
        <v>1817</v>
      </c>
    </row>
    <row r="160" spans="17:17">
      <c r="Q160" s="23" t="s">
        <v>1818</v>
      </c>
    </row>
    <row r="161" spans="17:17">
      <c r="Q161" s="23" t="s">
        <v>1819</v>
      </c>
    </row>
    <row r="162" spans="17:17">
      <c r="Q162" s="23" t="s">
        <v>1820</v>
      </c>
    </row>
    <row r="163" spans="17:17">
      <c r="Q163" s="23" t="s">
        <v>1821</v>
      </c>
    </row>
    <row r="164" spans="17:17">
      <c r="Q164" s="23" t="s">
        <v>1822</v>
      </c>
    </row>
    <row r="165" spans="17:17">
      <c r="Q165" s="23" t="s">
        <v>1823</v>
      </c>
    </row>
    <row r="166" spans="17:17">
      <c r="Q166" s="23" t="s">
        <v>1824</v>
      </c>
    </row>
    <row r="167" spans="17:17">
      <c r="Q167" s="23" t="s">
        <v>1825</v>
      </c>
    </row>
    <row r="168" spans="17:17">
      <c r="Q168" s="23" t="s">
        <v>1826</v>
      </c>
    </row>
    <row r="169" spans="17:17">
      <c r="Q169" s="23" t="s">
        <v>1827</v>
      </c>
    </row>
    <row r="170" spans="17:17">
      <c r="Q170" s="23" t="s">
        <v>1828</v>
      </c>
    </row>
    <row r="171" spans="17:17">
      <c r="Q171" s="23" t="s">
        <v>1829</v>
      </c>
    </row>
    <row r="172" spans="17:17">
      <c r="Q172" s="23" t="s">
        <v>1830</v>
      </c>
    </row>
    <row r="173" spans="17:17">
      <c r="Q173" s="23" t="s">
        <v>1831</v>
      </c>
    </row>
    <row r="174" spans="17:17">
      <c r="Q174" s="23" t="s">
        <v>1832</v>
      </c>
    </row>
    <row r="175" spans="17:17">
      <c r="Q175" s="23" t="s">
        <v>1833</v>
      </c>
    </row>
    <row r="176" spans="17:17">
      <c r="Q176" s="23" t="s">
        <v>1834</v>
      </c>
    </row>
    <row r="177" spans="17:17">
      <c r="Q177" s="23" t="s">
        <v>1835</v>
      </c>
    </row>
    <row r="178" spans="17:17">
      <c r="Q178" s="23" t="s">
        <v>1836</v>
      </c>
    </row>
    <row r="179" spans="17:17">
      <c r="Q179" s="23" t="s">
        <v>1837</v>
      </c>
    </row>
    <row r="180" spans="17:17">
      <c r="Q180" s="23" t="s">
        <v>1838</v>
      </c>
    </row>
    <row r="181" spans="17:17">
      <c r="Q181" s="23" t="s">
        <v>1839</v>
      </c>
    </row>
    <row r="182" spans="17:17">
      <c r="Q182" s="23" t="s">
        <v>1840</v>
      </c>
    </row>
    <row r="183" spans="17:17">
      <c r="Q183" s="23" t="s">
        <v>1841</v>
      </c>
    </row>
    <row r="184" spans="17:17">
      <c r="Q184" s="23" t="s">
        <v>1842</v>
      </c>
    </row>
    <row r="185" spans="17:17">
      <c r="Q185" s="23" t="s">
        <v>1843</v>
      </c>
    </row>
    <row r="186" spans="17:17">
      <c r="Q186" s="23" t="s">
        <v>1844</v>
      </c>
    </row>
    <row r="187" spans="17:17">
      <c r="Q187" s="23" t="s">
        <v>384</v>
      </c>
    </row>
    <row r="188" spans="17:17">
      <c r="Q188" s="23" t="s">
        <v>1845</v>
      </c>
    </row>
    <row r="189" spans="17:17">
      <c r="Q189" s="23" t="s">
        <v>1846</v>
      </c>
    </row>
    <row r="190" spans="17:17">
      <c r="Q190" s="23" t="s">
        <v>1847</v>
      </c>
    </row>
    <row r="191" spans="17:17">
      <c r="Q191" s="23" t="s">
        <v>1848</v>
      </c>
    </row>
    <row r="192" spans="17:17">
      <c r="Q192" s="23" t="s">
        <v>1849</v>
      </c>
    </row>
    <row r="193" spans="17:17">
      <c r="Q193" s="23" t="s">
        <v>1850</v>
      </c>
    </row>
    <row r="194" spans="17:17">
      <c r="Q194" s="23" t="s">
        <v>1851</v>
      </c>
    </row>
    <row r="195" spans="17:17">
      <c r="Q195" s="23" t="s">
        <v>1852</v>
      </c>
    </row>
    <row r="196" spans="17:17">
      <c r="Q196" s="23" t="s">
        <v>1853</v>
      </c>
    </row>
    <row r="197" spans="17:17">
      <c r="Q197" s="23" t="s">
        <v>1854</v>
      </c>
    </row>
    <row r="198" spans="17:17">
      <c r="Q198" s="23" t="s">
        <v>1855</v>
      </c>
    </row>
    <row r="199" spans="17:17">
      <c r="Q199" s="23" t="s">
        <v>1856</v>
      </c>
    </row>
    <row r="200" spans="17:17">
      <c r="Q200" s="23" t="s">
        <v>1857</v>
      </c>
    </row>
    <row r="201" spans="17:17">
      <c r="Q201" s="23" t="s">
        <v>1858</v>
      </c>
    </row>
    <row r="202" spans="17:17">
      <c r="Q202" s="23" t="s">
        <v>1859</v>
      </c>
    </row>
    <row r="203" spans="17:17">
      <c r="Q203" s="23" t="s">
        <v>1860</v>
      </c>
    </row>
    <row r="204" spans="17:17">
      <c r="Q204" s="23" t="s">
        <v>1861</v>
      </c>
    </row>
    <row r="205" spans="17:17">
      <c r="Q205" s="23" t="s">
        <v>1862</v>
      </c>
    </row>
    <row r="206" spans="17:17">
      <c r="Q206" s="23" t="s">
        <v>1863</v>
      </c>
    </row>
    <row r="207" spans="17:17">
      <c r="Q207" s="23" t="s">
        <v>1864</v>
      </c>
    </row>
    <row r="208" spans="17:17">
      <c r="Q208" s="23" t="s">
        <v>1865</v>
      </c>
    </row>
    <row r="209" spans="17:17">
      <c r="Q209" s="23" t="s">
        <v>1866</v>
      </c>
    </row>
    <row r="210" spans="17:17">
      <c r="Q210" s="23" t="s">
        <v>1867</v>
      </c>
    </row>
    <row r="211" spans="17:17">
      <c r="Q211" s="23" t="s">
        <v>1868</v>
      </c>
    </row>
    <row r="212" spans="17:17" ht="15" thickBot="1">
      <c r="Q212" s="25" t="s">
        <v>1869</v>
      </c>
    </row>
    <row r="213" spans="17:17">
      <c r="Q213" s="29" t="s">
        <v>1870</v>
      </c>
    </row>
    <row r="214" spans="17:17">
      <c r="Q214" s="23" t="s">
        <v>1374</v>
      </c>
    </row>
    <row r="215" spans="17:17">
      <c r="Q215" s="23" t="s">
        <v>583</v>
      </c>
    </row>
    <row r="216" spans="17:17">
      <c r="Q216" s="23" t="s">
        <v>1738</v>
      </c>
    </row>
    <row r="217" spans="17:17">
      <c r="Q217" s="23" t="s">
        <v>1871</v>
      </c>
    </row>
    <row r="218" spans="17:17">
      <c r="Q218" s="23" t="s">
        <v>1872</v>
      </c>
    </row>
    <row r="219" spans="17:17">
      <c r="Q219" s="23" t="s">
        <v>1873</v>
      </c>
    </row>
    <row r="220" spans="17:17">
      <c r="Q220" s="23" t="s">
        <v>1874</v>
      </c>
    </row>
    <row r="221" spans="17:17">
      <c r="Q221" s="23" t="s">
        <v>1875</v>
      </c>
    </row>
    <row r="222" spans="17:17">
      <c r="Q222" s="23" t="s">
        <v>1876</v>
      </c>
    </row>
    <row r="223" spans="17:17">
      <c r="Q223" s="23" t="s">
        <v>1877</v>
      </c>
    </row>
    <row r="224" spans="17:17">
      <c r="Q224" s="23" t="s">
        <v>1878</v>
      </c>
    </row>
    <row r="225" spans="17:17">
      <c r="Q225" s="23" t="s">
        <v>1879</v>
      </c>
    </row>
    <row r="226" spans="17:17">
      <c r="Q226" s="23" t="s">
        <v>1740</v>
      </c>
    </row>
    <row r="227" spans="17:17">
      <c r="Q227" s="23" t="s">
        <v>1880</v>
      </c>
    </row>
    <row r="228" spans="17:17">
      <c r="Q228" s="23" t="s">
        <v>1881</v>
      </c>
    </row>
    <row r="229" spans="17:17">
      <c r="Q229" s="23" t="s">
        <v>1882</v>
      </c>
    </row>
    <row r="230" spans="17:17">
      <c r="Q230" s="23" t="s">
        <v>1883</v>
      </c>
    </row>
    <row r="231" spans="17:17">
      <c r="Q231" s="23" t="s">
        <v>1761</v>
      </c>
    </row>
    <row r="232" spans="17:17">
      <c r="Q232" s="23" t="s">
        <v>1673</v>
      </c>
    </row>
    <row r="233" spans="17:17">
      <c r="Q233" s="23" t="s">
        <v>1884</v>
      </c>
    </row>
    <row r="234" spans="17:17">
      <c r="Q234" s="23" t="s">
        <v>1683</v>
      </c>
    </row>
    <row r="235" spans="17:17">
      <c r="Q235" s="23" t="s">
        <v>1885</v>
      </c>
    </row>
    <row r="236" spans="17:17">
      <c r="Q236" s="23" t="s">
        <v>1886</v>
      </c>
    </row>
    <row r="237" spans="17:17">
      <c r="Q237" s="23" t="s">
        <v>1887</v>
      </c>
    </row>
    <row r="238" spans="17:17">
      <c r="Q238" s="23"/>
    </row>
    <row r="239" spans="17:17">
      <c r="Q239" s="23" t="s">
        <v>1888</v>
      </c>
    </row>
    <row r="240" spans="17:17">
      <c r="Q240" s="23" t="s">
        <v>1877</v>
      </c>
    </row>
    <row r="241" spans="17:17">
      <c r="Q241" s="23" t="s">
        <v>1889</v>
      </c>
    </row>
    <row r="242" spans="17:17">
      <c r="Q242" s="23" t="s">
        <v>1890</v>
      </c>
    </row>
    <row r="243" spans="17:17">
      <c r="Q243" s="23" t="s">
        <v>1891</v>
      </c>
    </row>
    <row r="244" spans="17:17">
      <c r="Q244" s="23" t="s">
        <v>1736</v>
      </c>
    </row>
    <row r="245" spans="17:17">
      <c r="Q245" s="23" t="s">
        <v>1892</v>
      </c>
    </row>
    <row r="246" spans="17:17">
      <c r="Q246" s="23" t="s">
        <v>1893</v>
      </c>
    </row>
    <row r="247" spans="17:17" ht="15" thickBot="1">
      <c r="Q247" s="25" t="s">
        <v>1894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CD19996B4FA14AB7701B951F578A78" ma:contentTypeVersion="3" ma:contentTypeDescription="Create a new document." ma:contentTypeScope="" ma:versionID="ca31c984da9dec21edcd22731f23290c">
  <xsd:schema xmlns:xsd="http://www.w3.org/2001/XMLSchema" xmlns:xs="http://www.w3.org/2001/XMLSchema" xmlns:p="http://schemas.microsoft.com/office/2006/metadata/properties" xmlns:ns2="06e91113-fded-4871-ba12-6573c25b4893" targetNamespace="http://schemas.microsoft.com/office/2006/metadata/properties" ma:root="true" ma:fieldsID="c9f97495635505897f8a86e9343c183c" ns2:_="">
    <xsd:import namespace="06e91113-fded-4871-ba12-6573c25b48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e91113-fded-4871-ba12-6573c25b48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26C784-A32E-4087-AAE3-9B627A65E961}"/>
</file>

<file path=customXml/itemProps2.xml><?xml version="1.0" encoding="utf-8"?>
<ds:datastoreItem xmlns:ds="http://schemas.openxmlformats.org/officeDocument/2006/customXml" ds:itemID="{1244FB10-8507-4A63-AEB2-FE2E345920F3}"/>
</file>

<file path=customXml/itemProps3.xml><?xml version="1.0" encoding="utf-8"?>
<ds:datastoreItem xmlns:ds="http://schemas.openxmlformats.org/officeDocument/2006/customXml" ds:itemID="{A9AD3B1D-EF70-492E-9F99-0AFBE01CAC37}"/>
</file>

<file path=docMetadata/LabelInfo.xml><?xml version="1.0" encoding="utf-8"?>
<clbl:labelList xmlns:clbl="http://schemas.microsoft.com/office/2020/mipLabelMetadata">
  <clbl:label id="{2fd53d93-3f4c-4b90-b511-bd6bdbb4fba9}" enabled="1" method="Standard" siteId="{d852d5cd-724c-4128-8812-ffa5db3f850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PSA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FLORENCE LIMOUSIN - U071468</dc:creator>
  <cp:keywords/>
  <dc:description/>
  <cp:lastModifiedBy/>
  <cp:revision/>
  <dcterms:created xsi:type="dcterms:W3CDTF">2018-04-19T07:52:56Z</dcterms:created>
  <dcterms:modified xsi:type="dcterms:W3CDTF">2026-05-12T12:28:15Z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a_titre">
    <vt:lpwstr>Portefeuille masse PTF TH STLA-S SP1 SP2</vt:lpwstr>
  </property>
  <property fmtid="{D5CDD505-2E9C-101B-9397-08002B2CF9AE}" pid="3" name="psa_reference">
    <vt:lpwstr>00987_24_00014</vt:lpwstr>
  </property>
  <property fmtid="{D5CDD505-2E9C-101B-9397-08002B2CF9AE}" pid="4" name="psa_date_creation">
    <vt:lpwstr>18/01/2024 17:47</vt:lpwstr>
  </property>
  <property fmtid="{D5CDD505-2E9C-101B-9397-08002B2CF9AE}" pid="5" name="psa_date_modification">
    <vt:lpwstr>08/03/2024 16:19</vt:lpwstr>
  </property>
  <property fmtid="{D5CDD505-2E9C-101B-9397-08002B2CF9AE}" pid="6" name="psa_auteur">
    <vt:lpwstr>NGUYEN YVAN - U101328  </vt:lpwstr>
  </property>
  <property fmtid="{D5CDD505-2E9C-101B-9397-08002B2CF9AE}" pid="7" name="psa_emetteur">
    <vt:lpwstr>NGUYEN YVAN - U101328  </vt:lpwstr>
  </property>
  <property fmtid="{D5CDD505-2E9C-101B-9397-08002B2CF9AE}" pid="8" name="psa_version">
    <vt:lpwstr>5.8</vt:lpwstr>
  </property>
  <property fmtid="{D5CDD505-2E9C-101B-9397-08002B2CF9AE}" pid="9" name="psa_commentaire">
    <vt:lpwstr>Portefeuille développement</vt:lpwstr>
  </property>
  <property fmtid="{D5CDD505-2E9C-101B-9397-08002B2CF9AE}" pid="10" name="psa_langue_principale">
    <vt:lpwstr>Français</vt:lpwstr>
  </property>
  <property fmtid="{D5CDD505-2E9C-101B-9397-08002B2CF9AE}" pid="11" name="psa_status">
    <vt:lpwstr>brouillon</vt:lpwstr>
  </property>
  <property fmtid="{D5CDD505-2E9C-101B-9397-08002B2CF9AE}" pid="12" name="psa_type_doc">
    <vt:lpwstr/>
  </property>
  <property fmtid="{D5CDD505-2E9C-101B-9397-08002B2CF9AE}" pid="13" name="psa_communaute">
    <vt:lpwstr>Métier Masse, Inertie et Composition véhicule</vt:lpwstr>
  </property>
  <property fmtid="{D5CDD505-2E9C-101B-9397-08002B2CF9AE}" pid="14" name="psa_niveau_confidentialite">
    <vt:lpwstr>C2 - Interne</vt:lpwstr>
  </property>
  <property fmtid="{D5CDD505-2E9C-101B-9397-08002B2CF9AE}" pid="15" name="psa_url_fiche">
    <vt:lpwstr>http://docinfogroupe.inetpsa.com/ead/doc/ref.00987_24_00014/v.5.8</vt:lpwstr>
  </property>
  <property fmtid="{D5CDD505-2E9C-101B-9397-08002B2CF9AE}" pid="16" name="psa_url_modification">
    <vt:lpwstr>http://docinfogroupe.inetpsa.com/ead/doc/modif/ref.00987_24_00014/fiche</vt:lpwstr>
  </property>
  <property fmtid="{D5CDD505-2E9C-101B-9397-08002B2CF9AE}" pid="17" name="psa_date_publication">
    <vt:lpwstr>06/03/2024 14:26</vt:lpwstr>
  </property>
  <property fmtid="{D5CDD505-2E9C-101B-9397-08002B2CF9AE}" pid="18" name="MSIP_Label_2fd53d93-3f4c-4b90-b511-bd6bdbb4fba9_Enabled">
    <vt:lpwstr>true</vt:lpwstr>
  </property>
  <property fmtid="{D5CDD505-2E9C-101B-9397-08002B2CF9AE}" pid="19" name="MSIP_Label_2fd53d93-3f4c-4b90-b511-bd6bdbb4fba9_SetDate">
    <vt:lpwstr>2021-06-16T12:08:16Z</vt:lpwstr>
  </property>
  <property fmtid="{D5CDD505-2E9C-101B-9397-08002B2CF9AE}" pid="20" name="MSIP_Label_2fd53d93-3f4c-4b90-b511-bd6bdbb4fba9_Method">
    <vt:lpwstr>Standard</vt:lpwstr>
  </property>
  <property fmtid="{D5CDD505-2E9C-101B-9397-08002B2CF9AE}" pid="21" name="MSIP_Label_2fd53d93-3f4c-4b90-b511-bd6bdbb4fba9_Name">
    <vt:lpwstr>2fd53d93-3f4c-4b90-b511-bd6bdbb4fba9</vt:lpwstr>
  </property>
  <property fmtid="{D5CDD505-2E9C-101B-9397-08002B2CF9AE}" pid="22" name="MSIP_Label_2fd53d93-3f4c-4b90-b511-bd6bdbb4fba9_SiteId">
    <vt:lpwstr>d852d5cd-724c-4128-8812-ffa5db3f8507</vt:lpwstr>
  </property>
  <property fmtid="{D5CDD505-2E9C-101B-9397-08002B2CF9AE}" pid="23" name="MSIP_Label_2fd53d93-3f4c-4b90-b511-bd6bdbb4fba9_ActionId">
    <vt:lpwstr/>
  </property>
  <property fmtid="{D5CDD505-2E9C-101B-9397-08002B2CF9AE}" pid="24" name="MSIP_Label_2fd53d93-3f4c-4b90-b511-bd6bdbb4fba9_ContentBits">
    <vt:lpwstr>0</vt:lpwstr>
  </property>
  <property fmtid="{D5CDD505-2E9C-101B-9397-08002B2CF9AE}" pid="25" name="ContentTypeId">
    <vt:lpwstr>0x01010011CD19996B4FA14AB7701B951F578A78</vt:lpwstr>
  </property>
</Properties>
</file>